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americafirstpolicy-my.sharepoint.com/personal/jruei_americafirstpolicy_com/Documents/Affordability/"/>
    </mc:Choice>
  </mc:AlternateContent>
  <xr:revisionPtr revIDLastSave="36" documentId="8_{46F3B0EA-3384-41DF-B66C-77556E7480AD}" xr6:coauthVersionLast="47" xr6:coauthVersionMax="47" xr10:uidLastSave="{C618D157-BF28-4DDF-AACB-904C82C1326E}"/>
  <bookViews>
    <workbookView xWindow="-113" yWindow="-113" windowWidth="38625" windowHeight="10306" xr2:uid="{830B369B-836A-40CE-9D12-890B326D1573}"/>
  </bookViews>
  <sheets>
    <sheet name="ALL" sheetId="1" r:id="rId1"/>
    <sheet name="Total Counts" sheetId="3" r:id="rId2"/>
    <sheet name="Data Validation" sheetId="2" r:id="rId3"/>
  </sheets>
  <definedNames>
    <definedName name="_xlnm._FilterDatabase" localSheetId="0" hidden="1">ALL!$A$1:$L$2272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2" i="3" l="1"/>
  <c r="AC11" i="3"/>
  <c r="AC10" i="3"/>
  <c r="AC9" i="3"/>
  <c r="AC8" i="3"/>
  <c r="AC7" i="3"/>
  <c r="AC6" i="3"/>
  <c r="AC5" i="3"/>
  <c r="AC4" i="3"/>
  <c r="AC3" i="3"/>
  <c r="AC2" i="3"/>
  <c r="AA11" i="3"/>
  <c r="AA10" i="3"/>
  <c r="AA9" i="3"/>
  <c r="AA8" i="3"/>
  <c r="AA7" i="3"/>
  <c r="AA6" i="3"/>
  <c r="AA5" i="3"/>
  <c r="AA4" i="3"/>
  <c r="AA3" i="3"/>
  <c r="AA2" i="3"/>
  <c r="AA12" i="3" s="1"/>
  <c r="Y11" i="3"/>
  <c r="Y10" i="3"/>
  <c r="Y9" i="3"/>
  <c r="Y8" i="3"/>
  <c r="Y7" i="3"/>
  <c r="Y6" i="3"/>
  <c r="Y5" i="3"/>
  <c r="Y4" i="3"/>
  <c r="Y3" i="3"/>
  <c r="Y2" i="3"/>
  <c r="Y12" i="3" s="1"/>
  <c r="W11" i="3"/>
  <c r="W10" i="3"/>
  <c r="W9" i="3"/>
  <c r="W8" i="3"/>
  <c r="W7" i="3"/>
  <c r="W6" i="3"/>
  <c r="W5" i="3"/>
  <c r="W4" i="3"/>
  <c r="W3" i="3"/>
  <c r="W2" i="3"/>
  <c r="W12" i="3" s="1"/>
  <c r="F3346" i="1"/>
  <c r="F3330" i="1"/>
  <c r="F3253" i="1"/>
  <c r="F3053" i="1"/>
  <c r="F3014" i="1"/>
  <c r="U11" i="3" l="1"/>
  <c r="S11" i="3"/>
  <c r="Q11" i="3"/>
  <c r="O11" i="3"/>
  <c r="M11" i="3"/>
  <c r="K11" i="3"/>
  <c r="I11" i="3"/>
  <c r="G11" i="3"/>
  <c r="E11" i="3"/>
  <c r="U10" i="3"/>
  <c r="S10" i="3"/>
  <c r="Q10" i="3"/>
  <c r="O10" i="3"/>
  <c r="M10" i="3"/>
  <c r="K10" i="3"/>
  <c r="I10" i="3"/>
  <c r="G10" i="3"/>
  <c r="E10" i="3"/>
  <c r="U9" i="3"/>
  <c r="S9" i="3"/>
  <c r="Q9" i="3"/>
  <c r="O9" i="3"/>
  <c r="M9" i="3"/>
  <c r="K9" i="3"/>
  <c r="I9" i="3"/>
  <c r="G9" i="3"/>
  <c r="E9" i="3"/>
  <c r="U8" i="3"/>
  <c r="S8" i="3"/>
  <c r="Q8" i="3"/>
  <c r="O8" i="3"/>
  <c r="M8" i="3"/>
  <c r="K8" i="3"/>
  <c r="I8" i="3"/>
  <c r="G8" i="3"/>
  <c r="E8" i="3"/>
  <c r="U7" i="3"/>
  <c r="S7" i="3"/>
  <c r="Q7" i="3"/>
  <c r="O7" i="3"/>
  <c r="M7" i="3"/>
  <c r="K7" i="3"/>
  <c r="I7" i="3"/>
  <c r="G7" i="3"/>
  <c r="E7" i="3"/>
  <c r="U6" i="3"/>
  <c r="S6" i="3"/>
  <c r="Q6" i="3"/>
  <c r="O6" i="3"/>
  <c r="M6" i="3"/>
  <c r="K6" i="3"/>
  <c r="I6" i="3"/>
  <c r="G6" i="3"/>
  <c r="E6" i="3"/>
  <c r="U5" i="3"/>
  <c r="S5" i="3"/>
  <c r="Q5" i="3"/>
  <c r="O5" i="3"/>
  <c r="M5" i="3"/>
  <c r="K5" i="3"/>
  <c r="I5" i="3"/>
  <c r="G5" i="3"/>
  <c r="E5" i="3"/>
  <c r="U4" i="3"/>
  <c r="S4" i="3"/>
  <c r="Q4" i="3"/>
  <c r="O4" i="3"/>
  <c r="M4" i="3"/>
  <c r="K4" i="3"/>
  <c r="I4" i="3"/>
  <c r="G4" i="3"/>
  <c r="E4" i="3"/>
  <c r="U3" i="3"/>
  <c r="S3" i="3"/>
  <c r="Q3" i="3"/>
  <c r="O3" i="3"/>
  <c r="M3" i="3"/>
  <c r="K3" i="3"/>
  <c r="I3" i="3"/>
  <c r="G3" i="3"/>
  <c r="E3" i="3"/>
  <c r="U2" i="3"/>
  <c r="S2" i="3"/>
  <c r="Q2" i="3"/>
  <c r="O2" i="3"/>
  <c r="M2" i="3"/>
  <c r="K2" i="3"/>
  <c r="I2" i="3"/>
  <c r="G2" i="3"/>
  <c r="E2" i="3"/>
  <c r="F2266" i="1"/>
  <c r="F2263" i="1"/>
  <c r="F2255" i="1"/>
  <c r="F2250" i="1"/>
  <c r="F2246" i="1"/>
  <c r="F2245" i="1"/>
  <c r="F2239" i="1"/>
  <c r="F2236" i="1"/>
  <c r="F2235" i="1"/>
  <c r="F2232" i="1"/>
  <c r="F2178" i="1"/>
  <c r="F2162" i="1"/>
  <c r="F2129" i="1"/>
  <c r="F2123" i="1"/>
  <c r="F2110" i="1"/>
  <c r="F2103" i="1"/>
  <c r="F2097" i="1"/>
  <c r="F2096" i="1"/>
  <c r="F2095" i="1"/>
  <c r="F2093" i="1"/>
  <c r="F2092" i="1"/>
  <c r="F2090" i="1"/>
  <c r="F2088" i="1"/>
  <c r="F2087" i="1"/>
  <c r="F2086" i="1"/>
  <c r="F2083" i="1"/>
  <c r="F2082" i="1"/>
  <c r="F2081" i="1"/>
  <c r="F2079" i="1"/>
  <c r="F2076" i="1"/>
  <c r="F2075" i="1"/>
  <c r="F2073" i="1"/>
  <c r="F2070" i="1"/>
  <c r="F2069" i="1"/>
  <c r="F2067" i="1"/>
  <c r="F2066" i="1"/>
  <c r="F2065" i="1"/>
  <c r="F2063" i="1"/>
  <c r="F2061" i="1"/>
  <c r="F2060" i="1"/>
  <c r="F2056" i="1"/>
  <c r="F2053" i="1"/>
  <c r="F2052" i="1"/>
  <c r="F2050" i="1"/>
  <c r="F2049" i="1"/>
  <c r="F2045" i="1"/>
  <c r="F2043" i="1"/>
  <c r="F2042" i="1"/>
  <c r="F2036" i="1"/>
  <c r="F2035" i="1"/>
  <c r="F2033" i="1"/>
  <c r="F2027" i="1"/>
  <c r="F2026" i="1"/>
  <c r="F2020" i="1"/>
  <c r="F1993" i="1"/>
  <c r="F1991" i="1"/>
  <c r="F1985" i="1"/>
  <c r="F1983" i="1"/>
  <c r="F1982" i="1"/>
  <c r="F1980" i="1"/>
  <c r="F1976" i="1"/>
  <c r="F1972" i="1"/>
  <c r="F1969" i="1"/>
  <c r="F1968" i="1"/>
  <c r="F1966" i="1"/>
  <c r="F1965" i="1"/>
  <c r="F1964" i="1"/>
  <c r="F1962" i="1"/>
  <c r="F1959" i="1"/>
  <c r="F1958" i="1"/>
  <c r="F1957" i="1"/>
  <c r="F1956" i="1"/>
  <c r="F1955" i="1"/>
  <c r="F1954" i="1"/>
  <c r="F1953" i="1"/>
  <c r="F1951" i="1"/>
  <c r="F1950" i="1"/>
  <c r="F1949" i="1"/>
  <c r="F1942" i="1"/>
  <c r="F1933" i="1"/>
  <c r="F1932" i="1"/>
  <c r="F1931" i="1"/>
  <c r="F1929" i="1"/>
  <c r="F1923" i="1"/>
  <c r="F1922" i="1"/>
  <c r="F1915" i="1"/>
  <c r="F1910" i="1"/>
  <c r="F1909" i="1"/>
  <c r="F1908" i="1"/>
  <c r="F1906" i="1"/>
  <c r="F1903" i="1"/>
  <c r="F1900" i="1"/>
  <c r="F1899" i="1"/>
  <c r="F1898" i="1"/>
  <c r="F1894" i="1"/>
  <c r="F1893" i="1"/>
  <c r="F1891" i="1"/>
  <c r="F1889" i="1"/>
  <c r="F1887" i="1"/>
  <c r="F1886" i="1"/>
  <c r="F1885" i="1"/>
  <c r="F1883" i="1"/>
  <c r="F1882" i="1"/>
  <c r="F1880" i="1"/>
  <c r="F1875" i="1"/>
  <c r="F1874" i="1"/>
  <c r="F1872" i="1"/>
  <c r="F1871" i="1"/>
  <c r="F1869" i="1"/>
  <c r="F1868" i="1"/>
  <c r="F1867" i="1"/>
  <c r="F1866" i="1"/>
  <c r="F1864" i="1"/>
  <c r="F1863" i="1"/>
  <c r="F1862" i="1"/>
  <c r="F1858" i="1"/>
  <c r="F1856" i="1"/>
  <c r="F1855" i="1"/>
  <c r="F1854" i="1"/>
  <c r="F1851" i="1"/>
  <c r="F1850" i="1"/>
  <c r="F1846" i="1"/>
  <c r="F1836" i="1"/>
  <c r="F1835" i="1"/>
  <c r="F1833" i="1"/>
  <c r="F1831" i="1"/>
  <c r="F1829" i="1"/>
  <c r="F1827" i="1"/>
  <c r="F1826" i="1"/>
  <c r="F1825" i="1"/>
  <c r="F1822" i="1"/>
  <c r="F1641" i="1"/>
  <c r="F1639" i="1"/>
  <c r="F1638" i="1"/>
  <c r="F1626" i="1"/>
  <c r="F1624" i="1"/>
  <c r="F1621" i="1"/>
  <c r="F1620" i="1"/>
  <c r="F1614" i="1"/>
  <c r="F1613" i="1"/>
  <c r="F1612" i="1"/>
  <c r="F1610" i="1"/>
  <c r="F1609" i="1"/>
  <c r="F1608" i="1"/>
  <c r="F1607" i="1"/>
  <c r="F1606" i="1"/>
  <c r="F1605" i="1"/>
  <c r="F1603" i="1"/>
  <c r="F1602" i="1"/>
  <c r="F1601" i="1"/>
  <c r="F1599" i="1"/>
  <c r="F1598" i="1"/>
  <c r="F1596" i="1"/>
  <c r="F1594" i="1"/>
  <c r="F1593" i="1"/>
  <c r="F1592" i="1"/>
  <c r="F1591" i="1"/>
  <c r="F1590" i="1"/>
  <c r="F1589" i="1"/>
  <c r="F1588" i="1"/>
  <c r="F1587" i="1"/>
  <c r="F1586" i="1"/>
  <c r="F1585" i="1"/>
  <c r="F1584" i="1"/>
  <c r="F1583" i="1"/>
  <c r="F1581" i="1"/>
  <c r="F1580" i="1"/>
  <c r="F1578" i="1"/>
  <c r="F1577" i="1"/>
  <c r="F1576" i="1"/>
  <c r="F1573" i="1"/>
  <c r="F1572" i="1"/>
  <c r="F1571" i="1"/>
  <c r="F1569" i="1"/>
  <c r="F1568" i="1"/>
  <c r="F1567" i="1"/>
  <c r="F1564" i="1"/>
  <c r="F1562" i="1"/>
  <c r="F1560" i="1"/>
  <c r="F1559" i="1"/>
  <c r="F1558" i="1"/>
  <c r="F1556" i="1"/>
  <c r="F1555" i="1"/>
  <c r="F1552" i="1"/>
  <c r="F1550" i="1"/>
  <c r="F1548" i="1"/>
  <c r="F1546" i="1"/>
  <c r="F1545" i="1"/>
  <c r="F1543" i="1"/>
  <c r="F1542" i="1"/>
  <c r="F1541" i="1"/>
  <c r="F1540" i="1"/>
  <c r="F1539" i="1"/>
  <c r="F1538" i="1"/>
  <c r="F1537" i="1"/>
  <c r="F1536" i="1"/>
  <c r="F1535" i="1"/>
  <c r="F1534" i="1"/>
  <c r="F1533" i="1"/>
  <c r="F1532" i="1"/>
  <c r="F1530" i="1"/>
  <c r="F1529" i="1"/>
  <c r="F1528" i="1"/>
  <c r="F1527" i="1"/>
  <c r="F1526" i="1"/>
  <c r="F1525" i="1"/>
  <c r="F1524" i="1"/>
  <c r="F1523" i="1"/>
  <c r="F1522" i="1"/>
  <c r="F1520" i="1"/>
  <c r="F1518" i="1"/>
  <c r="F1515" i="1"/>
  <c r="F1513" i="1"/>
  <c r="F1512" i="1"/>
  <c r="F1508" i="1"/>
  <c r="F1507" i="1"/>
  <c r="F1506" i="1"/>
  <c r="F1501" i="1"/>
  <c r="F1487" i="1"/>
  <c r="F1484" i="1"/>
  <c r="F1470" i="1"/>
  <c r="F1460" i="1"/>
  <c r="F1441" i="1"/>
  <c r="F1437" i="1"/>
  <c r="F1436" i="1"/>
  <c r="F1434" i="1"/>
  <c r="F1432" i="1"/>
  <c r="F1425" i="1"/>
  <c r="F1424" i="1"/>
  <c r="F1421" i="1"/>
  <c r="F1420" i="1"/>
  <c r="F1417" i="1"/>
  <c r="F1413" i="1"/>
  <c r="F1412" i="1"/>
  <c r="F1411" i="1"/>
  <c r="F1410" i="1"/>
  <c r="F1409" i="1"/>
  <c r="F1408" i="1"/>
  <c r="F1407" i="1"/>
  <c r="F1406" i="1"/>
  <c r="F1404" i="1"/>
  <c r="F1402" i="1"/>
  <c r="F1399" i="1"/>
  <c r="F1398" i="1"/>
  <c r="F1394" i="1"/>
  <c r="F1382" i="1"/>
  <c r="F1381" i="1"/>
  <c r="F1380" i="1"/>
  <c r="F1379" i="1"/>
  <c r="F1378" i="1"/>
  <c r="F1377" i="1"/>
  <c r="F1372" i="1"/>
  <c r="F1371" i="1"/>
  <c r="F1366" i="1"/>
  <c r="F1365" i="1"/>
  <c r="F1362" i="1"/>
  <c r="F1360" i="1"/>
  <c r="F1357" i="1"/>
  <c r="F1356" i="1"/>
  <c r="F1354" i="1"/>
  <c r="F1353" i="1"/>
  <c r="F1352" i="1"/>
  <c r="F1351" i="1"/>
  <c r="F1350" i="1"/>
  <c r="F1341" i="1"/>
  <c r="F1338" i="1"/>
  <c r="F1335" i="1"/>
  <c r="F1331" i="1"/>
  <c r="F1327" i="1"/>
  <c r="F1323" i="1"/>
  <c r="F1317" i="1"/>
  <c r="F1315" i="1"/>
  <c r="F1311" i="1"/>
  <c r="F1308" i="1"/>
  <c r="F1306" i="1"/>
  <c r="F1301" i="1"/>
  <c r="F1300" i="1"/>
  <c r="F1296" i="1"/>
  <c r="F1294" i="1"/>
  <c r="F1293" i="1"/>
  <c r="F1291" i="1"/>
  <c r="F1287" i="1"/>
  <c r="F1285" i="1"/>
  <c r="F1283" i="1"/>
  <c r="F1280" i="1"/>
  <c r="F1279" i="1"/>
  <c r="F1276" i="1"/>
  <c r="F1273" i="1"/>
  <c r="F1271" i="1"/>
  <c r="F1270" i="1"/>
  <c r="F1269" i="1"/>
  <c r="F1268" i="1"/>
  <c r="F1266" i="1"/>
  <c r="F1263" i="1"/>
  <c r="F1261" i="1"/>
  <c r="F1260" i="1"/>
  <c r="F1257" i="1"/>
  <c r="F1254" i="1"/>
  <c r="F1253" i="1"/>
  <c r="F1250" i="1"/>
  <c r="F1248" i="1"/>
  <c r="F1245" i="1"/>
  <c r="F1241" i="1"/>
  <c r="F1240" i="1"/>
  <c r="F1236" i="1"/>
  <c r="F1230" i="1"/>
  <c r="F1228" i="1"/>
  <c r="F1226" i="1"/>
  <c r="F1225" i="1"/>
  <c r="F1223" i="1"/>
  <c r="F1222" i="1"/>
  <c r="F1218" i="1"/>
  <c r="F1217" i="1"/>
  <c r="F1216" i="1"/>
  <c r="F1215" i="1"/>
  <c r="F1214" i="1"/>
  <c r="F1208" i="1"/>
  <c r="F1207" i="1"/>
  <c r="F1206" i="1"/>
  <c r="F1204" i="1"/>
  <c r="F1203" i="1"/>
  <c r="F1202" i="1"/>
  <c r="F1199" i="1"/>
  <c r="F1197" i="1"/>
  <c r="F1196" i="1"/>
  <c r="F1194" i="1"/>
  <c r="F1193" i="1"/>
  <c r="F1192" i="1"/>
  <c r="F1190" i="1"/>
  <c r="F1188" i="1"/>
  <c r="F1187" i="1"/>
  <c r="F1186" i="1"/>
  <c r="F1185" i="1"/>
  <c r="F1184" i="1"/>
  <c r="F1183" i="1"/>
  <c r="F1180" i="1"/>
  <c r="F1177" i="1"/>
  <c r="F1174" i="1"/>
  <c r="F1173" i="1"/>
  <c r="F1172" i="1"/>
  <c r="F1171" i="1"/>
  <c r="F1170" i="1"/>
  <c r="F1167" i="1"/>
  <c r="F1166" i="1"/>
  <c r="F1162" i="1"/>
  <c r="F1161" i="1"/>
  <c r="F1159" i="1"/>
  <c r="F1158" i="1"/>
  <c r="F1157" i="1"/>
  <c r="F1156" i="1"/>
  <c r="F1154" i="1"/>
  <c r="F1153" i="1"/>
  <c r="F1152" i="1"/>
  <c r="F1151" i="1"/>
  <c r="F1149" i="1"/>
  <c r="F1148" i="1"/>
  <c r="F1147" i="1"/>
  <c r="F1146" i="1"/>
  <c r="F1144" i="1"/>
  <c r="F1143" i="1"/>
  <c r="F1142" i="1"/>
  <c r="F1141" i="1"/>
  <c r="F1139" i="1"/>
  <c r="F1138" i="1"/>
  <c r="F1137" i="1"/>
  <c r="F1136" i="1"/>
  <c r="F1135" i="1"/>
  <c r="F1134" i="1"/>
  <c r="F1133" i="1"/>
  <c r="F1132" i="1"/>
  <c r="F1131" i="1"/>
  <c r="F1130" i="1"/>
  <c r="F1129" i="1"/>
  <c r="F1128" i="1"/>
  <c r="F1127" i="1"/>
  <c r="F1126" i="1"/>
  <c r="F1125" i="1"/>
  <c r="F1124" i="1"/>
  <c r="F1123" i="1"/>
  <c r="F1106" i="1"/>
  <c r="F1101" i="1"/>
  <c r="F1093" i="1"/>
  <c r="F1090" i="1"/>
  <c r="F991" i="1"/>
  <c r="F980" i="1"/>
  <c r="F977" i="1"/>
  <c r="F976" i="1"/>
  <c r="F975" i="1"/>
  <c r="F974" i="1"/>
  <c r="F973" i="1"/>
  <c r="F964" i="1"/>
  <c r="F962" i="1"/>
  <c r="F959" i="1"/>
  <c r="F957" i="1"/>
  <c r="F956" i="1"/>
  <c r="F955" i="1"/>
  <c r="F954" i="1"/>
  <c r="F953" i="1"/>
  <c r="F952" i="1"/>
  <c r="F951" i="1"/>
  <c r="F950" i="1"/>
  <c r="F949" i="1"/>
  <c r="F948" i="1"/>
  <c r="F947" i="1"/>
  <c r="F946" i="1"/>
  <c r="F945" i="1"/>
  <c r="F944" i="1"/>
  <c r="F943" i="1"/>
  <c r="F942" i="1"/>
  <c r="F940" i="1"/>
  <c r="F939" i="1"/>
  <c r="F938" i="1"/>
  <c r="F937" i="1"/>
  <c r="F936" i="1"/>
  <c r="F935" i="1"/>
  <c r="F934" i="1"/>
  <c r="F933" i="1"/>
  <c r="F932" i="1"/>
  <c r="F931" i="1"/>
  <c r="F930" i="1"/>
  <c r="F929" i="1"/>
  <c r="F927" i="1"/>
  <c r="F926" i="1"/>
  <c r="F925" i="1"/>
  <c r="F924" i="1"/>
  <c r="F923" i="1"/>
  <c r="F921" i="1"/>
  <c r="F920" i="1"/>
  <c r="F919" i="1"/>
  <c r="F918" i="1"/>
  <c r="F917" i="1"/>
  <c r="F916" i="1"/>
  <c r="F915" i="1"/>
  <c r="F914" i="1"/>
  <c r="F913" i="1"/>
  <c r="F912" i="1"/>
  <c r="F911" i="1"/>
  <c r="F910" i="1"/>
  <c r="F909" i="1"/>
  <c r="F908" i="1"/>
  <c r="F907" i="1"/>
  <c r="F906" i="1"/>
  <c r="F905" i="1"/>
  <c r="F903" i="1"/>
  <c r="F902" i="1"/>
  <c r="F901" i="1"/>
  <c r="F900" i="1"/>
  <c r="F899" i="1"/>
  <c r="F898" i="1"/>
  <c r="F896" i="1"/>
  <c r="F894" i="1"/>
  <c r="F893" i="1"/>
  <c r="F891" i="1"/>
  <c r="F890" i="1"/>
  <c r="F888" i="1"/>
  <c r="F886" i="1"/>
  <c r="F885" i="1"/>
  <c r="F882" i="1"/>
  <c r="F881" i="1"/>
  <c r="F879" i="1"/>
  <c r="F878" i="1"/>
  <c r="F877" i="1"/>
  <c r="F876" i="1"/>
  <c r="F875" i="1"/>
  <c r="F872" i="1"/>
  <c r="F871" i="1"/>
  <c r="F870" i="1"/>
  <c r="F868" i="1"/>
  <c r="F867" i="1"/>
  <c r="F866" i="1"/>
  <c r="F864" i="1"/>
  <c r="F862" i="1"/>
  <c r="F861" i="1"/>
  <c r="F843" i="1"/>
  <c r="F830" i="1"/>
  <c r="F754" i="1"/>
  <c r="F753" i="1"/>
  <c r="F752" i="1"/>
  <c r="F751" i="1"/>
  <c r="F750" i="1"/>
  <c r="F744" i="1"/>
  <c r="F741" i="1"/>
  <c r="F739" i="1"/>
  <c r="F738" i="1"/>
  <c r="F734" i="1"/>
  <c r="F727" i="1"/>
  <c r="F716" i="1"/>
  <c r="F713" i="1"/>
  <c r="F710" i="1"/>
  <c r="F704" i="1"/>
  <c r="F702" i="1"/>
  <c r="F701" i="1"/>
  <c r="F695" i="1"/>
  <c r="F687" i="1"/>
  <c r="F675" i="1"/>
  <c r="F663" i="1"/>
  <c r="F662" i="1"/>
  <c r="F661" i="1"/>
  <c r="F660" i="1"/>
  <c r="F659" i="1"/>
  <c r="F653" i="1"/>
  <c r="F652" i="1"/>
  <c r="F651" i="1"/>
  <c r="F647" i="1"/>
  <c r="F646" i="1"/>
  <c r="F645" i="1"/>
  <c r="F644" i="1"/>
  <c r="F641" i="1"/>
  <c r="F639" i="1"/>
  <c r="F638" i="1"/>
  <c r="F636" i="1"/>
  <c r="F633" i="1"/>
  <c r="F627" i="1"/>
  <c r="F621" i="1"/>
  <c r="F606" i="1"/>
  <c r="F601" i="1"/>
  <c r="F579" i="1"/>
  <c r="F550" i="1"/>
  <c r="F542" i="1"/>
  <c r="F541" i="1"/>
  <c r="F535" i="1"/>
  <c r="F534" i="1"/>
  <c r="F530" i="1"/>
  <c r="F510" i="1"/>
  <c r="F509" i="1"/>
  <c r="G12" i="3" l="1"/>
  <c r="D13" i="3"/>
  <c r="O12" i="3"/>
  <c r="Q12" i="3"/>
  <c r="S12" i="3"/>
  <c r="E12" i="3"/>
  <c r="I12" i="3"/>
  <c r="K12" i="3"/>
  <c r="M12" i="3"/>
  <c r="U12" i="3"/>
</calcChain>
</file>

<file path=xl/sharedStrings.xml><?xml version="1.0" encoding="utf-8"?>
<sst xmlns="http://schemas.openxmlformats.org/spreadsheetml/2006/main" count="14635" uniqueCount="5668">
  <si>
    <t>Office</t>
  </si>
  <si>
    <t>Issue Date</t>
  </si>
  <si>
    <t>Type</t>
  </si>
  <si>
    <t>Document Number</t>
  </si>
  <si>
    <t>Title</t>
  </si>
  <si>
    <t>Total Page Count (inclusive of Attachments)</t>
  </si>
  <si>
    <t>Determination</t>
  </si>
  <si>
    <t>Reason for Determination</t>
  </si>
  <si>
    <t>Name of Person Making Determination</t>
  </si>
  <si>
    <t>Email of Person Making Determination</t>
  </si>
  <si>
    <t>Program</t>
  </si>
  <si>
    <t>CB</t>
  </si>
  <si>
    <t>Action Transmittal (AT)</t>
  </si>
  <si>
    <t>AT-79-12</t>
  </si>
  <si>
    <t>AT-80-01</t>
  </si>
  <si>
    <t>AT-80-02</t>
  </si>
  <si>
    <t>AT-80-03</t>
  </si>
  <si>
    <t>AT-80-04</t>
  </si>
  <si>
    <t>AT-80-05</t>
  </si>
  <si>
    <t>AT-81-01</t>
  </si>
  <si>
    <t>Link to AT seems missing; Print to PDF used for count</t>
  </si>
  <si>
    <t>Program Instruction (PI)</t>
  </si>
  <si>
    <t>PI-80-01</t>
  </si>
  <si>
    <t>PI-80-02</t>
  </si>
  <si>
    <t>PI-80-03</t>
  </si>
  <si>
    <t>Information Memorandum (IM)</t>
  </si>
  <si>
    <t>IM-81-01</t>
  </si>
  <si>
    <t>PI-81-01</t>
  </si>
  <si>
    <t>IM-81-02</t>
  </si>
  <si>
    <t>PI-81-02</t>
  </si>
  <si>
    <t>IM-81-03</t>
  </si>
  <si>
    <t>PI-81-06</t>
  </si>
  <si>
    <t>AT-81-16</t>
  </si>
  <si>
    <t>PI-81-05</t>
  </si>
  <si>
    <t>PI-81-07</t>
  </si>
  <si>
    <t>PI-81-08</t>
  </si>
  <si>
    <t>PI-82-01</t>
  </si>
  <si>
    <t>IM-82-02</t>
  </si>
  <si>
    <t>PI-82-04</t>
  </si>
  <si>
    <t>IM-82-06</t>
  </si>
  <si>
    <t>PI-82-06</t>
  </si>
  <si>
    <t>PI-82-07</t>
  </si>
  <si>
    <t>PI-83-02</t>
  </si>
  <si>
    <t>IM-83-08</t>
  </si>
  <si>
    <t>PI-83-04</t>
  </si>
  <si>
    <t>IM-83-04</t>
  </si>
  <si>
    <t>PI-83-03</t>
  </si>
  <si>
    <t>IM-83-14</t>
  </si>
  <si>
    <t>PI-83-06</t>
  </si>
  <si>
    <t>PI-83-07</t>
  </si>
  <si>
    <t>PI-83-08</t>
  </si>
  <si>
    <t>PI-84-02</t>
  </si>
  <si>
    <t>IM-84-02</t>
  </si>
  <si>
    <t>PI-84-05</t>
  </si>
  <si>
    <t>IM-84-09</t>
  </si>
  <si>
    <t>PI-84-06</t>
  </si>
  <si>
    <t>PI-84-04</t>
  </si>
  <si>
    <t>IM-84-21</t>
  </si>
  <si>
    <t>IM-84-22</t>
  </si>
  <si>
    <t>IM-84-27</t>
  </si>
  <si>
    <t>IM-84-29</t>
  </si>
  <si>
    <t>IM-84-31</t>
  </si>
  <si>
    <t>PI-85-01</t>
  </si>
  <si>
    <t>IM-85-02</t>
  </si>
  <si>
    <t>IM-85-04</t>
  </si>
  <si>
    <t>PI-85-02</t>
  </si>
  <si>
    <t>IM-85-10</t>
  </si>
  <si>
    <t>PI-85-03</t>
  </si>
  <si>
    <t>IM-85-11</t>
  </si>
  <si>
    <t>AT-85-04</t>
  </si>
  <si>
    <t>IM-85-15</t>
  </si>
  <si>
    <t>PI-85-07</t>
  </si>
  <si>
    <t>IM-85-24</t>
  </si>
  <si>
    <t>IM-85-25</t>
  </si>
  <si>
    <t>IM-85-34</t>
  </si>
  <si>
    <t>IM-85-36</t>
  </si>
  <si>
    <t>IM-86-09</t>
  </si>
  <si>
    <t>PI-86-01</t>
  </si>
  <si>
    <t>IM-86-19</t>
  </si>
  <si>
    <t>IM-86-24</t>
  </si>
  <si>
    <t>IM-86-26</t>
  </si>
  <si>
    <t>PI-86-03</t>
  </si>
  <si>
    <t>IM-86-31</t>
  </si>
  <si>
    <t>IM-87-04</t>
  </si>
  <si>
    <t>PI-87-01</t>
  </si>
  <si>
    <t>IM-87-06</t>
  </si>
  <si>
    <t>IM-87-07</t>
  </si>
  <si>
    <t>IM-87-08</t>
  </si>
  <si>
    <t>IM-87-09</t>
  </si>
  <si>
    <t>IM-87-11</t>
  </si>
  <si>
    <t>IM-87-15</t>
  </si>
  <si>
    <t>IM-87-28</t>
  </si>
  <si>
    <t>IM-87-31</t>
  </si>
  <si>
    <t>PI-87-06</t>
  </si>
  <si>
    <t>IM-88-01</t>
  </si>
  <si>
    <t>IM-88-02</t>
  </si>
  <si>
    <t>IM-88-12</t>
  </si>
  <si>
    <t>IM-88-13</t>
  </si>
  <si>
    <t>IM-88-15</t>
  </si>
  <si>
    <t>IM-88-22</t>
  </si>
  <si>
    <t>PI-88-07</t>
  </si>
  <si>
    <t>IM-88-28</t>
  </si>
  <si>
    <t>IM-88-24</t>
  </si>
  <si>
    <t>IM-88-32</t>
  </si>
  <si>
    <t>PI-88-08</t>
  </si>
  <si>
    <t>IM-89-02</t>
  </si>
  <si>
    <t>IM-89-03</t>
  </si>
  <si>
    <t>IM-89-08</t>
  </si>
  <si>
    <t>IM-89-09</t>
  </si>
  <si>
    <t>PI-89-05</t>
  </si>
  <si>
    <t>PI-89-07</t>
  </si>
  <si>
    <t>PI-89-09</t>
  </si>
  <si>
    <t>INF-89-01</t>
  </si>
  <si>
    <t>IM-89-23</t>
  </si>
  <si>
    <t>PI-90-01</t>
  </si>
  <si>
    <t>IM-90-07</t>
  </si>
  <si>
    <t>IM-90-08</t>
  </si>
  <si>
    <t>PI-90-09</t>
  </si>
  <si>
    <t>IM-90-17</t>
  </si>
  <si>
    <t>IM-90-11</t>
  </si>
  <si>
    <t>Comes up when you search PI but not IM</t>
  </si>
  <si>
    <t>IM-90-18</t>
  </si>
  <si>
    <t>PI-90-16</t>
  </si>
  <si>
    <t>IM-90-26</t>
  </si>
  <si>
    <t>IM-90-27</t>
  </si>
  <si>
    <t>IM-90-28</t>
  </si>
  <si>
    <t>IM-91-11</t>
  </si>
  <si>
    <t>IM-91-15</t>
  </si>
  <si>
    <t>IM-91-19</t>
  </si>
  <si>
    <t>IM-91-25</t>
  </si>
  <si>
    <t>AT-91-33</t>
  </si>
  <si>
    <t>AT-92-05</t>
  </si>
  <si>
    <t>IM-92-04</t>
  </si>
  <si>
    <t>PI-92-03</t>
  </si>
  <si>
    <t>PI-92-07</t>
  </si>
  <si>
    <t>PI-92-06</t>
  </si>
  <si>
    <t>IM-92-16</t>
  </si>
  <si>
    <t>PI-92-11</t>
  </si>
  <si>
    <t>OISM-IM-93-01</t>
  </si>
  <si>
    <t>PI-92-13</t>
  </si>
  <si>
    <t>AT-93-03</t>
  </si>
  <si>
    <t>PI-93-01</t>
  </si>
  <si>
    <t>IM-93-04</t>
  </si>
  <si>
    <t>PI-93-02</t>
  </si>
  <si>
    <t>PI-93-09</t>
  </si>
  <si>
    <t>PI-93-10</t>
  </si>
  <si>
    <t>PI-93-13</t>
  </si>
  <si>
    <t>IM-93-19</t>
  </si>
  <si>
    <t>IM-93-20</t>
  </si>
  <si>
    <t>IM-93-22</t>
  </si>
  <si>
    <t>OISM-ACF-IM-93-4</t>
  </si>
  <si>
    <t>PI-93-16</t>
  </si>
  <si>
    <t>IM-93-27</t>
  </si>
  <si>
    <t>PI-94-04</t>
  </si>
  <si>
    <t>PI-94-03</t>
  </si>
  <si>
    <t>PI-94-01</t>
  </si>
  <si>
    <t>IM-94-10</t>
  </si>
  <si>
    <t>PI-94-12</t>
  </si>
  <si>
    <t>AT-94-05</t>
  </si>
  <si>
    <t>IM-94-17</t>
  </si>
  <si>
    <t>PI-94-15</t>
  </si>
  <si>
    <t>IM-94-19</t>
  </si>
  <si>
    <t>IM-94-22</t>
  </si>
  <si>
    <t>IM-94-23</t>
  </si>
  <si>
    <t>IM-95-05</t>
  </si>
  <si>
    <t>AT-95-01</t>
  </si>
  <si>
    <t>IM-95-11</t>
  </si>
  <si>
    <t>IM-95-12</t>
  </si>
  <si>
    <t>PI-95-10</t>
  </si>
  <si>
    <t>PI-95-11</t>
  </si>
  <si>
    <t>PI-95-09</t>
  </si>
  <si>
    <t>IM-95-28</t>
  </si>
  <si>
    <t>PI-95-12</t>
  </si>
  <si>
    <t>IM-95-32</t>
  </si>
  <si>
    <t>PI-95-23</t>
  </si>
  <si>
    <t>IM-96-01</t>
  </si>
  <si>
    <t>IM-96-02</t>
  </si>
  <si>
    <t>PI-96-01</t>
  </si>
  <si>
    <t>IM-96-09</t>
  </si>
  <si>
    <t>PI-96-05</t>
  </si>
  <si>
    <t>PI-96-06</t>
  </si>
  <si>
    <t>PI-96-07</t>
  </si>
  <si>
    <t>PI-96-11</t>
  </si>
  <si>
    <t>IM-96-16</t>
  </si>
  <si>
    <t>PI-96-15</t>
  </si>
  <si>
    <t>IM-96-24</t>
  </si>
  <si>
    <t>IM-96-27</t>
  </si>
  <si>
    <t>IM-96-29</t>
  </si>
  <si>
    <t>IM-97-02</t>
  </si>
  <si>
    <t>PI-NCCAN-97-01</t>
  </si>
  <si>
    <t>PI-97-01</t>
  </si>
  <si>
    <t>IM-97-03</t>
  </si>
  <si>
    <t>PI-97-02</t>
  </si>
  <si>
    <t>PI-97-03</t>
  </si>
  <si>
    <t>IM-97-04</t>
  </si>
  <si>
    <t>IM-97-05</t>
  </si>
  <si>
    <t>PI-97-04</t>
  </si>
  <si>
    <t>IM-97-07</t>
  </si>
  <si>
    <t>IM-97-08</t>
  </si>
  <si>
    <t>PI-97-05</t>
  </si>
  <si>
    <t>IM-97-09</t>
  </si>
  <si>
    <t>PI-98-01</t>
  </si>
  <si>
    <t>PI-98-02</t>
  </si>
  <si>
    <t>IM-98-01</t>
  </si>
  <si>
    <t>IM-98-02</t>
  </si>
  <si>
    <t>PI-98-03</t>
  </si>
  <si>
    <t>PI-98-05</t>
  </si>
  <si>
    <t>PI-98-07</t>
  </si>
  <si>
    <t>IM-98-03</t>
  </si>
  <si>
    <t>PI-98-06</t>
  </si>
  <si>
    <t>PI-98-10</t>
  </si>
  <si>
    <t>PI-98-11</t>
  </si>
  <si>
    <t>Adoption and Foster Care Analysis and Reporting System Penalties</t>
  </si>
  <si>
    <t>PI-98-12</t>
  </si>
  <si>
    <t>PI-98-13</t>
  </si>
  <si>
    <t>PI-98-14</t>
  </si>
  <si>
    <t>AT-98-05</t>
  </si>
  <si>
    <t>PI-98-15</t>
  </si>
  <si>
    <t>IM-98-04</t>
  </si>
  <si>
    <t>IM-98-05</t>
  </si>
  <si>
    <t>IM-99-01</t>
  </si>
  <si>
    <t>IM-99-02</t>
  </si>
  <si>
    <t>IM-99-03</t>
  </si>
  <si>
    <t>PI-99-01</t>
  </si>
  <si>
    <t>PI-99-02</t>
  </si>
  <si>
    <t>PI-99-04</t>
  </si>
  <si>
    <t>PI-99-05</t>
  </si>
  <si>
    <t>PI-99-07</t>
  </si>
  <si>
    <t>PI-99-09</t>
  </si>
  <si>
    <t>IM-00-01</t>
  </si>
  <si>
    <t>PI-00-01</t>
  </si>
  <si>
    <t>IM-00-02</t>
  </si>
  <si>
    <t>AT-OSSP-00-01</t>
  </si>
  <si>
    <t xml:space="preserve">FEDERAL/STATE INFORMATION TECHNOLOGY POLICY— Department of Health and Human Services Approval of Funding, When a State Fails to Obtain Prior Written Approval In Accordance with 45 CFR Part 95, Subpart F </t>
  </si>
  <si>
    <t>IM-00-03</t>
  </si>
  <si>
    <t>IM-00-04</t>
  </si>
  <si>
    <t>PI-00-03</t>
  </si>
  <si>
    <t>IM-00-07</t>
  </si>
  <si>
    <t>PI-00-04</t>
  </si>
  <si>
    <t>IM-00-09</t>
  </si>
  <si>
    <t>IM-00-11</t>
  </si>
  <si>
    <t>PI-01-02</t>
  </si>
  <si>
    <t>PI-01-03</t>
  </si>
  <si>
    <t>IM-01-01</t>
  </si>
  <si>
    <t>IM-01-03</t>
  </si>
  <si>
    <t>PI-01-05</t>
  </si>
  <si>
    <t>PI-01-06</t>
  </si>
  <si>
    <t>Policy Guide (PG)</t>
  </si>
  <si>
    <t>Child Welfare Policy Manual</t>
  </si>
  <si>
    <t>PI-01-07</t>
  </si>
  <si>
    <t>IM-01-04</t>
  </si>
  <si>
    <t>IM-01-05</t>
  </si>
  <si>
    <t>IM-01-06</t>
  </si>
  <si>
    <t>IM-01-07</t>
  </si>
  <si>
    <t>PI-01-08</t>
  </si>
  <si>
    <t>IM-01-09</t>
  </si>
  <si>
    <t>IM-01-08</t>
  </si>
  <si>
    <t>PI-01-09</t>
  </si>
  <si>
    <t>IM-01-10</t>
  </si>
  <si>
    <t>IM-01-11</t>
  </si>
  <si>
    <t>PI-02-01</t>
  </si>
  <si>
    <t>IM-02-01</t>
  </si>
  <si>
    <t>IM-02-04</t>
  </si>
  <si>
    <t>IM-02-03</t>
  </si>
  <si>
    <t>PI-02-03</t>
  </si>
  <si>
    <t>IM-02-05</t>
  </si>
  <si>
    <t>PI-02-04</t>
  </si>
  <si>
    <t>IM-02-02</t>
  </si>
  <si>
    <t>PI-02-05</t>
  </si>
  <si>
    <t>IM-02-06</t>
  </si>
  <si>
    <t>Title IV-E Child Welfare Demonstration Projects Requests for Extensions – Procedures and Criteria</t>
  </si>
  <si>
    <t>IM-02-07</t>
  </si>
  <si>
    <t>PI-02-06</t>
  </si>
  <si>
    <t>PI-02-07</t>
  </si>
  <si>
    <t>PI-02-08</t>
  </si>
  <si>
    <t>PI-02-09</t>
  </si>
  <si>
    <t>PI-03-03</t>
  </si>
  <si>
    <t>IM-03-01</t>
  </si>
  <si>
    <t>PI-03-04</t>
  </si>
  <si>
    <t>PI-03-01</t>
  </si>
  <si>
    <t>PI-03-02</t>
  </si>
  <si>
    <t>IM-03-02</t>
  </si>
  <si>
    <t>PI-03-05</t>
  </si>
  <si>
    <t>IM-03-03</t>
  </si>
  <si>
    <t>PI-03-06</t>
  </si>
  <si>
    <t>IM-03-04</t>
  </si>
  <si>
    <t>PI-03-07</t>
  </si>
  <si>
    <t>IM-03-05</t>
  </si>
  <si>
    <t>IM-03-06</t>
  </si>
  <si>
    <t>PI-03-08</t>
  </si>
  <si>
    <t>PI-04-01</t>
  </si>
  <si>
    <t>PI-04-02</t>
  </si>
  <si>
    <t>IM-04-01</t>
  </si>
  <si>
    <t>IM-04-04</t>
  </si>
  <si>
    <t>IM-04-02</t>
  </si>
  <si>
    <t>IM-04-03</t>
  </si>
  <si>
    <t>PI-04-03</t>
  </si>
  <si>
    <t>PI-04-04</t>
  </si>
  <si>
    <t>PI-04-05</t>
  </si>
  <si>
    <t>IM-04-06</t>
  </si>
  <si>
    <t>IM-04-07</t>
  </si>
  <si>
    <t>IM-04-08</t>
  </si>
  <si>
    <t>Technical Bulletin (TB) / Frequently Asked Questions (FAQ)</t>
  </si>
  <si>
    <t>Child and Family Services Review Technical Bulletin #1</t>
  </si>
  <si>
    <t>IM-05-01</t>
  </si>
  <si>
    <t>PI-05-03</t>
  </si>
  <si>
    <t>PI-05-01</t>
  </si>
  <si>
    <t>PI-05-05</t>
  </si>
  <si>
    <t>PI-05-04</t>
  </si>
  <si>
    <t>ACF-CMS-FNS IM 05-04</t>
  </si>
  <si>
    <t>IM-05-02</t>
  </si>
  <si>
    <t>IM-05-04</t>
  </si>
  <si>
    <t>IM-05-05</t>
  </si>
  <si>
    <t>IM-05-10</t>
  </si>
  <si>
    <t>IM-05-06</t>
  </si>
  <si>
    <t>IM-05-07</t>
  </si>
  <si>
    <t>IM-05-08</t>
  </si>
  <si>
    <t>IM-05-09</t>
  </si>
  <si>
    <t>PI-05-06</t>
  </si>
  <si>
    <t>IM-06-01</t>
  </si>
  <si>
    <t>PI-06-01</t>
  </si>
  <si>
    <t>PI-06-02</t>
  </si>
  <si>
    <t>PI-06-03</t>
  </si>
  <si>
    <t>PI-06-04</t>
  </si>
  <si>
    <t>IM-06-02</t>
  </si>
  <si>
    <t>PI-06-05</t>
  </si>
  <si>
    <t>IM-06-03</t>
  </si>
  <si>
    <t>PI-06-06</t>
  </si>
  <si>
    <t>IM-06-04</t>
  </si>
  <si>
    <t>IM-06-05</t>
  </si>
  <si>
    <t>PI-06-07</t>
  </si>
  <si>
    <t>IM-07-01</t>
  </si>
  <si>
    <t>PI-07-02</t>
  </si>
  <si>
    <t>IM-07-02</t>
  </si>
  <si>
    <t>PI-07-04</t>
  </si>
  <si>
    <t>PI-07-03</t>
  </si>
  <si>
    <t>PI-07-05</t>
  </si>
  <si>
    <t>PI-07-06</t>
  </si>
  <si>
    <t>PI-07-07</t>
  </si>
  <si>
    <t>IM-07-03</t>
  </si>
  <si>
    <t>IM-07-04</t>
  </si>
  <si>
    <t>PI-07-10</t>
  </si>
  <si>
    <t>PI-07-08</t>
  </si>
  <si>
    <t>PI-07-09</t>
  </si>
  <si>
    <t>IM-07-05</t>
  </si>
  <si>
    <t>IM-07-06</t>
  </si>
  <si>
    <t>IM-07-08</t>
  </si>
  <si>
    <t>IM-07-09</t>
  </si>
  <si>
    <t>PI-08-01</t>
  </si>
  <si>
    <t>IM-08-01</t>
  </si>
  <si>
    <t>PI-08-02</t>
  </si>
  <si>
    <t>PI-08-03</t>
  </si>
  <si>
    <t>PI-08-04</t>
  </si>
  <si>
    <t>IM-08-02</t>
  </si>
  <si>
    <t>PI-08-05</t>
  </si>
  <si>
    <t>IM-08-03</t>
  </si>
  <si>
    <t>PI-08-06</t>
  </si>
  <si>
    <t>CMS-ACF IM-08-01</t>
  </si>
  <si>
    <t>PI-08-07</t>
  </si>
  <si>
    <t>PI-09-01</t>
  </si>
  <si>
    <t>PI-09-02</t>
  </si>
  <si>
    <t>IM-09-01</t>
  </si>
  <si>
    <t>PI-09-03</t>
  </si>
  <si>
    <t>PI-09-04</t>
  </si>
  <si>
    <t>PI-09-05</t>
  </si>
  <si>
    <t>PI-09-07</t>
  </si>
  <si>
    <t>PI-09-06</t>
  </si>
  <si>
    <t>IM-09-02</t>
  </si>
  <si>
    <t>PI-09-09</t>
  </si>
  <si>
    <t>PI-09-10</t>
  </si>
  <si>
    <t>IM-09-03</t>
  </si>
  <si>
    <t>PI-09-11</t>
  </si>
  <si>
    <t>PI-09-08</t>
  </si>
  <si>
    <t>duplicate word file not included in count</t>
  </si>
  <si>
    <t>PI-10-01</t>
  </si>
  <si>
    <t>IM-10-01</t>
  </si>
  <si>
    <t>PI-10-02</t>
  </si>
  <si>
    <t>PI-10-03</t>
  </si>
  <si>
    <t>PI-10-04</t>
  </si>
  <si>
    <t>PI-10-05</t>
  </si>
  <si>
    <t>PI-10-06</t>
  </si>
  <si>
    <t>PI-10-07</t>
  </si>
  <si>
    <t>PI-10-08</t>
  </si>
  <si>
    <t>PI-10-09</t>
  </si>
  <si>
    <t>PI-10-10</t>
  </si>
  <si>
    <t>PI-10-11</t>
  </si>
  <si>
    <t>PI-10-12</t>
  </si>
  <si>
    <t>IM-10-02</t>
  </si>
  <si>
    <t>ACF-CMS-FNS IM-11-18</t>
  </si>
  <si>
    <t>PI-10-13</t>
  </si>
  <si>
    <t>PI-10-14</t>
  </si>
  <si>
    <t>PI-11-01</t>
  </si>
  <si>
    <t>IM-11-01</t>
  </si>
  <si>
    <t>PI-11-02</t>
  </si>
  <si>
    <t>IM-11-02</t>
  </si>
  <si>
    <t>PI-11-03</t>
  </si>
  <si>
    <t>PI-11-04</t>
  </si>
  <si>
    <t>PI-11-05</t>
  </si>
  <si>
    <t>PI-11-06</t>
  </si>
  <si>
    <t>PI-11-07</t>
  </si>
  <si>
    <t>IM-11-04</t>
  </si>
  <si>
    <t>PI-11-08</t>
  </si>
  <si>
    <t>IM-11-05</t>
  </si>
  <si>
    <t>IM-11-06</t>
  </si>
  <si>
    <t>PI-11-09</t>
  </si>
  <si>
    <t>IM-12-01</t>
  </si>
  <si>
    <t>PI-12-01</t>
  </si>
  <si>
    <t>PI-12-02</t>
  </si>
  <si>
    <t>IM-12-02</t>
  </si>
  <si>
    <t>PI-12-03</t>
  </si>
  <si>
    <t>PI-12-04</t>
  </si>
  <si>
    <t>IM-12-03</t>
  </si>
  <si>
    <t>PI-12-06</t>
  </si>
  <si>
    <t>PI-12-05</t>
  </si>
  <si>
    <t>IM-12-04</t>
  </si>
  <si>
    <t>PI-12-07</t>
  </si>
  <si>
    <t>IM-12-05</t>
  </si>
  <si>
    <t>CFSR Technical Bulletin #1 Implementation Training</t>
  </si>
  <si>
    <t>IM-12-06</t>
  </si>
  <si>
    <t>IM-12-07</t>
  </si>
  <si>
    <t>IM-12-08</t>
  </si>
  <si>
    <t>PI-13-01</t>
  </si>
  <si>
    <t>PI-13-02</t>
  </si>
  <si>
    <t>PI-13-04</t>
  </si>
  <si>
    <t>excel file not included in count</t>
  </si>
  <si>
    <t>PI-13-03</t>
  </si>
  <si>
    <t>PI-13-05</t>
  </si>
  <si>
    <t>IM-13-01</t>
  </si>
  <si>
    <t>IM plus 1 attachment</t>
  </si>
  <si>
    <t>ACF-OA-PI-13-01</t>
  </si>
  <si>
    <t>Am I eligible for a scholarship for post-secondary education (college, trade school, etc.)?</t>
  </si>
  <si>
    <t>FAQ</t>
  </si>
  <si>
    <t>At what age can a child be left home alone?</t>
  </si>
  <si>
    <t>How can I find my birth parents or birth relatives?</t>
  </si>
  <si>
    <t>How can I learn about grants funded by the Children’s Bureau? How can I apply for a discretionary grant?</t>
  </si>
  <si>
    <t>How can I locate specific products and information about discretionary grants developed by the Children's Bureau's discretionary grantees?</t>
  </si>
  <si>
    <t>How do I adopt a child from a foreign country?</t>
  </si>
  <si>
    <t>How do I adopt a child living in another state? How do I adopt across state lines?</t>
  </si>
  <si>
    <t>I am thinking about adopting through a private domestic agency but am concerned about the costs. Where can I get information about available loans and grants?</t>
  </si>
  <si>
    <t>I don’t like the way child protective services (CPS) handled my case. What can I do?</t>
  </si>
  <si>
    <t>I want to adopt a child from foster care. Am I eligible for adoption assistance (also called adoption subsidy)?</t>
  </si>
  <si>
    <t>I want to adopt. What are the requirements? How do I find a reputable adoption agency?</t>
  </si>
  <si>
    <t>What are the adoption laws in my state? How do I find out about my state laws governing adoption (e.g., consent to adopt; who can adopt, etc.)?</t>
  </si>
  <si>
    <t>What are the requirements to adopt a child from foster care?</t>
  </si>
  <si>
    <t>What are the signs or symptoms of child abuse or neglect?</t>
  </si>
  <si>
    <t>What is an adoption home study? What type of information is included in it?</t>
  </si>
  <si>
    <t>What is child abuse and neglect? How does my state define child abuse and neglect?</t>
  </si>
  <si>
    <t>What should I do if I suspect child abuse and/or neglect?</t>
  </si>
  <si>
    <t>IM-13-02</t>
  </si>
  <si>
    <t>PI-13-06</t>
  </si>
  <si>
    <t>PI-14-01</t>
  </si>
  <si>
    <t>IM-14-01</t>
  </si>
  <si>
    <t>PI-14-02</t>
  </si>
  <si>
    <t>PI-14-04</t>
  </si>
  <si>
    <t>extra excel file not included in count</t>
  </si>
  <si>
    <t>PI-14-03</t>
  </si>
  <si>
    <t>PI-14-05</t>
  </si>
  <si>
    <t>IM-14-02</t>
  </si>
  <si>
    <t>Can I make an anonymous report of abuse?</t>
  </si>
  <si>
    <t>What is Child Abuse Prevention Month? When is it?</t>
  </si>
  <si>
    <t>What is National Adoption Month? When is it?</t>
  </si>
  <si>
    <t>IM-14-03</t>
  </si>
  <si>
    <t>IM-14-04</t>
  </si>
  <si>
    <t>FYSB-IM-14-01</t>
  </si>
  <si>
    <t>PI-14-06</t>
  </si>
  <si>
    <t>PI plus 1 attachment</t>
  </si>
  <si>
    <t>IM-15-01</t>
  </si>
  <si>
    <t>IM-15-02</t>
  </si>
  <si>
    <t>PI-15-01</t>
  </si>
  <si>
    <t>PI-15-02</t>
  </si>
  <si>
    <t>PI-15-03</t>
  </si>
  <si>
    <t>PI-15-04</t>
  </si>
  <si>
    <t>IM-15-03</t>
  </si>
  <si>
    <t>PI-15-06</t>
  </si>
  <si>
    <t>PI-15-05</t>
  </si>
  <si>
    <t>PI-15-07</t>
  </si>
  <si>
    <t>PI plus 4 attachments</t>
  </si>
  <si>
    <t>IM-15-04</t>
  </si>
  <si>
    <t>IM-15-05</t>
  </si>
  <si>
    <t>PI-15-08</t>
  </si>
  <si>
    <t>PI plus 3 attachments</t>
  </si>
  <si>
    <t>IM-15-06</t>
  </si>
  <si>
    <t>IM-15-07</t>
  </si>
  <si>
    <t>IM-15-08</t>
  </si>
  <si>
    <t>PI-15-09</t>
  </si>
  <si>
    <t>Revised form for reporting financial information on the title IV-E Foster Care, Adoption Assistance and Guardianship Assistance Programs</t>
  </si>
  <si>
    <t>PI plus 2 attachments (2 additional attachments not available)</t>
  </si>
  <si>
    <t>PI-15-10</t>
  </si>
  <si>
    <t>Basis for allotment of grants to tribes under title IV- B, subparts 1 and 2 of the Social Security Act</t>
  </si>
  <si>
    <t>PI-16-01</t>
  </si>
  <si>
    <t>Availability of Fiscal Year (FY) 2016 Children's Justice Act Grants to States Under the Child Abuse Prevention and Treatment Act (CAPTA)</t>
  </si>
  <si>
    <t>PI-16-02</t>
  </si>
  <si>
    <t>Availability of Federal Fiscal Year 2016 funds under the Community-Based Grants for the Prevention of Child Abuse and Neglect</t>
  </si>
  <si>
    <t>IM-16-01</t>
  </si>
  <si>
    <t>Notice of Supplemental Proposed Rulemaking for collecting and reporting additional data elements related to the Indian Child Welfare Act of 1978 in the AFCARS</t>
  </si>
  <si>
    <t>PI-16-03</t>
  </si>
  <si>
    <t>Summary of the actions required for states to complete and submit the second APSR to the 2015-2019 CFSP, the CAPTA Update, and the CFS-101, Parts I, II, and III</t>
  </si>
  <si>
    <t>extra excel files not included in count</t>
  </si>
  <si>
    <t>PI-16-04</t>
  </si>
  <si>
    <t>Summary of the actions required for tribes to complete and submit the second APSR to the 2015-2019 CFSP, the CAPTA Update, and the CFS-101, Parts I, II, and III</t>
  </si>
  <si>
    <t>IM-16-02</t>
  </si>
  <si>
    <t>CCWIS final rule authorized under Title IV -E of the Social Security Act</t>
  </si>
  <si>
    <t>How do I find out if my name is on the State Child Abuse and Neglect Registry? How do I get my child abuse record expunged?</t>
  </si>
  <si>
    <t>How many children are adopted in the United States?</t>
  </si>
  <si>
    <t>I am concerned that current legislation does not protect the rights of families involved with the child protection system. How can I advocate for new laws?</t>
  </si>
  <si>
    <t>I am currently raising my grandchildren/relatives. Do I qualify for any financial assistance?</t>
  </si>
  <si>
    <t>IM-16-03</t>
  </si>
  <si>
    <t>Executive’s Guide to CCWIS</t>
  </si>
  <si>
    <t>IM-16-04</t>
  </si>
  <si>
    <t>CCWIS Notice of Intent Checklist Template</t>
  </si>
  <si>
    <t>IM plus 2 attachments</t>
  </si>
  <si>
    <t>IM-16-05</t>
  </si>
  <si>
    <t>New Legislation - Public Law 114-198, the Comprehensive Addiction and Recovery Act of 2016</t>
  </si>
  <si>
    <t>IM-16-06</t>
  </si>
  <si>
    <t>CCWIS Overview for State and Tribal IT Staff</t>
  </si>
  <si>
    <t>PI-16-05</t>
  </si>
  <si>
    <t>Instructions for State Courts Applying for Court Improvement Program (CIP) Funds for Fiscal Years (FYs) 2017-2021</t>
  </si>
  <si>
    <t>PI plus 4 attachments (2 additional attachments not available)</t>
  </si>
  <si>
    <t>IM-16-07</t>
  </si>
  <si>
    <t>Advance Planning Document (APD) Checklist for Automated Functions (optional)</t>
  </si>
  <si>
    <t>IM-17-01</t>
  </si>
  <si>
    <t>Adoption and Foster Care Analysis and Reporting System (AFCARS) final rule</t>
  </si>
  <si>
    <t>PI-17-01</t>
  </si>
  <si>
    <t>National Youth in Transition Database (NYTD) Reviews</t>
  </si>
  <si>
    <t>PI plus 2 attachments</t>
  </si>
  <si>
    <t>IM-17-02</t>
  </si>
  <si>
    <t>High Quality Legal Representation for All Parties in Child Welfare Proceedings</t>
  </si>
  <si>
    <t>PI-17-02</t>
  </si>
  <si>
    <t>Guidance on amendments made to the Child Abuse Prevention and Treatment Act (CAPTA) by Public Law 114-198, the Comprehensive Addiction and Recovery Act of 2016</t>
  </si>
  <si>
    <t>PI-17-04</t>
  </si>
  <si>
    <t>Summary of the actions required to complete and submit the APSR and the CFS-101, Parts I, II, and III.</t>
  </si>
  <si>
    <t>PI-17-05</t>
  </si>
  <si>
    <t>Summary of the actions required in completion and submission of (1) the third APSR update to the 2015-2019 CFSP, (2) the CAPTA Update, and (3) the CFS-101, Parts I, II, and III.</t>
  </si>
  <si>
    <t>PI-17-06</t>
  </si>
  <si>
    <t>Availability of Federal Fiscal Year (FFY) 2017 funds under the Community-Based Grants for the Prevention of Child Abuse and Neglect program</t>
  </si>
  <si>
    <t>IM-17-04</t>
  </si>
  <si>
    <t>Title IV-E Child Welfare Demonstration Project Requests for Extensions – Procedures and Criteria</t>
  </si>
  <si>
    <t>IM-17-05</t>
  </si>
  <si>
    <t>Title IV-E Adoption Assistance “Applicable Child” Eligibility Criteria</t>
  </si>
  <si>
    <t>CCWIS Technical Bulletin #2</t>
  </si>
  <si>
    <t>Data Sharing Between CCWIS and Child Welfare Contributing Agencies</t>
  </si>
  <si>
    <t>Guide to the NYTD Review Transmittal Letter</t>
  </si>
  <si>
    <t>PI-18-01</t>
  </si>
  <si>
    <t>Summary of the actions required in completion and submission of (1) the fourth APSR update to the 2015-2019 CFSP, (2) the CAPTA Update, and (3) the CFS-101, Parts I, II, and III.</t>
  </si>
  <si>
    <t>PI-18-02</t>
  </si>
  <si>
    <t>PI-18-04</t>
  </si>
  <si>
    <t>Availability of Federal Fiscal Year (FFY) 2018 funds under the Community-Based Grants for the Prevention of Child Abuse and Neglect program</t>
  </si>
  <si>
    <t>PI-18-03</t>
  </si>
  <si>
    <t>Availability of Fiscal Year (FY) 2018 Children's Justice Act Grants to States Under the Child Abuse Prevention and Treatment Act (CAPTA)</t>
  </si>
  <si>
    <t>IM-18-01</t>
  </si>
  <si>
    <t>Adoption and Foster Care Analysis and Reporting System (AFCARS) Advance Notice of Proposed Rulemaking (ANPRM) and Notice of Proposed Rulemaking (NPRM)</t>
  </si>
  <si>
    <t>IM-18-02</t>
  </si>
  <si>
    <t>NEW LEGISLATION – Public Law 115-123, the Family First Prevention Services Act within Division E, Title VII of the Bipartisan Budget Act of 2018</t>
  </si>
  <si>
    <t>PI-18-05</t>
  </si>
  <si>
    <t>Fiscal Year 2018 Funding Available for Developing, Enhancing or Evaluating Kinship Navigator Programs</t>
  </si>
  <si>
    <t>duplicate PDF file attachment not included in count</t>
  </si>
  <si>
    <t>PI-18-06</t>
  </si>
  <si>
    <t>Additional information and instructions for the Annual Progress and Services Report</t>
  </si>
  <si>
    <t>How many children are abused and neglected each year?</t>
  </si>
  <si>
    <t>PI-18-07</t>
  </si>
  <si>
    <t>Public Law 115-123, the Family First Prevention Services Act</t>
  </si>
  <si>
    <t>PI-18-08</t>
  </si>
  <si>
    <t>Change in Expenditure Period Length for Children’s Justice Act Grant Funds</t>
  </si>
  <si>
    <t>IM-18-03</t>
  </si>
  <si>
    <t>Adoption and Foster Care Analysis and Reporting System (AFCARS) Final Rule regarding implementation of the Dec. 2016 final rule and Intent to issue a Notice of Proposed Rulemaking</t>
  </si>
  <si>
    <t>CCWIS Technical Bulletin #4</t>
  </si>
  <si>
    <t>Advance Planning Document Guidance for Agile Projects</t>
  </si>
  <si>
    <t>IM-18-04</t>
  </si>
  <si>
    <t>FY 2018 funding for state title IV-E/IV-B agencies to develop an electronic interstate case processing system</t>
  </si>
  <si>
    <t>IM-18-05</t>
  </si>
  <si>
    <t>Strengthening Families Through Primary Prevention of Child Maltreatment and Unnecessary Parent-Child Separation</t>
  </si>
  <si>
    <t>CCWIS Technical Bulletin #5</t>
  </si>
  <si>
    <t>CCWIS Cost Allocation</t>
  </si>
  <si>
    <t>Technical Bulletin #6: Data Quality Plan</t>
  </si>
  <si>
    <t>Comprehensive Child Welfare Information System (CCWIS)</t>
  </si>
  <si>
    <t>Other</t>
  </si>
  <si>
    <t>Notice of biennial publication of allotment percentages for States under the Title IV–B subpart 1, Stephanie Tubbs Jones Child Welfare Services Program (Volume 83, Number 230)</t>
  </si>
  <si>
    <t>"Laws &amp; Regulations"</t>
  </si>
  <si>
    <t>PI-18-10</t>
  </si>
  <si>
    <t>Tribal Title IV-E Agency Requirements for Electing Title IV-E Prevention and Family Services and Programs</t>
  </si>
  <si>
    <t>duplicate PDF files and word attachments not included in count</t>
  </si>
  <si>
    <t>PI-18-11</t>
  </si>
  <si>
    <t>Requirements for Participating in the Title IV-E Kinship Navigator Program</t>
  </si>
  <si>
    <t>PI-18-12</t>
  </si>
  <si>
    <t>Approval of a revised form for reporting financial data on the title IV-E Foster Care, Adoption Assistance, Guardianship Assistance, Kinship Navigator and Prevention Services Programs</t>
  </si>
  <si>
    <t>PI-18-09</t>
  </si>
  <si>
    <t>State Requirements for Electing Title IV-E Prevention and Family Services and Programs</t>
  </si>
  <si>
    <t>Dear Colleague Letter (DCL)</t>
  </si>
  <si>
    <t>Letter to Update Child Welfare Directors on the Title IV-E Prevention Services Clearinghouse</t>
  </si>
  <si>
    <t>PI-19-01</t>
  </si>
  <si>
    <t>Federal Fiscal Year 2019 Title IV-B, subpart 2 Funding Available for Developing, Enhancing or Evaluating Kinship Navigator Programs</t>
  </si>
  <si>
    <t>duplicate PDF files attachments not included in count</t>
  </si>
  <si>
    <t>Field Guidance (FG)</t>
  </si>
  <si>
    <t>Tribal Federal Medical Assistance Percentage Look-Up Table for FY 2019</t>
  </si>
  <si>
    <t>landing page plus attachment</t>
  </si>
  <si>
    <t>Tribal Federal Medical Assistance Percentage Reference Table for FYs 2018-2019</t>
  </si>
  <si>
    <t>IM-19-01</t>
  </si>
  <si>
    <t>National Model Foster Family Home Licensing Standards</t>
  </si>
  <si>
    <t>PI-19-02</t>
  </si>
  <si>
    <t>Summary of the actions required in completion and submission of (1) the Child and Family Services Plan (CFSP) Final Report and CAPTA Update FYs 2015-2019, (2) the CFSP for FYs 2020-2024, and (3) the CFS-101, Parts I, II, and III.</t>
  </si>
  <si>
    <t>Children’s Bureau Tribal Consultation Response: Tribal Consultation for the Title IV-E Prevention Services Program</t>
  </si>
  <si>
    <t>CCWIS Status at the End of Transition Period (July 31, 2018)</t>
  </si>
  <si>
    <t>PI-19-03</t>
  </si>
  <si>
    <t>Availability of Fiscal Year (FY) 2019 Children's Justice Act Grants to States Under the Child Abuse Prevention and Treatment Act (CAPTA)</t>
  </si>
  <si>
    <t>Does not come up under PI on website</t>
  </si>
  <si>
    <t>PI-19-04</t>
  </si>
  <si>
    <t>Summary of actions required to complete and submit the (1) Final Report for FYs 2015-2019; (2) the new CFSP for FYs 2020- 2024; and (3) the CFS-101, Parts I, II, and III.</t>
  </si>
  <si>
    <t>PI-19-05</t>
  </si>
  <si>
    <t>Availability of fiscal year (FY) 2019 funds under the Community-Based Grants for the Prevention of Child Abuse and Neglect</t>
  </si>
  <si>
    <t>IM-19-02</t>
  </si>
  <si>
    <t>Notice of Proposed Rulemaking (NPRM) on revised AFCARS data elements</t>
  </si>
  <si>
    <t>Questions and Answers – AFCARS NPRM</t>
  </si>
  <si>
    <t>Checklist for 2021 Annual Progress and Services Review Reports (APSRs) Due June 30, 2020 (Based on ACF-ACYF-CB-PI-20-02)</t>
  </si>
  <si>
    <t>How do I report photos and videos of child maltreatment and/or child sexual abuse on social media networks and other online/internet platforms?</t>
  </si>
  <si>
    <t>Print to PDF count used for FAQ</t>
  </si>
  <si>
    <t>What is child sex trafficking/child labor trafficking? How do I report it?</t>
  </si>
  <si>
    <t>I am concerned for a friend in my school/neighborhood who may be abused. How do I help him/her?</t>
  </si>
  <si>
    <t>I need legal representation, but I do not have the financial means to pay legal fees. Where can I find legal help?</t>
  </si>
  <si>
    <t>Is there a link between parental drug use and the prevalence of child maltreatment and/or the increase in the number of children in foster care?</t>
  </si>
  <si>
    <t>My child is being bullied and/or abused in school and the school administration is downplaying the issue; what can I do?</t>
  </si>
  <si>
    <t>What advocacy groups and organizations are available for families involved in the child welfare system?</t>
  </si>
  <si>
    <t>PI-19-06</t>
  </si>
  <si>
    <t>Transitional Payments for the Title IV-E Prevention and Family Services and Programs</t>
  </si>
  <si>
    <t>IM-19-03</t>
  </si>
  <si>
    <t>Engaging, empowering, and utilizing family and youth voice in all aspects of child welfare to drive case planning and system improvement.</t>
  </si>
  <si>
    <t>CFSR Round 3 Statewide Data Indicator Data Dictionary 2019</t>
  </si>
  <si>
    <t>Instructions to Run Data Quality (DQ) Checks and Observed Performance Syntax for Statewide Data Indicators</t>
  </si>
  <si>
    <t>CFSR Technical Bulletin #10</t>
  </si>
  <si>
    <t>IM-19-04</t>
  </si>
  <si>
    <t>Evaluation Plan Development Tip Sheet</t>
  </si>
  <si>
    <t>Tribal Federal Medical Assistance Percentage Look-Up Table for FY 2020</t>
  </si>
  <si>
    <t>Tribal Federal Medical Assistance Percentage Reference Table for FY 2020</t>
  </si>
  <si>
    <t>Title IV-E Foster Care Eligibility Reviews 2020 Schedule</t>
  </si>
  <si>
    <t>NCANDS Child File Codebook</t>
  </si>
  <si>
    <t>NCANDS Agency File Codebook</t>
  </si>
  <si>
    <t>PI-19-07</t>
  </si>
  <si>
    <t>Transitional Payments for the Title IV-E Kinship Navigator Programs</t>
  </si>
  <si>
    <t>PI-20-01</t>
  </si>
  <si>
    <t>Supplemental Disaster Relief Funding available under Title IV-B, Subpart 1 of the Act</t>
  </si>
  <si>
    <t>Tribal Federal Medical Assistance Percentage Look-Up Table for FY 2021</t>
  </si>
  <si>
    <t>Tribal Federal Medical Assistance Percentage Reference Table for FY 2021</t>
  </si>
  <si>
    <t>IM-20-01</t>
  </si>
  <si>
    <t>NEW LEGISLATION – Public Law (P.L.) 116-94 Family First Transition Act</t>
  </si>
  <si>
    <t>PI-20-02</t>
  </si>
  <si>
    <t>Summary of the actions required for submission of states' Annual Progress and Services Report (APSR) for fiscal year 2021, the Child Abuse Prevention and Treatment Act (CAPTA) State Plan update, and the CFS-101, Part I, II, and III.</t>
  </si>
  <si>
    <t>duplicate PDF file and excel attachments not included in count</t>
  </si>
  <si>
    <t>IM-20-02</t>
  </si>
  <si>
    <t>Family time and visitation for children and youth in out-of-home care</t>
  </si>
  <si>
    <t>PI-20-03</t>
  </si>
  <si>
    <t>Summary of the actions required for submission of tribes’ Annual Progress and Services Report (APSR) for fiscal year 2021, and the CFS-101, Part I, II, and III.</t>
  </si>
  <si>
    <t>duplicate PDF files and excel attachments not included in count</t>
  </si>
  <si>
    <t>IM-20-03</t>
  </si>
  <si>
    <t>Strengthening Technology Support for Recruitment, Approval, and Retention of Foster Homes</t>
  </si>
  <si>
    <t>CFSR Technical Bulletin #11</t>
  </si>
  <si>
    <t>IM-20-04</t>
  </si>
  <si>
    <t>Information on the updated method to calculate state and tribal funding under the John H. Chafee Foster Care Program for Successful Transition to Adulthood (Chafee) program.</t>
  </si>
  <si>
    <t>CFSR Round 3 Statewide Data Indicator Data Dictionary 2020</t>
  </si>
  <si>
    <t>PI-20-04</t>
  </si>
  <si>
    <t>Family First Prevention Services Act Transition Grants</t>
  </si>
  <si>
    <t>PI-20-05</t>
  </si>
  <si>
    <t>Federal Fiscal Year 2020 Title IV-B, subpart 2 Funding Available to Develop and Enhance or to Evaluate Kinship Navigator Programs</t>
  </si>
  <si>
    <t>PI-20-06</t>
  </si>
  <si>
    <t>Availability of Fiscal Year (FY) 2020 Children's Justice Act Grants to States Under the Child Abuse Prevention and Treatment Act (CAPTA)</t>
  </si>
  <si>
    <t>The FFPSA Title IV-E Prevention Program Implementation Updates</t>
  </si>
  <si>
    <t>PI-20-07</t>
  </si>
  <si>
    <t>Availability of fiscal year (FY) 2020 funds under the Community-Based Grants for the Prevention of Child Abuse and Neglect program</t>
  </si>
  <si>
    <t>HHS Division Updates on COVID-19</t>
  </si>
  <si>
    <t>Guidance on Flexible Convening of Court Hearings During COVID-19</t>
  </si>
  <si>
    <t>A Joint Statement on Child Welfare Courts During a Public Health Crisis: Access to Justice and Advocacy Are Critical Anchors During Uncertain Times</t>
  </si>
  <si>
    <t>PI-20-09</t>
  </si>
  <si>
    <t>Updates to Formula Grant Opportunities Related to COVID-19 Pandemic</t>
  </si>
  <si>
    <t>IM-20-05</t>
  </si>
  <si>
    <t>NEW LEGISLATION – Public Law (P.L.) 116-127, Section 6008 of the Families First Coronavirus Response Act, and P.L. 116-136, Section 3720 and Title VIII of Division B of the Coronavirus Aid, Relief, and Economic Security Act</t>
  </si>
  <si>
    <t>Postponement of Title IV-E Foster Care Eligibility Reviews and National Youth in Transition Database Reviews</t>
  </si>
  <si>
    <t>Use of Court Improvement Programs to Assist Dependency Courts in Response to COVID-19</t>
  </si>
  <si>
    <t>Guidance Regarding Fingerprint and Caseworker Visit Requirements During COVID-19 Response</t>
  </si>
  <si>
    <t>PI-20-08</t>
  </si>
  <si>
    <t>Family First Transition Act Funding Certainty Grants</t>
  </si>
  <si>
    <t>Guidance About Seeking Personal Protective Equipment for Child Welfare Workers</t>
  </si>
  <si>
    <t>Letter From the Children’s Bureau Regarding the Use of Federal Funds for Cell Phones and Personal Protective Equipment</t>
  </si>
  <si>
    <t>Letter to Governors Regarding Personal Protective Equipment for Child Welfare Workers</t>
  </si>
  <si>
    <t>Children’s Bureau Letter Regarding Existing Title IV-E Flexibility</t>
  </si>
  <si>
    <t>IM-20-06</t>
  </si>
  <si>
    <t>Foster Care as a Support to Families</t>
  </si>
  <si>
    <t>PI-20-10</t>
  </si>
  <si>
    <t>Stafford Act Flexibility for Certain Title IV-E Requirements Related to Extended Title IV-E Eligibility, Licensing, and Foster Care Placements</t>
  </si>
  <si>
    <t>IM-20-07</t>
  </si>
  <si>
    <t>2020 Final Rule on Revised AFCARS Data Elements</t>
  </si>
  <si>
    <t>Children’s Bureau Guidance Regarding Extended Foster Care During the COVID-19 Pandemic</t>
  </si>
  <si>
    <t>Joint Letter to Family Support, Maternal and Child Health, and Early Childhood Programs on Strategies During COVID-19 Pandemic</t>
  </si>
  <si>
    <t>Letter from Jerry Milner: CFSR PIP Measurement - Non-Overlapping Evaluation Period</t>
  </si>
  <si>
    <t>PI-20-11</t>
  </si>
  <si>
    <t>Supplemental funding under Title IV-B, Subpart 1 of the Act to prevent, prepare for, or respond to, Coronavirus Disease 2019 (COVID-19).</t>
  </si>
  <si>
    <t>duplicate extra word file not included in count</t>
  </si>
  <si>
    <t>Letter Addresses Concerns Regarding Terminating Parental Rights Due to Service Delivery Interruptions</t>
  </si>
  <si>
    <t>CFSR Technical Bulletin #12</t>
  </si>
  <si>
    <t>AFCARS 2.1 Questions and Answers</t>
  </si>
  <si>
    <t>2 total documents - slides and transcript page total</t>
  </si>
  <si>
    <t>CFSP/APSR Reporting Schedule for States and Tribes</t>
  </si>
  <si>
    <t>Letter to Child Welfare Leaders Regarding Roundtable Discussions With Youth In or Formerly in Foster Care</t>
  </si>
  <si>
    <t>Letter to Child Welfare Leaders About Title IV-E Prevention Program Flexibilities Due to Pandemic</t>
  </si>
  <si>
    <t>AFCARS Technical Bulletin #20 - Questions and Answers</t>
  </si>
  <si>
    <t>slides</t>
  </si>
  <si>
    <t>Ensuring the Continuation of Critical Court Hearings During Covid-19</t>
  </si>
  <si>
    <t>Letter From the Children’s Bureau Regarding the Foster Youth to Independence Initiative</t>
  </si>
  <si>
    <t>PI-20-12</t>
  </si>
  <si>
    <t>Instructions for State Courts on Submitting New Five-Year Strategic Plan for FY 2022 – 2026 and Applying for Court Improvement Program (CIP) Funds for Fiscal Year (FY) 2022</t>
  </si>
  <si>
    <t>duplicate extra word files not included in count</t>
  </si>
  <si>
    <t>PI-20-13</t>
  </si>
  <si>
    <t>Summary of requirements for the State Annual Progress and Services Report to the Child and Family Services Plan for Title IV-B, Chafee and Education and Training Vouchers Programs and the CFS-101 forms.</t>
  </si>
  <si>
    <t>PI-20-14</t>
  </si>
  <si>
    <t>Summary of requirements for the Tribal Annual Progress and Services Report to the Child and Family Services Plan for Title IV-B, Chafee and Education and Training Vouchers Programs and the CFS-101 forms.</t>
  </si>
  <si>
    <t>IM-20-08</t>
  </si>
  <si>
    <t>Use of Title IV-E Programmatic Options to Improve Support to Relative Caregivers and the Children in Their Care.</t>
  </si>
  <si>
    <t>IM-21-01</t>
  </si>
  <si>
    <t>Achieving Permanency for the Well-being of Children and Youth</t>
  </si>
  <si>
    <t>IM-21-02</t>
  </si>
  <si>
    <t>Civil Legal Advocacy to Promote Child and Family Well-being, Address the Social Determinants of Health, and Enhance Community Resilience</t>
  </si>
  <si>
    <t>IM-21-05</t>
  </si>
  <si>
    <t>New Legislation Affecting Child Welfare Services: Division X and Section 305 of the Consolidated Appropriations Act, 2021</t>
  </si>
  <si>
    <t>IM-21-06</t>
  </si>
  <si>
    <t>Utilizing Title IV-E Funding to Support High-Quality Legal Representation and Promote Child and Family Well-Being</t>
  </si>
  <si>
    <t>Tribal Federal Medical Assistance Percentage Look-Up Table for FY 2022</t>
  </si>
  <si>
    <t>Tribal Federal Medical Assistance Percentage Reference Table for FYs 2021-2022</t>
  </si>
  <si>
    <t>PI-21-02</t>
  </si>
  <si>
    <t>Changes to the Court Improvement Program and Updated Instructions on Submitting New 5-Year Strategic Plans and Applying for Funds</t>
  </si>
  <si>
    <t>PI-21-01</t>
  </si>
  <si>
    <t>Availability of Fiscal Year 2021 Children's Justice Act Grants to States</t>
  </si>
  <si>
    <t>PI-21-03</t>
  </si>
  <si>
    <t>Fiscal Year 2021 Funds for the Community-Based Child Abuse Prevention Program</t>
  </si>
  <si>
    <t>PI-21-04</t>
  </si>
  <si>
    <t>Guidance and instruction related to the Supporting Foster Youth and Families through the Pandemic Act</t>
  </si>
  <si>
    <t>PI-21-05</t>
  </si>
  <si>
    <t>Temporary Flexibilities for Participating in the Title IV-E Kinship Navigator Program</t>
  </si>
  <si>
    <t>CCWIS Technical Bulletin #7</t>
  </si>
  <si>
    <t>TB plus 15 attachments (1 additional excel file attachment not included in count total); Technical Assistance, Self-Assessment Tools, and Monitoring Reviews</t>
  </si>
  <si>
    <t>PI-21-06</t>
  </si>
  <si>
    <t>Fiscal Year 2021 Title IV-B, Subpart 2 Funding for Kinship Navigator Programs</t>
  </si>
  <si>
    <t>Policy Letter (PL)</t>
  </si>
  <si>
    <t>Letter to Child Welfare Directors about the economic impact of the Covid-19 pandemic</t>
  </si>
  <si>
    <t>Appendix 3 -Disaster Relief Flexibilities to Reduce Burden for Financial Assistance</t>
  </si>
  <si>
    <t>CFSR Round 3 Statewide Data Indicators Workbook</t>
  </si>
  <si>
    <t>PI-21-08</t>
  </si>
  <si>
    <t>Renewed Form for Title IV-E Programs Quarterly Financial Report</t>
  </si>
  <si>
    <t>PI plus 1 attachment (1 additional excel file attachment not included in count)</t>
  </si>
  <si>
    <t>What is National Foster Care Month? When is it?</t>
  </si>
  <si>
    <t>No PDF available (page count represents "Print to PDF" page number)</t>
  </si>
  <si>
    <t>How do I become a foster parent?</t>
  </si>
  <si>
    <t>My former spouse won’t let me visit with my children. What recourse do I have?</t>
  </si>
  <si>
    <t>What does it mean to be a legal guardian? Where can I find information?</t>
  </si>
  <si>
    <t>Where can I get information and financial help to open a foster or group home?</t>
  </si>
  <si>
    <t>What available supports and resources are in place for youth transitioning from foster care?</t>
  </si>
  <si>
    <t>I'm having problems with foster care services in my state. What should I do?</t>
  </si>
  <si>
    <t>I have been trying to get custody of my child, but I cannot afford to continue battling in court, and the judge seems to favor mothers. What recourse do I have?</t>
  </si>
  <si>
    <t>How do I change my current child custody/visitation arrangement?</t>
  </si>
  <si>
    <t>I lost my parental rights. How can I get my children back?</t>
  </si>
  <si>
    <t>I am concerned that my ex-wife's new husband/stepson is molesting my child; we share joint custody but the court does not believe me. What can I do?</t>
  </si>
  <si>
    <t>Where can I find answers about federal and tribal child welfare laws and policies applicable to state child welfare programs?</t>
  </si>
  <si>
    <t>I’m not allowed to visit with my grandchildren. What can I do?</t>
  </si>
  <si>
    <t>PI-21-09</t>
  </si>
  <si>
    <t>Definition of “Short-Term Support” under the Temporary Pandemic Flexibilities of Division X for Title IV-E Agencies Participating in the Title IV-E Kinship Navigator Program</t>
  </si>
  <si>
    <t>CCWIS Design Requirements and Self Assessment Tool</t>
  </si>
  <si>
    <t>Joint Letter to States Regarding Financial Assistance to Youth in or Formerly in Foster Care</t>
  </si>
  <si>
    <t>CCWIS Technical Bulletin #8</t>
  </si>
  <si>
    <t>CCWIS Data Exchange Standards</t>
  </si>
  <si>
    <t>Propuestas de Selección de Sitios</t>
  </si>
  <si>
    <t>No PDF or attachment (page count represents "print PDF" page count); Ronda 4 de las Revisiones de Servicios para Menores y Familias</t>
  </si>
  <si>
    <t>PI-22-02</t>
  </si>
  <si>
    <t>Actions Required for 2022 Tribal Submissions of APSR Updates; and Parts I, II, and III of the CFS-101</t>
  </si>
  <si>
    <t>PI-22-01</t>
  </si>
  <si>
    <t>Actions Required for 2022 State Submissions of APSR Updates; CAPTA State Plan Updates; and Parts I, II, and III of the CFS-101</t>
  </si>
  <si>
    <t>PI-22-03</t>
  </si>
  <si>
    <t>Instructions for State Courts on Applying for State Court Improvement Program (CIP) Funds for Fiscal Year (FY) 2023</t>
  </si>
  <si>
    <t>PI-22-04</t>
  </si>
  <si>
    <t>Availability of Fiscal Year (FY) 2022 Children's Justice Act Grants to States Under the Child Abuse Prevention and Treatment Act (CAPTA)</t>
  </si>
  <si>
    <t>PI-22-05</t>
  </si>
  <si>
    <t>Availability of fiscal year (FY) 2022 funds under the Community-Based Grants for the Prevention of Child Abuse and Neglect program created by Title II of the Child Abuse Prevention and Treatment Act (CAPTA) as amended by Public Law (P.L.) 115-271</t>
  </si>
  <si>
    <t>Tribal Federal Medical Assistance Percentage Look-Up Table for FY 2023</t>
  </si>
  <si>
    <t>Tribal Federal Medical Assistance Percentage Reference Table for FY 2023</t>
  </si>
  <si>
    <t>PI-22-06</t>
  </si>
  <si>
    <t>Federal Fiscal Year 2022 Title IV-B, subpart 2 Funding Available to Develop and Enhance or to Evaluate Kinship Navigator Programs</t>
  </si>
  <si>
    <t>State-Led CFSR Requirements and Benefits</t>
  </si>
  <si>
    <t>2 total documents; Translated document included in count</t>
  </si>
  <si>
    <t>IM-22-02</t>
  </si>
  <si>
    <t>Tribal Readiness Assessment Tool for Title IV-E (ACYF-CB-IM-22-02)</t>
  </si>
  <si>
    <t>Court Improvement Program</t>
  </si>
  <si>
    <t>Appendix A: State-Led Case Review Criteria</t>
  </si>
  <si>
    <t>2 total documents; Translated document included in count; Child and Family Services Reviews (CFSRs)</t>
  </si>
  <si>
    <t>CFSR Technical Bulletin #13A</t>
  </si>
  <si>
    <t>AFCARS 2020 Compliance and Penalties</t>
  </si>
  <si>
    <t>2 total documents</t>
  </si>
  <si>
    <t>Case Elimination Guidance</t>
  </si>
  <si>
    <t>2 total documents; Translated document included in count; Round 4 of the CFSRs</t>
  </si>
  <si>
    <t>CCWIS Technical Bulletin #9</t>
  </si>
  <si>
    <t>Comprehensive Child Welfare Information System Technical Bulletin #9: Identifying Information System Functions for the CCWIS Automated Function Checklist</t>
  </si>
  <si>
    <t>CFSR Process as Defined by Regulation (45 CFR 1355.31-37)</t>
  </si>
  <si>
    <t>Joint Letter Regarding the Assignment of Rights to Child Support for Children in Foster Care</t>
  </si>
  <si>
    <t>Hoja Informativa para Oficiales Elegidos</t>
  </si>
  <si>
    <t>Translated version of another document also included in separate row; Ronda 4 de las Revisiones de Servicios para Menores y Familias</t>
  </si>
  <si>
    <t>Data Dictionary - Statewide Data Indicators</t>
  </si>
  <si>
    <t>Reviewer Brief — Calculating 15 Out of 22 Months for the Purpose of Meeting Termination of Parental Rights Requirement</t>
  </si>
  <si>
    <t>Talking Points — Application of OSRI to Cases Open as Both In-Home Services and Foster Care During the Period Under Review</t>
  </si>
  <si>
    <t>Round 4 Guide for Writing “No” Narratives and Rationale Statements</t>
  </si>
  <si>
    <t>ACF-IM-22-01</t>
  </si>
  <si>
    <t>Responding to Human Trafficking among Children and Youth in Foster Care and Missing from Foster Care</t>
  </si>
  <si>
    <t>AFCARS 2020 New Technical Bulletins and Intro to NCWDMS</t>
  </si>
  <si>
    <t>AFCARS 2020 Implementation</t>
  </si>
  <si>
    <t>IM-23-01</t>
  </si>
  <si>
    <t>New Legislation — Public Law (P.L.) 117-328, §5131 of Division FF of the Consolidated Appropriations Act, 2023, Enacted December 29, 2022</t>
  </si>
  <si>
    <t>PI-23-01</t>
  </si>
  <si>
    <t>Program Instruction for the June 30, 2023 State submission of: (1) the fourth Annual Progress and Services Report (APSR); (2) the Child Abuse Prevention and Treatment Act (CAPTA) State Plan update; and (3) the CFS-101s</t>
  </si>
  <si>
    <t>PI-23-02</t>
  </si>
  <si>
    <t>Program Instruction for Tribes on the June 30, 2023 of the fourth Annual Progress and Services Report (APSR) and the CFS-101s</t>
  </si>
  <si>
    <t>PI-23-03</t>
  </si>
  <si>
    <t>Instructions for State Courts on Applying for State Court Improvement Program (CIP) Funds for Fiscal Year (FY) 2024</t>
  </si>
  <si>
    <t>PI plus 5 attachments</t>
  </si>
  <si>
    <t>IM-23-02</t>
  </si>
  <si>
    <t>Notice of Proposed Rulemaking (NPRM) on Separate Licensing Standards for Relative or Kinship Foster Family Homes</t>
  </si>
  <si>
    <t>PI-23-04</t>
  </si>
  <si>
    <t>Availability of Fiscal Year (FY) 2023 Children's Justice Act Grants to States Under the Child Abuse Prevention and Treatment Act (CAPTA)</t>
  </si>
  <si>
    <t>IM-23-03</t>
  </si>
  <si>
    <t>Comprehensive Child Welfare Information System (CCWIS) and Software Bills of Materials (SBOMs)</t>
  </si>
  <si>
    <t>Validation Technical Training Video</t>
  </si>
  <si>
    <t>count represents posted transcript pdf length</t>
  </si>
  <si>
    <t>PI-23-05</t>
  </si>
  <si>
    <t>Availability of fiscal year (FY) 2023 funds under the Community-Based Grants for the Prevention of Child Abuse and Neglect program created by Title II of the Child Abuse Prevention and Treatment Act (CAPTA) as amended by Public Law (P.L.) 115-271</t>
  </si>
  <si>
    <t>PI-23-06</t>
  </si>
  <si>
    <t>Title IV-E Foster Care Eligibility Reviews and Monitoring of Certain Provisions regarding the Family First Prevention Services Act</t>
  </si>
  <si>
    <t>Instructions for Completing the Title IV-E Foster Care Eligibility Review Instrument</t>
  </si>
  <si>
    <t>Title IV-E Foster Care Eligibility Review Guide</t>
  </si>
  <si>
    <t>Title IV-E Foster Care Eligibility Review Instrument</t>
  </si>
  <si>
    <t>PI-23-07</t>
  </si>
  <si>
    <t>Federal Fiscal Year 2023 Title IV-B, Subpart 2 Funding Available to Develop and Enhance or to Evaluate Kinship Navigator Programs</t>
  </si>
  <si>
    <t>XML Concepts Technical Training Video</t>
  </si>
  <si>
    <t>Tribal Federal Medical Assistance Percentage Look-Up Table for FY 2024</t>
  </si>
  <si>
    <t>Tribal Federal Medical Assistance Percentage Reference Table for FY 2024</t>
  </si>
  <si>
    <t>IM-23-04</t>
  </si>
  <si>
    <t>Changes to Medicaid eligibility for youth/young adults age 18 who transition out of foster care and move to a new state</t>
  </si>
  <si>
    <t>PI-23-08</t>
  </si>
  <si>
    <t>TITLE IV-E PLAN AMENDMENT– Public Law (P.L.) 117-348 – The Trafficking Victims Prevention and Protection Reauthorization Act of 2022</t>
  </si>
  <si>
    <t>IM-23-05</t>
  </si>
  <si>
    <t>End date for the flexibilities extended in response to the COVID-19 pandemic under the Robert T. Stafford Disaster Relief and Emergency Assistance Act (Stafford Act) for requirements under titles IV-B and IV-E of the Act</t>
  </si>
  <si>
    <t>CFSR Round 4 Program Improvement Plan Template</t>
  </si>
  <si>
    <t>Is this grant project for a specific region?</t>
  </si>
  <si>
    <t>Is there a suggested page length for the Project Narrative?</t>
  </si>
  <si>
    <t>Is this funding opportunity open to public and state institutions of higher education?</t>
  </si>
  <si>
    <t>How do I apply for this funding opportunity?</t>
  </si>
  <si>
    <t>PI-23-09</t>
  </si>
  <si>
    <t>Can our organization serve as the fiscal agent to a nonprofit partner agency that is interested in applying for this grant?</t>
  </si>
  <si>
    <t>Is the award ceiling $1,000,000 over 36 months or $1,000,000 per year for 36 months?</t>
  </si>
  <si>
    <t>We have some preliminary questions about the NOFO. Can we set up a call to discuss?</t>
  </si>
  <si>
    <t>Is the 15-percent evaluation requirement calculated from the total project budget or just the direct costs?</t>
  </si>
  <si>
    <t>If You Build It They Will Come: Lessons Learned Through the Implementation of Text and Chat Services for Youth</t>
  </si>
  <si>
    <t>Would it be possible to receive copies of successful past proposals to review?</t>
  </si>
  <si>
    <t>Can you tell me how many applicants have submitted letters of intent?</t>
  </si>
  <si>
    <t>How are complex needs defined?</t>
  </si>
  <si>
    <t>Are interventions limited to serving children, or can they also serve foster parents and other caregivers?</t>
  </si>
  <si>
    <t>Do interventions need to be evidence based?</t>
  </si>
  <si>
    <t>How do I submit a letter of intent?</t>
  </si>
  <si>
    <t>Title IV-E Foster Care Eligibility Reviews Schedules</t>
  </si>
  <si>
    <t>3 total documents</t>
  </si>
  <si>
    <t>NYTD FAQ - 2. Data Elements</t>
  </si>
  <si>
    <t>State Legal-Judicial Specialist</t>
  </si>
  <si>
    <t>Letter Regarding Reminders to State and Tribal Title IV-E agencies about the Social Security Representative Payee Program and the Title IVE Federal Foster Care Program</t>
  </si>
  <si>
    <t>CCWIS Technical Bulletin #10</t>
  </si>
  <si>
    <t>Low Code Solutions</t>
  </si>
  <si>
    <t>IM 23-06</t>
  </si>
  <si>
    <t>Notice of Proposed Rulemaking (NPRM) on Foster Care Legal Representation</t>
  </si>
  <si>
    <t>Second version not tagged as IM so appears twice in searches with this one that is tagged</t>
  </si>
  <si>
    <t>IM-23-07</t>
  </si>
  <si>
    <t>Final Rule on Separate Licensing Standards for Relative or Kinship Foster Family Homes</t>
  </si>
  <si>
    <t>Technical Bulletin #21 — XML File Structure and Encryption</t>
  </si>
  <si>
    <t>most recent date of TB used; system files not included in count</t>
  </si>
  <si>
    <t>PI-23-10</t>
  </si>
  <si>
    <t>Title IV-E Plan Amendment–Separate Licensing Standards for Relative or Kinship Foster Family Homes</t>
  </si>
  <si>
    <t>IM-23-09</t>
  </si>
  <si>
    <t>Interagency Collaboration between Child Welfare and Educational Agencies to Support the Academic Success of Children and Youth in Foster Care</t>
  </si>
  <si>
    <t>IM-23-10</t>
  </si>
  <si>
    <t>Automated Child Welfare Information System Options for Tribal Title IV-E Agencies</t>
  </si>
  <si>
    <t>PI-24-01</t>
  </si>
  <si>
    <t>Guidelines for conducting time-limited information technology demonstration projects (pilots) in a Comprehensive Child Welfare Information System (CCWIS) environment</t>
  </si>
  <si>
    <t>Tribal Federal Medical Assistance Percentage Reference Table for FY 2025</t>
  </si>
  <si>
    <t>Tribal Federal Medical Assistance Percentage Look-Up Table for FY 2025</t>
  </si>
  <si>
    <t>PI-24-02</t>
  </si>
  <si>
    <t>Summary of the actions required in completion and submission of (1) the Child and Family Services Plan (CFSP) Final Report and CAPTA Update FYs 2020-2024, (2) the CFSP for FYs 2025-2029, and (3) the CFS-101, Parts I, II, and III.</t>
  </si>
  <si>
    <t>PI plus 4 attachments (excel file not included incount)</t>
  </si>
  <si>
    <t>PI-24-03</t>
  </si>
  <si>
    <t>Guidance to tribes on actions required to complete and submit the (1) Final Report for FYs 2020-2024; (2) the new CFSP for FYs 2025- 2029; and (3) the CFS-101, Parts I, II, and III.</t>
  </si>
  <si>
    <t>PI plus 8 attachments</t>
  </si>
  <si>
    <t>IM-24-02</t>
  </si>
  <si>
    <t>Notice of Proposed Rulemaking (NPRM) on Adoption and Foster Care Analysis and Reporting System (AFCARS)</t>
  </si>
  <si>
    <t>PI-24-04</t>
  </si>
  <si>
    <t>Instructions for State Courts on Applying for State Court Improvement Program (CIP) Funds for Fiscal Year (FY) 2025</t>
  </si>
  <si>
    <t>PI-24-05</t>
  </si>
  <si>
    <t>Availability of Fiscal Year (FY) 2024 Funds Under the Community-Based Grants for the Prevention of Child Abuse and Neglect Program</t>
  </si>
  <si>
    <t>PI-24-06</t>
  </si>
  <si>
    <t>Availability of Fiscal Year (FY) 2024 Children's Justice Act Grants to States Under the Child Abuse Prevention and Treatment Act (CAPTA) as Amended by Public Law (P.L.) 115-271</t>
  </si>
  <si>
    <t>2024 National Center for Community-Based Child Abuse Prevention Notice of Funding Opportunity Frequently Asked Questions</t>
  </si>
  <si>
    <t>2024 Tribal Court Improvement Program Notice of Funding Opportunity Frequently Asked Questions</t>
  </si>
  <si>
    <t>page doesn't have any FAQs; No PDF available (page count represents "Print to PDF" page number)</t>
  </si>
  <si>
    <t>IM-24-05</t>
  </si>
  <si>
    <t>Final Rule on Foster Care Legal Representation</t>
  </si>
  <si>
    <t>PI-24-07</t>
  </si>
  <si>
    <t>PI plus 6 attachments</t>
  </si>
  <si>
    <t>IM-24-06</t>
  </si>
  <si>
    <t>Dear Colleague Letter on Addressing the Complex Needs of Dually Involved Youth</t>
  </si>
  <si>
    <t>PI-24-08</t>
  </si>
  <si>
    <t>Federal Fiscal Year 2024 Title IV-B, Subpart 2 Funding Available to Develop and Enhance or to Evaluate Kinship Navigator Programs</t>
  </si>
  <si>
    <t>Technical Update #2: Downloading Your NYTD Compliance Status</t>
  </si>
  <si>
    <t>Technical Update #1: Uploading Your Files to the NYTD Application</t>
  </si>
  <si>
    <t>Technical Bulletin #23 — Compliance and Penalties</t>
  </si>
  <si>
    <t>2 total documents; most recent TB used for date; letter date 2022</t>
  </si>
  <si>
    <t>Technical Bulletin #22 — Reporting Population &amp; Data Extraction</t>
  </si>
  <si>
    <t>most recent update used for date</t>
  </si>
  <si>
    <t>Technical Bulletin #20 — Data Elements for Out-of-Home Care and Adoption and Guardianship Assistance Data Files</t>
  </si>
  <si>
    <t>most recent update for TB used for date</t>
  </si>
  <si>
    <t>1. Reporting Requirements &amp; Reporting Populations</t>
  </si>
  <si>
    <t>NYTD FAQ - 1. Reporting Requirements &amp; Reporting Populations</t>
  </si>
  <si>
    <t>NYTD FAQ - 3. Youth Outcome Survey</t>
  </si>
  <si>
    <t>NYTD FAQ - 4. System Requirements (SACWIS)</t>
  </si>
  <si>
    <t>NYTD FAQ - 5. Compliance Standards &amp; Penalties for Noncompliance</t>
  </si>
  <si>
    <t>NYTD FAQ - 6. Sampling</t>
  </si>
  <si>
    <t>NYTD FAQ - 7. Implementation Costs &amp; Funding</t>
  </si>
  <si>
    <t>NYTD FAQ - 8. Miscellaneous</t>
  </si>
  <si>
    <t>NYTD Technical Assistance Brief #16</t>
  </si>
  <si>
    <t>NYTD Reporting Populations and Cohort Schedule</t>
  </si>
  <si>
    <t>PI-24-09</t>
  </si>
  <si>
    <t>PI plus 1 attachment (excel file not included in count)</t>
  </si>
  <si>
    <t>IM-24-07</t>
  </si>
  <si>
    <t>Changes to the Personal Responsibility and Work Opportunity Reconciliation Act of 1996 (Public Law (P.L.) 104-193</t>
  </si>
  <si>
    <t>IM-24-08</t>
  </si>
  <si>
    <t>Updated Nonregulatory Guidance from the U.S. Departments of Education and Health and Human Services on Ensuring Educational Stability and Success for Students in Foster Care</t>
  </si>
  <si>
    <t>DCL 24-03</t>
  </si>
  <si>
    <t>Dear Colleague Letter on Best Practices for Adhering to Early and Periodic Screening, Diagnostic, and Treatment Requirements</t>
  </si>
  <si>
    <t>IM-24-09</t>
  </si>
  <si>
    <t>Final Rule on the Adoption and Foster Care Analysis and Reporting System</t>
  </si>
  <si>
    <t>IM-24-10</t>
  </si>
  <si>
    <t>Title IV-E Plan Pre-Print for Foster Care, Adoption Assistance, Guardianship Assistance, Kinship Navigator</t>
  </si>
  <si>
    <t>PI-24-11</t>
  </si>
  <si>
    <t>PI-24-10</t>
  </si>
  <si>
    <t>IM-25-01</t>
  </si>
  <si>
    <t>Protecting the Rights of Qualified Individuals with Disabilities: Technical Assistance under Section 504 of the Rehabilitation Act of 1973 for State, Tribal, and Territorial Child Welfare Agencies and Courts</t>
  </si>
  <si>
    <t>IM-25-03</t>
  </si>
  <si>
    <t>Notice of court ordered nationwide stay of the Designated Placements Final Rule</t>
  </si>
  <si>
    <t>PI-25-03</t>
  </si>
  <si>
    <t>Availability of Fiscal Year 2025 Children's Justice Act Grants to States Under the Child Abuse Prevention and Treatment Act</t>
  </si>
  <si>
    <t>PI-25-02</t>
  </si>
  <si>
    <t>Guidance to tribes on the Submission of the first APSR to the 2025-2029 CFSP, CFS-101 Parts 1, 2 and 3</t>
  </si>
  <si>
    <t xml:space="preserve">all links to attachment A take you to the same document with all info combined in one document; count does not include attachment B excel doc; </t>
  </si>
  <si>
    <t>PI-25-01</t>
  </si>
  <si>
    <t>Submission of the first APSR to the 2025-2029 CFSP, CAPTA State Plan update, and the CFS-101 Part 1, Annual Budget Request, Part 2, Annual Summary of the CFS, and Part 3, Annual Expenditure Report</t>
  </si>
  <si>
    <t>PI-25-04</t>
  </si>
  <si>
    <t>Availability of Fiscal Year 2025 Funds Under the Community-Based Grants for the Prevention of Child Abuse and Neglect Program</t>
  </si>
  <si>
    <t>PI-25-05</t>
  </si>
  <si>
    <t>Federal Fiscal Year 2025 Title IV-B, Subpart 2 Funding Available to Develop and Enhance or to Evaluate Kinship Navigator Programs</t>
  </si>
  <si>
    <t>Tribal Federal Medical Assistance Percentage Look-Up Table for FY 2026</t>
  </si>
  <si>
    <t>Tribal Federal Medical Assistance Percentage Reference Table for FY 2026</t>
  </si>
  <si>
    <t>PI-25-06</t>
  </si>
  <si>
    <t>Instructions for State Courts on Applying for State Court Improvement Program Funds for Fiscal Year 2026</t>
  </si>
  <si>
    <t>IM-25-04</t>
  </si>
  <si>
    <t>Public Law 118-258 - The Supporting America’s Children and Families Act</t>
  </si>
  <si>
    <t>IM-25-05</t>
  </si>
  <si>
    <t>Update on Implementing Provisions of Public Law (Pub. L.) 118-258, The Supporting America’s Children and Families Act</t>
  </si>
  <si>
    <t>Revised Technical Bulletin #1</t>
  </si>
  <si>
    <t>XSD Schema Definition file not included in page count</t>
  </si>
  <si>
    <t>Technical Bulletin #2: Title IV-E Prevention Program Data Submission Timelines</t>
  </si>
  <si>
    <t>find</t>
  </si>
  <si>
    <t>I need help with my adopted child. What resources are available to me in my state?</t>
  </si>
  <si>
    <t>TB #1: File Structure</t>
  </si>
  <si>
    <t>TB #2: Compliance Standards</t>
  </si>
  <si>
    <t>TB #3: Data Quality Advisories</t>
  </si>
  <si>
    <t>TB #4: System User Roles and Responsibilities</t>
  </si>
  <si>
    <t>TB #5: Cohort Management and Sampling</t>
  </si>
  <si>
    <t>TU #1: NYTD File Upload</t>
  </si>
  <si>
    <t>TU#2: NYTD Compliance Status</t>
  </si>
  <si>
    <t>Tips for Administering the NYTD Survey</t>
  </si>
  <si>
    <t>Tips for Building a Social Media Presence</t>
  </si>
  <si>
    <t>Tips for Engaging 17-Year-Olds in the NYTD Survey</t>
  </si>
  <si>
    <t>Tips for Hiring and Building Rapport With Young People With Lived Experience</t>
  </si>
  <si>
    <t>Tips for Using Social Media to Locate and Engage Young People in the NYTD Survey</t>
  </si>
  <si>
    <t>Tips for Using Technology to Locate and Engage 19- and 21-Year-Olds in the NYTD Survey</t>
  </si>
  <si>
    <t>Tips for Using and Supplementing NYTD Data Snapshots</t>
  </si>
  <si>
    <t>ECD</t>
  </si>
  <si>
    <t>Teli Synthesis</t>
  </si>
  <si>
    <t>same as "Teli Collaborative Success" with different graphics</t>
  </si>
  <si>
    <t>TELI Collaborative Success </t>
  </si>
  <si>
    <t>same as "Teli Synthesis" with different graphics</t>
  </si>
  <si>
    <t>ACF-ECD-THV-IM-25-01</t>
  </si>
  <si>
    <t>Supporting Food Security and Access to Indigenous Foods for Children and Families in Tribal Early Childhood Programs</t>
  </si>
  <si>
    <t>Same as OCC "ACF-OCC-CCDF-IM-25-04"</t>
  </si>
  <si>
    <t>ACF-ECD-THV-IM-25-02</t>
  </si>
  <si>
    <t>Use of Federal Early Childhood Program Funds to Improve Housing Related Supports for the Early Childhood Workforce in Tribal Communities</t>
  </si>
  <si>
    <t>Same as OCC "ACF-OCC-CCDF-IM-25-02"</t>
  </si>
  <si>
    <t>ACF-ECD-THV-IM-24-01</t>
  </si>
  <si>
    <t>Opportunities for the Tribal Maternal, Infant, and Early Childhood Home Visiting (MIECHV) Program to Promote the Mental Health and Well-being of Children, Families, and the Tribal MIECHV Workforce</t>
  </si>
  <si>
    <t>Tribal MIECHV Implementation Plan Guidance and Form 1</t>
  </si>
  <si>
    <t>Tribal Home Visiting Emergency Response to COVID-19 Guidance for Tribal Home Visiting Grantees Apr 2, 2020</t>
  </si>
  <si>
    <t>Tribal MIECHV Homelessness Letter</t>
  </si>
  <si>
    <t>Appears on the website twice</t>
  </si>
  <si>
    <t>ED and HHS MIECHV Part C Guidance</t>
  </si>
  <si>
    <t>Letter to Tribal Leaders (STAC)</t>
  </si>
  <si>
    <t>Tribal Policy Statement</t>
  </si>
  <si>
    <t>This form may be an old issuance but still on website when you search "Tribal" and "Policy &amp; Guidance" on Resources page</t>
  </si>
  <si>
    <t>Tribal MIECHV Performance Measurement System</t>
  </si>
  <si>
    <t>This may be an old issuance but still on website when you search "Tribal" and "Policy &amp; Guidance" on Resources page</t>
  </si>
  <si>
    <t>This letter may be an old issuance but still on website when you search "Tribal" and "Policy &amp; Guidance" on Resources page</t>
  </si>
  <si>
    <t>Tribal HV Implementation Plan Guidance Cohort 3</t>
  </si>
  <si>
    <t>Tribal HV Implementation Plan Guidance</t>
  </si>
  <si>
    <t>Tribal Home Visiting Implementation Plan Guidance</t>
  </si>
  <si>
    <t>Appears under "Policy and Guidance" page on OCC</t>
  </si>
  <si>
    <t>Tribal Home Visiting Implementation Plan Guidance Cohort 3</t>
  </si>
  <si>
    <t>Guidance for Submitting a Needs Assessment and Plan</t>
  </si>
  <si>
    <t>Tribal Maternal, Infant, and Early Childhood Home Visiting Program; Appears under "Policy and Guidance" page on OCC</t>
  </si>
  <si>
    <t>Dear Colleague Letter For Tribal Leaders</t>
  </si>
  <si>
    <t>HRSA-ACF Letter to State MIECHV Grantees</t>
  </si>
  <si>
    <t>Tagged as "Policy &amp; Guidance" in ECD resources page</t>
  </si>
  <si>
    <t>Tribal Early Childhood Facilities Combined Application Guide</t>
  </si>
  <si>
    <t>Early Care and Education Workforce Salary Scale Playbook: Implementation Guide</t>
  </si>
  <si>
    <t>Meeting the Needs of Families with Young Children Experiencing and At Risk of Homelessness</t>
  </si>
  <si>
    <t>Homeless Families with Young Children FY2016-FY2018 Child Care and Development Fund (CCDF) State Plans</t>
  </si>
  <si>
    <t>interagency Policy Board Report to the Secretaries</t>
  </si>
  <si>
    <t>Expulsion and Suspension Resource Guide</t>
  </si>
  <si>
    <t>Tagged as "Policy &amp; Guidance" in ECD resources page; Looks like a duplicate of the Nov 4, 2016 guide</t>
  </si>
  <si>
    <t>Early Childhood Homelessness Guidance Document</t>
  </si>
  <si>
    <t>Joint Guidance Brief on Early Learning and Use of Technology</t>
  </si>
  <si>
    <t>ECE Crosswalk</t>
  </si>
  <si>
    <t>Final HHS USDA Joint Monitoring Guidance Document</t>
  </si>
  <si>
    <t>Joint Policy Statement Release</t>
  </si>
  <si>
    <t>SAC Joint Statement</t>
  </si>
  <si>
    <t>Access to Early Childhood Development Services for Homeless Families with Young Children</t>
  </si>
  <si>
    <t>Guidance Document on Early Childhood Career Pathways</t>
  </si>
  <si>
    <t>Policy Statement on Family Engagement</t>
  </si>
  <si>
    <t>Intervention Implementation Guide</t>
  </si>
  <si>
    <t>Implementing Parenting Interventions in Early Care and Education Settings: A Guidebook for Implementation</t>
  </si>
  <si>
    <t>Guidance Document on Expulsion and Suspension Policies in early Childhood Settings</t>
  </si>
  <si>
    <t>Summary of the Strong Start for America's Children Act</t>
  </si>
  <si>
    <t>Strong Start for America's Children of 2013 House Bill</t>
  </si>
  <si>
    <t>Strong Start for America's Children Senate Bill</t>
  </si>
  <si>
    <t>OCC</t>
  </si>
  <si>
    <t>CCDF-ACF-IM-2011-01</t>
  </si>
  <si>
    <t>Emergency Preparedness and Response Planning for Child Care; CCDF Plan (ARCHIVED)</t>
  </si>
  <si>
    <t>n/a</t>
  </si>
  <si>
    <t>Not linked in Resources page "IM" only on OCC IM webpage; links to CCDF-ACF-PI-2011-01 so count for IM not available</t>
  </si>
  <si>
    <t>ACF-OCC-CCDF-IM-25-04</t>
  </si>
  <si>
    <t>Expanding Educational Freedom and Opportunities for Families</t>
  </si>
  <si>
    <t xml:space="preserve">ACF-OCC-CCDF-IM-25-03 </t>
  </si>
  <si>
    <t>American Relief Act (ARA) CCDF Discretionary Supplemental Funds</t>
  </si>
  <si>
    <t>ACF-OCC-CCDF-IM-25-02</t>
  </si>
  <si>
    <t>Implementation of CCDF through a Tribal Consortium</t>
  </si>
  <si>
    <t>ACF-OCC-CCDF-IM-25-01</t>
  </si>
  <si>
    <t>Tribal CCDF Lead Agency Flexibilities for CCDF Parental Activity Requirements</t>
  </si>
  <si>
    <t>ACF-OCC-CCDF-IM-24-02</t>
  </si>
  <si>
    <t>Use of Federal Early Childhood Funds to Improve Housing in Tribal Workforce</t>
  </si>
  <si>
    <t>ACF- ECD-OCC-IM-24-09</t>
  </si>
  <si>
    <t>Engaging Families and Early Educators with Direct Experience in Child Care and Early Childhood Systems</t>
  </si>
  <si>
    <t>ACF-OCC-CCDF-IM-24-01</t>
  </si>
  <si>
    <t>Using CCDF to Promote Mental Health and Well-being</t>
  </si>
  <si>
    <t>CCDF-ACF-IM-2022-02</t>
  </si>
  <si>
    <t>Using CCDF to Improve Compensation for the Child Care Workforce</t>
  </si>
  <si>
    <t>Not linked in Resources page "IM" likely because "Archived"</t>
  </si>
  <si>
    <t>CCDF-ACF-IM-2022-01</t>
  </si>
  <si>
    <t>Use of Tribal Child Care and Development Fund Resources to Support Early Childhood Systems Building </t>
  </si>
  <si>
    <t>CCDF-ACF-IM-2021-04</t>
  </si>
  <si>
    <t>ARP Act Increased Mandatory and Matching Funds</t>
  </si>
  <si>
    <t>CCDF-ACF-IM-2021-03</t>
  </si>
  <si>
    <t>ARP Act CCDF Discretionary Supplemental Funds</t>
  </si>
  <si>
    <t>CCDF-ACF-IM-2021-02</t>
  </si>
  <si>
    <t>ARP Act Child Care Stabilization Grants</t>
  </si>
  <si>
    <t>CCDF-ACF-IM-2021-01</t>
  </si>
  <si>
    <t>CCDF Discretionary Funds Appropriated in the CRRSA Act (Pub. L. 116-260), signed into law on December 27, 2020</t>
  </si>
  <si>
    <t>IM-ACF-OA-2020-01</t>
  </si>
  <si>
    <t>ACF grant flexibilities in conducting human service activities related to or affected by COVID-19 (PDF)</t>
  </si>
  <si>
    <t>CCDF-ACF-IM-2020-01</t>
  </si>
  <si>
    <t>CCDF Discretionary Funds Appropriated in the CARES Act (Public Law 116-136) passed into law on March 27, 2020</t>
  </si>
  <si>
    <t>CCDF-ACF-IM-2019-01</t>
  </si>
  <si>
    <t>CCDF Policy Opportunities for Supporting Populations Impacted by Opioid Misuse and Substance Use Disorders</t>
  </si>
  <si>
    <t>CCDF-ACF-IM-2018-03</t>
  </si>
  <si>
    <t>Increase in Child Care and Development Fund (CCDF) Discretionary Funds in the Consolidated Appropriations Act of 2018 (Public Law 115-141)</t>
  </si>
  <si>
    <t>Not linked in Resources page "IM"</t>
  </si>
  <si>
    <t>ACF-ACF-IM-18-01</t>
  </si>
  <si>
    <t>Integrating Approaches that Prioritize and Enhance Father Engagement</t>
  </si>
  <si>
    <t>CCDF-ACF-IM-2018-02</t>
  </si>
  <si>
    <t>Child Care Consumer Education Website Requirements and Resources</t>
  </si>
  <si>
    <t>CCDF-ACF-IM-2018-01</t>
  </si>
  <si>
    <t>Transmittal of Federal Emergency Management Agency (FEMA) Disaster Assistance Guidance— Public Assistance for Child Care Services</t>
  </si>
  <si>
    <t>CCDF-ACF-IM-2017-01</t>
  </si>
  <si>
    <t>Statewide Disaster Plan (or Disaster Plan for a Tribe’s service area) for Child Care</t>
  </si>
  <si>
    <t>IM plus 2 attachments; Not linked in Resources page "IM"</t>
  </si>
  <si>
    <t>CCDF-ACF-IM-2017-02</t>
  </si>
  <si>
    <t>Flexibility in Spending CCDF Funds in Response to Federal or State Declared Emergency Situations</t>
  </si>
  <si>
    <t>CCDF-ACF-IM-2016-04</t>
  </si>
  <si>
    <t>Supporting Parents in Job Training and Education Programs with Child Care Assistance</t>
  </si>
  <si>
    <t>CCDF-ACF-IM-2016-02</t>
  </si>
  <si>
    <t>Child Care Reauthorization and Opportunities for TANF and CCDF</t>
  </si>
  <si>
    <t>CCDF-ACF-IM-2016-01</t>
  </si>
  <si>
    <t>Developmental and Behavioral Screenings</t>
  </si>
  <si>
    <t>CCDF-ACF-IM-2015-02</t>
  </si>
  <si>
    <t>Building the Supply of High-Quality Child Care</t>
  </si>
  <si>
    <t>Likely removed - link broken; Not linked in Resources page "IM"</t>
  </si>
  <si>
    <t>CCDF-ACF-IM-2015-01</t>
  </si>
  <si>
    <t>Children's Social-Emotional and Behavioral Health</t>
  </si>
  <si>
    <t>ACF-IM-HS-15-03</t>
  </si>
  <si>
    <t>Policy and Program Guidance for the Early Head Start-Child Care (EHS-CCP) Partnerships</t>
  </si>
  <si>
    <t>Refugee Resettlement and Child Care Partnerships: Partnering to Increase Refugee Families’ Access to High-Quality Child Care</t>
  </si>
  <si>
    <t>CCDF-ACF-IM-2012-02</t>
  </si>
  <si>
    <t>Crib Standards Information Memorandum</t>
  </si>
  <si>
    <t>CCDF-ACF-IM-2012-01</t>
  </si>
  <si>
    <t>Head Start, Child Care, and Public Libraries: Partnerships to Support Young Children and Their Families</t>
  </si>
  <si>
    <t>CCDF-ACF-IM-2011-06</t>
  </si>
  <si>
    <t>Policies and Practices that Promote Continuity of Child Care Services and Enhance Subsidy Systems</t>
  </si>
  <si>
    <t>CCDF-ACF-IM-2011-05</t>
  </si>
  <si>
    <t>Background Checks, Health and Safety Requirements, CCDF Plan (Archived: contains outdated information)</t>
  </si>
  <si>
    <t>CCDF-ACF-IM-2011-04</t>
  </si>
  <si>
    <t>Early Childhood Education, Financial Stability, and Asset Building Strategies for Families with Young Children</t>
  </si>
  <si>
    <t>IM plus 1 attachment (but attachment is not likely guidance)</t>
  </si>
  <si>
    <t>CCDF-ACF-IM-2011-03</t>
  </si>
  <si>
    <t>Fiscal Year 2011 CCDF Allocations and Targeted Funds for Tribes (ARCHIVED)</t>
  </si>
  <si>
    <t>Child Welfare and Child Care Partnerships: Partnering with Families Involved in Child Care Subsidy Programs</t>
  </si>
  <si>
    <t>CCDF-ACF-IM-2010-02</t>
  </si>
  <si>
    <t>Helping Victims of Domestic Violence and Their Children</t>
  </si>
  <si>
    <t>CCDF-ACF-IM-2010-01</t>
  </si>
  <si>
    <t>Transmittal of Federal Emergency Management Agency (FEMA) Disaster Assistance Fact Sheet — Public Assistance for Child Care Services (ARCHIVED)</t>
  </si>
  <si>
    <t>CCDF-ACF-IM-09-01</t>
  </si>
  <si>
    <t>American Recovery and Reinvestment Act (ARRA) of 2009: Key Areas of Flexibility in the CCDF Program (ARCHIVED)</t>
  </si>
  <si>
    <t>ACYF-IM-CC-05-03</t>
  </si>
  <si>
    <t>Flexibility in Spending CCDF Funds in Response to Federal or State Declared Emergency Situations (ARCHIVED)</t>
  </si>
  <si>
    <t>ACYF-IM-CC-05-02</t>
  </si>
  <si>
    <t>Tribal Data Tracker Software</t>
  </si>
  <si>
    <t>ACYF-IM-CC-03-01</t>
  </si>
  <si>
    <t>Disregard of Monetary Allowances for Certain Children of Vietnam War Veterans</t>
  </si>
  <si>
    <t>(Archived); date on pdf used for issuance</t>
  </si>
  <si>
    <t>Policy Interpretation Question (PIQ)</t>
  </si>
  <si>
    <t>CCDF-ACF-PIQ-2018-01</t>
  </si>
  <si>
    <t>State-Tribal Coordination Regarding the CCDF Requirements</t>
  </si>
  <si>
    <t>CCDF-ACF-PIQ-2017-01</t>
  </si>
  <si>
    <t>Clarification on the CCDBG Act background check requirements and health and safety training requirements</t>
  </si>
  <si>
    <t>ACYF-PIQ-CC-99-01</t>
  </si>
  <si>
    <t>Policy Interpretation Questions about Construction and Renovation of Child Care Facilities</t>
  </si>
  <si>
    <t>CCDF-ACF-PIQ-2012-01</t>
  </si>
  <si>
    <t>Policy Interpretation Questions about the Use of CCDF for Program Integrity Efforts (States/Territories and Tribes)</t>
  </si>
  <si>
    <t>Disregard of Federal Tax Refunds in Determining CCDF Eligibility (States/Territories)</t>
  </si>
  <si>
    <t>Disregard of Federal Tax Refunds in Determining CCDF Eligibility (Tribes)</t>
  </si>
  <si>
    <t>CCDF-ACF-PIQ-2011-01</t>
  </si>
  <si>
    <t>Policy Interpretation Question regarding Parental Choice Provisions Included in CCDF Regulations</t>
  </si>
  <si>
    <t>ACYF-PIQ-CC-99-02</t>
  </si>
  <si>
    <t>Eligibility Determination for Head Start Collaboration  (PDF)</t>
  </si>
  <si>
    <t>Likely removed - link broken</t>
  </si>
  <si>
    <t>ACYF-PIQ-CC-97-01</t>
  </si>
  <si>
    <t>CCDF Indian Children Dual Eligibility</t>
  </si>
  <si>
    <t>ACF-OCC-CCDF-PI-2025-08</t>
  </si>
  <si>
    <t>Child Care and Development Fund (CCDF) Child Care Annual Aggregate Report and Instructions (ACF-800 Report) for State and Territorial Lead Agencies for FY 2025</t>
  </si>
  <si>
    <t>PI plus 2 attachments (No pdf of PI so "Print to PDF" count used)</t>
  </si>
  <si>
    <t>ACF-OCC-CCDF-PI-2025-10</t>
  </si>
  <si>
    <t>Child Care and Development Fund (CCDF) FFY 2025 Tribal Annual Report Form ACF-700 for Tribal Lead Agencies</t>
  </si>
  <si>
    <t>PI plus 2 attachments (No pdf of PI so "Print to PDF" count used); Not listed in "PI" lists; only tagged as "Policy &amp; Guidance"</t>
  </si>
  <si>
    <t>ACF-OCC-CCDF-PI-2025-06</t>
  </si>
  <si>
    <t>Disaster Supplemental Funds for Child Care — 2023 and 2024 Major Disasters and Emergencies</t>
  </si>
  <si>
    <t>ACF-OCC-PI-2025-05</t>
  </si>
  <si>
    <t>Form ACF-696T— a Financial Reporting Form for Tribal Child Care and Development Fund (CCDF) Lead Agencies</t>
  </si>
  <si>
    <t>PI plus 2 attachments (No pdf of PI so "Print to PDF" count used; excel version of form attachment not included in count)</t>
  </si>
  <si>
    <t>ACF-OCC-CCDF-PI-25-04</t>
  </si>
  <si>
    <t>Guidance on Cost-Based Alternative Methodologies and Evaluation Criteria for Establishing Subsidy Payment Rates</t>
  </si>
  <si>
    <t>ACF-OCC-CCDF-PI-2025-03</t>
  </si>
  <si>
    <t>Submit the Tribal CCDF Plan for the CCDF Program Fiscal Year (FFY) 2026-2028</t>
  </si>
  <si>
    <t>PI plus 1 attachment (No pdf of PI so "Print to PDF" count used)</t>
  </si>
  <si>
    <t>ACF-OCC-CCDF-PI-25-02</t>
  </si>
  <si>
    <t>Guidance for Tribal Lead Agencies on the CCDF Tribal Eligibility Final Rule</t>
  </si>
  <si>
    <t>ACF-OCC-CCDF-PI-24-08</t>
  </si>
  <si>
    <t>Child Care and Development Fund (CCDF) FFY 2024 Tribal Annual Report Form ACF-700 for Tribal Lead Agencies</t>
  </si>
  <si>
    <t>CCDF-ACF-PI-2024-07</t>
  </si>
  <si>
    <t>Quality Progress Report (QPR) (ACF-218) for the Child Care and Development Fund (CCDF) program for the Federal Fiscal Year (FFY) 2024</t>
  </si>
  <si>
    <t>(Archived)</t>
  </si>
  <si>
    <t>CCDF-ACF-PI-2024-06</t>
  </si>
  <si>
    <t>Form ACF-696 - Financial Reporting Form for State and Territory Child Care and Development Fund (CCDF) Lead Agencies</t>
  </si>
  <si>
    <t>PI plus 3 attachments (No pdf of PI so "Print to PDF" count used; excel version of form attachment not included in count)</t>
  </si>
  <si>
    <t>CCDF-ACF-PI-2024-05</t>
  </si>
  <si>
    <t>Guidance for Tribal Lead Agencies on the 2024 CCDF Final Rule Provisions and Waiver Requests</t>
  </si>
  <si>
    <t>PI plus 3 attachments (extra word version of form attachment not included in count)</t>
  </si>
  <si>
    <t>CCDF-ACF-PI-2024-04</t>
  </si>
  <si>
    <t>Child Care and Development Fund (CCDF) Triennial Child Count for FFY 2026 - 2028</t>
  </si>
  <si>
    <t>ACF-OCC-CCDF-PI-24-03</t>
  </si>
  <si>
    <t>2024 CCDF Final Rule Transitional Waiver Flexibilities Guidance</t>
  </si>
  <si>
    <t>CCDF-ACF-PI-2024-02</t>
  </si>
  <si>
    <t>Supplemental Funds for Child Care Disaster Recovery – Implementation Grants – Hurricanes Fiona and Ian</t>
  </si>
  <si>
    <t>CCDF-ACF-PI-2024-01</t>
  </si>
  <si>
    <t>FY 2025-2027 Child Care and Development Fund (CCDF) Plan for States and Territories</t>
  </si>
  <si>
    <t>CCDF-ACF-PI-2023-05</t>
  </si>
  <si>
    <t>ACF-696T—a Financial Reporting Form for Tribal CCDF Lead Agencies</t>
  </si>
  <si>
    <t>PI plus 3 attachments (extra excel version of form attachment not included in count)</t>
  </si>
  <si>
    <t>CCDF-ACF-PI-2023-04</t>
  </si>
  <si>
    <t>Tribal Annual Report Form ACF-700 for Tribal Lead Agencies</t>
  </si>
  <si>
    <t>CCDF-ACF-PI-2023-03</t>
  </si>
  <si>
    <t>Quality Progress Report (QPR) (ACF-218) for the Child Care and Development Fund (CCDF) program for the Federal Fiscal Year (FFY) 2023</t>
  </si>
  <si>
    <t>(Archived); PI plus 1 attachment</t>
  </si>
  <si>
    <t>CCDF-ACF-PI-2023-02</t>
  </si>
  <si>
    <t>Supplemental Funds for Child Care Disaster Recovery Planning Grants – Hurricanes Fiona and Ian</t>
  </si>
  <si>
    <t>CCDF-ACF-PI-2023-01</t>
  </si>
  <si>
    <t>Procedures for Requests from Tribal Lead Agencies to Use CCDF Funds for Construction or Major Renovation of Child Care Facilities</t>
  </si>
  <si>
    <t>CCDF-ACF-PI-2022-09</t>
  </si>
  <si>
    <t>ACF-700: CCDF Tribal Annual Report for Tribal Lead Agencies</t>
  </si>
  <si>
    <t>(Archived); PI plus 2 attachments</t>
  </si>
  <si>
    <t>CCDF-ACF-PI-2022-08</t>
  </si>
  <si>
    <t>ACF-696T: Financial Reporting for Tribal CCDF Lead Agencies</t>
  </si>
  <si>
    <t>(Archived); PI plus 2 attachments (2 additional attachments have broken links not included in count)</t>
  </si>
  <si>
    <t>CCDF-ACF-PI-2022-07</t>
  </si>
  <si>
    <t>Quality Progress Report (QPR) (ACF-218) for the Child Care and Development Fund (CCDF) program for the Federal Fiscal Year (FFY) 2022</t>
  </si>
  <si>
    <t>CCDF-ACF-PI-2022-06</t>
  </si>
  <si>
    <t>Child Care and Development Fund Tribal Plan Program</t>
  </si>
  <si>
    <t>CCDF-ACF-PI-2022-05</t>
  </si>
  <si>
    <t>Child Care and Development Fund (CCDF) Child Care Case-Level Form and Instructions (ACF-801 Report) for State and Territorial Lead Agencies</t>
  </si>
  <si>
    <t>CCDF-ACF-PI-2022-04</t>
  </si>
  <si>
    <t>Child Care and Development Fund (CCDF) Child Care Annual Aggregate Report and Instructions (ACF-800 Report) for State and Territorial Lead Agencies</t>
  </si>
  <si>
    <t>CCDF-ACF-PI-2022-03</t>
  </si>
  <si>
    <t>Child Count and Tribal Early Learning Initiative Program</t>
  </si>
  <si>
    <t>PI only 2 attachments have no links</t>
  </si>
  <si>
    <t>CCDF-ACF-PI-2022-02</t>
  </si>
  <si>
    <t>Financial Reporting Form for Tribal Child Care and Development Fund (CCDF) Lead Agencies (Form ACF-696T)</t>
  </si>
  <si>
    <t>(Archived); PI plus 3 attachments (1 additional attachment has broken link not included in count; excel version of form attachment not included in count)</t>
  </si>
  <si>
    <t>CCDF-ACF-PI-2022-01</t>
  </si>
  <si>
    <t>2022 CCDF Discretionary program funds reallotment process</t>
  </si>
  <si>
    <t>CCDF-ACF-PI-2021-08</t>
  </si>
  <si>
    <t>ACF-901 – American Rescue Plan (ARP) Stabilization Grants Provider-Level Data form and instructions for state and territorial lead agencies</t>
  </si>
  <si>
    <t>CCDF-ACF-PI-2021-07</t>
  </si>
  <si>
    <t>Quality Progress Report (QPR) (ACF-218) for the Child Care and Development Fund (CCDF) program for the Federal Fiscal Year (FFY) 2021</t>
  </si>
  <si>
    <t>(Archived); PI plus 2 attachments (3 blank pages labeled "Archived" not included in count)</t>
  </si>
  <si>
    <t>CCDF-ACF-PI-2021-06</t>
  </si>
  <si>
    <t>Notification of Obligation Target Status for CCDF American Rescue Plan (ARP) Act Stabilization Funds.</t>
  </si>
  <si>
    <t>CCDF-ACF-PI-2021-05</t>
  </si>
  <si>
    <t>Approved Revised Financial Reporting Form ACF-696</t>
  </si>
  <si>
    <t>PI plus 2 attachments (extra excel version of form attachment not included in count)</t>
  </si>
  <si>
    <t>CCDF-ACF-PI-2021-04</t>
  </si>
  <si>
    <t>Child Care and Development Fund (CCDF) Tribal Annual Report Form ACF-700 for Tribal Lead Agencies</t>
  </si>
  <si>
    <t>CCDF-ACF-PI-2021-03</t>
  </si>
  <si>
    <t>PI only 1 excel attachment not included in count</t>
  </si>
  <si>
    <t>CCDF-ACF-PI-2021-02</t>
  </si>
  <si>
    <t>FFY2022-2024 CCDF Plan Preprint for States and Territories</t>
  </si>
  <si>
    <t>CCDF-ACF-PI-2021-01</t>
  </si>
  <si>
    <t>Planned Use of Child Care and Development Fund (CCDF) Coronavirus Response and Relief Supplemental Appropriations Act, 2021 (CRRSA) Funds Report</t>
  </si>
  <si>
    <t>CCDF-ACF-PI-2020-08</t>
  </si>
  <si>
    <t>Financial Reporting Form for Child Care and Development Fund (CCDF) Tribal Lead Agencies (Form ACF-696T)</t>
  </si>
  <si>
    <t>(Archived); PI plus 2 attachments (1 excel attachment and 1 additional attachment has broken link not included in count)</t>
  </si>
  <si>
    <t>CCDF-ACF-PI-2020-07</t>
  </si>
  <si>
    <t>Quality Progress Report (QPR) (ACF-218) for the Child Care and Development Fund (CCDF) Program for the Federal Fiscal Year (FFY) 2020</t>
  </si>
  <si>
    <t>CCDF-ACF-PI-2020-06</t>
  </si>
  <si>
    <t>(Archived); PI plus 1 attachment (No pdf of PI so "Print to PDF" count used)</t>
  </si>
  <si>
    <t>CCDF-ACF-PI-2020-05</t>
  </si>
  <si>
    <t>Approved Revised Form ACF-696, the Financial Reporting Form for the Child Care and Development Fund (CCDF)</t>
  </si>
  <si>
    <t>(Archived); PI plus 3 attachments</t>
  </si>
  <si>
    <t>CCDF-ACF-PI-2020-04</t>
  </si>
  <si>
    <t>ACF-800 Report and Instructions</t>
  </si>
  <si>
    <t>PI plus 1 attachment (1 additional excel form attachment not included in count)</t>
  </si>
  <si>
    <t>CCDF-ACF-PI-2020-03</t>
  </si>
  <si>
    <t>CCDF-ACF-PI-2020-02</t>
  </si>
  <si>
    <t>Tribal Construction or Major Renovation</t>
  </si>
  <si>
    <t>CCDF-ACF-PI-2020-01</t>
  </si>
  <si>
    <t>Supplemental Disaster Relief Funds for Child Care</t>
  </si>
  <si>
    <t>PI plus 6 attachments (No pdf of documents so "Print to PDF" count used)</t>
  </si>
  <si>
    <t>CCDF-ACF-PI-2019-09</t>
  </si>
  <si>
    <t>Quality Progress Report (ACF-218) for the CCDF Program for the Fiscal Year 2019</t>
  </si>
  <si>
    <t>(Archived)?; PI plus 3 attachments</t>
  </si>
  <si>
    <t>CCDF-ACF-PI-2019-08</t>
  </si>
  <si>
    <t>CCDF-ACF-PI-2019-07</t>
  </si>
  <si>
    <t>CCDF Annual Report for Tribal Lead Agencies Program Instruction</t>
  </si>
  <si>
    <t>CCDF-ACF-PI-2019-06</t>
  </si>
  <si>
    <t>Program Instruction on Supplemental Disaster Funds</t>
  </si>
  <si>
    <t>CCDF-ACF-PI-2019-05</t>
  </si>
  <si>
    <t>Guidance on alternative approaches for purposes of conducting background checks of child care staff and monitoring and inspection of child care providers</t>
  </si>
  <si>
    <t>CCDF-ACF-PI-2019-04</t>
  </si>
  <si>
    <t>Consolidate CCDF Under the Indian Employment Act of 2017</t>
  </si>
  <si>
    <t>PI plus 2 attachments (No pdf of 1 attachment so "Print to PDF" count used)</t>
  </si>
  <si>
    <t>CCDF-ACF-PI-2019-03</t>
  </si>
  <si>
    <t>Fiscal Year 2020-2022 CCDF Plan and Plan Preprint for Tribes</t>
  </si>
  <si>
    <t>CCDF-ACF-PI-2019-02</t>
  </si>
  <si>
    <t>Process to Submit Child Count Declaration Form and Definition of Indian Reservation or Service Area</t>
  </si>
  <si>
    <t>PI plus 3 attachments (No pdf of 1 attachment so "Print to PDF" count used)</t>
  </si>
  <si>
    <t>CCDF-ACF-PI-2019-01</t>
  </si>
  <si>
    <t>Quality Progress Report (ACF-218) for the CCDF Program for the Fiscal Year 2018</t>
  </si>
  <si>
    <t>CCDF-ACF-PI-2018-04</t>
  </si>
  <si>
    <t>CCDF-ACF-PI-2018-03</t>
  </si>
  <si>
    <t>CCDF Annual Report for Tribal Lead Agencies PI</t>
  </si>
  <si>
    <t>CCDF-ACF-2018-02</t>
  </si>
  <si>
    <t>FY 2019-2021 State/Territory Plan Preprint</t>
  </si>
  <si>
    <t>(Archived)?; PI plus 1 attachment</t>
  </si>
  <si>
    <t>CCDF-ACF-2018-01</t>
  </si>
  <si>
    <t>Guidance on establishing subsidy payment rates</t>
  </si>
  <si>
    <t>PI plus 1 attachment; 3 other attachments not included because not guidance or broken links</t>
  </si>
  <si>
    <t>CCDF-ACF-2017-06</t>
  </si>
  <si>
    <t>Electronic Submission of Real Property Standard Form (SF)-429 and Attachments.</t>
  </si>
  <si>
    <t>CCDF-ACF-2017-05</t>
  </si>
  <si>
    <t>(Archived); PI plus 3 attachments (1 excel attachment not included in count; No pdf of 1 attachment so "Print to PDF" used for count)</t>
  </si>
  <si>
    <t>CCDF-ACF-2017-04</t>
  </si>
  <si>
    <t>CCDF Annual Report for Tribal Lead Agencies</t>
  </si>
  <si>
    <t>CCDF-ACF-2017-03</t>
  </si>
  <si>
    <t>Guidance on Implementing the National Crime Information Center National Sex Offender Registry Background Check Requirement in the Child Care and Development Block Grant (CCDBG) Act</t>
  </si>
  <si>
    <t>CCDF-ACF-2017-02</t>
  </si>
  <si>
    <t>CCDF-ACF-2017-01</t>
  </si>
  <si>
    <t>(Archived); PI plus 2 attachments (1 additional attachment not included because no link)</t>
  </si>
  <si>
    <t>CCDF-ACF-2016-08</t>
  </si>
  <si>
    <t>Timeline and Requirements for Market Rate Survey and Alternative Methodology</t>
  </si>
  <si>
    <t>CCDF-ACF-2016-07</t>
  </si>
  <si>
    <t>Child Care and Development Block Grant Act Background Check</t>
  </si>
  <si>
    <t>(Archived)?; PI plus 1 attachment (No PDF of attachment so "Print to PDF" count used)</t>
  </si>
  <si>
    <t>CCDF-ACF-2016-06</t>
  </si>
  <si>
    <t>CCDF-ACF-2016-05</t>
  </si>
  <si>
    <t>Procedures for Requests from Tribal Lead Agencies to Use Child Care and Development Fund (CCDF) Funds for Construction or Major Renovation of Child Care Facilities</t>
  </si>
  <si>
    <t>(Archived)?</t>
  </si>
  <si>
    <t>CCDF-ACF-2016-04</t>
  </si>
  <si>
    <t>PI - 477 FY 2017-2019 Tribal Plan</t>
  </si>
  <si>
    <t>(Archived)?; PI plus 4 attachments (No PDF of 1 attachment so "Print to PDF" count used)</t>
  </si>
  <si>
    <t>CCDF-ACF-2016-03</t>
  </si>
  <si>
    <t>Program Instruction: CCDF-ACF-PI-2016-03</t>
  </si>
  <si>
    <t>(Archived); PI plus 2 attachments (No PDF of 1 attachment so "Print to PDF" count used)</t>
  </si>
  <si>
    <t>CCDF-ACF-2016-02</t>
  </si>
  <si>
    <t>Child Care and Development Fund (CCDF) Child Care Monthly Case Record Form and Instructions (ACF-801 Report) for State and Territorial Lead Agencies</t>
  </si>
  <si>
    <t>(Archived)?; PI plus 2 attachments (No PDF of 1 attachment so "Print to PDF" count used)</t>
  </si>
  <si>
    <t>CCDF-ACF-2016-01</t>
  </si>
  <si>
    <t>(Archived)?; PI plus 3 attachments (No PDF of 1 attachment so "Print to PDF" count used)</t>
  </si>
  <si>
    <t>CCDF-ACF-PI-2015-09</t>
  </si>
  <si>
    <t>FY 2016-2018 State/Territory Plan Preprint</t>
  </si>
  <si>
    <t>CCDF-ACF-PI-2015-08</t>
  </si>
  <si>
    <t>CCDF-ACF-PI-2015-07</t>
  </si>
  <si>
    <t>Child Care and Development Fund (CCDF) Annual Report (Form ACF-700 and Supplemental Narrative) for Tribal Lead Agencies</t>
  </si>
  <si>
    <t>(Archived); PI plus 3 attachments (No pdf of 2 attachments so "Print to PDF" used for count)</t>
  </si>
  <si>
    <t>CCDF-ACF-PI-2015-06</t>
  </si>
  <si>
    <t>Procedures to Consolidate the Child Care and Development Fund (CCDF) Program with other Employment and Training Funding Sources under a Pub.L. 102-477 Plan</t>
  </si>
  <si>
    <t>CCDF-ACF-PI-2015-05</t>
  </si>
  <si>
    <t>Procedures to submit Annual Child Count Declaration Forms for Child Care and Development Fund (CCDF) FY 2016 Funding for Tribes and Tribal Consortia</t>
  </si>
  <si>
    <t>CCDF-ACF-PI-2015-04</t>
  </si>
  <si>
    <t>Guidance on Extension and Submission Requirements</t>
  </si>
  <si>
    <t>CCDF-ACF-PI-2015-03</t>
  </si>
  <si>
    <t>Guidance on the Child Care and Development Block Grant Act</t>
  </si>
  <si>
    <t>CCDF-ACF-PI-2015-02</t>
  </si>
  <si>
    <t>Program Instruction on CCDF Reauthorization Effective Dates</t>
  </si>
  <si>
    <t>CCDF-ACF-PI-2015-01</t>
  </si>
  <si>
    <t>Uniform Administrative Requirements, Cost Principles, and Audit Requirements</t>
  </si>
  <si>
    <t>CCDF-ACF-PI-2014-05</t>
  </si>
  <si>
    <t>Quality Performance Report (ACF-118 Appendix 1) for the CCDF Program for the Fiscal Year 2014</t>
  </si>
  <si>
    <t>CCDF-ACF-PI-2014-04</t>
  </si>
  <si>
    <t>CCDF-ACF-PI-2014-03</t>
  </si>
  <si>
    <t>Data Reporting for Indian Tribes: ACF-700 Form</t>
  </si>
  <si>
    <t>(Archived)?; PI plus 3 attachments (No pdf of 2 attachments so "Print to PDF" used for count)</t>
  </si>
  <si>
    <t>CCDF-ACF-PI-2014-02</t>
  </si>
  <si>
    <t>Consolidating CCDF Under a 102-477 Indian Employment, Training, and Related Services Plan 2015</t>
  </si>
  <si>
    <t>(Archived); PI plus 4 attachments</t>
  </si>
  <si>
    <t>CCDF-ACF-PI-2014-01</t>
  </si>
  <si>
    <t>FY2015 Child Care and Development Fund (CCDF) Tribal Mandatory and Discretionary Funds</t>
  </si>
  <si>
    <t>CCDF-ACF-PI-2013-08</t>
  </si>
  <si>
    <t>Financial Reporting for Indian Tribes: ACF-696T Form</t>
  </si>
  <si>
    <t>(Archived); PI plus 4 attachments (No pdf of 2 attachments so "Print to PDF" used for count)</t>
  </si>
  <si>
    <t>CCDF-ACF-PI-2013-07</t>
  </si>
  <si>
    <t>CCDF-ACF-PI-2013-06</t>
  </si>
  <si>
    <t>Quality Performance Report (ACF-118 Appendix 1) for the CCDF Program for the Fiscal Year 2013 (Archived)</t>
  </si>
  <si>
    <t>(Archived)?; PI plus 4 attachments (No PDF of 2 attachments so "Print to PDF" count used; 4 additional non-guidance attachments not included in count</t>
  </si>
  <si>
    <t>CCDF-ACF-PI-2013-05</t>
  </si>
  <si>
    <t>(Archived); PI plus 2 attachments (No PDF of PI so "Print to PDF" count used)</t>
  </si>
  <si>
    <t>CCDF-ACF-PI-2013-04</t>
  </si>
  <si>
    <t>Consolidating CCDF Under a 102-477 Indian Employment, Training, and Related Services Plan 2014</t>
  </si>
  <si>
    <t>CCDF-ACF-PI-2013-03</t>
  </si>
  <si>
    <t>FY 2014-2015 Tribal Application Plan Procedures for CCDF Grantees</t>
  </si>
  <si>
    <t>CCDF-ACF-PI-2013-02</t>
  </si>
  <si>
    <t>FY 2014 -2015 State/Territory Application Plan Procedures for CCDF Grantees (Archived)</t>
  </si>
  <si>
    <t>(Archived)?; PI plus 2 attachments</t>
  </si>
  <si>
    <t>CCDF-ACF-PI-2012-07</t>
  </si>
  <si>
    <t>Form ACF-696T—a Financial Reporting Form for Child Care and Development Fund (CCDF) Tribal Lead Agencies (Archived)</t>
  </si>
  <si>
    <t>CCDF-ACF-PI-2012-06</t>
  </si>
  <si>
    <t>CCDF Annual Report for Tribal Lead Agencies (Archived)</t>
  </si>
  <si>
    <t>CCDF-ACF-PI-2012-05</t>
  </si>
  <si>
    <t>ACF-800 Child Care Annual Aggregate Report and Instructions (Archived)</t>
  </si>
  <si>
    <t>(Archived); PI plus 3 attachments (No pdf of 1 attachment so "Print to PDF" used for count)</t>
  </si>
  <si>
    <t>CCDF-ACF-PI-2012-04</t>
  </si>
  <si>
    <t>FY2013 Child Care and Development Fund (CCDF) Tribal Mandatory and Discretionary Funds</t>
  </si>
  <si>
    <t>CCDF-ACF-PI-2012-03</t>
  </si>
  <si>
    <t>Consolidating CCDF Under a 102-477 Indian Employment, Training, and Related Services Plan 2012 (Archive)</t>
  </si>
  <si>
    <t>CCDF-ACF-PI-2012-02</t>
  </si>
  <si>
    <t>Quality Performance Report (ACF-118 Appendix 1) for the CCDF Program for the Fiscal Year 2012 (Archived)</t>
  </si>
  <si>
    <t>CCDF-ACF-PI-2012-01</t>
  </si>
  <si>
    <t>Revised ACF-801 Child Care Monthly Case Record Form and Instructions (Archived)</t>
  </si>
  <si>
    <t>CCDF-ACF-PI-2011-05</t>
  </si>
  <si>
    <t>Data Reporting for Indian Tribes: ACF-700 Form (Archived)</t>
  </si>
  <si>
    <t>(Archived); attachments not included in PDF or web</t>
  </si>
  <si>
    <t>CCDF-ACF-PI-2011-04</t>
  </si>
  <si>
    <t>Financial Reporting for Indian Tribes: ACF-696T Form  (Archived)</t>
  </si>
  <si>
    <t>(Archived); PI plus 2 attachments (2 additional attachments no included because no links)</t>
  </si>
  <si>
    <t>CCDF-ACF-PI-2011-02</t>
  </si>
  <si>
    <t>FY 2011 Application and Plan Procedures for 102-477 Grantees (Archived)</t>
  </si>
  <si>
    <t>CCDF-ACF-PI-2011-03</t>
  </si>
  <si>
    <t>Revised State/Territory required Plan Preprint (ACF-118) for the CCDF program for the FY 2012-2013 biennium (Archived)</t>
  </si>
  <si>
    <t>CCDF-ACF-PI-2011-01</t>
  </si>
  <si>
    <t>FY 2011 Tribal Application Plan Procedures for CCDF Grantees</t>
  </si>
  <si>
    <t>CCDF-ACF-PI-2010-08</t>
  </si>
  <si>
    <t>Annual Report (Form ACF-700 and Supplemental Narrative) for Tribal Lead Agencies (Archived)</t>
  </si>
  <si>
    <t>CCDF-ACF-PI-2010-07</t>
  </si>
  <si>
    <t>Financial Reporting for Indian Tribes: ACF-696T Form (Archived)</t>
  </si>
  <si>
    <t>CCDF-ACF-PI-2010-06</t>
  </si>
  <si>
    <t>Program Integrity, Financial Accountability, Access to Child Care (Archived)</t>
  </si>
  <si>
    <t>CCDF-ACF-PI-2010-04</t>
  </si>
  <si>
    <t>CCDF-ACF-PI-2010-05</t>
  </si>
  <si>
    <t>(Archived)?; attachments not included in PDF or web</t>
  </si>
  <si>
    <t>CCDF-ACF-PI-2013-01</t>
  </si>
  <si>
    <t>CCDF Construction and Renovation Procedures for Indian Tribes (Archived)</t>
  </si>
  <si>
    <t>CCDF-ACF-PI-2010-03</t>
  </si>
  <si>
    <t>CCDF-ACF-PI-2010-02</t>
  </si>
  <si>
    <t>Wage Rate and Buy American Requirements for American Recovery and Reinvestment Act (ARRA) of 2009 Grant Awards (Archived)</t>
  </si>
  <si>
    <t>CCDF-ACF-PI-2010-01</t>
  </si>
  <si>
    <t>Revised ACF-800 Child Care Annual Aggregate Report and Instructions (Archived)</t>
  </si>
  <si>
    <t>CCDF-ACF-PI-2009-09</t>
  </si>
  <si>
    <t>Financial Reporting for Indian Tribes: ACF-696T Form, ARRA of 2009 (Archived)</t>
  </si>
  <si>
    <t>(Archived); PI plus 1 attachment (No pdf of 1 attachment so "Print to PDF" used for count; 2 other attachments no included because no PDF or web link)</t>
  </si>
  <si>
    <t>CCDF-ACF-PI-2009-08</t>
  </si>
  <si>
    <t>CCDF Financial Reporting Form ACF-696 for FY 2009 Grant Award, ARRA of 2009</t>
  </si>
  <si>
    <t>CCDF-ACF-PI-2009-07</t>
  </si>
  <si>
    <t>CCDF-ACF-PI-2009-06</t>
  </si>
  <si>
    <t>FY 2010 Application and Plan Procedures for 102-477 Grantees (Archived)</t>
  </si>
  <si>
    <t>CCDF-ACF-PI-2009-04</t>
  </si>
  <si>
    <t>FY 2010 Tribal Application Plan Procedures for CCDF Grantees (Archived)</t>
  </si>
  <si>
    <t>CCDF-ACF-PI-2009-05</t>
  </si>
  <si>
    <t>State/Territory Plan Preprint (ACF-118) for the Child Care and Development Fund (CCDF) program for the Fiscal Year (FY) 2010-2011 biennium</t>
  </si>
  <si>
    <t>CCDF-ACF-PI-2009-03</t>
  </si>
  <si>
    <t>American Recovery and Reinvestment Act (ARRA) of 2009 (Archived)</t>
  </si>
  <si>
    <t>CCDF-ACF-PI-2009-02</t>
  </si>
  <si>
    <t>Market Rate Surveys (Archived)</t>
  </si>
  <si>
    <t>CCDF-ACF-PI-2009-01</t>
  </si>
  <si>
    <t>Approval of Plan Amendments</t>
  </si>
  <si>
    <t>CCDF-ACF-PI-2008-01</t>
  </si>
  <si>
    <t>Verification of Citizenship and Immigration Status by Non-Profit Organizations and Head Start Grantees</t>
  </si>
  <si>
    <t>CCDF-ACF-PI-2007-08</t>
  </si>
  <si>
    <t>Error Rate Reporting (Improper Payments)</t>
  </si>
  <si>
    <t>ACYF-PI-CC-05-02</t>
  </si>
  <si>
    <t>Regulations Regarding Use of CCDF Funds for Research and Evaluation</t>
  </si>
  <si>
    <t>ACYF-PI-CC-01-07</t>
  </si>
  <si>
    <t>Limited English Proficiency (Archived)</t>
  </si>
  <si>
    <t>ACYF-PI-CC-00-04</t>
  </si>
  <si>
    <t>Clarifying policy regarding limits on the use of Social Security Numbers under the CCDF and the Privacy Act of 1974</t>
  </si>
  <si>
    <t>ACYF-PI-CC-99-05</t>
  </si>
  <si>
    <t>Quality Expansion Activities</t>
  </si>
  <si>
    <t>ACYF-PI-CC-98-08</t>
  </si>
  <si>
    <t>Clarification of Interpretation of "Federal Public Benefit" Regarding CCDF Services (Archived)</t>
  </si>
  <si>
    <t>#1r-v9</t>
  </si>
  <si>
    <t>ACF- 800 State-Level Data Standards </t>
  </si>
  <si>
    <t>TB plus 2 attachments (extra excel of form not included in count)</t>
  </si>
  <si>
    <t>#2</t>
  </si>
  <si>
    <t>ACF-801 Technical Bulletin</t>
  </si>
  <si>
    <t>The guidance related to whether States should submit full population versus sample data in Technical Bulletin #2 is no longer applicable. States have determined which approach to use. For States considering to change from sample to full-population reporting refer to Technical Bulletin #5 for further details.</t>
  </si>
  <si>
    <t>#3r-v9</t>
  </si>
  <si>
    <t>ACF-801 Case-Level Data Standards</t>
  </si>
  <si>
    <t>#4r-v7</t>
  </si>
  <si>
    <t>ACF-801 Case-Level Data File Format </t>
  </si>
  <si>
    <t>#5r-v4</t>
  </si>
  <si>
    <t>ACF-801 Case-Level Data Submission Guidelines</t>
  </si>
  <si>
    <t>#6r-v5</t>
  </si>
  <si>
    <t>The guidance related to the procedures for electronically transmitting ACF-801 Data Files in the original Technical Bulletin #6r-v5 is no longer applicable because the OCCIS data submission site is retired. ACF-801 data is now submitted in the Child Care Automated Reporting System (CARS). Please refer to Technical Bulletin #9 for further guidance.</t>
  </si>
  <si>
    <t>#7</t>
  </si>
  <si>
    <t>The guidance related to the use of Social Security Numbers (SSN) in the original Technical Bulletin #7 is no longer applicable. The 2014 reauthorization of the CCDF Grant Program (Public law 113-186) prohibits SSNs from being collected by OCC. Please refer to Technical Bulletins #3 and #4 for further details.</t>
  </si>
  <si>
    <t>#8r-v7</t>
  </si>
  <si>
    <t>ACF-801 Clarifications </t>
  </si>
  <si>
    <t>#9r-v6</t>
  </si>
  <si>
    <t>Using the ACF-801 Data Assessment Reports </t>
  </si>
  <si>
    <t>also found via this link "Child Care and Development Fund Uploading the ACF-801 into CARS and Using the ACF-801 Data Assessment Report"</t>
  </si>
  <si>
    <t>#11r-v6</t>
  </si>
  <si>
    <t>ACF-700 and Other Tribal CCDF Reporting Requirements: Frequently Asked Questions </t>
  </si>
  <si>
    <t>#12r-v3</t>
  </si>
  <si>
    <t>ACF-700 CCDF Clarifications</t>
  </si>
  <si>
    <t>#13r-v3</t>
  </si>
  <si>
    <t>ACF-700 Technical Bulletins</t>
  </si>
  <si>
    <t>No info provided about why no link available</t>
  </si>
  <si>
    <t>#14r-v3</t>
  </si>
  <si>
    <t>CCDF Reporting Clarifications for Tribally Operated Centers</t>
  </si>
  <si>
    <t>#17</t>
  </si>
  <si>
    <t>ACF-700 Part 3 Data Standards and FAQs</t>
  </si>
  <si>
    <t>2024 Child Care and Development Fund Final Rule: Frequently Asked Questions</t>
  </si>
  <si>
    <t>No PDF so count is "Print to PDF" pages</t>
  </si>
  <si>
    <t>Child Care and Development Fund Frequently Asked Questions</t>
  </si>
  <si>
    <t>How many children and families are currently being served by CCDF?</t>
  </si>
  <si>
    <t>What is the Child Care and Development Fund (CCDF)?</t>
  </si>
  <si>
    <t>How is the CCDF Plan organized?</t>
  </si>
  <si>
    <t>What does conditional approval mean?</t>
  </si>
  <si>
    <t>Will OCC continually update these documents to reflect ongoing progress in implementation?</t>
  </si>
  <si>
    <t>What are the deadlines for implementing the new provisions in the CCDBG Act of 2014?</t>
  </si>
  <si>
    <t>Why is the OCC releasing the FY 2016-2018 Child Care and Development Fund (CCDF) Plans?</t>
  </si>
  <si>
    <t>What was OCC’s approach to reviewing waiver requests?</t>
  </si>
  <si>
    <t>Has a Final Rule been issued to implement the CCDBG Act?</t>
  </si>
  <si>
    <t>What items are included in the FY 2016-2018 CCDF Plans?</t>
  </si>
  <si>
    <t>What are waiver requests?</t>
  </si>
  <si>
    <t>Why does the conditional approval of the Plan not constitute a final determination regarding payment rates and equal access?</t>
  </si>
  <si>
    <t>Who should be contacted if we have questions about the CCDF Plan?</t>
  </si>
  <si>
    <t>How will the new law help working low-income parents achieve financial stability?</t>
  </si>
  <si>
    <t>How does reauthorization change funding for the CCDF program?</t>
  </si>
  <si>
    <t>How does the Tribal Plan extension impact the 102-477 Tribes?</t>
  </si>
  <si>
    <t>What is the new requirement for graduated phase-out of assistance?</t>
  </si>
  <si>
    <t>What does it mean to not unduly disrupt employment?</t>
  </si>
  <si>
    <t>What does it mean for a Market Rate survey to be “statistically valid and reliable”?</t>
  </si>
  <si>
    <t>Does the law still allow States to exempt certain providers from licensing requirements?</t>
  </si>
  <si>
    <t>What are the monitoring requirements of the new law?</t>
  </si>
  <si>
    <t>How will the law support expanded supply of quality child care providers?</t>
  </si>
  <si>
    <t>Will existing infant and toddler targeted funds remain in place?</t>
  </si>
  <si>
    <t>What would make a child care staff member ineligible for employment?</t>
  </si>
  <si>
    <t>Who is affected by the new law?</t>
  </si>
  <si>
    <t>How will the new law support child development and school readiness?</t>
  </si>
  <si>
    <t>How are States to make available the results of monitoring and inspections?</t>
  </si>
  <si>
    <t>Do States have to provide information about developmental screenings?</t>
  </si>
  <si>
    <t>Does the law specify a length of time for re-determining a family’s eligibility?</t>
  </si>
  <si>
    <t>Do special requirements apply to how states serve homeless families?</t>
  </si>
  <si>
    <t>Are States required to take into account the cost of providing high quality child care?</t>
  </si>
  <si>
    <t>Does the new law require group size limits or child-to-provider ratios?</t>
  </si>
  <si>
    <t>What information about background checks must States make publicly available?</t>
  </si>
  <si>
    <t>When must a State have policies and procedures for background checks in place?</t>
  </si>
  <si>
    <t>How does the law help build a stable, effective early care and education workforce?</t>
  </si>
  <si>
    <t>Will targeted funds for school-age care/child care resource and referral remain in place?</t>
  </si>
  <si>
    <t>What does a comprehensive background check include under the new law?</t>
  </si>
  <si>
    <t>Does ACF intend to change the error rate reporting process?</t>
  </si>
  <si>
    <t>How will the new law make child care more healthy, safe, and high quality?</t>
  </si>
  <si>
    <t>Does the new law allow States to apply for waivers?</t>
  </si>
  <si>
    <t>How does CCDF reauthorization impact Tribal CCDF funding?</t>
  </si>
  <si>
    <t>How does the new law help parents make more informed child care choices?</t>
  </si>
  <si>
    <t>How is “timely payment” for child care services defined?</t>
  </si>
  <si>
    <t>Does the new law include health and safety requirements in specific topic areas?</t>
  </si>
  <si>
    <t>Do current regulations still apply and when will ACF issue a new proposed rule?</t>
  </si>
  <si>
    <t>What effective dates are specified in the law?</t>
  </si>
  <si>
    <t>Will ACF be extending the approved Tribal plans?</t>
  </si>
  <si>
    <t>May States use CCDF for child care resource and referral (CCR&amp;R) systems?</t>
  </si>
  <si>
    <t>Will States with a 6 month eligibility re-determination period have to change to 12 months?</t>
  </si>
  <si>
    <t>How does the law help build a supply of high quality providers caring for all children?</t>
  </si>
  <si>
    <t>Does the law allow States to use grants and contracts to build supply of high-quality child care?</t>
  </si>
  <si>
    <t>What are the new requirements regarding the market rate survey used to set payment rates?</t>
  </si>
  <si>
    <t>What alternative methodology can be used instead of a market rate survey?</t>
  </si>
  <si>
    <t>Must States use the current market rate survey or alternative methodology to set rates?</t>
  </si>
  <si>
    <t>What is meant by “generally accepted payment practices”?</t>
  </si>
  <si>
    <t>Does the new law require minimum health and safety trainings for CCDF providers?</t>
  </si>
  <si>
    <t>Are States required to post the results of monitoring and inspection visits?</t>
  </si>
  <si>
    <t>Who does the background check requirement apply to?</t>
  </si>
  <si>
    <t>Does the background check requirement apply to family child care providers?</t>
  </si>
  <si>
    <t>Are States required to have an appeals process?</t>
  </si>
  <si>
    <t>Are States allowed to publicly release the results of individual background checks?</t>
  </si>
  <si>
    <t>What are the costs of the comprehensive background check?</t>
  </si>
  <si>
    <t>Does the law require child care providers to acquire credentials to receive CCDF?</t>
  </si>
  <si>
    <t>Which quality activities count toward the quality set-aside?</t>
  </si>
  <si>
    <t>How will changes to eligibility change State processes to protect against improper payments?</t>
  </si>
  <si>
    <t>What are the purposes of CCDF?</t>
  </si>
  <si>
    <t>How can I keep up to date with information about implementation of the new law?</t>
  </si>
  <si>
    <t>Does reauthorization change the amount of mandatory or matching funds?</t>
  </si>
  <si>
    <t>What provisions in the new law are effective upon enactment?</t>
  </si>
  <si>
    <t>How will ACF determine compliance?</t>
  </si>
  <si>
    <t>What does CCDF reauthorization mean for Tribes?</t>
  </si>
  <si>
    <t>What is the deadline for States to post the results of inspection reports?</t>
  </si>
  <si>
    <t>What information must States make available on the consumer education website?</t>
  </si>
  <si>
    <t>Does the law require States to offer families a period of job search?</t>
  </si>
  <si>
    <t>Can homeless children receive CCDF if they don’t have immunizations or documentation?</t>
  </si>
  <si>
    <t>Does the law require States to pay for absence days?</t>
  </si>
  <si>
    <t>What are the new child abuse reporting requirements in the law?</t>
  </si>
  <si>
    <t>Can States use a differential monitoring strategy?</t>
  </si>
  <si>
    <t>How often must background checks be conducted?</t>
  </si>
  <si>
    <t>Are States required to protect the privacy of the results of the background checks?</t>
  </si>
  <si>
    <t>Does the quality set-aside apply to the full CCDF grant award?</t>
  </si>
  <si>
    <t>Does the law change how States spend on quality activities?</t>
  </si>
  <si>
    <t>What is CCDF Reauthorization?</t>
  </si>
  <si>
    <t>Technical Bulletin #1r-v5</t>
  </si>
  <si>
    <t>ACF-800 State-Level Data Standards – January 2016</t>
  </si>
  <si>
    <t>TB plus 1 attachment; Excel file not included in count</t>
  </si>
  <si>
    <t>Letter to Mayors re: CCDF COVID-19 Resources</t>
  </si>
  <si>
    <t>Letter to CCDF Administrators About the Legislation Guide</t>
  </si>
  <si>
    <t>Letter regarding IM-ACF-OA-2020-01</t>
  </si>
  <si>
    <t>Letter plus IM attachment</t>
  </si>
  <si>
    <t>CCDF Construction and Renovation Procedures for Indian Tribes</t>
  </si>
  <si>
    <t>Only available through "Resources" page; tagged as PI</t>
  </si>
  <si>
    <t>CCDF ACF-800 Form Instructions (Expires: 06/30/2015)</t>
  </si>
  <si>
    <t>Only available through "Resources" page; tagged as PI; No PDF so count is "Print to PDF" pages</t>
  </si>
  <si>
    <t>ACF-OCC-CCDF-PI2025-DRAFT</t>
  </si>
  <si>
    <t>Draft Guidance on Disaster Supplemental Funds for Child Care – 2023 and 2024</t>
  </si>
  <si>
    <t>FFY 2025-2027 CCDF Monitoring</t>
  </si>
  <si>
    <t xml:space="preserve">Nothing on page - but should there be? </t>
  </si>
  <si>
    <t>Child Care and Development Fund Plan Preprint for Tribes</t>
  </si>
  <si>
    <t>Appears under "Policy and Guidance"; No PDF so count is "Print to PDF" pages</t>
  </si>
  <si>
    <t>Extension of the ACF-218 Quality Progress Report Deadline</t>
  </si>
  <si>
    <t>Has the same Doc Number as the form PI; No PDF so count is "Print to PDF" pages</t>
  </si>
  <si>
    <t>Reporting CCDF Direct Services on ACF-801 During COVID-19</t>
  </si>
  <si>
    <t>Appears under "Policy and Guidance"</t>
  </si>
  <si>
    <t>Program Integrity and Accountability: Improper Payments</t>
  </si>
  <si>
    <t>Appears under "Policy and Guidance"; 5 total documents</t>
  </si>
  <si>
    <t>Summary of Child Care Provisions of Coronavirus Aid, Relief, and Economic Security Act or “CARES Act”</t>
  </si>
  <si>
    <t>Information about COVID-19 for CCDF Lead Agencies: Relevant Flexibilities in CCDF Law</t>
  </si>
  <si>
    <t>CCDF-ACF-PI-2018-01 Attachment</t>
  </si>
  <si>
    <t>List of Potential Options for Narrow Cost Analysis</t>
  </si>
  <si>
    <t>Appears under "Policy and Guidance"; No PDF so count is "Print to PDF" pages; not included with CCDF-ACF-PI-2018-01 as does not appear on that page</t>
  </si>
  <si>
    <t>CCDF Financial Reporting Form ACF-696 for FY 2009</t>
  </si>
  <si>
    <t>Policies/Resources for ing ECE Services for Homeless Children &amp; Families</t>
  </si>
  <si>
    <t>Timeliness of ACF-700 Data Submissions</t>
  </si>
  <si>
    <t>ACF-700 Reporting Tips</t>
  </si>
  <si>
    <t>Using the Child Care Automated Reporting System (CARS)</t>
  </si>
  <si>
    <t>CCDF Funding Allocations and Periods of Availability</t>
  </si>
  <si>
    <t>Timeliness of ACF-801 Data Submissions</t>
  </si>
  <si>
    <t>Overview of Case-Level Reporting for States and Territories (ACF-801)</t>
  </si>
  <si>
    <t>Submitting the ACF-800 via CARS</t>
  </si>
  <si>
    <t>ACF-800 Reporting Instructions/Definitions</t>
  </si>
  <si>
    <t>ACF-800: Child Care Automated Reporting System (CARS)</t>
  </si>
  <si>
    <t>State and Territory Responses to Emergency Preparedness Planning Questions: FY2010-2011 CCDF State Plans</t>
  </si>
  <si>
    <t>FY 2014-2015 CCDF Plan Preprint</t>
  </si>
  <si>
    <t>Appears under "Policy and Guidance"; draft of plan for public comment - not final version</t>
  </si>
  <si>
    <t>CDC Issues Flu Guidance</t>
  </si>
  <si>
    <t>Appears under "Policy and Guidance"; No PDF so count is "Print to PDF" pages; most links are broken or link to current CDC guidance</t>
  </si>
  <si>
    <t>Tribal CCDF Guide to Financial Management, Grants Administration, and Program Accountability</t>
  </si>
  <si>
    <t>CCDF-Specific Guidance to Transparency Act Requirements</t>
  </si>
  <si>
    <t>Child Welfare and Child Care Partnerships: Partnering with Families Involved in Child Care Subsidy Programs.</t>
  </si>
  <si>
    <t>Disregard of Federal Tax Refunds in Determining CCDF Eligibility</t>
  </si>
  <si>
    <t>OCS</t>
  </si>
  <si>
    <t>ACF-OCS-LIHEAP-AT-2025-01</t>
  </si>
  <si>
    <t>LIHEAP federal Fiscal Year 2025 (FY25) Quarterly Report Submission</t>
  </si>
  <si>
    <t>AT plus 1 attachment (excel of form not included in count)</t>
  </si>
  <si>
    <t>ACF-OCS-LIHEAP-AT-2025-02</t>
  </si>
  <si>
    <t>LIHEAP Performance Data Form FY 2024</t>
  </si>
  <si>
    <t>AT plus 2 attachments</t>
  </si>
  <si>
    <t>ACF-OCS-LIHEAP-AT-2025-03</t>
  </si>
  <si>
    <t>LIHEAP State-Tribe Agreements</t>
  </si>
  <si>
    <t>AT plus 1 attachment</t>
  </si>
  <si>
    <t>LIHEAP-AT-2025-04</t>
  </si>
  <si>
    <t>Model Plan Application for LIHEAP Funding for Federal Fiscal Year 2026 (FY26)</t>
  </si>
  <si>
    <t>AT plus 3 attachments</t>
  </si>
  <si>
    <t>LIHEAP-AT-2025-05</t>
  </si>
  <si>
    <t>LIHEAP Household Report Long Form and Short Form for Federal Fiscal Year (FFY) 2025</t>
  </si>
  <si>
    <t>AT plus 4 attachments</t>
  </si>
  <si>
    <t>LIHEAP-AT-2024-01</t>
  </si>
  <si>
    <t>LIHEAP Performance Data Form for FY 2023</t>
  </si>
  <si>
    <t>ACF-OCS-LIHEAP-AT-2024-02</t>
  </si>
  <si>
    <t>LIHEAP Federal Fiscal Year (FY) 24 Quarterly Report Submission</t>
  </si>
  <si>
    <t>ACF-OCS-LIHEAP-AT-2024-03</t>
  </si>
  <si>
    <t>Model Plan Application for LIHEAP Funding for federal Fiscal Year (FY) 2025 (Application deadline Tuesday, September 3, 2024)</t>
  </si>
  <si>
    <t>AT plus 2 attachments (additional word version of PDF attachment not included in count)</t>
  </si>
  <si>
    <t>ACF-OCS-LIHEAP-AT- 2024-04</t>
  </si>
  <si>
    <t>ACF-OCS-LIHEAP-AT-2024-05</t>
  </si>
  <si>
    <t>LIHEAP Carryover and Reallotment Report for federal Fiscal Year 2024 (FY24)</t>
  </si>
  <si>
    <t>LIHEAP-AT-2024-06</t>
  </si>
  <si>
    <t>LIHEAP Household Report Long Form and Short Form for Federal Fiscal Year (FFY) 2024</t>
  </si>
  <si>
    <t>LIHEAP-AT-2023-01</t>
  </si>
  <si>
    <t>LIHEAP AT 2023-01 Household Report Long and Short Form for FFY 2022</t>
  </si>
  <si>
    <t>LIHEAP-AT-2023-02</t>
  </si>
  <si>
    <t>LIHEAP AT 2023-02 Performance Data Form for Federal Fiscal Year FFY 2022</t>
  </si>
  <si>
    <t>LIHEAP-AT-2023-03</t>
  </si>
  <si>
    <t>LIHEAP AT 2023-03 Quarterly Report Submission FY 2023</t>
  </si>
  <si>
    <t>AT plus 2 attachments (excel of form not included in count)</t>
  </si>
  <si>
    <t>LIHEAP-AT-2023-04</t>
  </si>
  <si>
    <t>LIHEAP AT 2023-04 Household Report Short and Long Form FY 2023</t>
  </si>
  <si>
    <t>AT plus 2 attachments (2 excel of forms not included in count)</t>
  </si>
  <si>
    <t>LIHEAP-AT-2023-05</t>
  </si>
  <si>
    <t>LIHEAP AT 2023-05 Model Plan Application for LIHEAP Funding for Federal Fiscal Year 2024</t>
  </si>
  <si>
    <t>LIHEAP-AT-2023-06</t>
  </si>
  <si>
    <t>LIHEAP AT 2023-06 Carryover and Reallotment Report for FFY 2023</t>
  </si>
  <si>
    <t>LIHEAP-AT-2022-01</t>
  </si>
  <si>
    <t>LIHEAP AT-2022-01 SF-425 Federal Financial Report Submissions FY2022</t>
  </si>
  <si>
    <t>LIHEAP-AT-2022-02</t>
  </si>
  <si>
    <t>LIHEAP AT-2022-02 Performance Data Form for Fiscal Year (FY) 2021</t>
  </si>
  <si>
    <t>LIHEAP-AT-2022-03</t>
  </si>
  <si>
    <t>LIHEAP AT-2022-03 Quarterly Report Submission FY 2022</t>
  </si>
  <si>
    <t>LIHEAP-AT-2022-04</t>
  </si>
  <si>
    <t>LIHEAP AT 2022-04 Model Plan Application for LIHEAP Funding for Federal Fiscal Year (FY) 2023</t>
  </si>
  <si>
    <t>LIHEAP-AT-2022-05</t>
  </si>
  <si>
    <t>LIHEAP AT 2022-05 Carryover and Reallotment Report for FFY 2022</t>
  </si>
  <si>
    <t>LIHEAP-AT-2021-01</t>
  </si>
  <si>
    <t>LIHEAP AT-2021-01 Reinstatement without Change of the FY 2020 Residential Energy Consumption Survey (RECS)</t>
  </si>
  <si>
    <t>LIHEAP-AT-2021-02</t>
  </si>
  <si>
    <t>LIHEAP AT-2021-02 Performance Data Form for FY 2020</t>
  </si>
  <si>
    <t>LIHEAP-AT-2021-03</t>
  </si>
  <si>
    <t>LIHEAP AT-2021-03 Model Plan AT FY2022</t>
  </si>
  <si>
    <t>LIHEAP-AT-2021-04</t>
  </si>
  <si>
    <t>LIHEAP AT-2021-04 Carryover Reallotment FY2021</t>
  </si>
  <si>
    <t>LIHEAP-AT-2021-05</t>
  </si>
  <si>
    <t>LIHEAP AT-2021-05 Household Report FY2021</t>
  </si>
  <si>
    <t>LIHEAP-AT-2020-01</t>
  </si>
  <si>
    <t>LIHEAP Performance Data Form for Fiscal Year (FY) 2019,</t>
  </si>
  <si>
    <t>LIHEAP-AT-2020-02</t>
  </si>
  <si>
    <t>Household Report Long and Short Form FY 2019</t>
  </si>
  <si>
    <t>LIHEAP-AT-2020-03</t>
  </si>
  <si>
    <t>Carryover and Reallotment Report FY 2019</t>
  </si>
  <si>
    <t>LIHEAP-AT-2020-04</t>
  </si>
  <si>
    <t>Model Plan Application for Funding FY 2021</t>
  </si>
  <si>
    <t>LIHEAP-AT-2020-05</t>
  </si>
  <si>
    <t>Carryover and Reallotment Report FY 2020</t>
  </si>
  <si>
    <t>LIHEAP-AT-2020-06</t>
  </si>
  <si>
    <t>Household Report Long and Short Form FY 2020</t>
  </si>
  <si>
    <t>LIHEAP-AT-2020-07</t>
  </si>
  <si>
    <t>Standard Form (SF) 425 for Federal Fiscal Year (FFY) 2020</t>
  </si>
  <si>
    <t>LIHEAP-AT-2019-01</t>
  </si>
  <si>
    <t>LIHEAP Performance Data Form for Fiscal Year (FY) 2018</t>
  </si>
  <si>
    <t>AT plus 1 attachment (No PDF of AT so "Print to PDF" count used)</t>
  </si>
  <si>
    <t>LIHEAP-AT-2019-02</t>
  </si>
  <si>
    <t>Household Report Long and Short Form FY 2018</t>
  </si>
  <si>
    <t>AT plus 2 attachments (No PDF of AT so "Print to PDF" count used)</t>
  </si>
  <si>
    <t>LIHEAP-AT-2019-03</t>
  </si>
  <si>
    <t>Model Plan Application for LIHEAP Funding for Fiscal Year (FY) 2020</t>
  </si>
  <si>
    <t>LIHEAP-AT-2018-01</t>
  </si>
  <si>
    <t>Model Plan Application for LIHEAP Funding for Fiscal Year (FY) 2018</t>
  </si>
  <si>
    <t>No PDFs so "Print to PDF" count used</t>
  </si>
  <si>
    <t>LIHEAP-AT-2018-02</t>
  </si>
  <si>
    <t>Household Report Short Form and Long Form for Federal Fiscal Year (FY) 2017</t>
  </si>
  <si>
    <t>LIHEAP-AT-2018-03</t>
  </si>
  <si>
    <t>Revised FFY 2017 LIHEAP Carryover and Reallotment Report</t>
  </si>
  <si>
    <t>AT plus 3 attachments (No PDF of AT so "Print to PDF" count used)</t>
  </si>
  <si>
    <t>LIHEAP-AT-2018-04</t>
  </si>
  <si>
    <t>LIHEAP Performance Data Form for Fiscal Year (FY) 2017</t>
  </si>
  <si>
    <t>No PDF so "Print to PDF" count used</t>
  </si>
  <si>
    <t>LIHEAP-AT-2018-05</t>
  </si>
  <si>
    <t>Model Plan Application for LIHEAP Funding for Fiscal Year 2019</t>
  </si>
  <si>
    <t>LIHEAP-AT-2018-06</t>
  </si>
  <si>
    <t>LIHEAP Performance Data Form for Fiscal Year 2017</t>
  </si>
  <si>
    <t>LIHEAP-AT-2017-01</t>
  </si>
  <si>
    <t>FY 2016 Carryover and Reallotment Report</t>
  </si>
  <si>
    <t>LIHEAP-AT-2017-02</t>
  </si>
  <si>
    <t>LIHEAP Performance Data Form for Fiscal Year (FY) 2016</t>
  </si>
  <si>
    <t>LIHEAP-AT-2017-03</t>
  </si>
  <si>
    <t>2015 RECS LIHEAP Household Administrative Data Matching</t>
  </si>
  <si>
    <t>LIHEAP-AT-2017-04</t>
  </si>
  <si>
    <t>Model Plan Application for LIHEAP Funding for Fiscal Year (FY) 2018 (Application deadline TBD)</t>
  </si>
  <si>
    <t>LIHEAP-AT-2016-01</t>
  </si>
  <si>
    <t>FY 2015 Carryover and Reallotment Report</t>
  </si>
  <si>
    <t>LIHEAP-AT-2016-02</t>
  </si>
  <si>
    <t>LIHEAP Household Report Short Form and Long Form for Federal Fiscal Year (FY) 2015</t>
  </si>
  <si>
    <t>LIHEAP-AT-2016-03</t>
  </si>
  <si>
    <t>LIHEAP Performance Data Form for Fiscal Year (FY) 2015</t>
  </si>
  <si>
    <t>LIHEAP-AT-2016-04</t>
  </si>
  <si>
    <t>LIHEAP Performance Data Form Revised Instructions for Fiscal Year 2015</t>
  </si>
  <si>
    <t>LIHEAP-AT-2016-05</t>
  </si>
  <si>
    <t>Revised Reporting Instructions for the LIHEAP Household Report</t>
  </si>
  <si>
    <t>LIHEAP-AT-2016-06</t>
  </si>
  <si>
    <t>Model Plan Application for Funding for FY 2017 (All Applications Due September 1, 2016</t>
  </si>
  <si>
    <t>LIHEAP-AT-2014-06</t>
  </si>
  <si>
    <t>Correction Needed to LIHEAP Grantee Survey for Federal Fiscal Year (FFY) 2013</t>
  </si>
  <si>
    <t>LIHEAP-AT-2015-02</t>
  </si>
  <si>
    <t>LIHEAP Performance Data Form for Fiscal Year (FY) 2014</t>
  </si>
  <si>
    <t>AT plus 1 attachment (No PDF of AT so "Print to PDF" count used; 1 excel form not included in count)</t>
  </si>
  <si>
    <t>LIHEAP-AT-2015-03</t>
  </si>
  <si>
    <t>Model Plan Application for LIHEAP Funding for Fiscal Year (FY) 2016 (All Applications due September 1, 2015)</t>
  </si>
  <si>
    <t>LIHEAP-AT-2014-01</t>
  </si>
  <si>
    <t>LIHEAP Grantee Survey for Federal Fiscal Year (FFY) 2013</t>
  </si>
  <si>
    <t>LIHEAP-AT-2014-02</t>
  </si>
  <si>
    <t>LIHEAP Carryover and Reallotment Report</t>
  </si>
  <si>
    <t>AT plus 2 attachments (No PDF of AT so "Print to PDF" count used; duplicate word version of PDF attachment not included in count)</t>
  </si>
  <si>
    <t>LIHEAP-AT-2014-03</t>
  </si>
  <si>
    <t>LIHEAP Model Plan Application for FY 2015</t>
  </si>
  <si>
    <t>LIHEAP-AT-2014-04</t>
  </si>
  <si>
    <t>Estimates of Quarterly Obligations for the Fiscal Year (FY) 2015 Low Income Home Energy Assistance Program (LIHEAP)</t>
  </si>
  <si>
    <t>LIHEAP-AT-2014-05</t>
  </si>
  <si>
    <t>LIHEAP Household Report for Federal Fiscal Year (FFY) 2014 - Short Form and Long Form</t>
  </si>
  <si>
    <t>LIHEAP-AT-2013-01</t>
  </si>
  <si>
    <t>LIHEAP Grantee Survey for Federal Fiscal Year (FFY) 2012</t>
  </si>
  <si>
    <t>AT plus 2 attachments (No PDF of AT or 1 attachment so "Print to PDF" count used)</t>
  </si>
  <si>
    <t>LIHEAP-AT-2013-02</t>
  </si>
  <si>
    <t>Financial Reporting Requirements for All LIHEAP Grantees - SF 425 Report</t>
  </si>
  <si>
    <t>LIHEAP-AT-2013-03</t>
  </si>
  <si>
    <t>Carryover and Reallotment Report</t>
  </si>
  <si>
    <t>AT plus 1 attachment (No PDFs of AT or attachment so "Print to PDF" count used; 1 additional attachment not included in count because no link/PDF)</t>
  </si>
  <si>
    <t>LIHEAP-AT-2013-04</t>
  </si>
  <si>
    <t>LIHEAP Household Report for Federal Fiscal Year (FFY) 2013 - Short Form and Long Form</t>
  </si>
  <si>
    <t>AT plus 2 attachments (No PDFs so "Print to PDF" count used)</t>
  </si>
  <si>
    <t>LIHEAP-AT-2013-05</t>
  </si>
  <si>
    <t>LIHEAP Application Requirements for FY 2014 and Deadline for All Applications of September 1, 2013</t>
  </si>
  <si>
    <t>LIHEAP-AT-2013-06</t>
  </si>
  <si>
    <t>Estimates of Quarterly Obligations for the Fiscal Year (FY) 2013 Low Income Home Energy Assistance Program (LIHEAP)</t>
  </si>
  <si>
    <t>LIHEAP-AT-2012-01</t>
  </si>
  <si>
    <t>Financial Reporting Requirement for All LIHEAP Grantees--SF 425 Report</t>
  </si>
  <si>
    <t>LIHEAP-AT-2012-02</t>
  </si>
  <si>
    <t>LIHEAP Grantee Survey for Federal Fiscal Year (FFY) 2011</t>
  </si>
  <si>
    <t>No PDF so "Print to PDF" count used; No links/PDFs of attachments so not included in count</t>
  </si>
  <si>
    <t>LIHEAP-AT-2012-03</t>
  </si>
  <si>
    <t>Request for FY 2012 Applications for the Residential Energy Assistance Challenge Program (REACH)</t>
  </si>
  <si>
    <t>LIHEAP-AT-2012-04</t>
  </si>
  <si>
    <t>AT plus 2 attachments (No PDF of AT so "Print to PDF" count used; 1 excel form not included in count)</t>
  </si>
  <si>
    <t>LIHEAP-AT-2012-05</t>
  </si>
  <si>
    <t>LIHEAP Application Requirements for FY 2013 and Deadline of September 4, 2012 for All Applications</t>
  </si>
  <si>
    <t>LIHEAP-AT-2012-06</t>
  </si>
  <si>
    <t>No PDF so "Print to PDF" count used; 1 excel form not included in count</t>
  </si>
  <si>
    <t>LIHEAP-AT-2012-07</t>
  </si>
  <si>
    <t>Household Report for FFY 2012-Short Form and Long Form</t>
  </si>
  <si>
    <t>AT plus 2 attachments (No PDF of AT so "Print to PDF" count used; 2 excel form not included in count)</t>
  </si>
  <si>
    <t>LIHEAP-AT-2011-01</t>
  </si>
  <si>
    <t>LIHEAP Grantee Survey for Federal Fiscal Year (FFY) 2010,</t>
  </si>
  <si>
    <t>AT plus 1 attachment (No PDFs of AT or attachment so "Print to PDF" count used; 1 excel form not included in count)</t>
  </si>
  <si>
    <t>LIHEAP-AT-2011-02</t>
  </si>
  <si>
    <t>Financial Reporting Requirement for All LIHEAP Grantees — SF 269A Report,</t>
  </si>
  <si>
    <t>LIHEAP-AT-2011-03</t>
  </si>
  <si>
    <t>Carryover and Reallotment Report,</t>
  </si>
  <si>
    <t>LIHEAP-AT-2011-04</t>
  </si>
  <si>
    <t>LIHEAP Application Requirements for FY 2012 and Deadline for All Applications of September 1, 2011,</t>
  </si>
  <si>
    <t>LIHEAP-AT-2011-05</t>
  </si>
  <si>
    <t>Estimates of Quarterly Obligations for the Fiscal Year (FY) 2012 Low Income Home Energy Assistance Program (LIHEAP),</t>
  </si>
  <si>
    <t>LIHEAP-AT-2011-06</t>
  </si>
  <si>
    <t>LIHEAP Household Report for Federal Fiscal Year (FFY) 2011,</t>
  </si>
  <si>
    <t>AT plus 1 attachment (No PDF of AT so "Print to PDF" count used; 2 excel form not included in count)</t>
  </si>
  <si>
    <t>LIHEAP-AT-2010-8</t>
  </si>
  <si>
    <t>Financial Reporting Requirement for All LIHEAP Grantees - SF 269A Report,</t>
  </si>
  <si>
    <t>AT plus 1 attachment (No PDF of AT so "Print to PDF" count used; 1 excel form not included in count; 1 additional attachment no links/PDF so not included in count)</t>
  </si>
  <si>
    <t>LIHEAP-AT-2010-2</t>
  </si>
  <si>
    <t>LIHEAP Grantee Survey for Federal Fiscal Year (FFY) 2009,</t>
  </si>
  <si>
    <t>LIHEAP-AT-2010-3</t>
  </si>
  <si>
    <t>Request for FY 2010 Applications for the Residential Energy Assistance Challenge Program (REACH), Round 2</t>
  </si>
  <si>
    <t>LIHEAP-AT-2010-4</t>
  </si>
  <si>
    <t>Implementing LIHEAP Outcome Performance Measures</t>
  </si>
  <si>
    <t>AT plus 3 attachments (No PDFs so "Print to PDF" count used)</t>
  </si>
  <si>
    <t>LIHEAP-AT-2010-5</t>
  </si>
  <si>
    <t>Comments on extension of Office of Management and Budget (OMB) approval for the LIHEAP Grantee Survey,</t>
  </si>
  <si>
    <t>LIHEAP-AT-2010-6</t>
  </si>
  <si>
    <t>Plan Supplement Required for Fiscal Year (FY) 2011: LIHEAP Program Integrity Plan — Application for LIHEAP Funding</t>
  </si>
  <si>
    <t>AT plus 1 attachment (No PDFs so "Print to PDF" count used)</t>
  </si>
  <si>
    <t>LIHEAP-AT-2010-7</t>
  </si>
  <si>
    <t>State FY 2010 LIHEAP Household Administrative Data Matching,</t>
  </si>
  <si>
    <t>LIHEAP-AT-2010-9</t>
  </si>
  <si>
    <t>LIHEAP Household Report for Federal Fiscal Year (FFY) 2010</t>
  </si>
  <si>
    <t>LIHEAP Application Requirements for FY 2011 and Deadline for All Applications of September 1, 2010</t>
  </si>
  <si>
    <t>Page Not Found</t>
  </si>
  <si>
    <t>LIHEAP-AT-2010-11</t>
  </si>
  <si>
    <t>Estimates of Quarterly Obligations for the Fiscal Year (FY) 2011 Low Income Home Energy Assistance Program (LIHEAP)</t>
  </si>
  <si>
    <t>No PDF of AT so "Print to PDF" count used; 1 excel form not included in count</t>
  </si>
  <si>
    <t>LIHEAP-AT-2010-12</t>
  </si>
  <si>
    <t>Submission of leveraging reports on FY 2010 leveraging activities, in order to qualify for FY 2011 leveraging incentive fund grant awards and amendment of FY 2010 LIHEAP plans as necessary to add information on leveraging carried out in FY 2010</t>
  </si>
  <si>
    <t>ACF-OCS-LIHEAP-DCL-2025-01</t>
  </si>
  <si>
    <t>First Funding Release of Federal Fiscal Year 2025 (FY25)</t>
  </si>
  <si>
    <t>DCL plus 2 attachments</t>
  </si>
  <si>
    <t>ACF-OCS-LIHEAP-DCL-2025-02</t>
  </si>
  <si>
    <t>Final Funding Release of Federal Fiscal Year 2025 (FY25)</t>
  </si>
  <si>
    <t>LIHEAP-DCL-2024-01</t>
  </si>
  <si>
    <t>Proposed Changes to the LIHEAP Model Plan Application for federal Fiscal Year (FY) 2025</t>
  </si>
  <si>
    <t>LIHEAP-DCL-2024-02</t>
  </si>
  <si>
    <t>First LIHEAP Funding Announced Award of FY 2024</t>
  </si>
  <si>
    <t>Third Party Data Verification for LIHEAP Applications Webinar</t>
  </si>
  <si>
    <t>"Access to this page is restricted"</t>
  </si>
  <si>
    <t>ACF-OCS-LIHEAP-DCL-2024-04</t>
  </si>
  <si>
    <t>National Energy Assistance Day</t>
  </si>
  <si>
    <t>Three-Year Anniversary of the American Rescue Plan Act</t>
  </si>
  <si>
    <t>ACF-OCS-LIHEAP-DCL-2024-06</t>
  </si>
  <si>
    <t>Second Release of Federal Fiscal Year Funds FY24</t>
  </si>
  <si>
    <t>ACF-OCS-LIHEAP-DCL-2024-07</t>
  </si>
  <si>
    <t>Third federal Fiscal Year 2024 (FY24) LIHEAP Funding Release</t>
  </si>
  <si>
    <t>ACF-OCS-LIHEAP-DCL-2024-08</t>
  </si>
  <si>
    <t>Federal Fiscal Year 2025 (FY25) Training and Technical Assistance Planning (T/TA)</t>
  </si>
  <si>
    <t>ACF-OCS-LIHEAP-DCL-2024-09</t>
  </si>
  <si>
    <t>Reallotment of Federal Fiscal Year 2023 (FY23) LIHEAP Funds</t>
  </si>
  <si>
    <t>LIHEAP-DCL-2023-01</t>
  </si>
  <si>
    <t>LIHEAP First Funding Release FY 2023</t>
  </si>
  <si>
    <t>Announcing New DEA Senior Advisor</t>
  </si>
  <si>
    <t>LIHEAP-DCL-2023-03</t>
  </si>
  <si>
    <t>LIHEAP Second Supplemental Grant Funding Release</t>
  </si>
  <si>
    <t>LIHEAP-DCL-2023-04</t>
  </si>
  <si>
    <t>Upcoming/Temporary Regular LIHEAP Block Grant Drawdown Freeze</t>
  </si>
  <si>
    <t>LIHEAP-DCL-2023-05</t>
  </si>
  <si>
    <t>LIHEAP Third Funding Release FY 2023</t>
  </si>
  <si>
    <t>LIHEAP-DCL-2023-06</t>
  </si>
  <si>
    <t>LIHEAP Reporting Requirements</t>
  </si>
  <si>
    <t>LIHEAP-DCL-2023-07</t>
  </si>
  <si>
    <t>OCS Launches the LIHEAP Data Dashboard</t>
  </si>
  <si>
    <t>LIHEAP-DCL-2023-08</t>
  </si>
  <si>
    <t>LIHEAP Flexibilities During Hurricane and Tropical Storm Season</t>
  </si>
  <si>
    <t>Introducing New Division of Energy Assistance (DEA) and LIHEAP Leaders</t>
  </si>
  <si>
    <t>LIHEAP-DCL-2023-10</t>
  </si>
  <si>
    <t>Fiscal Year (FY) 2023 and First Quarter FY 2024 LIHEAP Monitoring Review Schedule</t>
  </si>
  <si>
    <t>LIHEAP-DCL-2023-11</t>
  </si>
  <si>
    <t>LIHEAP Fourth Funding Release FY 2023</t>
  </si>
  <si>
    <t>LIHEAP-DCL-2023-12</t>
  </si>
  <si>
    <t>LIHEAP Data Dashboard Update</t>
  </si>
  <si>
    <t>LIHEAP-DCL-2023-13</t>
  </si>
  <si>
    <t>Energy Efficiency Month Webinar-Utilizing Community Solar for LIHEAP Income Qualified Households</t>
  </si>
  <si>
    <t>No PDF of DCL so "Print to PDF" count used</t>
  </si>
  <si>
    <t>Application Streamline and Electronic Verification (ASEV) Workgroup</t>
  </si>
  <si>
    <t>LIHEAP-DCL-2023-15</t>
  </si>
  <si>
    <t>Reallotment of Federal Fiscal Year (FFY) 2022 LIHEAP Funds</t>
  </si>
  <si>
    <t>LIHEAP-DCL-2022-01</t>
  </si>
  <si>
    <t>LIHEAP First Funding Release FY2022</t>
  </si>
  <si>
    <t>Training and Technical Assistance Opportunities for Guidance on Emergency Rental Assistance (ERA)/LIHEAP Coordination</t>
  </si>
  <si>
    <t>LIHEAP-DCL-2022-03</t>
  </si>
  <si>
    <t>Preparation for LIHEAP Data Collection and Reporting Enhancements</t>
  </si>
  <si>
    <t>LIHEAP-DCL-2022-04</t>
  </si>
  <si>
    <t>Additional Training Opportunities for Guidance on Emergency Rental Assistance (ERA)/LIHEAP Coordination</t>
  </si>
  <si>
    <t>LIHEAP-DCL-2022-05</t>
  </si>
  <si>
    <t>Infrastructure Funding Release FY2022</t>
  </si>
  <si>
    <t>LIHEAP-DCL-2022-06</t>
  </si>
  <si>
    <t>National Energy Assistance Day FY2022</t>
  </si>
  <si>
    <t>LIHEAP-DCL-2022-07</t>
  </si>
  <si>
    <t>Additional Uses of Administrative Data Collected for the 2020 RECS Data Match,</t>
  </si>
  <si>
    <t>LIHEAP-DCL-2022-08</t>
  </si>
  <si>
    <t>Preparation for LIHEAP Quarterly Performance and Management Data Collection and Reporting</t>
  </si>
  <si>
    <t>DCL plus 1 attachment (1 excel duplicate of PDF attachment not included in count)</t>
  </si>
  <si>
    <t>LIHEAP-DCL-2022-09</t>
  </si>
  <si>
    <t>Training/Technical Assistance Opportunities for the LIHEAP Quarterly Performance and Management Reporting Requirements</t>
  </si>
  <si>
    <t>LIHEAP-DCL-2022-10</t>
  </si>
  <si>
    <t>Second Non-Supplemental FFY 2022 Block Grant Funding Release</t>
  </si>
  <si>
    <t>LIHEAP DCL-2022-11 Heat Stress FY2022</t>
  </si>
  <si>
    <t>LIHEAP DCL-2022-12 Heat Stress Webinars FY2022</t>
  </si>
  <si>
    <t>LIHEAP-DCL-2022-13</t>
  </si>
  <si>
    <t>Third/Final FY 2022 LIHEAP Non-Supplemental Funding Release</t>
  </si>
  <si>
    <t>LIHEAP-DCL-2022-14</t>
  </si>
  <si>
    <t>LIHEAP DCL-2022-14 Reallotment of FFY 2021 LIHEAP Funds FY2022</t>
  </si>
  <si>
    <t>OCS-DCL-2023-04</t>
  </si>
  <si>
    <t>FY 2023 LIHEAP Heating Season Toolkit, Updates to energyhelp.us, and Upcoming Audio News Releases</t>
  </si>
  <si>
    <t>OCS-DCL-2022-15</t>
  </si>
  <si>
    <t>OCS DCL-2022-15 OCS Relaunches Customer-Facing Energy Help Website FY2022</t>
  </si>
  <si>
    <t>LIHEAP-DCL-2021-01</t>
  </si>
  <si>
    <t>FY 2021 Funding Release</t>
  </si>
  <si>
    <t>DCL plus 2 attachments; Title of page incorrectly lists the Document number</t>
  </si>
  <si>
    <t>LIHEAP-DCL-2021-02</t>
  </si>
  <si>
    <t>National LIHEAP Grantee Virtual Training Conference FY21</t>
  </si>
  <si>
    <t>LIHEAP-DCL-2021-03</t>
  </si>
  <si>
    <t>LIHEAP Flexibilities During Winter Storm</t>
  </si>
  <si>
    <t>LIHEAP-DCL-2021-04</t>
  </si>
  <si>
    <t>Second FY 2021 LIHEAP Funding Release</t>
  </si>
  <si>
    <t>LIHEAP-DCL-2021-05</t>
  </si>
  <si>
    <t>FY 2021 Supplemental LIHEAP Funding Release under the American Rescue Plan Act of 2021</t>
  </si>
  <si>
    <t>LIHEAP-DCL-2021-07</t>
  </si>
  <si>
    <t>Call for Action: 40th Anniversary of Low Income Home Energy Assistance Program (LIHEAP) #LIHEAP40</t>
  </si>
  <si>
    <t>LIHEAP-DCL-2021-11</t>
  </si>
  <si>
    <t>LIHEAP DCL 2021-11 Reallotment of Federal Fiscal Year (FFY) 2020 LIHEAP Funds</t>
  </si>
  <si>
    <t>LIHEAP-DCL-2021-09</t>
  </si>
  <si>
    <t>Flex-Hurricane-Season FY2021</t>
  </si>
  <si>
    <t>LIHEAP-DCL-2020-01</t>
  </si>
  <si>
    <t>American Customer Satisfaction Index Survey on LIHEAP T&amp;TA</t>
  </si>
  <si>
    <t>LIHEAP-DCL-2020-02</t>
  </si>
  <si>
    <t>LIHEAP DCL Funding Release FY 2020</t>
  </si>
  <si>
    <t>DCL plus 2 attachments (No PDF of DCL so "Print to PDF" count used)</t>
  </si>
  <si>
    <t>LIHEAP-DCL-2020-03</t>
  </si>
  <si>
    <t>FY 2020 Compliance Review Monitoring Schedule</t>
  </si>
  <si>
    <t>LIHEAP-DCL-2020-04</t>
  </si>
  <si>
    <t>FY 2020 Second Funding Release</t>
  </si>
  <si>
    <t>LIHEAP-DCL-2020-08</t>
  </si>
  <si>
    <t>LIHEAP DCL Third Funding Release FY 2020</t>
  </si>
  <si>
    <t>LIHEAP-DCL-2020-10</t>
  </si>
  <si>
    <t>CARES Act Supplemental Funding FY2020</t>
  </si>
  <si>
    <t>LIHEAP-DCL-2020-12</t>
  </si>
  <si>
    <t>LIHEAP DCL 2020-12 Reallotment of Federal Fiscal Year (FFY) 2019 Funds</t>
  </si>
  <si>
    <t>LIHEAP-DCL-2020-05</t>
  </si>
  <si>
    <t>DCL Partnership to Address the Spread of COVID-19</t>
  </si>
  <si>
    <t>LIHEAP-DCL-2020-06</t>
  </si>
  <si>
    <t>ACF Grant Flexibilities in Conducting Human Service Activities Related to or Affected by COVID-19</t>
  </si>
  <si>
    <t>DCL plus 1 attachment</t>
  </si>
  <si>
    <t>LIHEAP-DCL-2020-07</t>
  </si>
  <si>
    <t>Initial COVID-19 Program Guidance</t>
  </si>
  <si>
    <t>Invitation to comment on the Council on Economic Mobility’s Request for Information</t>
  </si>
  <si>
    <t>FY 2019 Regular Block Grant Funding Release</t>
  </si>
  <si>
    <t>FY 2019 Compliance Review Monitoring Schedule</t>
  </si>
  <si>
    <t>LIHEAP-DCL-2019-03</t>
  </si>
  <si>
    <t>New Format and Defined Use for OCS’ ATs, DCLs, and IMs</t>
  </si>
  <si>
    <t>LIHEAP-DCL-2019-04</t>
  </si>
  <si>
    <t>2019 LIHEAP Training Meeting</t>
  </si>
  <si>
    <t>FY 2018 Funding Release</t>
  </si>
  <si>
    <t>DCL plus 3 attachments (No PDF of DCL so "Print to PDF" count used)</t>
  </si>
  <si>
    <t>Tribal Training through Tribal Tech, LLC</t>
  </si>
  <si>
    <t>2018 National LIHEAP Training Meeting</t>
  </si>
  <si>
    <t>FY 2018 Second and Final LIHEAP Funding Release</t>
  </si>
  <si>
    <t>Release of Preliminary FFY 2016 and FFY 2015 LIHEAP Data</t>
  </si>
  <si>
    <t>Reallotment of FY 2017 LIHEAP Funding</t>
  </si>
  <si>
    <t>Annual Tribal Consultation Meeting</t>
  </si>
  <si>
    <t>Release of Approximately $3.09 Billion of Regular Block Grant Funding FY 2017</t>
  </si>
  <si>
    <t>Webinar Behind on Bills Financial Coaching Tool</t>
  </si>
  <si>
    <t>2017 OCS National Grantee Training Meeting</t>
  </si>
  <si>
    <t>Announcement of the Public Launch of the Performance Management Website</t>
  </si>
  <si>
    <t>FY 2017 Second/Final LIHEAP Funding Release</t>
  </si>
  <si>
    <t>Release of Reallotment Funds from FY 2016</t>
  </si>
  <si>
    <t>"Page not found"</t>
  </si>
  <si>
    <t>Reallotment of FY 2014 LIHEAP Funds</t>
  </si>
  <si>
    <t>FY 2016 Funding Release</t>
  </si>
  <si>
    <t>2015 Native Heritage Youth Empowerment</t>
  </si>
  <si>
    <t>LIHEAP DCL Extension to the A-87 Cost Allocation Exception</t>
  </si>
  <si>
    <t>Grantee Participation at a 2016 LIHEAP Regional Conference Strongly Encouraged</t>
  </si>
  <si>
    <t>Affordable Care Act Study</t>
  </si>
  <si>
    <t>Webinar on HHS Online Community Services</t>
  </si>
  <si>
    <t>Second FY 2016 LIHEAP Funding Release</t>
  </si>
  <si>
    <t>Extreme Heat Week Resources May 23-27th</t>
  </si>
  <si>
    <t>DCL plus 1 attachment (No PDF of DCL so "Print to PDF" count used)</t>
  </si>
  <si>
    <t>LIHEAP Grantee Training and Technical Assistance</t>
  </si>
  <si>
    <t>Free Financial Capability Integration Technical Assistance Opportunity</t>
  </si>
  <si>
    <t>Summer 2016 Heat Wave and LIHEAP Assistance</t>
  </si>
  <si>
    <t>Recent Zika Virus Outbreak</t>
  </si>
  <si>
    <t>LIHEAP FY 2016 Third Funding Release and Anticipated Reallotment</t>
  </si>
  <si>
    <t>DCL plus 4 attachments (No PDF of DCL so "Print to PDF" count used)</t>
  </si>
  <si>
    <t>Update on the Status of Reallotment Award Letters for FY 2015</t>
  </si>
  <si>
    <t>Reallotment of FY 2015 Funds into FY 2016</t>
  </si>
  <si>
    <t>Webinar on "Behind on Bills</t>
  </si>
  <si>
    <t>Deadlines Postponed for Some FY 2015 LIHEAP Reports</t>
  </si>
  <si>
    <t>2015 LIHEAP Funding Release</t>
  </si>
  <si>
    <t>New DEA Staff</t>
  </si>
  <si>
    <t>Information and Resources Related to Financial Capability</t>
  </si>
  <si>
    <t>FY 2016 Budget</t>
  </si>
  <si>
    <t>Grantee Mentoring Program</t>
  </si>
  <si>
    <t>2015 Grantee Training Meeting</t>
  </si>
  <si>
    <t>FY 2015 Second LIHEAP Funding Release</t>
  </si>
  <si>
    <t>Reminder of Deadline for Final LIHEAP Household Report Data for FFY 2014</t>
  </si>
  <si>
    <t>LIHEAP Tribal Webinars</t>
  </si>
  <si>
    <t>OMB Clearance of New LIHEAP Performance Measures and Upcoming Webinars on Federal LIHEAP Performance Reporting Requirements</t>
  </si>
  <si>
    <t>Affordable Care Act Outreach and Open Enrollment</t>
  </si>
  <si>
    <t>Family Violence Awareness Month in October</t>
  </si>
  <si>
    <t>Release of Approximately $3.05 Billion of Regular Block Grant Funding for FY 2015</t>
  </si>
  <si>
    <t>LIHEAP Contracts Awarded in September 2014</t>
  </si>
  <si>
    <t>LIHEAP Plan and OLDC Updates</t>
  </si>
  <si>
    <t>Two-Year Anniversary of the American Rescue Plan Act</t>
  </si>
  <si>
    <t>OCS-DCL-2022-04</t>
  </si>
  <si>
    <t>OCS DCL-2022-04 Resources to Assist Older Adults and People with Disabilities in Economic Recovery</t>
  </si>
  <si>
    <t>One-Year Anniversary of the American Rescue Plan Act Observance</t>
  </si>
  <si>
    <t>Reallotment of FY 2013 LIHEAP Funds</t>
  </si>
  <si>
    <t>Release of Research Brief on Energy Assistance Funding Applications</t>
  </si>
  <si>
    <t>Final FY 2014 LIHEAP Budget</t>
  </si>
  <si>
    <t>Announcement of the National Energy Assistance Directors Association (NEADA) Webinars</t>
  </si>
  <si>
    <t>Webinar on Preparing for a Federal LIHEAP Monitoring Review</t>
  </si>
  <si>
    <t>LIHEAP Public Comment Open on LIHEAP Activities</t>
  </si>
  <si>
    <t>FY 2014 Appropriation Release of LIHEAP Regular Block Grant Funds</t>
  </si>
  <si>
    <t>State LIHEAP Grantee Needs Assessment on Third-Party Verification and Data Collection Capacity</t>
  </si>
  <si>
    <t>LIHEAP Grantee Participation at a 2014 LIHEAP Regional Training Workshop Strongly Encouraged</t>
  </si>
  <si>
    <t>Revisions to the Proposed New LIHEAP Performance Measures</t>
  </si>
  <si>
    <t>DCL plus 1 attachment (No PDF of DCL so "Print to PDF" count used; 1 additional excel attachment not included in count)</t>
  </si>
  <si>
    <t>Reminder of Deadline for Final FFY 2013 Household Report Data</t>
  </si>
  <si>
    <t>FY 2014 LIHEAP Allocation for Territories</t>
  </si>
  <si>
    <t>Initial FY 2014 Funding Release</t>
  </si>
  <si>
    <t>LIHEAP Federal Regulations at 45 C.F.R. § 96.49 for Tribal Grantees</t>
  </si>
  <si>
    <t>LIHEAP Federal Regulations at 45 C.F.R. § 96.49 for State and Territory Grantees</t>
  </si>
  <si>
    <t>No PDF of DCL so "Print to PDF" count used (date on DCL page says 12/21/2012, but actual page and Resources page says 2013)</t>
  </si>
  <si>
    <t>CR Notice regarding the LIHEAP Leveraging Incentive Program</t>
  </si>
  <si>
    <t>The Office of Community Services awarded four new contracts that will help support improved program integrity in the Low Income Home Energy Assistance Program</t>
  </si>
  <si>
    <t>LIHEAP DCL Clearinghouse Report Outlining Recommendations for Improving Program Integrity</t>
  </si>
  <si>
    <t>LIHEAP DCL Four Contract Solicitations</t>
  </si>
  <si>
    <t>LIHEAP Disaster Relief and Outreach in the Wake of Recent Storms and Power Outages,</t>
  </si>
  <si>
    <t>LIHEAP DCL About an Upcoming GAO Request</t>
  </si>
  <si>
    <t>Teleconference/Webinar for Tribal and Territory Grantees on Plan Requirements for the Low Income Home Energy Assistance Program (LIHEAP),</t>
  </si>
  <si>
    <t>Best Practice Exchange in Building an Effective Relationship with the Social Security Administration,</t>
  </si>
  <si>
    <t>DCL plus 4 attachments (No PDF of DCL so "Print to PDF" count used; attachments likely aren't guidance)</t>
  </si>
  <si>
    <t>LIHEAP Block Grant Funds for FY 2012,</t>
  </si>
  <si>
    <t>DCL plus 1 attachment (No PDFs so "Print to PDF" count used)</t>
  </si>
  <si>
    <t>Release of LIHEAP Funds,</t>
  </si>
  <si>
    <t>Additional LIHEAP funds,</t>
  </si>
  <si>
    <t>LIHEAP DCL First Quarter Funds Under the Continuing Resolution</t>
  </si>
  <si>
    <t>New LIHEAP Policy Manual and Webinar for Tribal Grantees,</t>
  </si>
  <si>
    <t>New LIHEAP Policy Manual and Webinar for State Grantees,</t>
  </si>
  <si>
    <t>Status of FY 2012 LIHEAP Funding,</t>
  </si>
  <si>
    <t>ACF-OCS-LIHEAP-IM-2025-01</t>
  </si>
  <si>
    <t>LIHEAP Compliance Monitoring Process Overview and Trends</t>
  </si>
  <si>
    <t>ACF-OCS-LIHEAP-IM-2025-02</t>
  </si>
  <si>
    <t>Federal Poverty Guidelines (FPG) and State Median Income (SMI) Estimates for LIHEAP Income Eligibility Optional Use in federal Fiscal Year 2025 (FY25) LIHEAP and Mandatory Use in FY26</t>
  </si>
  <si>
    <t>IM plus 4 attachments</t>
  </si>
  <si>
    <t>ACF-OCS-LIHEAP-IM-2024-01</t>
  </si>
  <si>
    <t>ACF-OCS-LIHEAP-IM-2024-01 Compliance Monitoring Process Overview and Trends</t>
  </si>
  <si>
    <t>ACF-OCS-LIHEAP-IM-2024-02</t>
  </si>
  <si>
    <t>Federal Poverty Guidelines and State Median Income Estimates for Optional Use in federal Fiscal Year 2024 and Mandatory Use in FY25</t>
  </si>
  <si>
    <t>ACF-OCS-LIHEAP-IM-24-03</t>
  </si>
  <si>
    <t>Changes to LIHEAP Eligibility for Citizens of Countries Governed by the Compacts of Free Association (COFA)</t>
  </si>
  <si>
    <t>ACF-OCS-LIHEAP-IM-2024-04</t>
  </si>
  <si>
    <t>LIHEAP Obligations, Expenditures, and Refunds</t>
  </si>
  <si>
    <t>LIHEAP-IM-2023-01</t>
  </si>
  <si>
    <t> Federal Poverty Guidelines for Optional Use in Federal Fiscal Year (FFY) 2023 LIHEAP and Mandatory Use in FFY 2024 LIHEAP</t>
  </si>
  <si>
    <t>IM plus 3 attachments</t>
  </si>
  <si>
    <t>LIHEAP-IM-2023-02</t>
  </si>
  <si>
    <t>State Median Income Estimates for Optional Use in Federal Fiscal Year (FFY) 2023 LIHEAP and Mandatory Use in FFY 2024 LIHEAP</t>
  </si>
  <si>
    <t>LIHEAP-IM-2023-03</t>
  </si>
  <si>
    <t>LIHEAP Assistance for Eligible Household Members Residing with Ineligible Household Members</t>
  </si>
  <si>
    <t>Community Solar and LIHEAP Considerations</t>
  </si>
  <si>
    <t>LIHEAP-IM-2022-01</t>
  </si>
  <si>
    <t>LIHEAP Coordination with ERA During Winter FY 2022</t>
  </si>
  <si>
    <t>LIHEAP-IM-2022-02</t>
  </si>
  <si>
    <t>LIHEAP IM-2022-02 Expenditures FY2022</t>
  </si>
  <si>
    <t>LIHEAP-IM-2022-03</t>
  </si>
  <si>
    <t>Federal Poverty Guidelines for Optional Use in Federal Fiscal Year (FFY) 2022 LIHEAP and Mandatory Use in FFY 2023 LIHEAP</t>
  </si>
  <si>
    <t>LIHEAP-IM-2022-04</t>
  </si>
  <si>
    <t>State Median Income Estimates for Optional Use in Federal Fiscal Year (FFY) 2022 LIHEAP and Mandatory Use in FFY 2023 LIHEAP</t>
  </si>
  <si>
    <t>LIHEAP-IM-2022-05</t>
  </si>
  <si>
    <t>LIHEAP IM-2022-05 CARES Act and ARP Act Funds: Obligation and Drawdown Plan</t>
  </si>
  <si>
    <t>No PDF of IM so "Print to PDF" count used</t>
  </si>
  <si>
    <t>LIHEAP IM-2022-06 Heat Stress Flexibilities and Resources FY2022</t>
  </si>
  <si>
    <t>LIHEAP-IM-2022-07</t>
  </si>
  <si>
    <t>Funds Appropriated in the American Rescue Plan Act of 2021</t>
  </si>
  <si>
    <t>Heat Stress Flexibilities and Resources</t>
  </si>
  <si>
    <t>LIHEAP-IM-2021-02</t>
  </si>
  <si>
    <t>Federal Poverty Guidelines for Optional Use in Federal Fiscal Year (FFY) 2021 LIHEAP and Mandatory Use in FFY 2022 LIHEAP</t>
  </si>
  <si>
    <t>LIHEAP-IM-2021-03</t>
  </si>
  <si>
    <t>State Median Income Estimates for Optional Use in Federal Fiscal Year (FY) 2021 LIHEAP and Mandatory Use in FY 2022 LIHEAP</t>
  </si>
  <si>
    <t>LIHEAP-IM-2020-01</t>
  </si>
  <si>
    <t>LIHEAP IM-2020-01 HHS Poverty Guidelines for Optional Use in FFY 2020 and Mandatory Use in FFY 2021</t>
  </si>
  <si>
    <t>LIHEAP-IM-2020-02</t>
  </si>
  <si>
    <t>LIHEAP IM-2020-02 State Median Income Estimates for Optional Use in FFY 2020 and Mandatory Use FFY 2021</t>
  </si>
  <si>
    <t>LIHEAP-IM-2019-01</t>
  </si>
  <si>
    <t>HHS Poverty Guidelines for Optional Use in Federal Fiscal Year (FFY) 2019 LIHEAP Programs and Mandatory Use in FFY 2020 LIHEAP Programs</t>
  </si>
  <si>
    <t>IM plus 3 attachments (No PDF of IM so "Print to PDF" count used; Attachments were combined into one document)</t>
  </si>
  <si>
    <t>LIHEAP-IM-2019-02</t>
  </si>
  <si>
    <t>State Median Income Estimates for Optional Use in Federal Fiscal Year 2019 LIHEAP Programs and Mandatory Use in Federal Fiscal Year 2020 LIHEAP Programs</t>
  </si>
  <si>
    <t>IM plus 1 attachment  (No PDF of IM so "Print to PDF" count used)</t>
  </si>
  <si>
    <t>LIHEAP-IM-2018-01</t>
  </si>
  <si>
    <t>LIHEAP Compliance Review Monitoring Schedule: FY 2018</t>
  </si>
  <si>
    <t>LIHEAP-IM-2018-02</t>
  </si>
  <si>
    <t>HHS Poverty Guidelines for Optional Use in Federal Fiscal Year (FFY) 2018 LIHEAP Programs and Mandatory Use in FFY 2019 LIHEAP Programs</t>
  </si>
  <si>
    <t>LIHEAP-IM-2018-03</t>
  </si>
  <si>
    <t>State Median Income Estimates for Optional Use in Federal Fiscal Year 2018 LIHEAP Programs and Mandatory Use in Federal Fiscal Year 2019 LIHEAP Programs</t>
  </si>
  <si>
    <t>LIHEAP-IM-2017-01</t>
  </si>
  <si>
    <t>LIHEAP Compliance Review Monitoring Schedule: FY 2017</t>
  </si>
  <si>
    <t>LIHEAP-IM-2017-02</t>
  </si>
  <si>
    <t>HHS Poverty Guidelines for Optional Use in FY 2017 and Mandatory Use in FY 2018 LIHEAP Programs</t>
  </si>
  <si>
    <t>LIHEAP-IM-2017-03</t>
  </si>
  <si>
    <t>State Median Income Estimates for Optional Use in Federal Fiscal Year 2017 LIHEAP Programs and Mandatory Use in Federal Fiscal Year 2018 LIHEAP Programs</t>
  </si>
  <si>
    <t>LIHEAP-IM-2016-01</t>
  </si>
  <si>
    <t>LIHEAP Compliance Review Monitoring Schedule: FY 2016</t>
  </si>
  <si>
    <t>LIHEAP-IM-2016-02</t>
  </si>
  <si>
    <t>Department of Health and Human Services (HHS) Poverty Guidelines for Optional Use in Federal Fiscal Year (FFY) 2016 LIHEAP and Mandatory Use in FFY 2017 LIHEAP</t>
  </si>
  <si>
    <t>LIHEAP-IM-2016-03</t>
  </si>
  <si>
    <t>State Median Income Estimates for Optional Use in Federal Fiscal Year 2016 LIHEAP and Mandatory Use in Federal Fiscal Year 2017 LIHEAP</t>
  </si>
  <si>
    <t>LIHEAP-IM-2014-07</t>
  </si>
  <si>
    <t>HHS Guidance on the Use of Social Security Numbers (SSNs) and Citizenship Status Verification for Assistance by LIHEAP Grantees’ Programs</t>
  </si>
  <si>
    <t>LIHEAP-IM-2015-02</t>
  </si>
  <si>
    <t>LIHEAP Compliance Review Monitoring Schedule: FY 2015</t>
  </si>
  <si>
    <t>LIHEAP-IM-2015-03</t>
  </si>
  <si>
    <t>HHS Poverty Guidelines for Optional Use in Federal Fiscal Year (FFY) 2015 and Mandatory Use in FFY 2016 LIHEAP Programs</t>
  </si>
  <si>
    <t>LIHEAP-IM-2015-04</t>
  </si>
  <si>
    <t>Applicability of the Office of Management and Budget (OMB) Uniform Administrative Requirements, Cost Principles, and Audit Requirements to LIHEAP Awards</t>
  </si>
  <si>
    <t>LIHEAP-IM-2014-1</t>
  </si>
  <si>
    <t>LIHEAP Compliance Review Monitoring Schedule: FY 2014</t>
  </si>
  <si>
    <t>LIHEAP-IM-2014-2</t>
  </si>
  <si>
    <t>Common Findings from Compliance Reviews Conducted in FY 2011, FY 2012, and FY 2013</t>
  </si>
  <si>
    <t>LIHEAP-IM-2014-3</t>
  </si>
  <si>
    <t>Best Practices Identified During Compliance Reviews Conducted in FY 2011, FY 2012, and FY 2013</t>
  </si>
  <si>
    <t>IM plus 1 attachment  (No PDF of IM so "Print to PDF" count used; 1 additional excel attachment not included in count)</t>
  </si>
  <si>
    <t>LIHEAP-IM-2014-04</t>
  </si>
  <si>
    <t>American Community Survey Tabulation of LIHEAP Income-eligible Households</t>
  </si>
  <si>
    <t>IM plus 3 attachments (No PDF of IM so "Print to PDF" count used)</t>
  </si>
  <si>
    <t>LIHEAP-IM-2014-05</t>
  </si>
  <si>
    <t>State Median Income Estimates for Optional Use in Federal Fiscal Year 2014 LIHEAP Programs and Mandatory Use in Federal Fiscal Year 2015 LIHEAP Programs</t>
  </si>
  <si>
    <t>LIHEAP-IM-2014-06</t>
  </si>
  <si>
    <t>HHS Poverty Guidelines for Optional Use in FY 2014 LIHEAP Programs and Mandatory Use in FY 2015 LIHEAP Programs</t>
  </si>
  <si>
    <t>LIHEAP-IM-2013-01</t>
  </si>
  <si>
    <t>Model Plan Application for LIHEAP Funding for Fiscal Year (FY) 2014 (All Applications due September 1, 2013)</t>
  </si>
  <si>
    <t>IM plus 5 attachments ("Print to PDF" count used for IM and 2 attachments)</t>
  </si>
  <si>
    <t>LIHEAP-IM-2013-02</t>
  </si>
  <si>
    <t>HHS Poverty Guidelines for Optional Use in FFY 2013 Federal Energy Assistance Programs and Mandatory Use in FFY 2014 Federal Energy Assistance Programs</t>
  </si>
  <si>
    <t>IM plus 1 attachment  ("Print to PDF" count used for IM and 1 attachment; 1 additional excel attachment not included in count)</t>
  </si>
  <si>
    <t>LIHEAP-IM-2013-03</t>
  </si>
  <si>
    <t>State Median Income Estimates for Optional Use in Federal Fiscal Year 2013 LIHEAP Programs and Mandatory Use in Federal Fiscal Year 2014 LIHEAP Programs</t>
  </si>
  <si>
    <t>IM plus 2 attachments ("Print to PDF" count used for IM and 2 attachments)</t>
  </si>
  <si>
    <t>LIHEAP-IM-2012-01</t>
  </si>
  <si>
    <t>Low Income Home Energy Assistance Program Report to Congress for Fiscal Year 2008</t>
  </si>
  <si>
    <t>LIHEAP-IM-2012-02</t>
  </si>
  <si>
    <t>Update to the LIHEAP Allocation Formula for Federal Fiscal Year (FFY) 2012</t>
  </si>
  <si>
    <t>IM plus 2 attachments  (No PDF of IM so "Print to PDF" count used; 1 additional attachment not included in count because link was duplicate)</t>
  </si>
  <si>
    <t>LIHEAP-IM-2012-03</t>
  </si>
  <si>
    <t>State-Level Recipiency Targeting Indexes for Elderly and Young Child Households that Received Heating Assistance in Federal Fiscal Year (FFY) 2008</t>
  </si>
  <si>
    <t>LIHEAP-IM-2012-04</t>
  </si>
  <si>
    <t>U.S. Department of Health and Human Services (HHS) Poverty Guidelines for Optional Use in Federal Fiscal Year (FFY) 2012 Federal Energy Assistance Programs and Mandatory Use in FFY 2013 Federal Energy Assistance Programs</t>
  </si>
  <si>
    <t>LIHEAP-IM-2012-05</t>
  </si>
  <si>
    <t>Model Plan Application for LIHEAP Funding for Fiscal Year (FY) 2013 (All Applications due September 1, 2012)</t>
  </si>
  <si>
    <t>IM plus 5 attachments ("Print to PDF" count used for IM)</t>
  </si>
  <si>
    <t>LIHEAP-IM-2012-06</t>
  </si>
  <si>
    <t>State Median Income Estimates for Optional Use in Federal Fiscal Year 2012 LIHEAP Programs and Mandatory Use in Federal Fiscal Year 2013 LIHEAP Programs</t>
  </si>
  <si>
    <t>IM plus 2 attachments (No PDF of IM so "Print to PDF" count used)</t>
  </si>
  <si>
    <t>LIHEAP-IM-2012-7</t>
  </si>
  <si>
    <t>Grant Awards for the FY 2012 Residential Energy Assistance Challenge Program (REACH)</t>
  </si>
  <si>
    <t>LIHEAP-IM-2012-8</t>
  </si>
  <si>
    <t>Grant Awards for the FY 2012 Leveraging Incentive Program</t>
  </si>
  <si>
    <t>IM plus 2 attachments ("Print to PDF" count used for IM and 1 attachment)</t>
  </si>
  <si>
    <t>LIHEAP-IM-2011-01</t>
  </si>
  <si>
    <t>LIHEAP Allocations from the FY 2010 Energy Emergency Contingency Fund - $101 MILLION DISTRIBUTION ON SEPTEMBER 20, 2010</t>
  </si>
  <si>
    <t>IM plus 1 attachment  ("Print to PDF" count used for IM and 1 attachment; 2 additional attachments not included in count because links were duplicate)</t>
  </si>
  <si>
    <t>LIHEAP-IM-2011-02</t>
  </si>
  <si>
    <t>Treatment of Per Capita Payments</t>
  </si>
  <si>
    <t>LIHEAP-IM-2011-03</t>
  </si>
  <si>
    <t>Tax Refunds Disregarded as Income Per the Tax Relief, Unemployment Insurance Reauthorization, and Job Creation Act of 2010</t>
  </si>
  <si>
    <t>LIHEAP-IM-2011-04</t>
  </si>
  <si>
    <t>Three Year LIHEAP Compliance Review Monitoring Schedule: FY 2011 through FY 2013</t>
  </si>
  <si>
    <t>LIHEAP-IM-2011-05</t>
  </si>
  <si>
    <t>Staff Assignments for the Division of Energy Assistance</t>
  </si>
  <si>
    <t>IM plus 2 attachments ("Print to PDF" count used for IM)</t>
  </si>
  <si>
    <t>Low Income Home Energy Assistance Program Report to Congress for Fiscal Year 2007</t>
  </si>
  <si>
    <t>page has no content</t>
  </si>
  <si>
    <t>LIHEAP-IM-2011-07</t>
  </si>
  <si>
    <t>Model Plan and Program Integrity Assessment Application for LIHEAP Funding for Fiscal Year (FY) 2012 (All Applications due September 1, 2011-new electronic submission requirement</t>
  </si>
  <si>
    <t>No PDF of IM so "Print to PDF" count used (links broken for all 5 attachments so not included in count)</t>
  </si>
  <si>
    <t>LIHEAP-IM-2011-08</t>
  </si>
  <si>
    <t>Federal Poverty Guidelines for Optional Use in federal Fiscal Year 2011 LIHEAP Programs and Mandatory Use in Federal Fiscal Year 2012 LIHEAP Programs</t>
  </si>
  <si>
    <t>LIHEAP-IM-2011-09</t>
  </si>
  <si>
    <t>State Median Income Estimates for Optional Use in Federal Fiscal Year 2011 LIHEAP Programs and Mandatory Use in Federal Fiscal Year 2012 LIHEAP Programs</t>
  </si>
  <si>
    <t>LIHEAP-IM-2011-10</t>
  </si>
  <si>
    <t>Tips From the Centers for Disease Control on How to Prevent Heat-Related Illness</t>
  </si>
  <si>
    <t>No PDF of IM so "Print to PDF" count used (links broken for both attachments so not included in count)</t>
  </si>
  <si>
    <t>LIHEAP-IM-2011-11</t>
  </si>
  <si>
    <t>Update on the New LIHEAP Performance Measures and Upcoming Webinars</t>
  </si>
  <si>
    <t>LIHEAP-IM-2011-12</t>
  </si>
  <si>
    <t>FY 2011 Low Income Home Energy Assistance Program Appropriations</t>
  </si>
  <si>
    <t>LIHEAP-IM-2011-13</t>
  </si>
  <si>
    <t>LIHEAP Allocations of FY 2011 Emergency Contingency Funds - $200 MILLION DISTRUBUTION ON JANUARY 24, 2011</t>
  </si>
  <si>
    <t>IM plus 1 attachment  ("Print to PDF" count used for IM and attachment)</t>
  </si>
  <si>
    <t>LIHEAP-IM-2010-1</t>
  </si>
  <si>
    <t>Treatment of Making Work Pay (MWP), Other Tax Credits and Refunds when Determining Eligibility</t>
  </si>
  <si>
    <t>LIHEAP-IM-2010-2</t>
  </si>
  <si>
    <t>Three Year LIHEAP Compliance Review Monitoring Schedule: FY 2010 through FY 2012</t>
  </si>
  <si>
    <t>LIHEAP-IM-2010-3</t>
  </si>
  <si>
    <t>LIHEAP Appropriations and Regular Block Grant Allocations for Fiscal Year (FY) 2010</t>
  </si>
  <si>
    <t>LIHEAP-IM-2010-4</t>
  </si>
  <si>
    <t>LIHEAP Allocations from the FY 2010 Energy Emergency Contingency Fund - $490 MILLION DISTRIBUTION ON JANUARY 20, 2010</t>
  </si>
  <si>
    <t>LIHEAP-IM-2010-5</t>
  </si>
  <si>
    <t>Model Plan Application for LIHEAP Funding for Fiscal Year (FY) 2011 (All Applications due September 1, 2010)</t>
  </si>
  <si>
    <t>No PDF of IM so "Print to PDF" count used (no links for any of the attachments)</t>
  </si>
  <si>
    <t>LIHEAP-IM-2010-6</t>
  </si>
  <si>
    <t>States are Strongly Encouraged to Exercise their Discretion to Require Social Security Numbers in Determining Eligibility for LIHEAP</t>
  </si>
  <si>
    <t>LIHEAP-IM-2010-7</t>
  </si>
  <si>
    <t>Exclusions from Income when Determining LIHEAP Eligibility</t>
  </si>
  <si>
    <t>LIHEAP-IM-2010-8</t>
  </si>
  <si>
    <t>Staffing Changes in the Division of Energy Assistance</t>
  </si>
  <si>
    <t>LIHEAP-IM-2010-9</t>
  </si>
  <si>
    <t>State Median Income Estimates for Optional Use in Federal Fiscal Year 2010 LIHEAP Programs and Mandatory Use in Federal Fiscal Year 2011 LIHEAP Programs</t>
  </si>
  <si>
    <t>IM plus 1 attachment  ("Print to PDF" count used for IM and 1 attachment (attachment may not be correct); 1 additional attachment not included in count because link was duplicate)</t>
  </si>
  <si>
    <t>LIHEAP-IM-2010-10</t>
  </si>
  <si>
    <t>Awards of FY 2010 LIHEAP Leveraging Incentive Grants</t>
  </si>
  <si>
    <t>No PDF of IM so "Print to PDF" count used (2 excel attachments not included in count)</t>
  </si>
  <si>
    <t>LIHEAP-IM-2010-11</t>
  </si>
  <si>
    <t>Availability of LIHEAP Home Energy Notebook for Fiscal Year 2008</t>
  </si>
  <si>
    <t>IM plus 1 attachment  ("Print to PDF" count used for IM)</t>
  </si>
  <si>
    <t>LIHEAP-IM-2010-12</t>
  </si>
  <si>
    <t>Awards of FY 2010 REACH Grants</t>
  </si>
  <si>
    <t>IM plus 2 attachments  ("Print to PDF" count used for IM and 1 attachment)</t>
  </si>
  <si>
    <t>LIHEAP-IM-2010-13</t>
  </si>
  <si>
    <t>Use of LIHEAP Funds Coordinated with Vendor Assistance Programs</t>
  </si>
  <si>
    <t>LIHEAP-IM-2010-14</t>
  </si>
  <si>
    <t>Data on State-Level Recipiency Targeting Indexes and Rankings for Elderly and Young Child Households that Received Heating Assistance in Federal Fiscal Year (FFY) 2007</t>
  </si>
  <si>
    <t>LIHEAP-IM-2010-15</t>
  </si>
  <si>
    <t>Update to the LIHEAP Allocation Formula</t>
  </si>
  <si>
    <t>No PDF of IM so "Print to PDF" count used (links broken for all attachments)</t>
  </si>
  <si>
    <t>LIHEAP Grantee Resource Guide</t>
  </si>
  <si>
    <t>Frequently Asked Questions</t>
  </si>
  <si>
    <t>Grant Recipients Deadlines</t>
  </si>
  <si>
    <t>Eligibility Criteria</t>
  </si>
  <si>
    <t>Instructions - for the Household Report - Long Form</t>
  </si>
  <si>
    <t>Instructions - for the Household Report - Short Form</t>
  </si>
  <si>
    <t>Instructions - for the Carryover and Reallotment Report</t>
  </si>
  <si>
    <t>Instructions - for the Performance Data Form</t>
  </si>
  <si>
    <t>Instructions - for the Quarterly Performance and Management Report</t>
  </si>
  <si>
    <t>Supplemental Terms and Conditions</t>
  </si>
  <si>
    <t>LIHEAP-IM-2000-12</t>
  </si>
  <si>
    <t>LIHEAP IM 2000-12 Costs for Planning and Administration - Updated Information</t>
  </si>
  <si>
    <t>LIHEAP IM 2003-5</t>
  </si>
  <si>
    <t>LIHEAP IM 97-25</t>
  </si>
  <si>
    <t>"Federal Means-Tested Public Benefits" Under the Welfare Reform Law</t>
  </si>
  <si>
    <t>LIHEAP IM 1999-10</t>
  </si>
  <si>
    <t>Federal Public Benefits Under the Welfare Reform Law--Revised Guidance</t>
  </si>
  <si>
    <t>LIHEAP IM 1998-25</t>
  </si>
  <si>
    <t>Interpretation of "Federal Public Benefits" Under the Welfare Reform Law</t>
  </si>
  <si>
    <t>LIHEAP-IM-2001-15</t>
  </si>
  <si>
    <t>Lead Paint Hazard Control and Weatherization</t>
  </si>
  <si>
    <t>LIHEAP Disaster Relief</t>
  </si>
  <si>
    <t>LIHEAP IM 1999-11</t>
  </si>
  <si>
    <t>Optional Use of DOE Weatherization Rules for LIHEAP Funds Spent on Weatherization Activities</t>
  </si>
  <si>
    <t>LIHEAP-IM-2001-2</t>
  </si>
  <si>
    <t>Serving Persons with Limited English Proficiency</t>
  </si>
  <si>
    <t>LIHEAP IM 1997-9</t>
  </si>
  <si>
    <t>U.S. Citizenship Requirements</t>
  </si>
  <si>
    <t>LIHEAP IM 2001-13</t>
  </si>
  <si>
    <t>Uses of LIHEAP Funds</t>
  </si>
  <si>
    <t>FSA-lM-91_19</t>
  </si>
  <si>
    <t>Use of Other Federal Funds for Costs Related to LIHEAP Administration</t>
  </si>
  <si>
    <t xml:space="preserve">FSA- IM-91-8 </t>
  </si>
  <si>
    <t>LIHEAP Administrative Costs</t>
  </si>
  <si>
    <t>LIHEAP FAQs for Consumers</t>
  </si>
  <si>
    <t>LIHEAP FAQs for Professionals</t>
  </si>
  <si>
    <t>LIHEAP Resource Guide for Finding Energy Assistance</t>
  </si>
  <si>
    <t>LIHEAP Resource Guide on Indoor Health and Safety</t>
  </si>
  <si>
    <t>LIHEAP DCL Announcing a Supervisory Auditor Position</t>
  </si>
  <si>
    <t>"Access to this page is restricted"; missing from DCL page/list but appears under Policy/Guidance on Resources page</t>
  </si>
  <si>
    <t>Partnership to Address COVID-19 Spread</t>
  </si>
  <si>
    <t>LIHEAP DCL Reallotment Funds FY 2015</t>
  </si>
  <si>
    <t>DCL plus 2 attachments; missing from DCL page/list but appears under Policy/Guidance on Resources page</t>
  </si>
  <si>
    <t>LIHEAP Resource Guide Winter Preparedness Information</t>
  </si>
  <si>
    <t>LIHEAP DCL Initial CR Release of Block Grant Funds to Indian Tribes and Tribal Organizations FY 2015</t>
  </si>
  <si>
    <t>This is an attachment included in count for DCL "Release of Approximately $3.05 Billion of Regular Block Grant Funding FY 2015"; missing from DCL page/list but appears under Policy/Guidance on Resources page</t>
  </si>
  <si>
    <t>LIHEAP Attachment DCL Initial CR Release of Block Grant Funds FY 2014</t>
  </si>
  <si>
    <t>This is an attachment included in count for DCL "Initial FY 2014 Funding Release"; missing from DCL page/list but appears under Policy/Guidance on Resources page</t>
  </si>
  <si>
    <t>LIHEAP Fact Sheet for FY 2014</t>
  </si>
  <si>
    <t>LIHEAP DCL Grantee Needs Assessment</t>
  </si>
  <si>
    <t>No PDF so "Print to PDF" count used; missing from DCL page/list but appears under Policy/Guidance on Resources page</t>
  </si>
  <si>
    <t>LIHEAP DCL Webinar on Electronic Submission of the Carryover Report</t>
  </si>
  <si>
    <t>LIHEAP DCL Release of $187.4 Million to States</t>
  </si>
  <si>
    <t>LIHEAP DCL of 3rd Quarter Allocation Update</t>
  </si>
  <si>
    <t>LIHEAP DCL Follow-up Announcement of the American Customer Satisfaction Index</t>
  </si>
  <si>
    <t>LIHEAP DCL Budget Update FY 2013</t>
  </si>
  <si>
    <t>LIHEAP DCL Training and Technical Assistance Meeting in San Diego, CA</t>
  </si>
  <si>
    <t>LIHEAP DCL Sequestration Update</t>
  </si>
  <si>
    <t>LIHEAP DCL ACSI Survey Result for CSBG and LIHEAP</t>
  </si>
  <si>
    <t>LIHEAP DCL Allocations under the Current Continuing Resolution FY 2013</t>
  </si>
  <si>
    <t>DCL plus 1 attachment (No PDF so "Print to PDF" count used); missing from DCL page/list but appears under Policy/Guidance on Resources page</t>
  </si>
  <si>
    <t>LIHEAP DCL Customer Service Feedback</t>
  </si>
  <si>
    <t>LIHEAP DCL The Affordable Care Act</t>
  </si>
  <si>
    <t>LIHEAP DCL Federal Register Notice Announcing Approximately $3.1 Million of Reallotted Funds</t>
  </si>
  <si>
    <t>LIHEAP DCL Clearinghouse Program Integrity Working Group Report</t>
  </si>
  <si>
    <t>LIHEAP DCL Request for Proposals</t>
  </si>
  <si>
    <t>LIHEAP Income Eligibility Guidelines</t>
  </si>
  <si>
    <t>Tagged as PI; No PDF so "Print to PDF" count used</t>
  </si>
  <si>
    <t>LIHEAP IM 2012-5 Model Plan Application FY 2013</t>
  </si>
  <si>
    <t>seems to be duplicate with broken links and different format</t>
  </si>
  <si>
    <t>LIHEAP Policy Manual</t>
  </si>
  <si>
    <t>This is an attachment included with DCL "New LIHEAP Policy Manual and Webinar for State Grantees,"</t>
  </si>
  <si>
    <t>LIHEAP IM 2011-13 Emergency Contingency Funds FY 2011</t>
  </si>
  <si>
    <t>seems to be duplicate and different format</t>
  </si>
  <si>
    <t>LIHEAP IM 2011-11 Update on the New LIHEAP Performance Measures and Webinars</t>
  </si>
  <si>
    <t>LIHEAP AT 2011-4 Application Requirements and Deadline for All Applications FY 2012</t>
  </si>
  <si>
    <t>LIHEAP IM 2011-8 Federal Poverty Guidelines for Optional Use in FY 2011</t>
  </si>
  <si>
    <t>LIHEAP IM 2011-07 Model Plan and Program Integrity Assessment Application FY 2012</t>
  </si>
  <si>
    <t>LIHEAP IM 2011-5 DEA Staff Assignments</t>
  </si>
  <si>
    <t>LIHEAP-IM-2011-06</t>
  </si>
  <si>
    <t>LIHEAP IM 2011-6 Report to Congress FY 2007</t>
  </si>
  <si>
    <t>document linked from IM page/list has no content; but this document appears under Policy/Guidance on Resources page</t>
  </si>
  <si>
    <t>LIHEAP IM 2011-6 Publication of Report to Congress FY 2007</t>
  </si>
  <si>
    <t>LIHEAP AT 2011-2 Financial Reporting Requirement for All Grantees SF 269A Report FY 2011</t>
  </si>
  <si>
    <t>AT plus 3 attachments; seems to be duplicate with WORKING links and different format ("Print to PDF" count used for AT; 1 additional attachment no link so not included in count)</t>
  </si>
  <si>
    <t>LIHEAP IM 2010-13 Use of LIHEAP Funds Coordinated with Vendor Assistance Programs</t>
  </si>
  <si>
    <t>seems to be duplicate labeled as "Special Topic"</t>
  </si>
  <si>
    <t>LIHEAP AT 2010-8 Carryover and Reallotment Report FY 2010</t>
  </si>
  <si>
    <t>seems to be duplicate and old title</t>
  </si>
  <si>
    <t>LIHEAP AT 2010-7 State Household Administrative Data FY 2010</t>
  </si>
  <si>
    <t>LIHEAP AT 2010-3 Request for Applications for the Residential FY 2010</t>
  </si>
  <si>
    <t>OCSE</t>
  </si>
  <si>
    <t>ACF-OCSS-AT-25-02</t>
  </si>
  <si>
    <t>OCSE-75 Form and Instructions – Expires June 30, 2028</t>
  </si>
  <si>
    <t>AT plus 1 attachment ("Print to PDF" count used for AT)</t>
  </si>
  <si>
    <t>ACF-OCSS-AT-25-01</t>
  </si>
  <si>
    <t>Submittal of SF-424 Mandatory Form for FY 2026</t>
  </si>
  <si>
    <t>AT plus 2 attachments ("Print to PDF" count used for AT)</t>
  </si>
  <si>
    <t>ACF-OCSS-AT-24-11</t>
  </si>
  <si>
    <t>Revised OCSS-396 and OCSS-34 Forms —expire June 30, 2027</t>
  </si>
  <si>
    <t>AT plus 4 attachments ("Print to PDF" count used for AT)</t>
  </si>
  <si>
    <t>ACF-OCSS-AT-24-10</t>
  </si>
  <si>
    <t>Amended Guidance for SNAP-Only Cases on Federal Reporting Forms</t>
  </si>
  <si>
    <t>"Print to PDF" count used for AT</t>
  </si>
  <si>
    <t>ACF-OCSS-AT-24-09</t>
  </si>
  <si>
    <t>Revision to Tribal Direct Funding Request: 45 CFR 309 Plan</t>
  </si>
  <si>
    <t>ACF-OCSS-AT-24-08</t>
  </si>
  <si>
    <t>SNAP-Only Cases on Federal Reporting Forms</t>
  </si>
  <si>
    <t>ACF-OCSS-AT-24-07</t>
  </si>
  <si>
    <t>Administrative Subpoena and Notice of Lien Forms - Expire April 30, 2027</t>
  </si>
  <si>
    <t>ACF-OCSS-AT-24-06</t>
  </si>
  <si>
    <t>NPRM - Employment and Training Services for Noncustodial Parents in the Child Support Program: Comments due July 30, 2024</t>
  </si>
  <si>
    <t>ACF-OCSS-AT-24-05</t>
  </si>
  <si>
    <t>Submittal of SF-424 Mandatory Form for FY 2025</t>
  </si>
  <si>
    <t>ACF-OCSS-AT-24-04</t>
  </si>
  <si>
    <t>Updated Tribal Budget and Narrative Justification Templates - expire May 2026</t>
  </si>
  <si>
    <t>AT plus 1 attachment ("Print to PDF" count used for AT; 1 additional excel attachment duplicate of word attachment not included in count)</t>
  </si>
  <si>
    <t>ACF-OCSS-AT-24-03</t>
  </si>
  <si>
    <t>Final Rule: Modifications to Performance Standards During Natural Disasters and Other Calamities</t>
  </si>
  <si>
    <t>ACF-OCSS-AT-24-02</t>
  </si>
  <si>
    <t>Final Rule: Elimination of Tribal Non-Federal Share Requirement</t>
  </si>
  <si>
    <t>ACF-OCSS-AT-24-01</t>
  </si>
  <si>
    <t>Required Data Elements for Paternity Establishment Affidavits – Expires Jan. 31, 2027</t>
  </si>
  <si>
    <t>AT-23-14</t>
  </si>
  <si>
    <t>2023 Open Comment Period - Tribal Child Support Direct Funding Request</t>
  </si>
  <si>
    <t>AT-23-13</t>
  </si>
  <si>
    <t>Revised IWO Form and Instructions — Expire Aug. 31, 2026</t>
  </si>
  <si>
    <t>AT plus 3 attachments ("Print to PDF" count used for AT)</t>
  </si>
  <si>
    <t>AT-23-10</t>
  </si>
  <si>
    <t>Final Rule: Privacy Act; Implementation</t>
  </si>
  <si>
    <t>AT-23-09</t>
  </si>
  <si>
    <t>NPRM - Modifications to Performance Standards During Natural Disasters and Other Calamities: Comments Due September 11, 2023</t>
  </si>
  <si>
    <t>AT-23-08</t>
  </si>
  <si>
    <t>Tribal Budget and Narrative Justification Templates – expire May 2026</t>
  </si>
  <si>
    <t>AT-23-07</t>
  </si>
  <si>
    <t>State Plan Material – Expires May 31, 2026</t>
  </si>
  <si>
    <t>AT-23-05</t>
  </si>
  <si>
    <t>NPRM - Elimination of Tribal Non-Federal Share Requirement: Comments due June 20, 2023</t>
  </si>
  <si>
    <t>AT-23-04</t>
  </si>
  <si>
    <t>Tribal Direct Funding Request: 45 CFR 309 Plan</t>
  </si>
  <si>
    <t>AT-23-03</t>
  </si>
  <si>
    <t>Hague Child Support Convention Forms – Expire March 31, 2026</t>
  </si>
  <si>
    <t>AT-23-02</t>
  </si>
  <si>
    <t>Standard Intergovernmental Child Support Enforcement Forms – Expire Feb. 28, 2026</t>
  </si>
  <si>
    <t>AT-23-01</t>
  </si>
  <si>
    <t>Revised NMSN Parts A and B – Expire Nov. 30, 2025</t>
  </si>
  <si>
    <t>AT-22-05</t>
  </si>
  <si>
    <t>Implementing Revised OCSE-157 Form and Instructions - FY 2023</t>
  </si>
  <si>
    <t>AT-22-03</t>
  </si>
  <si>
    <t>Final Rule: Paternity Establishment Percentage Performance Relief</t>
  </si>
  <si>
    <t>AT-22-02</t>
  </si>
  <si>
    <t>Implementing Revised OCSE-75 Form and Instructions - Effective FY 2023</t>
  </si>
  <si>
    <t>AT-22-01</t>
  </si>
  <si>
    <t>Implementing Revised OCSE-396 and OCSE-34 Instructions</t>
  </si>
  <si>
    <t>AT-21-04</t>
  </si>
  <si>
    <t>NPRM - Paternity Establishment Percentage Performance Relief</t>
  </si>
  <si>
    <t>AT-21-01</t>
  </si>
  <si>
    <t>Required Data Elements for Paternity Establishment Affidavits – expires 1/31/2024</t>
  </si>
  <si>
    <t>AT-20-16</t>
  </si>
  <si>
    <t>Streamlined Feasibility Study for Child Support System Modernization</t>
  </si>
  <si>
    <t>AT plus 2 attachments ("Print to PDF" count used for AT; 1 additional excel attachment duplicate of word attachment not included in count)</t>
  </si>
  <si>
    <t>AT-20-15</t>
  </si>
  <si>
    <t>Final Rule: Regulatory Clean Up Initiative</t>
  </si>
  <si>
    <t>AT-20-14</t>
  </si>
  <si>
    <t>Updated Interstate Child Support Policy</t>
  </si>
  <si>
    <t>AT-20-13</t>
  </si>
  <si>
    <t>2020 Revisions to the IWO Form and Instructions</t>
  </si>
  <si>
    <t>AT-20-12</t>
  </si>
  <si>
    <t>NPRM - Optional Exceptions to the Child Support Guidelines</t>
  </si>
  <si>
    <t>AT-20-08</t>
  </si>
  <si>
    <t>Submit Revised State IV-D Plan Page 3.8-3 to Comply with Technical Corrections Final Rule</t>
  </si>
  <si>
    <t>AT-20-07</t>
  </si>
  <si>
    <t>Final Rule: Child Support Technical Corrections</t>
  </si>
  <si>
    <t>AT-20-06</t>
  </si>
  <si>
    <t>Delayed Implementation of Revised OCSE-157 Data Report– Oct. 1, 2021</t>
  </si>
  <si>
    <t>AT-20-05</t>
  </si>
  <si>
    <t>Hague Child Support Convention Forms Renewal – Expire Feb. 28, 2023</t>
  </si>
  <si>
    <t>AT-20-04</t>
  </si>
  <si>
    <t>Extension of the Tribal Annual Data Report, Form OCSE‑75 and Tribal Narrative</t>
  </si>
  <si>
    <t>AT-20-02</t>
  </si>
  <si>
    <t>Resubmission of State Plan Cover Page and 3.16</t>
  </si>
  <si>
    <t>AT-20-01</t>
  </si>
  <si>
    <t>Reinvesting Child Support Incentive Payments</t>
  </si>
  <si>
    <t>AT-19-07</t>
  </si>
  <si>
    <t>Exemption Requests from Mandatory Laws and Procedures</t>
  </si>
  <si>
    <t>AT-19-06</t>
  </si>
  <si>
    <t>Update to Revised Part A National Medical Support Notice and Instructions</t>
  </si>
  <si>
    <t>AT-19-05</t>
  </si>
  <si>
    <t>Revised Part A National Medical Support Notice (NMSN) and Instructions</t>
  </si>
  <si>
    <t>AT-19-02</t>
  </si>
  <si>
    <t>State Self-Assessment Report – Extended until April 30, 2022</t>
  </si>
  <si>
    <t>AT-18-09</t>
  </si>
  <si>
    <t>NPRM: 2018 Child Support Technical Corrections</t>
  </si>
  <si>
    <t>AT-18-06</t>
  </si>
  <si>
    <t>Compliance with Medical Support Final Rule Requirements</t>
  </si>
  <si>
    <t>AT-18-04</t>
  </si>
  <si>
    <t>Availability of FFP for Making Arrests Pursuant to Appropriate State Process - Updated</t>
  </si>
  <si>
    <t>AT-18-02</t>
  </si>
  <si>
    <t>Modernizing Child Support Enforcement Fees</t>
  </si>
  <si>
    <t>AT-18-01</t>
  </si>
  <si>
    <t>Extension of OCSE-34 and OCSE-396 Forms - expire December 31, 2020</t>
  </si>
  <si>
    <t>AT-17-12</t>
  </si>
  <si>
    <t>Base Year Level of Spending - Reminder</t>
  </si>
  <si>
    <t>AT-17-11</t>
  </si>
  <si>
    <t>2017 Update, Automated Systems for Child Support Enforcement: A Guide for States</t>
  </si>
  <si>
    <t>AT-17-10</t>
  </si>
  <si>
    <t>Extension of OCSE-157 Annual Data Report to July 2020</t>
  </si>
  <si>
    <t>AT-17-07</t>
  </si>
  <si>
    <t>Interstate Child Support Payment Processing</t>
  </si>
  <si>
    <t>AT-17-06</t>
  </si>
  <si>
    <t>OMB-approved Hague Child Support Convention Forms</t>
  </si>
  <si>
    <t>AT-17-05</t>
  </si>
  <si>
    <t>Extension of Form OCSE-75 and Tribal Narrative</t>
  </si>
  <si>
    <t>AT-17-03</t>
  </si>
  <si>
    <t>Revisions to and Resubmission of State IV-D Plan Pages to Comply with FEM</t>
  </si>
  <si>
    <t>AT-16-06</t>
  </si>
  <si>
    <t>Final Rule: Flexibility, Efficiency, and Modernization in Child Support Enforcement Programs</t>
  </si>
  <si>
    <t>AT-16-04</t>
  </si>
  <si>
    <t>Correctly Withholding Child Support from Weekly and Biweekly Pay Cycles</t>
  </si>
  <si>
    <t>AT-16-03</t>
  </si>
  <si>
    <t>Timeframe to Distribute Tax Offsets Referred for Fraud</t>
  </si>
  <si>
    <t>AT-15-02</t>
  </si>
  <si>
    <t>Automated State Plan Submission and Review Process</t>
  </si>
  <si>
    <t>AT-14-13</t>
  </si>
  <si>
    <t>NPRM: Flexibility, Efficiency, and Modernization in Child Support Enforcement Programs</t>
  </si>
  <si>
    <t>AT-14-12</t>
  </si>
  <si>
    <t>E-IWO Implementation and Amendment of Title IV-D State Plan Preprint Page 3.8-3</t>
  </si>
  <si>
    <t>AT-14-11</t>
  </si>
  <si>
    <t>P.L. 113-183 UIFSA 2008 Enactment</t>
  </si>
  <si>
    <t>AT-14-08</t>
  </si>
  <si>
    <t>H.R. 4980: Preventing Sex Trafficking and Strengthening Families Act of 2014</t>
  </si>
  <si>
    <t>AT-14-07</t>
  </si>
  <si>
    <t>Notice of SF-424M Annual Submission Requirement</t>
  </si>
  <si>
    <t>AT-13-04</t>
  </si>
  <si>
    <t>Tribal Advance Planning Document (APD) Process and Model Tribal System (MTS) Frequently Asked Questions</t>
  </si>
  <si>
    <t>AT-12-01</t>
  </si>
  <si>
    <t>Turner v. Rogers Guidance</t>
  </si>
  <si>
    <t>AT-11-12</t>
  </si>
  <si>
    <t>Reporting Adoptions on the OCSE-157 Child Support Enforcement Annual Data Report</t>
  </si>
  <si>
    <t>AT-11-10</t>
  </si>
  <si>
    <t>Notice of Changes to the OCSE-157 Form regarding Medical Support</t>
  </si>
  <si>
    <t>AT-11-01</t>
  </si>
  <si>
    <t>Project Save Our Children (PSOC) Procedures</t>
  </si>
  <si>
    <t>AT-10-12</t>
  </si>
  <si>
    <t>Final Rule: Safeguarding Child Support Information</t>
  </si>
  <si>
    <t>AT-10-11</t>
  </si>
  <si>
    <t>Alternative Methods to Meet the Monthly Notification Requirement</t>
  </si>
  <si>
    <t>AT-10-09</t>
  </si>
  <si>
    <t>Final Rule: State Systems Advance Planning Document Process</t>
  </si>
  <si>
    <t>AT-10-06</t>
  </si>
  <si>
    <t>Final Rule: Intergovernmental Child Support</t>
  </si>
  <si>
    <t>AT-10-05</t>
  </si>
  <si>
    <t>Continuation of the Annual State Self-Assessment Review and Report</t>
  </si>
  <si>
    <t>AT-10-04</t>
  </si>
  <si>
    <t>Collection and Enforcement of Past-Due Child Support Obligations</t>
  </si>
  <si>
    <t>AT-10-03</t>
  </si>
  <si>
    <t>NPRM: Safeguarding Child Support Information</t>
  </si>
  <si>
    <t>AT-10-01</t>
  </si>
  <si>
    <t>Final Rule: Computerized Tribal IV-D Systems and Office Automation</t>
  </si>
  <si>
    <t>AT-08-13</t>
  </si>
  <si>
    <t>Final Rule on the Child Support Provisions in the Deficit Reduction Act of 2005</t>
  </si>
  <si>
    <t>AT-08-12</t>
  </si>
  <si>
    <t>NPRM: Child Support Enforcement Program; Intergovernmental Child Support</t>
  </si>
  <si>
    <t>AT-08-11</t>
  </si>
  <si>
    <t>Final Rule: State Parent Locator Service; Safeguarding Child Support Information</t>
  </si>
  <si>
    <t>AT plus 2 attachments ("Print to PDF" count used for AT and 1 attachment)</t>
  </si>
  <si>
    <t>AT-08-08</t>
  </si>
  <si>
    <t>Final Rule: Child Support Enforcement Program Medical Support</t>
  </si>
  <si>
    <t>AT-08-07</t>
  </si>
  <si>
    <t>NPRM: Computerized Tribal IV-D Systems and Office Automation and Consultations</t>
  </si>
  <si>
    <t>AT-08-06</t>
  </si>
  <si>
    <t>Implementing Section 466(a)(14) of the Social Security Act</t>
  </si>
  <si>
    <t>"Print to PDF" count used</t>
  </si>
  <si>
    <t>AT-08-03</t>
  </si>
  <si>
    <t>NPRM: State Systems Advance Planning Document (APD) Process</t>
  </si>
  <si>
    <t>AT-07-05</t>
  </si>
  <si>
    <t>Assignment and Distribution of Child Support Under Sections 408(a)(3) and 457 of the Social Security Act</t>
  </si>
  <si>
    <t>AT-07-04</t>
  </si>
  <si>
    <t>Recommended State Child Support Enforcement Program Self-Assessment Report Format</t>
  </si>
  <si>
    <t>AT-07-02</t>
  </si>
  <si>
    <t>Coordination between TANF and the CSE Programs Since the Deficit Reduction Act of 2005</t>
  </si>
  <si>
    <t>AT-07-01</t>
  </si>
  <si>
    <t>NPRM: Implementing Provisions of Title IV-D of the Social Security Act as Amended by the Deficit Reduction Act of 2005</t>
  </si>
  <si>
    <t>AT-06-06</t>
  </si>
  <si>
    <t>Revisions in OCSE Financial Reporting Instructions for FY 2007</t>
  </si>
  <si>
    <t>AT-06-05</t>
  </si>
  <si>
    <t>Issues Regarding Child Support Provisions of the New Federal Bankruptcy Law, P.L.109-8</t>
  </si>
  <si>
    <t>AT-06-04</t>
  </si>
  <si>
    <t>NPRM: Child Support Enforcement Program Medical Support</t>
  </si>
  <si>
    <t>AT-06-03</t>
  </si>
  <si>
    <t>Policy Clarifications of Automated Systems in Title IV-D Child Support Enforcement Program</t>
  </si>
  <si>
    <t>AT-06-02</t>
  </si>
  <si>
    <t>Final Rule: Reasonable Quantitative Standards for Review and Adjustment of Child Support Orders</t>
  </si>
  <si>
    <t>AT-06-01</t>
  </si>
  <si>
    <t>Child Support Provision in the Deficit Reduction Act of 2005</t>
  </si>
  <si>
    <t>AT-05-10</t>
  </si>
  <si>
    <t>NPRM: State Parent Locator Service; Safeguarding Child Support Information</t>
  </si>
  <si>
    <t>AT-05-09</t>
  </si>
  <si>
    <t>Annual Data Report: Instructions for Completing the Revised OCSE-157 Form</t>
  </si>
  <si>
    <t>AT-05-07</t>
  </si>
  <si>
    <t>Miscellaneous Issues regarding 45 CFR part 309, the Tribal Child Support Enforcement Program Final Rule</t>
  </si>
  <si>
    <t>AT-05-02</t>
  </si>
  <si>
    <t>Final Rule: Tribal Child Support Program - Systems and Financial Policy Questions</t>
  </si>
  <si>
    <t>AT-05-01</t>
  </si>
  <si>
    <t>Interim Final Rule: Quantitative Standards for Review and Adjustment of Child Support Orders</t>
  </si>
  <si>
    <t>AT-04-07</t>
  </si>
  <si>
    <t>Schedule UDC, A Financial Reporting Form for Itemized Undistributed Collections</t>
  </si>
  <si>
    <t>AT-04-08</t>
  </si>
  <si>
    <t>Final Rule: Federal Tax Refund Offset</t>
  </si>
  <si>
    <t>AT-04-01</t>
  </si>
  <si>
    <t>Final Rule: Tribal Child Support Enforcement Programs</t>
  </si>
  <si>
    <t>AT-03-06</t>
  </si>
  <si>
    <t>Requests for Information from the FPLS for Parental Kidnapping, Child Custody or Visitation Purposes</t>
  </si>
  <si>
    <t>AT-03-03</t>
  </si>
  <si>
    <t>Submission of the Latest Security Review Findings and Determination of Compliance with Part 95, SubPart F</t>
  </si>
  <si>
    <t>AT-03-02</t>
  </si>
  <si>
    <t>Interim Final Rule with Comment Period – Federal Tax Refund Offset</t>
  </si>
  <si>
    <t>AT-03-01</t>
  </si>
  <si>
    <t>Technical Corrections Final Rule</t>
  </si>
  <si>
    <t>Providing FPLS Locate Services to an “Agent of the Child” for Child Support Purposes</t>
  </si>
  <si>
    <t>AT-02-03</t>
  </si>
  <si>
    <t>Applicability of the Full Faith and Credit for Child Support Orders Act to States and Tribes</t>
  </si>
  <si>
    <t>AT-02-02</t>
  </si>
  <si>
    <t>Requesting an Exemption from the Mandatory Law and Procedure in Section 466(f) of the Social Security Act</t>
  </si>
  <si>
    <t>AT-01-11</t>
  </si>
  <si>
    <t>Clarification of "Time Deposit Accounts" as Related to Financial Institution Data Matches</t>
  </si>
  <si>
    <t>AT-01-04</t>
  </si>
  <si>
    <t>Reinvestment of Child Support Incentive Payments</t>
  </si>
  <si>
    <t>AT-01-02</t>
  </si>
  <si>
    <t>Final Rule: National Medical Support Notice</t>
  </si>
  <si>
    <t>AT-01-01</t>
  </si>
  <si>
    <t>Final Rule: Incentives, Penalties and Audit</t>
  </si>
  <si>
    <t>AT plus 1 attachment ("Print to PDF" count used)</t>
  </si>
  <si>
    <t>AT-00-09</t>
  </si>
  <si>
    <t>Final Rule: State Self-Assessment</t>
  </si>
  <si>
    <t>PDF attachment not used as full text included in "Print to PDF" of AT</t>
  </si>
  <si>
    <t>AT-00-08</t>
  </si>
  <si>
    <t>Questions and Responses Regarding Collaborative Efforts: IV-D Agencies and Agencies Administering Welfare-to-Work Program</t>
  </si>
  <si>
    <t>AT-00-06</t>
  </si>
  <si>
    <t>NPRM and Interim Final Rule: Tribal Child Support Enforcement Programs</t>
  </si>
  <si>
    <t>Consideration of FFP in State System Acquisitions Without Prior Approval</t>
  </si>
  <si>
    <t>AT-99-13</t>
  </si>
  <si>
    <t>NPRM: National Medical Support Notice</t>
  </si>
  <si>
    <t>AT-99-12</t>
  </si>
  <si>
    <t>NPRM on Incentives, Penalties and Audit</t>
  </si>
  <si>
    <t>AT-99-10</t>
  </si>
  <si>
    <t>Definition of "Assistance Paid to the Family" for Child Support Enforcement Collection Purposes</t>
  </si>
  <si>
    <t>AT-99-09</t>
  </si>
  <si>
    <t>Policy Questions and Responses Regarding Requests for Information from the FPLS</t>
  </si>
  <si>
    <t>AT-99-08</t>
  </si>
  <si>
    <t>Reduction in Penalty for States Failing to Meet Statewide Automated Systems Deadline</t>
  </si>
  <si>
    <t>AT-99-07</t>
  </si>
  <si>
    <t>Final Rule: Grants to States for Access and Visitation Programs</t>
  </si>
  <si>
    <t>AT-99-05</t>
  </si>
  <si>
    <t>Policy Questions and Responses Regarding NDNH and SDNH</t>
  </si>
  <si>
    <t>AT-99-03</t>
  </si>
  <si>
    <t>Distribution of Addendum to State Systems APD Guide for Child Support Enforcement Systems</t>
  </si>
  <si>
    <t>AT-99-04</t>
  </si>
  <si>
    <t>Final Rule: Case Closure Criteria, 45 CFR Part 303</t>
  </si>
  <si>
    <t>AT-99-02</t>
  </si>
  <si>
    <t>Final Rule: Implementing Part of the Paternity Establishment Provisions in PRWORA</t>
  </si>
  <si>
    <t>AT-99-01</t>
  </si>
  <si>
    <t>Interim Final Rule - Conforming Child Support Enforcement Rules to PRWORA</t>
  </si>
  <si>
    <t>AT-98-27</t>
  </si>
  <si>
    <t>PRWORA Requiring the Placement of a Family Violence Indicator</t>
  </si>
  <si>
    <t>AT-98-26</t>
  </si>
  <si>
    <t>Final Rule: Standards for Program Operations - Program Automation</t>
  </si>
  <si>
    <t>AT-98-25</t>
  </si>
  <si>
    <t>Final Rule: Allocation of 80 Percent Matching Funds</t>
  </si>
  <si>
    <t>AT-98-24</t>
  </si>
  <si>
    <t>Instructions for the Distribution of Child Support, Definition of Assistance Paid to the Family</t>
  </si>
  <si>
    <t>AT-98-18</t>
  </si>
  <si>
    <t>Final Rule: Standards for Program Operations - Quarterly Wage and Unemployment Compensation Data</t>
  </si>
  <si>
    <t>AT-98-23</t>
  </si>
  <si>
    <t>Alternative System Configuration - Implement Automation Provisions of CSPIA 1998</t>
  </si>
  <si>
    <t>AT-98-22</t>
  </si>
  <si>
    <t>Alternative Penalty for States Which Fail to Implement Statewide Automated Systems by Deadlines</t>
  </si>
  <si>
    <t>AT-98-21</t>
  </si>
  <si>
    <t>Cooperative Agreements between Indian Tribes and State IV-D Agencies</t>
  </si>
  <si>
    <t>AT-98-19</t>
  </si>
  <si>
    <t>Payment Procedures to Recover Delinquent Child Support from Noncustodial Parents</t>
  </si>
  <si>
    <t>AT-98-20</t>
  </si>
  <si>
    <t>Instructions for Completing Form OCSE-157, Child Support Enforcement Annual Data Report</t>
  </si>
  <si>
    <t>AT-98-15</t>
  </si>
  <si>
    <t>Financial Distribution Test Deck Generator for Child Support Distributions under PRWORA</t>
  </si>
  <si>
    <t>AT-98-13</t>
  </si>
  <si>
    <t>Request for Comments on Automation Requirements under PRWORA</t>
  </si>
  <si>
    <t>AT-98-11</t>
  </si>
  <si>
    <t>NPRM: PRWORA Child Support Enforcement Program Automation</t>
  </si>
  <si>
    <t>AT-98-10</t>
  </si>
  <si>
    <t>Implementation of the "Hold Harmless" Provision to the State Share of Child Support Collections</t>
  </si>
  <si>
    <t>AT-98-09</t>
  </si>
  <si>
    <t>NPRM: Automated Data Processing Funding Limitation for Child Support Enforcement Systems</t>
  </si>
  <si>
    <t>AT-98-08</t>
  </si>
  <si>
    <t>Policy Responses Regarding the State Case Registry and the Federal Case Registry</t>
  </si>
  <si>
    <t>AT-98-07</t>
  </si>
  <si>
    <t>Financial Institution Data Match Requirements Under PRWORA</t>
  </si>
  <si>
    <t>AT-98-01</t>
  </si>
  <si>
    <t>NPRM: Paternity Establishment Provisions Contained in Section 331 of PRWORA</t>
  </si>
  <si>
    <t>AT-97-18</t>
  </si>
  <si>
    <t>NPRM: Reporting Quarterly Wage and Unemployment Compensation Claims Data to the NDNH</t>
  </si>
  <si>
    <t>AT-97-17</t>
  </si>
  <si>
    <t>Instructions for the Distribution of Child Support Under Section 457 of the Social Security Act</t>
  </si>
  <si>
    <t>AT-97-13</t>
  </si>
  <si>
    <t>Collection and Disbursement of Support Payments</t>
  </si>
  <si>
    <t>AT-97-10</t>
  </si>
  <si>
    <t>Policy Questions and Responses to Miscellaneous Issues regarding PRWORA</t>
  </si>
  <si>
    <t>AT-97-09</t>
  </si>
  <si>
    <t>Revisions to the Title IV-D State Plan Preprint, Due September 1997</t>
  </si>
  <si>
    <t>AT-97-08</t>
  </si>
  <si>
    <t>Reduction in Federal Financial Participation (FFP) Rates for the Child Support Enforcement Program</t>
  </si>
  <si>
    <t>AT-97-05</t>
  </si>
  <si>
    <t>Procedures for Determining That a State IV-D Plan is Disapproved</t>
  </si>
  <si>
    <t>AT-97-02</t>
  </si>
  <si>
    <t>Requesting an Exemption from the Mandatory Laws and Procedures in Section 466 of the Act</t>
  </si>
  <si>
    <t>AT-97-01</t>
  </si>
  <si>
    <t>Recoupment of the Federal Share of Collections Made on Behalf of Children in Foster Care</t>
  </si>
  <si>
    <t>AT-96-10</t>
  </si>
  <si>
    <t>Availability of Federal Financial Participation at an Enhanced Rate under PRWORA</t>
  </si>
  <si>
    <t>AT-96-09</t>
  </si>
  <si>
    <t>Final Rule: Revisions for the President's Reform Initiative; Certified Statewide Systems Deadline Extension</t>
  </si>
  <si>
    <t>AT-96-08</t>
  </si>
  <si>
    <t>Revision to the Title IV-D State Plan Preprint on Computerized Support Enforcement Systems</t>
  </si>
  <si>
    <t>AT-96-06</t>
  </si>
  <si>
    <t>Recoupment of the Federal Share of Collections and Payment of Child Support Incentives under PRWORA</t>
  </si>
  <si>
    <t>AT-96-05</t>
  </si>
  <si>
    <t>Collection of Child Support by the IRS through Federal Income Tax Refunds Offset, 1996</t>
  </si>
  <si>
    <t>AT-96-02</t>
  </si>
  <si>
    <t>NPRM: Consumer Reporting Agencies; Certified Statewide Systems; President's Reform Initiative</t>
  </si>
  <si>
    <t>AT-96-01</t>
  </si>
  <si>
    <t>Charge-backs for OCSE for the Printing and Processing of OCSE Issued Pre-offset Notices</t>
  </si>
  <si>
    <t>AT-95-06</t>
  </si>
  <si>
    <t>Final Rule: Processing Garnishment Orders for Child Support and/or Alimony</t>
  </si>
  <si>
    <t>"Print to PDF" count used for AT (2 links to entire FR documents for certain dates not included in count)</t>
  </si>
  <si>
    <t>AT-94-06</t>
  </si>
  <si>
    <t>Final Rule: Paternity Establishment and Revision of Child Support Audit Regulations</t>
  </si>
  <si>
    <t>Collection of Child Support by the IRS through Federal Income Tax Refunds Offset, 1994</t>
  </si>
  <si>
    <t>AT-94-03</t>
  </si>
  <si>
    <t>Elimination of Annual Three-Year Hardware and Software Configuration Plan Requirement</t>
  </si>
  <si>
    <t>AT-94-04</t>
  </si>
  <si>
    <t>Charge-backs for Child Support Enforcement Network (CSENet) Usage</t>
  </si>
  <si>
    <t>AT-94-02</t>
  </si>
  <si>
    <t>Revised Program Instructions for Immediate Wage Withholding</t>
  </si>
  <si>
    <t>AT-93-14</t>
  </si>
  <si>
    <t>NPRM: Paternity Establishment Provisions of the Omnibus Budget Reconciliation Act of 1993</t>
  </si>
  <si>
    <t>AT-93-12</t>
  </si>
  <si>
    <t>NPRM: Revision of Child Support Enforcement Program and Audit Regulations</t>
  </si>
  <si>
    <t>AT-93-10</t>
  </si>
  <si>
    <t>Final Rule: Safeguarding Information; Federal Income Tax Refund Offset</t>
  </si>
  <si>
    <t>AT-93-07</t>
  </si>
  <si>
    <t>AT-93-08</t>
  </si>
  <si>
    <t>Clarification - Use of Presumptive Guidelines for Establishment of Support / Collection of Unreimbursed Assistance</t>
  </si>
  <si>
    <t>AT-93-06</t>
  </si>
  <si>
    <t>Requirements for Immediate Wage Withholding in All Orders Not Being Enforced Under Title IV-D</t>
  </si>
  <si>
    <t>AT-93-04</t>
  </si>
  <si>
    <t>Use of Presumptive Child Support Guidelines to Establish and Collect Support</t>
  </si>
  <si>
    <t>Clarification of Case Closure Criteria</t>
  </si>
  <si>
    <t>AT-93-02</t>
  </si>
  <si>
    <t>Review and Adjustment Requirements for Child Support Orders, Final Rule--CORRECTION</t>
  </si>
  <si>
    <t>AT-93-01</t>
  </si>
  <si>
    <t>Submitting Processing Fees to FPLS for Non-AFDC Cases, Locate Only, and Parental Kidnapping</t>
  </si>
  <si>
    <t>AT-92-12</t>
  </si>
  <si>
    <t>Final Rule: Review and Adjustment Requirements for Child Support Orders Effective October 13, 1993</t>
  </si>
  <si>
    <t>AT-92-10</t>
  </si>
  <si>
    <t>Final Rule: Prohibition of Federal Funding for Costs of Guardians Ad Litem in IV-D Actions</t>
  </si>
  <si>
    <t>AT-92-11</t>
  </si>
  <si>
    <t>Final Rule: Revision to the Timeframes for Distributing $50.00 Pass-Through Payments</t>
  </si>
  <si>
    <t>AT-92-07</t>
  </si>
  <si>
    <t>SSNs under the Social Security Administration's Enumeration Verification System</t>
  </si>
  <si>
    <t>Guidance for States on the Child Support Enforcement Network (CSENet) Contract Award</t>
  </si>
  <si>
    <t>AT-92-04</t>
  </si>
  <si>
    <t>Fees for Submitting Cases to the Federal Parent Locator Service</t>
  </si>
  <si>
    <t>AT-92-02</t>
  </si>
  <si>
    <t>Final Rule: Income Withholding; Review and Adjustment; Notice of Assigned Support Collected</t>
  </si>
  <si>
    <t>AT-92-01</t>
  </si>
  <si>
    <t>Final Rule: Federal Parent Locator Service Fees</t>
  </si>
  <si>
    <t>AT-91-11</t>
  </si>
  <si>
    <t>NPRM: Safeguarding Information; Federal Income Tax Refund Offset</t>
  </si>
  <si>
    <t>AT-91-10</t>
  </si>
  <si>
    <t>Submission of State Plan Page for Submitting an Advance Planning Document or APD Update</t>
  </si>
  <si>
    <t>AT-91-08</t>
  </si>
  <si>
    <t>NPRM: Revision to the Timeframes for Distributing $50.00 Pass-Through Payments</t>
  </si>
  <si>
    <t>"Print to PDF" count used for AT (link to entire FR documents the day not included in count)</t>
  </si>
  <si>
    <t>AT-91-06</t>
  </si>
  <si>
    <t>Audit Resolution Process for OCSE Audits</t>
  </si>
  <si>
    <t>AT-91-07</t>
  </si>
  <si>
    <t>Revision to the Title IV-D State Plan Preprint and Submission of State Plan Pages to Indicate Compliance</t>
  </si>
  <si>
    <t>AT-91-04</t>
  </si>
  <si>
    <t>Information on Absent Parents from Forms 1099 on the Wage and Information Document Master File</t>
  </si>
  <si>
    <t>AT-91-03</t>
  </si>
  <si>
    <t>NPRM: Prohibition of Federal Funding for Costs of Guardians Ad Litem</t>
  </si>
  <si>
    <t>AT-91-02</t>
  </si>
  <si>
    <t>Final Rule: $50 Pass-through; Support Guidelines; Mandatory Genetic Testing; Paternity Establishment</t>
  </si>
  <si>
    <t>AT-91-01</t>
  </si>
  <si>
    <t>Final Rule: Extension of IV-D Child Support Enforcement Services</t>
  </si>
  <si>
    <t>AT-90-15</t>
  </si>
  <si>
    <t>NPRM: Federal Parent Locator Service Fees</t>
  </si>
  <si>
    <t>AT-90-13</t>
  </si>
  <si>
    <t>Restrictions on Use of Federal Funds to Influence Awarding of Federal Grants or Contracts</t>
  </si>
  <si>
    <t>"Print to PDF" count used for AT (links to attachments not availabe so not included in count)</t>
  </si>
  <si>
    <t>AT-90-11</t>
  </si>
  <si>
    <t>Policy Clarification Relating to Automated Child Support Enforcement Systems</t>
  </si>
  <si>
    <t>AT-90-10</t>
  </si>
  <si>
    <t>APD Requirements to Meet Child Support System Provision of the Family Support Act of 1988</t>
  </si>
  <si>
    <t>AT-90-09</t>
  </si>
  <si>
    <t>NPRM: Processing Garnishments for Child Support and/or Alimony</t>
  </si>
  <si>
    <t>AT-90-08</t>
  </si>
  <si>
    <t>Treatment of Interest Earned from Non-AFDC Child Support Collections</t>
  </si>
  <si>
    <t>AT-90-07</t>
  </si>
  <si>
    <t>NPRM: Immediate Income Withholding; Review and Modification; Notice of Support Collected</t>
  </si>
  <si>
    <t>AT-90-05</t>
  </si>
  <si>
    <t>Final Rule: Standards for Program Operations Corrections Notification</t>
  </si>
  <si>
    <t>AT-90-04</t>
  </si>
  <si>
    <t>Birth Registration and Social Security Numbers</t>
  </si>
  <si>
    <t>AT-90-03</t>
  </si>
  <si>
    <t>Final Rule: Child Support Enforcement Program Audit</t>
  </si>
  <si>
    <t>AT-90-02</t>
  </si>
  <si>
    <t>Interstate Referral Guide (IRG)</t>
  </si>
  <si>
    <t>AT-90-01</t>
  </si>
  <si>
    <t>AT-89-17</t>
  </si>
  <si>
    <t>NPRM: $50 Pass-through; Support Guidelines; Genetic Testing; Paternity Establishment</t>
  </si>
  <si>
    <t>AT-89-16</t>
  </si>
  <si>
    <t>Treatment of Income Earned by States from Interest, Investments or Other Income</t>
  </si>
  <si>
    <t>AT-89-15</t>
  </si>
  <si>
    <t>Final Rule: Standards for Program Operations - Processing Cases and Distributing Collections</t>
  </si>
  <si>
    <t>AT-89-14</t>
  </si>
  <si>
    <t>Final Rule: Cooperative Arrangements</t>
  </si>
  <si>
    <t>AT-89-11</t>
  </si>
  <si>
    <t>NPRM: Cooperation to Pursue Third Party Health Coverage</t>
  </si>
  <si>
    <t>AT-89-10</t>
  </si>
  <si>
    <t>NPRM: Extension of IV-D Child Support Enforcement Services</t>
  </si>
  <si>
    <t>AT-89-09</t>
  </si>
  <si>
    <t>Revised Minimum Data Elements Required for Certifiable FAMIS and CSE Systems Interface</t>
  </si>
  <si>
    <t>AT-89-05</t>
  </si>
  <si>
    <t>NPRM: Standards for Program Operations - Processing Cases and Distributing Collections</t>
  </si>
  <si>
    <t>AT-89-04</t>
  </si>
  <si>
    <t>Final Rule: Medical Support Enforcement 1988</t>
  </si>
  <si>
    <t>AT-89-02</t>
  </si>
  <si>
    <t>Child Support Enforcement Program Audit - NPRM</t>
  </si>
  <si>
    <t>AT-89-01</t>
  </si>
  <si>
    <t>Revisions to Financial Reporting Requirements to Conform with Recent Legislation</t>
  </si>
  <si>
    <t>AT-88-18</t>
  </si>
  <si>
    <t>Final Rule: Federal Income Tax Refund Offset</t>
  </si>
  <si>
    <t>AT-88-17</t>
  </si>
  <si>
    <t>Family Support Act of 1988</t>
  </si>
  <si>
    <t>AT-88-16</t>
  </si>
  <si>
    <t>NPRM: Cooperative Arrangements</t>
  </si>
  <si>
    <t>AT-88-14</t>
  </si>
  <si>
    <t>Final Rule: Disregard of Child Support Payments, Correction to AT-88-11</t>
  </si>
  <si>
    <t>AT-88-13</t>
  </si>
  <si>
    <t>Corrections to the Final Rule-Provision of Services in Interstate IV-D Cases</t>
  </si>
  <si>
    <t>AT-88-11</t>
  </si>
  <si>
    <t>Final Rule: Disregard of Child Support Payments</t>
  </si>
  <si>
    <t>AT-88-10</t>
  </si>
  <si>
    <t>Prorating Costs Relating to Approved APD Expenditures</t>
  </si>
  <si>
    <t>AT-88-04</t>
  </si>
  <si>
    <t>Assessment of Interest on Disallowed Claims for Federal Financial Participation</t>
  </si>
  <si>
    <t>AT-88-02</t>
  </si>
  <si>
    <t>Final Rule: Provision of Services in Interstate IV-D Cases</t>
  </si>
  <si>
    <t>AT-88-01</t>
  </si>
  <si>
    <t>Final Rule: Automatic Data Processing Equipment and Services; Conditions for FFP - 1988</t>
  </si>
  <si>
    <t>AT-87-12</t>
  </si>
  <si>
    <t>Retrieval of Information on Absent Parents from Forms 1099 by the IRS</t>
  </si>
  <si>
    <t>AT-87-11</t>
  </si>
  <si>
    <t>A Guide for States Seeking Enhanced Funding for a Computerized Child Support Enforcement System</t>
  </si>
  <si>
    <t>AT-87-09</t>
  </si>
  <si>
    <t>Final Rule: Prohibition of FFP for Incarceration/Counsel for Indigent Absent Parents</t>
  </si>
  <si>
    <t>AT-87-08</t>
  </si>
  <si>
    <t>Reduction in the FFP Rate for Administrative Expenditures</t>
  </si>
  <si>
    <t>AT-87-03</t>
  </si>
  <si>
    <t>Final Rule: Correction of Headings to Reflect Establishment of the Family Support Administration</t>
  </si>
  <si>
    <t>AT-87-02</t>
  </si>
  <si>
    <t>Final Rule: Automatic Data Processing Equipment and Services; Conditions for FFP - 1987</t>
  </si>
  <si>
    <t>AT-87-01</t>
  </si>
  <si>
    <t>Final Rule: Grants to States for Public Assistance Programs and FFP</t>
  </si>
  <si>
    <t>AT-86-21</t>
  </si>
  <si>
    <t>Procedures for Determining that a State IV-D Plan is Disapproved</t>
  </si>
  <si>
    <t>AT-86-20</t>
  </si>
  <si>
    <t>NPRM: Provision of Services in Interstate IV-D Cases</t>
  </si>
  <si>
    <t>AT-86-19</t>
  </si>
  <si>
    <t>Revision to the Title IV-D State Plan Preprint</t>
  </si>
  <si>
    <t>AT-86-17</t>
  </si>
  <si>
    <t>Final Rule: Computing a Supplemental Payment in States</t>
  </si>
  <si>
    <t>AT-86-16</t>
  </si>
  <si>
    <t>Establishing Paternity and Securing Support; Correction</t>
  </si>
  <si>
    <t>AT-86-14</t>
  </si>
  <si>
    <t>Final Rule: Allotments for Child and Spousal Support</t>
  </si>
  <si>
    <t>AT-86-13</t>
  </si>
  <si>
    <t>NPRM: Prohibition of Federal Funding of Costs of Incarceration and Counsel</t>
  </si>
  <si>
    <t>AT-86-12</t>
  </si>
  <si>
    <t>NPRM: Processing Garnishment Orders for Child Support and/or Alimony</t>
  </si>
  <si>
    <t>AT-86-11</t>
  </si>
  <si>
    <t>Interim Final Rule: Federal Employees Health Benefits Program</t>
  </si>
  <si>
    <t>AT-86-10</t>
  </si>
  <si>
    <t>Final Rule: AFDC, Grants to States, Reporting the Federal Share of Child Support Collections</t>
  </si>
  <si>
    <t>AT-86-09</t>
  </si>
  <si>
    <t>Change in Rates for Federal Financial Participation (FFP)</t>
  </si>
  <si>
    <t>AT-86-07</t>
  </si>
  <si>
    <t>Final Rule: Disclosure of Change of Address and Post Office Boxholder Information</t>
  </si>
  <si>
    <t>AT-86-06</t>
  </si>
  <si>
    <t>Final Rule: Income and Eligibility Verification Procedures</t>
  </si>
  <si>
    <t>AT-86-03</t>
  </si>
  <si>
    <t>Interim Final Rule: Automatic Data Processing Equipment and Services; Conditions for FFP</t>
  </si>
  <si>
    <t>AT-86-02</t>
  </si>
  <si>
    <t>Final Rule: U.S. Army Family Support, Child Custody, and Paternity</t>
  </si>
  <si>
    <t>AT-85-19</t>
  </si>
  <si>
    <t>Final Rule Corrections: Revision of Child Support Enforcement Program Audit Regulations</t>
  </si>
  <si>
    <t>AT-85-16</t>
  </si>
  <si>
    <t>Final Rule: Medical Support Enforcement 1985</t>
  </si>
  <si>
    <t>AT-85-15</t>
  </si>
  <si>
    <t>Final Rule: Revision of the Child Support Enforcement Program Audit Regulations</t>
  </si>
  <si>
    <t>AT-85-12</t>
  </si>
  <si>
    <t>Final Rule Corrections: Implementation of Child Support Enforcement Amendments of 1984</t>
  </si>
  <si>
    <t>AT-85-10</t>
  </si>
  <si>
    <t>Final Rule: Railroad Retirement Garnishment</t>
  </si>
  <si>
    <t>AT-85-06</t>
  </si>
  <si>
    <t>Final Rule: Implementation of Child Support Enforcement Amendments of 1984</t>
  </si>
  <si>
    <t>AT-85-02</t>
  </si>
  <si>
    <t>Final Rule: Former Spouse Payments From Retired Pay</t>
  </si>
  <si>
    <t>AT-85-01</t>
  </si>
  <si>
    <t>Final Rule: Conditions for Imposition of Remedial Actions Applicable to Letter of Credit Administration</t>
  </si>
  <si>
    <t>AT-84-12</t>
  </si>
  <si>
    <t>NPRM: Automatic Data Processing Equipment and Services; Conditions for FFP</t>
  </si>
  <si>
    <t>AT-84-10</t>
  </si>
  <si>
    <t>Final Rule: Case assessment; Costs for services for non-AFDC families; Reduction of Program Costs</t>
  </si>
  <si>
    <t>AT-84-09</t>
  </si>
  <si>
    <t>Final Rule: Implementation of Deficit Reduction Act of 1984 for AFDC and Child Support</t>
  </si>
  <si>
    <t>AT-84-07</t>
  </si>
  <si>
    <t>Final Rule: Computerized Support Enforcement Systems</t>
  </si>
  <si>
    <t>AT-84-06</t>
  </si>
  <si>
    <t>Revised Application Form to Request Full Collection Services from IRS</t>
  </si>
  <si>
    <t>AT-84-03</t>
  </si>
  <si>
    <t>Final Rule: Elimination of Double Support Payments</t>
  </si>
  <si>
    <t>AT-84-02</t>
  </si>
  <si>
    <t>Final Rule: Withholding of Unemployment Benefits for Support Purposes</t>
  </si>
  <si>
    <t>AT-84-01</t>
  </si>
  <si>
    <t>Final Rule: Involuntary Child and Spousal Support Allotments</t>
  </si>
  <si>
    <t>AT-83-17</t>
  </si>
  <si>
    <t>Final Rule: Requests to Use the FPLS in Parental Kidnapping and Child Custody Cases</t>
  </si>
  <si>
    <t>AT-83-14</t>
  </si>
  <si>
    <t>NPRM: Involuntary Child and Spousal Support Allotments</t>
  </si>
  <si>
    <t>AT-83-11</t>
  </si>
  <si>
    <t>AT-83-08</t>
  </si>
  <si>
    <t>Final Rule: Allotments From Military Pay for Certain Support Obligations</t>
  </si>
  <si>
    <t>AT-83-06</t>
  </si>
  <si>
    <t>Final Rule: Collection of Past-Due Support from Federal Tax Refunds</t>
  </si>
  <si>
    <t>AT-83-02</t>
  </si>
  <si>
    <t>Final Rule with Comment Period: Collection of Support for Certain Adults</t>
  </si>
  <si>
    <t>AT-82-18</t>
  </si>
  <si>
    <t>Final Rule: FFP in the Costs of Cooperative Agreements with Courts and Law Enforcement</t>
  </si>
  <si>
    <t>AT-82-12</t>
  </si>
  <si>
    <t>Final Rule: Equipment Acquired Under Public Assistance Programs</t>
  </si>
  <si>
    <t>AT-82-13</t>
  </si>
  <si>
    <t>Final Rule with Comment Period: Assigned Support Received by AFDC Applicants or Recipients</t>
  </si>
  <si>
    <t>AT-82-10</t>
  </si>
  <si>
    <t>Final Rule: Incentive Payments to States and Political Subdivisions</t>
  </si>
  <si>
    <t>AT-82-05</t>
  </si>
  <si>
    <t>Interim Final Rule: Cost Allocation Plans for Public Assistance Programs</t>
  </si>
  <si>
    <t>AT-82-04</t>
  </si>
  <si>
    <t>Final Rule: Requests for Full Collection Services</t>
  </si>
  <si>
    <t>AT-82-02</t>
  </si>
  <si>
    <t>Withholding of Unemployment Benefits - Section 2335 of Public Law 97-35</t>
  </si>
  <si>
    <t>AT-82-03</t>
  </si>
  <si>
    <t>Final Rule: Withholding of Advance Funds for Failure to Report</t>
  </si>
  <si>
    <t>AT-82-01</t>
  </si>
  <si>
    <t>Interim Final Rule: Collection of Past-Due Support from Federal Tax Refunds</t>
  </si>
  <si>
    <t>AT-81-22</t>
  </si>
  <si>
    <t>Final Rule: Time Limits for States to File Claims</t>
  </si>
  <si>
    <t>AT-81-20</t>
  </si>
  <si>
    <t>Child Support Obligations Not Discharged by Bankruptcy</t>
  </si>
  <si>
    <t>AT-81-18</t>
  </si>
  <si>
    <t>Definition of Short Term Training</t>
  </si>
  <si>
    <t>AT-81-15</t>
  </si>
  <si>
    <t>Final Rule: Administration of Grants</t>
  </si>
  <si>
    <t>AT-81-12</t>
  </si>
  <si>
    <t>Use of the FPLS in Parental Kidnapping and Child Custody Cases</t>
  </si>
  <si>
    <t>AT-81-10</t>
  </si>
  <si>
    <t>Requests to the FPLS for Information on Absent Parents - State User Guide</t>
  </si>
  <si>
    <t>AT-81-05</t>
  </si>
  <si>
    <t>Final Rule: Time Limits for States to File Claims for FFP</t>
  </si>
  <si>
    <t>AT-81-03</t>
  </si>
  <si>
    <t>Final Rule: Optional Use of Current Rate FFP to Distribute Arrearage Collections</t>
  </si>
  <si>
    <t>Final Rule: Matching Payments to States for Non-AFDC Related Expenditures</t>
  </si>
  <si>
    <t>AT-80-18</t>
  </si>
  <si>
    <t>New Financial Requirements Imposed by Public Laws 96-265 and 96-272</t>
  </si>
  <si>
    <t>AT-80-17</t>
  </si>
  <si>
    <t>Requirements for Receiving Expanded Federal Matching for Court Costs, Revision to AT-80-14</t>
  </si>
  <si>
    <t>AT-80-14</t>
  </si>
  <si>
    <t>P.L. 96-265: Use of IRS to Collect Child Support and FFP for Duties Performed by Courts</t>
  </si>
  <si>
    <t>AT-80-12</t>
  </si>
  <si>
    <t>Final Rule - Administration of Grants</t>
  </si>
  <si>
    <t>AT-80-09</t>
  </si>
  <si>
    <t>Appeals Procedures Subsequent to Disallowance Action by Regional Representatives</t>
  </si>
  <si>
    <t>AT-80-07</t>
  </si>
  <si>
    <t>Final Rule: Automated Data Processing Equipment and Services; Conditions for FFP</t>
  </si>
  <si>
    <t>Final Rule: Medical Support Enforcement (1980)</t>
  </si>
  <si>
    <t>Fee for Cases Certified to the Internal Revenue Service</t>
  </si>
  <si>
    <t>AT-79-09</t>
  </si>
  <si>
    <t>Revision of the Effective Date of Regulation 45 CFR 304.21; FFP in the Costs of Cooperative Agreements</t>
  </si>
  <si>
    <t>AT-79-04</t>
  </si>
  <si>
    <t>Final Rule: Bonding of Employees and Handling of Cash Receipts in the Child Support Program</t>
  </si>
  <si>
    <t>AT-78-22</t>
  </si>
  <si>
    <t>Final Rule: Conditions for FFP in the Costs of Automatic Data Processing</t>
  </si>
  <si>
    <t>AT-78-19</t>
  </si>
  <si>
    <t>Final Rule: Good Cause for Refusing to Cooperate</t>
  </si>
  <si>
    <t>AT-78-16</t>
  </si>
  <si>
    <t>Procedures for Implementing Changes to 45 CFR 302.35, 302.70, and 303.3 - Access to the FPLS</t>
  </si>
  <si>
    <t>AT-78-08</t>
  </si>
  <si>
    <t>Request for Comments on a Final Rule - Good Cause for Refusing to Cooperate</t>
  </si>
  <si>
    <t>AT-77-17</t>
  </si>
  <si>
    <t>Preparation of Requests for Proposals for Automated Child Support Information Systems</t>
  </si>
  <si>
    <t>AT-77-13</t>
  </si>
  <si>
    <t>Tax Reform Act of 1976</t>
  </si>
  <si>
    <t>AT-77-12</t>
  </si>
  <si>
    <t>AT-77-08</t>
  </si>
  <si>
    <t>Restrictions on FFP for Publicly Owned Buildings</t>
  </si>
  <si>
    <t>AT-77-07</t>
  </si>
  <si>
    <t>Final Rule: Repayment of Federal Funds by Installments</t>
  </si>
  <si>
    <t>AT-77-06</t>
  </si>
  <si>
    <t>Final Rule: Revocation of the Deadline for Submission of Claims for FFP</t>
  </si>
  <si>
    <t>AT-77-04</t>
  </si>
  <si>
    <t>Final Rule: Disallowance, Deferral and Reconsideration</t>
  </si>
  <si>
    <t>AT-77-03</t>
  </si>
  <si>
    <t>Documentation Required to Support Claims for FFP Made Pursuant to Cooperative Agreements</t>
  </si>
  <si>
    <t>AT-77-02</t>
  </si>
  <si>
    <t>State Employment Offices to Supply Data to Assist the Child Support Program</t>
  </si>
  <si>
    <t>AT-76-08</t>
  </si>
  <si>
    <t>Revised: Applications by States to use the Courts of the United States to Enforce Child Support Orders</t>
  </si>
  <si>
    <t>AT-76-04</t>
  </si>
  <si>
    <t>Public Sources of State's Share</t>
  </si>
  <si>
    <t>AT-76-01</t>
  </si>
  <si>
    <t>Applications by States to Use the Courts of the United States to Enforce Child Support Orders</t>
  </si>
  <si>
    <t>ACF-OCSS-DCL-25-10</t>
  </si>
  <si>
    <t>2025 Open Comment Period – Hague Convention Forms Annual Burden</t>
  </si>
  <si>
    <t>DCL plus 1 attachment ("Print to PDF" count used for DCL)</t>
  </si>
  <si>
    <t>ACF-OCSS-TDCL-25-02</t>
  </si>
  <si>
    <t>Report from Tribal Consultation – June 30, 2025</t>
  </si>
  <si>
    <t>DCL plus 2 attachments ("Print to PDF" count used for DCL)</t>
  </si>
  <si>
    <t>ACF-OCSS-DCL-25-09</t>
  </si>
  <si>
    <t>Submittal of Annual Certification Letter – 2025</t>
  </si>
  <si>
    <t>ACF-OCSS-DCL-25-08</t>
  </si>
  <si>
    <t>Data Reliability Audit Requirements - FY 2025</t>
  </si>
  <si>
    <t>"Print to PDF" count used for DCL; excel attachment not included in count</t>
  </si>
  <si>
    <t>ACF-OCSS-DCL-25-07</t>
  </si>
  <si>
    <t>2025 Open Comment Period – Standard Intergovernmental Forms</t>
  </si>
  <si>
    <t>ACF-OCSS-DCL-25-06</t>
  </si>
  <si>
    <t>Submit OCSE-157 for FY 2025 by October 30</t>
  </si>
  <si>
    <t>"Print to PDF" count used for DCL</t>
  </si>
  <si>
    <t>ACF-OCSS-DCL-25-05</t>
  </si>
  <si>
    <t>FY 2024 Preliminary Data Report and Tables</t>
  </si>
  <si>
    <t>DCL plus 1 attachment ("Print to PDF" count used for DCL; 1 additional excel attachment not included in count)</t>
  </si>
  <si>
    <t>ACF-OCSS-DCL-25-04</t>
  </si>
  <si>
    <t>Open Comment Period — Revised National Medical Support Notice — Part A</t>
  </si>
  <si>
    <t>ACF-OCSS-DCL-25-03</t>
  </si>
  <si>
    <t>2025 Certification Statement of Compliance with Security and Privacy Requirements Due June 28</t>
  </si>
  <si>
    <t>ACF-OCSS-DCL-25-02</t>
  </si>
  <si>
    <t>Strengthening State and Tribal Child Support Enforcement Act</t>
  </si>
  <si>
    <t>ACF-OCSS-TDCL-25-01</t>
  </si>
  <si>
    <t>OFA – OCSS Joint Letter on Tribal Child Support Cooperation Requirements</t>
  </si>
  <si>
    <t>ACF-OCSS-DCL-25-01</t>
  </si>
  <si>
    <t>OFA – OCSS Joint Letter on Child Support Cooperation Requirements</t>
  </si>
  <si>
    <t>ACF-OCSS-DCL-24-16</t>
  </si>
  <si>
    <t>Direct Final Rule: 45 CFR Chapter III Technical Corrections</t>
  </si>
  <si>
    <t>ACF-OCSS-DCL-24-15</t>
  </si>
  <si>
    <t>Final Rule: Employment and Training Services for Noncustodial Parents in the Child Support Program</t>
  </si>
  <si>
    <t>ACF-OCSS-DCL-24-14</t>
  </si>
  <si>
    <t>FY 2025 Incentive Payment Pool Amount</t>
  </si>
  <si>
    <t>ACF-OCSS-TDCL-24-04</t>
  </si>
  <si>
    <t>Open Comment Period – OCSS-75 Tribal Child Support Data Report</t>
  </si>
  <si>
    <t>ACF-OCSS-DCL-24-13</t>
  </si>
  <si>
    <t>FY 2025 User Fees for FPLS and CSENet</t>
  </si>
  <si>
    <t>ACF-OCSS-DCL-24-12</t>
  </si>
  <si>
    <t>Best Practices in Child Support System Modernization</t>
  </si>
  <si>
    <t>ACF-OCSS-TDCL-24-03</t>
  </si>
  <si>
    <t>Submittal of the OCSE-75 for FY 2024</t>
  </si>
  <si>
    <t>ACF-OCSS-DCL-24-11</t>
  </si>
  <si>
    <t>Open Comment Period — State Self-Assessment Report</t>
  </si>
  <si>
    <t>ACF-OCSS-DCL-24-10</t>
  </si>
  <si>
    <t>Data Reliability Audit Requirements - FY 2024</t>
  </si>
  <si>
    <t>ACF-OCSS-DCL-24-09</t>
  </si>
  <si>
    <t>Submittal of Annual Certification Letter – 2024</t>
  </si>
  <si>
    <t>ACF-OCSS-DCL-24-08</t>
  </si>
  <si>
    <t>Open Comment Period – Intergovernmental Reference Guide</t>
  </si>
  <si>
    <t>ACF-OCSS-DCL-24-07</t>
  </si>
  <si>
    <t>Open Comment Period - OCSS-157 Annual Data Report</t>
  </si>
  <si>
    <t>ACF-OCSS-DCL-24-06</t>
  </si>
  <si>
    <t>Submit OCSE-157 for FY 2024 by October 30</t>
  </si>
  <si>
    <t>ACF-OCSS-DCL-24-05</t>
  </si>
  <si>
    <t>Withdrawal of U.S. Objection to Accession of Kazakhstan to Hague Convention</t>
  </si>
  <si>
    <t>ACF-OCSS-DCL-24-04</t>
  </si>
  <si>
    <t>FY 2023 Preliminary Data Report and Tables</t>
  </si>
  <si>
    <t>ACF-OCSS-TDCL-24-02</t>
  </si>
  <si>
    <t>Section 1115 Waiver Requests for Tribal Innovation</t>
  </si>
  <si>
    <t>ACF-OCSS-TDCL-24-01</t>
  </si>
  <si>
    <t>Listening Session for Tribal Systems - June 18</t>
  </si>
  <si>
    <t>ACF-OCSS-DCL-24-03</t>
  </si>
  <si>
    <t>2024 Certification Statement of Compliance with Security and Privacy Requirements Due June 28</t>
  </si>
  <si>
    <t>ACF-OCSS-DCL-24-01</t>
  </si>
  <si>
    <t>US Objection to Accession of Azerbaijan to Hague Convention</t>
  </si>
  <si>
    <t>ACF-OCSS-DCL-23-15</t>
  </si>
  <si>
    <t>Open Comment Period – Interstate Administrative Subpoena and Notice of Lien</t>
  </si>
  <si>
    <t>DCL-23-14</t>
  </si>
  <si>
    <t>FY 2024 Incentive Payment Pool Amount</t>
  </si>
  <si>
    <t>DCL-23-13</t>
  </si>
  <si>
    <t>U.S. Objection to Accession of Botswana to Hague Convention</t>
  </si>
  <si>
    <t>DCL-23-12</t>
  </si>
  <si>
    <t>FY 2024 User Fees for FPLS and CSENet</t>
  </si>
  <si>
    <t>TDCL-23-05</t>
  </si>
  <si>
    <t>Submittal of the OCSE-75 for FY 2023</t>
  </si>
  <si>
    <t>DCL-23-11</t>
  </si>
  <si>
    <t>Federal Offset and Pre-Offset Notice Program Fees in FY 2024</t>
  </si>
  <si>
    <t>DCL-23-10</t>
  </si>
  <si>
    <t>Submittal of Annual Certification Letter – 2023</t>
  </si>
  <si>
    <t>TDCL-23-04</t>
  </si>
  <si>
    <t>Recommendations for Personal Computers for Tribes using MTS</t>
  </si>
  <si>
    <t>DCL-23-09</t>
  </si>
  <si>
    <t>Data Reliability Audit Requirements - FY 2023</t>
  </si>
  <si>
    <t>DCL-23-08</t>
  </si>
  <si>
    <t>Submittal of OCSE-157 for FY 2023 by Oct. 30</t>
  </si>
  <si>
    <t>DCL-23-07</t>
  </si>
  <si>
    <t>Open Comment Period – Voluntary Paternity Acknowledgment and Required Data Elements for Paternity Establishment Affidavits</t>
  </si>
  <si>
    <t>TDCL-23-03</t>
  </si>
  <si>
    <t>Report from Consultation – April 6, 2023</t>
  </si>
  <si>
    <t>DCL-23-06</t>
  </si>
  <si>
    <t>FY 2022 Preliminary Data Report and Tables</t>
  </si>
  <si>
    <t>DCL-23-05</t>
  </si>
  <si>
    <t>Security and Privacy Program — OCSS Security Agreement</t>
  </si>
  <si>
    <t>DCL-23-04</t>
  </si>
  <si>
    <t>Updates on COVID-19 Flexibilities</t>
  </si>
  <si>
    <t>TDCL-23-02</t>
  </si>
  <si>
    <t>Tribal Child Support Consultation - April 6, 2023</t>
  </si>
  <si>
    <t>DCL plus 1 attachment ("Print to PDF" count used for DCL and attachment)</t>
  </si>
  <si>
    <t>DCL-23-03</t>
  </si>
  <si>
    <t>2023 Open Comment Period - Revised IWO Form and Instructions</t>
  </si>
  <si>
    <t>DCL-23-02</t>
  </si>
  <si>
    <t>Enrollment in CAP Service for International Payments</t>
  </si>
  <si>
    <t>DCL-23-01</t>
  </si>
  <si>
    <t>2023 Open Comment Period – State Plan Pages</t>
  </si>
  <si>
    <t>DCL-22-15</t>
  </si>
  <si>
    <t>FCR and SCR Family Violence Indicator Override Process</t>
  </si>
  <si>
    <t>DCL-22-14</t>
  </si>
  <si>
    <t>German Federal Office of Justice Not Accepting Checks After March 20, 2023</t>
  </si>
  <si>
    <t>DCL-22-13</t>
  </si>
  <si>
    <t>FY 2022 and FY 2023 Incentive Payment Pool Amounts</t>
  </si>
  <si>
    <t>TDCL-22-02</t>
  </si>
  <si>
    <t>Submittal of the OCSE-75 for FY 2022</t>
  </si>
  <si>
    <t>DCL-22-12</t>
  </si>
  <si>
    <t>FY 2023 User Fees for FPLS and CSENet</t>
  </si>
  <si>
    <t>TDCL-22-01</t>
  </si>
  <si>
    <t>Open Comment Period – Tribal Child Support Direct Funding Request</t>
  </si>
  <si>
    <t>DCL-22-11</t>
  </si>
  <si>
    <t>FY 2023 Federal Offset and Pre-Offset Notice Program Fees</t>
  </si>
  <si>
    <t>DCL-22-10</t>
  </si>
  <si>
    <t>Data Reliability Audit Requirements - FY 2022</t>
  </si>
  <si>
    <t>DCL-22-09</t>
  </si>
  <si>
    <t>Submittal of Annual Certification Letter — 2022</t>
  </si>
  <si>
    <t>DCL-22-08</t>
  </si>
  <si>
    <t>Submittal of OCSE-157 for FY 2022 by Oct. 30</t>
  </si>
  <si>
    <t>DCL-22-07</t>
  </si>
  <si>
    <t>Open Comment Period – Hague Convention Forms Annual Burden</t>
  </si>
  <si>
    <t>DCL-22-06</t>
  </si>
  <si>
    <t>Children’s Bureau - OCSE Joint Letter on Updated Child Support Referral Policy</t>
  </si>
  <si>
    <t>DCL-22-04</t>
  </si>
  <si>
    <t>FY 2021 Preliminary Data Report and Tables</t>
  </si>
  <si>
    <t>DCL-22-01</t>
  </si>
  <si>
    <t>IRS Releases Revised Publication 1075</t>
  </si>
  <si>
    <t>TDCL-21-03</t>
  </si>
  <si>
    <t>Open Comment Period – OCSE-75</t>
  </si>
  <si>
    <t>DCL-21-16</t>
  </si>
  <si>
    <t>New Open Comment Period – Forms OCSE-396 and OCSE-34</t>
  </si>
  <si>
    <t>DCL-21-15</t>
  </si>
  <si>
    <t>NPRM Withdrawal - Optional Exceptions to Child Support Guidelines</t>
  </si>
  <si>
    <t>DCL-21-14</t>
  </si>
  <si>
    <t>Open Comment Period – OCSE-157 Annual Data Report</t>
  </si>
  <si>
    <t>DCL-21-10</t>
  </si>
  <si>
    <t>Data Reliability Audit Requirements FY 2021</t>
  </si>
  <si>
    <t>DCL-21-09</t>
  </si>
  <si>
    <t>Submittal of Annual Certification Letter — 2021</t>
  </si>
  <si>
    <t>DCL-21-08</t>
  </si>
  <si>
    <t>Essentials for Attorneys in Child Support Enforcement, 4th edition released</t>
  </si>
  <si>
    <t>"Print to PDF" count used for DCL (attachment is an entire book counted in separate row)</t>
  </si>
  <si>
    <t>DCL-21-07</t>
  </si>
  <si>
    <t>DCL-21-06</t>
  </si>
  <si>
    <t>Submittal of OCSE-157 for FY 2021 by Oct. 30</t>
  </si>
  <si>
    <t>TDCL-21-01</t>
  </si>
  <si>
    <t>Written Tribal Consultation for the OCSE-75 Form</t>
  </si>
  <si>
    <t>DCL-21-03</t>
  </si>
  <si>
    <t>Open Comment Period – Forms OCSE-396 and OCSE-34</t>
  </si>
  <si>
    <t>DCL-21-01</t>
  </si>
  <si>
    <t>Open Comment Period – Administrative Subpoena and Notice of Lien</t>
  </si>
  <si>
    <t>DCL-20-14</t>
  </si>
  <si>
    <t>Open Comment Period – Insurance Match Collection Activity</t>
  </si>
  <si>
    <t>DCL-20-15</t>
  </si>
  <si>
    <t>Open Comment Period – MSFIDM with FAST Levy</t>
  </si>
  <si>
    <t>DCL-20-11</t>
  </si>
  <si>
    <t>Data Reliability Audit Requirements FY 2020</t>
  </si>
  <si>
    <t>DCL-20-09</t>
  </si>
  <si>
    <t>FY 2021 Federal Offset and Pre-Offset Notice Program Fees</t>
  </si>
  <si>
    <t>DCL-20-10</t>
  </si>
  <si>
    <t>Open Comment Period – MSFIDM with FAST Levy Collection Activity</t>
  </si>
  <si>
    <t>DCL-20-08</t>
  </si>
  <si>
    <t>Federal Collections &amp; Enforcement Annual Certification Letter – 2020</t>
  </si>
  <si>
    <t>DCL-20-07</t>
  </si>
  <si>
    <t>Submittal of OCSE-157 for FY 2020</t>
  </si>
  <si>
    <t>DCL-20-03</t>
  </si>
  <si>
    <t>U.S. Objection to Accession of Guyana to Hague Convention</t>
  </si>
  <si>
    <t>TDCL-20-01</t>
  </si>
  <si>
    <t>Open Comment Period – Tribal Budget and Narrative Justification Template</t>
  </si>
  <si>
    <t>DCL plus 2 attachments ("Print to PDF" count used for DCL; 2 additional duplicate attachments not included in count)</t>
  </si>
  <si>
    <t>DCL-19-16</t>
  </si>
  <si>
    <t>Request for Comments on Revised IWO Form and Instructions</t>
  </si>
  <si>
    <t>DCL-19-15</t>
  </si>
  <si>
    <t>TDCL-19-01</t>
  </si>
  <si>
    <t>Open Comment Period – OCSE-75 Tribal Annual Data Report</t>
  </si>
  <si>
    <t>DCL-19-09</t>
  </si>
  <si>
    <t>Open Comment Period – Hague Convention Case Processing Forms</t>
  </si>
  <si>
    <t>DCL-19-08</t>
  </si>
  <si>
    <t>Medical Support in Outgoing Cases to Canada</t>
  </si>
  <si>
    <t>DCL-19-06</t>
  </si>
  <si>
    <t>U.S. Objection to Accession of Kazakhstan to Hague Convention</t>
  </si>
  <si>
    <t>DCL-19-07</t>
  </si>
  <si>
    <t>Hague Convention Forms in Foreign Languages</t>
  </si>
  <si>
    <t>DCL-19-05</t>
  </si>
  <si>
    <t>Streamlining Feasibility Studies</t>
  </si>
  <si>
    <t>IDCL-19-01</t>
  </si>
  <si>
    <t>Accessing the U.S. Federal Parent Locator Service</t>
  </si>
  <si>
    <t>TDCL-18-02</t>
  </si>
  <si>
    <t>Model Tribal System (MTS) Services to Tribes</t>
  </si>
  <si>
    <t>TDCL-18-01</t>
  </si>
  <si>
    <t>Training for Finding the Right Security Control Assessor for FPLS Access</t>
  </si>
  <si>
    <t>DCL-17-05</t>
  </si>
  <si>
    <t>Summary Information for Software Releases 17-01 and 17-02</t>
  </si>
  <si>
    <t>TDCL-17-01</t>
  </si>
  <si>
    <t>Tribal Directors Resource Guide</t>
  </si>
  <si>
    <t>DCL-17-01</t>
  </si>
  <si>
    <t>Child Support Final Rule Fact Sheets</t>
  </si>
  <si>
    <t>DCL plus 2 attachments ("Print to PDF" count used for DCL; attachments may not be guidance)</t>
  </si>
  <si>
    <t>DCL-16-13</t>
  </si>
  <si>
    <t>WIOA Final Rule</t>
  </si>
  <si>
    <t>DCL-16-11</t>
  </si>
  <si>
    <t>U.S. Ratification of Hague Child Support Convention</t>
  </si>
  <si>
    <t>DCL-16-05</t>
  </si>
  <si>
    <t>Justice Department Announces Resources to Reform Practices</t>
  </si>
  <si>
    <t>DCL-16-04</t>
  </si>
  <si>
    <t>State Plan System Frequently Asked Questions</t>
  </si>
  <si>
    <t>TDCL-16-02</t>
  </si>
  <si>
    <t>Quadrennial Review of Child Support Guidelines</t>
  </si>
  <si>
    <t>DCL-15-21</t>
  </si>
  <si>
    <t>Offset of Tax Refund Payments to Collect Past-Due Support Interim Final Rule</t>
  </si>
  <si>
    <t>DCL-15-18</t>
  </si>
  <si>
    <t>Intergovernmental Reference Guide (IRG) International Requirements</t>
  </si>
  <si>
    <t>DCL-14-13</t>
  </si>
  <si>
    <t>Changing a Child Support Order Guide</t>
  </si>
  <si>
    <t>DCL-14-04</t>
  </si>
  <si>
    <t>Updated Locator Codes Data Standards</t>
  </si>
  <si>
    <t>DCL-13-17</t>
  </si>
  <si>
    <t>Instructions – the Australian Child Support Secure Email System</t>
  </si>
  <si>
    <t>DCL-13-02</t>
  </si>
  <si>
    <t>Manitoba, Canada - Addresses and Procedures</t>
  </si>
  <si>
    <t>DCL-13-06</t>
  </si>
  <si>
    <t>Garnishment of Supplemental Security Income Benefits</t>
  </si>
  <si>
    <t>IDCL-13-01</t>
  </si>
  <si>
    <t>Paying Child Support by Paper Check</t>
  </si>
  <si>
    <t>DCL-12-02</t>
  </si>
  <si>
    <t>Update - Erroneous Federal Tax Refund Offsets based upon Fraudulent Returns</t>
  </si>
  <si>
    <t>DCL-11-22</t>
  </si>
  <si>
    <t>Use of Federal Intergovernmental Forms by Foreign Reciprocating Countries</t>
  </si>
  <si>
    <t>TDCL-11-01</t>
  </si>
  <si>
    <t>Plan Amendments - Change to TDCL-10-07</t>
  </si>
  <si>
    <t>DCL-11-17</t>
  </si>
  <si>
    <t>Erroneous Federal Tax Refund Offsets Based Upon Fraudulent Returns</t>
  </si>
  <si>
    <t>DCL-11-08</t>
  </si>
  <si>
    <t>Federal Offset and Passport Denial State Services Portal Applications</t>
  </si>
  <si>
    <t>DCL-11-05</t>
  </si>
  <si>
    <t>Use of Social Security Administration Data to Improve Performance</t>
  </si>
  <si>
    <t>DCL-11-01</t>
  </si>
  <si>
    <t>Restructured Project Save Our Children (PSOC) Services</t>
  </si>
  <si>
    <t>DCL-10-20</t>
  </si>
  <si>
    <t>Hague Convention on the International Recovery of Child Support</t>
  </si>
  <si>
    <t>TDCL-10-07</t>
  </si>
  <si>
    <t>Plan Amendments</t>
  </si>
  <si>
    <t>TDCL-10-02</t>
  </si>
  <si>
    <t>Tribal IRS Safeguarding Guidance</t>
  </si>
  <si>
    <t>DCL-09-30</t>
  </si>
  <si>
    <t>Certified Copies of Orders to Canadian Provinces and Territories</t>
  </si>
  <si>
    <t>DCL-09-22</t>
  </si>
  <si>
    <t>Private Collection Agencies and Redirection of Payments</t>
  </si>
  <si>
    <t>TDCL-09-01</t>
  </si>
  <si>
    <t>Moving from Start-up to a Comprehensive Program: A Tool for Submitting an Application</t>
  </si>
  <si>
    <t>DCL-09-05</t>
  </si>
  <si>
    <t>OCSE Self-Assessment Reporting System</t>
  </si>
  <si>
    <t>DCL-08-31</t>
  </si>
  <si>
    <t>New Collaborative Planning Guide for Child Support and the Judiciary</t>
  </si>
  <si>
    <t>DCL-08-29</t>
  </si>
  <si>
    <t>QUICK to the Internet</t>
  </si>
  <si>
    <t>DCL-08-21</t>
  </si>
  <si>
    <t>Distribution Options under the Deficit Reduction Act of 2005</t>
  </si>
  <si>
    <t>"Print to PDF" count used for DCL and attachment</t>
  </si>
  <si>
    <t>DCL-08-19</t>
  </si>
  <si>
    <t>Child Support and Court/Judicial Message Exchange Data Model</t>
  </si>
  <si>
    <t>DCL-08-07</t>
  </si>
  <si>
    <t>DOD Determinations of Dependency for Health Care Benefits for Children Born Out-of-Wedlock</t>
  </si>
  <si>
    <t>IDCL-08-01</t>
  </si>
  <si>
    <t>Establishment of Paternity and Service of Process when Noncustodial Parent is in the US Military</t>
  </si>
  <si>
    <t>DCL-07-36</t>
  </si>
  <si>
    <t>Automated Systems for CSE: Guide for Electronic Document Management</t>
  </si>
  <si>
    <t>DCL-07-33</t>
  </si>
  <si>
    <t>Child Welfare and Child Support: Working Together to Help Children</t>
  </si>
  <si>
    <t>DCL-07-32</t>
  </si>
  <si>
    <t>Publication on How to use Electronic Information to Establish and Modify Child Support Orders</t>
  </si>
  <si>
    <t>DCL-06-32</t>
  </si>
  <si>
    <t>Implementation of New Passport Denial Threshold</t>
  </si>
  <si>
    <t>"Print to PDF" count used for DCL (excel file attachment not included in count)</t>
  </si>
  <si>
    <t>DCL-06-30</t>
  </si>
  <si>
    <t>Query Interstate Cases for Kids (QUICK)</t>
  </si>
  <si>
    <t>DCL-06-22</t>
  </si>
  <si>
    <t>Automated Systems for Child Support: A Guide for Enhancing Review and Adjustment Automation</t>
  </si>
  <si>
    <t>DCL-06-21</t>
  </si>
  <si>
    <t>Cost-free Service of Process for Federal Reciprocating Countries</t>
  </si>
  <si>
    <t>DCL-06-19</t>
  </si>
  <si>
    <t>Recommendations from Location Codes (aka FIPS) Workgroup</t>
  </si>
  <si>
    <t>DCL-06-14</t>
  </si>
  <si>
    <t>Implementation of New Passport Denial Threshold: Effective Oct 1, 2006</t>
  </si>
  <si>
    <t>DCL-06-05</t>
  </si>
  <si>
    <t>Compliance with Equal Treatment Regulations</t>
  </si>
  <si>
    <t>DCL-06-01</t>
  </si>
  <si>
    <t>Interstate Case Reconciliations in 2006</t>
  </si>
  <si>
    <t>DCL-05-35</t>
  </si>
  <si>
    <t>State Verification and Exchange System (SVES) Garnishment Match</t>
  </si>
  <si>
    <t>DCL-05-25</t>
  </si>
  <si>
    <t>Privacy Act Disclosure Requirement</t>
  </si>
  <si>
    <t>DCL-05-26</t>
  </si>
  <si>
    <t>Additional Information Regarding DFAS Restitution Letters</t>
  </si>
  <si>
    <t>DCL-05-17</t>
  </si>
  <si>
    <t>Military Trainer Guide: Working with the Military on Child Support Matters</t>
  </si>
  <si>
    <t>DCL-05-18</t>
  </si>
  <si>
    <t>Federal Parent Locator Service: Continuous Service Improvement Questions and Answers</t>
  </si>
  <si>
    <t>DCL-05-16</t>
  </si>
  <si>
    <t>DFAS Restitution Letters</t>
  </si>
  <si>
    <t>DCL-04-42</t>
  </si>
  <si>
    <t>Standardization of IV-D Case Identifiers</t>
  </si>
  <si>
    <t>DCL-04-17</t>
  </si>
  <si>
    <t>Cost Allocation Methodologies Toolkit</t>
  </si>
  <si>
    <t>DCL-04-14</t>
  </si>
  <si>
    <t>Improving the Processing of NDNH Data</t>
  </si>
  <si>
    <t>DCL-04-02</t>
  </si>
  <si>
    <t>Data Reliability Audit Process for Auditing States Less Frequently than Annually</t>
  </si>
  <si>
    <t>DCL-04-04</t>
  </si>
  <si>
    <t>Disclosure of Federal Tax Data by IV-D to IV-A</t>
  </si>
  <si>
    <t>DCL-03-45</t>
  </si>
  <si>
    <t>International Child Support Payments to Poland</t>
  </si>
  <si>
    <t>DCL-03-44</t>
  </si>
  <si>
    <t>Review of Federal Case Registry Options</t>
  </si>
  <si>
    <t>IDCL-03-01</t>
  </si>
  <si>
    <t>Service of Process on Child Support Matters in the United States</t>
  </si>
  <si>
    <t>DCL-03-17</t>
  </si>
  <si>
    <t>State Disbursement Unit Payment Processing and Physical Security</t>
  </si>
  <si>
    <t>DCL-03-15</t>
  </si>
  <si>
    <t>Report on Study of Administrative and Judicial Processes for Establishing Child Support Orders</t>
  </si>
  <si>
    <t>DCL-03-08</t>
  </si>
  <si>
    <t>Federal Guidance on International Child Support Payments</t>
  </si>
  <si>
    <t>DCL-02-19</t>
  </si>
  <si>
    <t>Guidebook for a Common Methodology</t>
  </si>
  <si>
    <t>DCL-01-50</t>
  </si>
  <si>
    <t>Base Level Program Expenditures for Incentive Reinvestment Purposes -- Revision</t>
  </si>
  <si>
    <t>DCL-00-112</t>
  </si>
  <si>
    <t>Computer Data Match between Department of Education and the NDNH</t>
  </si>
  <si>
    <t>DCL-00-103</t>
  </si>
  <si>
    <t>Attachment of Social Security Benefits</t>
  </si>
  <si>
    <t>DCL-00-79</t>
  </si>
  <si>
    <t>Department of State Passport Denial Procedures</t>
  </si>
  <si>
    <t>DCL-00-80</t>
  </si>
  <si>
    <t>Removal of Full Locate Functionality from State CSE System and CSENet 2000</t>
  </si>
  <si>
    <t>DCL-00-78</t>
  </si>
  <si>
    <t>Processing Bankruptcies</t>
  </si>
  <si>
    <t>DCL plus 3 attachments ("Print to PDF" count used for DCL)</t>
  </si>
  <si>
    <t>DCL-00-60</t>
  </si>
  <si>
    <t>Internal Revenue Service’s Use of Federal Case Registry Information</t>
  </si>
  <si>
    <t>DCL-00-27</t>
  </si>
  <si>
    <t>State Best Practices - FPLS Data: New Hire Reporting, FVI, FCR, Automation</t>
  </si>
  <si>
    <t>DCL plus 7 attachments ("Print to PDF" count used for DCL; attachments likely not guidance)</t>
  </si>
  <si>
    <t>DCL-99-129</t>
  </si>
  <si>
    <t>Online Interstate Roster and Referral Guide, Record Layout, and State FIPS Codes and Addresses</t>
  </si>
  <si>
    <t>DCL-99-97</t>
  </si>
  <si>
    <t>Follow-up to Federal Offset Conference Calls</t>
  </si>
  <si>
    <t>DCL-99-19</t>
  </si>
  <si>
    <t>International Child Abduction</t>
  </si>
  <si>
    <t>DCL-98-78</t>
  </si>
  <si>
    <t>Requests for Information from the FPLS</t>
  </si>
  <si>
    <t>DCL-97-61</t>
  </si>
  <si>
    <t>Recent Legislation Relating to the IV-D Program - Taxpayer Relief Act of 1997</t>
  </si>
  <si>
    <t>DCL-97-31</t>
  </si>
  <si>
    <t>Facilitate Family Preservation and Promote Adoption</t>
  </si>
  <si>
    <t>DCL-96-32</t>
  </si>
  <si>
    <t>Clarification of AT to Claim Charge-backs for Pre-offset Notices</t>
  </si>
  <si>
    <t>DCL-96-23</t>
  </si>
  <si>
    <t>Small Business Act and Financial Assistance</t>
  </si>
  <si>
    <t>DCL-96-01</t>
  </si>
  <si>
    <t>Charge-backs for Printing and Processing Pre-Offset Notices</t>
  </si>
  <si>
    <t>DCL-95-31</t>
  </si>
  <si>
    <t>Additional Prosecutions of Federal Criminal Nonsupport Cases</t>
  </si>
  <si>
    <t>DCL-95-07</t>
  </si>
  <si>
    <t>Change in Expedited Processes Exemption Requirements</t>
  </si>
  <si>
    <t>DCL-94-69</t>
  </si>
  <si>
    <t>Final Rule: Medicaid Extension when IV-D Support Collection Results in Termination of AFDC Eligibility</t>
  </si>
  <si>
    <t>DCL-94-64</t>
  </si>
  <si>
    <t>Recently Enacted Laws Impacting the Child Support Enforcement (IV-D) Program</t>
  </si>
  <si>
    <t>DCL-94-45</t>
  </si>
  <si>
    <t>Residency Requirements for IV-D Services</t>
  </si>
  <si>
    <t>DCL-94-01</t>
  </si>
  <si>
    <t>Non-IV-D Immediate Wage Withholding</t>
  </si>
  <si>
    <t>DCL-93-64</t>
  </si>
  <si>
    <t>International Parental Kidnapping Crime Act of 1993</t>
  </si>
  <si>
    <t>DCL-93-61</t>
  </si>
  <si>
    <t>Criminal Non-Support of Child Support</t>
  </si>
  <si>
    <t>DCL-93-36</t>
  </si>
  <si>
    <t>Omnibus Budget Reconciliation Act of 1993 (P.L. 103-66)</t>
  </si>
  <si>
    <t>DCL-93-12</t>
  </si>
  <si>
    <t>HCFA Final Rule-Poverty Level Pregnant Women Eligible for Medicaid</t>
  </si>
  <si>
    <t>DCL-92-33</t>
  </si>
  <si>
    <t>Reimbursement from States for Use of FPLS</t>
  </si>
  <si>
    <t>DCL-90-14</t>
  </si>
  <si>
    <t>Credit Reporting Agencies</t>
  </si>
  <si>
    <t>ACF-OCSS-IM-25-01</t>
  </si>
  <si>
    <t>Employment and Training Services – Funding and Resources</t>
  </si>
  <si>
    <t>"Print to PDF" count used for IM</t>
  </si>
  <si>
    <t>ACF-OCSS-IM-24-05</t>
  </si>
  <si>
    <t>Section 1115 Waivers to Fund NCP Work Activities - Update</t>
  </si>
  <si>
    <t>ACF-OCSS-IM-24-04</t>
  </si>
  <si>
    <t>Section 1115 Grant Funding Process - Update</t>
  </si>
  <si>
    <t>ACF-OCSS-IM-24-03</t>
  </si>
  <si>
    <t>Section 1115 Waivers - Update</t>
  </si>
  <si>
    <t>ACF-OCSS-IM-24-02</t>
  </si>
  <si>
    <t>FMAP Rates for State IV-D Agencies (FY 2024 and 2025)</t>
  </si>
  <si>
    <t>ACF-OCSS-IM-24-01</t>
  </si>
  <si>
    <t>Guidance for the Tribal Child Support Program Start-Up Application Process</t>
  </si>
  <si>
    <t>IM plus 3 attachments ("Print to PDF" count used for IM)</t>
  </si>
  <si>
    <t>USPS Contact Information for Child Support Agencies - Updated</t>
  </si>
  <si>
    <t>Name Change to Office of Child Support Services (OCSS)</t>
  </si>
  <si>
    <t>New Webpage for Parents</t>
  </si>
  <si>
    <t>Tribal IV-D Program Job Descriptions</t>
  </si>
  <si>
    <t>Wire Payments to Countries Not Accepting Paper Checks</t>
  </si>
  <si>
    <t>IM-21-04</t>
  </si>
  <si>
    <t>Child Support Resource Guide for State IV-D Directors - Revised</t>
  </si>
  <si>
    <t>IM plus 1 attachment ("Print to PDF" count used for IM)</t>
  </si>
  <si>
    <t>IM-21-03</t>
  </si>
  <si>
    <t>OMB-approved MSFIDM and FAST Levy Documents – Expire January 31, 2024</t>
  </si>
  <si>
    <t>IM plus 1 attachment ("Print to PDF" count used for IM; 2 attachments not included as they appear as stand alone documents elsewhere)</t>
  </si>
  <si>
    <t>OMB-Approved Insurance Match Standard Input File Record – Expires January 31, 2024</t>
  </si>
  <si>
    <t>United Kingdom’s Ratification of the Hague Child Support Convention</t>
  </si>
  <si>
    <t>Section 1115 Grant Funding – Streamlined Process</t>
  </si>
  <si>
    <t>Tribal Property and Uniform Cost Principles</t>
  </si>
  <si>
    <t>United Kingdom's Withdrawal from European Union - Procedures for U.S. States</t>
  </si>
  <si>
    <t>Questions and Answers on Working Child Support Cases with Canada</t>
  </si>
  <si>
    <t>IM-19-07</t>
  </si>
  <si>
    <t>The SSN on OCSE-Issued Pre-Offset Notice</t>
  </si>
  <si>
    <t>IM-19-06</t>
  </si>
  <si>
    <t>Model Procedures for Domestic Violence Cases</t>
  </si>
  <si>
    <t>IM-19-05</t>
  </si>
  <si>
    <t>Judicial Bench Cards for UIFSA and Hague Convention Cases</t>
  </si>
  <si>
    <t>IRS Requirements for Tribes Accessing Federal Tax Information</t>
  </si>
  <si>
    <t>Provide Only U.S. State of Residence for International Locate Requests</t>
  </si>
  <si>
    <t>Outgoing Convention Applications to Portugal for Recognition and Enforcement of a Decision</t>
  </si>
  <si>
    <t>IM-18-11</t>
  </si>
  <si>
    <t>International Locate Requests from Central Authorities Only</t>
  </si>
  <si>
    <t>IM-18-10</t>
  </si>
  <si>
    <t>Sending Wire Payments to Austria, Czech Republic, Slovakia, and Switzerland</t>
  </si>
  <si>
    <t>IM-18-08</t>
  </si>
  <si>
    <t>Hague Child Support Convention Judicial Guide</t>
  </si>
  <si>
    <t>IM-18-07</t>
  </si>
  <si>
    <t>A Caseworker's Guide to Processing Cases with Australia</t>
  </si>
  <si>
    <t>IM-18-06</t>
  </si>
  <si>
    <t>DOL Opinion on Consumer Credit Protection Act and Lump Sum Payments</t>
  </si>
  <si>
    <t>IV-D State Plan Training Materials</t>
  </si>
  <si>
    <t>Use of IV-D Incentive Funds for NCP Work Activities</t>
  </si>
  <si>
    <t>Minimum Requirement for OCSE Debtor File Submittals</t>
  </si>
  <si>
    <t>IM-17-03</t>
  </si>
  <si>
    <t>Toolkit: Child Support Collaborations to Engage and Assist Veterans</t>
  </si>
  <si>
    <t>OCSE Intergovernmental Forms Training</t>
  </si>
  <si>
    <t>IM plus 4 attachments ("Print to PDF" count used for IM; separate presentations combined and all pages counted as one attachment)</t>
  </si>
  <si>
    <t>Training Materials Available: International Case Processing Under UIFSA (2008)</t>
  </si>
  <si>
    <t>IM plus 2 attachments ("Print to PDF" count used for IM; separate presentations combined and all pages counted as one attachment)</t>
  </si>
  <si>
    <t>Procedures for Sending Payments to Norway</t>
  </si>
  <si>
    <t>Information for Tribal Access to the FPLS</t>
  </si>
  <si>
    <t>2008 Revisions to the Uniform Interstate Family Support Act</t>
  </si>
  <si>
    <t>Tribal Child Support Budget Toolbox and Technical Assistance</t>
  </si>
  <si>
    <t>Proper Case Type Reporting on the OCSE-157</t>
  </si>
  <si>
    <t>Safe Access to Child Support Services: Scope of the Issue</t>
  </si>
  <si>
    <t>Uniform Interstate Family Support Act (2008) and Hague Treaty Provisions</t>
  </si>
  <si>
    <t>Domestic Violence Awareness Month: Focus on Resources, Collaboration and Confidentiality</t>
  </si>
  <si>
    <t>Medicaid Referrals to the IV-D Agency</t>
  </si>
  <si>
    <t>IM-13-03</t>
  </si>
  <si>
    <t>Changes in Currency Conversion Policy in British Columbia and Manitoba, Canada</t>
  </si>
  <si>
    <t>Updated - A Caseworker's Guide to Processing Cases with Canada</t>
  </si>
  <si>
    <t>Facts on Garnishing Federal Benefits for Child Support</t>
  </si>
  <si>
    <t>Tagged as IM but does not appear to be</t>
  </si>
  <si>
    <t>Requests for Locate Services, Referrals, and Electronic Interface</t>
  </si>
  <si>
    <t>Alternatives to Incarceration</t>
  </si>
  <si>
    <t>Questions and Responses regarding the Model Tribal System Final Rule</t>
  </si>
  <si>
    <t>IM plus 1 attachment ("Print to PDF" count used for IM and attachment)</t>
  </si>
  <si>
    <t>A Caseworker's Guide to Processing Cases with El Salvador</t>
  </si>
  <si>
    <t>A Caseworker's Guide to Processing Cases with Switzerland</t>
  </si>
  <si>
    <t>Guidance on Enterprise Architecture in State Automated Human Services Systems</t>
  </si>
  <si>
    <t>IM-08-07</t>
  </si>
  <si>
    <t>IV-A and IV-D Interface and Data Exchange Report</t>
  </si>
  <si>
    <t>IM-08-05</t>
  </si>
  <si>
    <t>Story Behind the Numbers: Understanding and Managing Child Support Debt</t>
  </si>
  <si>
    <t>Guidance on Referral of Medicaid cases to Title IV-D Child Support Enforcement Agencies</t>
  </si>
  <si>
    <t>IM-07-10</t>
  </si>
  <si>
    <t>Earned Income Tax Credit</t>
  </si>
  <si>
    <t>Issuance from the Food Stamp Agency</t>
  </si>
  <si>
    <t>Referrals, Location, Applications, and Electronic Interface between Child Welfare and Child Support</t>
  </si>
  <si>
    <t>Word document attachment only used for count</t>
  </si>
  <si>
    <t>Child Support and Vital Records Data Exchange: Successful Practices</t>
  </si>
  <si>
    <t>Tribal and State Jurisdiction to Establish and Enforce Child Support</t>
  </si>
  <si>
    <t>Distribution in Tribal IV-D Cases, Trainers Guide and Participant Guide</t>
  </si>
  <si>
    <t>"Print to PDF" count used for IM (no links for attachments so not included in count)</t>
  </si>
  <si>
    <t>Social Security Administration "Court Order Garnishment System"</t>
  </si>
  <si>
    <t>Interstate Child Support Hearings</t>
  </si>
  <si>
    <t>IM-05-11</t>
  </si>
  <si>
    <t>Social Security Administration Updates - 2005</t>
  </si>
  <si>
    <t>Story Behind the Numbers: Collecting Interstate Child Support</t>
  </si>
  <si>
    <t>New Federal Bankruptcy Law Contains Child Support Provisions</t>
  </si>
  <si>
    <t>IM-05-03</t>
  </si>
  <si>
    <t>Optional Checklist for an Exemption of Prior Approval for IT Acquisitions</t>
  </si>
  <si>
    <t>Use of Enterprise Software in Automated Human Services Information Systems</t>
  </si>
  <si>
    <t>Master Contracts For State IT Products or Services</t>
  </si>
  <si>
    <t>Story Behind the Numbers: Who Owes the Child Support Debt?</t>
  </si>
  <si>
    <t>Reactivating the FPLS External Locate Function for Department of Defense to Verify Employment</t>
  </si>
  <si>
    <t>State Best Practices - FPLS Data: Automation, Employer Database, Employer New Hire Outreach</t>
  </si>
  <si>
    <t>Quick Guide to Working with the Military as an Employer - 2003</t>
  </si>
  <si>
    <t>IM-02-08</t>
  </si>
  <si>
    <t>State Best Practices - FPLS Data: Quarterly Wage and Unemployment Insurance</t>
  </si>
  <si>
    <t>"Print to PDF" count used for IM and attachment</t>
  </si>
  <si>
    <t>Employment Verification for Federal Agencies and the Military</t>
  </si>
  <si>
    <t>Brown Bag Training - What's Your Security IQ?</t>
  </si>
  <si>
    <t>State Best Practices - FPLS Data: Quarterly Wage, Data Match and Asset Seizure, FIDM</t>
  </si>
  <si>
    <t>"Print to PDF" count used for IM and all 3 attachments</t>
  </si>
  <si>
    <t>Income Withholding from Federal Employees Working on Indian Reservations</t>
  </si>
  <si>
    <t>Final Rules for SCHIP and Medicaid Presumptive Eligibility</t>
  </si>
  <si>
    <t>"Print to PDF" count used for IM and both attachments</t>
  </si>
  <si>
    <t>Techniques for One-State and Limited Services Interstate Case Processing</t>
  </si>
  <si>
    <t>Techniques for Effective Income Withholding - 2001</t>
  </si>
  <si>
    <t>OCSE Web Page for Financial Institution Data Match</t>
  </si>
  <si>
    <t>IM-00-10</t>
  </si>
  <si>
    <t>Guidance on the Prohibition of National Origin Discrimination</t>
  </si>
  <si>
    <t>"Print to PDF" count used for IM (link to entire FR documents the day not included in count)</t>
  </si>
  <si>
    <t>Tips, Techniques, and Technology for using FPLS Data</t>
  </si>
  <si>
    <t>Impact on Welfare Recidivism of PRWORA Child Support Arrears Distribution Policy Changes</t>
  </si>
  <si>
    <t>"Print to PDF" count used for IM (no links for attachment so not included in count)</t>
  </si>
  <si>
    <t>Use of the Federal Parent Locator Service for Child Welfare Services</t>
  </si>
  <si>
    <t>Financial Support for Children from Benefits Paid by Veterans Affairs</t>
  </si>
  <si>
    <t>Directory of Interstate Central Registries</t>
  </si>
  <si>
    <t>Technical Amendments Legislation Pertaining to Medical Child Support Orders</t>
  </si>
  <si>
    <t>Accreditation of Genetic Testing Labs</t>
  </si>
  <si>
    <t>IM-96-04</t>
  </si>
  <si>
    <t>Child Support Recovery Act of 1992</t>
  </si>
  <si>
    <t>IM-96-03</t>
  </si>
  <si>
    <t>Enlistment Policy for Men Who Acknowledge Paternity</t>
  </si>
  <si>
    <t>Tools to Assist Child Support Enforcement Agencies with Issues Involving Military Personnel</t>
  </si>
  <si>
    <t>IM-95-03</t>
  </si>
  <si>
    <t>Full Faith and Credit for Child Support Orders Act</t>
  </si>
  <si>
    <t>IM-93-06</t>
  </si>
  <si>
    <t>Administrative Determination of Paternity</t>
  </si>
  <si>
    <t>IM-93-02</t>
  </si>
  <si>
    <t>State Monitoring of Program Standards Implementation</t>
  </si>
  <si>
    <t>IM-92-09</t>
  </si>
  <si>
    <t>State Advancements in Paternity Establishment</t>
  </si>
  <si>
    <t>Employers' Wage Withholding Guide for Small Business</t>
  </si>
  <si>
    <t>ACF-OCSS-PIQ-25-01</t>
  </si>
  <si>
    <t>Policies to Promote Safety and Economic Stability for Survivors of Domestic Violence in the Child Support Program</t>
  </si>
  <si>
    <t>PIQ-23-01</t>
  </si>
  <si>
    <t>Responding to Specific Measures Requests from Hague Convention Countries</t>
  </si>
  <si>
    <t>PIQ-22-01</t>
  </si>
  <si>
    <t>Processing Incoming Cases under the 2007 Hague Child Support Convention</t>
  </si>
  <si>
    <t>PIQ-21-01</t>
  </si>
  <si>
    <t>Translation in Outgoing International Cases</t>
  </si>
  <si>
    <t>PIQT-21-01</t>
  </si>
  <si>
    <t>Tribal Contract Provisions</t>
  </si>
  <si>
    <t>PIQ-20-01</t>
  </si>
  <si>
    <t>Using the Intergovernmental Forms for Case Processing</t>
  </si>
  <si>
    <t>PIQ-19-01</t>
  </si>
  <si>
    <t>State Medicaid Agency Incentive Payments for Assigned Medical Support Collection</t>
  </si>
  <si>
    <t>PIQT-19-01</t>
  </si>
  <si>
    <t>Allowable Costs for Tribal Child Support Programs</t>
  </si>
  <si>
    <t>PIQ-18-03</t>
  </si>
  <si>
    <t>Federal Tax Refund Offset, Administrative Offset, and Passport Denial for Tribes</t>
  </si>
  <si>
    <t>PIQ-18-01</t>
  </si>
  <si>
    <t>Electronic Documents and Tribunals under UIFSA Section 316</t>
  </si>
  <si>
    <t>PIQ-12-02</t>
  </si>
  <si>
    <t>Partnering with other programs, including outreach, referral, and case management activities</t>
  </si>
  <si>
    <t>PIQ-12-01</t>
  </si>
  <si>
    <t>Administrative Offset of Attorney Fees Under the Equal Access to Justice Act</t>
  </si>
  <si>
    <t>PIQ-10-01</t>
  </si>
  <si>
    <t>Federal Financial Participation and Non-IV-D Activities</t>
  </si>
  <si>
    <t>PIQ-09-02</t>
  </si>
  <si>
    <t>Use of Electronic Signatures on Applications for IV-D Services</t>
  </si>
  <si>
    <t>PIQ-09-01</t>
  </si>
  <si>
    <t>Garnishment of Federal Payments for Child Support Obligations</t>
  </si>
  <si>
    <t>PIQ-08-01</t>
  </si>
  <si>
    <t>Inclusion of Self-Insurers in the Federal Insurance Match</t>
  </si>
  <si>
    <t>PIQ-07-04</t>
  </si>
  <si>
    <t>Enforcing Child Support when the Obligor is in Bankruptcy</t>
  </si>
  <si>
    <t>PIQ-07-02</t>
  </si>
  <si>
    <t>FFP for State Systems Related to Tribal IV-D Programs: Cases for Federal Tax Refund Offset and FPLS Requests</t>
  </si>
  <si>
    <t>PIQ-07-02/PIQT-07-02</t>
  </si>
  <si>
    <t>FFP for State Automated Systems Costs for Service Agreements; Submitting Tribal Cases for Federal Tax Refund and Requests to FPLS</t>
  </si>
  <si>
    <t>PIQ-07-03</t>
  </si>
  <si>
    <t>Disclosures of Child Support Enforcement Information to State IV-B &amp; IV-E Child Welfare Agencies</t>
  </si>
  <si>
    <t>PIQT-07-01</t>
  </si>
  <si>
    <t>Moving from a Start-up to a Comprehensive Tribal IV-D Program</t>
  </si>
  <si>
    <t>PIQ-07-01</t>
  </si>
  <si>
    <t>Federal Income Tax Refund Offset Program to Recoup Medical or Birthing Expenses Owed to State</t>
  </si>
  <si>
    <t>PIQ-06-02</t>
  </si>
  <si>
    <t>Guidance for Sending the National Medical Support Notice to the Defense Manpower Data Center</t>
  </si>
  <si>
    <t>PIQ-05-06</t>
  </si>
  <si>
    <t>Non-Recurring, Short Term Cash Benefit TANF Cases and Closing such Cases that were Erroneously Opened</t>
  </si>
  <si>
    <t>PIQ-05-05</t>
  </si>
  <si>
    <t>Sending National Medical Support Notice to Defense Management Data Center</t>
  </si>
  <si>
    <t>PIQT-05-04</t>
  </si>
  <si>
    <t>State IV-D Agencies' Use of the Federal Income Withholding Form on Tribal Employers</t>
  </si>
  <si>
    <t>PIQ-05-03</t>
  </si>
  <si>
    <t>FFP Costs of Carrying Out Expedited Administrative Processes under Section 466(a)(2) of the Act</t>
  </si>
  <si>
    <t>PIQ-05-02</t>
  </si>
  <si>
    <t>Case Initiation of Previously Closed IV-D Cases</t>
  </si>
  <si>
    <t>PIQ-05-01</t>
  </si>
  <si>
    <t>Reduction of the Unreimbursed Assistance Balance when Permanently-Assigned Arrearages are Compromised</t>
  </si>
  <si>
    <t>PIQT-05-02</t>
  </si>
  <si>
    <t>Applicability of 45 CFR Part 303 to Tribal IV-D Programs, Jurisdiction, and Cooperation with State IV-D programs</t>
  </si>
  <si>
    <t>PIQT-05-03</t>
  </si>
  <si>
    <t>Use of IV-D Funding to Pay for Private Attorney Fees for Establishment and Modification</t>
  </si>
  <si>
    <t>PIQT-04-01</t>
  </si>
  <si>
    <t>Direct Income Withholding when Employers are Subject to a Tribe's Jurisdiction</t>
  </si>
  <si>
    <t>PIQ-04-02</t>
  </si>
  <si>
    <t>Electronic Disbursement of Child Support Payments</t>
  </si>
  <si>
    <t>PIQ-04-03</t>
  </si>
  <si>
    <t>Medical Support Enforcement under the IV-D Program and Privacy Protections under the Health Insurance Portability and Accountability Act</t>
  </si>
  <si>
    <t>PIQ-03-10</t>
  </si>
  <si>
    <t>Electronic Payment Withdrawal as an Alternative to Income Withholding</t>
  </si>
  <si>
    <t>PIQ-03-09</t>
  </si>
  <si>
    <t>Case Closure of Child-Only Medicaid Cases</t>
  </si>
  <si>
    <t>PIQ-03-08</t>
  </si>
  <si>
    <t>Medical Support in Child Support Orders - Definition of Reasonable Cost</t>
  </si>
  <si>
    <t>PIQ-03-07</t>
  </si>
  <si>
    <t>Hold Period for Joint, Non-IV-A Tax Refund Offsets</t>
  </si>
  <si>
    <t>PIQ-03-06</t>
  </si>
  <si>
    <t>Noncustodial Parents in the Witness Protection Program</t>
  </si>
  <si>
    <t>PIQ-03-05</t>
  </si>
  <si>
    <t>Private Collection Agencies - Agent of a Child and Third Party Address for Correspondence</t>
  </si>
  <si>
    <t>PIQ-03-01</t>
  </si>
  <si>
    <t>Paternity Disestablishment</t>
  </si>
  <si>
    <t>PIQ-03-04</t>
  </si>
  <si>
    <t>Foreign Currency Child Support Payments</t>
  </si>
  <si>
    <t>PIQ-03-02</t>
  </si>
  <si>
    <t>Recoupment of a Child Support Overpayment, Guidance 2003</t>
  </si>
  <si>
    <t>PIQ-03-03</t>
  </si>
  <si>
    <t>Issuing and Complying with the Federal Income Withholding</t>
  </si>
  <si>
    <t>PIQ-02-03</t>
  </si>
  <si>
    <t>Medical Support Enforcement Policy Clarifications</t>
  </si>
  <si>
    <t>PIQ-02-02</t>
  </si>
  <si>
    <t>Requests by Custodial Parents for a Change of Address for the Disbursement of Support</t>
  </si>
  <si>
    <t>PIQ-02-01</t>
  </si>
  <si>
    <t>Recoupment of a Child Support Overpayment, Guidance 2002</t>
  </si>
  <si>
    <t>PIQ-01-04</t>
  </si>
  <si>
    <t>Selling of Child Support Arrears</t>
  </si>
  <si>
    <t>PIQ-01-06</t>
  </si>
  <si>
    <t>Thresholds for Federal Income Tax Refund Offset</t>
  </si>
  <si>
    <t>PIQ-01-05</t>
  </si>
  <si>
    <t>SSA Requests for Information from State Case Registries</t>
  </si>
  <si>
    <t>PIQ 01-02</t>
  </si>
  <si>
    <t>Locate Requirements After the Expanded Federal Parent Locator Service</t>
  </si>
  <si>
    <t>PIQ-01-01</t>
  </si>
  <si>
    <t>Use of the Federal Order/Notice to Withhold Income for Child Support</t>
  </si>
  <si>
    <t>PIQ-00-03</t>
  </si>
  <si>
    <t>State IV-D Program Flexibility with Respect to Low Income Obligors</t>
  </si>
  <si>
    <t>PIQ-99-06</t>
  </si>
  <si>
    <t>Direct Imposition of Liens and Levies Across State Lines</t>
  </si>
  <si>
    <t>PIQ-99-05</t>
  </si>
  <si>
    <t>Social Security Numbers on License Applications and Other Documents</t>
  </si>
  <si>
    <t>PIQ-99-03</t>
  </si>
  <si>
    <t>Policy Supporting Two Parent Families/Compromise of Arrearages</t>
  </si>
  <si>
    <t>PIQ-99-04</t>
  </si>
  <si>
    <t>Direct Unemployment Compensation Intercepts</t>
  </si>
  <si>
    <t>PIQ-99-02</t>
  </si>
  <si>
    <t>Order/Notice to Withhold Income For Child Support</t>
  </si>
  <si>
    <t>PIQ-99-01</t>
  </si>
  <si>
    <t>Direct Application for Title IV-D Services from International Residents</t>
  </si>
  <si>
    <t>e-NMSN - Answers to Employers' Questions</t>
  </si>
  <si>
    <t>"Print to PDF" count used for FAQ</t>
  </si>
  <si>
    <t>How does a federal tax refund offset work? </t>
  </si>
  <si>
    <t>What is the role of the federal Office of Child Support Services? </t>
  </si>
  <si>
    <t>How does the Passport Denial Program work? </t>
  </si>
  <si>
    <t>What Employers Should Know When Working with Tribes</t>
  </si>
  <si>
    <t>FAQ plus 1 attachment ("Print to PDF" count used for FAQ)</t>
  </si>
  <si>
    <t>Income Withholding and Medical Support for Federal Workers’ Compensation – Answers for State Agencies </t>
  </si>
  <si>
    <t>Income Withholding - Answers to Employers' Questions</t>
  </si>
  <si>
    <t>Bonus/Lump Sum Reporting – Answers to Employers’ Questions</t>
  </si>
  <si>
    <t>Electronic Income Withholding Orders (e-IWO) - Answers to Employers’ Questions</t>
  </si>
  <si>
    <t>Thrift Savings Plan Questions &amp; Answers For OCSS </t>
  </si>
  <si>
    <t>What steps should I take if the State Department has denied my passport because of past-due support? </t>
  </si>
  <si>
    <t>Will I have extra costs if my agency has to work on my case with another state or jurisdiction? </t>
  </si>
  <si>
    <t>What does the child support program do?</t>
  </si>
  <si>
    <t>How is the amount of my child support order set?</t>
  </si>
  <si>
    <t>New Hire Reporting - Answers to Employer Questions</t>
  </si>
  <si>
    <t>What is the difference between a judicial and an administrative modification?</t>
  </si>
  <si>
    <t>How is a child support order changed?</t>
  </si>
  <si>
    <t>Can I request a change to my order without going through the child support office?</t>
  </si>
  <si>
    <t>If I ask to have my order changed, will the amount decrease?</t>
  </si>
  <si>
    <t>What if I have more than one child support order?</t>
  </si>
  <si>
    <t>If either parent loses a job or is earning more money, will child support automatically be changed?</t>
  </si>
  <si>
    <t>As the noncustodial parent, what happens if I have remarried and part of the income tax refund belongs to my new spouse?</t>
  </si>
  <si>
    <t>How does the Federal Tax Refund Offset Program handle interstate cases?</t>
  </si>
  <si>
    <t>What can I do to make sure my child support order amount is fair?</t>
  </si>
  <si>
    <t>How do I sign up for child support services?</t>
  </si>
  <si>
    <t>My income has changed, can my order be revised?</t>
  </si>
  <si>
    <t>When is a child support case eligible for the Federal Tax Refund Offset Program?</t>
  </si>
  <si>
    <t>How can I contact my local child support office?</t>
  </si>
  <si>
    <t>Can I establish paternity even though the father of my child lives in another state?</t>
  </si>
  <si>
    <t>When the noncustodial parent is not paying, who can help me collect money?</t>
  </si>
  <si>
    <t>How much do the child support services cost?</t>
  </si>
  <si>
    <t>Is there a limit to the amount of money that can be taken from my paycheck for child support?</t>
  </si>
  <si>
    <t>How can I access payment information on my child support account?</t>
  </si>
  <si>
    <t>What is income withholding?</t>
  </si>
  <si>
    <t>Who do I contact if I know the location of a non-paying parent?</t>
  </si>
  <si>
    <t>What documents do I need to bring to the child support office?</t>
  </si>
  <si>
    <t>My child is no longer a minor. Will the state child support agency still submit my debt for Federal Tax Refund Offset?</t>
  </si>
  <si>
    <t>How can I get help with parenting time or enforcing visitation so I can see my children?</t>
  </si>
  <si>
    <t>Is there an application fee?</t>
  </si>
  <si>
    <t>Income Withholding and Medical Support for Department of Veterans Affairs Benefits</t>
  </si>
  <si>
    <t>Income Withholding and Medical Support for Social Security Beneficiaries – Answers to States’ Questions</t>
  </si>
  <si>
    <t>Medical Support - Answers to Employers' Questions</t>
  </si>
  <si>
    <t>Also counted under AT-23-01 "Revised NMSN Parts A and B – Expire Nov. 30, 2025" as attachment</t>
  </si>
  <si>
    <t>Remitting Payments - Answers to Employers’ Questions</t>
  </si>
  <si>
    <t>If I have a tribal child support order and I am moving off of my reservation, will the state enforce my tribal child support order?</t>
  </si>
  <si>
    <t>Income Withholding and Medical Support for Federal Retirees - Answers for State Agencies</t>
  </si>
  <si>
    <t>Federal Collection and Passport Denial Technical Guide</t>
  </si>
  <si>
    <t>landing page not included in count</t>
  </si>
  <si>
    <t>Overview of the OCSS IV&amp;V Assessment </t>
  </si>
  <si>
    <t>Interstate Case Reconciliation Case ID Matrix </t>
  </si>
  <si>
    <t>Interstate Case Reconciliation Reason Codes </t>
  </si>
  <si>
    <t>MSFIDM State Cost Reimbursement Table </t>
  </si>
  <si>
    <t>A Guide to the National Directory of New Hires </t>
  </si>
  <si>
    <t>Thrift Savings Plan Quick Guide for Child Support Agencies</t>
  </si>
  <si>
    <t>Reporting Employee Terminations for Private Employers and Federal Agencies </t>
  </si>
  <si>
    <t>IRG State and Tribal Administrator Guide </t>
  </si>
  <si>
    <t>IRG State and Tribal Child Support User Guide</t>
  </si>
  <si>
    <t>NDNH Research Request Form </t>
  </si>
  <si>
    <t>NDNH Guide for Data Submission </t>
  </si>
  <si>
    <t>Operational APD Instructions and Template</t>
  </si>
  <si>
    <t>Organization Multiple FEIN Templates </t>
  </si>
  <si>
    <t>landing page plus 2 attachments</t>
  </si>
  <si>
    <t>IRG State Profile Questions</t>
  </si>
  <si>
    <t>IRG Tribal Profile Questions</t>
  </si>
  <si>
    <t>e-NMSN Software Interface Specification </t>
  </si>
  <si>
    <t>landing page plus 7 attachments</t>
  </si>
  <si>
    <t>Federal Case Registry Interface Guidance Document </t>
  </si>
  <si>
    <t>landing page plus 19 attachments</t>
  </si>
  <si>
    <t>IRG Download Record Layout</t>
  </si>
  <si>
    <t>Federal Case Registry Data Election Guide</t>
  </si>
  <si>
    <t>Essentials for Attorneys in Child Support Enforcement</t>
  </si>
  <si>
    <t>This is a reprint of a book</t>
  </si>
  <si>
    <t>Insurance Match Implementation Guide</t>
  </si>
  <si>
    <t>FAST Levy Software Interface Specification</t>
  </si>
  <si>
    <t>Multistate Financial Institution Data Match Specifications Handbook</t>
  </si>
  <si>
    <t>APD 101/201 Presentation</t>
  </si>
  <si>
    <t>A Guide to Processing the National Interstate Case Reconciliation</t>
  </si>
  <si>
    <t>Model Tribal System Documentation</t>
  </si>
  <si>
    <t>landing page plus 4 attachments</t>
  </si>
  <si>
    <t>Automated Systems for Child Support Enforcement: A Guide for States</t>
  </si>
  <si>
    <t>Tribal APD Template</t>
  </si>
  <si>
    <t>System-to-System Interface Option for States and Employers</t>
  </si>
  <si>
    <t>Personal Computer Hardware Specifications</t>
  </si>
  <si>
    <t>Income Withholding for Support and the State Disbursement Unit</t>
  </si>
  <si>
    <t>landing page plus 1 attachment</t>
  </si>
  <si>
    <t>Finding the Right Security Control Assessor</t>
  </si>
  <si>
    <t>Child and Spousal Support for Courts and Attorneys</t>
  </si>
  <si>
    <t>Debt Inquiry Service System Interface Specifications</t>
  </si>
  <si>
    <t>Roundtable on Domestic Violence</t>
  </si>
  <si>
    <t>A Caseworker's Guide to Processing Cases with Israel</t>
  </si>
  <si>
    <t>IM plus 1 attachment; Tagged as "guidance" on Resources page, but doesn't appear in IM search/list</t>
  </si>
  <si>
    <t>A Guidebook for a Common Methodology for Determining NDNH-Attributable Child Support Collections</t>
  </si>
  <si>
    <t>No-Programming Option for Employers</t>
  </si>
  <si>
    <t>IV&amp;V Assessment Options</t>
  </si>
  <si>
    <t>Statutory and Regulatory Authority for Income Withholding Allocation</t>
  </si>
  <si>
    <t>Online Social Security Number Verification Tool</t>
  </si>
  <si>
    <t>Employees Called for Active Duty</t>
  </si>
  <si>
    <t>Procurement and Contracts Presentation</t>
  </si>
  <si>
    <t>CSENet Interface Guidance Document</t>
  </si>
  <si>
    <t>landing page plus 17 attachments</t>
  </si>
  <si>
    <t>State Systems APD Guide</t>
  </si>
  <si>
    <t>Automated Systems For Child Support Enforcement: A Guide For Enhancing Case Closure Automation</t>
  </si>
  <si>
    <t>Arrears Reconciliation Calculator</t>
  </si>
  <si>
    <t>landing page plus 1 attachment; additional excel file attachment not included in count</t>
  </si>
  <si>
    <t>Cost Benefit Analysis Illustrated</t>
  </si>
  <si>
    <t>Feasibility, Alternatives, and Cost Benefit Analysis Guide</t>
  </si>
  <si>
    <t>TDCL-19-02</t>
  </si>
  <si>
    <t>Open Comment Period – Tribal Direct Funding Request: 45 CFR 309 Plan</t>
  </si>
  <si>
    <t>Not in DCL list but shows up in all Resources</t>
  </si>
  <si>
    <t>TDCL-16-01</t>
  </si>
  <si>
    <t>Tribal Access to the FPLS</t>
  </si>
  <si>
    <t>PIQ-11-01</t>
  </si>
  <si>
    <t>Spousal Support Only Cases</t>
  </si>
  <si>
    <t>Not in PIQ list but shows up in all Resources</t>
  </si>
  <si>
    <t>The Personal Responsibility and Work Opportunity Reconciliation Act of 1996</t>
  </si>
  <si>
    <t>ORR</t>
  </si>
  <si>
    <t>25-15</t>
  </si>
  <si>
    <t>FY 2025 Refugee Support Services Formula Allocations</t>
  </si>
  <si>
    <t>25-14</t>
  </si>
  <si>
    <t>Replacement Award for Preferred Communities Program</t>
  </si>
  <si>
    <t>25-13</t>
  </si>
  <si>
    <t>Reduction of the Refugee Cash Assistance and Refugee Medical Assistance Eligibility Period</t>
  </si>
  <si>
    <t>25-12</t>
  </si>
  <si>
    <t>Arkansas Replacement Designees</t>
  </si>
  <si>
    <t>25-11</t>
  </si>
  <si>
    <t>CMS Guidance on Adhering to Early and Periodic Screening, Diagnostic, and Treatment (EPSDT) Requirements for Children and Youth</t>
  </si>
  <si>
    <t>25-10</t>
  </si>
  <si>
    <t>Youth Mentoring Refugee Support Services Set-Aside: FY 2025 Allocation</t>
  </si>
  <si>
    <t>25-09</t>
  </si>
  <si>
    <t>Services to Older Refugees Refugee Support Services Set-Aside: FY 2025 Allocation</t>
  </si>
  <si>
    <t>25-08</t>
  </si>
  <si>
    <t>Refugee School Impact Refugee Support Services Set-Aside: FY 2025 Allocation</t>
  </si>
  <si>
    <t>25-07</t>
  </si>
  <si>
    <t>Refugee Health Promotion Refugee Support Services Set-Aside: FY 2025 Allocation</t>
  </si>
  <si>
    <t>25-06</t>
  </si>
  <si>
    <t>Examples of Dual Enrollment Involving ORR-Funded Refugee Programs</t>
  </si>
  <si>
    <t>25-05</t>
  </si>
  <si>
    <t>Refugee Support Services: Extension of Obligation and Liquidation Deadlines for FY 2024 Funds</t>
  </si>
  <si>
    <t>25-04</t>
  </si>
  <si>
    <t>Refugee Cash and Medical Assistance (CMA): FY 2025 Obligation Deadline Extended by One Year</t>
  </si>
  <si>
    <t>25-03</t>
  </si>
  <si>
    <t>Verification of Release Cards for Unaccompanied Children Released from ORR Custody</t>
  </si>
  <si>
    <t>25-02</t>
  </si>
  <si>
    <t>ORR-Funded Program: Support for Trauma-Affected Refugees (STAR)</t>
  </si>
  <si>
    <t>25-01</t>
  </si>
  <si>
    <t>Examples and Resources to Advance Health ORR Refugee Programs</t>
  </si>
  <si>
    <t>rescinded 01/23/25</t>
  </si>
  <si>
    <t>24-14</t>
  </si>
  <si>
    <t>FY 2024 Refugee Support Services Formula Allocations</t>
  </si>
  <si>
    <t>24-13</t>
  </si>
  <si>
    <t>Refugee Health Promotion Refugee Support Services Set-Aside: FY24 Funding- Second Allocation</t>
  </si>
  <si>
    <t>24-12</t>
  </si>
  <si>
    <t>Refugee School Impact Refugee Support Services Set-Aside: FY24 Funding- Second Allocation</t>
  </si>
  <si>
    <t>24-11</t>
  </si>
  <si>
    <t>Emergency Preparedness Training for Resettled Refugee Communities</t>
  </si>
  <si>
    <t>24-10</t>
  </si>
  <si>
    <t>ORR’s Unaccompanied Children Program Regional Structure</t>
  </si>
  <si>
    <t>24-09</t>
  </si>
  <si>
    <t>Revised State Plan Template for Grants to States and Replacement Designees for Refugee Resettlement</t>
  </si>
  <si>
    <t>24-08</t>
  </si>
  <si>
    <t>Refugee Health Promotion Refugee Support Services Set-Aside:  FY 2024 Funding (PDF)</t>
  </si>
  <si>
    <t>24-07</t>
  </si>
  <si>
    <t>Youth Mentoring Refugee Support Services Set-Aside:  FY 2024 Funding (PDF)</t>
  </si>
  <si>
    <t>24-06</t>
  </si>
  <si>
    <t>Services to Older Refugees Refugee Support Services Set-Aside:  FY 2024 Funding (PDF)</t>
  </si>
  <si>
    <t>24-05</t>
  </si>
  <si>
    <t>Refugee School Impact Refugee Support Services Set-Aside:  FY 2024 Funding (PDF)</t>
  </si>
  <si>
    <t>24-04</t>
  </si>
  <si>
    <t>Timely Placement of Unaccompanied Children into the Unaccompanied Refugee Minors Program (PDF</t>
  </si>
  <si>
    <t>24-03</t>
  </si>
  <si>
    <t>Refugee Data Submission System for Formula Funds Allocations and Service Analysis (ORR-5) Collection Process for FY 2023</t>
  </si>
  <si>
    <t>24-02</t>
  </si>
  <si>
    <t>Refugee Technical Assistance Grantee (PDF)</t>
  </si>
  <si>
    <t>24-01</t>
  </si>
  <si>
    <t>Eligibility for Refugee Resettlement Program benefits and services: Parolees from Afghanistan or Ukraine</t>
  </si>
  <si>
    <t>23-39</t>
  </si>
  <si>
    <t>Response to a Potential Government Shutdown (PDF)</t>
  </si>
  <si>
    <t>23-38</t>
  </si>
  <si>
    <t>Afghan Refugee Support Services: FY 2023 Third Allocation (PDF)</t>
  </si>
  <si>
    <t>23-37</t>
  </si>
  <si>
    <t>Ukrainian Refugee Support Services: FY 2023 Third Allocation (PDF)</t>
  </si>
  <si>
    <t>23-36</t>
  </si>
  <si>
    <t>Reminder: Immigration-Related Legal Assistance Allowable Under ORR ASA Funding (PDF)</t>
  </si>
  <si>
    <t>23-35</t>
  </si>
  <si>
    <t>Private Sponsorship and Intersection with the ORR-Funded Refugee Resettlement Program (PDF)</t>
  </si>
  <si>
    <t>23-34</t>
  </si>
  <si>
    <t>Refugee Cash and Medical Assistance (CMA): FY 2023 and FY 2024 Deadlines Extended by One Year</t>
  </si>
  <si>
    <t>23-33</t>
  </si>
  <si>
    <t>ORR-Funded Behavioral Health Support Resources for Afghan Arrivals (PDF)</t>
  </si>
  <si>
    <t>23-32</t>
  </si>
  <si>
    <t>Enhanced ORR-HUD Collaboration on Affordable Housing Access (PDF)</t>
  </si>
  <si>
    <t>23-31</t>
  </si>
  <si>
    <t>Cash and Medical Assistance Program: Quarterly Report on Expenditures and Obligations (ORR-2) Instructions</t>
  </si>
  <si>
    <t>23-30</t>
  </si>
  <si>
    <t>Medicaid and Children’s Health Insurance Plan Updates and Recommendations (PDF)</t>
  </si>
  <si>
    <t>23-29</t>
  </si>
  <si>
    <t>Ukrainian Refugee Support Services: FY 2023 Second Allocation (PDF)</t>
  </si>
  <si>
    <t>23-28</t>
  </si>
  <si>
    <t>Afghan Refugee Health Promotion Supplement: FY 2023 Second Allocation (PDF)</t>
  </si>
  <si>
    <t>23-27</t>
  </si>
  <si>
    <t>Afghan Refugee School Impact: Support to Schools Funding (PDF)</t>
  </si>
  <si>
    <t>23-26</t>
  </si>
  <si>
    <t>Afghan Refugee Support Services: FY 2023 Second Allocation (PDF)</t>
  </si>
  <si>
    <t>23-25</t>
  </si>
  <si>
    <t>Refugee Support Services:  Extension of Obligation and Liquidations Deadlines for FY 2022 and FY 2023 Funds</t>
  </si>
  <si>
    <t>23-24</t>
  </si>
  <si>
    <t>Refugee Support Services: Supplemental Federal Financial Report (SF-425) Instructions (PDF)</t>
  </si>
  <si>
    <t>23-23</t>
  </si>
  <si>
    <t>Refugee Health Promotion Refugee Support Services Set-Aside: FY 2023 Supplemental Funding </t>
  </si>
  <si>
    <t>23-22</t>
  </si>
  <si>
    <t>Refugee School Impact Refugee Support Services Set-Aside: FY 2023 Supplemental Funding (PDF)</t>
  </si>
  <si>
    <t>23-21</t>
  </si>
  <si>
    <t>FY 2023 Refugee Support Services Formula Allocations (PDF)</t>
  </si>
  <si>
    <t>23-20</t>
  </si>
  <si>
    <t>Afghan Refugee Support Services Supplement: FY 2023 Legal Assistance Allocation</t>
  </si>
  <si>
    <t>23-19</t>
  </si>
  <si>
    <t>Continued Eligibility for the Unaccompanied Refugee Minors Program for Unaccompanied Afghan Minors</t>
  </si>
  <si>
    <t>23-18</t>
  </si>
  <si>
    <t>National Youth Leadership Council for Refugees and Newcomers</t>
  </si>
  <si>
    <t>archived 01/23/25</t>
  </si>
  <si>
    <t>23-17</t>
  </si>
  <si>
    <t>ORR-Funded Program: Services to Afghan Survivors Impacted by Combat (PDF)</t>
  </si>
  <si>
    <t>23-16</t>
  </si>
  <si>
    <t>Survivors of Torture Program for Nicaraguan Former Political Prisoners (PDF)</t>
  </si>
  <si>
    <t>23-15</t>
  </si>
  <si>
    <t>Immigration Legal Services for Afghan Arrivals (PDF)</t>
  </si>
  <si>
    <t>23-14</t>
  </si>
  <si>
    <t>Revisions to the Refugee Arrivals Data System for Formula Funds Allocations (ORR-5) (PDF)</t>
  </si>
  <si>
    <t>23-13</t>
  </si>
  <si>
    <t>Parole Process for Cubans, Haitians, Nicaraguans, and Venezuelans (PDF)</t>
  </si>
  <si>
    <t>23-12</t>
  </si>
  <si>
    <t>ORR-Funded Behavioral Health Support Program for Afghan Arrivals</t>
  </si>
  <si>
    <t>23-11</t>
  </si>
  <si>
    <t>Ukrainian Refugee Support Services: FY 2023 First Allocation (PDF)</t>
  </si>
  <si>
    <t>23-10</t>
  </si>
  <si>
    <t>Afghan Refugee Health Promotion Supplement: FY 2023 (PDF)</t>
  </si>
  <si>
    <t>23-09</t>
  </si>
  <si>
    <t>Afghan Refugee Support Services: FY 2023 First Allocation (PDF)</t>
  </si>
  <si>
    <t>23-08</t>
  </si>
  <si>
    <t>Clarification on the Domestic Medical Screening Program</t>
  </si>
  <si>
    <t>23-07</t>
  </si>
  <si>
    <t>New USCIS Process for Venezuelans (PDF)</t>
  </si>
  <si>
    <t>23-06</t>
  </si>
  <si>
    <t>Ukrainian Refugee School Impact Supplement: FY 2023 (PDF)</t>
  </si>
  <si>
    <t>23-05</t>
  </si>
  <si>
    <t>Ukrainian Refugee Health Promotion Supplement: FY 2023 (PDF)</t>
  </si>
  <si>
    <t>23-04</t>
  </si>
  <si>
    <t>Refugee School Impact Refugee Support Services Set-Aside: FY 2023 Funding (PDF)</t>
  </si>
  <si>
    <t>23-03</t>
  </si>
  <si>
    <t>Youth Mentoring Refugee Support Services Set-Aside: FY 2023 Funding (PDF)</t>
  </si>
  <si>
    <t>23-02</t>
  </si>
  <si>
    <t>Services to Older Refugees Refugee Support Services Set-Aside: FY 2023 Funding (PDF)</t>
  </si>
  <si>
    <t>23-01</t>
  </si>
  <si>
    <t>Refugee Health Promotion Refugee Support Services Set-Aside: FY 2023 Funding (PDF)</t>
  </si>
  <si>
    <t>22-24</t>
  </si>
  <si>
    <t>ORR-5 Individuals with No Alien Number: Data Submission Guidance</t>
  </si>
  <si>
    <t>22-23</t>
  </si>
  <si>
    <t>Afghan Refugee Support Services Supplement: FY 2022 Fourth Allocation (PDF)</t>
  </si>
  <si>
    <t>22-22</t>
  </si>
  <si>
    <t>Immigration Legal Services for Unaccompanied Children Enrolled in the Unaccompanied Refugee Minors Program</t>
  </si>
  <si>
    <t>22-21</t>
  </si>
  <si>
    <t>Ukrainian Refugee Support Services Supplement: FY 2022 Allocation (PDF)</t>
  </si>
  <si>
    <t>22-20</t>
  </si>
  <si>
    <t>Clarification Related to Ukrainian Humanitarian Parolees’ Eligibility for RCA and RMA (PDF)</t>
  </si>
  <si>
    <t>22-19</t>
  </si>
  <si>
    <t>FY 2022 Refugee Support Services Formula Allocations (PDF)</t>
  </si>
  <si>
    <t>22-18</t>
  </si>
  <si>
    <t>Afghan Refugee School Impact: Support to Schools Supplement (PDF)</t>
  </si>
  <si>
    <t>22-17</t>
  </si>
  <si>
    <t>Transition of the Alabama Refugee Resettlement Program (PDF)</t>
  </si>
  <si>
    <t>22-16</t>
  </si>
  <si>
    <t>Afghan Services to Older Refugees Supplemental: FY 2022 (PDF)</t>
  </si>
  <si>
    <t>22-15</t>
  </si>
  <si>
    <t>Afghan Youth Mentoring Supplemental: FY 2022 (PDF)</t>
  </si>
  <si>
    <t>22-14</t>
  </si>
  <si>
    <t>Afghan Refugee Health Promotion: FY 2022 Second Supplement (PDF)</t>
  </si>
  <si>
    <t>22-13</t>
  </si>
  <si>
    <t>Afghan Refugee School Impact: FY 2022 Second Supplement (PDF)</t>
  </si>
  <si>
    <t>22-12</t>
  </si>
  <si>
    <t>Expansion of the Refugee Cash Assistance and Refugee Medical Assistance Eligibility Period (P</t>
  </si>
  <si>
    <t>22-11</t>
  </si>
  <si>
    <t>Afghan Refugee Support Services Supplement: FY 2022 Third Allocation: Legal Assistance</t>
  </si>
  <si>
    <t>22-10</t>
  </si>
  <si>
    <t>Afghan Refugee Support Services Supplement: FY 2022 Second Allocation (PDF)</t>
  </si>
  <si>
    <t>22-09</t>
  </si>
  <si>
    <t>State Fiscal Year 2021 Arrival and Service Data Collection Process (PDF)</t>
  </si>
  <si>
    <t>22-08</t>
  </si>
  <si>
    <t>Refugee Mental Health Initiative within the Refugee Health Promotion Refugee Support Services Set-Aside: FY 2022 Funding</t>
  </si>
  <si>
    <t>22-07</t>
  </si>
  <si>
    <t>Services to Older Refugees Refugee Support Services Set-Aside: FY 2022 Funding (PDF)</t>
  </si>
  <si>
    <t>22-06</t>
  </si>
  <si>
    <t>Refugee School Impact Refugee Support Services Set-Aside: FY 2022 Funding (PDF)</t>
  </si>
  <si>
    <t>22-05</t>
  </si>
  <si>
    <t>Afghan Health Promotion Supplement: FY 2022 Quarter 1 (PDF)</t>
  </si>
  <si>
    <t>22-04</t>
  </si>
  <si>
    <t>Afghan Refugee School Impact Supplement: FY 2022 Quarter 1 (PDF)</t>
  </si>
  <si>
    <t>22-03</t>
  </si>
  <si>
    <t>Afghan Refugee Support Services Supplement: FY 2022 Quarter 1 (PDF)</t>
  </si>
  <si>
    <t>22-02</t>
  </si>
  <si>
    <t>Replacement Designee Selections for Fiscal Year 2022 (PDF)</t>
  </si>
  <si>
    <t>22-01</t>
  </si>
  <si>
    <t>Increase in Public/Private Partnership (PPP) Refugee Cash Assistance (RCA) Monthly Payment Ceilings</t>
  </si>
  <si>
    <t>21-18</t>
  </si>
  <si>
    <t>Eligibility Status of Certain Afghan Parolees (PDF)</t>
  </si>
  <si>
    <t>21-17</t>
  </si>
  <si>
    <t>FY 2021 RSS Afghan Special Immigrant Visa Holders and Special Immigrant (SI/SQ) Parolees Supplemental Allocation</t>
  </si>
  <si>
    <t>21-16</t>
  </si>
  <si>
    <t>Clarification Related to Afghan SQ/SI Parolees Eligibility for RCA/RMA (PDF)</t>
  </si>
  <si>
    <t>21-15</t>
  </si>
  <si>
    <t>Afghan Arrivals Being Processed within the United States (PDF)</t>
  </si>
  <si>
    <t>21-14</t>
  </si>
  <si>
    <t>Updates to RADS Functionality (PDF)</t>
  </si>
  <si>
    <t>21-13</t>
  </si>
  <si>
    <t>Revisions to the Refugee Data Submission System for Formula Funds Allocations (ORR-5) (PDF)</t>
  </si>
  <si>
    <t>21-12</t>
  </si>
  <si>
    <t>FY 2021 Refugee Health Promotion Refugee Support Services Set-Aside (PDF)</t>
  </si>
  <si>
    <t>21-11</t>
  </si>
  <si>
    <t>FY 2021 Youth Mentoring Refugee Support Services Set-Aside (PDF)</t>
  </si>
  <si>
    <t>21-10</t>
  </si>
  <si>
    <t>FY 2021 Refugee Support Services Formula Allocations (PDF)</t>
  </si>
  <si>
    <t>21-09</t>
  </si>
  <si>
    <t>State Plan Template for Grants to States and Replacement Designees for Refugee Resettlement (</t>
  </si>
  <si>
    <t>21-08</t>
  </si>
  <si>
    <t>COVID-19 Vaccinations and the Initial Domestic Medical Screening (PDF)</t>
  </si>
  <si>
    <t>21-07</t>
  </si>
  <si>
    <t>FY 2021 Replacement Designee Competition (PDF)</t>
  </si>
  <si>
    <t>21-06</t>
  </si>
  <si>
    <t>Transition of the North Dakota Refugee Resettlement Program (PDF)</t>
  </si>
  <si>
    <t>21-05</t>
  </si>
  <si>
    <t>COVID-19 Vaccinations and the Role of ORR Grantees</t>
  </si>
  <si>
    <t>archived 1/23/2025</t>
  </si>
  <si>
    <t>21-04</t>
  </si>
  <si>
    <t>Inquiries for the Refugee Policy Unit (PDF)</t>
  </si>
  <si>
    <t>21-03</t>
  </si>
  <si>
    <t>ORR Grants May Be Used as a Match for CNCS Programs (PDF)</t>
  </si>
  <si>
    <t>21-02</t>
  </si>
  <si>
    <t>State Arrival and Service Data Collection Process for Fiscal Year 2020 (PDF)</t>
  </si>
  <si>
    <t>21-01</t>
  </si>
  <si>
    <t>Wilson-Fish TANF Coordination Program Grantees (PDF)</t>
  </si>
  <si>
    <t>20-12</t>
  </si>
  <si>
    <t>FY 2021 Refugee School Impact — Refugee Support Services Set-Aside (PDF)</t>
  </si>
  <si>
    <t>20-11</t>
  </si>
  <si>
    <t>FY 2021 Services to Older Refugees — Refugee Support Services Set-Aside (PDF)</t>
  </si>
  <si>
    <t>20-10</t>
  </si>
  <si>
    <t>FY 2020 Revised Refugee Support Services Formula Allocations (PDF)</t>
  </si>
  <si>
    <t>20-09</t>
  </si>
  <si>
    <t>FY 2020 Youth Mentoring Set-Aside (PDF)</t>
  </si>
  <si>
    <t>20-08</t>
  </si>
  <si>
    <t>FY 2020 - 2021 Refugee Health Promotion Support Services Set-Aside (PDF)</t>
  </si>
  <si>
    <t>20-07</t>
  </si>
  <si>
    <t>FY 2020 Refugee Support Services COVID-19 Supplemental Allocation (PDF)</t>
  </si>
  <si>
    <t>20-06</t>
  </si>
  <si>
    <t>FY 2020 Refugee Support Services Formula Allocations (PDF)</t>
  </si>
  <si>
    <t>20-05</t>
  </si>
  <si>
    <t>Changes to the Categorization of Refugee Resettlement Programs (PDF)</t>
  </si>
  <si>
    <t>20-04</t>
  </si>
  <si>
    <t>ORR Populations, Public Charge, and U.S. Supreme Court Ruling of January 27, 2020 (PDF)</t>
  </si>
  <si>
    <t>20-03</t>
  </si>
  <si>
    <t>Fiscal Year 2020 Refugee School Impact Support Services Set-Aside</t>
  </si>
  <si>
    <t>20-02</t>
  </si>
  <si>
    <t>Fiscal Year 2020 Services to Older Refugees Support Services Set-Aside</t>
  </si>
  <si>
    <t>20-01</t>
  </si>
  <si>
    <t>State Arrival and Service Data Process for FY 2019</t>
  </si>
  <si>
    <t>19-06</t>
  </si>
  <si>
    <t>DHS Final Rule on Public Charge Does Not Affect ORR Populations</t>
  </si>
  <si>
    <t>19-05</t>
  </si>
  <si>
    <t>FY 2019 Refugee Support Services Formula Allocation</t>
  </si>
  <si>
    <t>19-04</t>
  </si>
  <si>
    <t>FY 2019 Youth Mentoring Set-Aside</t>
  </si>
  <si>
    <t>19-03</t>
  </si>
  <si>
    <t xml:space="preserve">Changes to Categorization of Refugee Resettlement Programs </t>
  </si>
  <si>
    <t>Superseded by DCL 20-05 </t>
  </si>
  <si>
    <t>19-02</t>
  </si>
  <si>
    <t>State Arrival and Service Data Collection Process for Fiscal Year 2018</t>
  </si>
  <si>
    <t>19-01</t>
  </si>
  <si>
    <t>Refugee Technical Assistance Grantee</t>
  </si>
  <si>
    <t>18-08</t>
  </si>
  <si>
    <t>Fiscal Year 2019 Services to Older Refugees Support Services Set-Aside</t>
  </si>
  <si>
    <t>18-07</t>
  </si>
  <si>
    <t>Fiscal Year 2019 Refugee School Impact Support Services Set-Aside</t>
  </si>
  <si>
    <t>18-06</t>
  </si>
  <si>
    <t>FY 2018 Youth Mentoring Set-Aside</t>
  </si>
  <si>
    <t>18-05</t>
  </si>
  <si>
    <t>FY 2018 Refugee Social Services Formula Allocations</t>
  </si>
  <si>
    <t>18-04</t>
  </si>
  <si>
    <t>Public Charge NPRM and ORR Populations</t>
  </si>
  <si>
    <t>18-03</t>
  </si>
  <si>
    <t>Missouri Replacement Designees</t>
  </si>
  <si>
    <t>18-02</t>
  </si>
  <si>
    <t>Fiscal Year 2018 Services to Older Refugees Social Services Set-Aside</t>
  </si>
  <si>
    <t>18-01</t>
  </si>
  <si>
    <t>Fiscal Year 2018 Refugee School Impact Social Services Set-Aside</t>
  </si>
  <si>
    <t>17-09</t>
  </si>
  <si>
    <t>Fiscal Year 2017 Targeted Assistance Formula Allocations</t>
  </si>
  <si>
    <t>17-08</t>
  </si>
  <si>
    <t>Expanded Data Match Process for Fiscal Year 2018</t>
  </si>
  <si>
    <t>17-07</t>
  </si>
  <si>
    <t>FY 2017 Refugee Social Services Formula Allocations</t>
  </si>
  <si>
    <t>17-06</t>
  </si>
  <si>
    <t>Monitoring Initiative</t>
  </si>
  <si>
    <t>17-05</t>
  </si>
  <si>
    <t>Discontinuation of Cuban/Haitian Social Services Set Aside Program</t>
  </si>
  <si>
    <t>17-04</t>
  </si>
  <si>
    <t>Maine Replacement Designee</t>
  </si>
  <si>
    <t>17-03</t>
  </si>
  <si>
    <t>Texas Replacement Designees</t>
  </si>
  <si>
    <t>17-02</t>
  </si>
  <si>
    <t>Human Trafficking Awareness Day 2017</t>
  </si>
  <si>
    <t>17-01</t>
  </si>
  <si>
    <t>Data Submission Procedures for FY 2017 Social Services and Targeted Assistance Grant Formula Allocations</t>
  </si>
  <si>
    <t>16-11</t>
  </si>
  <si>
    <t>Additional Fiscal Year 2016 Funding</t>
  </si>
  <si>
    <t>16-10</t>
  </si>
  <si>
    <t>Fiscal Year 2016 Targeted Assistance Formula Allocations</t>
  </si>
  <si>
    <t>16-09</t>
  </si>
  <si>
    <t>Cuban/Haitian Social Services Set-Aside Fiscal Year 2017</t>
  </si>
  <si>
    <t>16-08</t>
  </si>
  <si>
    <t>Services To Older Refugees Social Services Set-Aside Fiscal Year 2017</t>
  </si>
  <si>
    <t>16-07</t>
  </si>
  <si>
    <t>FY 2016 Refugee School Impact Social Services Set-Aside</t>
  </si>
  <si>
    <t>16-06</t>
  </si>
  <si>
    <t>FY 2016 Social Services Formula Allocations</t>
  </si>
  <si>
    <t>16-05</t>
  </si>
  <si>
    <t>Fiscal Year 2017 Planning</t>
  </si>
  <si>
    <t>16-04</t>
  </si>
  <si>
    <t>ORR Monitoring Initiative</t>
  </si>
  <si>
    <t>16-03</t>
  </si>
  <si>
    <t>Refugee Technical Assistance Grantees</t>
  </si>
  <si>
    <t>16-02</t>
  </si>
  <si>
    <t>Resettlement of Syrian Refugees</t>
  </si>
  <si>
    <t>16-01</t>
  </si>
  <si>
    <t>Categories of Guidance and Informational Documents Released by ORR</t>
  </si>
  <si>
    <t>PL 25-04</t>
  </si>
  <si>
    <t>Changes to ORR Refugee Support Services Recipients Beginning in FY2026</t>
  </si>
  <si>
    <t>PL 25-03</t>
  </si>
  <si>
    <t>ORR and PRM Quarterly Consultation Requirements</t>
  </si>
  <si>
    <t>PL 25-02</t>
  </si>
  <si>
    <t>Dual Enrollment Involving ORR-Funded Refugee Programs</t>
  </si>
  <si>
    <t>PL 25-01</t>
  </si>
  <si>
    <t>FY 2025 Waivers and Flexibilities for Capacity Management</t>
  </si>
  <si>
    <t>PL 24-03</t>
  </si>
  <si>
    <t>Use of ORR CMA and RSS Funding for Housing Assistance, Food Assistance, and Other Additional Services</t>
  </si>
  <si>
    <t>PL 24-02 </t>
  </si>
  <si>
    <t>Grant Recipient Requirements and Considerations for ORR Programming and Services</t>
  </si>
  <si>
    <t>rescinded 01/23/25</t>
  </si>
  <si>
    <t>PL 24-01</t>
  </si>
  <si>
    <t>Continued services for humanitarian parolees from Ukraine with a pending re-parole application</t>
  </si>
  <si>
    <t>PL 23-07</t>
  </si>
  <si>
    <t>Waiver for RMA Coverage for Full Time Students</t>
  </si>
  <si>
    <t>PL 23-06</t>
  </si>
  <si>
    <t>Continuation of ORR Services for Certain Afghans Who Have Filed for Re-Parole, Asylum, or Adjustment of Status</t>
  </si>
  <si>
    <t>PL 23-05</t>
  </si>
  <si>
    <t>ORR Authorized Legal Assistance Using AUSAA Funds</t>
  </si>
  <si>
    <t>PL 23-04</t>
  </si>
  <si>
    <t>Expanding Income Disregards for RCA</t>
  </si>
  <si>
    <t>PL 23-03</t>
  </si>
  <si>
    <t>Afghan Extended Case Management and Extended Community Orientation Allowable Under ORR ASA Funding</t>
  </si>
  <si>
    <t>PL 23-02</t>
  </si>
  <si>
    <t>Waiver for Shift in RCA Time Eligibility Period</t>
  </si>
  <si>
    <t>PL 23-01</t>
  </si>
  <si>
    <t>Waivers and Flexibilities for Capacity Management</t>
  </si>
  <si>
    <t>PL 22-16</t>
  </si>
  <si>
    <t>Continued Flexibilities through December 31, 2022</t>
  </si>
  <si>
    <t>PL 22-15</t>
  </si>
  <si>
    <t>Refugee Support Services Funded by the Additional Ukraine Supplemental Appropriations Act</t>
  </si>
  <si>
    <t>PL 22-14</t>
  </si>
  <si>
    <t>Serving LGBTQI+ ORR-Eligible Populations</t>
  </si>
  <si>
    <t>rescinded 01/23/2025</t>
  </si>
  <si>
    <t>PL 22-13</t>
  </si>
  <si>
    <t>Ukrainian Humanitarian Parolees Eligible for ORR Benefits and Services</t>
  </si>
  <si>
    <t>PL 22-12</t>
  </si>
  <si>
    <t>ARSI Support to Schools Initiative</t>
  </si>
  <si>
    <t>PL 22-11</t>
  </si>
  <si>
    <t>Immigration-Related Legal Assistance Allowable Under ORR ASA Funding</t>
  </si>
  <si>
    <t>PL 22-10</t>
  </si>
  <si>
    <t>Afghan Populations Eligible for ASA-Funded ORR Services</t>
  </si>
  <si>
    <t>Incorporated into PL 22-01</t>
  </si>
  <si>
    <t>PL 22-09</t>
  </si>
  <si>
    <t>Youth Mentoring Program</t>
  </si>
  <si>
    <t>PL 22-08</t>
  </si>
  <si>
    <t>Services to Older Refugee Program</t>
  </si>
  <si>
    <t>PL 22-07</t>
  </si>
  <si>
    <t>Refugee School Impact Program</t>
  </si>
  <si>
    <t>PL 22-06</t>
  </si>
  <si>
    <t>Refugee Mental Health Initiative within the Refugee Health Promotion Program</t>
  </si>
  <si>
    <t>PL 22-05</t>
  </si>
  <si>
    <t>ORR Funds and Flexibilities During Emergencies and Disasters</t>
  </si>
  <si>
    <t>PL 22-04</t>
  </si>
  <si>
    <t>Virtual Refugee Service Delivery and Elements of Program Administration</t>
  </si>
  <si>
    <t>PL 22-03</t>
  </si>
  <si>
    <t>Refugee Support Services Funded by the Afghanistan Supplemental Appropriation</t>
  </si>
  <si>
    <t>PL 22-02</t>
  </si>
  <si>
    <t>Additional ORR-Eligible Statuses and Categories and Acceptable Documentation Requirements for Afghan Nationals; ASA-Eligibility</t>
  </si>
  <si>
    <t>PL 22-01</t>
  </si>
  <si>
    <t>Afghan Humanitarian Parolees and Unaccompanied Afghan Minors Eligible for ORR Benefits and Services</t>
  </si>
  <si>
    <t>PL 21-08</t>
  </si>
  <si>
    <t>Continued Flexibilities Related to COVID-19, through September 30, 2022</t>
  </si>
  <si>
    <t>PL 21-07</t>
  </si>
  <si>
    <t>Amendment to ORR Policy Letter 16-01: Additional Form of Documentation for Iraqi and Afghan Special Immigrants</t>
  </si>
  <si>
    <t>rescinded by PL 22-02</t>
  </si>
  <si>
    <t>PL 21-06</t>
  </si>
  <si>
    <t>Family Self-Sufficiency Plan Requirements to Promote Self-Sufficiency and Integration</t>
  </si>
  <si>
    <t>PL 21-05</t>
  </si>
  <si>
    <t>Continued Assistance for ORR Populations Affected by COVID-19, through September 30, 2021</t>
  </si>
  <si>
    <t>PL 21-04</t>
  </si>
  <si>
    <t>Guidance for Public-Private Refugee Cash Assistance Programs</t>
  </si>
  <si>
    <t>PL 21-03</t>
  </si>
  <si>
    <t>Replacement Designees: Authorization, Role, Responsibilities, and Status Changes</t>
  </si>
  <si>
    <t>PL 21-02</t>
  </si>
  <si>
    <t>COVID-19 Assistance for Unaccompanied Refugee Minor Youth</t>
  </si>
  <si>
    <t>PL 21-01</t>
  </si>
  <si>
    <t>Continued Assistance for ORR Populations Affected by COVID-19</t>
  </si>
  <si>
    <t>PL 20-06</t>
  </si>
  <si>
    <t>Extended Assistance for ORR Populations Affected by COVID-19</t>
  </si>
  <si>
    <t>PL 20-05</t>
  </si>
  <si>
    <t>Refugee Health Promotion Program Transitions to Refugee Support Services Set-Aside Program</t>
  </si>
  <si>
    <t>augmented by PL 22-06</t>
  </si>
  <si>
    <t>PL 20-04</t>
  </si>
  <si>
    <t>Assistance for ORR Populations Affected by COVID-19</t>
  </si>
  <si>
    <t>PL 20-03</t>
  </si>
  <si>
    <t>COVID-19 Extended Assistance for ORR Populations</t>
  </si>
  <si>
    <t>PL 20-02</t>
  </si>
  <si>
    <t>Limitations on Collection of ORR Client Information for Refugee Programs</t>
  </si>
  <si>
    <t>PL 20-01</t>
  </si>
  <si>
    <t>Approval of Use of Refugee Support Services Funds for English Language Training</t>
  </si>
  <si>
    <t>PL 19-07</t>
  </si>
  <si>
    <t>Family Self-Sufficiency Plan Requirements</t>
  </si>
  <si>
    <t>superseded by PL 21-06</t>
  </si>
  <si>
    <t>PL 19-06</t>
  </si>
  <si>
    <t>Eligibility for ORR Services for Cuban and Haitian Entrants Without Work Authorization</t>
  </si>
  <si>
    <t>PL 19-05</t>
  </si>
  <si>
    <t>Medical Costs Incurred During Transit</t>
  </si>
  <si>
    <t>PL 19-04</t>
  </si>
  <si>
    <t>Privately-Administered Refugee Medical Assistance through a Medical Replacement Designee</t>
  </si>
  <si>
    <t>PL 19-03</t>
  </si>
  <si>
    <t>Services for Older Refugees Program</t>
  </si>
  <si>
    <t>superseded by PL 22-08</t>
  </si>
  <si>
    <t>PL 19-02</t>
  </si>
  <si>
    <t>superseded by PL 22-09</t>
  </si>
  <si>
    <t>PL 19-01</t>
  </si>
  <si>
    <t>superseded by PL 22-07</t>
  </si>
  <si>
    <t>PL 18-04</t>
  </si>
  <si>
    <t>Refugee Support Services</t>
  </si>
  <si>
    <t>PL 18-03 </t>
  </si>
  <si>
    <t>Replacement Designees</t>
  </si>
  <si>
    <t>superseded by PL 21-03</t>
  </si>
  <si>
    <t>PL 18-02</t>
  </si>
  <si>
    <t>Medical Copays and Out-of-Pocket Costs in the URM Program</t>
  </si>
  <si>
    <t>PL 18-01</t>
  </si>
  <si>
    <t>Federal Lobbying Restrictions</t>
  </si>
  <si>
    <t>PL 17-03</t>
  </si>
  <si>
    <t>ORR Populations Displaced or Affected by Hurricanes Harvey and Irma</t>
  </si>
  <si>
    <t>PL 17-02</t>
  </si>
  <si>
    <t>Data Sharing</t>
  </si>
  <si>
    <t>PL 17-01</t>
  </si>
  <si>
    <t>Cuban Entrants Remain Eligible for ORR Benefits and Services</t>
  </si>
  <si>
    <t>PL 16-08</t>
  </si>
  <si>
    <t>SNAP Work Requirements and Participation in Office of Refugee Resettlement Training Programs</t>
  </si>
  <si>
    <t>PL 16-07 </t>
  </si>
  <si>
    <t>Guidance on Refugee Social Services Funding</t>
  </si>
  <si>
    <t>rescinded by PL 24-03</t>
  </si>
  <si>
    <t>PL 16-06</t>
  </si>
  <si>
    <t>ORR Repatriation Program Compliance with the Windsor and Obergefell Decisions</t>
  </si>
  <si>
    <t>PL 16-05</t>
  </si>
  <si>
    <t>The Role of Refugee Health Coordinators</t>
  </si>
  <si>
    <t>PL 16-04</t>
  </si>
  <si>
    <t>ACA Reporting Requirements for RMA</t>
  </si>
  <si>
    <t>PL 16-03</t>
  </si>
  <si>
    <t>Restrictive Language on I-94s issued to Certain Haitians</t>
  </si>
  <si>
    <t>PL 16-02</t>
  </si>
  <si>
    <t>Extension of the Waiver of RMA Financial Eligibility Standards</t>
  </si>
  <si>
    <t>PL 16-01 </t>
  </si>
  <si>
    <t>Documentation Requirements for The Refugee Resettlement Program</t>
  </si>
  <si>
    <t>12/20/2024</t>
  </si>
  <si>
    <t>PL 23-06 FAQ</t>
  </si>
  <si>
    <t>04/30/2025</t>
  </si>
  <si>
    <t>PI 16-01 FAQ</t>
  </si>
  <si>
    <t>05/20/2024</t>
  </si>
  <si>
    <t>PI 16-01 Documentation Guide - Status and Documentation Requirements for the ORR Refugee Resettlement Program</t>
  </si>
  <si>
    <t>15-12</t>
  </si>
  <si>
    <t>Data Submission Procedures for FY 2016 Social Services and Targeted Assistance Grant Formula Allocations</t>
  </si>
  <si>
    <t>15-11</t>
  </si>
  <si>
    <t>FY 2015 Targeted Assistance Formula Allocations</t>
  </si>
  <si>
    <t>15-10</t>
  </si>
  <si>
    <t>FY 2016 — Services to Elderly Refugees - Social Services Set-Aside</t>
  </si>
  <si>
    <t>15-09</t>
  </si>
  <si>
    <t>FY 2016 — Cuban Haitian Social Services Set-Aside</t>
  </si>
  <si>
    <t>15-08</t>
  </si>
  <si>
    <t>Female Genital Mutilation and Cutting (FGM/C)</t>
  </si>
  <si>
    <t>15-06</t>
  </si>
  <si>
    <t>LGBT Resources and Information</t>
  </si>
  <si>
    <t>rescinded 02/03/25</t>
  </si>
  <si>
    <t>15-05</t>
  </si>
  <si>
    <t>Financial Capability Awareness: Information, Resources and Partnership Opportunities</t>
  </si>
  <si>
    <t>15-04</t>
  </si>
  <si>
    <t>FY 2015 Social Services Formula Allocations</t>
  </si>
  <si>
    <t>15-02</t>
  </si>
  <si>
    <t>Medical Assistance in the Unaccompanied Refugee Minors Program</t>
  </si>
  <si>
    <t>15-01</t>
  </si>
  <si>
    <t>In-Country Refugee/Parole Program for Children in El Salvador, Guatemala, and Honduras with Parents Lawfully Present in the United States — Eligibility for ORR Benefits and Services </t>
  </si>
  <si>
    <t>14-07</t>
  </si>
  <si>
    <t>Domestic Violence Awareness: Opportunities for Prevention and Action</t>
  </si>
  <si>
    <t>rescinded 02/05/25</t>
  </si>
  <si>
    <t>14-06</t>
  </si>
  <si>
    <t>FY2014 Targeted Assistance Formula Allocations</t>
  </si>
  <si>
    <t>14-05</t>
  </si>
  <si>
    <t>Data Submission Procedures for FY 2015 Social Services and Targeted Assistance Grant Formula Allocations</t>
  </si>
  <si>
    <t>14-04</t>
  </si>
  <si>
    <t>FY 2014 Refugee Social Services Formula Allocations</t>
  </si>
  <si>
    <t>14-03</t>
  </si>
  <si>
    <t>Guidance for FY-14 ORR-1 Same-Sex Couple Benefits</t>
  </si>
  <si>
    <t>rescinded 05/05/25</t>
  </si>
  <si>
    <t>14-02</t>
  </si>
  <si>
    <t>Employment Eligibility Requirements for Asylees, Refugees, and other Populations Served by ORR</t>
  </si>
  <si>
    <t>13-10</t>
  </si>
  <si>
    <t>Expansion of Medicaid Eligibility under the Affordable Care Act and Compliance with ORR Regulations at 45 CFR 400.101</t>
  </si>
  <si>
    <t>13-09</t>
  </si>
  <si>
    <t>The Affordable Care Act, Waiver of Financial Eligibility Standards for ORR Refugee Medical Assistance, and Application of the MAGI Income Methodology</t>
  </si>
  <si>
    <t>13-08</t>
  </si>
  <si>
    <t>Updated Report Forms for Unaccompanied Refugee Minor Program and New Information Collection Method</t>
  </si>
  <si>
    <t>13-07</t>
  </si>
  <si>
    <t>Data Submission Procedures for FY14 Social Services and Targeted Assistance</t>
  </si>
  <si>
    <t>13-06</t>
  </si>
  <si>
    <t>FY 2013 Targeted Assistance Formula Allocations</t>
  </si>
  <si>
    <t>13-05</t>
  </si>
  <si>
    <t>FY 2013 Social Services Formula Allocations</t>
  </si>
  <si>
    <t>13-04</t>
  </si>
  <si>
    <t>ORR Collaboration with the Department of Labor</t>
  </si>
  <si>
    <t>13-03</t>
  </si>
  <si>
    <t>FY 14 - ORR-1 and State Plan Submissions</t>
  </si>
  <si>
    <t>13-02</t>
  </si>
  <si>
    <t>Office of Refugee Resettlement (ORR) Regional Offices</t>
  </si>
  <si>
    <t>13-01</t>
  </si>
  <si>
    <t>Data Submission Procedures for FY 2013</t>
  </si>
  <si>
    <t>Guidance on Reporting and Estimating Administrative Costs For the Refugee Cash and Medical Assistance (CMA) Program</t>
  </si>
  <si>
    <t>Targeted Assistance Formula Allocations</t>
  </si>
  <si>
    <t>Social Services Formula Allocations</t>
  </si>
  <si>
    <t>Formula Allocation Notification Change</t>
  </si>
  <si>
    <t>Revised Medical Screening Guidelines for Newly Arriving Refugee</t>
  </si>
  <si>
    <t>Authorized resettlement areas for eligible repatriated U.S. Citizens</t>
  </si>
  <si>
    <t>Attendance at the 2012 National Consultation</t>
  </si>
  <si>
    <t>Legal Assistance for Victims of Trafficking, Potential Victims, and Certain Family Members</t>
  </si>
  <si>
    <t>ORR Annual Survey of Refugees</t>
  </si>
  <si>
    <t>Reorganization of Office of Refugee Resettlement (ORR)</t>
  </si>
  <si>
    <t>Data Submission Procedures for FY12 Social Services and Targeted Assistance</t>
  </si>
  <si>
    <t>Notice of Final FY2011 Formula Allocations to States for Refugee Social Services</t>
  </si>
  <si>
    <t>Attendance at the 2011 Office of Refugee Resettlement Consultation</t>
  </si>
  <si>
    <t>Disregard Tax Returns When Determining Eligibility for Cash and Medical Assistance</t>
  </si>
  <si>
    <t>Data Submission Procedures for FY 2011 Social Services and Targeted Assistance Grant Formula Allocations</t>
  </si>
  <si>
    <t>Refugees, Health Reform and Other Health &amp; Mental Health Resources</t>
  </si>
  <si>
    <t>Renewal of Information Collection Forms ORR-3 and ORR-4 for Unaccompanied Refugee Minor (URM) Program Reporting</t>
  </si>
  <si>
    <t>pdfs "Page Not Found" and excel excluded from count</t>
  </si>
  <si>
    <t>Office of Refugee Resettlement Guiding Principles</t>
  </si>
  <si>
    <t>Attendance at ORR’s 2010 National Consultation, June 7 — 8, 2010</t>
  </si>
  <si>
    <t>Refugee Children of Non-Biological Family Units</t>
  </si>
  <si>
    <t>Requesting Assistance for Child Victims of Human Trafficking</t>
  </si>
  <si>
    <t>pdfs "Page Not Found" so excluded from count</t>
  </si>
  <si>
    <t>Submission of ORR-1 Cash and Medical Assistance (CMA) Program Estimates Through the Administration for Children and Families’ On-Line Data Collection Website</t>
  </si>
  <si>
    <t>word attachments "Page not found" so excluded from count</t>
  </si>
  <si>
    <t>“Cuban and Haitian Entrants”: Eligibility for ORR-Funded Benefits and Services</t>
  </si>
  <si>
    <t>Afghan and Iraqi Special Immigrants Are Now Eligible for ORR Benefits and Services to the Same Extent and for the Same Time Periods of Time as Refugees </t>
  </si>
  <si>
    <t>Data Submission Procedures for FY 2010 Refugee Social Services (Including Secondary Migration Data) and Targeted Assistance Grant Formula Allocations</t>
  </si>
  <si>
    <t>H1N1 Influenza and Pandemic Flu Preparedness and Response</t>
  </si>
  <si>
    <t>Updated SL 09-14: Guidance on Requests for Approval of 45 CFR 400.155(h) "Other services”</t>
  </si>
  <si>
    <t>Notice of Final FY 2009 Formula Allocations to States for Refugee Social Services </t>
  </si>
  <si>
    <t>Notice of Final FY 2009 Formula Allocation for Targeted Assistance Grants to States for Services to Refugees </t>
  </si>
  <si>
    <t>Required Adjustment of Status to Lawful Permanent Resident by Refugees after One Year in U.S. in Refugee Status; Travel Abroad by Refugees and Requirement for Refugee Travel Document; Required Notification by Refugee of Change of Address</t>
  </si>
  <si>
    <t>Introduction of Eskinder Negash</t>
  </si>
  <si>
    <t>Strengthening Communities Fund: American Recovery and Reinvestment Act of 2009: HHS-2009-ACF-OHS-SI-0091</t>
  </si>
  <si>
    <t>Early Head Start Funding Opportunity HHS-2009-ACF-OHS-SA-0087</t>
  </si>
  <si>
    <t>Electronic Submission of Grant Reports</t>
  </si>
  <si>
    <t>Afghan Special Immigrants Are Now Eligible for Eight Months of ORR Benefits and Services from Date of Entry to U.S. </t>
  </si>
  <si>
    <t>Updated USCIS Naturalization Publications and Training Materials</t>
  </si>
  <si>
    <t>Guidance on Requests for Approval of 45 CFR 400.155(h) "Other services”</t>
  </si>
  <si>
    <t>Rural Secondary Migration Pilot Project</t>
  </si>
  <si>
    <t>Policy Clarification on Legal Assistance for Trafficking Victims and T Visa Holders</t>
  </si>
  <si>
    <t>Clarification of Unaccompanied Refugee Minor (URM) Eligibility for Chafee (Independent Living) Funds and Education and Training Vouchers (ETV)</t>
  </si>
  <si>
    <t>Project to Assess Resettlement Sites</t>
  </si>
  <si>
    <t>ORR Social Services FY2008 Final Allocations Sorted by State Percentage of Total Population (Fiscal Years 2005, 2006, and 2007)</t>
  </si>
  <si>
    <t>Employment Criteria and Reporting Guidance for Refugee Employment Services</t>
  </si>
  <si>
    <t>Eligibility of Afghan Special Immigrants for ORR Benefits and Services Continues Beyond September 30, 2008 - Update to State Letter 08-04</t>
  </si>
  <si>
    <t>ORR and Employment and Training Administration Collaborative</t>
  </si>
  <si>
    <t>Revised ORR-6 Performance Report</t>
  </si>
  <si>
    <t>Consolidated Appropriations Act, 2008: Time Limited Eligibility for ORR Benefits and Services of Iraqis and Afghans Granted Special Immigrant Status under Section 101 (a)(27) of the Immigration and Nationality Act (INA)</t>
  </si>
  <si>
    <t>Notice of the FY 2008 ORR Standing Announcements for Services to Recently Arrived Refugees</t>
  </si>
  <si>
    <t>Public Law 110-181: National Defense Authorization Act for Fiscal Year 2008 : Time Limited Eligibility for ORR Benefits and Services of Iraqis Granted Special Immigrant Status under Section 101 (a)(27) of the Immigration and Nationality Act (INA) </t>
  </si>
  <si>
    <t>Notice of the FY 2008 ORR Wilson-Fish Alternative Program Standing Announcement (HHS-2008-ACF-ORR-RW-0121)</t>
  </si>
  <si>
    <t>Updated Refugee Health Guidelines - Domestic Malaria Guidelines for Arriving Refugees</t>
  </si>
  <si>
    <t>Notification to State Refugee Coordinators and Refugee Health Coordinators of Issuances of Certifications/Eligibility letters to Victims of a Severe Form of Trafficking in Persons</t>
  </si>
  <si>
    <t>Attendance at the 2008 Office of Refugee Resettlement Consultation</t>
  </si>
  <si>
    <t>Participation in 2008 Office of Refugee Resettlement National Consultation</t>
  </si>
  <si>
    <t>Guidance to States/Wilson Fish Agencies on the Completion of the FY 2009 Annual Outcome Goal Plan</t>
  </si>
  <si>
    <t>2007 National Refugee Program Consultation </t>
  </si>
  <si>
    <t>Website Development for Formula Allocations Data Submissions</t>
  </si>
  <si>
    <t>Refugee Health Fact Sheet — FAQs on Consequences of Khat Use by Refugees</t>
  </si>
  <si>
    <t>Renewal of ORR-6 (QPR)</t>
  </si>
  <si>
    <t>Federal Refugee Health Partners Roles and Responsibilities</t>
  </si>
  <si>
    <t>Provisions of the REAL ID Act and the Notice of Proposed Rulemaking </t>
  </si>
  <si>
    <t>ORR Recommendations and Proposed Reporting Requirements and Guidelines for Economic Self-Sufficiency</t>
  </si>
  <si>
    <t>Grants for Refugee Microenterprise Development Projects</t>
  </si>
  <si>
    <t>Services to Older Refugees Discretionary Grant Announcement</t>
  </si>
  <si>
    <t>Female Genital Cutting (FGC)</t>
  </si>
  <si>
    <t>Grants for Refugee Individual Development Account Projects</t>
  </si>
  <si>
    <t>ORR Employment Outcomes: Refugee as Employee and Refugee as Self-Employed</t>
  </si>
  <si>
    <t>Cuban Parolee and non-Cuban Spouse or non-Cuban Child: Spouse and Child Not Eligible for ORR Benefits and Services</t>
  </si>
  <si>
    <t>Fall Update</t>
  </si>
  <si>
    <t>Guidance to States/Wilson Fish Agencies on the Completion of the FY 2008 Annual Outcome Goal Plan</t>
  </si>
  <si>
    <t>Farewell</t>
  </si>
  <si>
    <t> Notice of Availability of FY06 Funds to Support Refugee Preventive Health Discretionary Programs</t>
  </si>
  <si>
    <t>Evaluation of the Office of Refugee Resettlement (ORR) Social Services and Targeted Assistance Formula Grant Programs</t>
  </si>
  <si>
    <t>Implementation of and Monitoring Compliance with Department of Health and Human Services (HHS) Equal Treatment Regulations</t>
  </si>
  <si>
    <t>Thank You and Farewell</t>
  </si>
  <si>
    <t>Notice of Availability of FY 2006 Discretionary Grant Funds to State for Service Programs for Cuban-Haitian Refugees and Entrants</t>
  </si>
  <si>
    <t>Amendment to ORR State Letter 06-07 - FY 2006 Notice of Availability of Funds to States, dated February 21, 2006 </t>
  </si>
  <si>
    <t>Introductory Message</t>
  </si>
  <si>
    <t>Instructions to States to Amend State Plans with Emergency Operational Planning for Pandemic Influenza</t>
  </si>
  <si>
    <t>Notice of Availability of FY 2006 Grant Funds to Support Refugee Targeted Assistance Discretionary Programs</t>
  </si>
  <si>
    <t>Notice of Availability of FY 2006 Services for Survivors of Torture</t>
  </si>
  <si>
    <t>Notice of Availability of FY 2006 Funds for Technical Assistance to ORR-Funded Refugee Programs and Services for Asylees </t>
  </si>
  <si>
    <t>Renewal of ORR-3 (Refugee Unaccompanied Minor Placement Report) and ORR-4 (Refugee and Entrant Unaccompanied Minor Progress Report)</t>
  </si>
  <si>
    <t>Proposed Notice: FY 2006 Formula Targeted Assistance Program Allocations</t>
  </si>
  <si>
    <t>Proposed Notice: FY 2006 Formula Social Services Program Allocations</t>
  </si>
  <si>
    <t>Guidance to States/Wilson Fish agencies on the completion of the 2006/07 Annual Outcome Goal Plan </t>
  </si>
  <si>
    <t>Clarification of the Medicaid Program’s New Guidance on Citizenship Documentation for Medicaid Benefits</t>
  </si>
  <si>
    <t>Testing Refugee Children for Lead </t>
  </si>
  <si>
    <t>Public Charge and ORR Populations </t>
  </si>
  <si>
    <t>Release of Individuals Previously Held in "Indefinite Detention"</t>
  </si>
  <si>
    <t>Immigration Consequences of a Criminal Conviction</t>
  </si>
  <si>
    <t>Refugee School Impact Grants</t>
  </si>
  <si>
    <t>CDC Recommendations for Lead Poisoning Prevention in Refugee Children</t>
  </si>
  <si>
    <t>Information on Initiatives by the Centers for Medicare and Medicaid Services to Help Eligible Low-Income Individuals Reduce Their Prescription Drug Costs</t>
  </si>
  <si>
    <t>Proposed Notice: FY 2005 Social Service Allocations</t>
  </si>
  <si>
    <t>Corrected Deadline Date for Receipt of Refugee School Impact Grants</t>
  </si>
  <si>
    <t>2005 National Refugee Program Consultation</t>
  </si>
  <si>
    <t>Proposed Notice: FY 2005 Targeted Assistance Formula Allocations</t>
  </si>
  <si>
    <t>Refugee Health Promotion and Disease Prevention Toolkit</t>
  </si>
  <si>
    <t>Centers for Disease Control and Prevention (CDC) Guidance to Health Care Providers Treating Sudanese and Somali Bantu refugees for Schistosomiasis and Strongyloidiasis</t>
  </si>
  <si>
    <t>New ORR Consultation Plans</t>
  </si>
  <si>
    <t>Revised HHS "Guidance to Federal Financial Assistance Recipients Regarding Title VI Prohibition Against National Origin Discrimination Affecting Limited English Proficient Persons"</t>
  </si>
  <si>
    <t>Final Notice: FY 2005 Formula Social Service Allocations</t>
  </si>
  <si>
    <t>Final Notice: FY 2005 Formula Allocation for Targeted Assistance Grants to States for Services to Refugees</t>
  </si>
  <si>
    <t>National Waiver of the 60-Month Limitation on Social Services</t>
  </si>
  <si>
    <t>Eligibility Guidance for ORR Populations Displaced by Hurricane Katrina</t>
  </si>
  <si>
    <t>National Waiver of the 60-Month Limitation on Targeted Assistance for Refugees Evacuated or Displaced by Hurricane Katrina</t>
  </si>
  <si>
    <t>05-25a</t>
  </si>
  <si>
    <t>Disaster Assistance Payments Received by Victims of Hurricane Katrina</t>
  </si>
  <si>
    <t>National Waiver of the 90 Day Limitation on Medical Screening for Refugees Evacuated or Displaced by Hurricane Katrina</t>
  </si>
  <si>
    <t>Avian Flu</t>
  </si>
  <si>
    <t>Data Collection: ORR-11 (Refugee State-of-Origin Report)</t>
  </si>
  <si>
    <t>Soliciting your input in preparation for the 2005 National Refugee Program Consultation</t>
  </si>
  <si>
    <t>05-32</t>
  </si>
  <si>
    <t>Guidance to States/Wilson-Fish Agencies on Setting FY 2006 Annual Outcome Goals</t>
  </si>
  <si>
    <t>05-33</t>
  </si>
  <si>
    <t>Presidential Determination No. 2006-03</t>
  </si>
  <si>
    <t>Notice of FY 2004 Proposed Targeted Assistance Formula Allocations</t>
  </si>
  <si>
    <t>Older Refugee Discretionary Grant Announcement</t>
  </si>
  <si>
    <t>Renewal of ORR-1 (Refugee Resettlement Program Estimates: CMA)</t>
  </si>
  <si>
    <t>2004 National Refugee Program Consultation</t>
  </si>
  <si>
    <t>Proposed Notice of FY 2004 Social Service Allocations</t>
  </si>
  <si>
    <t>Notice of Availability of FY 2004 Funds to Support Services for Torture Victims</t>
  </si>
  <si>
    <t>FY 2004 Matching Grant Program Announcement</t>
  </si>
  <si>
    <t>Notice of Availability of FY 2004 Funds Under the Wilson-Fish Standing Announcement</t>
  </si>
  <si>
    <t>Guidelines regarding the use of RMA Health Screening Programs</t>
  </si>
  <si>
    <t>Notice of FY 2004 Final Targeted Assistance Formula Allocations</t>
  </si>
  <si>
    <t>The Trafficking Victims Protection Reauthorization Act of 2003--Eligibility for Federally Funded or Administered Benefits and Services to the Same Extent as Refugees Extended to Certain Family Members of Victims of a Severe Form of Trafficking in Persons</t>
  </si>
  <si>
    <t>Final Notice of FY 2004 Social Service Allocations</t>
  </si>
  <si>
    <t>Clarification of the Social Security Administration’s Procedure for Verifying Refugee and Asylee Status When Applying for a Social Security Card and Verification of Refugee Status with the Department of State Refugee Processing Center </t>
  </si>
  <si>
    <t>Data Collection by DB Consulting</t>
  </si>
  <si>
    <t>CMA Close-out of FY 2003</t>
  </si>
  <si>
    <t>Notice of an Additional Closing Date for the Standing Announcement for Services to Recently Arrived Refugees: Priority Area 2 - Unanticipated Arrivals </t>
  </si>
  <si>
    <t>Notice of Correction for the Standing Announcement for Services to Recently Arrived Refugees: Priority Area 1 - Preferred Communities</t>
  </si>
  <si>
    <t>Guidance to States/Wilson-Fish Agencies on Setting FY 2005 Annual Outcome Goals</t>
  </si>
  <si>
    <t>ORR Mid-Term Consultation</t>
  </si>
  <si>
    <t>Notice of Availability of FY 2003 Discretionary Grant Funds to States for Service Programs for Cuban-Haitian Refugees and Entrants </t>
  </si>
  <si>
    <t>Disregard of Monetary Allowances for Certain Children of Vietnam War Veterans. </t>
  </si>
  <si>
    <t>Clearinghouse on refugee youth and child well-being</t>
  </si>
  <si>
    <t>Notice of Availability of FY2003 Funds to States for the Refugee Preventive Health Discretionary Grant Program </t>
  </si>
  <si>
    <t>Notice of Availability of FY2003 Service Grants to States for the Targeted Assistance Discretionary Grant Program </t>
  </si>
  <si>
    <t>Notice of FY 2003 Funds for the Family Enrichment Program </t>
  </si>
  <si>
    <t>Notice of FY 2003 Proposed Targeted Assistance Formula Allocations</t>
  </si>
  <si>
    <t>Grants for Refugee Employment Subsidy Program</t>
  </si>
  <si>
    <t>Notice of FY 2003 Proposed Social Service Allocations</t>
  </si>
  <si>
    <t>Notice of Availability of FY 2003 Funds for Technical Assistance to ORR-Funded Refugee Programs and Services for Asylees </t>
  </si>
  <si>
    <t>Notice of an additional closing date, for the ORR Standing Announcement for Services to Recently Arrived Refugees: Category One — Preferred Communities </t>
  </si>
  <si>
    <t>Final Notice of FY 2003 Targeted Assistance Formula Allocations</t>
  </si>
  <si>
    <t>ORR 2003 Consultation — Time to Register! </t>
  </si>
  <si>
    <t>Notice of Technical Assistance Providers </t>
  </si>
  <si>
    <t>Data Collection: ORR-11 (Refugee State-of-Origin Report) </t>
  </si>
  <si>
    <t>Presidential Determination No. 2004-06 </t>
  </si>
  <si>
    <t>Guidance to States/Wilson-Fish Agencies on Setting FY 2004 Annual Outcome Goals </t>
  </si>
  <si>
    <t>Use of Surplus Prior Year Funds for Current Year Formula Programs</t>
  </si>
  <si>
    <t>The Trafficking Victims Protection Act of 2000</t>
  </si>
  <si>
    <t>Dr. Nguyen Van Hanh’s Welcome (doc 22KB)</t>
  </si>
  <si>
    <t>Verification of Refugee Status with the Department of State Refugee Data Center</t>
  </si>
  <si>
    <t>Notice of Cancellation of section of the Standing Announcement</t>
  </si>
  <si>
    <t>Monthly Data Report </t>
  </si>
  <si>
    <t>Notice of FY 2002 Proposed Social Service Allocations </t>
  </si>
  <si>
    <t>Renewal of ORR-6 (Quarterly Performance Report) </t>
  </si>
  <si>
    <t>Monthly Data Report</t>
  </si>
  <si>
    <t>ORR Monthly Data Report</t>
  </si>
  <si>
    <t>Notice of ORR Announcement for Services to Victims of a Severe Form of Trafficking </t>
  </si>
  <si>
    <t>Noticed of Proposed FY 2002 Targeted Assistance Allocations</t>
  </si>
  <si>
    <t>ORR Standing Announcement for Services to Recently Arrived Refugees: Category 2 - Unanticipated Arrivals and Category 4 - Ethnic Community Self-Help </t>
  </si>
  <si>
    <t>Grants for Refugee Individual Development Account Programs </t>
  </si>
  <si>
    <t>Office of the Assistant Secretary for Planning and Evaluation (ASPE), Department of Health and Human Services (HHS) Notice of Funding Availability for Policy and Research Grants (State Innovation Grants) </t>
  </si>
  <si>
    <t>Continuation of the Matching Grant December 2001 Agreement During Calendar Year 2002 </t>
  </si>
  <si>
    <t>Final Notice of FY 2002 Social Service Allocations</t>
  </si>
  <si>
    <t>Toll-Free phone number for Trafficking Victim Verification -- 1-866-401-5510</t>
  </si>
  <si>
    <t>02-30</t>
  </si>
  <si>
    <t>Final Notice of FY 2002 Targeted Assistance Allocations</t>
  </si>
  <si>
    <t>02-31</t>
  </si>
  <si>
    <t>Notice of ORR Announcement for Services to Victims of a Severe Form of Trafficking</t>
  </si>
  <si>
    <t>02-32</t>
  </si>
  <si>
    <t>ORR's Reorganization</t>
  </si>
  <si>
    <t>02-33</t>
  </si>
  <si>
    <t>Presidential Determination on the Refugee Admissions Ceiling for FY-2003</t>
  </si>
  <si>
    <t>02-34</t>
  </si>
  <si>
    <t>Renewal of ORR-3 (Refugee and Entrant Unaccompanied Minor Placement Report) and ORR-4 (Refugee and Entrant Unaccompanied Minor Report)</t>
  </si>
  <si>
    <t>Lost Boys: Arrival of Sudanese Youths During FY 2001</t>
  </si>
  <si>
    <t>Farewell from Lavinia Limon</t>
  </si>
  <si>
    <t>Monthly Data Report for November 2000</t>
  </si>
  <si>
    <t>Monthly Data Report for December 2000</t>
  </si>
  <si>
    <t>FY 2001 Refugee Preventive Health Discretionary Program Announcement</t>
  </si>
  <si>
    <t>Monthly Data Report for January 2001</t>
  </si>
  <si>
    <t>Grant for Assistance for Treatment of Survivors of Torture plus appendix</t>
  </si>
  <si>
    <t>Change in Issuance of Social Security Numbers to Asylees</t>
  </si>
  <si>
    <t>Grant for Assistance to the Elderly </t>
  </si>
  <si>
    <t>Proposed Social Service and Targeted Assistance Formula Announcements</t>
  </si>
  <si>
    <t>Grants for Services to Recently Arrived Refugees </t>
  </si>
  <si>
    <t>Final Notice of FY 2001 Social Service Formula Allocation</t>
  </si>
  <si>
    <t>Asylee Information Hotline</t>
  </si>
  <si>
    <t>Extension of Deadline for Submission of Older Refugee Discretionary Grant Applications</t>
  </si>
  <si>
    <t>Notice of Final FY 2001 Targeted Assistance Allocations</t>
  </si>
  <si>
    <t>Clarification of Acceptable Documentation for Category One "Cuban and Haitian Entrants"</t>
  </si>
  <si>
    <t>Events of September 11, 2001</t>
  </si>
  <si>
    <t>Employment Eligibility Requirements</t>
  </si>
  <si>
    <t>Federal Fiscal Year (FFY) 2002 Presidential Determination and Steps Taken by the Office of Refugee Resettlement (ORR) to Address the Impact of September 11 on Refugee Communities</t>
  </si>
  <si>
    <t>00-02</t>
  </si>
  <si>
    <t>Notice of Availability of Discretionary Grant Funds to States for Service Programs for Cuban and Haitian Refugees and Entrants</t>
  </si>
  <si>
    <t>00-03</t>
  </si>
  <si>
    <t>Grants for Refugee Individual Development Account Programs</t>
  </si>
  <si>
    <t>00-05</t>
  </si>
  <si>
    <t>Grants for Services to Survivors of Torture</t>
  </si>
  <si>
    <t>00-06</t>
  </si>
  <si>
    <t>Grants for Microenterprise Development Services</t>
  </si>
  <si>
    <t>00-07</t>
  </si>
  <si>
    <t>Technical Assistance to Special Programs</t>
  </si>
  <si>
    <t>00-08</t>
  </si>
  <si>
    <t>Proposed Social Service and Targeted Assistance Announcements</t>
  </si>
  <si>
    <t>00-10</t>
  </si>
  <si>
    <t>Grants for Community and Family Strengthening</t>
  </si>
  <si>
    <t>00-12</t>
  </si>
  <si>
    <t>Asylee Eligibility for Refugee Resettlement Program Benefits Date of Entry Will Be Date Individual Is Granted Asylum </t>
  </si>
  <si>
    <t>00-14</t>
  </si>
  <si>
    <t>Refugees Should Receive Unrestricted Social Security Cards</t>
  </si>
  <si>
    <t>00-15</t>
  </si>
  <si>
    <t>Asylee Eligibility for Refugee Resettlement Program Benefits</t>
  </si>
  <si>
    <t>00-16</t>
  </si>
  <si>
    <t>Final Notices of FY 2000 Social Service and Targeted Assistance Formula Allocations</t>
  </si>
  <si>
    <t>00-17</t>
  </si>
  <si>
    <t>Status and Documentation Requirements for The Federal Refugee Resettlement Program</t>
  </si>
  <si>
    <t>00-18</t>
  </si>
  <si>
    <t>Policy Guidance on the Title VI Prohibition Against National Origin Discrimination As It Affects Persons With Limited English Proficiency</t>
  </si>
  <si>
    <t>00-19</t>
  </si>
  <si>
    <t>Guidance to States on Setting FY 2001 Annual Outcome Goals</t>
  </si>
  <si>
    <t>00-23</t>
  </si>
  <si>
    <t>States cannot require that applicants for Office of Refugee Resettlement (ORR) -funded assistance and services provide social security numbers</t>
  </si>
  <si>
    <t>URM Guidelines (1987) - Statement of Goals, Priorities, Standards, and Guidelines</t>
  </si>
  <si>
    <t>"Notice"</t>
  </si>
  <si>
    <t>URM Policy Guide</t>
  </si>
  <si>
    <t>Count combines for all 5 sections of Policy Guide doc</t>
  </si>
  <si>
    <t>05/08/2025</t>
  </si>
  <si>
    <t>State Plan — Approval Template 86KB</t>
  </si>
  <si>
    <t>ORR-1 CMA Program Estimates ORR/DRA Instructions (For use in FY 2026) 499KB</t>
  </si>
  <si>
    <t>excel file attachments not included in count</t>
  </si>
  <si>
    <t>ORR-2 CMA Quarterly Report on Expenditures and Obligations Instructions 255KB</t>
  </si>
  <si>
    <t>ORR-3 Unaccompanied Minors Placement Instructions 279B</t>
  </si>
  <si>
    <t>ORR-4 Unaccompanied Minors Progress Instructions 216KB</t>
  </si>
  <si>
    <t>ORR-5 Refugee Data Submission System for Formula Funds Allocations Instructions for FY 2024 Data Collection and Beyond 82KB</t>
  </si>
  <si>
    <t>ORR-6 Performance Report</t>
  </si>
  <si>
    <t>Annual Outcome Goal Plan (GPRA)</t>
  </si>
  <si>
    <t>02/21/2025</t>
  </si>
  <si>
    <t>ACF Performance Progress Report (SF-PPR)  Link to fillable form</t>
  </si>
  <si>
    <t>DRA Reporting Calendar 102KB</t>
  </si>
  <si>
    <t>What You Need to Know If You Were Separated from Your Child(ren) at the United States Border</t>
  </si>
  <si>
    <t>What You Need to Know If You Were Separated from Your Parent or Legal Guardian at the United States Border</t>
  </si>
  <si>
    <t xml:space="preserve">Housing Support to Ms. L. Settlement Class Members </t>
  </si>
  <si>
    <t>Unaccompanied Alien Children Bureau Policy Guide</t>
  </si>
  <si>
    <t>Count combines for all 11 sections of Policy Guide doc</t>
  </si>
  <si>
    <t>Policy Memorandum - Medical Services Requiring Heightened ORR Involvement</t>
  </si>
  <si>
    <t>FG-6</t>
  </si>
  <si>
    <t>COVID-19 Procedures for Unaccompanied Children and Care Provider Staff</t>
  </si>
  <si>
    <t>FG-9</t>
  </si>
  <si>
    <t>Interim Guidance on Age Outs and Post-18 Planning</t>
  </si>
  <si>
    <t>FG-13</t>
  </si>
  <si>
    <t>Emergency Intake Sites (EIS) Instructions and Standards</t>
  </si>
  <si>
    <t>FG-21</t>
  </si>
  <si>
    <t>Compliance with Garza Requirements and Procedures for Unaccompanied Children Needing Reproductive Healthcare</t>
  </si>
  <si>
    <t>FG-22</t>
  </si>
  <si>
    <t>Interpreters Working with the Unaccompanied Children (UC) Bureau</t>
  </si>
  <si>
    <t>FG-23</t>
  </si>
  <si>
    <t>Volunteers Working with the Unaccompanied Children (UC) Bureau</t>
  </si>
  <si>
    <t>FG-24</t>
  </si>
  <si>
    <t>Sponsor Services Role Guidance for Selected Grantees</t>
  </si>
  <si>
    <t>FG-25</t>
  </si>
  <si>
    <t>Verification of Release (VOR) Card Guidance for Selected Grantees</t>
  </si>
  <si>
    <t>FG-26</t>
  </si>
  <si>
    <t>Fingerprint Background Checks and Acceptable Supporting Documentation for a Family Reunification Application</t>
  </si>
  <si>
    <t>FG-27</t>
  </si>
  <si>
    <t>DNA Testing Expansion</t>
  </si>
  <si>
    <t>ORR Agreement with Interpreters</t>
  </si>
  <si>
    <t>Associated with FG-22</t>
  </si>
  <si>
    <t>ORR Agreement with Volunteers</t>
  </si>
  <si>
    <t>Associated with FG-23</t>
  </si>
  <si>
    <t>DNA Testing Instruction Sheet</t>
  </si>
  <si>
    <t>Associated with FG-27</t>
  </si>
  <si>
    <t>Legal Resource Guide for Unaccompanied Alien Children</t>
  </si>
  <si>
    <t>6 total documents (provider/court lists not included in count)</t>
  </si>
  <si>
    <t>ORR Verification of Release Form and Card</t>
  </si>
  <si>
    <t>FAQs included with this page</t>
  </si>
  <si>
    <t>Sponsor Application Packet</t>
  </si>
  <si>
    <t>Sponsor Handbook: English</t>
  </si>
  <si>
    <t>Prevention of Sexual Abuse and Harassment Hotline Flyer: English</t>
  </si>
  <si>
    <t>Legal Orientation Program for Custodians Overview: English</t>
  </si>
  <si>
    <t>Fraud Warning: English</t>
  </si>
  <si>
    <t>Acceptable Forms of ID for Fieldprint Fingerprinting Appointments: English</t>
  </si>
  <si>
    <t>Prevention of Sexual Abuse and Harassment Pamphlet: English</t>
  </si>
  <si>
    <t>Prevention of Sexual Abuse and Harassment Poster: English</t>
  </si>
  <si>
    <t>Authorization for Release of Records (Form A-5) - English</t>
  </si>
  <si>
    <t>Notice of Attorney Representation (Form L-3) - 250KB</t>
  </si>
  <si>
    <t>Request for Specific Consent to Juvenile Court Jurisdiction (Form L-1) - 56KB</t>
  </si>
  <si>
    <t>Request for Risk Determination Hearing (Form RDH-1)</t>
  </si>
  <si>
    <t>Risk Determination Hearing Opt-Out (Form RDH-2)</t>
  </si>
  <si>
    <t>Appointment of Representative for Risk Determination Hearing (Form RDH-3)</t>
  </si>
  <si>
    <t>Risk Determination Hearing Transcript Request (Form RDH-4)</t>
  </si>
  <si>
    <t>Request for Appeal of Risk Determination Hearing (Form RDH-5)</t>
  </si>
  <si>
    <t>FG-1</t>
  </si>
  <si>
    <t>COVID-19 Interim Preparedness and Response Guidance</t>
  </si>
  <si>
    <t>no link / rescinded</t>
  </si>
  <si>
    <t>FG-2</t>
  </si>
  <si>
    <t>COVID-19 Verbal Screening and Temperature Check for Staff and Visitors</t>
  </si>
  <si>
    <t>FG-3</t>
  </si>
  <si>
    <t>Temperature Checks and Reporting</t>
  </si>
  <si>
    <t>FG-4</t>
  </si>
  <si>
    <t>COVID-19 Discharge Guidance</t>
  </si>
  <si>
    <t>FG-5</t>
  </si>
  <si>
    <t>Home Study/Post Release Services COVID-19 Practice Guidance</t>
  </si>
  <si>
    <t>FG-7</t>
  </si>
  <si>
    <t>Interim Guidance - Information Sharing with Immigration Courts and DHS</t>
  </si>
  <si>
    <t>FG-8</t>
  </si>
  <si>
    <t>Know Your Rights Presentations</t>
  </si>
  <si>
    <t>FG-10</t>
  </si>
  <si>
    <t>Expedited Release for Eligible Category 1 Cases</t>
  </si>
  <si>
    <t>FG-11</t>
  </si>
  <si>
    <t>Temporary Waivers of Background Check Requirements for Category 2 Adult Household Members and Adult Caregivers</t>
  </si>
  <si>
    <t>FG-12</t>
  </si>
  <si>
    <t>Staffing Ratios for Emergency Intake Sites (EIS)</t>
  </si>
  <si>
    <t>FG-14</t>
  </si>
  <si>
    <t>Completion of the Family Reunification Application by Case Managers for Category 1 (Non-Expedited), Category 2A, and Category 2B Potential Sponsors</t>
  </si>
  <si>
    <t>FG-15</t>
  </si>
  <si>
    <t>Release for Eligible Non-Sibling, Closely Related Children to a Category 1 or Category 2A Sponsor</t>
  </si>
  <si>
    <t>FG-16</t>
  </si>
  <si>
    <t>Clarification That the Individual Service Plan (ISP) and the UC Case Review Are Generally Not Required for Unaccompanied Children (UC) Placed at Emergency Intake Sites (EIS)</t>
  </si>
  <si>
    <t>FG-17</t>
  </si>
  <si>
    <t>COVID-19 Vaccination of Unaccompanied Children (UC) in ORR Care Appendix B - Children Who Received COVID-19 Vaccine Outside the US Discharge Letter for Sponsors</t>
  </si>
  <si>
    <t>FG-18</t>
  </si>
  <si>
    <t>Expansion of Long-Term Foster Care Eligibility</t>
  </si>
  <si>
    <t>FG-19</t>
  </si>
  <si>
    <t>Unaccompanied Afghan Minor Processing</t>
  </si>
  <si>
    <t>FG-20</t>
  </si>
  <si>
    <t>Home Study Processing</t>
  </si>
  <si>
    <t>Refugee Assistance for Eligible Unaccompanied Alien Children</t>
  </si>
  <si>
    <t>ORR Nondiscrimination Notice</t>
  </si>
  <si>
    <t>Employment Rights and Resources for Refugees and Asylees</t>
  </si>
  <si>
    <t>Assessment Grid for Loan Committee</t>
  </si>
  <si>
    <t>State Letter # 12-13 Guidance Clarification</t>
  </si>
  <si>
    <t>OFVPS</t>
  </si>
  <si>
    <t>FY 2020 CARES Act Supplemental Funding Guidance for FVPSA Formula Grantees: Abbreviated Application Process Memo, Allowable Use of Funds, and Reporting Instructions</t>
  </si>
  <si>
    <t>https://acf.gov/ofvps/policy-guidance/fy-2020-cares-act-supplemental-funding-guidance-fvpsa-formula-grantees</t>
  </si>
  <si>
    <t>Information Memorandum on the Intersection of Domestic Violence, Mental Health, and Substance Use</t>
  </si>
  <si>
    <t>https://acf.gov/ofvps/policy-guidance/information-memorandum-intersection-domestic-violence-mental-health-and</t>
  </si>
  <si>
    <t>FYSB’s Tribal Peer-to-Peer Meeting: Building Connections to End Domestic Violence</t>
  </si>
  <si>
    <t>https://acf.gov/ofvps/policy-guidance/fysbs-tribal-peer-peer-meeting-building-connections-end-domestic-violence</t>
  </si>
  <si>
    <t>Become a Grant Reviewer for the Family Violence Prevention and Services Program</t>
  </si>
  <si>
    <t>Tagged as "Policy &amp; Guidance" in OFVPS resources page but likely not</t>
  </si>
  <si>
    <t>https://acf.gov/ofvps/policy-guidance/become-grant-reviewer-family-violence-prevention-and-services-program</t>
  </si>
  <si>
    <t>Enhancing the Financial Capability of Families Impacted by Domestic Violence</t>
  </si>
  <si>
    <t>https://acf.gov/ofvps/policy-guidance/enhancing-financial-capability-families-impacted-domestic-violence</t>
  </si>
  <si>
    <t>February is National Teen Dating Violence Awareness Month (TDVAM)</t>
  </si>
  <si>
    <t>https://acf.gov/ofvps/policy-guidance/february-national-teen-dating-violence-awareness-month-tdvam</t>
  </si>
  <si>
    <t>Navigating the Family Violence Prevention and Services Program</t>
  </si>
  <si>
    <t>https://acf.gov/ofvps/policy-guidance/navigating-family-violence-prevention-and-services-program</t>
  </si>
  <si>
    <t>ACYF-FYSB-IM-11-01</t>
  </si>
  <si>
    <t>Family Violence Prevention and Services Reauthorization Information Memo</t>
  </si>
  <si>
    <t>https://acf.gov/ofvps/policy-guidance/family-violence-prevention-and-services-reauthorization-information-memo</t>
  </si>
  <si>
    <t>Correction of Grant Recipient Name on Notice of Awards Document</t>
  </si>
  <si>
    <t>FVPSA Minor Renovations Allowability Document</t>
  </si>
  <si>
    <t>Spending FVPSA Grant Funds Technical Assistance Document</t>
  </si>
  <si>
    <t>"Archived"</t>
  </si>
  <si>
    <t>FVPSA Food Costs Allowability FAQ</t>
  </si>
  <si>
    <t>FVPSA State Pass-Through Entity Administrative Costs FAQ</t>
  </si>
  <si>
    <t>FVPSA Allocation of Employee Costs FAQ</t>
  </si>
  <si>
    <t>Use of FVPSA Funds for match to HUD DV Bonus Grant Programs FAQ</t>
  </si>
  <si>
    <t>"Access to this page is restricted."</t>
  </si>
  <si>
    <t>COVID-19 Public Health Emergency and the Allowable Uses of FVPSA Grant Funds for Domestic Violence Shelter and Supportive Services FAQ</t>
  </si>
  <si>
    <t>ANA</t>
  </si>
  <si>
    <t>Administration for Native Americans Tribal Consultation 2025</t>
  </si>
  <si>
    <t>Post-Award Manual</t>
  </si>
  <si>
    <t>Landing page exists but actual manual "Page Not Found"</t>
  </si>
  <si>
    <t>OTIP</t>
  </si>
  <si>
    <t>OTIP-IM-2025-02</t>
  </si>
  <si>
    <t>Information Memorandum: Trafficking in Persons for Organ Removal</t>
  </si>
  <si>
    <t>https://acf.gov/otip/policy-guidance/trafficking-persons-organ-removal-information-memo</t>
  </si>
  <si>
    <t>OTIP-IM-2025-01</t>
  </si>
  <si>
    <t>Information Memorandum: Victim Determinations for U.S. Citizens and Lawful Permanent Residents who have Experienced Human Trafficking</t>
  </si>
  <si>
    <t>https://acf.gov/otip/policy-guidance/victim-determinations-us-citizens-and-lawful-permanent-residents-who-have</t>
  </si>
  <si>
    <t>ACF-OTIP-DCL-25-01</t>
  </si>
  <si>
    <t>Dear Colleague Letter: Improving Health Outcomes for Eligible Children and Youth Enrolled in Medicaid and the Children’s Health Insurance Program</t>
  </si>
  <si>
    <t>https://acf.gov/otip/policy-guidance/dear-colleague-letter-improving-health-outcomes-eligible-children-and-youth</t>
  </si>
  <si>
    <t>OTIP-IM-2024-03</t>
  </si>
  <si>
    <t>Program Instruction: Human Trafficking Screening Tools</t>
  </si>
  <si>
    <t>https://acf.gov/otip/policy-guidance/program-instruction-human-trafficking-screening-tools</t>
  </si>
  <si>
    <t>OTIP-IM-24-01</t>
  </si>
  <si>
    <t>Information Memorandum: Federal Authorities Related to Demand for Human Trafficking</t>
  </si>
  <si>
    <t>https://acf.gov/otip/policy-guidance/federal-authorities-related-demand-human-trafficking-information-memorandum</t>
  </si>
  <si>
    <t>OTIP-PI-2024-02</t>
  </si>
  <si>
    <t>Program Instruction: Performance Reporting, Data Collection, and Privacy Protections</t>
  </si>
  <si>
    <t>https://acf.gov/otip/policy-guidance/program-instruction-performance-reporting-data-collection-and-privacy</t>
  </si>
  <si>
    <t>OTIP Award Program Glossary</t>
  </si>
  <si>
    <t>https://acf.gov/otip/policy-guidance/otip-award-program-glossary</t>
  </si>
  <si>
    <t>How-To Guide: Non-Competing Continuation</t>
  </si>
  <si>
    <t>https://acf.gov/otip/policy-guidance/how-guide-non-competing-continuation</t>
  </si>
  <si>
    <t>How-To Guide: No-Cost Extension Request</t>
  </si>
  <si>
    <t>https://acf.gov/otip/policy-guidance/how-guide-no-cost-extension-request</t>
  </si>
  <si>
    <t>How-To Guide: Change of Authorizing Official Principal Investigator, or Program Director</t>
  </si>
  <si>
    <t>https://acf.gov/otip/policy-guidance/how-guide-change-authorizing-official-principal-investigator-or-program</t>
  </si>
  <si>
    <t>How-to Guide: Carryover Request</t>
  </si>
  <si>
    <t>https://acf.gov/otip/policy-guidance/how-guide-carryover-request</t>
  </si>
  <si>
    <t>How-to Guide: Budget Revision Request</t>
  </si>
  <si>
    <t>https://acf.gov/otip/policy-guidance/how-guide-budget-revision-request</t>
  </si>
  <si>
    <t>OTIP-PI-2025-02</t>
  </si>
  <si>
    <t>Program Instruction: Prohibition on Inclusion of Adverse Information on Consumer Reporting in Cases of Human Trafficking</t>
  </si>
  <si>
    <t>https://acf.gov/otip/policy-guidance/program-instruction-prohibition-inclusion-adverse-information-consumer</t>
  </si>
  <si>
    <t>Grant Terminology Changes</t>
  </si>
  <si>
    <t>https://acf.gov/otip/policy-guidance/grant-terminology-changes-information-memorandum</t>
  </si>
  <si>
    <t>OTIP-IM-21-02</t>
  </si>
  <si>
    <t>Information Memorandum: Promoting Housing Access for Survivors of Human Trafficking through Emergency Housing Vouchers</t>
  </si>
  <si>
    <t>https://acf.gov/otip/policy-guidance/promoting-housing-access-survivors-human-trafficking-through-emergency-housing</t>
  </si>
  <si>
    <t>Innovative Solutions to Expand Housing Options for Survivors of Human Trafficking</t>
  </si>
  <si>
    <t>https://acf.gov/otip/policy-guidance/innovative-solutions-expand-housing-options-survivors-human-trafficking</t>
  </si>
  <si>
    <t>OTIP-PI-20-01</t>
  </si>
  <si>
    <t>Program Instruction: Trafficking Victim Assistance Program Eligibility in Region 9</t>
  </si>
  <si>
    <t>https://acf.gov/otip/policy-guidance/program-instruction-trafficking-victim-assistance-program-eligibility-region-9</t>
  </si>
  <si>
    <t>OTIP-IM-19-01.01</t>
  </si>
  <si>
    <t>Information Memorandum: Definitions and Principles of Human Trafficking Prevention</t>
  </si>
  <si>
    <t>https://acf.gov/otip/policy-guidance/definitions-and-principles-human-trafficking-prevention-information-memorandum</t>
  </si>
  <si>
    <t>Confirmed Necessary</t>
  </si>
  <si>
    <t>Confirmed Obsolete</t>
  </si>
  <si>
    <t>CB #</t>
  </si>
  <si>
    <t>OCC #</t>
  </si>
  <si>
    <t>OCSE #</t>
  </si>
  <si>
    <t>ORR #</t>
  </si>
  <si>
    <t>OCS #</t>
  </si>
  <si>
    <t>ECD #</t>
  </si>
  <si>
    <t>ANA #</t>
  </si>
  <si>
    <t>OFVPS #</t>
  </si>
  <si>
    <t>OTIP #</t>
  </si>
  <si>
    <t>x</t>
  </si>
  <si>
    <t>Total document count</t>
  </si>
  <si>
    <t>Total Page Count</t>
  </si>
  <si>
    <t>OHSEPR</t>
  </si>
  <si>
    <t>OHSEPR-AT-2025-02</t>
  </si>
  <si>
    <t>Issuance of one-year Cooperative Agreements for Emergency Repatriation</t>
  </si>
  <si>
    <t>https://acf.gov/ohsepr/policy-guidance/issuance-one-year-cooperative-agreements-emergency-repatriation</t>
  </si>
  <si>
    <t>OHSEPR-AT-2025-01</t>
  </si>
  <si>
    <t>Issuance of One-year Cooperative Agreements for Planning, Training, and Exercises</t>
  </si>
  <si>
    <t>https://acf.gov/ohsepr/policy-guidance/issuance-one-year-cooperative-agreements-planning-training-exercises</t>
  </si>
  <si>
    <t>Routine Repatriation Information Memorandum</t>
  </si>
  <si>
    <t>https://acf.gov/ohsepr/policy-guidance/routine-repatriation-memo</t>
  </si>
  <si>
    <t>Emergency Repatriation Information Memorandum</t>
  </si>
  <si>
    <t>https://acf.gov/ohsepr/policy-guidance/emergency-repatriation-information-memorandum</t>
  </si>
  <si>
    <t>Federal Emergency Repatriation Operations Plan</t>
  </si>
  <si>
    <t>https://acf.gov/ohsepr/policy-guidance/fed-emerg-repat-ops-plan</t>
  </si>
  <si>
    <t>U.S. Repatriation Program Multi-Year Training and Exercise Plan</t>
  </si>
  <si>
    <t>https://acf.gov/ohsepr/policy-guidance/us-repat-pgm-multi-yr-tng-exercise-plan</t>
  </si>
  <si>
    <t>National Emergency Repatriation Framework</t>
  </si>
  <si>
    <t>https://acf.gov/ohsepr/policy-guidance/national-emergency-repatriation-framework</t>
  </si>
  <si>
    <t>Federal Emergency Repatriation Infectious Disease Annex</t>
  </si>
  <si>
    <t>https://acf.gov/ohsepr/policy-guidance/fed-emerg-repat-infectious-disease-annex</t>
  </si>
  <si>
    <t>OHSEPR-AT-2024-01</t>
  </si>
  <si>
    <t>Issuance of Year-Three Supplements for Cooperative Agreements for Planning, Training, and Exercises</t>
  </si>
  <si>
    <t>https://acf.gov/ohsepr/policy-guidance/pte-coop-agreements-year-3-supplements</t>
  </si>
  <si>
    <t>OHSEPR-DCL-2023-02</t>
  </si>
  <si>
    <t>Dear Colleague Letter - ACF Post-Disaster Housing Assistance</t>
  </si>
  <si>
    <t>https://acf.gov/ohsepr/policy-guidance/dcl-acf-post-disaster-housing-asst</t>
  </si>
  <si>
    <t>OHSEPR-DCL-2023-01</t>
  </si>
  <si>
    <t>U.S. Repatriation Program – Dear Colleague Letter on Unaccompanied U.S. Citizen Children</t>
  </si>
  <si>
    <t>https://acf.gov/ohsepr/policy-guidance/us-repat-pgm-dcl-unaccompanied-minor</t>
  </si>
  <si>
    <t>OHSEPR-AT-2023-01</t>
  </si>
  <si>
    <t>Issuance of Year-Two Supplements for Cooperative Agreements for Planning, Training, and Exercises</t>
  </si>
  <si>
    <t>https://acf.gov/ohsepr/policy-guidance/issuance-year-two-supplements-coop-agreements-pte</t>
  </si>
  <si>
    <t>OHSEPR-AT-2022-01</t>
  </si>
  <si>
    <t>Issuance of Three-year Cooperative Agreements for Planning, Training, and Exercises</t>
  </si>
  <si>
    <t>https://acf.gov/ohsepr/policy-guidance/issuance-three-year-coop-agreements-pte</t>
  </si>
  <si>
    <t>Post-Disaster Reunification of Children: A Nationwide Approach</t>
  </si>
  <si>
    <t>https://acf.gov/ohsepr/policy-guidance/post-disaster-reunification-children-nationwide-approach</t>
  </si>
  <si>
    <t>Repatriation Essential Functions Capability Guide</t>
  </si>
  <si>
    <t xml:space="preserve">State Emergency Repatriation Plan Development Guide </t>
  </si>
  <si>
    <t>Emergency Repatriation State Capabilities Framework</t>
  </si>
  <si>
    <t>OHSEPR-IM-2023-01</t>
  </si>
  <si>
    <t>Emergency Repatriation Planning, Training, and Exercises Information Memorandum</t>
  </si>
  <si>
    <t>Emergency Repatriation FAQs</t>
  </si>
  <si>
    <t>FAQs</t>
  </si>
  <si>
    <t>U.S. Repatriation Program FAQs</t>
  </si>
  <si>
    <t>FYSB</t>
  </si>
  <si>
    <t>I am interested in preventing teen pregnancy. How can FYSB help me?</t>
  </si>
  <si>
    <t>What types of Adolescent Pregnancy Prevention Programs does FYSB fund?</t>
  </si>
  <si>
    <t>How do I contact FYSB?</t>
  </si>
  <si>
    <t>How many homeless youth are there in the United States?</t>
  </si>
  <si>
    <t>How can FYSB support my work with young people and/or families?</t>
  </si>
  <si>
    <t>How do I know if I am eligible for a FYSB grant?</t>
  </si>
  <si>
    <t>Where can I find a list of all FYSB programs currently receiving funding?</t>
  </si>
  <si>
    <t>I’m homeless, or I know a teen who is homeless. How can FYSB help?</t>
  </si>
  <si>
    <t>Where can I get resources related to FYSB's programs?</t>
  </si>
  <si>
    <t>How can I learn about FYSB funding opportunities?</t>
  </si>
  <si>
    <t>How do I apply for a grant?</t>
  </si>
  <si>
    <t>What is the Family and Youth Services Bureau and what do you do?</t>
  </si>
  <si>
    <t>06.20.2025 PREP Noncompliance Letter to California</t>
  </si>
  <si>
    <t>https://acf.gov/fysb/policy-guidance/prep-noncompliance-letter-california-06-20-2025</t>
  </si>
  <si>
    <t>FY 2020 Coronavirus Supplemental Funding Guidance: ACF Reporting Requirement for the FYSB Runaway and Homeless Youth Program</t>
  </si>
  <si>
    <t>https://acf.gov/fysb/policy-guidance/fy-2020-coronavirus-supplemental-funding-guidance-acf-reporting-requirement</t>
  </si>
  <si>
    <t>FY 2020 Coronavirus Supplemental Funding: Examples of Allowable Uses of Funds for the FYSB Runaway and Homeless Youth Program</t>
  </si>
  <si>
    <t>https://acf.gov/fysb/policy-guidance/fy-2020-coronavirus-supplemental-funding-examples-allowable-uses-funds-fysb</t>
  </si>
  <si>
    <t>PREP Research and Evaluation Resources</t>
  </si>
  <si>
    <t>https://acf.gov/fysb/policy-guidance/prep-research-and-evaluation-resources</t>
  </si>
  <si>
    <t>Tagged as "Policy &amp; Guidance" in Resources but likely not</t>
  </si>
  <si>
    <t>New Rule Strengthens Runaway and Homeless Youth Programs to Better Serve Youth Experiencing Homelessness</t>
  </si>
  <si>
    <t>https://acf.gov/fysb/policy-guidance/new-rule-strengthens-runaway-and-homeless-youth-programs-better-serve-youth</t>
  </si>
  <si>
    <t>Domestic Violence and Your Health</t>
  </si>
  <si>
    <t>https://acf.gov/fysb/policy-guidance/domestic-violence-and-your-health</t>
  </si>
  <si>
    <t>Q&amp;A: How a New Partnership is Helping Disconnected Youth</t>
  </si>
  <si>
    <t>https://acf.gov/fysb/policy-guidance/qa-how-new-partnership-helping-disconnected-youth</t>
  </si>
  <si>
    <t>Student Service Webinar, July 27, 2016</t>
  </si>
  <si>
    <t>https://acf.gov/fysb/policy-guidance/student-service-webinar-july-27-2016</t>
  </si>
  <si>
    <t>Youth Homelessness Demonstration Program (YHDP)</t>
  </si>
  <si>
    <t>https://acf.gov/fysb/policy-guidance/youth-homelessness-demonstration-program-yhdp</t>
  </si>
  <si>
    <t>Become a Grant Reviewer for the Basic Center Program</t>
  </si>
  <si>
    <t>https://acf.gov/fysb/policy-guidance/become-grant-reviewer-basic-center-program</t>
  </si>
  <si>
    <t>OFA</t>
  </si>
  <si>
    <t>ACF-OFA-IM-25-01 (Restrictions on Federal Public Benefits for Non-Qualified Aliens)</t>
  </si>
  <si>
    <t>https://acf.gov/ofa/policy-guidance/acf-ofa-im-25-01</t>
  </si>
  <si>
    <t xml:space="preserve"> </t>
  </si>
  <si>
    <t>30-Day Comment Period Open for Fiscal Responsibility Act TANF Pilot Program 2025 Information Collection</t>
  </si>
  <si>
    <t>https://acf.gov/ofa/policy-guidance/30-day-comment-period-open-fiscal-responsibility-act-tanf-pilot-program-2025</t>
  </si>
  <si>
    <t>ACF-OFA-DCL-25-04 (TANF Alignment with EO 14191 on Expanding Educational Freedom)</t>
  </si>
  <si>
    <t>https://acf.gov/ofa/policy-guidance/acf-dear-colleague-letter-tanf-alignment-eo-14191-education-access</t>
  </si>
  <si>
    <t>ACF-OFA-DCL-25-03 (TANF Alignment with EO 14218 Concerning Restrictions on Access to Federal Public Benefits for Illegal Aliens)</t>
  </si>
  <si>
    <t>https://acf.gov/ofa/policy-guidance/acf-dear-colleague-letter-tanf-alignment-eo-14218-concerning-restrictions</t>
  </si>
  <si>
    <t>TANF, SSP-MOE, and Tribal TANF - Data Reporting System Transmission Files Layouts and Edits</t>
  </si>
  <si>
    <t>https://acf.gov/ofa/policy-guidance/final-tanf-ssp-moe-data-reporting-system-transmission-files-layouts-and-edits</t>
  </si>
  <si>
    <t>ACF "Dear Colleague" Letter on Tribal TANF and Tribal Child Support Cooperation Flexibilities (01-16-2025)</t>
  </si>
  <si>
    <t>https://acf.gov/ofa/policy-guidance/acf-dear-colleague-letter-tribal-tanf-and-tribal-child-support-cooperation</t>
  </si>
  <si>
    <t>ACF "Dear Colleague" Letter on State TANF and Child Support Cooperation Flexibilities (01-16-2025)</t>
  </si>
  <si>
    <t>https://acf.gov/ofa/policy-guidance/acf-dear-colleague-letter-state-tanf-and-child-support-cooperation</t>
  </si>
  <si>
    <t>TANF-ACF-IM-2024-01 (Work Participation Rates for FY 2023)</t>
  </si>
  <si>
    <t>https://acf.gov/ofa/policy-guidance/acf-ofa-im-24-01</t>
  </si>
  <si>
    <t>ACF-OFA-PI-24-06 (Form ACF-4125, Children in Foster Homes and Children in Families Receiving Payments in Excess of the Poverty Income Level from a State Program Funded Under Part A of Title IV of the Social Security Act)</t>
  </si>
  <si>
    <t>https://acf.gov/ofa/policy-guidance/acf-ofa-pi-24-06</t>
  </si>
  <si>
    <t>ACF-OFA-PI-24-04 (New TANF Work Outcomes Measures authorized by the Fiscal Responsibility Act of 2023)</t>
  </si>
  <si>
    <t>https://acf.gov/ofa/policy-guidance/acf-ofa-pi-24-04</t>
  </si>
  <si>
    <t>ACF-OFA-PI-24-03 (Updated Eligibility of Ukrainian Humanitarian Parolees for TANF)</t>
  </si>
  <si>
    <t>https://acf.gov/ofa/policy-guidance/acf-ofa-pi-24-03</t>
  </si>
  <si>
    <t>ACF-OFA-PI-24-02 (Changes to TANF law in treating citizens of countries governed by the Compacts of Free Association (COFA))</t>
  </si>
  <si>
    <t>https://acf.gov/ofa/policy-guidance/acf-ofa-pi-24-02</t>
  </si>
  <si>
    <t>ACF-OFA-PI-24-01 (Revisions to instructions for form ACF-196R, the financial report for state TANF agencies)</t>
  </si>
  <si>
    <t>https://acf.gov/ofa/policy-guidance/acf-ofa-pi-24-01</t>
  </si>
  <si>
    <t>OFA "Dear Colleague" Letter on TANF Fiscal Responsibility Act (FRA) of 2023</t>
  </si>
  <si>
    <t>https://acf.gov/ofa/policy-guidance/ofa-dear-colleague-letter-fiscal-responsibility-act-fra-2023</t>
  </si>
  <si>
    <t>ACF-OFA-PI-23-04 REVISED (ACF-199 TANF Data Report and ACF-209 SSP-MOE Data Report and Instructions, Approved by the Office of Management and Budget through 10/31/2026 (OMB Control Number 0970-0338))</t>
  </si>
  <si>
    <t>https://acf.gov/ofa/policy-guidance/acf-ofa-pi-23-04</t>
  </si>
  <si>
    <t>ACF-OFA-PI-23-05 (Renewed Form ACF-202, Caseload Reduction Report)</t>
  </si>
  <si>
    <t>https://acf.gov/ofa/policy-guidance/acf-ofa-pi-23-05</t>
  </si>
  <si>
    <t>TANF-ACF-IM-2023-02 (Work Participation Rates for FY 2022)</t>
  </si>
  <si>
    <t>https://acf.gov/ofa/policy-guidance/tanf-acf-im-2023-02</t>
  </si>
  <si>
    <t>TANF-ACF-PI-2023-03 (Form ACF-4125, Children in Foster Homes and Children in Families Receiving Payments in Excess of the Poverty Income Level from a State Program Funded Under Part A of Title IV of the Social Security Act)</t>
  </si>
  <si>
    <t>https://acf.gov/ofa/policy-guidance/tanf-acf-pi-2023-03</t>
  </si>
  <si>
    <t>TANF-ACF-IM-2023-01 (To inform tribes administering Tribal TANF programs under a 477 plan of the Pandemic Emergency Assistance Fund reallotment)</t>
  </si>
  <si>
    <t>https://acf.gov/ofa/policy-guidance/tanf-acf-im-2023-01</t>
  </si>
  <si>
    <t>OFA "Dear Colleague" Letter on TANF Data Portal (TDP)</t>
  </si>
  <si>
    <t>https://acf.gov/ofa/policy-guidance/dear-colleague-tanf-data-portal</t>
  </si>
  <si>
    <t>TANF-ACF-PI-2023-01 (Afghanistan Parolees - Eligibility Date Extended)</t>
  </si>
  <si>
    <t>https://acf.gov/ofa/policy-guidance/tanf-acf-pi-2023-01</t>
  </si>
  <si>
    <t>TANF-ACF-PI-2022-07 REVISED (Afghanistan Parolees - TANF Eligibility Date Extended)</t>
  </si>
  <si>
    <t>https://acf.gov/ofa/policy-guidance/tanf-acf-pi-2022-07</t>
  </si>
  <si>
    <t>SNAP and TANF Electronic Benefit Transfer (EBT) Card Skimming Prevention– Tools and Resources</t>
  </si>
  <si>
    <t>https://acf.gov/ofa/policy-guidance/snap-tanf-ebt-card-skimming-prevention</t>
  </si>
  <si>
    <t>TANF-ACF-PI-2022-06 (Form ACF-4125, Children in Foster Homes and Children in Families Receiving Payments in Excess of the Poverty Income Level from a State Program Funded Under Part A of Title IV of the Social Security Act)</t>
  </si>
  <si>
    <t>https://acf.gov/ofa/policy-guidance/tanf-acf-pi-2022-06</t>
  </si>
  <si>
    <t>TANF-ACF-IM-2022-02 (State Work Participation Rates for FY 2021)</t>
  </si>
  <si>
    <t>https://acf.gov/ofa/policy-guidance/tanf-acf-im-2022-02</t>
  </si>
  <si>
    <t>TANF-ACF-IM-2022-01 (Guidance for Use of the Pandemic Emergency Assistance Fund Appropriated in the American Rescue Plan (ARP) Act of 2021 (Pub. L. 117-2); Accompaniment to ACF-IOAS-DCL-22-01)</t>
  </si>
  <si>
    <t>https://acf.gov/ofa/policy-guidance/tanf-acf-im-2022-01</t>
  </si>
  <si>
    <t>TANF-ACF-PI-2022-05 (Eligibility of Ukrainian Humanitarian Parolees for TANF)</t>
  </si>
  <si>
    <t>https://acf.gov/ofa/policy-guidance/tanf-acf-pi-2022-05</t>
  </si>
  <si>
    <t>TANF-ACF-PI-2022-04 (Revisions to instructions for form ACF-196R, the financial report for state TANF agencies)</t>
  </si>
  <si>
    <t>https://acf.gov/ofa/policy-guidance/tanf-acf-pi-2022-04</t>
  </si>
  <si>
    <t>Affordable Connectivity Program (ACP) Outreach for Tribal TANF Grantees</t>
  </si>
  <si>
    <t>https://acf.gov/ofa/policy-guidance/acp-outreach-tribal-tanf-grantees</t>
  </si>
  <si>
    <t>Affordable Connectivity Program (ACP) Outreach for State TANF Grantees</t>
  </si>
  <si>
    <t>https://acf.gov/ofa/policy-guidance/acp-outreach-state-tanf-grantees</t>
  </si>
  <si>
    <t>TANF-ACF-PI-2022-03 (Revision to the instructions for form ACF-196TR, the Territorial TANF &amp; AABD Financial Report)</t>
  </si>
  <si>
    <t>https://acf.gov/ofa/policy-guidance/tanf-acf-pi-2022-03</t>
  </si>
  <si>
    <t>TANF-ACF-PI-2022-02 (New state TANF certification requirement enacted in the Consolidated Appropriations Act, 2022)</t>
  </si>
  <si>
    <t>https://acf.gov/ofa/policy-guidance/tanf-acf-pi-2022-02</t>
  </si>
  <si>
    <t>TANF-ACF-PI-2022-01 (Form ACF-196T Tribal TANF Financial Report Form)</t>
  </si>
  <si>
    <t>https://acf.gov/ofa/policy-guidance/tanf-acf-pi-2022-01</t>
  </si>
  <si>
    <t>TANF-ACF-PI-2021-08 (Form ACF-196P, TANF Pandemic Emergency Assistance Fund Financial Report)</t>
  </si>
  <si>
    <t>https://acf.gov/ofa/policy-guidance/tanf-acf-pi-2021-08</t>
  </si>
  <si>
    <t>TANF-ACF-PI-2021-07 (Form ACF-4125, Children in Foster Homes and Children in Families Receiving Payments in Excess of the Poverty Income Level from a State Program Funded Under Part A of Title IV of the Social Security Act)</t>
  </si>
  <si>
    <t>https://acf.gov/ofa/policy-guidance/tanf-acf-pi-2021-07</t>
  </si>
  <si>
    <t>TANF-ACF-PI-2021-06 (Afghanistan Parolees Now Eligible for TANF)</t>
  </si>
  <si>
    <t>https://acf.gov/ofa/policy-guidance/tanf-acf-pi-2021-06</t>
  </si>
  <si>
    <t>Recognition of the 25th Anniversary of the Enactment of TANF</t>
  </si>
  <si>
    <t>https://acf.gov/ofa/policy-guidance/recognition-25th-anniversary-enactment-tanf</t>
  </si>
  <si>
    <t>TANF-ACF-IM-2021-01 (State Work Participation Rates for FY 2020)</t>
  </si>
  <si>
    <t>https://acf.gov/ofa/policy-guidance/tanf-acf-im-2021-01</t>
  </si>
  <si>
    <t>TANF-ACF-PI-2021-05 (Pandemic Emergency Assistance Fund: Supplemental Reporting Guidance for Tribes)</t>
  </si>
  <si>
    <t>https://acf.gov/ofa/policy-guidance/tanf-acf-pi-2021-05</t>
  </si>
  <si>
    <t>TANF-ACF-PI-2021-04 (The Pandemic Emergency Assistance Fund)</t>
  </si>
  <si>
    <t>https://acf.gov/ofa/policy-guidance/tanf-acf-pi-2021-04</t>
  </si>
  <si>
    <t>TANF-ACF-PI-2021-03 (Pandemic Emergency Assistance Fund Allotment Request Form)</t>
  </si>
  <si>
    <t>https://acf.gov/ofa/policy-guidance/tanf-acf-pi-2021-03</t>
  </si>
  <si>
    <t>TANF-ACF-PI-2021-02 (The Pandemic Emergency Assistance Fund)</t>
  </si>
  <si>
    <t>https://acf.gov/ofa/policy-guidance/tanf-acf-pi-2021-02</t>
  </si>
  <si>
    <t>TANF-ACF-PI-2021-01 (Renewed form ACF-196TR, the Territorial TANF &amp; AABD Financial Report)</t>
  </si>
  <si>
    <t>https://acf.gov/ofa/policy-guidance/tanf-acf-pi-2021-01</t>
  </si>
  <si>
    <t>TANF-ACF-PI-2020-05 (Renewed Form ACF-202, Caseload Reduction Report)</t>
  </si>
  <si>
    <t>https://acf.gov/ofa/policy-guidance/tanf-acf-pi-2020-05</t>
  </si>
  <si>
    <t>TANF-ACF-PI-2020-04 (Form ACF-199, TANF Data Report, and Form ACF-209, SSP-MOE Data Report, Approved by the Office of Management and Budget through 11/30/2023 (OMB Control Number 0970-0338))</t>
  </si>
  <si>
    <t>https://acf.gov/ofa/policy-guidance/tanf-acf-pi-2020-04</t>
  </si>
  <si>
    <t>TANF-ACF-PI-2020-03 (Form ACF-4125, Children in Foster Homes and Children in Families Receiving Payments in Excess of the Poverty Income Level from a State Program Funded Under Part A of Title IV of the Social Security Act)</t>
  </si>
  <si>
    <t>https://acf.gov/ofa/policy-guidance/tanf-acf-pi-2020-03-form-acf-4125-children-foster-homes-and-children-families</t>
  </si>
  <si>
    <t>Tribal TANF Plan Guidance</t>
  </si>
  <si>
    <t>https://acf.gov/ofa/policy-guidance/tribal-tanf-plan-guidance</t>
  </si>
  <si>
    <t>TANF-ACF-PI-2020-02 (Questions and answers about Tribal TANF and the Coronavirus Disease 2019 (COVID-19) pandemic)</t>
  </si>
  <si>
    <t>https://acf.gov/ofa/policy-guidance/tanf-acf-pi-2020-02-questions-and-answers-about-tribal-tanf-and-coronavirus</t>
  </si>
  <si>
    <t>TANF-ACF-PI-2020-01 (Questions and answers about TANF and the Coronavirus Disease 2019 (COVID-19) pandemic)</t>
  </si>
  <si>
    <t>https://acf.gov/ofa/policy-guidance/tanf-acf-pi-2020-01-questions-and-answers-about-tanf-and-coronavirus-disease</t>
  </si>
  <si>
    <t>TANF-ACF-PI-2019-02 (Form ACF-4125, Children in Foster Homes and Children in Families Receiving Payments in Excess of the Poverty Income Level from a State Program Funded Under Part A of Title IV of the Social Security Act)</t>
  </si>
  <si>
    <t>https://acf.gov/ofa/policy-guidance/tanf-acf-pi-2019-02-form-acf-4125-children-foster-homes-and-children-families</t>
  </si>
  <si>
    <t>TANF-ACF-PI-2019-01 (Reimbursement obligations of sponsors of noncitizens and procedures for recovering TANF funds)</t>
  </si>
  <si>
    <t>https://acf.gov/ofa/policy-guidance/tanf-acf-pi-2019-01-sponsor-reimbursement-obligations</t>
  </si>
  <si>
    <t>TANF-ACF-IM-2019-01 (State Work Participation Rates for FY 2018)</t>
  </si>
  <si>
    <t>https://acf.gov/ofa/policy-guidance/tanf-acf-im-2019-01-state-work-participation-rates-fy-2018</t>
  </si>
  <si>
    <t>OFA "Dear Colleague" Letter on TANF Funding Lapse</t>
  </si>
  <si>
    <t>https://acf.gov/ofa/policy-guidance/ofa-dear-colleague-letter-tanf-funding-lapse</t>
  </si>
  <si>
    <t>TANF-ACF-PI-2018-02 (revises and supersedes TANF-ACF-PI 2005-03)</t>
  </si>
  <si>
    <t>https://acf.gov/ofa/policy-guidance/tanf-acf-pi-2018-02-revises-and-supersedes-tanf-acf-pi-2005-03</t>
  </si>
  <si>
    <t>TANF-ACF-IM-2006-02 (Edits and the Transmission File Layouts for the TANF Data Report and the SSP-MOE Data Report)</t>
  </si>
  <si>
    <t>https://acf.gov/ofa/policy-guidance/tanf-acf-im-2006-02-edits-and-transmission-file-layouts-tanf-data-report-and</t>
  </si>
  <si>
    <t>ACF-ACF-IM-18-01 (Integrating Approaches that Prioritize and Enhance Father Engagement)</t>
  </si>
  <si>
    <t>https://acf.gov/ofa/policy-guidance/acf-acf-im-18-01-integrating-approaches-prioritize-and-enhance-father</t>
  </si>
  <si>
    <t>TANF-ACF-PI-2018-01 (Form ACF-4125, Children in Foster Homes and Children in Families Receiving Payments in Excess of the Poverty Income Level from a State Program Funded Under Part A of Title IV of the Social Security Act)</t>
  </si>
  <si>
    <t>https://acf.gov/ofa/policy-guidance/tanf-acf-pi-2018-01-form-acf-4125-children-foster-homes-and-children-families</t>
  </si>
  <si>
    <t>TANF-ACF-IM-2018-02 (State Work Participation Rates for FY 2017)</t>
  </si>
  <si>
    <t>https://acf.gov/ofa/policy-guidance/tanf-acf-im-2018-02-state-work-participation-rates-fy-2017</t>
  </si>
  <si>
    <t>NEW-ACF-PI-2018-01 (revises and supersedes NEW-ACF-PI 2011-01)</t>
  </si>
  <si>
    <t>https://acf.gov/ofa/policy-guidance/new-acf-pi-2018-01-revises-and-supersedes-new-acf-pi-2011-01</t>
  </si>
  <si>
    <t>TTCW Instructions-Change the Principal Investigator/Project Director</t>
  </si>
  <si>
    <t>https://acf.gov/ofa/policy-guidance/ttcw-instructions-change-principal-investigator/project-director</t>
  </si>
  <si>
    <t>TTCW Budget Modification Guidance</t>
  </si>
  <si>
    <t>https://acf.gov/ofa/policy-guidance/ttcw-budget-modification-guidance</t>
  </si>
  <si>
    <t>Tribal TANF -Child Welfare (TTCW) Carryover Balance Amendment Requests</t>
  </si>
  <si>
    <t>https://acf.gov/ofa/policy-guidance/tribal-tanf-child-welfare-ttcw-carryover-balance-amendment-requests</t>
  </si>
  <si>
    <t>OFA "Dear Colleague" letter on TANF and Healthy Marriage/Responsible Fatherhood Social Capital Programs</t>
  </si>
  <si>
    <t>https://acf.gov/ofa/policy-guidance/ofa-dear-colleague-letter-tanf-and-healthy-marriage/responsible-fatherhood</t>
  </si>
  <si>
    <t>TANF-ACF-IM-2018-01(The use of TANF funds to promote employment programs for noncustodial parents)</t>
  </si>
  <si>
    <t>https://acf.gov/ofa/policy-guidance/tanf-acf-im-2018-01the-use-tanf-funds-promote-employment-programs-noncustodial</t>
  </si>
  <si>
    <t>Tribal TANF Data Coding Instructions</t>
  </si>
  <si>
    <t>https://acf.gov/ofa/policy-guidance/tribal-tanf-data-coding-instructions</t>
  </si>
  <si>
    <t>TANF-ACF-PI-2017-05 (Form ACF-199, TANF Data Report, and Form ACF-209, SSP-MOE Data Report, Approved by the Office of Management and Budget through 08/31/2020 (OMB Control Number 0970-0338))</t>
  </si>
  <si>
    <t>https://acf.gov/ofa/policy-guidance/tanf-acf-pi-2017-05-form-acf-199-tanf-data-report-and-form-acf-209-ssp-moe-data</t>
  </si>
  <si>
    <t>TANF-ACF-PI-2017-04 (Renewed Form ACF-202, Caseload Reduction Report)</t>
  </si>
  <si>
    <t>https://acf.gov/ofa/policy-guidance/tanf-acf-pi-2017-04-renewed-form-acf-202-caseload-reduction-report</t>
  </si>
  <si>
    <t>TANF-ACF-PI-2017-01, AMENDED (Guidance on State Family Assistance Grant (SFAG) Amounts for Fiscal Years (FY) 2017 and 2018)</t>
  </si>
  <si>
    <t>https://acf.gov/ofa/policy-guidance/tanf-acf-pi-2017-01-amended-guidance-state-family-assistance-grant-sfag-amounts</t>
  </si>
  <si>
    <t>TANF-ACF-IM-2017-02 (State Work Participation Rates for FY 2016)</t>
  </si>
  <si>
    <t>https://acf.gov/ofa/policy-guidance/tanf-acf-im-2017-02-state-work-participation-rates-fy-2016</t>
  </si>
  <si>
    <t>OFA "Dear Colleague" letter on Rescinding guidance concerning waiver and expenditure authority under section 1115 of the Social Security Act</t>
  </si>
  <si>
    <t>https://acf.gov/ofa/policy-guidance/ofa-dear-colleague-letter-rescinding-guidance-concerning-waiver-and-expenditure</t>
  </si>
  <si>
    <t>TANF-ACF-IM-2017-01 (Rescinding guidance concerning waiver and expenditure authority under section 1115 of the Social Security Act)</t>
  </si>
  <si>
    <t>https://acf.gov/ofa/policy-guidance/tanf-acf-im-2017-01-rescinding-guidance-concerning-waiver-and-expenditure</t>
  </si>
  <si>
    <t>TANF-ACF-PI-2017-03 (Form ACF-196T Tribal TANF Financial Report Form)</t>
  </si>
  <si>
    <t>https://acf.gov/ofa/policy-guidance/tanf-acf-pi-2017-03-form-acf-196t-tribal-tanf-financial-report-form</t>
  </si>
  <si>
    <t>TANF-ACF-PI-2017-02 (Reporting on TANF Work Measures after Enactment of the Deficit Reduction Act of 2005 (DRA)</t>
  </si>
  <si>
    <t>https://acf.gov/ofa/policy-guidance/tanf-acf-pi-2017-02-reporting-tanf-work-measures-after-enactment-deficit</t>
  </si>
  <si>
    <t>TANF-ACF-IM-2016-06 (Work Participation Rates for FY 2015)</t>
  </si>
  <si>
    <t>https://acf.gov/ofa/policy-guidance/tanf-acf-im-2016-06-work-participation-rates-fy-2015</t>
  </si>
  <si>
    <t>TANF-ACF-PI-2016-04 (Guidance on the application of the “new spending test”)</t>
  </si>
  <si>
    <t>https://acf.gov/ofa/policy-guidance/tanf-acf-pi-2016-04-guidance-application-new-spending-test</t>
  </si>
  <si>
    <t>TANF-ACF-PI-2016-03 (Form ACF-4125, Children in Foster Homes and Children in Families Receiving Payments in Excess of the Poverty Income Level from a State Program Funded Under Part A of Title IV of the Social Security Act)</t>
  </si>
  <si>
    <t>https://acf.gov/ofa/policy-guidance/tanf-acf-pi-2016-03-form-acf-4125-children-foster-homes-and-children-families</t>
  </si>
  <si>
    <t>TANF-ACF-IM-2016-04 (Work Participation Rates for FY 2014)</t>
  </si>
  <si>
    <t>https://acf.gov/ofa/policy-guidance/tanf-acf-im-2016-04-work-participation-rates-fy-2014</t>
  </si>
  <si>
    <t>TANF-ACF-PI-2016-02 (Additional guidance on adequate access provisions of 45 CFR Parts 264 and 265)</t>
  </si>
  <si>
    <t>https://acf.gov/ofa/policy-guidance/tanf-acf-pi-2016-02-additional-guidance-adequate-access-provisions-45-cfr-parts</t>
  </si>
  <si>
    <t>TANF-ACF-PI-2016-01(Reporting on TANF Work Measures after Enactment of the Deficit Reduction Act of 2005 (DRA)</t>
  </si>
  <si>
    <t>https://acf.gov/ofa/policy-guidance/tanf-acf-pi-2016-01reporting-tanf-work-measures-after-enactment-deficit</t>
  </si>
  <si>
    <t>TANF-ACF-IM-2016-03 (Strengthening TANF Outcomes By Developing Two-Generation Approaches To Build Economic Security)</t>
  </si>
  <si>
    <t>https://acf.gov/ofa/policy-guidance/tanf-acf-im-2016-03</t>
  </si>
  <si>
    <t>TANF-ACF-IM-2016-02</t>
  </si>
  <si>
    <t>2014 Child Care Reauthorization and Opportunities for TANF and CCDF</t>
  </si>
  <si>
    <t>https://acf.gov/ofa/policy-guidance/2014-child-care-reauthorization-and-opportunities-tanf-and-ccdf</t>
  </si>
  <si>
    <t>TANF-ACF-IM-2016-01 (Work Participation Rates for FY 2013)</t>
  </si>
  <si>
    <t>https://acf.gov/ofa/policy-guidance/tanf-acf-im-2016-01-work-participation-rates-fy-2013</t>
  </si>
  <si>
    <t>TANF-ACF-PI-2015-03 (Form ACF-4125, Children in Foster Homes and Children in Families Receiving Payments in Excess of the Poverty Income Level from a State Program Funded Under Part A of Title IV of the Social Security Act)</t>
  </si>
  <si>
    <t>https://acf.gov/ofa/policy-guidance/tanf-acf-pi-2015-03-form-acf-4125-children-foster-homes-and-children-families</t>
  </si>
  <si>
    <t>TANF-ACF-PI-2015-02 (Prohibition on use of federal TANF and State MOE funds for juvenile justice services)</t>
  </si>
  <si>
    <t>https://acf.gov/ofa/policy-guidance/tanf-acf-pi-2015-02-prohibition-use-federal-tanf-and-state-moe-funds-juvenile</t>
  </si>
  <si>
    <t>TANF-ACF-IM-2015-02 (Data Sharing Between TANF and Child Welfare Agencies)</t>
  </si>
  <si>
    <t>https://acf.gov/ofa/policy-guidance/tanf-acf-im-2015-02-data-sharing-between-tanf-and-child-welfare-agencies</t>
  </si>
  <si>
    <t>TANF-ACF-PI-2015-01 (Reporting on TANF Work Measures after Enactment of the Deficit Reduction Act of 2005 (DRA))</t>
  </si>
  <si>
    <t>https://acf.gov/ofa/policy-guidance/tanf-acf-pi-2015-01-reporting-tanf-work-measures-after-enactment-deficit</t>
  </si>
  <si>
    <t>TANF-ACF-IM-2015-01 (Work Participation Rates for FY 2012)</t>
  </si>
  <si>
    <t>https://acf.gov/ofa/policy-guidance/tanf-acf-im-2015-01-work-participation-rates-fy-2012</t>
  </si>
  <si>
    <t>OFA "Dear Colleague" letter on Workforce Innovation and Opportunity Act (WIOA)</t>
  </si>
  <si>
    <t>https://acf.gov/ofa/policy-guidance/ofa-dear-colleague-letter-workforce-innovation-and-opportunity-act-wioa</t>
  </si>
  <si>
    <t>OFA "Dear Colleague" letter on DOL WIOA Youth TEGL and use of TANF funds for summer youth employment</t>
  </si>
  <si>
    <t>https://acf.gov/ofa/policy-guidance/ofa-dear-colleague-letter-dol-wioa-youth-tegl-and-use-tanf-funds-summer-youth</t>
  </si>
  <si>
    <t>The Systems to Family Stability National Policy Academy</t>
  </si>
  <si>
    <t>https://acf.gov/ofa/policy-guidance/systems-family-stability-national-policy-academy</t>
  </si>
  <si>
    <t>Job-Driven Training</t>
  </si>
  <si>
    <t>https://acf.gov/ofa/policy-guidance/job-driven-training</t>
  </si>
  <si>
    <t>Domestic Violence Awareness Month</t>
  </si>
  <si>
    <t>https://acf.gov/ofa/policy-guidance/domestic-violence-awareness-month</t>
  </si>
  <si>
    <t>TANF-ACF-PI-2014-04 (Renewed Form ACF-202, Caseload Reduction Report)</t>
  </si>
  <si>
    <t>https://acf.gov/ofa/policy-guidance/tanf-acf-pi-2014-04-renewed-form-acf-202-caseload-reduction-report</t>
  </si>
  <si>
    <t>TANF-ACF-IM-2014-03 (Domestic Violence Awareness Month: Opportunities and TANF Resources For Prevention and Action)</t>
  </si>
  <si>
    <t>https://acf.gov/ofa/policy-guidance/tanf-acf-im-2014-03-domestic-violence-awareness-month-opportunities-and-tanf</t>
  </si>
  <si>
    <t>TANF-ACF-PI-2014-03 (Form ACF-199, TANF Data Report, and Form ACF-209, SSP-MOE Data Report, Approved by the Office of Management and Budget through 09/30/2017 (OMB Control Number 0970-0338))</t>
  </si>
  <si>
    <t>https://acf.gov/ofa/policy-guidance/tanf-acf-pi-2014-03-form-acf-199-tanf-data-report-and-form-acf-209-ssp-moe-data</t>
  </si>
  <si>
    <t>TANF-ACF-PI-2014-02 (OMB approved Form ACF-196R State TANF Financial Report Form)</t>
  </si>
  <si>
    <t>https://acf.gov/ofa/policy-guidance/tanf-acf-pi-2014-02-omb-approved-form-acf-196r-state-tanf-financial-report-form</t>
  </si>
  <si>
    <t>TANF-ACF-PI-2014-01 (Reporting on TANF Work Measures after Enactment of the Deficit Reduction Act of 2005 (DRA))</t>
  </si>
  <si>
    <t>https://acf.gov/ofa/policy-guidance/tanf-acf-pi-2014-01-reporting-tanf-work-measures-after-enactment-deficit</t>
  </si>
  <si>
    <t>ED, HHS and DOL Issue Joint Letter Encouraging Partnerships To Help Transition Students From High School Graduation To Postsecondary Education and the Workforce</t>
  </si>
  <si>
    <t>https://acf.gov/ofa/policy-guidance/ed-hhs-and-dol-issue-joint-letter-encouraging-partnerships-help-transition</t>
  </si>
  <si>
    <t>Letter on Supporting The Summer Food Service Program (SFSP)</t>
  </si>
  <si>
    <t>https://acf.gov/ofa/policy-guidance/letter-supporting-summer-food-service-program-sfsp</t>
  </si>
  <si>
    <t>TANF-ACF-IM-2014-02 (Work Participation Rates for FY 2011)</t>
  </si>
  <si>
    <t>https://acf.gov/ofa/policy-guidance/tanf-acf-im-2014-02-work-participation-rates-fy-2011</t>
  </si>
  <si>
    <t>HHS, DOL and HUD Issue Joint Letter Encouraging Summer Youth Employment Efforts</t>
  </si>
  <si>
    <t>https://acf.gov/ofa/policy-guidance/hhs-dol-and-hud-issue-joint-letter-encouraging-summer-youth-employment-efforts</t>
  </si>
  <si>
    <t>TANF-ACF-IM-2014-01 (Proposed Revisions to TANF Financial Data Collection)</t>
  </si>
  <si>
    <t>https://acf.gov/ofa/policy-guidance/tanf-acf-im-2014-01-proposed-revisions-tanf-financial-data-collection</t>
  </si>
  <si>
    <t>TANF-ACF-PI-2013-05 (Electronic Submission of TANF Plans and Amendments)</t>
  </si>
  <si>
    <t>https://acf.gov/ofa/policy-guidance/tanf-acf-pi-2013-05-electronic-submission-tanf-plans-and-amendments</t>
  </si>
  <si>
    <t>TANF-ACF-PI-2013-03 (Deadline for submitting state reports and updating state plans to reflect the TANF EBT requirements set forth in Section 4004 of the Middle Class Tax Relief and Job Creation Act of 2012 (P.L. 112-96))</t>
  </si>
  <si>
    <t>https://acf.gov/ofa/policy-guidance/tanf-acf-pi-2013-03-deadline-submitting-state-reports-and-updating-state-plans</t>
  </si>
  <si>
    <t>ACF Issues Letter on TANF in Event of Government Shutdown</t>
  </si>
  <si>
    <t>https://acf.gov/ofa/policy-guidance/acf-issues-letter-tanf-event-government-shutdown</t>
  </si>
  <si>
    <t>TANF-ACF-IM-2013-03 (Proposed Revisions to TANF Financial Data Collection)</t>
  </si>
  <si>
    <t>https://acf.gov/ofa/policy-guidance/tanf-acf-im-2013-03-proposed-revisions-tanf-financial-data-collection</t>
  </si>
  <si>
    <t>TANF-ACF-IM-2013-02 (Work Participation Rates for FY 2010)</t>
  </si>
  <si>
    <t>https://acf.gov/ofa/policy-guidance/tanf-acf-im-2013-02-work-participation-rates-fy-2010</t>
  </si>
  <si>
    <t>TANF-ACF-PI-2013-02 (Reporting on TANF Work Measures after Enactment of the Deficit Reduction Act of 2005 (DRA))</t>
  </si>
  <si>
    <t>https://acf.gov/ofa/policy-guidance/tanf-acf-pi-2013-02-reporting-tanf-work-measures-after-enactment-deficit</t>
  </si>
  <si>
    <t>DOL-HHS Joint Letter on Summer Jobs for At-Risk Youth</t>
  </si>
  <si>
    <t>https://acf.gov/ofa/policy-guidance/dol-hhs-joint-letter-summer-jobs-risk-youth</t>
  </si>
  <si>
    <t>TANF-ACF-IM-2013-01 (Use of TANF Funds to Serve Homeless Families and Families at Risk of Experiencing Homelessness)</t>
  </si>
  <si>
    <t>https://acf.gov/ofa/policy-guidance/tanf-acf-im-2013-01-use-tanf-funds-serve-homeless-families-and-families-risk</t>
  </si>
  <si>
    <t>TANF-ACF-PI-2013-01 (OMB approved Form ACF-196 State TANF Financial Report Form)</t>
  </si>
  <si>
    <t>https://acf.gov/ofa/policy-guidance/tanf-acf-pi-2013-01-omb-approved-form-acf-196-state-tanf-financial-report-form</t>
  </si>
  <si>
    <t>Background Information about the TANF Emergency Fund</t>
  </si>
  <si>
    <t>https://acf.gov/ofa/policy-guidance/background-information-about-tanf-emergency-fund-0</t>
  </si>
  <si>
    <t>TANF-ACF-IM-2012-03 (Guidance concerning waiver and expenditure authority under Section 1115)</t>
  </si>
  <si>
    <t>https://acf.gov/ofa/policy-guidance/tanf-acf-im-2012-03-guidance-concerning-waiver-and-expenditure-authority-under</t>
  </si>
  <si>
    <t>TANF-ACF-PI-2012-02 (TANF Incentives and Compliance with 2 CFR Part 225)</t>
  </si>
  <si>
    <t>https://acf.gov/ofa/policy-guidance/tanf-acf-pi-2012-02-tanf-incentives-and-compliance-2-cfr-part-225</t>
  </si>
  <si>
    <t>TANF-ACF-PI-2012-01 (Reporting on TANF Work Measures after Enactment of the Deficit Reduction Act of 2005 (DRA))</t>
  </si>
  <si>
    <t>https://acf.gov/ofa/policy-guidance/tanf-acf-pi-2012-01-reporting-tanf-work-measures-after-enactment-deficit</t>
  </si>
  <si>
    <t>TANF-ACF-IM-2012-02 (Upcoming rulemaking for new TANF requirements specified in the Middle Class Tax Relief and Job Creation Act of 2012 (P.L. 112-96))</t>
  </si>
  <si>
    <t>https://acf.gov/ofa/policy-guidance/tanf-acf-im-2012-02-upcoming-rulemaking-new-tanf-requirements-specified-middle</t>
  </si>
  <si>
    <t>DOE, HHS, and DOL Issue Joint Letter Promoting the Use of Career Pathways Approaches</t>
  </si>
  <si>
    <t>https://acf.gov/ofa/policy-guidance/doe-hhs-and-dol-issue-joint-letter-promoting-use-career-pathways-approaches</t>
  </si>
  <si>
    <t>TANF-ACF-IM-2012-01 (Use of TANF funds to support summer jobs for youth)</t>
  </si>
  <si>
    <t>https://acf.gov/ofa/policy-guidance/tanf-acf-im-2012-01-use-tanf-funds-support-summer-jobs-youth</t>
  </si>
  <si>
    <t>Use of TANF Funds to Support Summer Jobs for Youth</t>
  </si>
  <si>
    <t>https://acf.gov/ofa/policy-guidance/use-tanf-funds-support-summer-jobs-youth</t>
  </si>
  <si>
    <t>Claims Resolution Act - Engagement in Additional Work Activities and Expenditures for Other Benefits and Services, April-June 2011</t>
  </si>
  <si>
    <t>https://acf.gov/ofa/policy-guidance/claims-resolution-act-engagement-additional-work-activities-and-expenditures</t>
  </si>
  <si>
    <t>TANF-ACF-PI-2011-10 (Charity Care Expenditures)</t>
  </si>
  <si>
    <t>https://acf.gov/ofa/policy-guidance/tanf-acf-pi-2011-10-charity-care-expenditures</t>
  </si>
  <si>
    <t>TANF-ACF-PI-2011-09 (Renewed Form ACF-202, Caseload Reduction Report)</t>
  </si>
  <si>
    <t>https://acf.gov/ofa/policy-guidance/tanf-acf-pi-2011-09-renewed-form-acf-202-caseload-reduction-report</t>
  </si>
  <si>
    <t>TANF-ACF-IM-2011-05 (Work Participation Rates for FY 2009)</t>
  </si>
  <si>
    <t>https://acf.gov/ofa/policy-guidance/tanf-acf-im-2011-05-work-participation-rates-fy-2009</t>
  </si>
  <si>
    <t>TANF-ACF-PI-2011-07 (Extension of the Deadline for Submitting Qualifying Expenditures for the TANF Emergency Fund)</t>
  </si>
  <si>
    <t>https://acf.gov/ofa/policy-guidance/tanf-acf-pi-2011-07-extension-deadline-submitting-qualifying-expenditures-tanf</t>
  </si>
  <si>
    <t>TANF-ACF-PI-2011-06 (New Requirement for State TANF Plans)</t>
  </si>
  <si>
    <t>https://acf.gov/ofa/policy-guidance/tanf-acf-pi-2011-06-new-requirement-state-tanf-plans</t>
  </si>
  <si>
    <t>TANF-ACF-PI-2011-05 (Final Reporting and Reconciliation Procedures for the TANF Emergency Fund)</t>
  </si>
  <si>
    <t>https://acf.gov/ofa/policy-guidance/tanf-acf-pi-2011-05-final-reporting-and-reconciliation-procedures-tanf</t>
  </si>
  <si>
    <t>TANF-ACF-IM-2011-04 (Correction) (TANF Contingency Fund and TANF Supplemental Grant Award Amounts for Fiscal Year (FY) 2011)</t>
  </si>
  <si>
    <t>https://acf.gov/ofa/policy-guidance/tanf-acf-im-2011-04-correction-tanf-contingency-fund-and-tanf-supplemental</t>
  </si>
  <si>
    <t>TANF-ACF-IM-2011-03 (The National Voter Registration Act of 1993)</t>
  </si>
  <si>
    <t>https://acf.gov/ofa/policy-guidance/tanf-acf-im-2011-03-national-voter-registration-act-1993</t>
  </si>
  <si>
    <t>TANF-ACF-IM-2011-02 (File Layouts and Edits for the Report on Engagement in Additional Work Activities)</t>
  </si>
  <si>
    <t>https://acf.gov/ofa/policy-guidance/tanf-acf-im-2011-02-file-layouts-and-edits-report-engagement-additional-work</t>
  </si>
  <si>
    <t>TANF-ACF-PI-2011-04 (TANF Detailed Expenditure Form: ACF-196 Supplement (ACF-196 (SUP))</t>
  </si>
  <si>
    <t>https://acf.gov/ofa/policy-guidance/tanf-acf-pi-2011-04-tanf-detailed-expenditure-form-acf-196-supplement-acf-196</t>
  </si>
  <si>
    <t>TANF-ACF-PI-2011-03 (Form ACF-812, the Report on Engagement in Additional Work Activities for Families Receiving Assistance under the TANF and SSP-MOE Programs)</t>
  </si>
  <si>
    <t>https://acf.gov/ofa/policy-guidance/tanf-acf-pi-2011-03-form-acf-812-report-engagement-additional-work-activities</t>
  </si>
  <si>
    <t>TANF-ACF-PI-2011-02 (Temporary Modification of the TANF Caseload Reduction Credit)</t>
  </si>
  <si>
    <t>https://acf.gov/ofa/policy-guidance/tanf-acf-pi-2011-02-temporary-modification-tanf-caseload-reduction-credit</t>
  </si>
  <si>
    <t>TANF-ACF-PI-2011-01 (Disregarding tax refunds received after December 31, 2009, as income and resources for a period of 12 months)</t>
  </si>
  <si>
    <t>https://acf.gov/ofa/policy-guidance/tanf-acf-pi-2011-01-disregarding-tax-refunds-received-after-december-31-2009</t>
  </si>
  <si>
    <t>The Benefits of EITC for Subsidized Employment Participants</t>
  </si>
  <si>
    <t>https://acf.gov/ofa/policy-guidance/benefits-eitc-subsidized-employment-participants</t>
  </si>
  <si>
    <t>TANF-ACF-PI-2010-09 (Q &amp; A on the TANF Contingency Fund for Fiscal Years (FY) 2011 and 2012)</t>
  </si>
  <si>
    <t>https://acf.gov/ofa/policy-guidance/tanf-acf-pi-2010-09-q-tanf-contingency-fund-fiscal-years-fy-2011-and-2012</t>
  </si>
  <si>
    <t>TANF-ACF-PI-2010-08 (Form ACF-4125, Children in Foster Homes and Children in Families Receiving Payments in Excess of the Poverty Income Level from a State Program Funded Under Part A of Title IV of the Social Security Act)</t>
  </si>
  <si>
    <t>https://acf.gov/ofa/policy-guidance/tanf-acf-pi-2010-08-form-acf-4125-children-foster-homes-and-children-families</t>
  </si>
  <si>
    <t>TANF-ACF-PI-2010-07 (Amending an approved Work Verification Plan (WVP))</t>
  </si>
  <si>
    <t>https://acf.gov/ofa/policy-guidance/tanf-acf-pi-2010-07-amending-approved-work-verification-plan-wvp</t>
  </si>
  <si>
    <t>TANF-ACF-IM-2010-02 (Reducing TANF Improper Payments)</t>
  </si>
  <si>
    <t>https://acf.gov/ofa/policy-guidance/tanf-acf-im-2010-02-reducing-tanf-improper-payments</t>
  </si>
  <si>
    <t>TANF-ACF-PI-2010-06 (Procedures in the event of the exhaustion of the Emergency Fund)</t>
  </si>
  <si>
    <t>https://acf.gov/ofa/policy-guidance/tanf-acf-pi-2010-06-procedures-event-exhaustion-emergency-fund</t>
  </si>
  <si>
    <t>TANF Carry Over Funds Final Rule</t>
  </si>
  <si>
    <t>https://acf.gov/ofa/policy-guidance/tanf-carry-over-funds-final-rule</t>
  </si>
  <si>
    <t>HHS/HUD Joint Guidance on Preventing &amp; Ending Homelessness</t>
  </si>
  <si>
    <t>https://acf.gov/ofa/policy-guidance/hhs/hud-joint-guidance-preventing-ending-homelessness</t>
  </si>
  <si>
    <t>TANF-ACF-PI-2010-05 (Eligibility of Iraqi and Afghan aliens who have been granted special immigrant status for Federal TANF and State Maintenance-of-Effort (MOE) benefits)</t>
  </si>
  <si>
    <t>https://acf.gov/ofa/policy-guidance/tanf-acf-pi-2010-05-eligibility-iraqi-and-afghan-aliens-who-have-been-granted</t>
  </si>
  <si>
    <t>TANF-ACF-IM-2010-01</t>
  </si>
  <si>
    <t>https://acf.gov/ofa/policy-guidance/tanf-acf-im-2010-01</t>
  </si>
  <si>
    <t>TANF-ACF-IM-2010-01 (Voluntary Reporting of Hours of Participation in Non-Countable Work Activities)</t>
  </si>
  <si>
    <t>https://acf.gov/ofa/policy-guidance/tanf-acf-im-2010-01-voluntary-reporting-hours-participation-non-countable-work</t>
  </si>
  <si>
    <t>TANF-ACF-PI-2010-04 (Use of Federal TANF Carry-Over funds for any allowable TANF benefit, service, or activity)</t>
  </si>
  <si>
    <t>https://acf.gov/ofa/policy-guidance/tanf-acf-pi-2010-04-use-federal-tanf-carry-over-funds-any-allowable-tanf</t>
  </si>
  <si>
    <t>Examples: Non-Recurrent Short-Term Benefits</t>
  </si>
  <si>
    <t>https://acf.gov/ofa/policy-guidance/examples-non-recurrent-short-term-benefits</t>
  </si>
  <si>
    <t>HHS/USDA Joint Guidance on Summer Feeding</t>
  </si>
  <si>
    <t>https://acf.gov/ofa/policy-guidance/hhs/usda-joint-guidance-summer-feeding</t>
  </si>
  <si>
    <t>TANF-ACF-PI-2010-01 (Revised form OFA-100, the Emergency Fund Request Form)</t>
  </si>
  <si>
    <t>https://acf.gov/ofa/policy-guidance/tanf-acf-pi-2010-01-revised-form-ofa-100-emergency-fund-request-form</t>
  </si>
  <si>
    <t>TANF-ACF-PI-2010-03 (The U.S. Department of Labor (DOL) Employment and Training Administration's (ETA) and the Social Security Administration's (SSA) joint Disability Program Navigator (DPN) Initiative)</t>
  </si>
  <si>
    <t>https://acf.gov/ofa/policy-guidance/tanf-acf-pi-2010-03-us-department-labor-dol-employment-and-training</t>
  </si>
  <si>
    <t>TANF-ACF-PI-2009-12 (Use of Federal TANF funds and State Maintenance-of-Effort (MOE) funds to assist individuals from eligible families in need of mental health and substance use treatment services)</t>
  </si>
  <si>
    <t>https://acf.gov/ofa/policy-guidance/tanf-acf-pi-2009-12-use-federal-tanf-funds-and-state-maintenance-effort-moe</t>
  </si>
  <si>
    <t>TANF-ACF-PI-2009-11 (Office of Management and Budget’s Approval of the Revised ACF-196T Tribal TANF Financial Report Form for the Reporting of Emergency Fund Awarded under the American Recovery and Reinvestment Act (ARRA) of 2009, (Public Law 111-5))</t>
  </si>
  <si>
    <t>https://acf.gov/ofa/policy-guidance/tanf-acf-pi-2009-11-office-management-and-budgets-approval-revised-acf-196t</t>
  </si>
  <si>
    <t>TANF-ACF-PI-2009-10 (OMB approved Form ACF-196 State TANF Financial Report Form)</t>
  </si>
  <si>
    <t>https://acf.gov/ofa/policy-guidance/tanf-acf-pi-2009-10-omb-approved-form-acf-196-state-tanf-financial-report-form</t>
  </si>
  <si>
    <t>TANF-ACF-PI-2009-07 (Children in Foster Homes and Children in Families Receiving Payments in Excess of the Poverty Income Level from a State Program Funded Under Part A of Title IV of the Social Security Act)</t>
  </si>
  <si>
    <t>https://acf.gov/ofa/policy-guidance/tanf-acf-pi-2009-07-children-foster-homes-and-children-families-receiving</t>
  </si>
  <si>
    <t>TANF-ACF-IM-2009-02 (SAS Programs to calculate the monthly work participation rates from the State’s quarterly transmission files for FY 2009)</t>
  </si>
  <si>
    <t>https://acf.gov/ofa/policy-guidance/tanf-acf-im-2009-02-sas-programs-calculate-monthly-work-participation-rates</t>
  </si>
  <si>
    <t>TANF-ACF-PI-2009-08 (Use of Federal TANF funds and State Maintenance-of-Effort (MOE) funds to assist victims of domestic violence)</t>
  </si>
  <si>
    <t>https://acf.gov/ofa/policy-guidance/tanf-acf-pi-2009-08-use-federal-tanf-funds-and-state-maintenance-effort-moe</t>
  </si>
  <si>
    <t>TANF-ACF-PI-2009-06 (Questions and Answers on the TANF Contingency Fund (separate from the Emergency Contingency Fund authorized by the American Recovery and Reinvestment Act of 2009))</t>
  </si>
  <si>
    <t>https://acf.gov/ofa/policy-guidance/tanf-acf-pi-2009-06-questions-and-answers-tanf-contingency-fund-separate</t>
  </si>
  <si>
    <t>TANF-ACF-IM-2009-01 (Work Participation Rates for FY 2007)</t>
  </si>
  <si>
    <t>https://acf.gov/ofa/policy-guidance/tanf-acf-im-2009-01-work-participation-rates-fy-2007</t>
  </si>
  <si>
    <t>https://acf.gov/ofa/policy-guidance/background-information-about-tanf-emergency-fund</t>
  </si>
  <si>
    <t>TANF-ACF-PI-2009-05 (Form OFA-100, the Emergency Fund Request form)</t>
  </si>
  <si>
    <t>https://acf.gov/ofa/policy-guidance/tanf-acf-pi-2009-05-form-ofa-100-emergency-fund-request-form</t>
  </si>
  <si>
    <t>TANF-ACF-PI-2009-03 (Eligibility of Iraqi and Afghan aliens who have been granted special immigrant status for Federal TANF and State Maintenance-of-Effort (MOE) benefits)</t>
  </si>
  <si>
    <t>https://acf.gov/ofa/policy-guidance/tanf-acf-pi-2009-03-eligibility-iraqi-and-afghan-aliens-who-have-been-granted</t>
  </si>
  <si>
    <t>TANF-ACF-PI-2009-02 (Temporary Modification of the TANF Caseload Reduction Credit)</t>
  </si>
  <si>
    <t>https://acf.gov/ofa/policy-guidance/tanf-acf-pi-2009-02-temporary-modification-tanf-caseload-reduction-credit</t>
  </si>
  <si>
    <t>TANF-ACF-PA-2009-01 (The Emergency Fund for TANF Programs)</t>
  </si>
  <si>
    <t>https://acf.gov/ofa/policy-guidance/tanf-acf-pa-2009-01-emergency-fund-tanf-programs</t>
  </si>
  <si>
    <t>Erroneous Payment Initiative</t>
  </si>
  <si>
    <t>https://acf.gov/ofa/policy-guidance/erroneous-payment-initiative</t>
  </si>
  <si>
    <t>TANF-ACF-PI-2009-01 (supersedes TANF-ACF-PI-2008-01) (Eligibility of Iraqi and Afghan aliens who have been granted special immigrant status for Federal TANF and State Maintenance-of-Effort (MOE) benefits)</t>
  </si>
  <si>
    <t>https://acf.gov/ofa/policy-guidance/tanf-acf-pi-2009-01-supersedes-tanf-acf-pi-2008-01-eligibility-iraqi-and-afghan</t>
  </si>
  <si>
    <t>TANF-ACF-PI-2008-11 (Revised Form ACF-202, Caseload Reduction Report)</t>
  </si>
  <si>
    <t>https://acf.gov/ofa/policy-guidance/tanf-acf-pi-2008-11-revised-form-acf-202-caseload-reduction-report</t>
  </si>
  <si>
    <t>TANF-ACF-PI-2008-10 (Pro-family Maintenance-of-Effort (MOE) Spending Provision)</t>
  </si>
  <si>
    <t>https://acf.gov/ofa/policy-guidance/tanf-acf-pi-2008-10-pro-family-maintenance-effort-moe-spending-provision</t>
  </si>
  <si>
    <t>TANF-ACF-PI-2008-08 (Children in Foster Homes and Children in Families Receiving Payments in Excess of the Poverty Income Level from a State Program Funded Under Part A of Title IV of the Social Security Act)</t>
  </si>
  <si>
    <t>https://acf.gov/ofa/policy-guidance/tanf-acf-pi-2008-08-children-foster-homes-and-children-families-receiving</t>
  </si>
  <si>
    <t>TANF-ACF-PI-2008-07 (Form ACF-199, TANF Data Report, and Form ACF-209, SSP-MOE Data Report, Approved by the Office of Management and Budget through 09/30/2011 (OMB Control Number 0970-0199))</t>
  </si>
  <si>
    <t>https://acf.gov/ofa/policy-guidance/tanf-acf-pi-2008-07-form-acf-199-tanf-data-report-and-form-acf-209-ssp-moe-data</t>
  </si>
  <si>
    <t>Cost Allocation Methodology for the TANF Final Rule</t>
  </si>
  <si>
    <t>https://acf.gov/ofa/policy-guidance/cost-allocation-methodology-tanf-final-rule</t>
  </si>
  <si>
    <t>TANF-ACF-PI-2008-06 (Electronic Submission of Annual Report on TANF Programs (Attachment A) and State Maintenance-of-Effort (MOE) Programs (Form ACF-204) (Attachment B))</t>
  </si>
  <si>
    <t>https://acf.gov/ofa/policy-guidance/tanf-acf-pi-2008-06-electronic-submission-annual-report-tanf-programs</t>
  </si>
  <si>
    <t>Work Verification Plan Guide</t>
  </si>
  <si>
    <t>https://acf.gov/ofa/policy-guidance/work-verification-plan-guide</t>
  </si>
  <si>
    <t>TANF-ACF-PI-2008-05 (Diversion Programs) (AMENDED)</t>
  </si>
  <si>
    <t>https://acf.gov/ofa/policy-guidance/tanf-acf-pi-2008-05-diversion-programs-amended</t>
  </si>
  <si>
    <t>2010 Census</t>
  </si>
  <si>
    <t>https://acf.gov/ofa/policy-guidance/2010-census</t>
  </si>
  <si>
    <t>TANF-ACF-PI-2008-04 (Federal TANF Contingency Funds)</t>
  </si>
  <si>
    <t>https://acf.gov/ofa/policy-guidance/tanf-acf-pi-2008-04-federal-tanf-contingency-funds</t>
  </si>
  <si>
    <t>TANF-ACF-PI-2008-03 (Guidance for the Resolution of State and Tribal Disagreements Over the State-Submitted Caseload and Expenditure Data Used to Establish the Amount of a Tribal Family Assistance Grant (TFAG))</t>
  </si>
  <si>
    <t>https://acf.gov/ofa/policy-guidance/tanf-acf-pi-2008-03-guidance-resolution-state-and-tribal-disagreements-over</t>
  </si>
  <si>
    <t>TANF-ACF-PI-2008-02 (Questions and Answers on the Final TANF Rule)</t>
  </si>
  <si>
    <t>https://acf.gov/ofa/policy-guidance/tanf-acf-pi-2008-02-questions-and-answers-final-tanf-rule</t>
  </si>
  <si>
    <t>TANF-ACF-PI-2008-01 (Eligibility of Iraqi and Afghan aliens who have been granted special immigrant status for Federal TANF and State Maintenance-of-Effort (MOE) benefits)</t>
  </si>
  <si>
    <t>https://acf.gov/ofa/policy-guidance/tanf-acf-pi-2008-01-eligibility-iraqi-and-afghan-aliens-who-have-been-granted</t>
  </si>
  <si>
    <t>TANF-ACF-IM-2008-01 (Human Service Transportation Coordination and Resource Sharing)</t>
  </si>
  <si>
    <t>https://acf.gov/ofa/policy-guidance/tanf-acf-im-2008-01-human-service-transportation-coordination-and-resource</t>
  </si>
  <si>
    <t>Reauthorization of TANF Final Rule</t>
  </si>
  <si>
    <t>https://acf.gov/ofa/policy-guidance/reauthorization-tanf-final-rule</t>
  </si>
  <si>
    <t>TANF-ACF-PI-2007-09 NEW ACF-PI-2007-03 (Implementation of New Procedure for Disseminating Program Instructions (PIs), Policy Announcements (PAs), Information Memoranda (IMs), and Other Documents)</t>
  </si>
  <si>
    <t>https://acf.gov/ofa/policy-guidance/tanf-acf-pi-2007-09-new-acf-pi-2007-03-implementation-new-procedure</t>
  </si>
  <si>
    <t>TANF-ACF-PI-2007-08 (Using Federal TANF and State Maintenance-of-Effort (MOE) Funds for Families in Areas Covered by a Federal or State Disaster Declaration)</t>
  </si>
  <si>
    <t>https://acf.gov/ofa/policy-guidance/tanf-acf-pi-2007-08-using-federal-tanf-and-state-maintenance-effort-moe-funds</t>
  </si>
  <si>
    <t>TANF-ACF-PI-2007-05 (Policy on “subject to a penalty” for refusing to participate in work activities)</t>
  </si>
  <si>
    <t>https://acf.gov/ofa/policy-guidance/tanf-acf-pi-2007-05-policy-subject-penalty-refusing-participate-work-activities</t>
  </si>
  <si>
    <t>TANF-ACF-PI-2007-04 (Reporting on TANF Agency NDNH Match Results)</t>
  </si>
  <si>
    <t>https://acf.gov/ofa/policy-guidance/tanf-acf-pi-2007-04-reporting-tanf-agency-ndnh-match-results</t>
  </si>
  <si>
    <t>TANF-ACF-IM-2007-05 (Work Participation Rates For FY 2006)</t>
  </si>
  <si>
    <t>https://acf.gov/ofa/policy-guidance/tanf-acf-im-2007-05-work-participation-rates-fy-2006</t>
  </si>
  <si>
    <t>TANF-ACF-IM-2007-04 (Work Participation Rates For FY 2005)</t>
  </si>
  <si>
    <t>https://acf.gov/ofa/policy-guidance/tanf-acf-im-2007-04-work-participation-rates-fy-2005</t>
  </si>
  <si>
    <t>TANF-ACF-PI-2007-03 (Pre-award Costs for Potential Tribal TANF Grantees)</t>
  </si>
  <si>
    <t>https://acf.gov/ofa/policy-guidance/tribal-tanf-acf-pi-2007-03</t>
  </si>
  <si>
    <t>TANF Carry-Over Funds Interim Final Rule</t>
  </si>
  <si>
    <t>https://acf.gov/ofa/policy-guidance/tanf-carry-over-funds-interim-final-rule</t>
  </si>
  <si>
    <t>TANF-ACF-PI-2007-02 (Questions and Responses on Coordination between the TANF and the Child Support Enforcement Programs since enactment of the Deficit Reduction Act of 2005 (DRA of 2005))</t>
  </si>
  <si>
    <t>https://acf.gov/ofa/policy-guidance/tanf-acf-pi-2007-02-questions-and-responses-coordination-between-tanf-and-child</t>
  </si>
  <si>
    <t>TANF-ACF-IM-2007-03 (Charitable Choice)</t>
  </si>
  <si>
    <t>https://acf.gov/ofa/policy-guidance/tanf-acf-im-2007-03-charitable-choice</t>
  </si>
  <si>
    <t>TANF-ACF-IM-2007-02 (Deeming a Single Custodial Parent or Caretaker Relative with a Child Under Age Six Engaged in Work)</t>
  </si>
  <si>
    <t>https://acf.gov/ofa/policy-guidance/tanf-acf-im-2007-02-deeming-single-custodial-parent-or-caretaker-relative-child</t>
  </si>
  <si>
    <t>TANF-ACF-IM-2007-01(Additional Clarification and Guidance on Coding Type of Family for Work Participation and Work-Eligible Individual Indicator Under the Interim Final Rule)</t>
  </si>
  <si>
    <t>https://acf.gov/ofa/policy-guidance/tanf-acf-im-2007-01additional-clarification-and-guidance-coding-type-family</t>
  </si>
  <si>
    <t>TANF-ACF-PI-2007-01 (Reporting on TANF Work Measures Data for FY 2006)</t>
  </si>
  <si>
    <t>https://acf.gov/ofa/policy-guidance/tanf-acf-pi-2007-01-reporting-tanf-work-measures-data-fy-2006</t>
  </si>
  <si>
    <t>TANF-ACF-PI-2006-07 (New Form ACF-202, Caseload Reduction Report)</t>
  </si>
  <si>
    <t>https://acf.gov/ofa/policy-guidance/tanf-acf-pi-2006-07-new-form-acf-202-caseload-reduction-report</t>
  </si>
  <si>
    <t>TANF-ACF-PI-2006-05 (Reporting Deemed Core Hours on the TANF Data Report and the SSP-MOE Data Report for Fiscal Year 2007) (AMENDED)</t>
  </si>
  <si>
    <t>https://acf.gov/ofa/policy-guidance/tanf-acf-pi-2006-05-reporting-deemed-core-hours-tanf-data-report-and-ssp-moe-0</t>
  </si>
  <si>
    <t>TANF-ACF-PI-2006-05 (Reporting Deemed Core Hours on the TANF Data Report and the SSP-MOE Data Report for Fiscal Year 2007) (ORIGINAL)</t>
  </si>
  <si>
    <t>https://acf.gov/ofa/policy-guidance/tanf-acf-pi-2006-05-reporting-deemed-core-hours-tanf-data-report-and-ssp-moe</t>
  </si>
  <si>
    <t>TANF-ACF-PI-2006-04 (Qualifying to Count Participation in Job Search and Job Readiness Assistance Activities for Up to Twelve Weeks)</t>
  </si>
  <si>
    <t>https://acf.gov/ofa/policy-guidance/tanf-acf-pi-2006-04-qualifying-count-participation-job-search-and-job-readiness</t>
  </si>
  <si>
    <t>Reauthorization of TANF Interim Final Rule</t>
  </si>
  <si>
    <t>https://acf.gov/ofa/policy-guidance/reauthorization-tanf-interim-final-rule</t>
  </si>
  <si>
    <t>TANF-ACF-PI-2006-03 (Collecting and Repaying Overpayments Made to Families under the Aid to Families with Dependent Children (AFDC) Program and the Temporary Assistance for Needy Families (TANF) Program) (Replaces TANF-ACF-PI-2000-2)</t>
  </si>
  <si>
    <t>https://acf.gov/ofa/policy-guidance/tanf-acf-pi-2006-03-collecting-and-repaying-overpayments-made-families-under</t>
  </si>
  <si>
    <t>TANF-ACF-PI-2006-02 (Elimination of non-assistance families in the TANF and SSP-MOE Data Reports)</t>
  </si>
  <si>
    <t>https://acf.gov/ofa/policy-guidance/tanf-acf-pi-2006-02-elimination-non-assistance-families-tanf-and-ssp-moe-data</t>
  </si>
  <si>
    <t>TANF-ACF-PI-2006-01 (Reporting on TANF Work Measures after Enactment of the Deficit Reduction Act of 2005 (DRA))</t>
  </si>
  <si>
    <t>https://acf.gov/ofa/policy-guidance/tanf-acf-pi-2006-01-reporting-tanf-work-measures-after-enactment-deficit</t>
  </si>
  <si>
    <t>TANF-ACF-IM-2006-01 (Work Participation Rates For FY 2004)</t>
  </si>
  <si>
    <t>https://acf.gov/ofa/policy-guidance/tanf-acf-im-2006-01-work-participation-rates-fy-2004</t>
  </si>
  <si>
    <t>TANF-ACF-PA-2005-01 (Eligibility of Native Americans born in Canada or Mexico for Federal TANF and State Maintenance-of-Effort (MOE) benefits)</t>
  </si>
  <si>
    <t>https://acf.gov/ofa/policy-guidance/tanf-acf-pa-2005-01-eligibility-native-americans-born-canada-or-mexico-federal</t>
  </si>
  <si>
    <t>TANF-ACF-PI-2005-07 (Public Law 109-68, the TANF Emergency Response and Recovery Act of 2005) (AMENDED)</t>
  </si>
  <si>
    <t>https://acf.gov/ofa/policy-guidance/tanf-acf-pi-2005-07-public-law-109-68-tanf-emergency-response-and-recovery-act</t>
  </si>
  <si>
    <t>TANF-ACF-PI-2005-06 (Using Federal TANF and State MOE Funds for Families Affected By Hurricane Katrina)</t>
  </si>
  <si>
    <t>https://acf.gov/ofa/policy-guidance/tanf-acf-pi-2005-06-using-federal-tanf-and-state-moe-funds-families-affected</t>
  </si>
  <si>
    <t>TANF-ACF-IM-2005-02 (The Low-Income Subsidy under the Medicare Prescription Drug, Improvement, and Modernization Act (Public Law 108-173))</t>
  </si>
  <si>
    <t>https://acf.gov/ofa/policy-guidance/tanf-acf-im-2005-02-low-income-subsidy-under-medicare-prescription-drug</t>
  </si>
  <si>
    <t>TANF-ACF-PI-2005-04 (FY 2004 TANF High Performance Bonus (HPB) Measures Related to Participation in the Medicaid and State Children’s Health Insurance Program (SCHIP))</t>
  </si>
  <si>
    <t>https://acf.gov/ofa/policy-guidance/tanf-acf-pi-2005-04-fy-2004-tanf-high-performance-bonus-hpb-measures-related</t>
  </si>
  <si>
    <t>Sanction Notices</t>
  </si>
  <si>
    <t>https://acf.gov/ofa/policy-guidance/sanction-notices</t>
  </si>
  <si>
    <t>TANF-ACF-PI-2005-02 (Using Federal TANF or State MOE funds to purchase a business)</t>
  </si>
  <si>
    <t>https://acf.gov/ofa/policy-guidance/tanf-acf-pi-2005-02-using-federal-tanf-or-state-moe-funds-purchase-business</t>
  </si>
  <si>
    <t>TANF-ACF-PI-2005-01 (Funding Childhood Education, School Readiness, Kindergarten and Other Public Education Programs)</t>
  </si>
  <si>
    <t>https://acf.gov/ofa/policy-guidance/tanf-acf-pi-2005-01-funding-childhood-education-school-readiness-kindergarten</t>
  </si>
  <si>
    <t>TANF-ACF-IM-2005-01 (Adherence to the Federal Five-Year Time Limit Provisions For FY 2003)</t>
  </si>
  <si>
    <t>https://acf.gov/ofa/policy-guidance/tanf-acf-im-2005-01-adherence-federal-five-year-time-limit-provisions-fy-2003</t>
  </si>
  <si>
    <t>TANF-ACF-PI-2004-05 (FY 2005 TANF High Performance Bonus (HPB Performance Year 2004) Work Measure Reporting Requirements)</t>
  </si>
  <si>
    <t>https://acf.gov/ofa/policy-guidance/tanf-acf-pi-2004-05-fy-2005-tanf-high-performance-bonus-hpb-performance-year</t>
  </si>
  <si>
    <t>TANF-ACF-IM-2004-03 (Work Participation Rates For FY 2003)</t>
  </si>
  <si>
    <t>https://acf.gov/ofa/policy-guidance/tanf-acf-im-2004-03-work-participation-rates-fy-2003</t>
  </si>
  <si>
    <t>TANF-ACF-PA-2004-01 (Clarification that third party cash or in-kind may count toward a State’s or Territory’s TANF maintenance-of-effort (MOE) requirement)</t>
  </si>
  <si>
    <t>https://acf.gov/ofa/policy-guidance/tanf-acf-pa-2004-01-clarification-third-party-cash-or-kind-may-count-toward</t>
  </si>
  <si>
    <t>TANF-ACF-IM-2004-02 (General Policy Guidance on How Federal TANF and State Maintenance-of-Effort (MOE) Funds Can Be Used to Help States, Tribes and Territories Implement Healthy Marriage Activities)</t>
  </si>
  <si>
    <t>https://acf.gov/ofa/policy-guidance/tanf-acf-im-2004-02-general-policy-guidance-how-federal-tanf-and-state</t>
  </si>
  <si>
    <t>TANF-ACF-IM-2004-01 (Disregard of Transitional Drug Subsidies under the Medicare Prescription Drug, Improvement, and Modernization Act)</t>
  </si>
  <si>
    <t>https://acf.gov/ofa/policy-guidance/tanf-acf-im-2004-01-disregard-transitional-drug-subsidies-under-medicare</t>
  </si>
  <si>
    <t>NEW-ACF-PI-2004-02 (Effect on Native Employment Works (NEW) grantees of statutory amendment permitting carryover of unobligated balances with no fiscal year limitation – revised program instruction)</t>
  </si>
  <si>
    <t>https://acf.gov/ofa/policy-guidance/new-tanf-acf-pi-2004-02</t>
  </si>
  <si>
    <t>TANF-ACF-PI-2004-03 (Use of TANF Funds to Recover Aid to Families with Dependent Children (AFDC) Overpayments)</t>
  </si>
  <si>
    <t>https://acf.gov/ofa/policy-guidance/tanf-acf-pi-2004-03-use-tanf-funds-recover-aid-families-dependent-children-afdc</t>
  </si>
  <si>
    <t>TANF-ACF-PI-2004-02 (FY 2004 TANF High Performance Bonus (HPB) Measures Related to Participation in the Medicaid and State Children’s Health Insurance Program (SCHIP))</t>
  </si>
  <si>
    <t>https://acf.gov/ofa/policy-guidance/tanf-acf-pi-2004-02-fy-2004-tanf-high-performance-bonus-hpb-measures-related</t>
  </si>
  <si>
    <t>TANF-ACF-PI-2004-01 (FY 2004 TANF High Performance Bonus (HPB) Work Measure Reporting Requirements)</t>
  </si>
  <si>
    <t>https://acf.gov/ofa/policy-guidance/tanf-acf-pi-2004-01-fy-2004-tanf-high-performance-bonus-hpb-work-measure</t>
  </si>
  <si>
    <t>TANF-ACF-IM-2003-04 (Implementation and Availability of Enhancements to the TANF Data Reporting System (TDRS) for Aggregate Data)</t>
  </si>
  <si>
    <t>https://acf.gov/ofa/policy-guidance/tanf-acf-im-2003-04-implementation-and-availability-enhancements-tanf-data</t>
  </si>
  <si>
    <t>TANF-ACF-IM-2003-03 (Adherence to the Federal Five-Year Time Limit Provisions For FY 2002)</t>
  </si>
  <si>
    <t>https://acf.gov/ofa/policy-guidance/tanf-acf-im-2003-03-adherence-federal-five-year-time-limit-provisions-fy-2002</t>
  </si>
  <si>
    <t>Charitable Choice Final Rule</t>
  </si>
  <si>
    <t>https://acf.gov/ofa/policy-guidance/charitable-choice-final-rule</t>
  </si>
  <si>
    <t>TANF-ACF-IM-2003-02 (Work Participation Rates For FY 2002)</t>
  </si>
  <si>
    <t>https://acf.gov/ofa/policy-guidance/tanf-acf-im-2003-02-work-participation-rates-fy-2002</t>
  </si>
  <si>
    <t>TANF-ACF-PI-2003-05 (Form ACF-196TR, a Financial Reporting Form for the Temporary Assistance for Needy Families (TANF) Program)</t>
  </si>
  <si>
    <t>https://acf.gov/ofa/policy-guidance/tanf-acf-pi-2003-05-form-acf-196tr-financial-reporting-form-temporary</t>
  </si>
  <si>
    <t>TANF-ACF-IM-2003-01 (Disregard of Monetary Allowances for Certain Children of Vietnam War Veterans)</t>
  </si>
  <si>
    <t>https://acf.gov/ofa/policy-guidance/tanf-acf-im-2003-01-disregard-monetary-allowances-certain-children-vietnam-war</t>
  </si>
  <si>
    <t>TANF-ACF-PI-2003-02 (Approved Form ACF-196, a Financial Reporting Form for the Temporary Assistance for Needy Families (TANF) Program)</t>
  </si>
  <si>
    <t>https://acf.gov/ofa/policy-guidance/tanf-acf-pi-2003-02-approved-form-acf-196-financial-reporting-form-temporary</t>
  </si>
  <si>
    <t>TANF-ACF-PI-2003-01 (45 CFR 92.42 and sections 404(e) and 409(a)(7) of the Social Security Act (Act))</t>
  </si>
  <si>
    <t>https://acf.gov/ofa/policy-guidance/tanf-acf-pi-2003-01-45-cfr-9242-and-sections-404e-and-409a7-social-security-act</t>
  </si>
  <si>
    <t>TANF-ACF-IM-2002-02 (Work Participation Rates For FY 2001)</t>
  </si>
  <si>
    <t>https://acf.gov/ofa/policy-guidance/tanf-acf-im-2002-02-work-participation-rates-fy-2001</t>
  </si>
  <si>
    <t>TANF-ACF-PI-2002-02 (Clarification of Procedures and Methods of Obligating Federal Funds Under the TANF Program)</t>
  </si>
  <si>
    <t>https://acf.gov/ofa/policy-guidance/tanf-acf-pi-2002-02-clarification-procedures-and-methods-obligating-federal</t>
  </si>
  <si>
    <t>TANF-ACF-IM-2002-01 (Work Participation Rates For FY 2000)</t>
  </si>
  <si>
    <t>https://acf.gov/ofa/policy-guidance/tanf-acf-im-2002-01-work-participation-rates-fy-2000</t>
  </si>
  <si>
    <t>TANF-ACF-PI-2002-01 (FY 2002 TANF High Performance Bonus (HPB): New Reporting Requirements)</t>
  </si>
  <si>
    <t>https://acf.gov/ofa/policy-guidance/tanf-acf-pi-2002-01-fy-2002-tanf-high-performance-bonus-hpb-new-reporting</t>
  </si>
  <si>
    <t>TANF-ACF-PI-2001-06 (Clarification on Completing the Annual Reports on TANF Programs (Attachment A) and State Maintenance-of-Effort (MOE) Programs (Form ACF-204) (Attachment B))</t>
  </si>
  <si>
    <t>https://acf.gov/ofa/policy-guidance/tanf-acf-pi-2001-06-clarification-completing-annual-reports-tanf-programs</t>
  </si>
  <si>
    <t>TANF-ACF-PI-2001-05 (Children in Foster Homes and Children in Families Receiving Payments in Excess of the Poverty Income Level from a State Program Funded Under Part A of Title IV of the Social Security Act)</t>
  </si>
  <si>
    <t>https://acf.gov/ofa/policy-guidance/tanf-acf-pi-2001-05-children-foster-homes-and-children-families-receiving</t>
  </si>
  <si>
    <t>TANF-ACF-PI-2001-04 (FY 2002 TANF High Performance Bonus Measures Related to Participation in the Medicaid and State Children's Health Insurance Program (SCHIP))</t>
  </si>
  <si>
    <t>https://acf.gov/ofa/policy-guidance/tanf-acf-pi-2001-04-fy-2002-tanf-high-performance-bonus-measures-related</t>
  </si>
  <si>
    <t>TANF-ACF-PI-2001-03 (Revised Form ACF-200, TANF High Performance Bonus (HPB) Report for Fiscal Year 2001 and Instructions)</t>
  </si>
  <si>
    <t>https://acf.gov/ofa/policy-guidance/tanf-acf-pi-2001-03-revised-form-acf-200-tanf-high-performance-bonus-hpb-report</t>
  </si>
  <si>
    <t>TANF-ACF-PI-2001-01 (Treatment of Tax Credits for Federal TANF and State "Maintenance of Effort" (MOE))</t>
  </si>
  <si>
    <t>https://acf.gov/ofa/policy-guidance/tanf-acf-pi-2001-01-treatment-tax-credits-federal-tanf-and-state-maintenance</t>
  </si>
  <si>
    <t>TANF-ACF-PI-2001-02 (Drawdown of Federal TANF funds for States, Tribes and sub-grantees.)</t>
  </si>
  <si>
    <t>https://acf.gov/ofa/policy-guidance/tanf-acf-pi-2001-02-drawdown-federal-tanf-funds-states-tribes-and-sub-grantees</t>
  </si>
  <si>
    <t>TANF-ACF-IM-2000-06 (Publication of Federal Register Notice Making Technical and Conforming Corrections to Rules for the TANF High Performance Bonus and Welfare-to Work (WtW) Data Collection)</t>
  </si>
  <si>
    <t>https://acf.gov/ofa/policy-guidance/tanf-acf-im-2000-06-publication-federal-register-notice-making-technical-and</t>
  </si>
  <si>
    <t>TANF-ACF-PA-2000-04 (Guidance concerning State Maintenance-of-Effort (MOE) funds paid to a Tribe with an Approved Tribal Family Assistance plan)</t>
  </si>
  <si>
    <t>https://acf.gov/ofa/policy-guidance/tanf-acf-pa-2000-04-guidance-concerning-state-maintenance-effort-moe-funds-paid</t>
  </si>
  <si>
    <t>TANF-ACF-PI-2000-06 (Guidance on Submitting the Annual Report on TANF and State MOE Programs) (REVISED)</t>
  </si>
  <si>
    <t>https://acf.gov/ofa/policy-guidance/tanf-acf-pi-2000-06-guidance-submitting-annual-report-tanf-and-state-moe</t>
  </si>
  <si>
    <t>TANF-ACF-PI-2000-05 (Formula for Awarding the High Performance Bonus (HPB) in Fiscal Year 2001)</t>
  </si>
  <si>
    <t>https://acf.gov/ofa/policy-guidance/tanf-acf-pi-2000-05-formula-awarding-high-performance-bonus-hpb-fiscal-year</t>
  </si>
  <si>
    <t>TANF-ACF-PI-2000-02 (Collecting and Reporting of Overpayments Made to Families Under the TANF Program and the Former Aid to Families with Dependent Children (AFDC) Program)</t>
  </si>
  <si>
    <t>https://acf.gov/ofa/policy-guidance/tanf-acf-pi-2000-02-collecting-and-reporting-overpayments-made-families-under</t>
  </si>
  <si>
    <t>TANF-ACF-IM-2000-05 (Policy Guidance on the Title VI Prohibition Against National Origin Discrimination as It Affects Persons with Limited English Proficiency (LEP))</t>
  </si>
  <si>
    <t>https://acf.gov/ofa/policy-guidance/tanf-acf-im-2000-05-policy-guidance-title-vi-prohibition-against-national</t>
  </si>
  <si>
    <t>TANF-ACF-IM-2000-04 (Work Participation Rates For FY 1999)</t>
  </si>
  <si>
    <t>https://acf.gov/ofa/policy-guidance/tanf-acf-im-2000-04-work-participation-rates-fy-1999</t>
  </si>
  <si>
    <t>TANF-ACF-IM-2000-03 (Fiscal Year 2001 Allocation "Supplemental Grants for Population Increases in Certain States")</t>
  </si>
  <si>
    <t>https://acf.gov/ofa/policy-guidance/tanf-acf-im-2000-03-fiscal-year-2001-allocation-supplemental-grants-population</t>
  </si>
  <si>
    <t>TANF-ACF-PA-2000-03 (Status of the Handbook of Public Assistance Administration)</t>
  </si>
  <si>
    <t>https://acf.gov/ofa/policy-guidance/tanf-acf-pa-2000-03-status-handbook-public-assistance-administration</t>
  </si>
  <si>
    <t>TANF-ACF-IM-2000-02 (Guidance on Cooperation Agreements for Economic Self-Sufficiency Between Public Housing Agencies (PHAs) and State/Local TANF Agencies)</t>
  </si>
  <si>
    <t>https://acf.gov/ofa/policy-guidance/tanf-acf-im-2000-02-guidance-cooperation-agreements-economic-self-sufficiency</t>
  </si>
  <si>
    <t>TANF-ACF-PA-2000-02 (Updated joint guidance regarding the ways in which TANF, Welfare-to-Work (WtW), and Job Access funds can be used to help States and communities provide transportation services to eligible individuals)</t>
  </si>
  <si>
    <t>https://acf.gov/ofa/policy-guidance/tanf-acf-pa-2000-02-updated-joint-guidance-regarding-ways-which-tanf-welfare</t>
  </si>
  <si>
    <t>TANF-ACF-IM-2000-01 (Joint Guidance on Strategies to Enhance the Recruitment, Referral, Eligibility Determination, and Service Provision Processes between Welfare-to-Work, Temporary Assistance for Needy Families, and Child Support Enforcement entities)</t>
  </si>
  <si>
    <t>https://acf.gov/ofa/policy-guidance/tanf-acf-im-2000-01-joint-guidance-strategies-enhance-recruitment-referral</t>
  </si>
  <si>
    <t>TANF-ACF-PA-2000-01 (Status of the Handbook of Public Assistance Administration)</t>
  </si>
  <si>
    <t>https://acf.gov/ofa/policy-guidance/tanf-acf-pa-2000-01-status-handbook-public-assistance-administration</t>
  </si>
  <si>
    <t>TANF-ACF-PI-1999-05 (Formula for Awarding the High Performance Bonus (HPB) in Fiscal Year 2001 and Specifications for the FY 2000 and FY 2001 Bonuses)</t>
  </si>
  <si>
    <t>https://acf.gov/ofa/policy-guidance/tanf-acf-pi-1999-05-formula-awarding-high-performance-bonus-hpb-fiscal-year</t>
  </si>
  <si>
    <t>TANF-ACF-PA-1999-02 (Guidance on Submitting Caseload Reduction Credit Information, the TANF Caseload Reduction Report (Form ACF-202) and Instructions)</t>
  </si>
  <si>
    <t>https://acf.gov/ofa/policy-guidance/tanf-acf-pa-1999-02-guidance-submitting-caseload-reduction-credit-information</t>
  </si>
  <si>
    <t>TANF-ACF-PI-1999-03 (Form ACF-199, TANF Data Report, and Form ACF-204, SSP-MOE Data Report, Approved by the Office of Management and Budget through 06/30/2002 (OMB Control Number 0970-0199))</t>
  </si>
  <si>
    <t>https://acf.gov/ofa/policy-guidance/tanf-acf-pi-1999-03-form-acf-199-tanf-data-report-and-form-acf-204-ssp-moe-data</t>
  </si>
  <si>
    <t>TANF-ACF-IM-1999-05 (Guidance on Nondiscrimination in Federal Welfare Reform Programs)</t>
  </si>
  <si>
    <t>https://acf.gov/ofa/policy-guidance/tanf-acf-im-1999-05-guidance-nondiscrimination-federal-welfare-reform-programs</t>
  </si>
  <si>
    <t>TANF-ACF-IM-1999-04 (Fiscal Year 2000 Allocation "Supplemental Grants for Population Increases in Certain States.")</t>
  </si>
  <si>
    <t>https://acf.gov/ofa/policy-guidance/tanf-acf-im-1999-04-fiscal-year-2000-allocation-supplemental-grants-population</t>
  </si>
  <si>
    <t>TANF-ACF-IM-1999-03 (Edits and Transmission File Layouts for the TANF Data Report and the SSP-MOE Data Report)</t>
  </si>
  <si>
    <t>https://acf.gov/ofa/policy-guidance/tanf-acf-im-1999-03-edits-and-transmission-file-layouts-tanf-data-report-and</t>
  </si>
  <si>
    <t>TANF-ACF-IM-1999-02 (Work Participation Rates For FY 1998)</t>
  </si>
  <si>
    <t>https://acf.gov/ofa/policy-guidance/tanf-acf-im-1999-02-work-participation-rates-fy-1998</t>
  </si>
  <si>
    <t>TANF-ACF-PA-1999-01 (Guidance on Application of TANF Final Rules)</t>
  </si>
  <si>
    <t>https://acf.gov/ofa/policy-guidance/tanf-acf-pa-1999-01-guidance-application-tanf-final-rules</t>
  </si>
  <si>
    <t>TANF-ACF-PI-1999-02 (Collecting and Reporting of Overpayments Made to Families Under the Former Aid to Families with Dependent Children (AFDC) Program)</t>
  </si>
  <si>
    <t>https://acf.gov/ofa/policy-guidance/tanf-acf-pi-1999-02-collecting-and-reporting-overpayments-made-families-under</t>
  </si>
  <si>
    <t>TANF-ACF-PI-1999-01 (Formula for Awarding the High Performance Bonus in Fiscal Year (FY) 2000)</t>
  </si>
  <si>
    <t>https://acf.gov/ofa/policy-guidance/tanf-acf-pi-1999-01-formula-awarding-high-performance-bonus-fiscal-year-fy-2000</t>
  </si>
  <si>
    <t>TANF-ACF-IM-1999-01 (The Department of Housing and Urban Development (HUD) Section 8 Welfare-to-Work Rental Voucher Initiative)</t>
  </si>
  <si>
    <t>https://acf.gov/ofa/policy-guidance/tanf-acf-im-1999-01-department-housing-and-urban-development-hud-section-8</t>
  </si>
  <si>
    <t>TANF-ACF-IM-1998-07 (TANF Work Participation Rates and Recipient Characteristics For FY 1997)</t>
  </si>
  <si>
    <t>https://acf.gov/ofa/policy-guidance/tanf-acf-im-1998-07-tanf-work-participation-rates-and-recipient-characteristics</t>
  </si>
  <si>
    <t>TANF-ACF-PA-1998-05 (Updated joint guidance regarding the ways in which TANF, Welfare-to-Work (WtW), and Job Access funds can be used to help States and communities provide transportation services to eligible individuals)</t>
  </si>
  <si>
    <t>https://acf.gov/ofa/policy-guidance/tanf-acf-pa-1998-05-updated-joint-guidance-regarding-ways-which-tanf-welfare</t>
  </si>
  <si>
    <t>TANF-ACF-PA-1998-06 (Effect of the Agriculture Research, Extension, and Education Reform Act of 1998 (Pub. L. 105-185) on a State's Ability to Cover Costs of an Optional Food Stamp Program)</t>
  </si>
  <si>
    <t>https://acf.gov/ofa/policy-guidance/tanf-acf-pa-1998-06-effect-agriculture-research-extension-and-education-reform</t>
  </si>
  <si>
    <t>TANF-ACF-IM-1998-06 (Children in Foster Homes and Children in Families Receiving Payments in Excess of the Poverty Income Level from a State Program Funded Under Part A of Title IV of the Social Security Act)</t>
  </si>
  <si>
    <t>https://acf.gov/ofa/policy-guidance/tanf-acf-im-1998-06-children-foster-homes-and-children-families-receiving</t>
  </si>
  <si>
    <t>TANF-ACF-IM-1998-05 (Interpretation of Federal Public Benefit)</t>
  </si>
  <si>
    <t>https://acf.gov/ofa/policy-guidance/tanf-acf-im-1998-05-interpretation-federal-public-benefit</t>
  </si>
  <si>
    <t>TANF-ACF-PI-1998-05 (Approved Form ACF 200, TANF High Performance Bonus Report for Fiscal Year 1999 and Instructions)</t>
  </si>
  <si>
    <t>https://acf.gov/ofa/policy-guidance/tanf-acf-pi-1998-05-approved-form-acf-200-tanf-high-performance-bonus-report</t>
  </si>
  <si>
    <t>TANF-ACF-PI-1998-04 (State Child Poverty Rates)</t>
  </si>
  <si>
    <t>https://acf.gov/ofa/policy-guidance/tanf-acf-pi-1998-04-state-child-poverty-rates</t>
  </si>
  <si>
    <t>TANF-ACF-PA-1998-03 (State Plan Renewal)</t>
  </si>
  <si>
    <t>https://acf.gov/ofa/policy-guidance/tanf-acf-pa-1998-03-state-plan-renewal</t>
  </si>
  <si>
    <t>TANF-ACF-PI-1998-03 (Supplemental Grants for Population Increases in Certain States)</t>
  </si>
  <si>
    <t>https://acf.gov/ofa/policy-guidance/tanf-acf-pi-1998-03-supplemental-grants-population-increases-certain-states</t>
  </si>
  <si>
    <t>TANF-ACF-PA-1998-02 (Joint guidance concerning the ways in which TANF and Welfare-to-Work (WtW) funds can be used to help States and communities provide transportation services to eligible individuals.)</t>
  </si>
  <si>
    <t>https://acf.gov/ofa/policy-guidance/tanf-acf-pa-1998-02-joint-guidance-concerning-ways-which-tanf-and-welfare-work</t>
  </si>
  <si>
    <t>TANF-ACF-PI-1998-01 (Formula for Awarding the First High Performance Bonus in Fiscal Year (FY) 1999)</t>
  </si>
  <si>
    <t>https://acf.gov/ofa/policy-guidance/tanf-acf-pi-1998-01-formula-awarding-first-high-performance-bonus-fiscal-year</t>
  </si>
  <si>
    <t>TANF-ACF-IM-1998-01 (General Information Tables Based on Form ACF-331 (Job Opportunities and Basic Skills Training Program Financial Report) Data for Fiscal Years 1995 and 1996)</t>
  </si>
  <si>
    <t>https://acf.gov/ofa/policy-guidance/tanf-acf-im-1998-01-general-information-tables-based-form-acf-331-job</t>
  </si>
  <si>
    <t>TANF-ACF-IM-1998-02 (Final Estimates of Job Opportunities and Basic Skills Training (JOBS) Program Participation for Fiscal Year 1996)</t>
  </si>
  <si>
    <t>https://acf.gov/ofa/policy-guidance/tanf-acf-im-1998-02-final-estimates-job-opportunities-and-basic-skills-training</t>
  </si>
  <si>
    <t>TANF-ACF-IM-1998-04 (Final Tables Based On Form ACF-108 Jobs Data For Fiscal Year 1996)</t>
  </si>
  <si>
    <t>https://acf.gov/ofa/policy-guidance/tanf-acf-im-1998-04-final-tables-based-form-acf-108-jobs-data-fiscal-year-1996</t>
  </si>
  <si>
    <t>TANF-ACF-IM-1998-03 (Final Tables Based on Form ACF-332 (Quarterly Report of JOBS IV-F Expenditures, Uniform Reporting Requirements) Data for Fiscal Year 1996)</t>
  </si>
  <si>
    <t>https://acf.gov/ofa/policy-guidance/tanf-acf-im-1998-03-final-tables-based-form-acf-332-quarterly-report-jobs-iv-f</t>
  </si>
  <si>
    <t>TANF-ACF-PI-1997-12 (Revision to ACF TANF Program Instruction, TANF-ACF-PI-97-3, Regarding Amendments to Completed TANF State Plans)</t>
  </si>
  <si>
    <t>https://acf.gov/ofa/policy-guidance/tanf-acf-pi-1997-12-revision-acf-tanf-program-instruction-tanf-acf-pi-97-3</t>
  </si>
  <si>
    <t>TANF-ACF-PI-1997-11 (Funding Guidance to Territories for TANF and Other Programs Subject to the Funding Ceiling in Section 1108 of the Social Security Act, as Amended by the Personal Responsibility and Work Opportunity Reconciliation Act of 1996 (PRWORA))</t>
  </si>
  <si>
    <t>https://acf.gov/ofa/policy-guidance/tanf-acf-pi-1997-11-funding-guidance-territories-tanf-and-other-programs</t>
  </si>
  <si>
    <t>TANF-ACF-PI-1997-10 (Data Collection Transition Rules)</t>
  </si>
  <si>
    <t>https://acf.gov/ofa/policy-guidance/tanf-acf-pi-1997-10-data-collection-transition-rules</t>
  </si>
  <si>
    <t>TANF-ACF-PI-1997-09 (Revised TANF Maintenance of Effort (MOE) Levels for States)</t>
  </si>
  <si>
    <t>https://acf.gov/ofa/policy-guidance/tanf-acf-pi-1997-09-revised-tanf-maintenance-effort-moe-levels-states</t>
  </si>
  <si>
    <t>TANF-ACF-PI-1997-08 (Contingency Fund Eligibility Requirements and Application Procedures)</t>
  </si>
  <si>
    <t>https://acf.gov/ofa/policy-guidance/tanf-acf-pi-1997-08-contingency-fund-eligibility-requirements-and-application</t>
  </si>
  <si>
    <t>TANF-ACF-PI-1997-07 (Approved Form ACF-196, a Financial Reporting Form for the Temporary Assistance for Needy Families (TANF) Program)</t>
  </si>
  <si>
    <t>https://acf.gov/ofa/policy-guidance/tanf-acf-pi-1997-07-approved-form-acf-196-financial-reporting-form-temporary</t>
  </si>
  <si>
    <t>TANF-ACF-PA-1997-03 (States' Option to Issue Food Stamp Benefits to Certain Individuals Made Ineligible by Welfare Reform)</t>
  </si>
  <si>
    <t>https://acf.gov/ofa/policy-guidance/tanf-acf-pa-1997-03-states-option-issue-food-stamp-benefits-certain-individuals</t>
  </si>
  <si>
    <t>TANF-ACF-PI-1997-06 (Form ACF-198, Emergency TANF Data Report, Approved by the Office of Management and Budget OMB) Through 01/31/1998 (Control No. 0970-0164))</t>
  </si>
  <si>
    <t>https://acf.gov/ofa/policy-guidance/tanf-acf-pi-1997-06-form-acf-198-emergency-tanf-data-report-approved-office</t>
  </si>
  <si>
    <t>TANF-ACF-PI-1997-04 (Closeout of Accounts for the AFDC, Emergency Assistance, JOBS, AFDC/JOBS Child Care, Transitional Child Care and At-Risk Child Care Programs)</t>
  </si>
  <si>
    <t>https://acf.gov/ofa/policy-guidance/tanf-acf-pi-1997-04-closeout-accounts-afdc-emergency-assistance-jobs-afdc/jobs</t>
  </si>
  <si>
    <t>TANF-ACF-IM-1997-03 (Joint HHS/HUD Notice of Funding Availability (NOFA) for the Community Partnerships for Resident Uplift and Economic Development Projects)</t>
  </si>
  <si>
    <t>https://acf.gov/ofa/policy-guidance/tanf-acf-im-1997-03-joint-hhs/hud-notice-funding-availability-nofa-community</t>
  </si>
  <si>
    <t>TANF-ACF-PA-1997-01 (Guidance concerning maintenance of effort, definition Assistance and other provisions in the Personal Responsibility and Work Opportunity Reconciliation Act of 1996)</t>
  </si>
  <si>
    <t>https://acf.gov/ofa/policy-guidance/tanf-acf-pa-1997-01-guidance-concerning-maintenance-effort-definition</t>
  </si>
  <si>
    <t>TANF-ACF-PA-1997-02 (Guidance Concerning Maintenance of Effort (MOE) for State TANF Programs)</t>
  </si>
  <si>
    <t>https://acf.gov/ofa/policy-guidance/tanf-acf-pa-1997-02-guidance-concerning-maintenance-effort-moe-state-tanf</t>
  </si>
  <si>
    <t>TANF-ACF-PI-1997-03 (Amendments to Completed Two-Year TANF State Plans)</t>
  </si>
  <si>
    <t>https://acf.gov/ofa/policy-guidance/tanf-acf-pi-1997-03-amendments-completed-two-year-tanf-state-plans</t>
  </si>
  <si>
    <t>TANF-ACF-IM-1997-02 (AFDC Quality Control Active Payment Error Rate Tables and Negative Case Action Error Rate Table for Fiscal Year 1994)</t>
  </si>
  <si>
    <t>https://acf.gov/ofa/policy-guidance/tanf-acf-im-1997-02-afdc-quality-control-active-payment-error-rate-tables-and</t>
  </si>
  <si>
    <t>TANF-ACF-IM-1997-01 (Final Tables Based on FORM ACF-108 Jobs Data for Fiscal Year 1995 -- Information)</t>
  </si>
  <si>
    <t>https://acf.gov/ofa/policy-guidance/tanf-acf-im-1997-01-final-tables-based-form-acf-108-jobs-data-fiscal-year-1995</t>
  </si>
  <si>
    <t>TANF-ACF-PI-1997-02 (Final Rules on the National Voter Registration Act of 1993)</t>
  </si>
  <si>
    <t>https://acf.gov/ofa/policy-guidance/tanf-acf-pi-1997-02-final-rules-national-voter-registration-act-1993</t>
  </si>
  <si>
    <t>TANF-ACF-PI-1997-01 (Financial Policies and Procedures for the Transition from AFDC/JOBS to TANF AND Title VI Child Care Programs)</t>
  </si>
  <si>
    <t>https://acf.gov/ofa/policy-guidance/tanf-acf-pi-1997-01-financial-policies-and-procedures-transition-afdc/jobs-tanf</t>
  </si>
  <si>
    <t>TANF-ACF-PI-1996-04 (Certification Pending Verification of Eligibility of Qualified Aliens With 40 Qualifying Work Quarters)</t>
  </si>
  <si>
    <t>https://acf.gov/ofa/policy-guidance/tanf-acf-pi-1996-04-certification-pending-verification-eligibility-qualified</t>
  </si>
  <si>
    <t>Major Provisions of the Welfare Law</t>
  </si>
  <si>
    <t>https://acf.gov/ofa/policy-guidance/major-provisions-welfare-law</t>
  </si>
  <si>
    <t>TANF-ACF-PI-1996-02 (Maintenance of Effort Requirements)</t>
  </si>
  <si>
    <t>https://acf.gov/ofa/policy-guidance/tanf-acf-pi-1996-02-maintenance-effort-requirements</t>
  </si>
  <si>
    <t>TANF-ACF-IM-1996-01 (Data Collection Transition Rules)</t>
  </si>
  <si>
    <t>https://acf.gov/ofa/policy-guidance/tanf-acf-im-1996-01-data-collection-transition-rules</t>
  </si>
  <si>
    <t>Q&amp;A: NRST for Expectant Parents and Parents of Newborns Experiencing Financial Hardship</t>
  </si>
  <si>
    <t>https://acf.gov/ofa/faq/qa-nrst-expectant-parents-and-parents-newborns-experiencing-financial-hardship</t>
  </si>
  <si>
    <t>FAQ: TANF Work Outcomes Measures (Fiscal Responsibility Act of 2023)</t>
  </si>
  <si>
    <t>https://acf.gov/ofa/faq/faq-fra-2023-tanf-work-outcomes-measures</t>
  </si>
  <si>
    <t>FAQ: TANF Pilots (Fiscal Responsibility Act of 2023)</t>
  </si>
  <si>
    <t>https://acf.gov/ofa/faq/tanf-pilot-fra-2023-faq</t>
  </si>
  <si>
    <t>State and Local Fiscal Recovery Funds Cannot Be TANF MOE</t>
  </si>
  <si>
    <t>https://acf.gov/ofa/faq/state-and-local-fiscal-recovery-funds-cannot-be-tanf-moe</t>
  </si>
  <si>
    <t>Questions &amp; Answers: Pandemic Emergency Assistance Fund (PEAF)</t>
  </si>
  <si>
    <t>https://acf.gov/ofa/faq/pandemic-emergency-assistance-fund</t>
  </si>
  <si>
    <t>Q &amp; A: Counting and Verifying Hours of Work Participation</t>
  </si>
  <si>
    <t>https://acf.gov/ofa/faq/q-counting-and-verifying-hours-work-participation</t>
  </si>
  <si>
    <t>Q &amp; A: TANF and WIOA</t>
  </si>
  <si>
    <t>https://acf.gov/ofa/faq/q-tanf-and-wioa</t>
  </si>
  <si>
    <t>Q &amp; A: Work Experience</t>
  </si>
  <si>
    <t>https://acf.gov/ofa/faq/q-work-experience</t>
  </si>
  <si>
    <t>Q &amp; A: Subsidized Employment</t>
  </si>
  <si>
    <t>https://acf.gov/ofa/faq/q-subsidized-employment</t>
  </si>
  <si>
    <t>Q &amp; A: Summer Food Service Program</t>
  </si>
  <si>
    <t>https://acf.gov/ofa/faq/q-summer-food-service-program</t>
  </si>
  <si>
    <t>Q &amp; A: Letter of Intent Process</t>
  </si>
  <si>
    <t>https://acf.gov/ofa/faq/q-letter-intent-process</t>
  </si>
  <si>
    <t>How do I report welfare fraud?</t>
  </si>
  <si>
    <t>https://acf.gov/ofa/faq/how-do-i-report-welfare-fraud</t>
  </si>
  <si>
    <t>I want to get off of welfare, but I’m having trouble finding a job. What can I do?</t>
  </si>
  <si>
    <t>https://acf.gov/ofa/faq/i-want-get-welfare-im-having-trouble-finding-job-what-can-i-do</t>
  </si>
  <si>
    <t>My caseworker was rude. How can I file complaint?</t>
  </si>
  <si>
    <t>https://acf.gov/ofa/faq/my-caseworker-was-rude-how-can-i-file-complaint</t>
  </si>
  <si>
    <t>What can I do if my caseworker doesn't act on my application in a timely manner?</t>
  </si>
  <si>
    <t>https://acf.gov/ofa/faq/what-can-i-do-if-my-caseworker-doesnt-act-my-application-timely-manner</t>
  </si>
  <si>
    <t>I have been denied benefits through TANF. What can I do?</t>
  </si>
  <si>
    <t>https://acf.gov/ofa/faq/i-have-been-denied-benefits-through-tanf-what-can-i-do</t>
  </si>
  <si>
    <t>Where can I get a grant to help me provide training to welfare recipients?</t>
  </si>
  <si>
    <t>https://acf.gov/ofa/faq/where-can-i-get-grant-help-me-provide-training-welfare-recipients</t>
  </si>
  <si>
    <t>How do I apply for Temporary Assistance for Needy Families (TANF)?</t>
  </si>
  <si>
    <t>https://acf.gov/ofa/faq/how-do-i-apply-temporary-assistance-needy-families-tanf</t>
  </si>
  <si>
    <t>In addition to TANF, are there any programs to address the needs of low-income individuals?</t>
  </si>
  <si>
    <t>https://acf.gov/ofa/faq/addition-tanf-are-there-any-programs-address-needs-low-income</t>
  </si>
  <si>
    <t>Q &amp; A: Use of Funds</t>
  </si>
  <si>
    <t>https://acf.gov/ofa/faq/q-use-funds</t>
  </si>
  <si>
    <t>Q &amp; A: TANF Requirements Related to EBT Transactions</t>
  </si>
  <si>
    <t>https://acf.gov/ofa/faq/q-tanf-requirements-related-ebt-transactions</t>
  </si>
  <si>
    <t>Q &amp; A: Drug Convictions</t>
  </si>
  <si>
    <t>https://acf.gov/ofa/faq/q-drug-convictions</t>
  </si>
  <si>
    <t>Q &amp; A: Tribal TANF</t>
  </si>
  <si>
    <t>https://acf.gov/ofa/faq/q-tribal-tanf</t>
  </si>
  <si>
    <t>The National Responsible Fatherhood Clearinghouse</t>
  </si>
  <si>
    <t>https://acf.gov/ofa/faq/national-responsible-fatherhood-clearinghouse</t>
  </si>
  <si>
    <t>The Healthy Marriage Initiative (HMI)</t>
  </si>
  <si>
    <t>https://acf.gov/ofa/faq/healthy-marriage-initiative-hmi</t>
  </si>
  <si>
    <t>Q &amp; A: Work Participation Rate</t>
  </si>
  <si>
    <t>https://acf.gov/ofa/faq/q-work-participation-rate</t>
  </si>
  <si>
    <t>Q &amp; A: TANF Data Report (TDR) – Section One</t>
  </si>
  <si>
    <t>https://acf.gov/ofa/faq/q-tanf-data-report-tdr-section-one</t>
  </si>
  <si>
    <t>Q &amp; A: TANF Data Report (TDR) -- Section Three</t>
  </si>
  <si>
    <t>https://acf.gov/ofa/faq/q-tanf-data-report-tdr-section-three</t>
  </si>
  <si>
    <t>Q &amp; A: General Data Questions</t>
  </si>
  <si>
    <t>https://acf.gov/ofa/faq/q-general-data-questions</t>
  </si>
  <si>
    <t>Q &amp; A: TANF Data Report (TDR) -- Section Two</t>
  </si>
  <si>
    <t>https://acf.gov/ofa/faq/q-tanf-data-report-tdr-section-two</t>
  </si>
  <si>
    <t>Q &amp; A: Archive TANF -- Caseload Reduction Credit Reports</t>
  </si>
  <si>
    <t>https://acf.gov/ofa/faq/q-archive-tanf-caseload-reduction-credit-reports</t>
  </si>
  <si>
    <t>Q &amp; A: Work Penalty Amounts</t>
  </si>
  <si>
    <t>https://acf.gov/ofa/faq/q-work-penalty-amounts</t>
  </si>
  <si>
    <t>Questions and Answers: Contingency Fund</t>
  </si>
  <si>
    <t>https://acf.gov/ofa/faq/q-contingency-fund</t>
  </si>
  <si>
    <t>Q &amp; A: Penalty Process</t>
  </si>
  <si>
    <t>https://acf.gov/ofa/faq/q-penalty-process</t>
  </si>
  <si>
    <t>Q &amp; A: Conversion of Child-Only Cases</t>
  </si>
  <si>
    <t>https://acf.gov/ofa/faq/q-conversion-child-only-cases</t>
  </si>
  <si>
    <t>Q &amp; A: Caseload Reduction Credit Reports</t>
  </si>
  <si>
    <t>https://acf.gov/ofa/faq/q-caseload-reduction-credit-reports</t>
  </si>
  <si>
    <t>Q &amp; A: Definition of Assistance</t>
  </si>
  <si>
    <t>https://acf.gov/ofa/faq/q-definition-assistance</t>
  </si>
  <si>
    <t>Q &amp; A: Noncustodial Parent Reporting</t>
  </si>
  <si>
    <t>https://acf.gov/ofa/faq/q-noncustodial-parent-reporting</t>
  </si>
  <si>
    <t>Q &amp; A: SSP MOE Data Report</t>
  </si>
  <si>
    <t>https://acf.gov/ofa/faq/q-ssp-moe-data-report</t>
  </si>
  <si>
    <t>Q &amp; A: Claims Resolution Act of 2010</t>
  </si>
  <si>
    <t>https://acf.gov/ofa/faq/q-claims-resolution-act-2010</t>
  </si>
  <si>
    <t>Q &amp; A: Domestic Violence Waivers</t>
  </si>
  <si>
    <t>https://acf.gov/ofa/faq/q-domestic-violence-waivers</t>
  </si>
  <si>
    <t>Q &amp; A: Immigrants</t>
  </si>
  <si>
    <t>https://acf.gov/ofa/faq/q-immigrants</t>
  </si>
  <si>
    <t>Q &amp; A: Countable Income</t>
  </si>
  <si>
    <t>https://acf.gov/ofa/faq/q-countable-income</t>
  </si>
  <si>
    <t>Q &amp; A: Income and Eligibility Verification System (IEVS)</t>
  </si>
  <si>
    <t>https://acf.gov/ofa/faq/q-income-and-eligibility-verification-system-ievs</t>
  </si>
  <si>
    <t>Q&amp;A: The American Recovery and Reinvestment Act of 2009 (Recovery Act)</t>
  </si>
  <si>
    <t>https://acf.gov/ofa/faq/qa-american-recovery-and-reinvestment-act-2009-recovery-act</t>
  </si>
  <si>
    <t>Q &amp; A: Welfare Reform Waivers</t>
  </si>
  <si>
    <t>https://acf.gov/ofa/faq/q-welfare-reform-waivers</t>
  </si>
  <si>
    <t>Q &amp; A: State Plans</t>
  </si>
  <si>
    <t>https://acf.gov/ofa/faq/q-state-plans</t>
  </si>
  <si>
    <t>Q &amp; A: Reporting Deadlines</t>
  </si>
  <si>
    <t>https://acf.gov/ofa/faq/q-reporting-deadlines</t>
  </si>
  <si>
    <t>Q &amp; A: Individual Development Accounts (IDAs)</t>
  </si>
  <si>
    <t>https://acf.gov/ofa/faq/q-individual-development-accounts-idas</t>
  </si>
  <si>
    <t>Q &amp; A: Time Limits</t>
  </si>
  <si>
    <t>https://acf.gov/ofa/faq/q-time-limits</t>
  </si>
  <si>
    <t>Q &amp; A: State Maintenance-of-Effort and Tribal Programs</t>
  </si>
  <si>
    <t>https://acf.gov/ofa/faq/q-state-maintenance-effort-and-tribal-programs</t>
  </si>
  <si>
    <t>OHS</t>
  </si>
  <si>
    <t>Addressing Vacant Slots Due to Chronic Absenteeism in Head Start Programs | HeadStart.gov</t>
  </si>
  <si>
    <t>Fiscal Year 2026 Monitoring Process for Head Start Recipients | HeadStart.gov</t>
  </si>
  <si>
    <t>Expanding Educational Freedom and Opportunities for Families in Head Start Programs | HeadStart.gov</t>
  </si>
  <si>
    <t>Promoting Healthy Eating and Nutrition for Head Start Children and Families | HeadStart.gov</t>
  </si>
  <si>
    <t>Fiscal Year 2025 Monitoring Process for Head Start Recipients | HeadStart.gov</t>
  </si>
  <si>
    <t>Supporting Food Security and Access to Indigenous Foods for Children and Families in Tribal Early Childhood Programs | HeadStart.gov</t>
  </si>
  <si>
    <t>Same as ACF-ECD-THV-IM-25-02</t>
  </si>
  <si>
    <t>Reporting Child Health and Safety Incidents | HeadStart.gov</t>
  </si>
  <si>
    <t>Use of Federal Early Childhood Program Funds to Improve Access to Housing-Related Supports for the Early Childhood Workforce in Tribal Communities | HeadStart.gov</t>
  </si>
  <si>
    <t>Facilities Guidance | HeadStart.gov</t>
  </si>
  <si>
    <t>Affirming the Use of Indigenous Knowledge to Meet Curricula and Assessment Requirements in American Indian and Alaska Native Head Start Programs | HeadStart.gov</t>
  </si>
  <si>
    <t>Strategies and Recommendations for Supporting Mental Health | HeadStart.gov</t>
  </si>
  <si>
    <t>Treatment of Rebates, Refunds, Discounts, and Similar Cost Savings | HeadStart.gov</t>
  </si>
  <si>
    <t>The Role of Head Start Programs in Addressing Lead in Water | HeadStart.gov</t>
  </si>
  <si>
    <t>Enrollment Reductions and Conversion of Head Start Slots to Early Head Start Slots | HeadStart.gov</t>
  </si>
  <si>
    <t>Strategies to Stabilize the Head Start Workforce | HeadStart.gov</t>
  </si>
  <si>
    <t>Competitive Bonuses for the Head Start Workforce | HeadStart.gov</t>
  </si>
  <si>
    <t>Head Start Categorical Eligibility for Families Eligible for the Supplemental Nutrition Assistance Program | HeadStart.gov</t>
  </si>
  <si>
    <t>Documenting Services to Enrolled Pregnant Women | HeadStart.gov</t>
  </si>
  <si>
    <t>Supporting the Wellness of All Staff in the Head Start Workforce | HeadStart.gov</t>
  </si>
  <si>
    <t>Terminology Changes | HeadStart.gov</t>
  </si>
  <si>
    <t>Group Health Insurance Plan Premiums for Furloughed Employees | HeadStart.gov</t>
  </si>
  <si>
    <t>Head Start Modular Units | HeadStart.gov</t>
  </si>
  <si>
    <t>Supporting Children with Disabilities | HeadStart.gov</t>
  </si>
  <si>
    <t>Accounting and Reporting Capital Leases | HeadStart.gov</t>
  </si>
  <si>
    <t>Accounting Simplification for Head Start and Early Head Start Operations and Service Funds | HeadStart.gov</t>
  </si>
  <si>
    <t>Head Start Eligibility for Children in Kinship Care | HeadStart.gov</t>
  </si>
  <si>
    <t>Notice of Proposed Rulemaking (NPRM) on Designation Renewal System (DRS) Changes – Public Comment Period | HeadStart.gov</t>
  </si>
  <si>
    <t>General Disaster Recovery Flexibilities | HeadStart.gov</t>
  </si>
  <si>
    <t>Integrating Approaches that Prioritize and Enhance Father Engagement | HeadStart.gov</t>
  </si>
  <si>
    <t>Disaster Recovery from 2017 Hurricanes | HeadStart.gov</t>
  </si>
  <si>
    <t>Supervision and Transitions | HeadStart.gov</t>
  </si>
  <si>
    <t>Native Language Preservation, Revitalization, Restoration, and Maintenance in Head Start Programs | HeadStart.gov</t>
  </si>
  <si>
    <t>New Uniform Administrative Requirements, Cost Principles, and Audit Requirements for Federal Awards | HeadStart.gov</t>
  </si>
  <si>
    <t>Helping Children and Families Experiencing Domestic/Intimate Partner Violence | HeadStart.gov</t>
  </si>
  <si>
    <t>Bus Transportation and Safety | HeadStart.gov</t>
  </si>
  <si>
    <t>Choosing an External Auditor | HeadStart.gov</t>
  </si>
  <si>
    <t>Center-based Preschool Classroom Teacher Qualification Waiver Authority and Procedures | HeadStart.gov</t>
  </si>
  <si>
    <t>Head Start and Child Welfare Partnerships | HeadStart.gov</t>
  </si>
  <si>
    <t>One-time Supplemental Funds for Nutrition and Healthy Eating for Head Start Children and Families</t>
  </si>
  <si>
    <t>https://headstart.gov/policy/pi/acf-ohs-pi-25-02</t>
  </si>
  <si>
    <t>Procedures for Tribal CCDF Lead Agencies and American Indian Alaska Native (AIAN) Head Start Grant Recipients to Jointly Apply to Use CCDF and Head Start Funds for Construction or Major Renovation of Early Childhood Facilities</t>
  </si>
  <si>
    <t>https://headstart.gov/policy/pi/acf-ohs-pi-25-01</t>
  </si>
  <si>
    <t>Final Rule to Delay Effective Date for Increasing the CLASS Instructional Support Domain Competitive Threshold</t>
  </si>
  <si>
    <t>https://headstart.gov/policy/pi/acf-ohs-pi-24-07</t>
  </si>
  <si>
    <t>New Eligibility Provisions for Migrant and Seasonal Head Start Programs</t>
  </si>
  <si>
    <t>https://headstart.gov/policy/pi/acf-ohs-pi-24-04</t>
  </si>
  <si>
    <t>New Eligibility Provisions for American Indian and Alaska Native Programs</t>
  </si>
  <si>
    <t>https://headstart.gov/policy/pi/acf-ohs-pi-24-03</t>
  </si>
  <si>
    <t>Fiscal Year 2024 (FY 2024) Head Start Funding Increase</t>
  </si>
  <si>
    <t>https://headstart.gov/policy/pi/acf-ohs-pi-24-02</t>
  </si>
  <si>
    <t>Federal Reporting of Standard Forms 425 and 428</t>
  </si>
  <si>
    <t>https://headstart.gov/policy/pi/acf-pi-ohs-24-01</t>
  </si>
  <si>
    <t>Hurricanes Fiona and Ian Disaster Recovery Funds</t>
  </si>
  <si>
    <t>https://headstart.gov/policy/pi/acf-pi-hs-23-03</t>
  </si>
  <si>
    <t>FY 2023 Head Start Funding Increase</t>
  </si>
  <si>
    <t>https://headstart.gov/policy/pi/acf-pi-hs-23-02</t>
  </si>
  <si>
    <t>FY 2022 Head Start Funding Increase</t>
  </si>
  <si>
    <t>https://headstart.gov/policy/pi/acf-pi-hs-22-02</t>
  </si>
  <si>
    <t>Final Rule on Flexibility for Head Start Designation Renewals in Certain Emergencies</t>
  </si>
  <si>
    <t>https://headstart.gov/policy/pi/acf-pi-hs-22-01</t>
  </si>
  <si>
    <t>Head Start Center-Based Service Duration Requirement for 45 Percent of Slots</t>
  </si>
  <si>
    <t>https://headstart.gov/policy/pi/acf-pi-hs-21-02</t>
  </si>
  <si>
    <t>FY 2021 Head Start Funding Increase</t>
  </si>
  <si>
    <t>https://headstart.gov/policy/pi/acf-pi-hs-21-01</t>
  </si>
  <si>
    <t>Interim Final Rule on Flexibility for Head Start Designation Renewals in Certain Emergencies</t>
  </si>
  <si>
    <t>https://headstart.gov/policy/pi/acf-pi-hs-20-07</t>
  </si>
  <si>
    <t>Administrative Simplification for Consolidating Head Start Grants, Including Early Head Start-Child Care Partnerships</t>
  </si>
  <si>
    <t>https://headstart.gov/policy/pi/acf-pi-hs-20-06</t>
  </si>
  <si>
    <t>Final Rule on Designation Renewal System Changes</t>
  </si>
  <si>
    <t>https://headstart.gov/policy/pi/acf-pi-hs-20-05</t>
  </si>
  <si>
    <t>FY 2020 Head Start Funding Increase</t>
  </si>
  <si>
    <t>https://headstart.gov/policy/pi/acf-pi-hs-20-02</t>
  </si>
  <si>
    <t>The U.S. Department of Health and Human Services' Secretary Azar Lowers Head Start Service Duration Requirement to 45%</t>
  </si>
  <si>
    <t>https://headstart.gov/policy/pi/acf-pi-hs-20-01</t>
  </si>
  <si>
    <t>Administrative Simplification for Consolidating Head Start Grants</t>
  </si>
  <si>
    <t>https://headstart.gov/policy/pi/acf-pi-hs-19-02</t>
  </si>
  <si>
    <t>Disaster Recovery Funding for 2018 and 2019 Disasters</t>
  </si>
  <si>
    <t>https://headstart.gov/policy/pi/acf-pi-hs-19-01</t>
  </si>
  <si>
    <t>FY 2019 Head Start Funding Increase</t>
  </si>
  <si>
    <t>https://headstart.gov/policy/pi/acf-pi-hs-18-06</t>
  </si>
  <si>
    <t>Supplemental Funds Available to Increase Program Hours in Head Start</t>
  </si>
  <si>
    <t>https://headstart.gov/policy/pi/acf-pi-hs-18-05</t>
  </si>
  <si>
    <t>Full Enrollment Initiative</t>
  </si>
  <si>
    <t>https://headstart.gov/policy/pi/acf-pi-hs-18-04</t>
  </si>
  <si>
    <t>FY 2018 Head Start Funding Increase</t>
  </si>
  <si>
    <t>https://headstart.gov/policy/pi/acf-pi-hs-18-03</t>
  </si>
  <si>
    <t>Hurricanes Harvey, Irma, and Maria Disaster Assistance Funds</t>
  </si>
  <si>
    <t>https://headstart.gov/policy/pi/acf-pi-hs-18-02</t>
  </si>
  <si>
    <t>Electronic Submission of Real Property Standard Form (SF)-429 and Attachments</t>
  </si>
  <si>
    <t>https://headstart.gov/policy/pi/acf-pi-hs-17-03</t>
  </si>
  <si>
    <t>FY 2017 Head Start Funding Increase</t>
  </si>
  <si>
    <t>https://headstart.gov/policy/pi/acf-pi-hs-17-02</t>
  </si>
  <si>
    <t>Application of the Uniform Administrative Requirements, Cost Principles, and Audit Requirements for HHS Awards to For-Profit Head Start Grantees</t>
  </si>
  <si>
    <t>https://headstart.gov/policy/pi/acf-pi-hs-17-01</t>
  </si>
  <si>
    <t>Head Start Program Performance Standards (HSPPS) Final Rule</t>
  </si>
  <si>
    <t>https://headstart.gov/policy/pi/acf-pi-hs-16-04</t>
  </si>
  <si>
    <t>Supplemental Funds Available to Extend Duration of Services in Head Start</t>
  </si>
  <si>
    <t>https://headstart.gov/policy/pi/acf-pi-hs-16-02</t>
  </si>
  <si>
    <t>Changes in Federal Reporting</t>
  </si>
  <si>
    <t>https://headstart.gov/policy/pi/acf-pi-hs-16-01</t>
  </si>
  <si>
    <t>Links to attachments do not work</t>
  </si>
  <si>
    <t>FY 2014 Head Start Funding Increase</t>
  </si>
  <si>
    <t>https://headstart.gov/policy/pi/acf-pi-hs-14-01</t>
  </si>
  <si>
    <t>Non-Federal Share Issues</t>
  </si>
  <si>
    <t>https://headstart.gov/policy/pi/acf-pi-hs-12-02</t>
  </si>
  <si>
    <t>FY 2012 Head Start Funding Increase</t>
  </si>
  <si>
    <t>https://headstart.gov/policy/pi/acf-pi-hs-12-01</t>
  </si>
  <si>
    <t>Enrollment and Re-enrollment of Migrant Children</t>
  </si>
  <si>
    <t>https://headstart.gov/policy/pi/acf-pi-hs-10-03</t>
  </si>
  <si>
    <t>Responses to Facility Questions Concerning Acquisition, Rent, and Major Renovations</t>
  </si>
  <si>
    <t>https://headstart.gov/policy/pi/acf-pi-hs-09-10</t>
  </si>
  <si>
    <t>Accrued Leave</t>
  </si>
  <si>
    <t>https://headstart.gov/policy/pi/acf-pi-hs-09-07</t>
  </si>
  <si>
    <t>Statutory Requirement regarding compensation of Head Start staff</t>
  </si>
  <si>
    <t>https://headstart.gov/policy/pi/acf-pi-hs-08-03</t>
  </si>
  <si>
    <t>Allowability of Parent Transportation as Non-Federal Share</t>
  </si>
  <si>
    <t>https://headstart.gov/policy/pi/acf-pi-hs-07-04</t>
  </si>
  <si>
    <t>Fund-Raising — Federal Policies</t>
  </si>
  <si>
    <t>https://headstart.gov/policy/pi/acyf-pi-hs-06-06</t>
  </si>
  <si>
    <t>Appropriate Use of Head Start State Collaboration Office Grant Funds</t>
  </si>
  <si>
    <t>https://headstart.gov/policy/pi/acyf-pi-hs-06-01</t>
  </si>
  <si>
    <t>Head Start Program Governance: Frequently Asked Questions (FAQs)</t>
  </si>
  <si>
    <t>https://headstart.gov/organizational-leadership/article/head-start-program-governance-frequently-asked-questions-faqs</t>
  </si>
  <si>
    <t>Frequently Asked Questions: Disabilities</t>
  </si>
  <si>
    <t>https://headstart.gov/children-disabilities/article/frequently-asked-questions-disabilities</t>
  </si>
  <si>
    <t>Transition to HeadStart.gov FAQs</t>
  </si>
  <si>
    <t>https://headstart.gov/about-us/article/transition-headstart-gov-faqs</t>
  </si>
  <si>
    <t>Head Start FAQs</t>
  </si>
  <si>
    <t>https://headstart.gov/about-us/article/head-start-faqs</t>
  </si>
  <si>
    <t>Background Checks FAQs</t>
  </si>
  <si>
    <t>https://headstart.gov/human-resources/article/background-checks-faqs</t>
  </si>
  <si>
    <t>Head Start FAQs on iLookOut for Child Abuse</t>
  </si>
  <si>
    <t>https://headstart.gov/safety-practices/article/head-start-faqs-ilookout-child-abuse</t>
  </si>
  <si>
    <t>SNAP as Public Assistance for Head Start Eligibility FAQs | HeadStart.gov</t>
  </si>
  <si>
    <t>https://headstart.gov/ersea/article/snap-public-assistance-head-start-eligibility-faqs</t>
  </si>
  <si>
    <t>Child Abuse and Neglect</t>
  </si>
  <si>
    <t>https://headstart.gov/safety-practices/article/child-abuse-neglect</t>
  </si>
  <si>
    <t>Program Information Report (PIR)</t>
  </si>
  <si>
    <t>https://headstart.gov/program-data/article/program-information-report-pir</t>
  </si>
  <si>
    <t>Embedded Learning Opportunities: FAQs</t>
  </si>
  <si>
    <t>https://headstart.gov/publication/embedded-learning-opportunities-faqs</t>
  </si>
  <si>
    <t>Housing Cost Adjustment Calculator FAQs</t>
  </si>
  <si>
    <t>https://headstart.gov/ersea/article/housing-cost-adjustment-calculator-faqs</t>
  </si>
  <si>
    <t>FAQs About the 10% Enrollment Requirement</t>
  </si>
  <si>
    <t>https://headstart.gov/publication/faqs-about-10-enrollment-requirement</t>
  </si>
  <si>
    <t>Questions and Responses Regarding the Designation Renewal System Changes</t>
  </si>
  <si>
    <t>MyPeers – Social Network for Early Childhood Professionals</t>
  </si>
  <si>
    <t>https://headstart.gov/about-us/article/mypeers-social-network-early-childhood-professionals</t>
  </si>
  <si>
    <t>Head Start Oral Health Forms</t>
  </si>
  <si>
    <t>https://headstart.gov/oral-health/article/head-start-oral-health-forms</t>
  </si>
  <si>
    <t>Housing Cost Adjustment Calculator</t>
  </si>
  <si>
    <t>https://headstart.gov/housing-cost-adjustment-calculator</t>
  </si>
  <si>
    <t>Maybe TA not sub-reg</t>
  </si>
  <si>
    <t>Calculating 10% Actual Enrollment for Disability Requirement</t>
  </si>
  <si>
    <t>https://headstart.gov/ersea/article/calculating-10-actual-enrollment-disability-requirement</t>
  </si>
  <si>
    <t>What Is Cash Flow and How Should We Manage It?</t>
  </si>
  <si>
    <t>https://headstart.gov/fiscal-management/article/what-cash-flow-how-should-we-manage-it</t>
  </si>
  <si>
    <t>Head Start Approach to School Readiness: FAQs</t>
  </si>
  <si>
    <t>https://headstart.gov/school-readiness/article/head-start-approach-school-readiness-faqs</t>
  </si>
  <si>
    <t>Migrant and Seasonal Head Start Eligibility</t>
  </si>
  <si>
    <t>https://headstart.gov/video/migrant-seasonal-head-start-eligibility</t>
  </si>
  <si>
    <t>FAQs About Serving Families Experiencing Homelessness</t>
  </si>
  <si>
    <t>https://headstart.gov/family-support-well-being/article/faqs-about-serving-families-experiencing-homelessness</t>
  </si>
  <si>
    <t>Administrative Cost Limitations</t>
  </si>
  <si>
    <t>https://headstart.gov/gestion-fiscal/articulo/administrative-cost-limitations</t>
  </si>
  <si>
    <t>Head Start FAQs | HeadStart.gov</t>
  </si>
  <si>
    <t>How to Apply | HeadStart.gov</t>
  </si>
  <si>
    <t>Head Start Monitoring Protocols</t>
  </si>
  <si>
    <t>Page count includes webinar slides</t>
  </si>
  <si>
    <t>Frequently Asked Questions for Families About Medicaid</t>
  </si>
  <si>
    <t>Program Information Report (PIR) FAQs | HeadStart.gov</t>
  </si>
  <si>
    <t>Protecting Children from Lead Paint</t>
  </si>
  <si>
    <t>Identifying Barriers to Enrollment: Transportation</t>
  </si>
  <si>
    <t>Making Enrollment and Engagement Accessible to Families</t>
  </si>
  <si>
    <t>Understanding Mental Health Consultation in Head Start Programs</t>
  </si>
  <si>
    <t>Steps to Take if There Is Lead in Your Drinking Water</t>
  </si>
  <si>
    <t>Detailed Summary of Updates to the Performance Standards</t>
  </si>
  <si>
    <t>Timeline for Compliance with Updated Performance Standard Requirements</t>
  </si>
  <si>
    <t>Family Income Guidelines: Military Income</t>
  </si>
  <si>
    <t>Poverty Guidelines and Determining Eligibility for Participation in Head Start Programs</t>
  </si>
  <si>
    <t>Head Start Eligibility Verification Form</t>
  </si>
  <si>
    <t>Identifying Oral Health Signs of Child Maltreatment</t>
  </si>
  <si>
    <t>Domestic Violence and Child Abuse Reporting</t>
  </si>
  <si>
    <t>Engaging Families When There Is Child Welfare Involvement</t>
  </si>
  <si>
    <t>Strategies for Partnering with Child Welfare Agencies</t>
  </si>
  <si>
    <t>Partnering with Child Welfare Agencies: An Overview</t>
  </si>
  <si>
    <t>Migrant and Seasonal Head Start Eligibility Duration for Infants and Toddlers</t>
  </si>
  <si>
    <t>Letter from the Director to MSHS Leaders</t>
  </si>
  <si>
    <t>Letter from the Director on the Changes to Eligibility Criteria for Regions XI and XII</t>
  </si>
  <si>
    <t>Letter from ACF's Principal Deputy Assistant Secretary to Tribal Leaders</t>
  </si>
  <si>
    <t>https://headstart.gov/archive/ersea/article/letter-acfs-principal-deputy-assistant-secretary-tribal-leaders</t>
  </si>
  <si>
    <t>Already Archived</t>
  </si>
  <si>
    <t>ERSEA Assessment Tool</t>
  </si>
  <si>
    <t>Extending and Aligning Redetermination Periods</t>
  </si>
  <si>
    <t>Frequently Asked Questions Related to the Poverty Guidelines and Poverty</t>
  </si>
  <si>
    <t>Head Start Program Governance Reference Book</t>
  </si>
  <si>
    <t>Governance, Leadership, and Oversight Capacity Screener and Certification</t>
  </si>
  <si>
    <t>Program Considerations Prior to Submitting a Disability Waiver Request</t>
  </si>
  <si>
    <t>2015</t>
  </si>
  <si>
    <t>Head Start Early Learning Outcomes Framework</t>
  </si>
  <si>
    <t>2018</t>
  </si>
  <si>
    <t>Parent, Family, and Community Engagement (PFCE) Framework</t>
  </si>
  <si>
    <t>2013</t>
  </si>
  <si>
    <t>Improving Teacher-Child Interactions: Using the CLASS in Head Start Preschool Programs</t>
  </si>
  <si>
    <t>Use of Classroom Assessment Scoring System (CLASS) in Head Start Programs</t>
  </si>
  <si>
    <t>CLASS Brief: Understanding and Using CLASS for Program Improvement</t>
  </si>
  <si>
    <t>Coordinated Enrollment Across Early Care and Education Settings</t>
  </si>
  <si>
    <t>Serving Families with Multiple Children in the Home-Based Option</t>
  </si>
  <si>
    <t>Using the ELOF to Inform Assessment</t>
  </si>
  <si>
    <t>Services for Children Who Do Not Qualify for IDEA</t>
  </si>
  <si>
    <t>2024</t>
  </si>
  <si>
    <t>Director Garvin Announces a Head Start Tribal Request for Information</t>
  </si>
  <si>
    <t>https://tmsc.createsend.com/campaigns/reports/viewCampaign.aspx?d=j&amp;c=3A108D6223F50AA6&amp;ID=7D83D02B7D7BF4272540EF23F30FEDED&amp;temp=False&amp;tx=0&amp;source=CampaignDrafts</t>
  </si>
  <si>
    <t>Found via https://headstart.gov/about-us/article/tribal-request-information-2024</t>
  </si>
  <si>
    <t>National Head Start Fellowship Program FAQs</t>
  </si>
  <si>
    <t>URL</t>
  </si>
  <si>
    <t>OHSEPR #</t>
  </si>
  <si>
    <t>FYSB #</t>
  </si>
  <si>
    <t>OFA #</t>
  </si>
  <si>
    <t>OHS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</si>
</sst>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409]d\-mmm\-yy;@"/>
    <numFmt numFmtId="165" formatCode="[$-409]dd\-mmm\-yy;@"/>
    <numFmt numFmtId="166" formatCode="mm\-dd"/>
    <numFmt numFmtId="167" formatCode="_(* #,##0_);_(* \(#,##0\);_(* &quot;-&quot;??_);_(@_)"/>
  </numFmts>
  <fonts count="20"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8"/>
      <color rgb="FF000000"/>
      <name val="Source Sans Pro"/>
      <family val="2"/>
    </font>
    <font>
      <sz val="11"/>
      <color rgb="FF000000"/>
      <name val="Aptos Narrow"/>
      <family val="2"/>
      <scheme val="minor"/>
    </font>
    <font>
      <sz val="11"/>
      <color rgb="FF000000"/>
      <name val="Source Sans Pro"/>
      <family val="2"/>
    </font>
    <font>
      <i/>
      <sz val="8"/>
      <color rgb="FF000000"/>
      <name val="Source Sans Pro"/>
      <family val="2"/>
    </font>
    <font>
      <sz val="8"/>
      <color rgb="FF323A45"/>
      <name val="Source Sans Pro"/>
      <family val="2"/>
    </font>
    <font>
      <sz val="12"/>
      <color rgb="FF000000"/>
      <name val="Source Sans Pro"/>
      <family val="2"/>
    </font>
    <font>
      <sz val="11"/>
      <color theme="10"/>
      <name val="Aptos Narrow"/>
      <family val="2"/>
      <scheme val="minor"/>
    </font>
    <font>
      <i/>
      <sz val="12"/>
      <color rgb="FF000000"/>
      <name val="Source Sans Pro"/>
      <family val="2"/>
    </font>
    <font>
      <sz val="11"/>
      <name val="Aptos Narrow"/>
      <family val="2"/>
      <scheme val="minor"/>
    </font>
    <font>
      <sz val="8"/>
      <color rgb="FF000000"/>
      <name val="Calibri"/>
      <family val="2"/>
    </font>
    <font>
      <sz val="11"/>
      <color theme="1"/>
      <name val="Aptos"/>
      <family val="2"/>
    </font>
    <font>
      <sz val="11"/>
      <color rgb="FF000000"/>
      <name val="Calibri"/>
      <family val="2"/>
    </font>
    <font>
      <sz val="10"/>
      <color rgb="FF555555"/>
      <name val="Arial"/>
      <family val="2"/>
    </font>
    <font>
      <sz val="8"/>
      <color rgb="FF555555"/>
      <name val="Arial"/>
      <family val="2"/>
    </font>
    <font>
      <sz val="9"/>
      <color rgb="FF555555"/>
      <name val="Arial"/>
      <family val="2"/>
    </font>
    <font>
      <sz val="10"/>
      <name val="Arial"/>
      <family val="2"/>
    </font>
  </fonts>
  <fills count="5">
    <fill>
      <patternFill patternType="none"/>
    </fill>
    <fill>
      <patternFill patternType="gray125"/>
    </fill>
    <fill>
      <patternFill patternType="solid">
        <fgColor theme="0" tint="-0.249977111117893"/>
        <bgColor indexed="64"/>
      </patternFill>
    </fill>
    <fill>
      <patternFill patternType="solid">
        <fgColor rgb="FFFFFFCC"/>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0" fontId="3" fillId="0" borderId="0" applyNumberFormat="0" applyFill="0" applyBorder="0" applyAlignment="0" applyProtection="0"/>
  </cellStyleXfs>
  <cellXfs count="63">
    <xf numFmtId="0" fontId="0" fillId="0" borderId="0" xfId="0"/>
    <xf numFmtId="0" fontId="0" fillId="2" borderId="1" xfId="0" applyFill="1" applyBorder="1"/>
    <xf numFmtId="0" fontId="0" fillId="3" borderId="1" xfId="0" applyFill="1" applyBorder="1"/>
    <xf numFmtId="0" fontId="0" fillId="0" borderId="1" xfId="0" applyBorder="1"/>
    <xf numFmtId="15" fontId="4" fillId="0" borderId="1" xfId="0" applyNumberFormat="1" applyFont="1" applyBorder="1" applyAlignment="1">
      <alignment vertical="center"/>
    </xf>
    <xf numFmtId="15" fontId="5" fillId="0" borderId="1" xfId="0" applyNumberFormat="1" applyFont="1" applyBorder="1" applyAlignment="1">
      <alignment vertical="center"/>
    </xf>
    <xf numFmtId="0" fontId="3" fillId="0" borderId="1" xfId="2" applyBorder="1" applyAlignment="1">
      <alignment vertical="center"/>
    </xf>
    <xf numFmtId="15" fontId="6" fillId="0" borderId="1" xfId="0" applyNumberFormat="1" applyFont="1" applyBorder="1" applyAlignment="1">
      <alignment vertical="center"/>
    </xf>
    <xf numFmtId="0" fontId="3" fillId="4" borderId="1" xfId="2" applyFill="1" applyBorder="1" applyAlignment="1">
      <alignment vertical="center"/>
    </xf>
    <xf numFmtId="0" fontId="6" fillId="0" borderId="1" xfId="0" applyFont="1" applyBorder="1" applyAlignment="1">
      <alignment vertical="center"/>
    </xf>
    <xf numFmtId="0" fontId="3" fillId="0" borderId="1" xfId="2" applyBorder="1" applyAlignment="1"/>
    <xf numFmtId="0" fontId="7" fillId="0" borderId="1" xfId="0" applyFont="1" applyBorder="1" applyAlignment="1">
      <alignment vertical="center"/>
    </xf>
    <xf numFmtId="0" fontId="0" fillId="4" borderId="1" xfId="0" applyFill="1" applyBorder="1"/>
    <xf numFmtId="15" fontId="6" fillId="4" borderId="1" xfId="0" applyNumberFormat="1" applyFont="1" applyFill="1" applyBorder="1" applyAlignment="1">
      <alignment vertical="center"/>
    </xf>
    <xf numFmtId="14" fontId="0" fillId="0" borderId="1" xfId="0" applyNumberFormat="1" applyBorder="1"/>
    <xf numFmtId="0" fontId="3" fillId="0" borderId="1" xfId="2" applyBorder="1" applyAlignment="1">
      <alignment horizontal="left" vertical="center" wrapText="1"/>
    </xf>
    <xf numFmtId="15" fontId="8" fillId="0" borderId="1" xfId="0" applyNumberFormat="1" applyFont="1" applyBorder="1"/>
    <xf numFmtId="0" fontId="3" fillId="0" borderId="1" xfId="2" applyBorder="1" applyAlignment="1">
      <alignment horizontal="left" vertical="center"/>
    </xf>
    <xf numFmtId="15" fontId="9" fillId="0" borderId="1" xfId="0" applyNumberFormat="1" applyFont="1" applyBorder="1" applyAlignment="1">
      <alignment vertical="center"/>
    </xf>
    <xf numFmtId="0" fontId="10" fillId="0" borderId="1" xfId="2" applyFont="1" applyBorder="1" applyAlignment="1">
      <alignment vertical="center"/>
    </xf>
    <xf numFmtId="0" fontId="11" fillId="0" borderId="1" xfId="0" applyFont="1" applyBorder="1" applyAlignment="1">
      <alignment vertical="center"/>
    </xf>
    <xf numFmtId="15" fontId="4" fillId="0" borderId="1" xfId="0" applyNumberFormat="1" applyFont="1" applyBorder="1" applyAlignment="1">
      <alignment horizontal="left" vertical="center"/>
    </xf>
    <xf numFmtId="0" fontId="7" fillId="0" borderId="1" xfId="0" applyFont="1" applyBorder="1" applyAlignment="1">
      <alignment horizontal="left" vertical="center"/>
    </xf>
    <xf numFmtId="15" fontId="9" fillId="0" borderId="1" xfId="0" applyNumberFormat="1" applyFont="1" applyBorder="1"/>
    <xf numFmtId="0" fontId="3" fillId="0" borderId="1" xfId="2" applyBorder="1"/>
    <xf numFmtId="15" fontId="9" fillId="0" borderId="1" xfId="0" applyNumberFormat="1" applyFont="1" applyBorder="1" applyAlignment="1">
      <alignment vertical="center" wrapText="1"/>
    </xf>
    <xf numFmtId="0" fontId="3" fillId="0" borderId="1" xfId="2" applyBorder="1" applyAlignment="1">
      <alignment vertical="center" wrapText="1"/>
    </xf>
    <xf numFmtId="0" fontId="4" fillId="0" borderId="1" xfId="0" applyFont="1" applyBorder="1" applyAlignment="1">
      <alignment vertical="center"/>
    </xf>
    <xf numFmtId="0" fontId="7" fillId="0" borderId="1" xfId="0" applyFont="1" applyBorder="1"/>
    <xf numFmtId="164" fontId="4" fillId="0" borderId="1" xfId="0" applyNumberFormat="1" applyFont="1" applyBorder="1" applyAlignment="1">
      <alignment vertical="center"/>
    </xf>
    <xf numFmtId="165" fontId="4" fillId="0" borderId="1" xfId="0" applyNumberFormat="1" applyFont="1" applyBorder="1" applyAlignment="1">
      <alignment vertical="center"/>
    </xf>
    <xf numFmtId="0" fontId="3" fillId="0" borderId="1" xfId="2" applyFill="1" applyBorder="1" applyAlignment="1">
      <alignment vertical="center"/>
    </xf>
    <xf numFmtId="15" fontId="0" fillId="0" borderId="1" xfId="0" applyNumberFormat="1" applyBorder="1"/>
    <xf numFmtId="0" fontId="12" fillId="0" borderId="1" xfId="2" applyFont="1" applyBorder="1" applyAlignment="1">
      <alignment horizontal="left" vertical="center"/>
    </xf>
    <xf numFmtId="0" fontId="6" fillId="4" borderId="1" xfId="0" applyFont="1" applyFill="1" applyBorder="1"/>
    <xf numFmtId="164" fontId="0" fillId="0" borderId="1" xfId="0" applyNumberFormat="1" applyBorder="1"/>
    <xf numFmtId="0" fontId="4" fillId="0" borderId="1" xfId="0" applyFont="1" applyBorder="1"/>
    <xf numFmtId="0" fontId="6" fillId="0" borderId="1" xfId="0" applyFont="1" applyBorder="1"/>
    <xf numFmtId="15" fontId="0" fillId="0" borderId="1" xfId="0" applyNumberFormat="1" applyBorder="1" applyAlignment="1">
      <alignment horizontal="left"/>
    </xf>
    <xf numFmtId="15" fontId="4" fillId="0" borderId="1" xfId="0" applyNumberFormat="1" applyFont="1" applyBorder="1"/>
    <xf numFmtId="0" fontId="6" fillId="0" borderId="1" xfId="0" applyFont="1" applyBorder="1" applyAlignment="1">
      <alignment horizontal="left" vertical="center"/>
    </xf>
    <xf numFmtId="14" fontId="4" fillId="0" borderId="1" xfId="0" applyNumberFormat="1" applyFont="1" applyBorder="1"/>
    <xf numFmtId="15" fontId="13" fillId="0" borderId="1" xfId="0" applyNumberFormat="1" applyFont="1" applyBorder="1"/>
    <xf numFmtId="0" fontId="9" fillId="0" borderId="1" xfId="0" applyFont="1" applyBorder="1" applyAlignment="1">
      <alignment vertical="center"/>
    </xf>
    <xf numFmtId="0" fontId="14" fillId="0" borderId="0" xfId="0" applyFont="1" applyAlignment="1">
      <alignment horizontal="left" vertical="center"/>
    </xf>
    <xf numFmtId="0" fontId="15" fillId="0" borderId="0" xfId="0" applyFont="1"/>
    <xf numFmtId="0" fontId="2" fillId="0" borderId="0" xfId="0" applyFont="1"/>
    <xf numFmtId="167" fontId="2" fillId="0" borderId="0" xfId="1" applyNumberFormat="1" applyFont="1"/>
    <xf numFmtId="0" fontId="0" fillId="0" borderId="2" xfId="0" applyBorder="1"/>
    <xf numFmtId="14" fontId="6" fillId="0" borderId="1" xfId="0" applyNumberFormat="1" applyFont="1" applyBorder="1"/>
    <xf numFmtId="49" fontId="3" fillId="0" borderId="1" xfId="2" applyNumberFormat="1" applyBorder="1" applyAlignment="1">
      <alignment horizontal="left" vertical="center"/>
    </xf>
    <xf numFmtId="166" fontId="3" fillId="0" borderId="1" xfId="2" applyNumberFormat="1" applyBorder="1" applyAlignment="1">
      <alignment horizontal="left" vertical="center"/>
    </xf>
    <xf numFmtId="166" fontId="6" fillId="0" borderId="1" xfId="0" applyNumberFormat="1" applyFont="1" applyBorder="1" applyAlignment="1">
      <alignment horizontal="left" vertical="center"/>
    </xf>
    <xf numFmtId="49" fontId="0" fillId="0" borderId="1" xfId="0" applyNumberFormat="1" applyBorder="1"/>
    <xf numFmtId="15" fontId="4" fillId="0" borderId="1" xfId="0" applyNumberFormat="1" applyFont="1" applyBorder="1" applyAlignment="1">
      <alignment vertical="center" wrapText="1"/>
    </xf>
    <xf numFmtId="164" fontId="15" fillId="0" borderId="1" xfId="0" applyNumberFormat="1" applyFont="1" applyBorder="1" applyAlignment="1">
      <alignment wrapText="1"/>
    </xf>
    <xf numFmtId="0" fontId="3" fillId="0" borderId="1" xfId="2" applyFill="1" applyBorder="1" applyAlignment="1"/>
    <xf numFmtId="15" fontId="16" fillId="0" borderId="1" xfId="0" applyNumberFormat="1" applyFont="1" applyBorder="1"/>
    <xf numFmtId="15" fontId="17" fillId="0" borderId="1" xfId="0" applyNumberFormat="1" applyFont="1" applyBorder="1"/>
    <xf numFmtId="15" fontId="18" fillId="0" borderId="1" xfId="0" applyNumberFormat="1" applyFont="1" applyBorder="1"/>
    <xf numFmtId="15" fontId="16" fillId="0" borderId="1" xfId="0" quotePrefix="1" applyNumberFormat="1" applyFont="1" applyBorder="1"/>
    <xf numFmtId="0" fontId="0" fillId="0" borderId="1" xfId="0" quotePrefix="1" applyBorder="1"/>
    <xf numFmtId="0" fontId="19" fillId="0" borderId="1" xfId="0" applyFont="1"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acf.gov/css/policy-guidance/childrens-bureau-ocse-joint-letter-updated-child-support-referral-policy" TargetMode="External"/><Relationship Id="rId170" Type="http://schemas.openxmlformats.org/officeDocument/2006/relationships/hyperlink" Target="https://acf.gov/cb/training-technical-assistance/afcars-21-questions-and-answers" TargetMode="External"/><Relationship Id="rId987" Type="http://schemas.openxmlformats.org/officeDocument/2006/relationships/hyperlink" Target="https://acf.gov/occ/faq/what-deadline-states-post-results-inspection-reports" TargetMode="External"/><Relationship Id="rId2668" Type="http://schemas.openxmlformats.org/officeDocument/2006/relationships/hyperlink" Target="https://acf.gov/orr/policy-guidance/state-letter-02-05" TargetMode="External"/><Relationship Id="rId2875" Type="http://schemas.openxmlformats.org/officeDocument/2006/relationships/hyperlink" Target="https://acf.gov/ofa/policy-guidance/tanf-acf-pi-2018-02-revises-and-supersedes-tanf-acf-pi-2005-03" TargetMode="External"/><Relationship Id="rId847" Type="http://schemas.openxmlformats.org/officeDocument/2006/relationships/hyperlink" Target="https://acf.gov/occ/resource/ccdf-acf-pi-2017-02" TargetMode="External"/><Relationship Id="rId1477" Type="http://schemas.openxmlformats.org/officeDocument/2006/relationships/hyperlink" Target="https://acf.gov/css/policy-guidance/streamlined-feasibility-study-child-support-system-modernization" TargetMode="External"/><Relationship Id="rId1684" Type="http://schemas.openxmlformats.org/officeDocument/2006/relationships/hyperlink" Target="https://acf.gov/css/policy-guidance/final-rule-grants-states-public-assistance-programs-and-ffp" TargetMode="External"/><Relationship Id="rId1891" Type="http://schemas.openxmlformats.org/officeDocument/2006/relationships/hyperlink" Target="https://acf.gov/css/policy-guidance/ocse-self-assessment-reporting-system" TargetMode="External"/><Relationship Id="rId2528" Type="http://schemas.openxmlformats.org/officeDocument/2006/relationships/hyperlink" Target="https://acf.gov/orr/policy-guidance/state-letter-10-04" TargetMode="External"/><Relationship Id="rId2735" Type="http://schemas.openxmlformats.org/officeDocument/2006/relationships/hyperlink" Target="https://acf.gov/sites/default/files/documents/orr/instructions_orr-2.pdf" TargetMode="External"/><Relationship Id="rId2942" Type="http://schemas.openxmlformats.org/officeDocument/2006/relationships/hyperlink" Target="https://headstart.gov/policy/pi/acf-pi-hs-22-01" TargetMode="External"/><Relationship Id="rId707" Type="http://schemas.openxmlformats.org/officeDocument/2006/relationships/hyperlink" Target="https://acf.gov/cb/policy-guidance/pi-83-03" TargetMode="External"/><Relationship Id="rId914" Type="http://schemas.openxmlformats.org/officeDocument/2006/relationships/hyperlink" Target="https://acf.gov/occ/faq/2024-ccdf-final-rule" TargetMode="External"/><Relationship Id="rId1337" Type="http://schemas.openxmlformats.org/officeDocument/2006/relationships/hyperlink" Target="https://acf.gov/ocs/resource/liheap-hhs-poverty-guidelines-for-optional-use-in-fy-2014-and-mandatory-use-in-fy-2015" TargetMode="External"/><Relationship Id="rId1544" Type="http://schemas.openxmlformats.org/officeDocument/2006/relationships/hyperlink" Target="https://acf.gov/css/policy-guidance/nprm-state-parent-locator-service-safeguarding-child-support-information" TargetMode="External"/><Relationship Id="rId1751" Type="http://schemas.openxmlformats.org/officeDocument/2006/relationships/hyperlink" Target="https://acf.gov/css/policy-guidance/final-rule-good-cause-refusing-cooperate" TargetMode="External"/><Relationship Id="rId2802" Type="http://schemas.openxmlformats.org/officeDocument/2006/relationships/hyperlink" Target="https://acf.gov/fysb/faq/types-app" TargetMode="External"/><Relationship Id="rId43" Type="http://schemas.openxmlformats.org/officeDocument/2006/relationships/hyperlink" Target="https://acf.gov/cb/policy-guidance/pi-24-04" TargetMode="External"/><Relationship Id="rId1404" Type="http://schemas.openxmlformats.org/officeDocument/2006/relationships/hyperlink" Target="https://acf.gov/ocs/policy-guidance/liheap-dcl-clearinghouse-report-outlining-recommendations-improving-program" TargetMode="External"/><Relationship Id="rId1611" Type="http://schemas.openxmlformats.org/officeDocument/2006/relationships/hyperlink" Target="https://acf.gov/css/policy-guidance/charge-backs-ocse-printing-and-processing-ocse-issued-pre-offset-notices" TargetMode="External"/><Relationship Id="rId497" Type="http://schemas.openxmlformats.org/officeDocument/2006/relationships/hyperlink" Target="https://acf.gov/cb/policy-guidance/pi-17-06" TargetMode="External"/><Relationship Id="rId2178" Type="http://schemas.openxmlformats.org/officeDocument/2006/relationships/hyperlink" Target="https://acf.gov/css/training-technical-assistance/irg-download-record-layout" TargetMode="External"/><Relationship Id="rId2385" Type="http://schemas.openxmlformats.org/officeDocument/2006/relationships/hyperlink" Target="https://acf.gov/orr/resource/fiscal-year-2020-refugee-school-impact-support-services-set-aside" TargetMode="External"/><Relationship Id="rId357" Type="http://schemas.openxmlformats.org/officeDocument/2006/relationships/hyperlink" Target="https://acf.gov/cb/policy-guidance/im-02-06" TargetMode="External"/><Relationship Id="rId1194" Type="http://schemas.openxmlformats.org/officeDocument/2006/relationships/hyperlink" Target="https://acf.gov/ocs/policy-guidance/liheap-dcl-2022-13-third/final-fy-2022-liheap-non-supplemental-funding-release" TargetMode="External"/><Relationship Id="rId2038" Type="http://schemas.openxmlformats.org/officeDocument/2006/relationships/hyperlink" Target="https://acf.gov/css/policy-guidance/techniques-effective-income-withholding-2001" TargetMode="External"/><Relationship Id="rId2592" Type="http://schemas.openxmlformats.org/officeDocument/2006/relationships/hyperlink" Target="https://acf.gov/orr/policy-guidance/state-letter-06-19" TargetMode="External"/><Relationship Id="rId217" Type="http://schemas.openxmlformats.org/officeDocument/2006/relationships/hyperlink" Target="https://acf.gov/cb/policy-guidance/im-19-04" TargetMode="External"/><Relationship Id="rId564" Type="http://schemas.openxmlformats.org/officeDocument/2006/relationships/hyperlink" Target="https://acf.gov/cb/policy-guidance/pi-09-07" TargetMode="External"/><Relationship Id="rId771" Type="http://schemas.openxmlformats.org/officeDocument/2006/relationships/hyperlink" Target="https://acf.gov/occ/resource/im-2017-02" TargetMode="External"/><Relationship Id="rId2245" Type="http://schemas.openxmlformats.org/officeDocument/2006/relationships/hyperlink" Target="https://acf.gov/ecd/policy-guidance/guidance-document-early-childhood-career-pathways" TargetMode="External"/><Relationship Id="rId2452" Type="http://schemas.openxmlformats.org/officeDocument/2006/relationships/hyperlink" Target="https://acf.gov/sites/default/files/documents/orr/ORR-PL-21-05-Continued-Assistance-for-ORR-Populations-through-September-30-2021.pdf" TargetMode="External"/><Relationship Id="rId424" Type="http://schemas.openxmlformats.org/officeDocument/2006/relationships/hyperlink" Target="https://acf.gov/cb/policy-guidance/im-91-15" TargetMode="External"/><Relationship Id="rId631" Type="http://schemas.openxmlformats.org/officeDocument/2006/relationships/hyperlink" Target="https://acf.gov/cb/policy-guidance/pi-00-01" TargetMode="External"/><Relationship Id="rId1054" Type="http://schemas.openxmlformats.org/officeDocument/2006/relationships/hyperlink" Target="https://acf.gov/occ/policy-guidance/using-acf-800-data-submission-site" TargetMode="External"/><Relationship Id="rId1261" Type="http://schemas.openxmlformats.org/officeDocument/2006/relationships/hyperlink" Target="https://acf.gov/ocs/resource/liheap-affordable-care-act-aca-outreach-and-enrollment" TargetMode="External"/><Relationship Id="rId2105" Type="http://schemas.openxmlformats.org/officeDocument/2006/relationships/hyperlink" Target="https://acf.gov/css/policy-guidance/ssa-requests-information-state-case-registries" TargetMode="External"/><Relationship Id="rId2312" Type="http://schemas.openxmlformats.org/officeDocument/2006/relationships/hyperlink" Target="https://acf.gov/sites/default/files/documents/orr/dcl-23-24-rss-federal-financial-report-sf-425-supplemental-data-collection.pdf" TargetMode="External"/><Relationship Id="rId1121" Type="http://schemas.openxmlformats.org/officeDocument/2006/relationships/hyperlink" Target="https://acf.gov/ocs/resource/liheap-action-transmittal-2014-2" TargetMode="External"/><Relationship Id="rId1938" Type="http://schemas.openxmlformats.org/officeDocument/2006/relationships/hyperlink" Target="https://acf.gov/css/policy-guidance/requests-information-fpls" TargetMode="External"/><Relationship Id="rId281" Type="http://schemas.openxmlformats.org/officeDocument/2006/relationships/hyperlink" Target="https://acf.gov/cb/policy-guidance/im-16-04" TargetMode="External"/><Relationship Id="rId3013" Type="http://schemas.openxmlformats.org/officeDocument/2006/relationships/hyperlink" Target="https://headstart.gov/ersea/article/migrant-seasonal-head-start-eligibility-duration-infants-toddlers" TargetMode="External"/><Relationship Id="rId141" Type="http://schemas.openxmlformats.org/officeDocument/2006/relationships/hyperlink" Target="https://acf.gov/cb/report/cfsr-round-3-statewide-data-indicators-workbook" TargetMode="External"/><Relationship Id="rId7" Type="http://schemas.openxmlformats.org/officeDocument/2006/relationships/hyperlink" Target="https://acf.gov/cb/report/tribal-lookup-table-fy2026" TargetMode="External"/><Relationship Id="rId2779" Type="http://schemas.openxmlformats.org/officeDocument/2006/relationships/hyperlink" Target="https://acf.gov/orr/policy-guidance/nondiscrimination-notice" TargetMode="External"/><Relationship Id="rId2986" Type="http://schemas.openxmlformats.org/officeDocument/2006/relationships/hyperlink" Target="https://headstart.gov/oral-health/article/head-start-oral-health-forms" TargetMode="External"/><Relationship Id="rId958" Type="http://schemas.openxmlformats.org/officeDocument/2006/relationships/hyperlink" Target="https://acf.gov/occ/faq/how-timely-payment-child-care-services-defined" TargetMode="External"/><Relationship Id="rId1588" Type="http://schemas.openxmlformats.org/officeDocument/2006/relationships/hyperlink" Target="https://acf.gov/css/policy-guidance/financial-distribution-test-deck-generator-child-support-distributions-under" TargetMode="External"/><Relationship Id="rId1795" Type="http://schemas.openxmlformats.org/officeDocument/2006/relationships/hyperlink" Target="https://acf.gov/css/policy-guidance/certification-statement-compliance-security-privacy-requirements-june28-2024" TargetMode="External"/><Relationship Id="rId2639" Type="http://schemas.openxmlformats.org/officeDocument/2006/relationships/hyperlink" Target="https://acf.gov/orr/policy-guidance/state-letter-04-15" TargetMode="External"/><Relationship Id="rId2846" Type="http://schemas.openxmlformats.org/officeDocument/2006/relationships/hyperlink" Target="https://acf.gov/ofa/faq/faq-fra-2023-tanf-work-outcomes-measures" TargetMode="External"/><Relationship Id="rId87" Type="http://schemas.openxmlformats.org/officeDocument/2006/relationships/hyperlink" Target="https://acf.gov/cb/policy-guidance/pi-23-05" TargetMode="External"/><Relationship Id="rId818" Type="http://schemas.openxmlformats.org/officeDocument/2006/relationships/hyperlink" Target="https://acf.gov/occ/policy-guidance/policy-guidance/financial-reporting-tribes-ccdf-acf-pi-2023-05" TargetMode="External"/><Relationship Id="rId1448" Type="http://schemas.openxmlformats.org/officeDocument/2006/relationships/hyperlink" Target="https://acf.gov/css/policy-guidance/submittal-sf-424-mandatory-form-fy-2026" TargetMode="External"/><Relationship Id="rId1655" Type="http://schemas.openxmlformats.org/officeDocument/2006/relationships/hyperlink" Target="https://acf.gov/css/policy-guidance/interstate-referral-guide-irg" TargetMode="External"/><Relationship Id="rId2706" Type="http://schemas.openxmlformats.org/officeDocument/2006/relationships/hyperlink" Target="https://acf.gov/archive/orr/policy-guidance/state-letter-01-17" TargetMode="External"/><Relationship Id="rId1308" Type="http://schemas.openxmlformats.org/officeDocument/2006/relationships/hyperlink" Target="https://acf.gov/ocs/policy-guidance/liheap-im-2022-04-state-median-income-estimates-optional-use-ffy-2022-and" TargetMode="External"/><Relationship Id="rId1862" Type="http://schemas.openxmlformats.org/officeDocument/2006/relationships/hyperlink" Target="https://acf.gov/css/policy-guidance/summary-information-software-releases-17-01-and-17-02" TargetMode="External"/><Relationship Id="rId2913" Type="http://schemas.openxmlformats.org/officeDocument/2006/relationships/hyperlink" Target="https://headstart.gov/policy/im/acf-im-hs-21-04" TargetMode="External"/><Relationship Id="rId1515" Type="http://schemas.openxmlformats.org/officeDocument/2006/relationships/hyperlink" Target="https://acf.gov/css/policy-guidance/turner-v-rogers-guidance" TargetMode="External"/><Relationship Id="rId1722" Type="http://schemas.openxmlformats.org/officeDocument/2006/relationships/hyperlink" Target="https://acf.gov/css/policy-guidance/final-rule-ffp-costs-cooperative-agreements-courts-and-law-enforcement" TargetMode="External"/><Relationship Id="rId14" Type="http://schemas.openxmlformats.org/officeDocument/2006/relationships/hyperlink" Target="https://acf.gov/cb/policy-guidance/im-25-03" TargetMode="External"/><Relationship Id="rId2289" Type="http://schemas.openxmlformats.org/officeDocument/2006/relationships/hyperlink" Target="https://acf.gov/sites/default/files/documents/orr/dcl-24-08-refugee-health-promotion-set-aside-fy24-funding.pdf" TargetMode="External"/><Relationship Id="rId2496" Type="http://schemas.openxmlformats.org/officeDocument/2006/relationships/hyperlink" Target="https://acf.gov/orr/resource/state-letter-14-05" TargetMode="External"/><Relationship Id="rId468" Type="http://schemas.openxmlformats.org/officeDocument/2006/relationships/hyperlink" Target="https://acf.gov/cb/policy-guidance/im-85-10" TargetMode="External"/><Relationship Id="rId675" Type="http://schemas.openxmlformats.org/officeDocument/2006/relationships/hyperlink" Target="https://acf.gov/cb/policy-guidance/pi-93-09" TargetMode="External"/><Relationship Id="rId882" Type="http://schemas.openxmlformats.org/officeDocument/2006/relationships/hyperlink" Target="https://acf.gov/occ/resource/pi-2010-05" TargetMode="External"/><Relationship Id="rId1098" Type="http://schemas.openxmlformats.org/officeDocument/2006/relationships/hyperlink" Target="https://acf.gov/ocs/resource/liheap-action-transmittal-2019-01-performance-data-form-for-fiscal-year-2018" TargetMode="External"/><Relationship Id="rId2149" Type="http://schemas.openxmlformats.org/officeDocument/2006/relationships/hyperlink" Target="https://acf.gov/css/faq/i-know-location-non-paying-parent" TargetMode="External"/><Relationship Id="rId2356" Type="http://schemas.openxmlformats.org/officeDocument/2006/relationships/hyperlink" Target="https://acf.gov/sites/default/files/documents/orr/ORR-DCL-22-03-RSS-ASA-FY2022-Q1-Allocations.pdf" TargetMode="External"/><Relationship Id="rId2563" Type="http://schemas.openxmlformats.org/officeDocument/2006/relationships/hyperlink" Target="https://acf.gov/orr/policy-guidance/state-letter-07-02" TargetMode="External"/><Relationship Id="rId2770" Type="http://schemas.openxmlformats.org/officeDocument/2006/relationships/hyperlink" Target="https://acf.gov/sites/default/files/documents/orr/A5-Authorization-for-Release-of-Records.pdf" TargetMode="External"/><Relationship Id="rId328" Type="http://schemas.openxmlformats.org/officeDocument/2006/relationships/hyperlink" Target="https://acf.gov/cb/policy-guidance/im-07-01" TargetMode="External"/><Relationship Id="rId535" Type="http://schemas.openxmlformats.org/officeDocument/2006/relationships/hyperlink" Target="https://acf.gov/cb/policy-guidance/pi-12-02" TargetMode="External"/><Relationship Id="rId742" Type="http://schemas.openxmlformats.org/officeDocument/2006/relationships/hyperlink" Target="https://acf.gov/cb/faq/adoption9" TargetMode="External"/><Relationship Id="rId1165" Type="http://schemas.openxmlformats.org/officeDocument/2006/relationships/hyperlink" Target="https://acf.gov/ocs/policy-guidance/training-and-technical-assistance-planning-t/ta-fy25" TargetMode="External"/><Relationship Id="rId1372" Type="http://schemas.openxmlformats.org/officeDocument/2006/relationships/hyperlink" Target="https://acf.gov/ocs/resource/availability-of-liheap-home-energy-notebook-for-fiscal-year-2008" TargetMode="External"/><Relationship Id="rId2009" Type="http://schemas.openxmlformats.org/officeDocument/2006/relationships/hyperlink" Target="https://acf.gov/css/policy-guidance/guidance-enterprise-architecture-state-automated-human-services-systems" TargetMode="External"/><Relationship Id="rId2216" Type="http://schemas.openxmlformats.org/officeDocument/2006/relationships/hyperlink" Target="https://acf.gov/ecd/policy-guidance/tribal-miechv-implementation-plan-guidance-and-form-1-1" TargetMode="External"/><Relationship Id="rId2423" Type="http://schemas.openxmlformats.org/officeDocument/2006/relationships/hyperlink" Target="https://acf.gov/sites/default/files/documents/orr/ACF-ORR-RPB-Policy-Letter-25-03-and-PRM-RA-01-REV-Quarterly-Consultation-Requirements.pdf" TargetMode="External"/><Relationship Id="rId2630" Type="http://schemas.openxmlformats.org/officeDocument/2006/relationships/hyperlink" Target="https://acf.gov/orr/policy-guidance/state-letter-04-06" TargetMode="External"/><Relationship Id="rId602" Type="http://schemas.openxmlformats.org/officeDocument/2006/relationships/hyperlink" Target="https://acf.gov/cb/policy-guidance/pi-04-05" TargetMode="External"/><Relationship Id="rId1025" Type="http://schemas.openxmlformats.org/officeDocument/2006/relationships/hyperlink" Target="https://acf.gov/occ/policy-guidance/program-instruction-ccdf-reauthorization-effective-dates" TargetMode="External"/><Relationship Id="rId1232" Type="http://schemas.openxmlformats.org/officeDocument/2006/relationships/hyperlink" Target="https://acf.gov/ocs/resource/im-2017-fy-2017-second-final-liheap-funding-release" TargetMode="External"/><Relationship Id="rId185" Type="http://schemas.openxmlformats.org/officeDocument/2006/relationships/hyperlink" Target="https://acf.gov/cb/policy-guidance/use-court-improvement-programs-assist-dependency-courts-response-covid-19" TargetMode="External"/><Relationship Id="rId1909" Type="http://schemas.openxmlformats.org/officeDocument/2006/relationships/hyperlink" Target="https://acf.gov/css/policy-guidance/state-verification-and-exchange-system-sves-garnishment-match" TargetMode="External"/><Relationship Id="rId392" Type="http://schemas.openxmlformats.org/officeDocument/2006/relationships/hyperlink" Target="https://acf.gov/cb/policy-guidance/im-97-05" TargetMode="External"/><Relationship Id="rId2073" Type="http://schemas.openxmlformats.org/officeDocument/2006/relationships/hyperlink" Target="https://acf.gov/css/policy-guidance/ffp-state-systems-related-tribal-iv-d-programs-cases-federal-tax-refund-offset" TargetMode="External"/><Relationship Id="rId2280" Type="http://schemas.openxmlformats.org/officeDocument/2006/relationships/hyperlink" Target="https://acf.gov/orr/policy/dear-colleague-letters/25-04" TargetMode="External"/><Relationship Id="rId252" Type="http://schemas.openxmlformats.org/officeDocument/2006/relationships/hyperlink" Target="https://acf.gov/cb/policy-guidance/im-18-04" TargetMode="External"/><Relationship Id="rId2140" Type="http://schemas.openxmlformats.org/officeDocument/2006/relationships/hyperlink" Target="https://acf.gov/css/faq/my-income-has-changed-can-my-order-be-revised" TargetMode="External"/><Relationship Id="rId112" Type="http://schemas.openxmlformats.org/officeDocument/2006/relationships/hyperlink" Target="https://acf.gov/cb/policy-guidance/im-22-02" TargetMode="External"/><Relationship Id="rId1699" Type="http://schemas.openxmlformats.org/officeDocument/2006/relationships/hyperlink" Target="https://acf.gov/css/policy-guidance/final-rule-us-army-family-support-child-custody-and-paternity" TargetMode="External"/><Relationship Id="rId2000" Type="http://schemas.openxmlformats.org/officeDocument/2006/relationships/hyperlink" Target="https://acf.gov/css/policy-guidance/medicaid-referrals-iv-d-agency" TargetMode="External"/><Relationship Id="rId2957" Type="http://schemas.openxmlformats.org/officeDocument/2006/relationships/hyperlink" Target="https://headstart.gov/policy/pi/acf-pi-hs-17-03" TargetMode="External"/><Relationship Id="rId929" Type="http://schemas.openxmlformats.org/officeDocument/2006/relationships/hyperlink" Target="https://acf.gov/occ/faq/how-will-new-law-help-working-low-income-parents-achieve-financial-stability" TargetMode="External"/><Relationship Id="rId1559" Type="http://schemas.openxmlformats.org/officeDocument/2006/relationships/hyperlink" Target="https://acf.gov/css/policy-guidance/clarification-time-deposit-accounts-related-financial-institution-data-matches" TargetMode="External"/><Relationship Id="rId1766" Type="http://schemas.openxmlformats.org/officeDocument/2006/relationships/hyperlink" Target="https://acf.gov/css/policy-guidance/2025-open-comment-period-hague-convention-forms-annual-burden" TargetMode="External"/><Relationship Id="rId1973" Type="http://schemas.openxmlformats.org/officeDocument/2006/relationships/hyperlink" Target="https://acf.gov/css/policy-guidance/united-kingdoms-withdrawal-european-union-procedures-us-states" TargetMode="External"/><Relationship Id="rId2817" Type="http://schemas.openxmlformats.org/officeDocument/2006/relationships/hyperlink" Target="https://acf.gov/ofa/policy-guidance/tribal-tanf-plan-guidance" TargetMode="External"/><Relationship Id="rId58" Type="http://schemas.openxmlformats.org/officeDocument/2006/relationships/hyperlink" Target="https://acf.gov/cb/faq/research-data-technology/reporting-systems/nytd/faq/section2" TargetMode="External"/><Relationship Id="rId1419" Type="http://schemas.openxmlformats.org/officeDocument/2006/relationships/hyperlink" Target="https://acf.gov/ocs/policy-guidance/liheap-dcl-budget-update-fy-2013" TargetMode="External"/><Relationship Id="rId1626" Type="http://schemas.openxmlformats.org/officeDocument/2006/relationships/hyperlink" Target="https://acf.gov/css/policy-guidance/review-and-adjustment-requirements-child-support-orders-final-rule-correction" TargetMode="External"/><Relationship Id="rId1833" Type="http://schemas.openxmlformats.org/officeDocument/2006/relationships/hyperlink" Target="https://acf.gov/css/policy-guidance/open-comment-period-ocse-157-annual-data-report-2021" TargetMode="External"/><Relationship Id="rId1900" Type="http://schemas.openxmlformats.org/officeDocument/2006/relationships/hyperlink" Target="https://acf.gov/css/policy-guidance/publication-how-use-electronic-information-establish-and-modify-child-support" TargetMode="External"/><Relationship Id="rId579" Type="http://schemas.openxmlformats.org/officeDocument/2006/relationships/hyperlink" Target="https://acf.gov/cb/policy-guidance/pi-07-09" TargetMode="External"/><Relationship Id="rId786" Type="http://schemas.openxmlformats.org/officeDocument/2006/relationships/hyperlink" Target="https://acf.gov/archive/occ/policy-guidance/fy-2011-tribal-application-plan-procedures-ccdf-grantees-0" TargetMode="External"/><Relationship Id="rId993" Type="http://schemas.openxmlformats.org/officeDocument/2006/relationships/hyperlink" Target="https://acf.gov/occ/faq/can-states-use-differential-monitoring-strategy" TargetMode="External"/><Relationship Id="rId2467" Type="http://schemas.openxmlformats.org/officeDocument/2006/relationships/hyperlink" Target="https://acf.gov/orr/resource/services-for-older-refugees-program" TargetMode="External"/><Relationship Id="rId2674" Type="http://schemas.openxmlformats.org/officeDocument/2006/relationships/hyperlink" Target="https://acf.gov/orr/policy-guidance/state-letter-02-12" TargetMode="External"/><Relationship Id="rId439" Type="http://schemas.openxmlformats.org/officeDocument/2006/relationships/hyperlink" Target="https://acf.gov/cb/policy-guidance/im-88-32" TargetMode="External"/><Relationship Id="rId646" Type="http://schemas.openxmlformats.org/officeDocument/2006/relationships/hyperlink" Target="https://acf.gov/cb/policy-guidance/pi-98-02" TargetMode="External"/><Relationship Id="rId1069" Type="http://schemas.openxmlformats.org/officeDocument/2006/relationships/hyperlink" Target="https://acf.gov/ocs/policy-guidance/liheap-2024-01-liheap-performance-data-form-fy23" TargetMode="External"/><Relationship Id="rId1276" Type="http://schemas.openxmlformats.org/officeDocument/2006/relationships/hyperlink" Target="https://acf.gov/ocs/resource/liheap-dear-colleague-state-grantees-needs-assessment-third-party" TargetMode="External"/><Relationship Id="rId1483" Type="http://schemas.openxmlformats.org/officeDocument/2006/relationships/hyperlink" Target="https://acf.gov/css/policy-guidance/final-rule-child-support-technical-corrections" TargetMode="External"/><Relationship Id="rId2327" Type="http://schemas.openxmlformats.org/officeDocument/2006/relationships/hyperlink" Target="https://acf.gov/orr/policy/dear-colleague-letters/23-08" TargetMode="External"/><Relationship Id="rId2881" Type="http://schemas.openxmlformats.org/officeDocument/2006/relationships/hyperlink" Target="https://acf.gov/ofa/policy-guidance/acf-ofa-pi-24-01" TargetMode="External"/><Relationship Id="rId506" Type="http://schemas.openxmlformats.org/officeDocument/2006/relationships/hyperlink" Target="https://acf.gov/cb/policy-guidance/pi-16-01" TargetMode="External"/><Relationship Id="rId853" Type="http://schemas.openxmlformats.org/officeDocument/2006/relationships/hyperlink" Target="https://acf.gov/archive/occ/policy-guidance/resource/pi-2015-07" TargetMode="External"/><Relationship Id="rId1136" Type="http://schemas.openxmlformats.org/officeDocument/2006/relationships/hyperlink" Target="https://acf.gov/ocs/resource/estimates-of-quarterly-obligations-for-the-fiscal-year-2013" TargetMode="External"/><Relationship Id="rId1690" Type="http://schemas.openxmlformats.org/officeDocument/2006/relationships/hyperlink" Target="https://acf.gov/css/policy-guidance/final-rule-allotments-child-and-spousal-support" TargetMode="External"/><Relationship Id="rId2534" Type="http://schemas.openxmlformats.org/officeDocument/2006/relationships/hyperlink" Target="https://acf.gov/orr/policy-guidance/state-letter-09-26" TargetMode="External"/><Relationship Id="rId2741" Type="http://schemas.openxmlformats.org/officeDocument/2006/relationships/hyperlink" Target="https://acf.gov/sites/default/files/documents/main/ACF-OGM-PPR-exp-date-2026---fillable-Rev.-Approved-2.21.2025.pdf" TargetMode="External"/><Relationship Id="rId713" Type="http://schemas.openxmlformats.org/officeDocument/2006/relationships/hyperlink" Target="https://acf.gov/cb/policy-guidance/pi-82-01" TargetMode="External"/><Relationship Id="rId920" Type="http://schemas.openxmlformats.org/officeDocument/2006/relationships/hyperlink" Target="https://acf.gov/occ/faq/will-occ-continually-update-these-documents-reflect-ongoing-progress-implementation" TargetMode="External"/><Relationship Id="rId1343" Type="http://schemas.openxmlformats.org/officeDocument/2006/relationships/hyperlink" Target="https://acf.gov/ocs/resource/state-level-recipiency-targeting-indexes-ffy-2008" TargetMode="External"/><Relationship Id="rId1550" Type="http://schemas.openxmlformats.org/officeDocument/2006/relationships/hyperlink" Target="https://acf.gov/css/policy-guidance/final-rule-federal-tax-refund-offset" TargetMode="External"/><Relationship Id="rId2601" Type="http://schemas.openxmlformats.org/officeDocument/2006/relationships/hyperlink" Target="https://acf.gov/orr/resource/state-letter-05-08" TargetMode="External"/><Relationship Id="rId1203" Type="http://schemas.openxmlformats.org/officeDocument/2006/relationships/hyperlink" Target="https://acf.gov/ocs/policy-guidance/liheapdcl-2021-07-40th-anniversary" TargetMode="External"/><Relationship Id="rId1410" Type="http://schemas.openxmlformats.org/officeDocument/2006/relationships/hyperlink" Target="https://acf.gov/ocs/policy-guidance/partnership-address-covid-19-spread" TargetMode="External"/><Relationship Id="rId296" Type="http://schemas.openxmlformats.org/officeDocument/2006/relationships/hyperlink" Target="https://acf.gov/cb/policy-guidance/im-14-02" TargetMode="External"/><Relationship Id="rId2184" Type="http://schemas.openxmlformats.org/officeDocument/2006/relationships/hyperlink" Target="https://acf.gov/css/training-technical-assistance/apd-101/201-presentation" TargetMode="External"/><Relationship Id="rId2391" Type="http://schemas.openxmlformats.org/officeDocument/2006/relationships/hyperlink" Target="https://acf.gov/orr/resource/state-arrival-and-service-data-collection-process-for-fiscal-year-2018" TargetMode="External"/><Relationship Id="rId3028" Type="http://schemas.openxmlformats.org/officeDocument/2006/relationships/hyperlink" Target="https://headstart.gov/federal-monitoring/article/fiscal-year-fy-2026-head-start-monitoring-protocols" TargetMode="External"/><Relationship Id="rId156" Type="http://schemas.openxmlformats.org/officeDocument/2006/relationships/hyperlink" Target="https://acf.gov/cb/training-technical-assistance/technical-bulletin-21-xml-file" TargetMode="External"/><Relationship Id="rId363" Type="http://schemas.openxmlformats.org/officeDocument/2006/relationships/hyperlink" Target="https://acf.gov/cb/policy-guidance/im-01-11" TargetMode="External"/><Relationship Id="rId570" Type="http://schemas.openxmlformats.org/officeDocument/2006/relationships/hyperlink" Target="https://acf.gov/cb/policy-guidance/pi-09-01" TargetMode="External"/><Relationship Id="rId2044" Type="http://schemas.openxmlformats.org/officeDocument/2006/relationships/hyperlink" Target="https://acf.gov/css/policy-guidance/financial-support-children-benefits-paid-veterans-affairs" TargetMode="External"/><Relationship Id="rId2251" Type="http://schemas.openxmlformats.org/officeDocument/2006/relationships/hyperlink" Target="https://acf.gov/ecd/policy-guidance/strong-start-americas-children-2013-house-bill" TargetMode="External"/><Relationship Id="rId223" Type="http://schemas.openxmlformats.org/officeDocument/2006/relationships/hyperlink" Target="https://acf.gov/cb/faq/can15" TargetMode="External"/><Relationship Id="rId430" Type="http://schemas.openxmlformats.org/officeDocument/2006/relationships/hyperlink" Target="https://acf.gov/cb/policy-guidance/im-90-17" TargetMode="External"/><Relationship Id="rId1060" Type="http://schemas.openxmlformats.org/officeDocument/2006/relationships/hyperlink" Target="https://acf.gov/occ/policy-guidance/tribal-ccdf-guide-financial-management-grants-administration-and-program" TargetMode="External"/><Relationship Id="rId2111" Type="http://schemas.openxmlformats.org/officeDocument/2006/relationships/hyperlink" Target="https://acf.gov/css/policy-guidance/policy-supporting-two-parent-families/compromise-arrearages" TargetMode="External"/><Relationship Id="rId1877" Type="http://schemas.openxmlformats.org/officeDocument/2006/relationships/hyperlink" Target="https://acf.gov/css/policy-guidance/paying-child-support-paper-check" TargetMode="External"/><Relationship Id="rId2928" Type="http://schemas.openxmlformats.org/officeDocument/2006/relationships/hyperlink" Target="https://headstart.gov/policy/im/acf-im-hs-14-04" TargetMode="External"/><Relationship Id="rId1737" Type="http://schemas.openxmlformats.org/officeDocument/2006/relationships/hyperlink" Target="https://acf.gov/css/policy-guidance/final-rule-time-limits-states-file-claims-ffp" TargetMode="External"/><Relationship Id="rId1944" Type="http://schemas.openxmlformats.org/officeDocument/2006/relationships/hyperlink" Target="https://acf.gov/css/policy-guidance/additional-prosecutions-federal-criminal-nonsupport-cases" TargetMode="External"/><Relationship Id="rId29" Type="http://schemas.openxmlformats.org/officeDocument/2006/relationships/hyperlink" Target="https://acf.gov/cb/faq/research-data-technology/sampling/nytd/faq/section6" TargetMode="External"/><Relationship Id="rId1804" Type="http://schemas.openxmlformats.org/officeDocument/2006/relationships/hyperlink" Target="https://acf.gov/css/policy-guidance/recommendations-personal-computers-tribes-using-mts" TargetMode="External"/><Relationship Id="rId897" Type="http://schemas.openxmlformats.org/officeDocument/2006/relationships/hyperlink" Target="https://acf.gov/occ/policy-guidance/ccdf-acf-pi-2007-08" TargetMode="External"/><Relationship Id="rId2578" Type="http://schemas.openxmlformats.org/officeDocument/2006/relationships/hyperlink" Target="https://acf.gov/orr/policy-guidance/state-letter-06-01" TargetMode="External"/><Relationship Id="rId2785" Type="http://schemas.openxmlformats.org/officeDocument/2006/relationships/hyperlink" Target="https://acf.gov/sites/default/files/documents/ofvps/Grant%20Recipient%20Name%20Change%20FAQ-FVPSA_OGM%20March%202023.pdf" TargetMode="External"/><Relationship Id="rId2992" Type="http://schemas.openxmlformats.org/officeDocument/2006/relationships/hyperlink" Target="https://headstart.gov/family-support-well-being/article/faqs-about-serving-families-experiencing-homelessness" TargetMode="External"/><Relationship Id="rId757" Type="http://schemas.openxmlformats.org/officeDocument/2006/relationships/hyperlink" Target="https://acf.gov/occ/policy-guidance/using-ccdf-promote-mental-health-well-being-acf-occ-ccdf-im-24-01" TargetMode="External"/><Relationship Id="rId964" Type="http://schemas.openxmlformats.org/officeDocument/2006/relationships/hyperlink" Target="https://acf.gov/occ/faq/will-states-6-month-eligibility-re-determination-period-have-change-12-months" TargetMode="External"/><Relationship Id="rId1387" Type="http://schemas.openxmlformats.org/officeDocument/2006/relationships/hyperlink" Target="https://acf.gov/ocs/resource/disregard-of-monetary-allowances-for-certain-children-of-vietnam-war" TargetMode="External"/><Relationship Id="rId1594" Type="http://schemas.openxmlformats.org/officeDocument/2006/relationships/hyperlink" Target="https://acf.gov/css/policy-guidance/financial-institution-data-match-requirements-under-prwora" TargetMode="External"/><Relationship Id="rId2438" Type="http://schemas.openxmlformats.org/officeDocument/2006/relationships/hyperlink" Target="https://acf.gov/sites/default/files/documents/orr/ORR-PL-22-12-ARSI-Support-to-Schools-Initiative.pdf" TargetMode="External"/><Relationship Id="rId2645" Type="http://schemas.openxmlformats.org/officeDocument/2006/relationships/hyperlink" Target="https://acf.gov/orr/policy-guidance/state-letter-03-01" TargetMode="External"/><Relationship Id="rId2852" Type="http://schemas.openxmlformats.org/officeDocument/2006/relationships/hyperlink" Target="https://acf.gov/ofa/policy-guidance/tanf-acf-pi-2009-10-omb-approved-form-acf-196-state-tanf-financial-report-form" TargetMode="External"/><Relationship Id="rId93" Type="http://schemas.openxmlformats.org/officeDocument/2006/relationships/hyperlink" Target="https://acf.gov/cb/policy-guidance/pi-23-02" TargetMode="External"/><Relationship Id="rId617" Type="http://schemas.openxmlformats.org/officeDocument/2006/relationships/hyperlink" Target="https://acf.gov/cb/policy-guidance/pi-02-06" TargetMode="External"/><Relationship Id="rId824" Type="http://schemas.openxmlformats.org/officeDocument/2006/relationships/hyperlink" Target="https://acf.gov/occ/policy-guidance/ccdf-acf-pi-2022-07" TargetMode="External"/><Relationship Id="rId1247" Type="http://schemas.openxmlformats.org/officeDocument/2006/relationships/hyperlink" Target="https://acf.gov/ocs/resource/liheap-dear-colleague-letter-with-the-amount-of-fy-2015-reallotment-funding-awarded-in-fy-2016" TargetMode="External"/><Relationship Id="rId1454" Type="http://schemas.openxmlformats.org/officeDocument/2006/relationships/hyperlink" Target="https://acf.gov/css/policy-guidance/nprm-employment-training-services-ncp-cs-program-comments-july30" TargetMode="External"/><Relationship Id="rId1661" Type="http://schemas.openxmlformats.org/officeDocument/2006/relationships/hyperlink" Target="https://acf.gov/css/policy-guidance/nprm-cooperation-pursue-third-party-health-coverage" TargetMode="External"/><Relationship Id="rId2505" Type="http://schemas.openxmlformats.org/officeDocument/2006/relationships/hyperlink" Target="https://acf.gov/orr/policy-guidance/state-letter-13-04" TargetMode="External"/><Relationship Id="rId2712" Type="http://schemas.openxmlformats.org/officeDocument/2006/relationships/hyperlink" Target="https://acf.gov/archive/orr/policy-guidance/state-letter-01-26" TargetMode="External"/><Relationship Id="rId1107" Type="http://schemas.openxmlformats.org/officeDocument/2006/relationships/hyperlink" Target="https://acf.gov/ocs/resource/liheap-fy-2016-carryover-and-reallotment-report" TargetMode="External"/><Relationship Id="rId1314" Type="http://schemas.openxmlformats.org/officeDocument/2006/relationships/hyperlink" Target="https://acf.gov/ocs/policy-guidance/liheap-im-2021-03-state-median-income-estimates-optional-use-fy-2021" TargetMode="External"/><Relationship Id="rId1521" Type="http://schemas.openxmlformats.org/officeDocument/2006/relationships/hyperlink" Target="https://acf.gov/css/policy-guidance/final-rule-state-systems-advance-planning-document-process" TargetMode="External"/><Relationship Id="rId20" Type="http://schemas.openxmlformats.org/officeDocument/2006/relationships/hyperlink" Target="https://acf.gov/cb/policy-guidance/dear-colleague-letter-adhering-epsdt-requirements" TargetMode="External"/><Relationship Id="rId2088" Type="http://schemas.openxmlformats.org/officeDocument/2006/relationships/hyperlink" Target="https://acf.gov/css/policy-guidance/electronic-disbursement-child-support-payments" TargetMode="External"/><Relationship Id="rId2295" Type="http://schemas.openxmlformats.org/officeDocument/2006/relationships/hyperlink" Target="https://acf.gov/sites/default/files/documents/orr/dcl-24-02-refugee-technical-assistance-project-grantee-announcement.pdf" TargetMode="External"/><Relationship Id="rId267" Type="http://schemas.openxmlformats.org/officeDocument/2006/relationships/hyperlink" Target="https://acf.gov/cb/policy-guidance/80-04" TargetMode="External"/><Relationship Id="rId474" Type="http://schemas.openxmlformats.org/officeDocument/2006/relationships/hyperlink" Target="https://acf.gov/cb/policy-guidance/im-84-22" TargetMode="External"/><Relationship Id="rId2155" Type="http://schemas.openxmlformats.org/officeDocument/2006/relationships/hyperlink" Target="https://acf.gov/css/faq/income-withholding-and-medical-support-social-security-beneficiaries-answers-states" TargetMode="External"/><Relationship Id="rId127" Type="http://schemas.openxmlformats.org/officeDocument/2006/relationships/hyperlink" Target="https://acf.gov/cb/faq/grandparent-rights1" TargetMode="External"/><Relationship Id="rId681" Type="http://schemas.openxmlformats.org/officeDocument/2006/relationships/hyperlink" Target="https://acf.gov/cb/policy-guidance/pi-92-06" TargetMode="External"/><Relationship Id="rId2362" Type="http://schemas.openxmlformats.org/officeDocument/2006/relationships/hyperlink" Target="https://acf.gov/sites/default/files/documents/orr/ORR-DCL-21-15-SQ-SI-Parole-8.3.2021.pdf" TargetMode="External"/><Relationship Id="rId334" Type="http://schemas.openxmlformats.org/officeDocument/2006/relationships/hyperlink" Target="https://acf.gov/cb/policy-guidance/im-05-09" TargetMode="External"/><Relationship Id="rId541" Type="http://schemas.openxmlformats.org/officeDocument/2006/relationships/hyperlink" Target="https://acf.gov/cb/policy-guidance/pi-11-05" TargetMode="External"/><Relationship Id="rId1171" Type="http://schemas.openxmlformats.org/officeDocument/2006/relationships/hyperlink" Target="https://acf.gov/ocs/policy-guidance/liheap-dcl-2023-05-third-supplemental-block-grant-funding-release-fy-2023" TargetMode="External"/><Relationship Id="rId2015" Type="http://schemas.openxmlformats.org/officeDocument/2006/relationships/hyperlink" Target="https://acf.gov/css/policy-guidance/referrals-location-applications-and-electronic-interface-between-child-welfare" TargetMode="External"/><Relationship Id="rId2222" Type="http://schemas.openxmlformats.org/officeDocument/2006/relationships/hyperlink" Target="https://acf.gov/ecd/policy-guidance/tribal-miechv-implementation-plan-guidance-and-form-1-0" TargetMode="External"/><Relationship Id="rId401" Type="http://schemas.openxmlformats.org/officeDocument/2006/relationships/hyperlink" Target="https://acf.gov/cb/policy-guidance/im-96-02" TargetMode="External"/><Relationship Id="rId1031" Type="http://schemas.openxmlformats.org/officeDocument/2006/relationships/hyperlink" Target="https://acf.gov/occ/policy-guidance/ccdf-acf-pi-2022-05" TargetMode="External"/><Relationship Id="rId1988" Type="http://schemas.openxmlformats.org/officeDocument/2006/relationships/hyperlink" Target="https://acf.gov/css/policy-guidance/minimum-requirement-ocse-debtor-file-submittals" TargetMode="External"/><Relationship Id="rId1848" Type="http://schemas.openxmlformats.org/officeDocument/2006/relationships/hyperlink" Target="https://acf.gov/css/policy-guidance/submittal-ocse-157-fy-2020" TargetMode="External"/><Relationship Id="rId191" Type="http://schemas.openxmlformats.org/officeDocument/2006/relationships/hyperlink" Target="https://acf.gov/cb/policy-guidance/updates-formula-grant-opportunities-related-covid-19-pandemic" TargetMode="External"/><Relationship Id="rId1708" Type="http://schemas.openxmlformats.org/officeDocument/2006/relationships/hyperlink" Target="https://acf.gov/css/policy-guidance/nprm-automatic-data-processing-equipment-and-services-conditions-ffp" TargetMode="External"/><Relationship Id="rId1915" Type="http://schemas.openxmlformats.org/officeDocument/2006/relationships/hyperlink" Target="https://acf.gov/css/policy-guidance/standardization-iv-d-case-identifiers" TargetMode="External"/><Relationship Id="rId2689" Type="http://schemas.openxmlformats.org/officeDocument/2006/relationships/hyperlink" Target="https://acf.gov/orr/policy-guidance/state-letter-02-30" TargetMode="External"/><Relationship Id="rId2896" Type="http://schemas.openxmlformats.org/officeDocument/2006/relationships/hyperlink" Target="https://headstart.gov/policy/im/acf-ohs-im-25-05" TargetMode="External"/><Relationship Id="rId868" Type="http://schemas.openxmlformats.org/officeDocument/2006/relationships/hyperlink" Target="https://acf.gov/occ/resource/acf-800-child-care-annual-aggregate-report-and-instructions" TargetMode="External"/><Relationship Id="rId1498" Type="http://schemas.openxmlformats.org/officeDocument/2006/relationships/hyperlink" Target="https://acf.gov/css/policy-guidance/base-year-level-spending-reminder" TargetMode="External"/><Relationship Id="rId2549" Type="http://schemas.openxmlformats.org/officeDocument/2006/relationships/hyperlink" Target="https://acf.gov/orr/policy-guidance/state-letter-09-03" TargetMode="External"/><Relationship Id="rId2756" Type="http://schemas.openxmlformats.org/officeDocument/2006/relationships/hyperlink" Target="https://acf.gov/sites/default/files/documents/orr/fg-24-sponsor-services-role-guidance-for-selected-grantees.pdf" TargetMode="External"/><Relationship Id="rId2963" Type="http://schemas.openxmlformats.org/officeDocument/2006/relationships/hyperlink" Target="https://headstart.gov/policy/pi/acf-pi-hs-14-01" TargetMode="External"/><Relationship Id="rId728" Type="http://schemas.openxmlformats.org/officeDocument/2006/relationships/hyperlink" Target="https://acf.gov/cb/faq/can7" TargetMode="External"/><Relationship Id="rId935" Type="http://schemas.openxmlformats.org/officeDocument/2006/relationships/hyperlink" Target="https://acf.gov/occ/faq/does-law-still-allow-states-exempt-certain-providers-licensing-requirements" TargetMode="External"/><Relationship Id="rId1358" Type="http://schemas.openxmlformats.org/officeDocument/2006/relationships/hyperlink" Target="https://acf.gov/ocs/resource/cdc-tips-how-to-prevent-heat-related-illness" TargetMode="External"/><Relationship Id="rId1565" Type="http://schemas.openxmlformats.org/officeDocument/2006/relationships/hyperlink" Target="https://acf.gov/css/policy-guidance/nprm-and-interim-final-rule-tribal-child-support-enforcement-programs" TargetMode="External"/><Relationship Id="rId1772" Type="http://schemas.openxmlformats.org/officeDocument/2006/relationships/hyperlink" Target="https://acf.gov/css/policy-guidance/fy-2024-preliminary-data-report-and-tables" TargetMode="External"/><Relationship Id="rId2409" Type="http://schemas.openxmlformats.org/officeDocument/2006/relationships/hyperlink" Target="https://acf.gov/orr/resource/data-submission-procedures-for-fy-2017-social-services-and-targeted-assistance-grant-formula-allocations" TargetMode="External"/><Relationship Id="rId2616" Type="http://schemas.openxmlformats.org/officeDocument/2006/relationships/hyperlink" Target="https://acf.gov/orr/policy-guidance/state-letter-05-24" TargetMode="External"/><Relationship Id="rId64" Type="http://schemas.openxmlformats.org/officeDocument/2006/relationships/hyperlink" Target="https://acf.gov/cb/faq/nofo-interventions-evidence-based" TargetMode="External"/><Relationship Id="rId1218" Type="http://schemas.openxmlformats.org/officeDocument/2006/relationships/hyperlink" Target="https://acf.gov/ocs/resource/fy-2019-compliance-review-monitoring-schedule" TargetMode="External"/><Relationship Id="rId1425" Type="http://schemas.openxmlformats.org/officeDocument/2006/relationships/hyperlink" Target="https://acf.gov/ocs/policy-guidance/liheap-dcl-affordable-care-act" TargetMode="External"/><Relationship Id="rId2823" Type="http://schemas.openxmlformats.org/officeDocument/2006/relationships/hyperlink" Target="https://acf.gov/ofa/policy-guidance/job-driven-training" TargetMode="External"/><Relationship Id="rId1632" Type="http://schemas.openxmlformats.org/officeDocument/2006/relationships/hyperlink" Target="https://acf.gov/css/policy-guidance/guidance-states-child-support-enforcement-network-csenet-contract-award" TargetMode="External"/><Relationship Id="rId2199" Type="http://schemas.openxmlformats.org/officeDocument/2006/relationships/hyperlink" Target="https://acf.gov/css/training-technical-assistance/ivv-assessment-options" TargetMode="External"/><Relationship Id="rId378" Type="http://schemas.openxmlformats.org/officeDocument/2006/relationships/hyperlink" Target="https://acf.gov/cb/policy-guidance/im-00-02" TargetMode="External"/><Relationship Id="rId585" Type="http://schemas.openxmlformats.org/officeDocument/2006/relationships/hyperlink" Target="https://acf.gov/cb/policy-guidance/pi-07-05" TargetMode="External"/><Relationship Id="rId792" Type="http://schemas.openxmlformats.org/officeDocument/2006/relationships/hyperlink" Target="https://acf.gov/occ/resource/im-cc-03-01" TargetMode="External"/><Relationship Id="rId2059" Type="http://schemas.openxmlformats.org/officeDocument/2006/relationships/hyperlink" Target="https://acf.gov/css/policy-guidance/translation-outgoing-international-cases" TargetMode="External"/><Relationship Id="rId2266" Type="http://schemas.openxmlformats.org/officeDocument/2006/relationships/hyperlink" Target="https://acf.gov/cb/training-technical-assistance/social-media-engage-nytd-survey" TargetMode="External"/><Relationship Id="rId2473" Type="http://schemas.openxmlformats.org/officeDocument/2006/relationships/hyperlink" Target="https://acf.gov/orr/resource/orr-populations-displaced-or-affected-by-hurricanes-harvey-and-irma" TargetMode="External"/><Relationship Id="rId2680" Type="http://schemas.openxmlformats.org/officeDocument/2006/relationships/hyperlink" Target="https://acf.gov/orr/policy-guidance/state-letter-02-18" TargetMode="External"/><Relationship Id="rId238" Type="http://schemas.openxmlformats.org/officeDocument/2006/relationships/hyperlink" Target="https://acf.gov/cb/policy-guidance/pi-19-02" TargetMode="External"/><Relationship Id="rId445" Type="http://schemas.openxmlformats.org/officeDocument/2006/relationships/hyperlink" Target="https://acf.gov/cb/policy-guidance/im-88-12" TargetMode="External"/><Relationship Id="rId652" Type="http://schemas.openxmlformats.org/officeDocument/2006/relationships/hyperlink" Target="https://acf.gov/cb/policy-guidance/pi-97-01" TargetMode="External"/><Relationship Id="rId1075" Type="http://schemas.openxmlformats.org/officeDocument/2006/relationships/hyperlink" Target="https://acf.gov/ocs/policy-guidance/liheap-2023-01-liheap-household-report-short-form-and-long-form-ffy-2022" TargetMode="External"/><Relationship Id="rId1282" Type="http://schemas.openxmlformats.org/officeDocument/2006/relationships/hyperlink" Target="https://acf.gov/ocs/resource/liheap-federal-regulations-at-45-cfr-9649-tribes" TargetMode="External"/><Relationship Id="rId2126" Type="http://schemas.openxmlformats.org/officeDocument/2006/relationships/hyperlink" Target="https://acf.gov/css/faq/will-i-have-extra-costs-if-my-agency-has-work-my-case-another-state-or-jurisdiction" TargetMode="External"/><Relationship Id="rId2333" Type="http://schemas.openxmlformats.org/officeDocument/2006/relationships/hyperlink" Target="https://acf.gov/sites/default/files/documents/orr/DCL-23-02-Services-to-Older-Refugees-Set-Aside-FY2023-Funding.pdf" TargetMode="External"/><Relationship Id="rId2540" Type="http://schemas.openxmlformats.org/officeDocument/2006/relationships/hyperlink" Target="https://acf.gov/orr/policy-guidance/state-letter-09-18" TargetMode="External"/><Relationship Id="rId305" Type="http://schemas.openxmlformats.org/officeDocument/2006/relationships/hyperlink" Target="https://acf.gov/cb/policy-guidance/im-12-03" TargetMode="External"/><Relationship Id="rId512" Type="http://schemas.openxmlformats.org/officeDocument/2006/relationships/hyperlink" Target="https://acf.gov/cb/policy-guidance/pi-15-06" TargetMode="External"/><Relationship Id="rId1142" Type="http://schemas.openxmlformats.org/officeDocument/2006/relationships/hyperlink" Target="https://acf.gov/ocs/resource/estimates-of-quarterly-obligations-for-the-fiscal-year-fy-2012-low-income" TargetMode="External"/><Relationship Id="rId2400" Type="http://schemas.openxmlformats.org/officeDocument/2006/relationships/hyperlink" Target="https://acf.gov/orr/resource/fiscal-year-2018-refugee-school-impact-social-services-set-aside" TargetMode="External"/><Relationship Id="rId1002" Type="http://schemas.openxmlformats.org/officeDocument/2006/relationships/hyperlink" Target="https://acf.gov/occ/policy-guidance/letter-ccdf-administrators-about-legislation-guide" TargetMode="External"/><Relationship Id="rId1959" Type="http://schemas.openxmlformats.org/officeDocument/2006/relationships/hyperlink" Target="https://acf.gov/css/policy-guidance/section-1115-waivers-update" TargetMode="External"/><Relationship Id="rId1819" Type="http://schemas.openxmlformats.org/officeDocument/2006/relationships/hyperlink" Target="https://acf.gov/css/policy-guidance/submittal-ocse-75-fy-2022" TargetMode="External"/><Relationship Id="rId2190" Type="http://schemas.openxmlformats.org/officeDocument/2006/relationships/hyperlink" Target="https://acf.gov/css/training-technical-assistance/personal-computer-hardware-specifications" TargetMode="External"/><Relationship Id="rId3034" Type="http://schemas.openxmlformats.org/officeDocument/2006/relationships/hyperlink" Target="https://headstart.gov/about-us/article/national-head-start-fellowship-program-faqs" TargetMode="External"/><Relationship Id="rId162" Type="http://schemas.openxmlformats.org/officeDocument/2006/relationships/hyperlink" Target="https://acf.gov/cb/policy-guidance/pi-20-12" TargetMode="External"/><Relationship Id="rId2050" Type="http://schemas.openxmlformats.org/officeDocument/2006/relationships/hyperlink" Target="https://acf.gov/css/policy-guidance/tools-assist-child-support-enforcement-agencies-issues-involving-military" TargetMode="External"/><Relationship Id="rId979" Type="http://schemas.openxmlformats.org/officeDocument/2006/relationships/hyperlink" Target="https://acf.gov/occ/faq/which-quality-activities-count-toward-quality-set-aside" TargetMode="External"/><Relationship Id="rId839" Type="http://schemas.openxmlformats.org/officeDocument/2006/relationships/hyperlink" Target="https://acf.gov/occ/resource/ccdf-acf-pi-2019-08" TargetMode="External"/><Relationship Id="rId1469" Type="http://schemas.openxmlformats.org/officeDocument/2006/relationships/hyperlink" Target="https://acf.gov/css/policy-guidance/standard-intergovernmental-child-support-enforcement-forms-expire-feb-28-2026" TargetMode="External"/><Relationship Id="rId2867" Type="http://schemas.openxmlformats.org/officeDocument/2006/relationships/hyperlink" Target="https://acf.gov/ofa/policy-guidance/tanf-acf-im-2016-03" TargetMode="External"/><Relationship Id="rId1676" Type="http://schemas.openxmlformats.org/officeDocument/2006/relationships/hyperlink" Target="https://acf.gov/css/policy-guidance/final-rule-provision-services-interstate-iv-d-cases" TargetMode="External"/><Relationship Id="rId1883" Type="http://schemas.openxmlformats.org/officeDocument/2006/relationships/hyperlink" Target="https://acf.gov/css/policy-guidance/use-social-security-administration-data-improve-performance" TargetMode="External"/><Relationship Id="rId2727" Type="http://schemas.openxmlformats.org/officeDocument/2006/relationships/hyperlink" Target="https://acf.gov/orr/resource/state-letter-00-18" TargetMode="External"/><Relationship Id="rId2934" Type="http://schemas.openxmlformats.org/officeDocument/2006/relationships/hyperlink" Target="https://headstart.gov/policy/pi/acf-ohs-pi-24-07" TargetMode="External"/><Relationship Id="rId906" Type="http://schemas.openxmlformats.org/officeDocument/2006/relationships/hyperlink" Target="https://acf.gov/occ/training-technical-assistance/acf-801-case-level-file-format-tb4r-v7" TargetMode="External"/><Relationship Id="rId1329" Type="http://schemas.openxmlformats.org/officeDocument/2006/relationships/hyperlink" Target="https://acf.gov/ocs/resource/liheap-im-2015-2-compliance-review-monitoring-schedule-fy-2015" TargetMode="External"/><Relationship Id="rId1536" Type="http://schemas.openxmlformats.org/officeDocument/2006/relationships/hyperlink" Target="https://acf.gov/css/policy-guidance/coordination-between-tanf-and-cse-programs-deficit-reduction-act-2005" TargetMode="External"/><Relationship Id="rId1743" Type="http://schemas.openxmlformats.org/officeDocument/2006/relationships/hyperlink" Target="https://acf.gov/css/policy-guidance/final-rule-administration-grants-0" TargetMode="External"/><Relationship Id="rId1950" Type="http://schemas.openxmlformats.org/officeDocument/2006/relationships/hyperlink" Target="https://acf.gov/css/policy-guidance/international-parental-kidnapping-crime-act-1993" TargetMode="External"/><Relationship Id="rId35" Type="http://schemas.openxmlformats.org/officeDocument/2006/relationships/hyperlink" Target="https://acf.gov/cb/policy-guidance/dear-colleague-letter-dually-involved-youth" TargetMode="External"/><Relationship Id="rId1603" Type="http://schemas.openxmlformats.org/officeDocument/2006/relationships/hyperlink" Target="https://acf.gov/css/policy-guidance/requesting-exemption-mandatory-laws-and-procedures-section-466-act" TargetMode="External"/><Relationship Id="rId1810" Type="http://schemas.openxmlformats.org/officeDocument/2006/relationships/hyperlink" Target="https://acf.gov/css/policy-guidance/security-and-privacy-program-ocss-security-agreement-2023" TargetMode="External"/><Relationship Id="rId489" Type="http://schemas.openxmlformats.org/officeDocument/2006/relationships/hyperlink" Target="https://acf.gov/cb/policy-guidance/pi-18-08" TargetMode="External"/><Relationship Id="rId696" Type="http://schemas.openxmlformats.org/officeDocument/2006/relationships/hyperlink" Target="https://acf.gov/cb/policy-guidance/pi-85-07" TargetMode="External"/><Relationship Id="rId2377" Type="http://schemas.openxmlformats.org/officeDocument/2006/relationships/hyperlink" Target="https://acf.gov/sites/default/files/documents/orr/dcl_20_11_fy_2021_sor_rss_set_aside.pdf" TargetMode="External"/><Relationship Id="rId2584" Type="http://schemas.openxmlformats.org/officeDocument/2006/relationships/hyperlink" Target="https://acf.gov/orr/policy-guidance/state-letter-06-09" TargetMode="External"/><Relationship Id="rId2791" Type="http://schemas.openxmlformats.org/officeDocument/2006/relationships/hyperlink" Target="https://acf.gov/fysb/faq/faq-allowable-use-fvpsa-funding-meet-match-requirement-hud-grants" TargetMode="External"/><Relationship Id="rId349" Type="http://schemas.openxmlformats.org/officeDocument/2006/relationships/hyperlink" Target="https://acf.gov/cb/policy-guidance/im-04-01" TargetMode="External"/><Relationship Id="rId556" Type="http://schemas.openxmlformats.org/officeDocument/2006/relationships/hyperlink" Target="https://acf.gov/cb/policy-guidance/pi-10-04" TargetMode="External"/><Relationship Id="rId763" Type="http://schemas.openxmlformats.org/officeDocument/2006/relationships/hyperlink" Target="https://acf.gov/sites/default/files/documents/ocs/im_acf_oa_2020_01_acf_covid_flexibilities.pdf" TargetMode="External"/><Relationship Id="rId1186" Type="http://schemas.openxmlformats.org/officeDocument/2006/relationships/hyperlink" Target="https://acf.gov/ocs/policy-guidance/liheap-dcl-2022-05-infrastructure-funding-release-fy2022" TargetMode="External"/><Relationship Id="rId1393" Type="http://schemas.openxmlformats.org/officeDocument/2006/relationships/hyperlink" Target="https://acf.gov/ocs/resource/optional-use-of-doe-weatherization-rules-for" TargetMode="External"/><Relationship Id="rId2237" Type="http://schemas.openxmlformats.org/officeDocument/2006/relationships/hyperlink" Target="https://acf.gov/ecd/policy-guidance/expulsion-and-suspension-resource-guide" TargetMode="External"/><Relationship Id="rId2444" Type="http://schemas.openxmlformats.org/officeDocument/2006/relationships/hyperlink" Target="https://acf.gov/sites/default/files/documents/orr/orr-pl-22-06-refugee-mental-health-initiative-within-the-refugee-health-promotion-program-2021-12-08-revised.pdf" TargetMode="External"/><Relationship Id="rId209" Type="http://schemas.openxmlformats.org/officeDocument/2006/relationships/hyperlink" Target="https://acf.gov/cb/report/tribal-federal-medical-assistance-percentage-look-table-fy-2021" TargetMode="External"/><Relationship Id="rId416" Type="http://schemas.openxmlformats.org/officeDocument/2006/relationships/hyperlink" Target="https://acf.gov/cb/policy-guidance/im-93-20" TargetMode="External"/><Relationship Id="rId970" Type="http://schemas.openxmlformats.org/officeDocument/2006/relationships/hyperlink" Target="https://acf.gov/occ/faq/what-meant-generally-accepted-payment-practices" TargetMode="External"/><Relationship Id="rId1046" Type="http://schemas.openxmlformats.org/officeDocument/2006/relationships/hyperlink" Target="https://acf.gov/occ/policy-guidance/policies/resources-expanding-ece-services-homeless-children-families" TargetMode="External"/><Relationship Id="rId1253" Type="http://schemas.openxmlformats.org/officeDocument/2006/relationships/hyperlink" Target="https://acf.gov/ocs/resource/dear-colleague-notice-on-information-and-resources-related-to-financial-capability" TargetMode="External"/><Relationship Id="rId2651" Type="http://schemas.openxmlformats.org/officeDocument/2006/relationships/hyperlink" Target="https://acf.gov/orr/policy-guidance/state-letter-03-08" TargetMode="External"/><Relationship Id="rId623" Type="http://schemas.openxmlformats.org/officeDocument/2006/relationships/hyperlink" Target="https://acf.gov/cb/policy-guidance/pi-01-08" TargetMode="External"/><Relationship Id="rId830" Type="http://schemas.openxmlformats.org/officeDocument/2006/relationships/hyperlink" Target="https://acf.gov/occ/policy-guidance/ccdf-acf-pi-2021-04" TargetMode="External"/><Relationship Id="rId1460" Type="http://schemas.openxmlformats.org/officeDocument/2006/relationships/hyperlink" Target="https://acf.gov/css/policy-guidance/2023-open-comment-period-tribal-child-support-direct-funding-request" TargetMode="External"/><Relationship Id="rId2304" Type="http://schemas.openxmlformats.org/officeDocument/2006/relationships/hyperlink" Target="https://acf.gov/sites/default/files/documents/orr/dcl-23-32-hud-mou.pdf" TargetMode="External"/><Relationship Id="rId2511" Type="http://schemas.openxmlformats.org/officeDocument/2006/relationships/hyperlink" Target="https://acf.gov/orr/resource/state-letter-12-11" TargetMode="External"/><Relationship Id="rId1113" Type="http://schemas.openxmlformats.org/officeDocument/2006/relationships/hyperlink" Target="https://acf.gov/ocs/resource/liheap-at-2016-03-performance-data-form-for-fy-2015" TargetMode="External"/><Relationship Id="rId1320" Type="http://schemas.openxmlformats.org/officeDocument/2006/relationships/hyperlink" Target="https://acf.gov/ocs/resource/hhs-poverty-guidelines-for-optional-use-in-ffy-2018" TargetMode="External"/><Relationship Id="rId2094" Type="http://schemas.openxmlformats.org/officeDocument/2006/relationships/hyperlink" Target="https://acf.gov/css/policy-guidance/noncustodial-parents-witness-protection-program" TargetMode="External"/><Relationship Id="rId273" Type="http://schemas.openxmlformats.org/officeDocument/2006/relationships/hyperlink" Target="https://acf.gov/cb/policy-guidance/im-18-01" TargetMode="External"/><Relationship Id="rId480" Type="http://schemas.openxmlformats.org/officeDocument/2006/relationships/hyperlink" Target="https://acf.gov/cb/policy-guidance/im-83-08" TargetMode="External"/><Relationship Id="rId2161" Type="http://schemas.openxmlformats.org/officeDocument/2006/relationships/hyperlink" Target="https://acf.gov/css/training-technical-assistance/overview-ocss-ivv-assessment" TargetMode="External"/><Relationship Id="rId3005" Type="http://schemas.openxmlformats.org/officeDocument/2006/relationships/hyperlink" Target="https://headstart.gov/ersea/article/family-income-guidelines-military-income" TargetMode="External"/><Relationship Id="rId133" Type="http://schemas.openxmlformats.org/officeDocument/2006/relationships/hyperlink" Target="https://acf.gov/cb/faq/foster-care2" TargetMode="External"/><Relationship Id="rId340" Type="http://schemas.openxmlformats.org/officeDocument/2006/relationships/hyperlink" Target="https://acf.gov/cb/policy-guidance/im-05-02" TargetMode="External"/><Relationship Id="rId2021" Type="http://schemas.openxmlformats.org/officeDocument/2006/relationships/hyperlink" Target="https://acf.gov/css/policy-guidance/social-security-administration-updates-2005" TargetMode="External"/><Relationship Id="rId200" Type="http://schemas.openxmlformats.org/officeDocument/2006/relationships/hyperlink" Target="https://acf.gov/cb/report/cfsr-round-3-statewide-data-indicator-data-dictionary-2020" TargetMode="External"/><Relationship Id="rId2978" Type="http://schemas.openxmlformats.org/officeDocument/2006/relationships/hyperlink" Target="https://headstart.gov/safety-practices/article/head-start-faqs-ilookout-child-abuse" TargetMode="External"/><Relationship Id="rId1787" Type="http://schemas.openxmlformats.org/officeDocument/2006/relationships/hyperlink" Target="https://acf.gov/css/policy-guidance/submittal-annual-certification-letter-2024" TargetMode="External"/><Relationship Id="rId1994" Type="http://schemas.openxmlformats.org/officeDocument/2006/relationships/hyperlink" Target="https://acf.gov/css/policy-guidance/2008-revisions-uniform-interstate-family-support-act" TargetMode="External"/><Relationship Id="rId2838" Type="http://schemas.openxmlformats.org/officeDocument/2006/relationships/hyperlink" Target="https://acf.gov/ofa/policy-guidance/tanf-carry-over-funds-interim-final-rule" TargetMode="External"/><Relationship Id="rId79" Type="http://schemas.openxmlformats.org/officeDocument/2006/relationships/hyperlink" Target="https://acf.gov/cb/policy-guidance/im-23-04" TargetMode="External"/><Relationship Id="rId1647" Type="http://schemas.openxmlformats.org/officeDocument/2006/relationships/hyperlink" Target="https://acf.gov/css/policy-guidance/policy-clarification-relating-automated-child-support-enforcement-systems" TargetMode="External"/><Relationship Id="rId1854" Type="http://schemas.openxmlformats.org/officeDocument/2006/relationships/hyperlink" Target="https://acf.gov/css/policy-guidance/open-comment-period-hague-convention-case-processing-forms" TargetMode="External"/><Relationship Id="rId2905" Type="http://schemas.openxmlformats.org/officeDocument/2006/relationships/hyperlink" Target="https://headstart.gov/policy/im/acf-im-hs-23-03" TargetMode="External"/><Relationship Id="rId1507" Type="http://schemas.openxmlformats.org/officeDocument/2006/relationships/hyperlink" Target="https://acf.gov/css/policy-guidance/timeframe-distribute-tax-offsets-referred-fraud" TargetMode="External"/><Relationship Id="rId1714" Type="http://schemas.openxmlformats.org/officeDocument/2006/relationships/hyperlink" Target="https://acf.gov/css/policy-guidance/final-rule-withholding-unemployment-benefits-support-purposes" TargetMode="External"/><Relationship Id="rId1921" Type="http://schemas.openxmlformats.org/officeDocument/2006/relationships/hyperlink" Target="https://acf.gov/css/policy-guidance/review-federal-case-registry-options" TargetMode="External"/><Relationship Id="rId2488" Type="http://schemas.openxmlformats.org/officeDocument/2006/relationships/hyperlink" Target="https://acf.gov/orr/policy-guidance/state-letter-15-10" TargetMode="External"/><Relationship Id="rId1297" Type="http://schemas.openxmlformats.org/officeDocument/2006/relationships/hyperlink" Target="https://acf.gov/ocs/policy-guidance/liheap-compliance-monitoring-process-overview-and-trends" TargetMode="External"/><Relationship Id="rId2695" Type="http://schemas.openxmlformats.org/officeDocument/2006/relationships/hyperlink" Target="https://acf.gov/archive/orr/policy-guidance/state-letter-01-02" TargetMode="External"/><Relationship Id="rId667" Type="http://schemas.openxmlformats.org/officeDocument/2006/relationships/hyperlink" Target="https://acf.gov/cb/policy-guidance/pi-94-04" TargetMode="External"/><Relationship Id="rId874" Type="http://schemas.openxmlformats.org/officeDocument/2006/relationships/hyperlink" Target="https://acf.gov/occ/resource/pi2011-04" TargetMode="External"/><Relationship Id="rId2348" Type="http://schemas.openxmlformats.org/officeDocument/2006/relationships/hyperlink" Target="https://acf.gov/sites/default/files/documents/orr/ORR-DCL-22-11-ASA-RSS-FY2022-Third-Allocation-Legal-Assistance.pdf" TargetMode="External"/><Relationship Id="rId2555" Type="http://schemas.openxmlformats.org/officeDocument/2006/relationships/hyperlink" Target="https://acf.gov/orr/policy-guidance/state-letter-08-06" TargetMode="External"/><Relationship Id="rId2762" Type="http://schemas.openxmlformats.org/officeDocument/2006/relationships/hyperlink" Target="https://acf.gov/orr/programs/uac/family-reunification-packet" TargetMode="External"/><Relationship Id="rId527" Type="http://schemas.openxmlformats.org/officeDocument/2006/relationships/hyperlink" Target="https://acf.gov/cb/policy-guidance/pi-13-03" TargetMode="External"/><Relationship Id="rId734" Type="http://schemas.openxmlformats.org/officeDocument/2006/relationships/hyperlink" Target="https://acf.gov/cb/faq/adoption12" TargetMode="External"/><Relationship Id="rId941" Type="http://schemas.openxmlformats.org/officeDocument/2006/relationships/hyperlink" Target="https://acf.gov/occ/faq/how-will-new-law-support-child-development-and-school-readiness" TargetMode="External"/><Relationship Id="rId1157" Type="http://schemas.openxmlformats.org/officeDocument/2006/relationships/hyperlink" Target="https://acf.gov/ocs/policy-guidance/liheap-dcl-2025-02-final-funding-release-federal-fiscal-year-2025" TargetMode="External"/><Relationship Id="rId1364" Type="http://schemas.openxmlformats.org/officeDocument/2006/relationships/hyperlink" Target="https://acf.gov/ocs/resource/liheap-appropriations-and-regular-block-grant-allocations-for-fiscal-year" TargetMode="External"/><Relationship Id="rId1571" Type="http://schemas.openxmlformats.org/officeDocument/2006/relationships/hyperlink" Target="https://acf.gov/css/policy-guidance/reduction-penalty-states-failing-meet-statewide-automated-systems-deadline" TargetMode="External"/><Relationship Id="rId2208" Type="http://schemas.openxmlformats.org/officeDocument/2006/relationships/hyperlink" Target="https://acf.gov/css/training-technical-assistance/cost-benefit-analysis-illustrated" TargetMode="External"/><Relationship Id="rId2415" Type="http://schemas.openxmlformats.org/officeDocument/2006/relationships/hyperlink" Target="https://acf.gov/orr/resource/fy-2016-social-services-formula-allocations" TargetMode="External"/><Relationship Id="rId2622" Type="http://schemas.openxmlformats.org/officeDocument/2006/relationships/hyperlink" Target="https://acf.gov/orr/policy-guidance/state-letter-05-30" TargetMode="External"/><Relationship Id="rId70" Type="http://schemas.openxmlformats.org/officeDocument/2006/relationships/hyperlink" Target="https://acf.gov/cb/faq/nofo-evaluation-requirement" TargetMode="External"/><Relationship Id="rId801" Type="http://schemas.openxmlformats.org/officeDocument/2006/relationships/hyperlink" Target="https://www.hhs.gov/guidance/sites/default/files/hhs-guidance-documents/pq9902.pdf" TargetMode="External"/><Relationship Id="rId1017" Type="http://schemas.openxmlformats.org/officeDocument/2006/relationships/hyperlink" Target="https://acf.gov/occ/policy-guidance/ccdf-acf-pi-2016-08" TargetMode="External"/><Relationship Id="rId1224" Type="http://schemas.openxmlformats.org/officeDocument/2006/relationships/hyperlink" Target="https://acf.gov/ocs/resource/fy-2018-second-and-final-liheap-funding-release" TargetMode="External"/><Relationship Id="rId1431" Type="http://schemas.openxmlformats.org/officeDocument/2006/relationships/hyperlink" Target="https://acf.gov/ocs/policy-guidance/liheap-2011-4-application-requirements-and-deadline-all-applications-fy-2012" TargetMode="External"/><Relationship Id="rId177" Type="http://schemas.openxmlformats.org/officeDocument/2006/relationships/hyperlink" Target="https://acf.gov/cb/training-technical-assistance/technical-bulletin-prevention-program" TargetMode="External"/><Relationship Id="rId384" Type="http://schemas.openxmlformats.org/officeDocument/2006/relationships/hyperlink" Target="https://acf.gov/cb/policy-guidance/im-98-05" TargetMode="External"/><Relationship Id="rId591" Type="http://schemas.openxmlformats.org/officeDocument/2006/relationships/hyperlink" Target="https://acf.gov/cb/policy-guidance/pi-06-05" TargetMode="External"/><Relationship Id="rId2065" Type="http://schemas.openxmlformats.org/officeDocument/2006/relationships/hyperlink" Target="https://acf.gov/css/policy-guidance/electronic-documents-and-tribunals-under-uifsa-section-316" TargetMode="External"/><Relationship Id="rId2272" Type="http://schemas.openxmlformats.org/officeDocument/2006/relationships/hyperlink" Target="https://acf.gov/orr/policy/dear-colleague-letters/25-13" TargetMode="External"/><Relationship Id="rId244" Type="http://schemas.openxmlformats.org/officeDocument/2006/relationships/hyperlink" Target="https://acf.gov/cb/policy-guidance/pi-18-10" TargetMode="External"/><Relationship Id="rId1081" Type="http://schemas.openxmlformats.org/officeDocument/2006/relationships/hyperlink" Target="https://acf.gov/ocs/policy-guidance/liheap-2022-01-sf-425-submissions-fy2022" TargetMode="External"/><Relationship Id="rId451" Type="http://schemas.openxmlformats.org/officeDocument/2006/relationships/hyperlink" Target="https://acf.gov/cb/policy-guidance/im-87-11" TargetMode="External"/><Relationship Id="rId2132" Type="http://schemas.openxmlformats.org/officeDocument/2006/relationships/hyperlink" Target="https://acf.gov/css/faq/can-i-request-change-my-order-without-going-through-child-support-office" TargetMode="External"/><Relationship Id="rId104" Type="http://schemas.openxmlformats.org/officeDocument/2006/relationships/hyperlink" Target="https://acf.gov/cb/report/cfsr-requirements-benefits-state-led-reviews" TargetMode="External"/><Relationship Id="rId311" Type="http://schemas.openxmlformats.org/officeDocument/2006/relationships/hyperlink" Target="https://acf.gov/cb/policy-guidance/im-11-02" TargetMode="External"/><Relationship Id="rId1898" Type="http://schemas.openxmlformats.org/officeDocument/2006/relationships/hyperlink" Target="https://acf.gov/css/policy-guidance/automated-systems-cse-guide-electronic-document-management" TargetMode="External"/><Relationship Id="rId2949" Type="http://schemas.openxmlformats.org/officeDocument/2006/relationships/hyperlink" Target="https://headstart.gov/policy/pi/acf-pi-hs-20-01" TargetMode="External"/><Relationship Id="rId1758" Type="http://schemas.openxmlformats.org/officeDocument/2006/relationships/hyperlink" Target="https://acf.gov/css/policy-guidance/final-rule-repayment-federal-funds-installments" TargetMode="External"/><Relationship Id="rId2809" Type="http://schemas.openxmlformats.org/officeDocument/2006/relationships/hyperlink" Target="https://acf.gov/fysb/faq/order-fysb-resources" TargetMode="External"/><Relationship Id="rId1965" Type="http://schemas.openxmlformats.org/officeDocument/2006/relationships/hyperlink" Target="https://acf.gov/css/policy-guidance/tribal-iv-d-program-job-descriptions" TargetMode="External"/><Relationship Id="rId1618" Type="http://schemas.openxmlformats.org/officeDocument/2006/relationships/hyperlink" Target="https://acf.gov/css/policy-guidance/nprm-paternity-establishment-provisions-omnibus-budget-reconciliation-act-1993" TargetMode="External"/><Relationship Id="rId1825" Type="http://schemas.openxmlformats.org/officeDocument/2006/relationships/hyperlink" Target="https://acf.gov/css/policy-guidance/submittal-ocse-157-fy-2022-oct-30" TargetMode="External"/><Relationship Id="rId2599" Type="http://schemas.openxmlformats.org/officeDocument/2006/relationships/hyperlink" Target="https://acf.gov/orr/policy-guidance/state-letter-05-06" TargetMode="External"/><Relationship Id="rId778" Type="http://schemas.openxmlformats.org/officeDocument/2006/relationships/hyperlink" Target="https://acf.gov/occ/resource/im-refugee-resettlement" TargetMode="External"/><Relationship Id="rId985" Type="http://schemas.openxmlformats.org/officeDocument/2006/relationships/hyperlink" Target="https://acf.gov/occ/faq/how-will-acf-determine-compliance" TargetMode="External"/><Relationship Id="rId2459" Type="http://schemas.openxmlformats.org/officeDocument/2006/relationships/hyperlink" Target="https://acf.gov/sites/default/files/documents/orr/pl20_04_assistance_for_orr_populations_affected_by_covid_19.pdf" TargetMode="External"/><Relationship Id="rId2666" Type="http://schemas.openxmlformats.org/officeDocument/2006/relationships/hyperlink" Target="https://acf.gov/sites/default/files/documents/orr/nvhwcome.doc" TargetMode="External"/><Relationship Id="rId2873" Type="http://schemas.openxmlformats.org/officeDocument/2006/relationships/hyperlink" Target="https://acf.gov/ofa/policy-guidance/new-acf-pi-2018-01-revises-and-supersedes-new-acf-pi-2011-01" TargetMode="External"/><Relationship Id="rId638" Type="http://schemas.openxmlformats.org/officeDocument/2006/relationships/hyperlink" Target="https://acf.gov/cb/policy-guidance/pi-98-15" TargetMode="External"/><Relationship Id="rId845" Type="http://schemas.openxmlformats.org/officeDocument/2006/relationships/hyperlink" Target="https://acf.gov/occ/resource/ccdf-acf-pi-2017-05" TargetMode="External"/><Relationship Id="rId1268" Type="http://schemas.openxmlformats.org/officeDocument/2006/relationships/hyperlink" Target="https://acf.gov/ocs/policy-guidance/ocs-dcl-2022-07-arp-anniversary-fy2022" TargetMode="External"/><Relationship Id="rId1475" Type="http://schemas.openxmlformats.org/officeDocument/2006/relationships/hyperlink" Target="https://acf.gov/css/policy-guidance/nprm-paternity-establishment-percentage-performance-relief" TargetMode="External"/><Relationship Id="rId1682" Type="http://schemas.openxmlformats.org/officeDocument/2006/relationships/hyperlink" Target="https://acf.gov/css/policy-guidance/final-rule-correction-headings-reflect-establishment-family-support" TargetMode="External"/><Relationship Id="rId2319" Type="http://schemas.openxmlformats.org/officeDocument/2006/relationships/hyperlink" Target="https://acf.gov/sites/default/files/documents/orr/dcl-23-16-sot-program-for-nicaraguan-former-political-prisoners.pdf" TargetMode="External"/><Relationship Id="rId2526" Type="http://schemas.openxmlformats.org/officeDocument/2006/relationships/hyperlink" Target="https://acf.gov/orr/policy-guidance/state-letter-10-06" TargetMode="External"/><Relationship Id="rId2733" Type="http://schemas.openxmlformats.org/officeDocument/2006/relationships/hyperlink" Target="https://acf.gov/sites/default/files/documents/orr/State-Plan-2024-Final-Cleared-5-8-25.docx" TargetMode="External"/><Relationship Id="rId705" Type="http://schemas.openxmlformats.org/officeDocument/2006/relationships/hyperlink" Target="https://acf.gov/cb/policy-guidance/pi-83-07" TargetMode="External"/><Relationship Id="rId1128" Type="http://schemas.openxmlformats.org/officeDocument/2006/relationships/hyperlink" Target="https://acf.gov/ocs/resource/liheap-household-report-for-federal-fiscal-year-2013" TargetMode="External"/><Relationship Id="rId1335" Type="http://schemas.openxmlformats.org/officeDocument/2006/relationships/hyperlink" Target="https://acf.gov/ocs/resource/liheap-information-memoranda-2014-4-american-community-survey-tabulation" TargetMode="External"/><Relationship Id="rId1542" Type="http://schemas.openxmlformats.org/officeDocument/2006/relationships/hyperlink" Target="https://acf.gov/css/policy-guidance/final-rule-reasonable-quantitative-standards-review-and-adjustment-child" TargetMode="External"/><Relationship Id="rId2940" Type="http://schemas.openxmlformats.org/officeDocument/2006/relationships/hyperlink" Target="https://headstart.gov/policy/pi/acf-pi-hs-23-02" TargetMode="External"/><Relationship Id="rId912" Type="http://schemas.openxmlformats.org/officeDocument/2006/relationships/hyperlink" Target="https://acf.gov/occ/training-technical-assistance/ccdf-acf-reporting-clarifications-tribal-centers-tb14rv3" TargetMode="External"/><Relationship Id="rId2800" Type="http://schemas.openxmlformats.org/officeDocument/2006/relationships/hyperlink" Target="https://acf.gov/ohsepr/faq/us-repatriation-program-faqs" TargetMode="External"/><Relationship Id="rId41" Type="http://schemas.openxmlformats.org/officeDocument/2006/relationships/hyperlink" Target="https://acf.gov/cb/policy-guidance/pi-24-05" TargetMode="External"/><Relationship Id="rId1402" Type="http://schemas.openxmlformats.org/officeDocument/2006/relationships/hyperlink" Target="https://acf.gov/ocs/training-technical-assistance/liheap-resource-guide-indoor-health-and-safety" TargetMode="External"/><Relationship Id="rId288" Type="http://schemas.openxmlformats.org/officeDocument/2006/relationships/hyperlink" Target="https://acf.gov/cb/policy-guidance/im-15-05" TargetMode="External"/><Relationship Id="rId495" Type="http://schemas.openxmlformats.org/officeDocument/2006/relationships/hyperlink" Target="https://acf.gov/cb/policy-guidance/pi-18-01" TargetMode="External"/><Relationship Id="rId2176" Type="http://schemas.openxmlformats.org/officeDocument/2006/relationships/hyperlink" Target="https://acf.gov/css/training-technical-assistance/e-nmsn-software-interface-specification" TargetMode="External"/><Relationship Id="rId2383" Type="http://schemas.openxmlformats.org/officeDocument/2006/relationships/hyperlink" Target="https://acf.gov/sites/default/files/documents/orr/dcl_20_05_categorization_of_refugee_programs.pdf" TargetMode="External"/><Relationship Id="rId2590" Type="http://schemas.openxmlformats.org/officeDocument/2006/relationships/hyperlink" Target="https://acf.gov/orr/policy-guidance/state-letter-06-15" TargetMode="External"/><Relationship Id="rId148" Type="http://schemas.openxmlformats.org/officeDocument/2006/relationships/hyperlink" Target="https://acf.gov/cb/policy-guidance/pi-21-04" TargetMode="External"/><Relationship Id="rId355" Type="http://schemas.openxmlformats.org/officeDocument/2006/relationships/hyperlink" Target="https://acf.gov/cb/policy-guidance/im-03-01" TargetMode="External"/><Relationship Id="rId562" Type="http://schemas.openxmlformats.org/officeDocument/2006/relationships/hyperlink" Target="https://acf.gov/cb/policy-guidance/pi-09-10" TargetMode="External"/><Relationship Id="rId1192" Type="http://schemas.openxmlformats.org/officeDocument/2006/relationships/hyperlink" Target="https://acf.gov/ocs/policy-guidance/liheap-dcl-2022-11-heat-stress-fy2022" TargetMode="External"/><Relationship Id="rId2036" Type="http://schemas.openxmlformats.org/officeDocument/2006/relationships/hyperlink" Target="https://acf.gov/css/policy-guidance/final-rules-schip-and-medicaid-presumptive-eligibility" TargetMode="External"/><Relationship Id="rId2243" Type="http://schemas.openxmlformats.org/officeDocument/2006/relationships/hyperlink" Target="https://acf.gov/ecd/policy-guidance/sac-joint-statement" TargetMode="External"/><Relationship Id="rId2450" Type="http://schemas.openxmlformats.org/officeDocument/2006/relationships/hyperlink" Target="https://acf.gov/sites/default/files/documents/orr/ORR-PL-21-08-FY2022-Continued-Flexibilities-Related-to-COVID-19.pdf" TargetMode="External"/><Relationship Id="rId215" Type="http://schemas.openxmlformats.org/officeDocument/2006/relationships/hyperlink" Target="https://acf.gov/cb/report/tribal-federal-medical-assistance-percentage-reference-table-fy-2020" TargetMode="External"/><Relationship Id="rId422" Type="http://schemas.openxmlformats.org/officeDocument/2006/relationships/hyperlink" Target="https://acf.gov/cb/policy-guidance/im-91-25" TargetMode="External"/><Relationship Id="rId1052" Type="http://schemas.openxmlformats.org/officeDocument/2006/relationships/hyperlink" Target="https://acf.gov/occ/policy-guidance/overview-case-level-reporting-states-and-territories-acf-801" TargetMode="External"/><Relationship Id="rId2103" Type="http://schemas.openxmlformats.org/officeDocument/2006/relationships/hyperlink" Target="https://acf.gov/css/policy-guidance/selling-child-support-arrears" TargetMode="External"/><Relationship Id="rId2310" Type="http://schemas.openxmlformats.org/officeDocument/2006/relationships/hyperlink" Target="https://acf.gov/sites/default/files/documents/orr/dcl-23-26-rss-asa-fy2023-second-allocation.pdf" TargetMode="External"/><Relationship Id="rId1869" Type="http://schemas.openxmlformats.org/officeDocument/2006/relationships/hyperlink" Target="https://acf.gov/css/policy-guidance/quadrennial-review-child-support-guidelines" TargetMode="External"/><Relationship Id="rId1729" Type="http://schemas.openxmlformats.org/officeDocument/2006/relationships/hyperlink" Target="https://acf.gov/css/policy-guidance/final-rule-withholding-advance-funds-failure-report" TargetMode="External"/><Relationship Id="rId1936" Type="http://schemas.openxmlformats.org/officeDocument/2006/relationships/hyperlink" Target="https://acf.gov/css/policy-guidance/follow-federal-offset-conference-calls" TargetMode="External"/><Relationship Id="rId3011" Type="http://schemas.openxmlformats.org/officeDocument/2006/relationships/hyperlink" Target="https://headstart.gov/publication/strategies-partnering-child-welfare-agencies" TargetMode="External"/><Relationship Id="rId5" Type="http://schemas.openxmlformats.org/officeDocument/2006/relationships/hyperlink" Target="https://acf.gov/cb/policy-guidance/im-25-04" TargetMode="External"/><Relationship Id="rId889" Type="http://schemas.openxmlformats.org/officeDocument/2006/relationships/hyperlink" Target="https://acf.gov/occ/resource/pi-2009-07" TargetMode="External"/><Relationship Id="rId2777" Type="http://schemas.openxmlformats.org/officeDocument/2006/relationships/hyperlink" Target="https://acf.gov/sites/default/files/documents/orr/RDH-5-Request-for-Appeal-of-Risk-Determination-Hearing_v1_2024-07-01.pdf" TargetMode="External"/><Relationship Id="rId749" Type="http://schemas.openxmlformats.org/officeDocument/2006/relationships/hyperlink" Target="https://acf.gov/cb/training-technical-assistance/xml-concepts-technical-training-video" TargetMode="External"/><Relationship Id="rId1379" Type="http://schemas.openxmlformats.org/officeDocument/2006/relationships/hyperlink" Target="https://acf.gov/ocs/resource/grantee-deadlines-0" TargetMode="External"/><Relationship Id="rId1586" Type="http://schemas.openxmlformats.org/officeDocument/2006/relationships/hyperlink" Target="https://acf.gov/css/policy-guidance/payment-procedures-recover-delinquent-child-support-noncustodial-parents" TargetMode="External"/><Relationship Id="rId2984" Type="http://schemas.openxmlformats.org/officeDocument/2006/relationships/hyperlink" Target="https://headstart.gov/publication/faqs-about-10-enrollment-requirement" TargetMode="External"/><Relationship Id="rId609" Type="http://schemas.openxmlformats.org/officeDocument/2006/relationships/hyperlink" Target="https://acf.gov/cb/policy-guidance/pi-03-05" TargetMode="External"/><Relationship Id="rId956" Type="http://schemas.openxmlformats.org/officeDocument/2006/relationships/hyperlink" Target="https://acf.gov/occ/faq/how-does-ccdf-reauthorization-impact-tribal-ccdf-funding" TargetMode="External"/><Relationship Id="rId1239" Type="http://schemas.openxmlformats.org/officeDocument/2006/relationships/hyperlink" Target="https://acf.gov/ocs/resource/liheap-dear-colleague-notice-regarding-a-webinar-on-the-health-and-human-services-online-community" TargetMode="External"/><Relationship Id="rId1793" Type="http://schemas.openxmlformats.org/officeDocument/2006/relationships/hyperlink" Target="https://acf.gov/css/policy-guidance/section-1115-waiver-requests-tribal-innovation" TargetMode="External"/><Relationship Id="rId2637" Type="http://schemas.openxmlformats.org/officeDocument/2006/relationships/hyperlink" Target="https://acf.gov/orr/policy-guidance/state-letter-04-13" TargetMode="External"/><Relationship Id="rId2844" Type="http://schemas.openxmlformats.org/officeDocument/2006/relationships/hyperlink" Target="https://acf.gov/ofa/policy-guidance/examples-non-recurrent-short-term-benefits" TargetMode="External"/><Relationship Id="rId85" Type="http://schemas.openxmlformats.org/officeDocument/2006/relationships/hyperlink" Target="https://acf.gov/cb/policy-guidance/title-iv-e-foster-care-eligibility-review-guide" TargetMode="External"/><Relationship Id="rId816" Type="http://schemas.openxmlformats.org/officeDocument/2006/relationships/hyperlink" Target="https://acf.gov/occ/policy-guidance/supplemental-funds-disaster-recovery-implementation-grants-ccdf-acf-pi-2024-02" TargetMode="External"/><Relationship Id="rId1446" Type="http://schemas.openxmlformats.org/officeDocument/2006/relationships/hyperlink" Target="https://acf.gov/ocs/policy-guidance/liheap-2010-3-request-applications-residential-fy-2010" TargetMode="External"/><Relationship Id="rId1653" Type="http://schemas.openxmlformats.org/officeDocument/2006/relationships/hyperlink" Target="https://acf.gov/css/policy-guidance/birth-registration-and-social-security-numbers" TargetMode="External"/><Relationship Id="rId1860" Type="http://schemas.openxmlformats.org/officeDocument/2006/relationships/hyperlink" Target="https://acf.gov/css/policy-guidance/model-tribal-system-mts-services-tribes" TargetMode="External"/><Relationship Id="rId2704" Type="http://schemas.openxmlformats.org/officeDocument/2006/relationships/hyperlink" Target="https://acf.gov/archive/otip/resource/state-letter-01-13" TargetMode="External"/><Relationship Id="rId2911" Type="http://schemas.openxmlformats.org/officeDocument/2006/relationships/hyperlink" Target="https://headstart.gov/policy/im/acf-im-hs-22-02" TargetMode="External"/><Relationship Id="rId1306" Type="http://schemas.openxmlformats.org/officeDocument/2006/relationships/hyperlink" Target="https://acf.gov/ocs/policy-guidance/liheap-im-2022-02-expenditures-fy2022" TargetMode="External"/><Relationship Id="rId1513" Type="http://schemas.openxmlformats.org/officeDocument/2006/relationships/hyperlink" Target="https://acf.gov/css/policy-guidance/notice-sf-424m-annual-submission-requirement" TargetMode="External"/><Relationship Id="rId1720" Type="http://schemas.openxmlformats.org/officeDocument/2006/relationships/hyperlink" Target="https://acf.gov/css/policy-guidance/final-rule-collection-past-due-support-federal-tax-refunds" TargetMode="External"/><Relationship Id="rId12" Type="http://schemas.openxmlformats.org/officeDocument/2006/relationships/hyperlink" Target="https://acf.gov/cb/policy-guidance/pi-25-01" TargetMode="External"/><Relationship Id="rId399" Type="http://schemas.openxmlformats.org/officeDocument/2006/relationships/hyperlink" Target="https://acf.gov/cb/policy-guidance/im-96-16" TargetMode="External"/><Relationship Id="rId2287" Type="http://schemas.openxmlformats.org/officeDocument/2006/relationships/hyperlink" Target="https://acf.gov/orr/policy-guidance/dear-colleague-letters/24-10" TargetMode="External"/><Relationship Id="rId2494" Type="http://schemas.openxmlformats.org/officeDocument/2006/relationships/hyperlink" Target="https://acf.gov/orr/policy-guidance/state-letter-15-01" TargetMode="External"/><Relationship Id="rId259" Type="http://schemas.openxmlformats.org/officeDocument/2006/relationships/hyperlink" Target="https://acf.gov/cb/policy-guidance/94-05" TargetMode="External"/><Relationship Id="rId466" Type="http://schemas.openxmlformats.org/officeDocument/2006/relationships/hyperlink" Target="https://acf.gov/cb/policy-guidance/im-85-15" TargetMode="External"/><Relationship Id="rId673" Type="http://schemas.openxmlformats.org/officeDocument/2006/relationships/hyperlink" Target="https://acf.gov/cb/policy-guidance/pi-98-12" TargetMode="External"/><Relationship Id="rId880" Type="http://schemas.openxmlformats.org/officeDocument/2006/relationships/hyperlink" Target="https://acf.gov/occ/policy-guidance/program-integrity-financial-accountability-access-child-care" TargetMode="External"/><Relationship Id="rId1096" Type="http://schemas.openxmlformats.org/officeDocument/2006/relationships/hyperlink" Target="https://acf.gov/ocs/resource/liheap-at-2020-06-household-report-long-and-short-form-fy20" TargetMode="External"/><Relationship Id="rId2147" Type="http://schemas.openxmlformats.org/officeDocument/2006/relationships/hyperlink" Target="https://acf.gov/css/faq/how-can-i-access-payment-information-my-child-support-account" TargetMode="External"/><Relationship Id="rId2354" Type="http://schemas.openxmlformats.org/officeDocument/2006/relationships/hyperlink" Target="https://acf.gov/sites/default/files/documents/orr/ORR-DCL-22-05-AHP-FY2022-Q1-Allocations.pdf" TargetMode="External"/><Relationship Id="rId2561" Type="http://schemas.openxmlformats.org/officeDocument/2006/relationships/hyperlink" Target="https://acf.gov/orr/policy-guidance/state-letter-08-12" TargetMode="External"/><Relationship Id="rId119" Type="http://schemas.openxmlformats.org/officeDocument/2006/relationships/hyperlink" Target="https://acf.gov/cb/policy-guidance/pi-22-02" TargetMode="External"/><Relationship Id="rId326" Type="http://schemas.openxmlformats.org/officeDocument/2006/relationships/hyperlink" Target="https://acf.gov/cb/policy-guidance/im-07-03" TargetMode="External"/><Relationship Id="rId533" Type="http://schemas.openxmlformats.org/officeDocument/2006/relationships/hyperlink" Target="https://acf.gov/cb/policy-guidance/pi-12-04" TargetMode="External"/><Relationship Id="rId1163" Type="http://schemas.openxmlformats.org/officeDocument/2006/relationships/hyperlink" Target="https://acf.gov/ocs/policy-guidance/liheap-dcl-2024-06-second-release-federal-fiscal-year-funds-fy24" TargetMode="External"/><Relationship Id="rId1370" Type="http://schemas.openxmlformats.org/officeDocument/2006/relationships/hyperlink" Target="https://acf.gov/ocs/resource/state-median-income-estimates-for-fy-2010" TargetMode="External"/><Relationship Id="rId2007" Type="http://schemas.openxmlformats.org/officeDocument/2006/relationships/hyperlink" Target="https://acf.gov/css/policy-guidance/caseworkers-guide-processing-cases-el-salvador" TargetMode="External"/><Relationship Id="rId2214" Type="http://schemas.openxmlformats.org/officeDocument/2006/relationships/hyperlink" Target="https://acf.gov/ecd/policy-guidance/supporting-food-security-tribal" TargetMode="External"/><Relationship Id="rId740" Type="http://schemas.openxmlformats.org/officeDocument/2006/relationships/hyperlink" Target="https://acf.gov/cb/faq/can1" TargetMode="External"/><Relationship Id="rId1023" Type="http://schemas.openxmlformats.org/officeDocument/2006/relationships/hyperlink" Target="https://acf.gov/occ/policy-guidance/procedures-consolidate-child-care-and-development-fund-ccdf-program-other" TargetMode="External"/><Relationship Id="rId2421" Type="http://schemas.openxmlformats.org/officeDocument/2006/relationships/hyperlink" Target="https://acf.gov/orr/resource/changes-to-categorization-of-refugee-resettlement-programs" TargetMode="External"/><Relationship Id="rId600" Type="http://schemas.openxmlformats.org/officeDocument/2006/relationships/hyperlink" Target="https://acf.gov/cb/policy-guidance/pi-05-03" TargetMode="External"/><Relationship Id="rId1230" Type="http://schemas.openxmlformats.org/officeDocument/2006/relationships/hyperlink" Target="https://acf.gov/ocs/resource/dear-colleague-letter-2017-ocs-national-grantee-training-meetings" TargetMode="External"/><Relationship Id="rId183" Type="http://schemas.openxmlformats.org/officeDocument/2006/relationships/hyperlink" Target="https://acf.gov/cb/policy-guidance/guidance-about-seeking-personal-protective-equipment-child-welfare-workers" TargetMode="External"/><Relationship Id="rId390" Type="http://schemas.openxmlformats.org/officeDocument/2006/relationships/hyperlink" Target="https://acf.gov/cb/policy-guidance/im-97-08" TargetMode="External"/><Relationship Id="rId1907" Type="http://schemas.openxmlformats.org/officeDocument/2006/relationships/hyperlink" Target="https://acf.gov/css/policy-guidance/compliance-equal-treatment-regulations" TargetMode="External"/><Relationship Id="rId2071" Type="http://schemas.openxmlformats.org/officeDocument/2006/relationships/hyperlink" Target="https://acf.gov/css/policy-guidance/inclusion-self-insurers-federal-insurance-match" TargetMode="External"/><Relationship Id="rId250" Type="http://schemas.openxmlformats.org/officeDocument/2006/relationships/hyperlink" Target="https://acf.gov/cb/training-technical-assistance/ccwis-technical-bulletin-5" TargetMode="External"/><Relationship Id="rId110" Type="http://schemas.openxmlformats.org/officeDocument/2006/relationships/hyperlink" Target="https://acf.gov/cb/report/cfsr-state-led-case-review-criteria" TargetMode="External"/><Relationship Id="rId2888" Type="http://schemas.openxmlformats.org/officeDocument/2006/relationships/hyperlink" Target="https://acf.gov/ofa/policy-guidance/tanf-acf-pi-2022-04" TargetMode="External"/><Relationship Id="rId1697" Type="http://schemas.openxmlformats.org/officeDocument/2006/relationships/hyperlink" Target="https://acf.gov/css/policy-guidance/final-rule-income-and-eligibility-verification-procedures" TargetMode="External"/><Relationship Id="rId2748" Type="http://schemas.openxmlformats.org/officeDocument/2006/relationships/hyperlink" Target="https://acf.gov/sites/default/files/documents/orr/FG-9%20Interim%20Guidance%20Age%20Outs%20and%20Post-18%20Planning%202021%2002%2017.pdf" TargetMode="External"/><Relationship Id="rId2955" Type="http://schemas.openxmlformats.org/officeDocument/2006/relationships/hyperlink" Target="https://headstart.gov/policy/pi/acf-pi-hs-18-03" TargetMode="External"/><Relationship Id="rId927" Type="http://schemas.openxmlformats.org/officeDocument/2006/relationships/hyperlink" Target="https://acf.gov/occ/faq/why-does-conditional-approval-plan-not-constitute-final-determination-regarding-payment" TargetMode="External"/><Relationship Id="rId1557" Type="http://schemas.openxmlformats.org/officeDocument/2006/relationships/hyperlink" Target="https://acf.gov/css/policy-guidance/applicability-full-faith-and-credit-child-support-orders-act-states-and-tribes" TargetMode="External"/><Relationship Id="rId1764" Type="http://schemas.openxmlformats.org/officeDocument/2006/relationships/hyperlink" Target="https://acf.gov/css/policy-guidance/public-sources-states-share" TargetMode="External"/><Relationship Id="rId1971" Type="http://schemas.openxmlformats.org/officeDocument/2006/relationships/hyperlink" Target="https://acf.gov/css/policy-guidance/section-1115-grant-funding-streamlined-process" TargetMode="External"/><Relationship Id="rId2608" Type="http://schemas.openxmlformats.org/officeDocument/2006/relationships/hyperlink" Target="https://acf.gov/orr/policy-guidance/state-letter-05-16" TargetMode="External"/><Relationship Id="rId2815" Type="http://schemas.openxmlformats.org/officeDocument/2006/relationships/hyperlink" Target="https://acf.gov/ofa/policy-guidance/acp-outreach-tribal-tanf-grantees" TargetMode="External"/><Relationship Id="rId56" Type="http://schemas.openxmlformats.org/officeDocument/2006/relationships/hyperlink" Target="https://acf.gov/cb/policy-guidance/reminders-social-security-representative-payee-program" TargetMode="External"/><Relationship Id="rId1417" Type="http://schemas.openxmlformats.org/officeDocument/2006/relationships/hyperlink" Target="https://acf.gov/ocs/policy-guidance/liheap-dcl-3rd-quarter-allocation-update" TargetMode="External"/><Relationship Id="rId1624" Type="http://schemas.openxmlformats.org/officeDocument/2006/relationships/hyperlink" Target="https://acf.gov/css/policy-guidance/use-presumptive-child-support-guidelines-establish-and-collect-support" TargetMode="External"/><Relationship Id="rId1831" Type="http://schemas.openxmlformats.org/officeDocument/2006/relationships/hyperlink" Target="https://acf.gov/css/policy-guidance/new-open-comment-period-forms-ocse-396-and-ocse-34" TargetMode="External"/><Relationship Id="rId2398" Type="http://schemas.openxmlformats.org/officeDocument/2006/relationships/hyperlink" Target="https://acf.gov/orr/resource/missouri-replacement-designees" TargetMode="External"/><Relationship Id="rId577" Type="http://schemas.openxmlformats.org/officeDocument/2006/relationships/hyperlink" Target="https://acf.gov/cb/policy-guidance/pi-08-01" TargetMode="External"/><Relationship Id="rId2258" Type="http://schemas.openxmlformats.org/officeDocument/2006/relationships/hyperlink" Target="https://acf.gov/cb/training-technical-assistance/nytd-technical-bulletin-4-system-user-roles-and-responsibilities" TargetMode="External"/><Relationship Id="rId784" Type="http://schemas.openxmlformats.org/officeDocument/2006/relationships/hyperlink" Target="https://acf.gov/occ/resource/im2011-03" TargetMode="External"/><Relationship Id="rId991" Type="http://schemas.openxmlformats.org/officeDocument/2006/relationships/hyperlink" Target="https://acf.gov/occ/faq/does-law-require-states-pay-absence-days" TargetMode="External"/><Relationship Id="rId1067" Type="http://schemas.openxmlformats.org/officeDocument/2006/relationships/hyperlink" Target="https://acf.gov/ocs/policy-guidance/liheap-2025-04-model-plan-application-liheap-funding-federal-fiscal-year-2026" TargetMode="External"/><Relationship Id="rId2465" Type="http://schemas.openxmlformats.org/officeDocument/2006/relationships/hyperlink" Target="https://acf.gov/orr/resource/medical-costs-incurred-during-transit" TargetMode="External"/><Relationship Id="rId2672" Type="http://schemas.openxmlformats.org/officeDocument/2006/relationships/hyperlink" Target="https://acf.gov/orr/policy-guidance/state-letter-02-10" TargetMode="External"/><Relationship Id="rId437" Type="http://schemas.openxmlformats.org/officeDocument/2006/relationships/hyperlink" Target="https://acf.gov/cb/policy-guidance/im-89-03" TargetMode="External"/><Relationship Id="rId644" Type="http://schemas.openxmlformats.org/officeDocument/2006/relationships/hyperlink" Target="https://acf.gov/cb/policy-guidance/pi-98-05" TargetMode="External"/><Relationship Id="rId851" Type="http://schemas.openxmlformats.org/officeDocument/2006/relationships/hyperlink" Target="https://acf.gov/archive/occ/policy-guidance/resource/pi-2015-09" TargetMode="External"/><Relationship Id="rId1274" Type="http://schemas.openxmlformats.org/officeDocument/2006/relationships/hyperlink" Target="https://acf.gov/ocs/resource/liheap-dear-colleague-notice-on" TargetMode="External"/><Relationship Id="rId1481" Type="http://schemas.openxmlformats.org/officeDocument/2006/relationships/hyperlink" Target="https://acf.gov/css/policy-guidance/nprm-optional-exceptions-child-support-guidelines" TargetMode="External"/><Relationship Id="rId2118" Type="http://schemas.openxmlformats.org/officeDocument/2006/relationships/hyperlink" Target="https://acf.gov/css/faq/how-does-passport-denial-program-work" TargetMode="External"/><Relationship Id="rId2325" Type="http://schemas.openxmlformats.org/officeDocument/2006/relationships/hyperlink" Target="https://acf.gov/sites/default/files/documents/orr/dcl-23-10-fy-2023-asa-arhp-allocations.pdf" TargetMode="External"/><Relationship Id="rId2532" Type="http://schemas.openxmlformats.org/officeDocument/2006/relationships/hyperlink" Target="https://acf.gov/orr/policy-guidance/state-letter-09-30" TargetMode="External"/><Relationship Id="rId504" Type="http://schemas.openxmlformats.org/officeDocument/2006/relationships/hyperlink" Target="https://acf.gov/cb/policy-guidance/pi-16-03" TargetMode="External"/><Relationship Id="rId711" Type="http://schemas.openxmlformats.org/officeDocument/2006/relationships/hyperlink" Target="https://acf.gov/cb/policy-guidance/pi-82-06" TargetMode="External"/><Relationship Id="rId1134" Type="http://schemas.openxmlformats.org/officeDocument/2006/relationships/hyperlink" Target="https://acf.gov/ocs/resource/fiscal-year-2012-carryover-and-reallotment-report" TargetMode="External"/><Relationship Id="rId1341" Type="http://schemas.openxmlformats.org/officeDocument/2006/relationships/hyperlink" Target="https://acf.gov/ocs/resource/low-income-home-energy-assistance-program-report-to-congress-for-fiscal-0" TargetMode="External"/><Relationship Id="rId1201" Type="http://schemas.openxmlformats.org/officeDocument/2006/relationships/hyperlink" Target="https://acf.gov/ocs/policy-guidance/liheap-dcl-2021-04-second-funding-release-fy-2021" TargetMode="External"/><Relationship Id="rId294" Type="http://schemas.openxmlformats.org/officeDocument/2006/relationships/hyperlink" Target="https://acf.gov/cb/policy-guidance/im-14-04" TargetMode="External"/><Relationship Id="rId2182" Type="http://schemas.openxmlformats.org/officeDocument/2006/relationships/hyperlink" Target="https://acf.gov/css/training-technical-assistance/fast-levy-software-interface-specification" TargetMode="External"/><Relationship Id="rId3026" Type="http://schemas.openxmlformats.org/officeDocument/2006/relationships/hyperlink" Target="https://headstart.gov/designation-renewal-system/article/use-classroom-assessment-scoring-system-class-head-start-programs" TargetMode="External"/><Relationship Id="rId154" Type="http://schemas.openxmlformats.org/officeDocument/2006/relationships/hyperlink" Target="https://acf.gov/cb/policy-guidance/foster-youth-independence-initiative" TargetMode="External"/><Relationship Id="rId361" Type="http://schemas.openxmlformats.org/officeDocument/2006/relationships/hyperlink" Target="https://acf.gov/cb/policy-guidance/im-02-04" TargetMode="External"/><Relationship Id="rId2042" Type="http://schemas.openxmlformats.org/officeDocument/2006/relationships/hyperlink" Target="https://acf.gov/css/policy-guidance/impact-welfare-recidivism-prwora-child-support-arrears-distribution-policy" TargetMode="External"/><Relationship Id="rId2999" Type="http://schemas.openxmlformats.org/officeDocument/2006/relationships/hyperlink" Target="https://headstart.gov/ersea/article/identifying-barriers-enrollment-transportation" TargetMode="External"/><Relationship Id="rId221" Type="http://schemas.openxmlformats.org/officeDocument/2006/relationships/hyperlink" Target="https://acf.gov/cb/policy-guidance/im-19-03" TargetMode="External"/><Relationship Id="rId2859" Type="http://schemas.openxmlformats.org/officeDocument/2006/relationships/hyperlink" Target="https://acf.gov/ofa/policy-guidance/tanf-acf-im-2013-03-proposed-revisions-tanf-financial-data-collection" TargetMode="External"/><Relationship Id="rId1668" Type="http://schemas.openxmlformats.org/officeDocument/2006/relationships/hyperlink" Target="https://acf.gov/css/policy-guidance/final-rule-federal-income-tax-refund-offset" TargetMode="External"/><Relationship Id="rId1875" Type="http://schemas.openxmlformats.org/officeDocument/2006/relationships/hyperlink" Target="https://acf.gov/css/policy-guidance/manitoba-canada-addresses-and-procedures" TargetMode="External"/><Relationship Id="rId2719" Type="http://schemas.openxmlformats.org/officeDocument/2006/relationships/hyperlink" Target="https://acf.gov/orr/resource/state-letter-00-07" TargetMode="External"/><Relationship Id="rId1528" Type="http://schemas.openxmlformats.org/officeDocument/2006/relationships/hyperlink" Target="https://acf.gov/css/policy-guidance/nprm-child-support-enforcement-program-intergovernmental-child-support" TargetMode="External"/><Relationship Id="rId2926" Type="http://schemas.openxmlformats.org/officeDocument/2006/relationships/hyperlink" Target="https://headstart.gov/policy/im/acf-im-hs-14-07" TargetMode="External"/><Relationship Id="rId1735" Type="http://schemas.openxmlformats.org/officeDocument/2006/relationships/hyperlink" Target="https://acf.gov/css/policy-guidance/use-fpls-parental-kidnapping-and-child-custody-cases" TargetMode="External"/><Relationship Id="rId1942" Type="http://schemas.openxmlformats.org/officeDocument/2006/relationships/hyperlink" Target="https://acf.gov/css/policy-guidance/small-business-act-and-financial-assistance" TargetMode="External"/><Relationship Id="rId27" Type="http://schemas.openxmlformats.org/officeDocument/2006/relationships/hyperlink" Target="https://acf.gov/cb/faq/research-data-technology/miscellaneous/nytd/faq/section8" TargetMode="External"/><Relationship Id="rId1802" Type="http://schemas.openxmlformats.org/officeDocument/2006/relationships/hyperlink" Target="https://acf.gov/css/policy-guidance/federal-offset-and-pre-offset-notice-program-fees-fy-2024" TargetMode="External"/><Relationship Id="rId688" Type="http://schemas.openxmlformats.org/officeDocument/2006/relationships/hyperlink" Target="https://acf.gov/cb/policy-guidance/pi-89-07" TargetMode="External"/><Relationship Id="rId895" Type="http://schemas.openxmlformats.org/officeDocument/2006/relationships/hyperlink" Target="https://acf.gov/occ/policy-guidance/ccdf-acf-pi-2009-01" TargetMode="External"/><Relationship Id="rId2369" Type="http://schemas.openxmlformats.org/officeDocument/2006/relationships/hyperlink" Target="https://acf.gov/sites/default/files/documents/orr/DCL_21_08_COVID-19-Vaccination-and-Medical-Screening_5.20.2021.pdf" TargetMode="External"/><Relationship Id="rId2576" Type="http://schemas.openxmlformats.org/officeDocument/2006/relationships/hyperlink" Target="https://acf.gov/orr/policy-guidance/state-letter-07-16" TargetMode="External"/><Relationship Id="rId2783" Type="http://schemas.openxmlformats.org/officeDocument/2006/relationships/hyperlink" Target="https://acf.gov/orr/policy-guidance/assessment-grid-loan-committee" TargetMode="External"/><Relationship Id="rId2990" Type="http://schemas.openxmlformats.org/officeDocument/2006/relationships/hyperlink" Target="https://headstart.gov/school-readiness/article/head-start-approach-school-readiness-faqs" TargetMode="External"/><Relationship Id="rId548" Type="http://schemas.openxmlformats.org/officeDocument/2006/relationships/hyperlink" Target="https://acf.gov/cb/policy-guidance/pi-10-12" TargetMode="External"/><Relationship Id="rId755" Type="http://schemas.openxmlformats.org/officeDocument/2006/relationships/hyperlink" Target="https://acf.gov/occ/policy-guidance/use-federal-early-childhood-funds-housing-tribal-workforce-acf-occ-ccdf-im-24" TargetMode="External"/><Relationship Id="rId962" Type="http://schemas.openxmlformats.org/officeDocument/2006/relationships/hyperlink" Target="https://acf.gov/occ/faq/will-acf-be-extending-approved-tribal-plans" TargetMode="External"/><Relationship Id="rId1178" Type="http://schemas.openxmlformats.org/officeDocument/2006/relationships/hyperlink" Target="https://acf.gov/ocs/policy-guidance/liheap-data-dashboard-update" TargetMode="External"/><Relationship Id="rId1385" Type="http://schemas.openxmlformats.org/officeDocument/2006/relationships/hyperlink" Target="https://acf.gov/sites/default/files/documents/ocs/LIHEAP_Quarterly_Report_OLDC_Instructions_FY2024.pdf" TargetMode="External"/><Relationship Id="rId1592" Type="http://schemas.openxmlformats.org/officeDocument/2006/relationships/hyperlink" Target="https://acf.gov/css/policy-guidance/nprm-automated-data-processing-funding-limitation-child-support-enforcement" TargetMode="External"/><Relationship Id="rId2229" Type="http://schemas.openxmlformats.org/officeDocument/2006/relationships/hyperlink" Target="https://acf.gov/ecd/policy-guidance/dear-colleague-letter-tribal-leaders" TargetMode="External"/><Relationship Id="rId2436" Type="http://schemas.openxmlformats.org/officeDocument/2006/relationships/hyperlink" Target="https://acf.gov/sites/default/files/documents/orr/PL-22-15-RSS-Funded-Additional-Ukraine-Supplemental-Appropriations-Act-revised.pdf" TargetMode="External"/><Relationship Id="rId2643" Type="http://schemas.openxmlformats.org/officeDocument/2006/relationships/hyperlink" Target="https://acf.gov/orr/policy-guidance/state-letter-04-19" TargetMode="External"/><Relationship Id="rId2850" Type="http://schemas.openxmlformats.org/officeDocument/2006/relationships/hyperlink" Target="https://acf.gov/ofa/policy-guidance/tanf-acf-pi-2008-07-form-acf-199-tanf-data-report-and-form-acf-209-ssp-moe-data" TargetMode="External"/><Relationship Id="rId91" Type="http://schemas.openxmlformats.org/officeDocument/2006/relationships/hyperlink" Target="https://acf.gov/cb/policy-guidance/im2302" TargetMode="External"/><Relationship Id="rId408" Type="http://schemas.openxmlformats.org/officeDocument/2006/relationships/hyperlink" Target="https://acf.gov/cb/policy-guidance/im-94-23" TargetMode="External"/><Relationship Id="rId615" Type="http://schemas.openxmlformats.org/officeDocument/2006/relationships/hyperlink" Target="https://acf.gov/cb/policy-guidance/pi-02-08" TargetMode="External"/><Relationship Id="rId822" Type="http://schemas.openxmlformats.org/officeDocument/2006/relationships/hyperlink" Target="https://acf.gov/occ/policy-guidance/ccdf-acf-pi-2022-09" TargetMode="External"/><Relationship Id="rId1038" Type="http://schemas.openxmlformats.org/officeDocument/2006/relationships/hyperlink" Target="https://acf.gov/occ/policy-guidance/clarifications-reporting-ccdf-direct-services-acf-801-report-during-covid-19" TargetMode="External"/><Relationship Id="rId1245" Type="http://schemas.openxmlformats.org/officeDocument/2006/relationships/hyperlink" Target="https://acf.gov/ocs/resource/liheap-dear-colleague-on-zika-virus-outbreak" TargetMode="External"/><Relationship Id="rId1452" Type="http://schemas.openxmlformats.org/officeDocument/2006/relationships/hyperlink" Target="https://acf.gov/css/policy-guidance/snap-only-cases-federal-reporting-forms" TargetMode="External"/><Relationship Id="rId2503" Type="http://schemas.openxmlformats.org/officeDocument/2006/relationships/hyperlink" Target="https://acf.gov/orr/policy-guidance/state-letter-13-06" TargetMode="External"/><Relationship Id="rId1105" Type="http://schemas.openxmlformats.org/officeDocument/2006/relationships/hyperlink" Target="https://acf.gov/ocs/resource/model-plan-application-for-liheap-funding-for-fiscal-year-2019" TargetMode="External"/><Relationship Id="rId1312" Type="http://schemas.openxmlformats.org/officeDocument/2006/relationships/hyperlink" Target="https://acf.gov/ocs/policy-guidance/liheap-im-2021-01-heat-stress-flexibilities-and-resources" TargetMode="External"/><Relationship Id="rId2710" Type="http://schemas.openxmlformats.org/officeDocument/2006/relationships/hyperlink" Target="https://acf.gov/archive/orr/policy-guidance/clarification-acceptable-documentation-category-one-cuban-and-haitian" TargetMode="External"/><Relationship Id="rId198" Type="http://schemas.openxmlformats.org/officeDocument/2006/relationships/hyperlink" Target="https://acf.gov/cb/policy-guidance/pi-20-06" TargetMode="External"/><Relationship Id="rId2086" Type="http://schemas.openxmlformats.org/officeDocument/2006/relationships/hyperlink" Target="https://acf.gov/css/policy-guidance/use-iv-d-funding-pay-private-attorney-fees-establishment-and-modification" TargetMode="External"/><Relationship Id="rId2293" Type="http://schemas.openxmlformats.org/officeDocument/2006/relationships/hyperlink" Target="https://acf.gov/sites/default/files/documents/orr/ORR_DCL_24_04_Timely_Placement_of_UC_into_the_URM_Program.pdf" TargetMode="External"/><Relationship Id="rId265" Type="http://schemas.openxmlformats.org/officeDocument/2006/relationships/hyperlink" Target="https://acf.gov/cb/policy-guidance/81-01" TargetMode="External"/><Relationship Id="rId472" Type="http://schemas.openxmlformats.org/officeDocument/2006/relationships/hyperlink" Target="https://acf.gov/cb/policy-guidance/im-84-29" TargetMode="External"/><Relationship Id="rId2153" Type="http://schemas.openxmlformats.org/officeDocument/2006/relationships/hyperlink" Target="https://acf.gov/css/faq/there-application-fee" TargetMode="External"/><Relationship Id="rId2360" Type="http://schemas.openxmlformats.org/officeDocument/2006/relationships/hyperlink" Target="https://acf.gov/sites/default/files/documents/orr/ORR-DCL-21-17-RSS-SIV-Supplemental-Allocation.pdf" TargetMode="External"/><Relationship Id="rId125" Type="http://schemas.openxmlformats.org/officeDocument/2006/relationships/hyperlink" Target="https://acf.gov/cb/training-technical-assistance/ccwis-design-requirements-self-assessment" TargetMode="External"/><Relationship Id="rId332" Type="http://schemas.openxmlformats.org/officeDocument/2006/relationships/hyperlink" Target="https://acf.gov/cb/policy-guidance/im-06-02" TargetMode="External"/><Relationship Id="rId2013" Type="http://schemas.openxmlformats.org/officeDocument/2006/relationships/hyperlink" Target="https://acf.gov/css/policy-guidance/earned-income-tax-credit" TargetMode="External"/><Relationship Id="rId2220" Type="http://schemas.openxmlformats.org/officeDocument/2006/relationships/hyperlink" Target="https://acf.gov/ecd/policy-guidance/letter-tribal-leaders-stac" TargetMode="External"/><Relationship Id="rId1779" Type="http://schemas.openxmlformats.org/officeDocument/2006/relationships/hyperlink" Target="https://acf.gov/css/policy-guidance/final-rule-employment-training-services-ncps-child-support" TargetMode="External"/><Relationship Id="rId1986" Type="http://schemas.openxmlformats.org/officeDocument/2006/relationships/hyperlink" Target="https://acf.gov/css/policy-guidance/iv-d-state-plan-training-materials" TargetMode="External"/><Relationship Id="rId1639" Type="http://schemas.openxmlformats.org/officeDocument/2006/relationships/hyperlink" Target="https://acf.gov/css/policy-guidance/audit-resolution-process-ocse-audits" TargetMode="External"/><Relationship Id="rId1846" Type="http://schemas.openxmlformats.org/officeDocument/2006/relationships/hyperlink" Target="https://acf.gov/css/policy-guidance/open-comment-period-msfidm-fast-levy-collection-activity" TargetMode="External"/><Relationship Id="rId1706" Type="http://schemas.openxmlformats.org/officeDocument/2006/relationships/hyperlink" Target="https://acf.gov/css/policy-guidance/final-rule-former-spouse-payments-retired-pay" TargetMode="External"/><Relationship Id="rId1913" Type="http://schemas.openxmlformats.org/officeDocument/2006/relationships/hyperlink" Target="https://acf.gov/css/policy-guidance/federal-parent-locator-service-continuous-service-improvement-questions-and" TargetMode="External"/><Relationship Id="rId799" Type="http://schemas.openxmlformats.org/officeDocument/2006/relationships/hyperlink" Target="https://acf.gov/occ/resource/111-312-tribes" TargetMode="External"/><Relationship Id="rId2687" Type="http://schemas.openxmlformats.org/officeDocument/2006/relationships/hyperlink" Target="https://acf.gov/archive/otip/training-technical-assistance/state-letter-02-25" TargetMode="External"/><Relationship Id="rId2894" Type="http://schemas.openxmlformats.org/officeDocument/2006/relationships/hyperlink" Target="https://acf.gov/ofa/policy-guidance/tanf-acf-pi-2020-05" TargetMode="External"/><Relationship Id="rId659" Type="http://schemas.openxmlformats.org/officeDocument/2006/relationships/hyperlink" Target="https://acf.gov/cb/policy-guidance/pi-96-01" TargetMode="External"/><Relationship Id="rId866" Type="http://schemas.openxmlformats.org/officeDocument/2006/relationships/hyperlink" Target="https://acf.gov/occ/policy-guidance/program-instruction-ccdf-acf-pi-2012-07" TargetMode="External"/><Relationship Id="rId1289" Type="http://schemas.openxmlformats.org/officeDocument/2006/relationships/hyperlink" Target="https://acf.gov/ocs/resource/liheap-webinar-on-block-grant-funds-for-fy-2012" TargetMode="External"/><Relationship Id="rId1496" Type="http://schemas.openxmlformats.org/officeDocument/2006/relationships/hyperlink" Target="https://acf.gov/css/policy-guidance/modernizing-child-support-enforcement-fees" TargetMode="External"/><Relationship Id="rId2547" Type="http://schemas.openxmlformats.org/officeDocument/2006/relationships/hyperlink" Target="https://acf.gov/orr/policy-guidance/state-letter-09-06" TargetMode="External"/><Relationship Id="rId519" Type="http://schemas.openxmlformats.org/officeDocument/2006/relationships/hyperlink" Target="https://acf.gov/cb/policy-guidance/pi-14-04" TargetMode="External"/><Relationship Id="rId1149" Type="http://schemas.openxmlformats.org/officeDocument/2006/relationships/hyperlink" Target="https://acf.gov/ocs/resource/plan-supplement-required-for-fiscal-year-2011" TargetMode="External"/><Relationship Id="rId1356" Type="http://schemas.openxmlformats.org/officeDocument/2006/relationships/hyperlink" Target="https://acf.gov/ocs/resource/federal-poverty-guidelines-for-mandatory-use-in-federal-fiscal-year-2012" TargetMode="External"/><Relationship Id="rId2754" Type="http://schemas.openxmlformats.org/officeDocument/2006/relationships/hyperlink" Target="https://acf.gov/sites/default/files/documents/orr/DNA_Testing_Instruction_Sheet.pdf" TargetMode="External"/><Relationship Id="rId2961" Type="http://schemas.openxmlformats.org/officeDocument/2006/relationships/hyperlink" Target="https://headstart.gov/policy/pi/acf-pi-hs-16-02" TargetMode="External"/><Relationship Id="rId726" Type="http://schemas.openxmlformats.org/officeDocument/2006/relationships/hyperlink" Target="https://acf.gov/cb/faq/grandparent-rights2" TargetMode="External"/><Relationship Id="rId933" Type="http://schemas.openxmlformats.org/officeDocument/2006/relationships/hyperlink" Target="https://acf.gov/occ/faq/what-does-it-mean-not-unduly-disrupt-employment" TargetMode="External"/><Relationship Id="rId1009" Type="http://schemas.openxmlformats.org/officeDocument/2006/relationships/hyperlink" Target="https://acf.gov/occ/policy-guidance/program-instruction-supplemental-disaster-funds" TargetMode="External"/><Relationship Id="rId1563" Type="http://schemas.openxmlformats.org/officeDocument/2006/relationships/hyperlink" Target="https://acf.gov/css/policy-guidance/final-rule-state-self-assessment" TargetMode="External"/><Relationship Id="rId1770" Type="http://schemas.openxmlformats.org/officeDocument/2006/relationships/hyperlink" Target="https://acf.gov/css/policy-guidance/2025-open-comment-period-standard-intergovernmental-forms" TargetMode="External"/><Relationship Id="rId2407" Type="http://schemas.openxmlformats.org/officeDocument/2006/relationships/hyperlink" Target="https://acf.gov/orr/resource/texas-replacement-designees" TargetMode="External"/><Relationship Id="rId2614" Type="http://schemas.openxmlformats.org/officeDocument/2006/relationships/hyperlink" Target="https://acf.gov/orr/policy-guidance/state-letter-05-22" TargetMode="External"/><Relationship Id="rId2821" Type="http://schemas.openxmlformats.org/officeDocument/2006/relationships/hyperlink" Target="https://acf.gov/ofa/policy-guidance/2014-child-care-reauthorization-and-opportunities-tanf-and-ccdf" TargetMode="External"/><Relationship Id="rId62" Type="http://schemas.openxmlformats.org/officeDocument/2006/relationships/hyperlink" Target="https://acf.gov/cb/faq/nofo-complex-needs-defined" TargetMode="External"/><Relationship Id="rId1216" Type="http://schemas.openxmlformats.org/officeDocument/2006/relationships/hyperlink" Target="https://acf.gov/ocs/resource/liheap-dcl-2020-11-invitation-to-comment-on-the-council-on-economic-mobilitys-request-for-information" TargetMode="External"/><Relationship Id="rId1423" Type="http://schemas.openxmlformats.org/officeDocument/2006/relationships/hyperlink" Target="https://acf.gov/ocs/policy-guidance/liheap-dcl-allocations-under-current-continuing-resolution-fy-2013" TargetMode="External"/><Relationship Id="rId1630" Type="http://schemas.openxmlformats.org/officeDocument/2006/relationships/hyperlink" Target="https://acf.gov/css/policy-guidance/final-rule-revision-timeframes-distributing-5000-pass-through-payments" TargetMode="External"/><Relationship Id="rId2197" Type="http://schemas.openxmlformats.org/officeDocument/2006/relationships/hyperlink" Target="https://acf.gov/css/training-technical-assistance/guidebook-common-methodology-determining-ndnh-attributable-child" TargetMode="External"/><Relationship Id="rId169" Type="http://schemas.openxmlformats.org/officeDocument/2006/relationships/hyperlink" Target="https://acf.gov/cb/policy-guidance/cfsp/apsr-reporting-schedule-states-and-tribes" TargetMode="External"/><Relationship Id="rId376" Type="http://schemas.openxmlformats.org/officeDocument/2006/relationships/hyperlink" Target="https://acf.gov/cb/policy-guidance/im-00-04" TargetMode="External"/><Relationship Id="rId583" Type="http://schemas.openxmlformats.org/officeDocument/2006/relationships/hyperlink" Target="https://acf.gov/cb/policy-guidance/pi-07-07" TargetMode="External"/><Relationship Id="rId790" Type="http://schemas.openxmlformats.org/officeDocument/2006/relationships/hyperlink" Target="https://acf.gov/occ/policy-guidance/acyf-im-cc-05-03" TargetMode="External"/><Relationship Id="rId2057" Type="http://schemas.openxmlformats.org/officeDocument/2006/relationships/hyperlink" Target="https://acf.gov/css/policy-guidance/responding-specific-measures-requests-hague-convention-countries" TargetMode="External"/><Relationship Id="rId2264" Type="http://schemas.openxmlformats.org/officeDocument/2006/relationships/hyperlink" Target="https://acf.gov/cb/training-technical-assistance/engaging-17-year-olds-nytd-survey" TargetMode="External"/><Relationship Id="rId2471" Type="http://schemas.openxmlformats.org/officeDocument/2006/relationships/hyperlink" Target="https://acf.gov/orr/resource/medical-copays-and-out-of-pocket-costs-in-the-urm-program" TargetMode="External"/><Relationship Id="rId236" Type="http://schemas.openxmlformats.org/officeDocument/2006/relationships/hyperlink" Target="https://acf.gov/cb/data/ccwis-status-end-transition-period-july-31-2018" TargetMode="External"/><Relationship Id="rId443" Type="http://schemas.openxmlformats.org/officeDocument/2006/relationships/hyperlink" Target="https://acf.gov/cb/policy-guidance/im-88-15" TargetMode="External"/><Relationship Id="rId650" Type="http://schemas.openxmlformats.org/officeDocument/2006/relationships/hyperlink" Target="https://acf.gov/cb/policy-guidance/pi-97-03" TargetMode="External"/><Relationship Id="rId1073" Type="http://schemas.openxmlformats.org/officeDocument/2006/relationships/hyperlink" Target="https://acf.gov/ocs/policy-guidance/acf-ocs-liheap-2024-05-carryover-and-reallotment-report-fy-2024" TargetMode="External"/><Relationship Id="rId1280" Type="http://schemas.openxmlformats.org/officeDocument/2006/relationships/hyperlink" Target="https://acf.gov/ocs/resource/liheap-allocation-for-territories-fy-2014" TargetMode="External"/><Relationship Id="rId2124" Type="http://schemas.openxmlformats.org/officeDocument/2006/relationships/hyperlink" Target="https://acf.gov/css/faq/thrift-savings-plan-questions-answers-ocss" TargetMode="External"/><Relationship Id="rId2331" Type="http://schemas.openxmlformats.org/officeDocument/2006/relationships/hyperlink" Target="https://acf.gov/sites/default/files/documents/orr/DCL-23-04-Refugee-School-Impact-Set-Aside-FY2023-Funding.pdf" TargetMode="External"/><Relationship Id="rId303" Type="http://schemas.openxmlformats.org/officeDocument/2006/relationships/hyperlink" Target="https://acf.gov/cb/policy-guidance/im-12-05" TargetMode="External"/><Relationship Id="rId1140" Type="http://schemas.openxmlformats.org/officeDocument/2006/relationships/hyperlink" Target="https://acf.gov/ocs/resource/fy-2011-carryover-and-reallotment-report" TargetMode="External"/><Relationship Id="rId510" Type="http://schemas.openxmlformats.org/officeDocument/2006/relationships/hyperlink" Target="https://acf.gov/cb/policy-guidance/pi-15-07" TargetMode="External"/><Relationship Id="rId1000" Type="http://schemas.openxmlformats.org/officeDocument/2006/relationships/hyperlink" Target="https://acf.gov/occ/training-technical-assistance/technical-bulletin-1r-v5" TargetMode="External"/><Relationship Id="rId1957" Type="http://schemas.openxmlformats.org/officeDocument/2006/relationships/hyperlink" Target="https://acf.gov/css/policy-guidance/section-1115-waivers-fund-ncp-work-activities-update" TargetMode="External"/><Relationship Id="rId1817" Type="http://schemas.openxmlformats.org/officeDocument/2006/relationships/hyperlink" Target="https://acf.gov/css/policy-guidance/german-federal-office-justice-not-accepting-checks-after-march-20-2023" TargetMode="External"/><Relationship Id="rId3032" Type="http://schemas.openxmlformats.org/officeDocument/2006/relationships/hyperlink" Target="https://headstart.gov/publication/services-children-who-do-not-qualify-idea" TargetMode="External"/><Relationship Id="rId160" Type="http://schemas.openxmlformats.org/officeDocument/2006/relationships/hyperlink" Target="https://acf.gov/cb/policy-guidance/im-20-08" TargetMode="External"/><Relationship Id="rId2798" Type="http://schemas.openxmlformats.org/officeDocument/2006/relationships/hyperlink" Target="https://acf.gov/ohsepr/policy-guidance/planning-training-exercises-information-memorandum" TargetMode="External"/><Relationship Id="rId977" Type="http://schemas.openxmlformats.org/officeDocument/2006/relationships/hyperlink" Target="https://acf.gov/occ/faq/what-are-costs-comprehensive-background-check" TargetMode="External"/><Relationship Id="rId2658" Type="http://schemas.openxmlformats.org/officeDocument/2006/relationships/hyperlink" Target="https://acf.gov/orr/policy-guidance/state-letter-03-16" TargetMode="External"/><Relationship Id="rId2865" Type="http://schemas.openxmlformats.org/officeDocument/2006/relationships/hyperlink" Target="https://acf.gov/ofa/policy-guidance/tanf-acf-pi-2014-04-renewed-form-acf-202-caseload-reduction-report" TargetMode="External"/><Relationship Id="rId837" Type="http://schemas.openxmlformats.org/officeDocument/2006/relationships/hyperlink" Target="https://acf.gov/occ/resource/ccdf-acf-pi-2020-03" TargetMode="External"/><Relationship Id="rId1467" Type="http://schemas.openxmlformats.org/officeDocument/2006/relationships/hyperlink" Target="https://acf.gov/css/policy-guidance/tribal-direct-funding-request-45-cfr-309-plan" TargetMode="External"/><Relationship Id="rId1674" Type="http://schemas.openxmlformats.org/officeDocument/2006/relationships/hyperlink" Target="https://acf.gov/css/policy-guidance/prorating-costs-relating-approved-apd-expenditures" TargetMode="External"/><Relationship Id="rId1881" Type="http://schemas.openxmlformats.org/officeDocument/2006/relationships/hyperlink" Target="https://acf.gov/css/policy-guidance/erroneous-federal-tax-refund-offsets-based-upon-fraudulent-returns" TargetMode="External"/><Relationship Id="rId2518" Type="http://schemas.openxmlformats.org/officeDocument/2006/relationships/hyperlink" Target="https://acf.gov/orr/policy-guidance/state-letter-11-06" TargetMode="External"/><Relationship Id="rId2725" Type="http://schemas.openxmlformats.org/officeDocument/2006/relationships/hyperlink" Target="https://acf.gov/orr/resource/state-letter-00-16" TargetMode="External"/><Relationship Id="rId2932" Type="http://schemas.openxmlformats.org/officeDocument/2006/relationships/hyperlink" Target="https://headstart.gov/policy/pi/acf-ohs-pi-25-02" TargetMode="External"/><Relationship Id="rId904" Type="http://schemas.openxmlformats.org/officeDocument/2006/relationships/hyperlink" Target="https://acf.gov/occ/training-technical-assistance/occ/training-technical-assistance/acf-800-state-level-data" TargetMode="External"/><Relationship Id="rId1327" Type="http://schemas.openxmlformats.org/officeDocument/2006/relationships/hyperlink" Target="https://acf.gov/ocs/resource/liheap-im-2016-03-state-median-income-estimates-for-optional-use-in-ffy-2016-and-mandatory-use-in-ffy-2017" TargetMode="External"/><Relationship Id="rId1534" Type="http://schemas.openxmlformats.org/officeDocument/2006/relationships/hyperlink" Target="https://acf.gov/css/policy-guidance/assignment-and-distribution-child-support-under-sections-408a3-and-457-social" TargetMode="External"/><Relationship Id="rId1741" Type="http://schemas.openxmlformats.org/officeDocument/2006/relationships/hyperlink" Target="https://acf.gov/css/policy-guidance/requirements-receiving-expanded-federal-matching-court-costs-revision-80-14" TargetMode="External"/><Relationship Id="rId33" Type="http://schemas.openxmlformats.org/officeDocument/2006/relationships/hyperlink" Target="https://acf.gov/cb/training-technical-assistance/tu1-nytd-file-upload" TargetMode="External"/><Relationship Id="rId1601" Type="http://schemas.openxmlformats.org/officeDocument/2006/relationships/hyperlink" Target="https://acf.gov/css/policy-guidance/reduction-federal-financial-participation-ffp-rates-child-support-enforcement" TargetMode="External"/><Relationship Id="rId487" Type="http://schemas.openxmlformats.org/officeDocument/2006/relationships/hyperlink" Target="https://acf.gov/cb/training-technical-assistance/cfsr-technical-bulletin-1-implementation-training" TargetMode="External"/><Relationship Id="rId694" Type="http://schemas.openxmlformats.org/officeDocument/2006/relationships/hyperlink" Target="https://acf.gov/cb/policy-guidance/pi-86-03" TargetMode="External"/><Relationship Id="rId2168" Type="http://schemas.openxmlformats.org/officeDocument/2006/relationships/hyperlink" Target="https://acf.gov/css/training-technical-assistance/irg-state-and-tribal-administrators-guide" TargetMode="External"/><Relationship Id="rId2375" Type="http://schemas.openxmlformats.org/officeDocument/2006/relationships/hyperlink" Target="https://acf.gov/sites/default/files/documents/orr/dcl_21_01_wftcp_grantees.pdf" TargetMode="External"/><Relationship Id="rId347" Type="http://schemas.openxmlformats.org/officeDocument/2006/relationships/hyperlink" Target="https://acf.gov/cb/policy-guidance/im-04-03" TargetMode="External"/><Relationship Id="rId1184" Type="http://schemas.openxmlformats.org/officeDocument/2006/relationships/hyperlink" Target="https://acf.gov/ocs/policy-guidance/liheap-dcl-2022-03-preparation-data-collection-and-reporting-enhancements" TargetMode="External"/><Relationship Id="rId2028" Type="http://schemas.openxmlformats.org/officeDocument/2006/relationships/hyperlink" Target="https://acf.gov/css/policy-guidance/reactivating-fpls-external-locate-function-department-defense-verify-employment" TargetMode="External"/><Relationship Id="rId2582" Type="http://schemas.openxmlformats.org/officeDocument/2006/relationships/hyperlink" Target="https://acf.gov/orr/policy-guidance/state-letter-06-07" TargetMode="External"/><Relationship Id="rId554" Type="http://schemas.openxmlformats.org/officeDocument/2006/relationships/hyperlink" Target="https://acf.gov/cb/policy-guidance/pi-10-06" TargetMode="External"/><Relationship Id="rId761" Type="http://schemas.openxmlformats.org/officeDocument/2006/relationships/hyperlink" Target="https://acf.gov/occ/policy-guidance/ccdf-acf-im-2021-02" TargetMode="External"/><Relationship Id="rId1391" Type="http://schemas.openxmlformats.org/officeDocument/2006/relationships/hyperlink" Target="https://acf.gov/ocs/resource/lead-paint-hazard-control-and-weatherization" TargetMode="External"/><Relationship Id="rId2235" Type="http://schemas.openxmlformats.org/officeDocument/2006/relationships/hyperlink" Target="https://acf.gov/ecd/policy-guidance/interagency-policy-board-report-secretaries" TargetMode="External"/><Relationship Id="rId2442" Type="http://schemas.openxmlformats.org/officeDocument/2006/relationships/hyperlink" Target="https://acf.gov/sites/default/files/documents/orr/orr-pl-22-08-services-to-older-refugees-program-2021-12-08-revised.pdf" TargetMode="External"/><Relationship Id="rId207" Type="http://schemas.openxmlformats.org/officeDocument/2006/relationships/hyperlink" Target="https://acf.gov/cb/policy-guidance/im-20-01" TargetMode="External"/><Relationship Id="rId414" Type="http://schemas.openxmlformats.org/officeDocument/2006/relationships/hyperlink" Target="https://acf.gov/cb/policy-guidance/oism-acf-im-93-4" TargetMode="External"/><Relationship Id="rId621" Type="http://schemas.openxmlformats.org/officeDocument/2006/relationships/hyperlink" Target="https://acf.gov/cb/policy-guidance/pi-02-01" TargetMode="External"/><Relationship Id="rId1044" Type="http://schemas.openxmlformats.org/officeDocument/2006/relationships/hyperlink" Target="https://acf.gov/occ/policy-guidance/tribal-home-visiting-implementation-plan-guidance-cohort-3" TargetMode="External"/><Relationship Id="rId1251" Type="http://schemas.openxmlformats.org/officeDocument/2006/relationships/hyperlink" Target="https://acf.gov/ocs/resource/liheap-dear-colleague-letter-2015-funding-release" TargetMode="External"/><Relationship Id="rId2302" Type="http://schemas.openxmlformats.org/officeDocument/2006/relationships/hyperlink" Target="https://acf.gov/sites/default/files/documents/orr/dcl-23-34-fy23-24-cma-deadline-extension.pdf" TargetMode="External"/><Relationship Id="rId1111" Type="http://schemas.openxmlformats.org/officeDocument/2006/relationships/hyperlink" Target="https://acf.gov/ocs/resource/liheap-at-2016-01-fy-2015-carryover-and-reallotment-report" TargetMode="External"/><Relationship Id="rId1928" Type="http://schemas.openxmlformats.org/officeDocument/2006/relationships/hyperlink" Target="https://acf.gov/css/policy-guidance/computer-data-match-between-department-education-and-ndnh" TargetMode="External"/><Relationship Id="rId2092" Type="http://schemas.openxmlformats.org/officeDocument/2006/relationships/hyperlink" Target="https://acf.gov/css/policy-guidance/medical-support-child-support-orders-definition-reasonable-cost" TargetMode="External"/><Relationship Id="rId271" Type="http://schemas.openxmlformats.org/officeDocument/2006/relationships/hyperlink" Target="https://acf.gov/cb/policy-guidance/79-12" TargetMode="External"/><Relationship Id="rId3003" Type="http://schemas.openxmlformats.org/officeDocument/2006/relationships/hyperlink" Target="https://headstart.gov/policy/article/detailed-summary-updates-performance-standards" TargetMode="External"/><Relationship Id="rId131" Type="http://schemas.openxmlformats.org/officeDocument/2006/relationships/hyperlink" Target="https://acf.gov/cb/faq/custody2" TargetMode="External"/><Relationship Id="rId2769" Type="http://schemas.openxmlformats.org/officeDocument/2006/relationships/hyperlink" Target="https://acf.gov/sites/default/files/documents/orr/poster_english.pdf" TargetMode="External"/><Relationship Id="rId2976" Type="http://schemas.openxmlformats.org/officeDocument/2006/relationships/hyperlink" Target="https://headstart.gov/about-us/article/head-start-faqs" TargetMode="External"/><Relationship Id="rId948" Type="http://schemas.openxmlformats.org/officeDocument/2006/relationships/hyperlink" Target="https://acf.gov/occ/faq/what-information-about-background-checks-must-states-make-publicly-available" TargetMode="External"/><Relationship Id="rId1578" Type="http://schemas.openxmlformats.org/officeDocument/2006/relationships/hyperlink" Target="https://acf.gov/css/policy-guidance/prwora-requiring-placement-family-violence-indicator" TargetMode="External"/><Relationship Id="rId1785" Type="http://schemas.openxmlformats.org/officeDocument/2006/relationships/hyperlink" Target="https://acf.gov/css/policy-guidance/open-comment-period-state-self-assessment-report" TargetMode="External"/><Relationship Id="rId1992" Type="http://schemas.openxmlformats.org/officeDocument/2006/relationships/hyperlink" Target="https://acf.gov/css/policy-guidance/procedures-sending-payments-norway" TargetMode="External"/><Relationship Id="rId2629" Type="http://schemas.openxmlformats.org/officeDocument/2006/relationships/hyperlink" Target="https://acf.gov/orr/policy-guidance/state-letter-04-05" TargetMode="External"/><Relationship Id="rId2836" Type="http://schemas.openxmlformats.org/officeDocument/2006/relationships/hyperlink" Target="https://acf.gov/ofa/policy-guidance/work-verification-plan-guide" TargetMode="External"/><Relationship Id="rId77" Type="http://schemas.openxmlformats.org/officeDocument/2006/relationships/hyperlink" Target="https://acf.gov/cb/policy-guidance/im-23-05" TargetMode="External"/><Relationship Id="rId808" Type="http://schemas.openxmlformats.org/officeDocument/2006/relationships/hyperlink" Target="https://acf.gov/occ/policy-guidance/submit-tribal-ccdf-plan-2026-2028-acf-occ-ccdf-pi-2025-03" TargetMode="External"/><Relationship Id="rId1438" Type="http://schemas.openxmlformats.org/officeDocument/2006/relationships/hyperlink" Target="https://acf.gov/ocs/policy-guidance/liheap-im-2010-13-use-liheap-funds-coordinated-vendor-assistance-programs-0" TargetMode="External"/><Relationship Id="rId1645" Type="http://schemas.openxmlformats.org/officeDocument/2006/relationships/hyperlink" Target="https://acf.gov/css/policy-guidance/nprm-federal-parent-locator-service-fees" TargetMode="External"/><Relationship Id="rId1852" Type="http://schemas.openxmlformats.org/officeDocument/2006/relationships/hyperlink" Target="https://acf.gov/css/policy-guidance/open-comment-period-intergovernmental-reference-guide" TargetMode="External"/><Relationship Id="rId2903" Type="http://schemas.openxmlformats.org/officeDocument/2006/relationships/hyperlink" Target="https://headstart.gov/policy/im/acf-ohs-im-24-03" TargetMode="External"/><Relationship Id="rId1505" Type="http://schemas.openxmlformats.org/officeDocument/2006/relationships/hyperlink" Target="https://acf.gov/css/policy-guidance/final-rule-flexibility-efficiency-and-modernization-child-support-enforcement" TargetMode="External"/><Relationship Id="rId1712" Type="http://schemas.openxmlformats.org/officeDocument/2006/relationships/hyperlink" Target="https://acf.gov/css/policy-guidance/revised-application-form-request-full-collection-services-irs" TargetMode="External"/><Relationship Id="rId598" Type="http://schemas.openxmlformats.org/officeDocument/2006/relationships/hyperlink" Target="https://acf.gov/cb/policy-guidance/pi-05-04" TargetMode="External"/><Relationship Id="rId2279" Type="http://schemas.openxmlformats.org/officeDocument/2006/relationships/hyperlink" Target="https://acf.gov/orr/policy/dear-colleague-letters/25-05" TargetMode="External"/><Relationship Id="rId2486" Type="http://schemas.openxmlformats.org/officeDocument/2006/relationships/hyperlink" Target="https://acf.gov/orr/policy-guidance/state-letter-15-12" TargetMode="External"/><Relationship Id="rId2693" Type="http://schemas.openxmlformats.org/officeDocument/2006/relationships/hyperlink" Target="https://acf.gov/orr/policy-guidance/state-letter-02-34" TargetMode="External"/><Relationship Id="rId458" Type="http://schemas.openxmlformats.org/officeDocument/2006/relationships/hyperlink" Target="https://acf.gov/cb/policy-guidance/im-86-26" TargetMode="External"/><Relationship Id="rId665" Type="http://schemas.openxmlformats.org/officeDocument/2006/relationships/hyperlink" Target="https://acf.gov/cb/policy-guidance/pi-94-15" TargetMode="External"/><Relationship Id="rId872" Type="http://schemas.openxmlformats.org/officeDocument/2006/relationships/hyperlink" Target="https://acf.gov/occ/resource/pi-2012-01" TargetMode="External"/><Relationship Id="rId1088" Type="http://schemas.openxmlformats.org/officeDocument/2006/relationships/hyperlink" Target="https://acf.gov/ocs/policy-guidance/liheap-2021-03-model-plan-fy2022" TargetMode="External"/><Relationship Id="rId1295" Type="http://schemas.openxmlformats.org/officeDocument/2006/relationships/hyperlink" Target="https://acf.gov/ocs/policy-guidance/acf-ocs-liheap-im-2025-01-compliance-monitoring-process-overview-and-trends-fy" TargetMode="External"/><Relationship Id="rId2139" Type="http://schemas.openxmlformats.org/officeDocument/2006/relationships/hyperlink" Target="https://acf.gov/css/faq/how-do-i-sign-up-child-support-services" TargetMode="External"/><Relationship Id="rId2346" Type="http://schemas.openxmlformats.org/officeDocument/2006/relationships/hyperlink" Target="https://acf.gov/sites/default/files/documents/orr/ORR-DCL-22-13-ARSI-FY2022-Second-Allocation.pdf" TargetMode="External"/><Relationship Id="rId2553" Type="http://schemas.openxmlformats.org/officeDocument/2006/relationships/hyperlink" Target="https://acf.gov/orr/policy-guidance/state-letter-08-04" TargetMode="External"/><Relationship Id="rId2760" Type="http://schemas.openxmlformats.org/officeDocument/2006/relationships/hyperlink" Target="https://acf.gov/orr/programs/uac/legal-resource-guide" TargetMode="External"/><Relationship Id="rId318" Type="http://schemas.openxmlformats.org/officeDocument/2006/relationships/hyperlink" Target="https://acf.gov/cb/policy-guidance/im-09-01" TargetMode="External"/><Relationship Id="rId525" Type="http://schemas.openxmlformats.org/officeDocument/2006/relationships/hyperlink" Target="https://acf.gov/cb/policy-guidance/pi-13-05" TargetMode="External"/><Relationship Id="rId732" Type="http://schemas.openxmlformats.org/officeDocument/2006/relationships/hyperlink" Target="https://acf.gov/cb/faq/can6" TargetMode="External"/><Relationship Id="rId1155" Type="http://schemas.openxmlformats.org/officeDocument/2006/relationships/hyperlink" Target="https://acf.gov/ocs/resource/submission-of-leveraging-reports-on-fy-2010-leveraging-activities-in-order" TargetMode="External"/><Relationship Id="rId1362" Type="http://schemas.openxmlformats.org/officeDocument/2006/relationships/hyperlink" Target="https://acf.gov/ocs/resource/treatment-of-making-work-pay-mwp-other-tax-credits-and-refunds-when-0" TargetMode="External"/><Relationship Id="rId2206" Type="http://schemas.openxmlformats.org/officeDocument/2006/relationships/hyperlink" Target="https://acf.gov/css/training-technical-assistance/automated-systems-child-support-enforcement-guide-enhancing-case" TargetMode="External"/><Relationship Id="rId2413" Type="http://schemas.openxmlformats.org/officeDocument/2006/relationships/hyperlink" Target="https://acf.gov/orr/resource/services-to-older-refugees-social-services-set-aside-fiscal-year-2017" TargetMode="External"/><Relationship Id="rId2620" Type="http://schemas.openxmlformats.org/officeDocument/2006/relationships/hyperlink" Target="https://acf.gov/orr/policy-guidance/state-letter-05-27" TargetMode="External"/><Relationship Id="rId1015" Type="http://schemas.openxmlformats.org/officeDocument/2006/relationships/hyperlink" Target="https://acf.gov/occ/policy-guidance/ccdf-acf-pi-2018-01" TargetMode="External"/><Relationship Id="rId1222" Type="http://schemas.openxmlformats.org/officeDocument/2006/relationships/hyperlink" Target="https://acf.gov/ocs/resource/dear-colleague-notice-regarding-tribal-training-through-tribal-tech-llc" TargetMode="External"/><Relationship Id="rId175" Type="http://schemas.openxmlformats.org/officeDocument/2006/relationships/hyperlink" Target="https://acf.gov/cb/policy-guidance/extended-foster-guidance-pandemic" TargetMode="External"/><Relationship Id="rId382" Type="http://schemas.openxmlformats.org/officeDocument/2006/relationships/hyperlink" Target="https://acf.gov/cb/policy-guidance/im-99-02" TargetMode="External"/><Relationship Id="rId2063" Type="http://schemas.openxmlformats.org/officeDocument/2006/relationships/hyperlink" Target="https://acf.gov/css/policy-guidance/allowable-costs-tribal-child-support-programs" TargetMode="External"/><Relationship Id="rId2270" Type="http://schemas.openxmlformats.org/officeDocument/2006/relationships/hyperlink" Target="https://acf.gov/orr/dcl-25-15" TargetMode="External"/><Relationship Id="rId242" Type="http://schemas.openxmlformats.org/officeDocument/2006/relationships/hyperlink" Target="https://acf.gov/cb/policy-guidance/pi-19-01" TargetMode="External"/><Relationship Id="rId2130" Type="http://schemas.openxmlformats.org/officeDocument/2006/relationships/hyperlink" Target="https://acf.gov/css/faq/what-difference-between-judicial-and-administrative-modification" TargetMode="External"/><Relationship Id="rId102" Type="http://schemas.openxmlformats.org/officeDocument/2006/relationships/hyperlink" Target="https://acf.gov/cb/fact-sheet/cfsr-r4-elected-officials-spanish" TargetMode="External"/><Relationship Id="rId1689" Type="http://schemas.openxmlformats.org/officeDocument/2006/relationships/hyperlink" Target="https://acf.gov/css/policy-guidance/establishing-paternity-and-securing-support-correction" TargetMode="External"/><Relationship Id="rId1896" Type="http://schemas.openxmlformats.org/officeDocument/2006/relationships/hyperlink" Target="https://acf.gov/css/policy-guidance/dod-determinations-dependency-health-care-benefits-children-born-out-wedlock" TargetMode="External"/><Relationship Id="rId2947" Type="http://schemas.openxmlformats.org/officeDocument/2006/relationships/hyperlink" Target="https://headstart.gov/policy/pi/acf-pi-hs-20-05" TargetMode="External"/><Relationship Id="rId919" Type="http://schemas.openxmlformats.org/officeDocument/2006/relationships/hyperlink" Target="https://acf.gov/occ/faq/what-does-conditional-approval-mean" TargetMode="External"/><Relationship Id="rId1549" Type="http://schemas.openxmlformats.org/officeDocument/2006/relationships/hyperlink" Target="https://acf.gov/css/policy-guidance/schedule-udc-financial-reporting-form-itemized-undistributed-collections" TargetMode="External"/><Relationship Id="rId1756" Type="http://schemas.openxmlformats.org/officeDocument/2006/relationships/hyperlink" Target="https://acf.gov/css/policy-guidance/final-rule-incentive-payments-states-and-political-subdivisions" TargetMode="External"/><Relationship Id="rId1963" Type="http://schemas.openxmlformats.org/officeDocument/2006/relationships/hyperlink" Target="https://acf.gov/css/policy-guidance/name-change-office-child-support-services-ocss" TargetMode="External"/><Relationship Id="rId2807" Type="http://schemas.openxmlformats.org/officeDocument/2006/relationships/hyperlink" Target="https://acf.gov/fysb/faq/list-all-current-fysb-programs" TargetMode="External"/><Relationship Id="rId48" Type="http://schemas.openxmlformats.org/officeDocument/2006/relationships/hyperlink" Target="https://acf.gov/cb/report/tribal-lookup-table-fy2025" TargetMode="External"/><Relationship Id="rId1409" Type="http://schemas.openxmlformats.org/officeDocument/2006/relationships/hyperlink" Target="https://acf.gov/ocs/policy-guidance/liheap-dcl-announcing-supervisory-auditor-position" TargetMode="External"/><Relationship Id="rId1616" Type="http://schemas.openxmlformats.org/officeDocument/2006/relationships/hyperlink" Target="https://acf.gov/css/policy-guidance/charge-backs-child-support-enforcement-network-csenet-usage" TargetMode="External"/><Relationship Id="rId1823" Type="http://schemas.openxmlformats.org/officeDocument/2006/relationships/hyperlink" Target="https://acf.gov/css/policy-guidance/data-reliability-audit-requirements-fy-2022" TargetMode="External"/><Relationship Id="rId2597" Type="http://schemas.openxmlformats.org/officeDocument/2006/relationships/hyperlink" Target="https://acf.gov/archive/orr/policy-guidance/immigration-consequences-criminal-conviction" TargetMode="External"/><Relationship Id="rId569" Type="http://schemas.openxmlformats.org/officeDocument/2006/relationships/hyperlink" Target="https://acf.gov/cb/policy-guidance/pi-09-02" TargetMode="External"/><Relationship Id="rId776" Type="http://schemas.openxmlformats.org/officeDocument/2006/relationships/hyperlink" Target="https://acf.gov/occ/resource/im-2015-01" TargetMode="External"/><Relationship Id="rId983" Type="http://schemas.openxmlformats.org/officeDocument/2006/relationships/hyperlink" Target="https://acf.gov/occ/faq/does-reauthorization-change-amount-mandatory-or-matching-funds" TargetMode="External"/><Relationship Id="rId1199" Type="http://schemas.openxmlformats.org/officeDocument/2006/relationships/hyperlink" Target="https://acf.gov/ocs/policy-guidance/liheap-dcl-2021-02-fy-2021-national-liheap-grantee-virtual-training-conference" TargetMode="External"/><Relationship Id="rId2457" Type="http://schemas.openxmlformats.org/officeDocument/2006/relationships/hyperlink" Target="https://acf.gov/sites/default/files/documents/orr/pl_20_06_extended_assistance_for_orr_populations_affected_by_covid.pdf" TargetMode="External"/><Relationship Id="rId2664" Type="http://schemas.openxmlformats.org/officeDocument/2006/relationships/hyperlink" Target="https://acf.gov/orr/policy-guidance/state-letter-03-24" TargetMode="External"/><Relationship Id="rId429" Type="http://schemas.openxmlformats.org/officeDocument/2006/relationships/hyperlink" Target="https://acf.gov/cb/policy-guidance/im-90-18" TargetMode="External"/><Relationship Id="rId636" Type="http://schemas.openxmlformats.org/officeDocument/2006/relationships/hyperlink" Target="https://acf.gov/cb/policy-guidance/pi-99-02" TargetMode="External"/><Relationship Id="rId1059" Type="http://schemas.openxmlformats.org/officeDocument/2006/relationships/hyperlink" Target="https://acf.gov/occ/policy-guidance/cdc-issues-flu-guidance" TargetMode="External"/><Relationship Id="rId1266" Type="http://schemas.openxmlformats.org/officeDocument/2006/relationships/hyperlink" Target="https://acf.gov/ocs/policy-guidance/ocs-dcl-2023-05-arp-2nd-anniversary-fy2023" TargetMode="External"/><Relationship Id="rId1473" Type="http://schemas.openxmlformats.org/officeDocument/2006/relationships/hyperlink" Target="https://acf.gov/css/policy-guidance/implementing-revised-ocse-75-form-and-instructions-effective-fy-2023" TargetMode="External"/><Relationship Id="rId2317" Type="http://schemas.openxmlformats.org/officeDocument/2006/relationships/hyperlink" Target="https://acf.gov/sites/default/files/documents/orr/DCL-23-19-Continued-Eligibilty-of-UAM-for-URM.pdf" TargetMode="External"/><Relationship Id="rId2871" Type="http://schemas.openxmlformats.org/officeDocument/2006/relationships/hyperlink" Target="https://acf.gov/ofa/policy-guidance/tanf-acf-pi-2017-05-form-acf-199-tanf-data-report-and-form-acf-209-ssp-moe-data" TargetMode="External"/><Relationship Id="rId843" Type="http://schemas.openxmlformats.org/officeDocument/2006/relationships/hyperlink" Target="https://acf.gov/occ/resource/ccdf-acf-pi-2018-03" TargetMode="External"/><Relationship Id="rId1126" Type="http://schemas.openxmlformats.org/officeDocument/2006/relationships/hyperlink" Target="https://acf.gov/ocs/resource/financial-reporting-requirement-for-all-liheap-grantees-sf-425-report-0" TargetMode="External"/><Relationship Id="rId1680" Type="http://schemas.openxmlformats.org/officeDocument/2006/relationships/hyperlink" Target="https://acf.gov/css/policy-guidance/final-rule-prohibition-ffp-incarceration/counsel-indigent-absent-parents" TargetMode="External"/><Relationship Id="rId2524" Type="http://schemas.openxmlformats.org/officeDocument/2006/relationships/hyperlink" Target="https://acf.gov/orr/policy-guidance/state-letter-10-09" TargetMode="External"/><Relationship Id="rId2731" Type="http://schemas.openxmlformats.org/officeDocument/2006/relationships/hyperlink" Target="https://acf.gov/orr/resource/state-letter-12-02" TargetMode="External"/><Relationship Id="rId703" Type="http://schemas.openxmlformats.org/officeDocument/2006/relationships/hyperlink" Target="https://acf.gov/cb/policy-guidance/pi-84-02" TargetMode="External"/><Relationship Id="rId910" Type="http://schemas.openxmlformats.org/officeDocument/2006/relationships/hyperlink" Target="https://acf.gov/occ/training-technical-assistance/ccdf-acf-700-clarifications-tribal-reporting-requirements-tb11rv6" TargetMode="External"/><Relationship Id="rId1333" Type="http://schemas.openxmlformats.org/officeDocument/2006/relationships/hyperlink" Target="https://acf.gov/ocs/resource/liheap-im-2014-2-common-findings-from-compliance-reviews-conducted-in-fy" TargetMode="External"/><Relationship Id="rId1540" Type="http://schemas.openxmlformats.org/officeDocument/2006/relationships/hyperlink" Target="https://acf.gov/css/policy-guidance/nprm-child-support-enforcement-program-medical-support" TargetMode="External"/><Relationship Id="rId1400" Type="http://schemas.openxmlformats.org/officeDocument/2006/relationships/hyperlink" Target="https://acf.gov/ocs/faq/liheap-faqs-professionals" TargetMode="External"/><Relationship Id="rId286" Type="http://schemas.openxmlformats.org/officeDocument/2006/relationships/hyperlink" Target="https://acf.gov/cb/policy-guidance/im-15-07" TargetMode="External"/><Relationship Id="rId493" Type="http://schemas.openxmlformats.org/officeDocument/2006/relationships/hyperlink" Target="https://acf.gov/cb/policy-guidance/pi-18-04" TargetMode="External"/><Relationship Id="rId2174" Type="http://schemas.openxmlformats.org/officeDocument/2006/relationships/hyperlink" Target="https://acf.gov/css/training-technical-assistance/irg-state-profile-questions" TargetMode="External"/><Relationship Id="rId2381" Type="http://schemas.openxmlformats.org/officeDocument/2006/relationships/hyperlink" Target="https://acf.gov/sites/default/files/documents/orr/dcl_20_07_rss_covid_19_supplemental_allocation.pdf" TargetMode="External"/><Relationship Id="rId3018" Type="http://schemas.openxmlformats.org/officeDocument/2006/relationships/hyperlink" Target="https://headstart.gov/ersea/article/frequently-asked-questions-related-poverty-guidelines-poverty" TargetMode="External"/><Relationship Id="rId146" Type="http://schemas.openxmlformats.org/officeDocument/2006/relationships/hyperlink" Target="https://acf.gov/cb/policy-guidance/pi-21-06" TargetMode="External"/><Relationship Id="rId353" Type="http://schemas.openxmlformats.org/officeDocument/2006/relationships/hyperlink" Target="https://acf.gov/cb/policy-guidance/im-03-03" TargetMode="External"/><Relationship Id="rId560" Type="http://schemas.openxmlformats.org/officeDocument/2006/relationships/hyperlink" Target="https://acf.gov/cb/policy-guidance/pi-09-08" TargetMode="External"/><Relationship Id="rId1190" Type="http://schemas.openxmlformats.org/officeDocument/2006/relationships/hyperlink" Target="https://acf.gov/ocs/policy-guidance/liheap-dcl-2022-09-training/technical-assistance-opportunities-quarterly" TargetMode="External"/><Relationship Id="rId2034" Type="http://schemas.openxmlformats.org/officeDocument/2006/relationships/hyperlink" Target="https://acf.gov/css/policy-guidance/state-best-practices-fpls-data-quarterly-wage-data-match-and-asset-seizure-fidm" TargetMode="External"/><Relationship Id="rId2241" Type="http://schemas.openxmlformats.org/officeDocument/2006/relationships/hyperlink" Target="https://acf.gov/ecd/policy-guidance/final-hhs-usda-joint-monitoring-guidance-document" TargetMode="External"/><Relationship Id="rId213" Type="http://schemas.openxmlformats.org/officeDocument/2006/relationships/hyperlink" Target="https://acf.gov/cb/training-technical-assistance/ncands-child-file-codebook" TargetMode="External"/><Relationship Id="rId420" Type="http://schemas.openxmlformats.org/officeDocument/2006/relationships/hyperlink" Target="https://acf.gov/cb/policy-guidance/im-92-16" TargetMode="External"/><Relationship Id="rId1050" Type="http://schemas.openxmlformats.org/officeDocument/2006/relationships/hyperlink" Target="https://acf.gov/occ/policy-guidance/ccdf-funding-allocations-and-periods-availability" TargetMode="External"/><Relationship Id="rId2101" Type="http://schemas.openxmlformats.org/officeDocument/2006/relationships/hyperlink" Target="https://acf.gov/css/policy-guidance/requests-custodial-parents-change-address-disbursement-support" TargetMode="External"/><Relationship Id="rId1867" Type="http://schemas.openxmlformats.org/officeDocument/2006/relationships/hyperlink" Target="https://acf.gov/css/policy-guidance/justice-department-announces-resources-reform-practices" TargetMode="External"/><Relationship Id="rId2918" Type="http://schemas.openxmlformats.org/officeDocument/2006/relationships/hyperlink" Target="https://headstart.gov/policy/im/acf-im-hs-19-04" TargetMode="External"/><Relationship Id="rId1727" Type="http://schemas.openxmlformats.org/officeDocument/2006/relationships/hyperlink" Target="https://acf.gov/css/policy-guidance/final-rule-requests-full-collection-services" TargetMode="External"/><Relationship Id="rId1934" Type="http://schemas.openxmlformats.org/officeDocument/2006/relationships/hyperlink" Target="https://acf.gov/css/policy-guidance/state-best-practices-fpls-data-new-hire-reporting-fvi-fcr-automation" TargetMode="External"/><Relationship Id="rId19" Type="http://schemas.openxmlformats.org/officeDocument/2006/relationships/hyperlink" Target="https://acf.gov/cb/policy-guidance/im-24-09" TargetMode="External"/><Relationship Id="rId168" Type="http://schemas.openxmlformats.org/officeDocument/2006/relationships/hyperlink" Target="https://acf.gov/cb/training-technical-assistance/technical-bulletin-20-data-adoption" TargetMode="External"/><Relationship Id="rId375" Type="http://schemas.openxmlformats.org/officeDocument/2006/relationships/hyperlink" Target="https://acf.gov/cb/policy-guidance/im-00-07" TargetMode="External"/><Relationship Id="rId582" Type="http://schemas.openxmlformats.org/officeDocument/2006/relationships/hyperlink" Target="https://acf.gov/cb/policy-guidance/im-07-04" TargetMode="External"/><Relationship Id="rId2056" Type="http://schemas.openxmlformats.org/officeDocument/2006/relationships/hyperlink" Target="https://acf.gov/css/policy-guidance/policies-promote-safety-and-economic-stability-survivors-domestic-violence" TargetMode="External"/><Relationship Id="rId2263" Type="http://schemas.openxmlformats.org/officeDocument/2006/relationships/hyperlink" Target="https://acf.gov/cb/training-technical-assistance/tips-building-social-media-presence" TargetMode="External"/><Relationship Id="rId2470" Type="http://schemas.openxmlformats.org/officeDocument/2006/relationships/hyperlink" Target="https://acf.gov/orr/resource/refugee-support-services" TargetMode="External"/><Relationship Id="rId3" Type="http://schemas.openxmlformats.org/officeDocument/2006/relationships/hyperlink" Target="https://acf.gov/cb/training-technical-assistance/revised-technical-bulletin" TargetMode="External"/><Relationship Id="rId235" Type="http://schemas.openxmlformats.org/officeDocument/2006/relationships/hyperlink" Target="https://acf.gov/cb/report/pi-19-03" TargetMode="External"/><Relationship Id="rId442" Type="http://schemas.openxmlformats.org/officeDocument/2006/relationships/hyperlink" Target="https://acf.gov/cb/policy-guidance/im-88-22" TargetMode="External"/><Relationship Id="rId887" Type="http://schemas.openxmlformats.org/officeDocument/2006/relationships/hyperlink" Target="https://acf.gov/occ/resource/pi2009-09" TargetMode="External"/><Relationship Id="rId1072" Type="http://schemas.openxmlformats.org/officeDocument/2006/relationships/hyperlink" Target="https://acf.gov/ocs/policy-guidance/acf-ocs-liheap-2024-04-state-tribe-agreements" TargetMode="External"/><Relationship Id="rId2123" Type="http://schemas.openxmlformats.org/officeDocument/2006/relationships/hyperlink" Target="https://acf.gov/css/faq/electronic-income-withholding-orders-e-iwo-answers-employers-questions" TargetMode="External"/><Relationship Id="rId2330" Type="http://schemas.openxmlformats.org/officeDocument/2006/relationships/hyperlink" Target="https://acf.gov/sites/default/files/documents/orr/DCL-23-05-AUSAA-Ukrainian-Refugee-Health-Promotion-FY2023.pdf" TargetMode="External"/><Relationship Id="rId2568" Type="http://schemas.openxmlformats.org/officeDocument/2006/relationships/hyperlink" Target="https://acf.gov/orr/policy-guidance/state-letter-07-08" TargetMode="External"/><Relationship Id="rId2775" Type="http://schemas.openxmlformats.org/officeDocument/2006/relationships/hyperlink" Target="https://acf.gov/sites/default/files/documents/orr/RDH-3-Appointment-of-Representative-for-Risk-Determination-Hearing_v1_2024-07-01.pdf" TargetMode="External"/><Relationship Id="rId2982" Type="http://schemas.openxmlformats.org/officeDocument/2006/relationships/hyperlink" Target="https://headstart.gov/publication/embedded-learning-opportunities-faqs" TargetMode="External"/><Relationship Id="rId302" Type="http://schemas.openxmlformats.org/officeDocument/2006/relationships/hyperlink" Target="https://acf.gov/cb/policy-guidance/im-12-06" TargetMode="External"/><Relationship Id="rId747" Type="http://schemas.openxmlformats.org/officeDocument/2006/relationships/hyperlink" Target="https://acf.gov/cb/faq/adoption2" TargetMode="External"/><Relationship Id="rId954" Type="http://schemas.openxmlformats.org/officeDocument/2006/relationships/hyperlink" Target="https://acf.gov/occ/faq/how-will-new-law-make-child-care-more-healthy-safe-and-high-quality" TargetMode="External"/><Relationship Id="rId1377" Type="http://schemas.openxmlformats.org/officeDocument/2006/relationships/hyperlink" Target="https://liheapch.acf.gov/tribal-manual" TargetMode="External"/><Relationship Id="rId1584" Type="http://schemas.openxmlformats.org/officeDocument/2006/relationships/hyperlink" Target="https://acf.gov/css/policy-guidance/alternative-penalty-states-which-fail-implement-statewide-automated-systems" TargetMode="External"/><Relationship Id="rId1791" Type="http://schemas.openxmlformats.org/officeDocument/2006/relationships/hyperlink" Target="https://acf.gov/css/policy-guidance/withdrawal-us-objection-accession-kazakhstan-hague-convention" TargetMode="External"/><Relationship Id="rId2428" Type="http://schemas.openxmlformats.org/officeDocument/2006/relationships/hyperlink" Target="https://acf.gov/sites/default/files/documents/orr/pl-23-07-waiver-for-rma-coverage-for-full-fime-students.pdf" TargetMode="External"/><Relationship Id="rId2635" Type="http://schemas.openxmlformats.org/officeDocument/2006/relationships/hyperlink" Target="https://acf.gov/orr/policy-guidance/state-letter-04-11" TargetMode="External"/><Relationship Id="rId2842" Type="http://schemas.openxmlformats.org/officeDocument/2006/relationships/hyperlink" Target="https://acf.gov/ofa/policy-guidance/major-provisions-welfare-law" TargetMode="External"/><Relationship Id="rId83" Type="http://schemas.openxmlformats.org/officeDocument/2006/relationships/hyperlink" Target="https://acf.gov/cb/policy-guidance/pi-23-06" TargetMode="External"/><Relationship Id="rId607" Type="http://schemas.openxmlformats.org/officeDocument/2006/relationships/hyperlink" Target="https://acf.gov/cb/policy-guidance/pi-03-07" TargetMode="External"/><Relationship Id="rId814" Type="http://schemas.openxmlformats.org/officeDocument/2006/relationships/hyperlink" Target="https://acf.gov/occ/policy-guidance/ccdf-triennial-child-count-ffy-2026-2028-ccdf-acf-pi-2024-04" TargetMode="External"/><Relationship Id="rId1237" Type="http://schemas.openxmlformats.org/officeDocument/2006/relationships/hyperlink" Target="https://acf.gov/ocs/resource/liheap-dear-colleague-notice-on-grantee-participation-at-the-2016-regional-conference" TargetMode="External"/><Relationship Id="rId1444" Type="http://schemas.openxmlformats.org/officeDocument/2006/relationships/hyperlink" Target="https://acf.gov/ocs/policy-guidance/liheap-im-2012-5-model-plan-application-fy-2013-0" TargetMode="External"/><Relationship Id="rId1651" Type="http://schemas.openxmlformats.org/officeDocument/2006/relationships/hyperlink" Target="https://acf.gov/css/policy-guidance/nprm-immediate-income-withholding-review-and-modification-notice-support" TargetMode="External"/><Relationship Id="rId1889" Type="http://schemas.openxmlformats.org/officeDocument/2006/relationships/hyperlink" Target="https://acf.gov/css/policy-guidance/private-collection-agencies-and-redirection-payments" TargetMode="External"/><Relationship Id="rId2702" Type="http://schemas.openxmlformats.org/officeDocument/2006/relationships/hyperlink" Target="https://acf.gov/archive/orr/policy-guidance/state-letter-01-11" TargetMode="External"/><Relationship Id="rId1304" Type="http://schemas.openxmlformats.org/officeDocument/2006/relationships/hyperlink" Target="https://acf.gov/ocs/policy-guidance/liheap-im-2023-04-community-solar-and-liheap-considerations" TargetMode="External"/><Relationship Id="rId1511" Type="http://schemas.openxmlformats.org/officeDocument/2006/relationships/hyperlink" Target="https://acf.gov/css/policy-guidance/pl-113-183-uifsa-2008-enactment" TargetMode="External"/><Relationship Id="rId1749" Type="http://schemas.openxmlformats.org/officeDocument/2006/relationships/hyperlink" Target="https://acf.gov/css/policy-guidance/final-rule-bonding-employees-and-handling-cash-receipts-child-support-program" TargetMode="External"/><Relationship Id="rId1956" Type="http://schemas.openxmlformats.org/officeDocument/2006/relationships/hyperlink" Target="https://acf.gov/css/policy-guidance/employment-and-training-services-funding-and-resources" TargetMode="External"/><Relationship Id="rId1609" Type="http://schemas.openxmlformats.org/officeDocument/2006/relationships/hyperlink" Target="https://acf.gov/css/policy-guidance/collection-child-support-irs-through-federal-income-tax-refunds-offset-1996" TargetMode="External"/><Relationship Id="rId1816" Type="http://schemas.openxmlformats.org/officeDocument/2006/relationships/hyperlink" Target="https://acf.gov/css/policy-guidance/fcr-and-scr-family-violence-indicator-override-process" TargetMode="External"/><Relationship Id="rId10" Type="http://schemas.openxmlformats.org/officeDocument/2006/relationships/hyperlink" Target="https://acf.gov/cb/policy-guidance/pi-25-05" TargetMode="External"/><Relationship Id="rId397" Type="http://schemas.openxmlformats.org/officeDocument/2006/relationships/hyperlink" Target="https://acf.gov/cb/policy-guidance/im-96-27" TargetMode="External"/><Relationship Id="rId2078" Type="http://schemas.openxmlformats.org/officeDocument/2006/relationships/hyperlink" Target="https://acf.gov/css/policy-guidance/guidance-sending-national-medical-support-notice-defense-manpower-data-center" TargetMode="External"/><Relationship Id="rId2285" Type="http://schemas.openxmlformats.org/officeDocument/2006/relationships/hyperlink" Target="https://acf.gov/orr/policy/dear-colleague-letters/24-12" TargetMode="External"/><Relationship Id="rId2492" Type="http://schemas.openxmlformats.org/officeDocument/2006/relationships/hyperlink" Target="https://acf.gov/orr/policy-guidance/state-letter-15-04" TargetMode="External"/><Relationship Id="rId3031" Type="http://schemas.openxmlformats.org/officeDocument/2006/relationships/hyperlink" Target="https://headstart.gov/publication/using-elof-inform-assessment" TargetMode="External"/><Relationship Id="rId257" Type="http://schemas.openxmlformats.org/officeDocument/2006/relationships/hyperlink" Target="https://acf.gov/cb/policy-guidance/98-05" TargetMode="External"/><Relationship Id="rId464" Type="http://schemas.openxmlformats.org/officeDocument/2006/relationships/hyperlink" Target="https://acf.gov/cb/policy-guidance/im-85-25" TargetMode="External"/><Relationship Id="rId1094" Type="http://schemas.openxmlformats.org/officeDocument/2006/relationships/hyperlink" Target="https://acf.gov/ocs/resource/liheap-at-2020-04-model-plan-application-for-funding-for-fy-21" TargetMode="External"/><Relationship Id="rId2145" Type="http://schemas.openxmlformats.org/officeDocument/2006/relationships/hyperlink" Target="https://acf.gov/css/faq/how-much-do-child-support-services-cost" TargetMode="External"/><Relationship Id="rId2797" Type="http://schemas.openxmlformats.org/officeDocument/2006/relationships/hyperlink" Target="https://acf.gov/ohsepr/training-technical-assistance/emergency-repat-state-cap-framework" TargetMode="External"/><Relationship Id="rId117" Type="http://schemas.openxmlformats.org/officeDocument/2006/relationships/hyperlink" Target="https://acf.gov/cb/policy-guidance/pi-22-04" TargetMode="External"/><Relationship Id="rId671" Type="http://schemas.openxmlformats.org/officeDocument/2006/relationships/hyperlink" Target="https://acf.gov/cb/policy-guidance/pi-93-13" TargetMode="External"/><Relationship Id="rId769" Type="http://schemas.openxmlformats.org/officeDocument/2006/relationships/hyperlink" Target="https://acf.gov/occ/resource/im-2018-01" TargetMode="External"/><Relationship Id="rId976" Type="http://schemas.openxmlformats.org/officeDocument/2006/relationships/hyperlink" Target="https://acf.gov/occ/faq/are-states-allowed-publicly-release-results-individual-background-checks" TargetMode="External"/><Relationship Id="rId1399" Type="http://schemas.openxmlformats.org/officeDocument/2006/relationships/hyperlink" Target="https://acf.gov/ocs/faq/liheap-faqs-consumers" TargetMode="External"/><Relationship Id="rId2352" Type="http://schemas.openxmlformats.org/officeDocument/2006/relationships/hyperlink" Target="https://acf.gov/sites/default/files/documents/orr/orr-dcl-22-07-services-to-older-refugees-fy2022-funding.pdf" TargetMode="External"/><Relationship Id="rId2657" Type="http://schemas.openxmlformats.org/officeDocument/2006/relationships/hyperlink" Target="https://acf.gov/orr/policy-guidance/state-letter-03-15" TargetMode="External"/><Relationship Id="rId324" Type="http://schemas.openxmlformats.org/officeDocument/2006/relationships/hyperlink" Target="https://acf.gov/cb/policy-guidance/im-07-08" TargetMode="External"/><Relationship Id="rId531" Type="http://schemas.openxmlformats.org/officeDocument/2006/relationships/hyperlink" Target="https://acf.gov/cb/policy-guidance/pi-12-06" TargetMode="External"/><Relationship Id="rId629" Type="http://schemas.openxmlformats.org/officeDocument/2006/relationships/hyperlink" Target="https://acf.gov/cb/policy-guidance/pi-00-04" TargetMode="External"/><Relationship Id="rId1161" Type="http://schemas.openxmlformats.org/officeDocument/2006/relationships/hyperlink" Target="https://acf.gov/ocs/policy-guidance/acf-ocs-liheap-dcl-2024-04-energy-assistance-day" TargetMode="External"/><Relationship Id="rId1259" Type="http://schemas.openxmlformats.org/officeDocument/2006/relationships/hyperlink" Target="https://acf.gov/ocs/resource/liheap-dear-colleague-notice-on-tribal-webinars" TargetMode="External"/><Relationship Id="rId1466" Type="http://schemas.openxmlformats.org/officeDocument/2006/relationships/hyperlink" Target="https://acf.gov/css/policy-guidance/nprm-elimination-tribal-non-federal-share-requirement-comments-due-june-20-2023" TargetMode="External"/><Relationship Id="rId2005" Type="http://schemas.openxmlformats.org/officeDocument/2006/relationships/hyperlink" Target="https://acf.gov/css/policy-guidance/alternatives-incarceration" TargetMode="External"/><Relationship Id="rId2212" Type="http://schemas.openxmlformats.org/officeDocument/2006/relationships/hyperlink" Target="https://acf.gov/css/policy-guidance/spousal-support-only-cases" TargetMode="External"/><Relationship Id="rId2864" Type="http://schemas.openxmlformats.org/officeDocument/2006/relationships/hyperlink" Target="https://acf.gov/ofa/policy-guidance/tanf-acf-im-2014-03-domestic-violence-awareness-month-opportunities-and-tanf" TargetMode="External"/><Relationship Id="rId836" Type="http://schemas.openxmlformats.org/officeDocument/2006/relationships/hyperlink" Target="https://acf.gov/occ/resource/ccdf-acf-pi-2020-04" TargetMode="External"/><Relationship Id="rId1021" Type="http://schemas.openxmlformats.org/officeDocument/2006/relationships/hyperlink" Target="https://acf.gov/occ/policy-guidance/program-instruction-ccdf-acf-2016-02" TargetMode="External"/><Relationship Id="rId1119" Type="http://schemas.openxmlformats.org/officeDocument/2006/relationships/hyperlink" Target="https://acf.gov/ocs/resource/liheap-at-on-model-plan-application-funding-for-fy-2016" TargetMode="External"/><Relationship Id="rId1673" Type="http://schemas.openxmlformats.org/officeDocument/2006/relationships/hyperlink" Target="https://acf.gov/css/policy-guidance/final-rule-disregard-child-support-payments" TargetMode="External"/><Relationship Id="rId1880" Type="http://schemas.openxmlformats.org/officeDocument/2006/relationships/hyperlink" Target="https://acf.gov/css/policy-guidance/plan-amendments-change-tdcl-10-07" TargetMode="External"/><Relationship Id="rId1978" Type="http://schemas.openxmlformats.org/officeDocument/2006/relationships/hyperlink" Target="https://acf.gov/css/policy-guidance/irs-requirements-tribes-accessing-federal-tax-information" TargetMode="External"/><Relationship Id="rId2517" Type="http://schemas.openxmlformats.org/officeDocument/2006/relationships/hyperlink" Target="https://acf.gov/orr/resource/state-letter-12-01" TargetMode="External"/><Relationship Id="rId2724" Type="http://schemas.openxmlformats.org/officeDocument/2006/relationships/hyperlink" Target="https://acf.gov/orr/resource/state-letter-00-15" TargetMode="External"/><Relationship Id="rId2931" Type="http://schemas.openxmlformats.org/officeDocument/2006/relationships/hyperlink" Target="https://headstart.gov/policy/im/acf-im-hs-10-04" TargetMode="External"/><Relationship Id="rId903" Type="http://schemas.openxmlformats.org/officeDocument/2006/relationships/hyperlink" Target="https://acf.gov/occ/resource/ccdf-acf-pi-2020-08" TargetMode="External"/><Relationship Id="rId1326" Type="http://schemas.openxmlformats.org/officeDocument/2006/relationships/hyperlink" Target="https://acf.gov/ocs/resource/liheap-im-2016-02-hhs-poverty-guidelines-for-optional-use-in-ffy-2016" TargetMode="External"/><Relationship Id="rId1533" Type="http://schemas.openxmlformats.org/officeDocument/2006/relationships/hyperlink" Target="https://acf.gov/css/policy-guidance/nprm-state-systems-advance-planning-document-apd-process" TargetMode="External"/><Relationship Id="rId1740" Type="http://schemas.openxmlformats.org/officeDocument/2006/relationships/hyperlink" Target="https://acf.gov/css/policy-guidance/new-financial-requirements-imposed-public-laws-96-265-and-96-272" TargetMode="External"/><Relationship Id="rId32" Type="http://schemas.openxmlformats.org/officeDocument/2006/relationships/hyperlink" Target="https://acf.gov/cb/training-technical-assistance/tu2-nytd-compliance-status" TargetMode="External"/><Relationship Id="rId1600" Type="http://schemas.openxmlformats.org/officeDocument/2006/relationships/hyperlink" Target="https://acf.gov/css/policy-guidance/revisions-title-iv-d-state-plan-preprint-due-september-1997" TargetMode="External"/><Relationship Id="rId1838" Type="http://schemas.openxmlformats.org/officeDocument/2006/relationships/hyperlink" Target="https://acf.gov/css/policy-guidance/submittal-ocse-157-fy-2021-10-30" TargetMode="External"/><Relationship Id="rId181" Type="http://schemas.openxmlformats.org/officeDocument/2006/relationships/hyperlink" Target="https://acf.gov/cb/policy-guidance/childrens-bureau-letter-regarding-existing-title-iv-e-flexibility" TargetMode="External"/><Relationship Id="rId1905" Type="http://schemas.openxmlformats.org/officeDocument/2006/relationships/hyperlink" Target="https://acf.gov/css/policy-guidance/recommendations-location-codes-aka-fips-workgroup" TargetMode="External"/><Relationship Id="rId279" Type="http://schemas.openxmlformats.org/officeDocument/2006/relationships/hyperlink" Target="https://acf.gov/cb/policy-guidance/im-16-06" TargetMode="External"/><Relationship Id="rId486" Type="http://schemas.openxmlformats.org/officeDocument/2006/relationships/hyperlink" Target="https://acf.gov/cb/training-technical-assistance/ccwis-technical-bulletin-2" TargetMode="External"/><Relationship Id="rId693" Type="http://schemas.openxmlformats.org/officeDocument/2006/relationships/hyperlink" Target="https://acf.gov/cb/policy-guidance/pi-87-01" TargetMode="External"/><Relationship Id="rId2167" Type="http://schemas.openxmlformats.org/officeDocument/2006/relationships/hyperlink" Target="https://acf.gov/css/training-technical-assistance/reporting-employee-terminations-private-employers-and-federal" TargetMode="External"/><Relationship Id="rId2374" Type="http://schemas.openxmlformats.org/officeDocument/2006/relationships/hyperlink" Target="https://acf.gov/sites/default/files/documents/orr/dcl_21_02_state_arrival_service_data_collection_process_for_fiscal_year.pdf" TargetMode="External"/><Relationship Id="rId2581" Type="http://schemas.openxmlformats.org/officeDocument/2006/relationships/hyperlink" Target="https://acf.gov/orr/policy-guidance/state-letter-06-05" TargetMode="External"/><Relationship Id="rId139" Type="http://schemas.openxmlformats.org/officeDocument/2006/relationships/hyperlink" Target="https://acf.gov/cb/faq/custody7" TargetMode="External"/><Relationship Id="rId346" Type="http://schemas.openxmlformats.org/officeDocument/2006/relationships/hyperlink" Target="https://acf.gov/cb/policy-guidance/im-04-06" TargetMode="External"/><Relationship Id="rId553" Type="http://schemas.openxmlformats.org/officeDocument/2006/relationships/hyperlink" Target="https://acf.gov/cb/policy-guidance/pi-10-07" TargetMode="External"/><Relationship Id="rId760" Type="http://schemas.openxmlformats.org/officeDocument/2006/relationships/hyperlink" Target="https://acf.gov/occ/policy-guidance/ccdf-acf-im-2021-03" TargetMode="External"/><Relationship Id="rId998" Type="http://schemas.openxmlformats.org/officeDocument/2006/relationships/hyperlink" Target="https://acf.gov/occ/faq/what-ccdf-reauthorization" TargetMode="External"/><Relationship Id="rId1183" Type="http://schemas.openxmlformats.org/officeDocument/2006/relationships/hyperlink" Target="https://acf.gov/ocs/policy-guidance/liheap-dcl-2022-02-training-and-technical-assistance-opportunities-guidance" TargetMode="External"/><Relationship Id="rId1390" Type="http://schemas.openxmlformats.org/officeDocument/2006/relationships/hyperlink" Target="https://acf.gov/ocs/resource/interpretation-of-federal-benefits-revised" TargetMode="External"/><Relationship Id="rId2027" Type="http://schemas.openxmlformats.org/officeDocument/2006/relationships/hyperlink" Target="https://acf.gov/css/policy-guidance/story-behind-numbers-who-owes-child-support-debt" TargetMode="External"/><Relationship Id="rId2234" Type="http://schemas.openxmlformats.org/officeDocument/2006/relationships/hyperlink" Target="https://acf.gov/ecd/policy-guidance/ccdf-chart-homelessness-state-plans" TargetMode="External"/><Relationship Id="rId2441" Type="http://schemas.openxmlformats.org/officeDocument/2006/relationships/hyperlink" Target="https://acf.gov/sites/default/files/documents/orr/orr-pl-22-09-youth-mentoring-program-2021-12-08-revised.pdf" TargetMode="External"/><Relationship Id="rId2679" Type="http://schemas.openxmlformats.org/officeDocument/2006/relationships/hyperlink" Target="https://acf.gov/archive/orr/policy-guidance/state-letter-02-17" TargetMode="External"/><Relationship Id="rId2886" Type="http://schemas.openxmlformats.org/officeDocument/2006/relationships/hyperlink" Target="https://acf.gov/ofa/policy-guidance/tanf-acf-im-2022-02" TargetMode="External"/><Relationship Id="rId206" Type="http://schemas.openxmlformats.org/officeDocument/2006/relationships/hyperlink" Target="https://acf.gov/cb/policy-guidance/pi-20-02" TargetMode="External"/><Relationship Id="rId413" Type="http://schemas.openxmlformats.org/officeDocument/2006/relationships/hyperlink" Target="https://acf.gov/cb/policy-guidance/im-93-27" TargetMode="External"/><Relationship Id="rId858" Type="http://schemas.openxmlformats.org/officeDocument/2006/relationships/hyperlink" Target="https://acf.gov/archive/occ/policy-guidance/program-instruction-ccdf-acf-pi-2014-01" TargetMode="External"/><Relationship Id="rId1043" Type="http://schemas.openxmlformats.org/officeDocument/2006/relationships/hyperlink" Target="https://acf.gov/occ/policy-guidance/tribal-home-visiting-implementation-plan-guidance" TargetMode="External"/><Relationship Id="rId1488" Type="http://schemas.openxmlformats.org/officeDocument/2006/relationships/hyperlink" Target="https://acf.gov/css/policy-guidance/reinvesting-child-support-incentive-payments" TargetMode="External"/><Relationship Id="rId1695" Type="http://schemas.openxmlformats.org/officeDocument/2006/relationships/hyperlink" Target="https://acf.gov/css/policy-guidance/change-rates-federal-financial-participation-ffp" TargetMode="External"/><Relationship Id="rId2539" Type="http://schemas.openxmlformats.org/officeDocument/2006/relationships/hyperlink" Target="https://acf.gov/orr/policy-guidance/state-letter-09-19" TargetMode="External"/><Relationship Id="rId2746" Type="http://schemas.openxmlformats.org/officeDocument/2006/relationships/hyperlink" Target="https://acf.gov/orr/policy-guidance/unaccompanied-children-bureau-policy-guide" TargetMode="External"/><Relationship Id="rId2953" Type="http://schemas.openxmlformats.org/officeDocument/2006/relationships/hyperlink" Target="https://headstart.gov/policy/pi/acf-pi-hs-18-05" TargetMode="External"/><Relationship Id="rId620" Type="http://schemas.openxmlformats.org/officeDocument/2006/relationships/hyperlink" Target="https://acf.gov/cb/policy-guidance/pi-02-03" TargetMode="External"/><Relationship Id="rId718" Type="http://schemas.openxmlformats.org/officeDocument/2006/relationships/hyperlink" Target="https://acf.gov/cb/policy-guidance/pi-81-02" TargetMode="External"/><Relationship Id="rId925" Type="http://schemas.openxmlformats.org/officeDocument/2006/relationships/hyperlink" Target="https://acf.gov/occ/faq/what-items-are-included-fy-2016-2018-ccdf-plans" TargetMode="External"/><Relationship Id="rId1250" Type="http://schemas.openxmlformats.org/officeDocument/2006/relationships/hyperlink" Target="https://acf.gov/ocs/resource/deadlines-posted-for-some-fy-2015-liheap-reports" TargetMode="External"/><Relationship Id="rId1348" Type="http://schemas.openxmlformats.org/officeDocument/2006/relationships/hyperlink" Target="https://acf.gov/ocs/resource/grant-awards-for-the-fy-2012-leveraging-incentive-program" TargetMode="External"/><Relationship Id="rId1555" Type="http://schemas.openxmlformats.org/officeDocument/2006/relationships/hyperlink" Target="https://acf.gov/css/policy-guidance/technical-corrections-final-rule" TargetMode="External"/><Relationship Id="rId1762" Type="http://schemas.openxmlformats.org/officeDocument/2006/relationships/hyperlink" Target="https://acf.gov/css/policy-guidance/state-employment-offices-supply-data-assist-child-support-program" TargetMode="External"/><Relationship Id="rId2301" Type="http://schemas.openxmlformats.org/officeDocument/2006/relationships/hyperlink" Target="https://acf.gov/sites/default/files/documents/orr/dcl-23-35-private-sponsorship-intersection-with-orr-funded-refugee-resettlement-program.pdf" TargetMode="External"/><Relationship Id="rId2606" Type="http://schemas.openxmlformats.org/officeDocument/2006/relationships/hyperlink" Target="https://acf.gov/orr/policy-guidance/state-letter-05-13" TargetMode="External"/><Relationship Id="rId1110" Type="http://schemas.openxmlformats.org/officeDocument/2006/relationships/hyperlink" Target="https://acf.gov/ocs/resource/at-2017-04-model-plan-application-fy-2018" TargetMode="External"/><Relationship Id="rId1208" Type="http://schemas.openxmlformats.org/officeDocument/2006/relationships/hyperlink" Target="https://acf.gov/ocs/resource/liheap-dcl-compliance-review-monitoring-schedule-fy20" TargetMode="External"/><Relationship Id="rId1415" Type="http://schemas.openxmlformats.org/officeDocument/2006/relationships/hyperlink" Target="https://acf.gov/ocs/policy-guidance/liheap-dcl-webinar-electronic-submission-carryover-report" TargetMode="External"/><Relationship Id="rId2813" Type="http://schemas.openxmlformats.org/officeDocument/2006/relationships/hyperlink" Target="https://acf.gov/ofa/policy-guidance/30-day-comment-period-open-fiscal-responsibility-act-tanf-pilot-program-2025" TargetMode="External"/><Relationship Id="rId54" Type="http://schemas.openxmlformats.org/officeDocument/2006/relationships/hyperlink" Target="https://acf.gov/cb/policy-guidance/im-23-06" TargetMode="External"/><Relationship Id="rId1622" Type="http://schemas.openxmlformats.org/officeDocument/2006/relationships/hyperlink" Target="https://acf.gov/css/policy-guidance/clarification-use-presumptive-guidelines-establishment-support/collection" TargetMode="External"/><Relationship Id="rId1927" Type="http://schemas.openxmlformats.org/officeDocument/2006/relationships/hyperlink" Target="https://acf.gov/css/policy-guidance/base-level-program-expenditures-incentive-reinvestment-purposes-revision" TargetMode="External"/><Relationship Id="rId2091" Type="http://schemas.openxmlformats.org/officeDocument/2006/relationships/hyperlink" Target="https://acf.gov/css/policy-guidance/case-closure-child-only-medicaid-cases" TargetMode="External"/><Relationship Id="rId2189" Type="http://schemas.openxmlformats.org/officeDocument/2006/relationships/hyperlink" Target="https://acf.gov/css/training-technical-assistance/system-system-interface-option-states-and-employers" TargetMode="External"/><Relationship Id="rId270" Type="http://schemas.openxmlformats.org/officeDocument/2006/relationships/hyperlink" Target="https://acf.gov/cb/policy-guidance/80-01" TargetMode="External"/><Relationship Id="rId2396" Type="http://schemas.openxmlformats.org/officeDocument/2006/relationships/hyperlink" Target="https://acf.gov/orr/resource/fy-2018-refugee-social-services-formula-allocations" TargetMode="External"/><Relationship Id="rId3002" Type="http://schemas.openxmlformats.org/officeDocument/2006/relationships/hyperlink" Target="https://headstart.gov/physical-health/article/steps-take-if-there-lead-your-drinking-water" TargetMode="External"/><Relationship Id="rId130" Type="http://schemas.openxmlformats.org/officeDocument/2006/relationships/hyperlink" Target="https://acf.gov/cb/faq/foster-care1" TargetMode="External"/><Relationship Id="rId368" Type="http://schemas.openxmlformats.org/officeDocument/2006/relationships/hyperlink" Target="https://acf.gov/cb/policy-guidance/im-01-06" TargetMode="External"/><Relationship Id="rId575" Type="http://schemas.openxmlformats.org/officeDocument/2006/relationships/hyperlink" Target="https://acf.gov/cb/policy-guidance/pi-08-03" TargetMode="External"/><Relationship Id="rId782" Type="http://schemas.openxmlformats.org/officeDocument/2006/relationships/hyperlink" Target="https://acf.gov/archive/occ/policy-guidance/background-checks-health-and-safety-requirements-ccdf-plan" TargetMode="External"/><Relationship Id="rId2049" Type="http://schemas.openxmlformats.org/officeDocument/2006/relationships/hyperlink" Target="https://acf.gov/css/policy-guidance/enlistment-policy-men-who-acknowledge-paternity" TargetMode="External"/><Relationship Id="rId2256" Type="http://schemas.openxmlformats.org/officeDocument/2006/relationships/hyperlink" Target="https://acf.gov/cb/training-technical-assistance/nytd-technical-bulletin-2-compliance-standards" TargetMode="External"/><Relationship Id="rId2463" Type="http://schemas.openxmlformats.org/officeDocument/2006/relationships/hyperlink" Target="https://acf.gov/orr/resource/family-self-sufficiency-plan-requirements" TargetMode="External"/><Relationship Id="rId2670" Type="http://schemas.openxmlformats.org/officeDocument/2006/relationships/hyperlink" Target="https://acf.gov/orr/policy-guidance/state-letter-02-08" TargetMode="External"/><Relationship Id="rId228" Type="http://schemas.openxmlformats.org/officeDocument/2006/relationships/hyperlink" Target="https://acf.gov/cb/faq/can12" TargetMode="External"/><Relationship Id="rId435" Type="http://schemas.openxmlformats.org/officeDocument/2006/relationships/hyperlink" Target="https://acf.gov/cb/policy-guidance/im-89-09" TargetMode="External"/><Relationship Id="rId642" Type="http://schemas.openxmlformats.org/officeDocument/2006/relationships/hyperlink" Target="https://acf.gov/cb/policy-guidance/pi-98-06" TargetMode="External"/><Relationship Id="rId1065" Type="http://schemas.openxmlformats.org/officeDocument/2006/relationships/hyperlink" Target="https://acf.gov/ocs/policy-guidance/liheap-2025-02-liheap-performance-data-form-fiscal-year-fy-2024" TargetMode="External"/><Relationship Id="rId1272" Type="http://schemas.openxmlformats.org/officeDocument/2006/relationships/hyperlink" Target="https://acf.gov/ocs/resource/liheap-dear-colleague-notice-on-upcoming-webinars-conducted-by-neada" TargetMode="External"/><Relationship Id="rId2116" Type="http://schemas.openxmlformats.org/officeDocument/2006/relationships/hyperlink" Target="https://acf.gov/css/faq/how-does-federal-tax-refund-offset-program-work" TargetMode="External"/><Relationship Id="rId2323" Type="http://schemas.openxmlformats.org/officeDocument/2006/relationships/hyperlink" Target="https://acf.gov/sites/default/files/documents/orr/DCL-23-12-ORR-Funded-Behavioral-Health-Support-Program-Afghan-Arrivals.pdf" TargetMode="External"/><Relationship Id="rId2530" Type="http://schemas.openxmlformats.org/officeDocument/2006/relationships/hyperlink" Target="https://acf.gov/orr/policy-guidance/state-letter-10-02" TargetMode="External"/><Relationship Id="rId2768" Type="http://schemas.openxmlformats.org/officeDocument/2006/relationships/hyperlink" Target="https://acf.gov/sites/default/files/documents/orr/pamphlet_english.pdf" TargetMode="External"/><Relationship Id="rId2975" Type="http://schemas.openxmlformats.org/officeDocument/2006/relationships/hyperlink" Target="https://headstart.gov/about-us/article/transition-headstart-gov-faqs" TargetMode="External"/><Relationship Id="rId502" Type="http://schemas.openxmlformats.org/officeDocument/2006/relationships/hyperlink" Target="https://acf.gov/cb/policy-guidance/pi-16-05" TargetMode="External"/><Relationship Id="rId947" Type="http://schemas.openxmlformats.org/officeDocument/2006/relationships/hyperlink" Target="https://acf.gov/occ/faq/does-new-law-require-group-size-limits-or-child-provider-ratios" TargetMode="External"/><Relationship Id="rId1132" Type="http://schemas.openxmlformats.org/officeDocument/2006/relationships/hyperlink" Target="https://acf.gov/ocs/resource/grantee-survey-for-federal-fiscal-year-2011" TargetMode="External"/><Relationship Id="rId1577" Type="http://schemas.openxmlformats.org/officeDocument/2006/relationships/hyperlink" Target="https://acf.gov/css/policy-guidance/interim-final-rule-conforming-child-support-enforcement-rules-prwora" TargetMode="External"/><Relationship Id="rId1784" Type="http://schemas.openxmlformats.org/officeDocument/2006/relationships/hyperlink" Target="https://acf.gov/css/policy-guidance/submittal-ocse-75-fy-2024" TargetMode="External"/><Relationship Id="rId1991" Type="http://schemas.openxmlformats.org/officeDocument/2006/relationships/hyperlink" Target="https://acf.gov/css/policy-guidance/training-materials-available-international-case-processing-under-uifsa-2008" TargetMode="External"/><Relationship Id="rId2628" Type="http://schemas.openxmlformats.org/officeDocument/2006/relationships/hyperlink" Target="https://acf.gov/orr/policy-guidance/state-letter-04-04" TargetMode="External"/><Relationship Id="rId2835" Type="http://schemas.openxmlformats.org/officeDocument/2006/relationships/hyperlink" Target="https://acf.gov/ofa/policy-guidance/cost-allocation-methodology-tanf-final-rule" TargetMode="External"/><Relationship Id="rId76" Type="http://schemas.openxmlformats.org/officeDocument/2006/relationships/hyperlink" Target="https://acf.gov/cb/report/cfsr4-pip-plan-template" TargetMode="External"/><Relationship Id="rId807" Type="http://schemas.openxmlformats.org/officeDocument/2006/relationships/hyperlink" Target="https://acf.gov/occ/policy-guidance/cost-methodologies-evaluation-criteria-acf-occ-ccdf-pi-25-04" TargetMode="External"/><Relationship Id="rId1437" Type="http://schemas.openxmlformats.org/officeDocument/2006/relationships/hyperlink" Target="https://acf.gov/ocs/policy-guidance/liheap-2011-2-financial-reporting-requirement-all-grantees-sf-269a-report-fy" TargetMode="External"/><Relationship Id="rId1644" Type="http://schemas.openxmlformats.org/officeDocument/2006/relationships/hyperlink" Target="https://acf.gov/css/policy-guidance/final-rule-extension-iv-d-child-support-enforcement-services" TargetMode="External"/><Relationship Id="rId1851" Type="http://schemas.openxmlformats.org/officeDocument/2006/relationships/hyperlink" Target="https://acf.gov/css/policy-guidance/request-comments-revised-iwo-form-and-instructions" TargetMode="External"/><Relationship Id="rId2902" Type="http://schemas.openxmlformats.org/officeDocument/2006/relationships/hyperlink" Target="https://headstart.gov/policy/im/acf-ohs-im-24-04" TargetMode="External"/><Relationship Id="rId1504" Type="http://schemas.openxmlformats.org/officeDocument/2006/relationships/hyperlink" Target="https://acf.gov/css/policy-guidance/revisions-and-resubmission-state-iv-d-plan-pages-comply-fem" TargetMode="External"/><Relationship Id="rId1711" Type="http://schemas.openxmlformats.org/officeDocument/2006/relationships/hyperlink" Target="https://acf.gov/css/policy-guidance/final-rule-computerized-support-enforcement-systems" TargetMode="External"/><Relationship Id="rId1949" Type="http://schemas.openxmlformats.org/officeDocument/2006/relationships/hyperlink" Target="https://acf.gov/css/policy-guidance/non-iv-d-immediate-wage-withholding" TargetMode="External"/><Relationship Id="rId292" Type="http://schemas.openxmlformats.org/officeDocument/2006/relationships/hyperlink" Target="https://acf.gov/cb/policy-guidance/im-15-01" TargetMode="External"/><Relationship Id="rId1809" Type="http://schemas.openxmlformats.org/officeDocument/2006/relationships/hyperlink" Target="https://acf.gov/css/policy-guidance/fy-2022-preliminary-data-report-and-tables" TargetMode="External"/><Relationship Id="rId597" Type="http://schemas.openxmlformats.org/officeDocument/2006/relationships/hyperlink" Target="https://acf.gov/cb/policy-guidance/pi-05-05" TargetMode="External"/><Relationship Id="rId2180" Type="http://schemas.openxmlformats.org/officeDocument/2006/relationships/hyperlink" Target="https://acf.gov/css/training-technical-assistance/essentials-attorneys-child-support-enforcement" TargetMode="External"/><Relationship Id="rId2278" Type="http://schemas.openxmlformats.org/officeDocument/2006/relationships/hyperlink" Target="https://acf.gov/orr/policy/dear-colleague-letters/25-06" TargetMode="External"/><Relationship Id="rId2485" Type="http://schemas.openxmlformats.org/officeDocument/2006/relationships/hyperlink" Target="https://acf.gov/orr/policy-guidance/documentation-requirements-refugee-resettlement-program" TargetMode="External"/><Relationship Id="rId3024" Type="http://schemas.openxmlformats.org/officeDocument/2006/relationships/hyperlink" Target="https://headstart.gov/designation-renewal-system/article/questions-responses-regarding-designation-renewal-system-changes" TargetMode="External"/><Relationship Id="rId152" Type="http://schemas.openxmlformats.org/officeDocument/2006/relationships/hyperlink" Target="https://acf.gov/cb/report/tribal-lookup-table-fy-2022" TargetMode="External"/><Relationship Id="rId457" Type="http://schemas.openxmlformats.org/officeDocument/2006/relationships/hyperlink" Target="https://acf.gov/cb/policy-guidance/im-86-31" TargetMode="External"/><Relationship Id="rId1087" Type="http://schemas.openxmlformats.org/officeDocument/2006/relationships/hyperlink" Target="https://acf.gov/ocs/policy-guidance/liheap-2021-02-performance-data-form-fy-2020" TargetMode="External"/><Relationship Id="rId1294" Type="http://schemas.openxmlformats.org/officeDocument/2006/relationships/hyperlink" Target="https://acf.gov/ocs/resource/liheap-webinar-on-status-of-fy-2012-liheap-funding" TargetMode="External"/><Relationship Id="rId2040" Type="http://schemas.openxmlformats.org/officeDocument/2006/relationships/hyperlink" Target="https://acf.gov/css/policy-guidance/guidance-prohibition-national-origin-discrimination" TargetMode="External"/><Relationship Id="rId2138" Type="http://schemas.openxmlformats.org/officeDocument/2006/relationships/hyperlink" Target="https://acf.gov/css/faq/what-can-i-do-make-sure-my-child-support-order-amount-fair" TargetMode="External"/><Relationship Id="rId2692" Type="http://schemas.openxmlformats.org/officeDocument/2006/relationships/hyperlink" Target="https://acf.gov/orr/policy-guidance/state-letter-02-33" TargetMode="External"/><Relationship Id="rId2997" Type="http://schemas.openxmlformats.org/officeDocument/2006/relationships/hyperlink" Target="https://headstart.gov/program-data/article/program-information-report-pir-faqs" TargetMode="External"/><Relationship Id="rId664" Type="http://schemas.openxmlformats.org/officeDocument/2006/relationships/hyperlink" Target="https://acf.gov/cb/policy-guidance/pi-95-10" TargetMode="External"/><Relationship Id="rId871" Type="http://schemas.openxmlformats.org/officeDocument/2006/relationships/hyperlink" Target="https://acf.gov/occ/resource/program-instruction-ccdf-acf-pi-2012-02" TargetMode="External"/><Relationship Id="rId969" Type="http://schemas.openxmlformats.org/officeDocument/2006/relationships/hyperlink" Target="https://acf.gov/occ/faq/must-states-use-current-market-rate-survey-or-alternative-methodology-set-rates" TargetMode="External"/><Relationship Id="rId1599" Type="http://schemas.openxmlformats.org/officeDocument/2006/relationships/hyperlink" Target="https://acf.gov/css/policy-guidance/policy-questions-and-responses-miscellaneous-issues-regarding-prwora" TargetMode="External"/><Relationship Id="rId2345" Type="http://schemas.openxmlformats.org/officeDocument/2006/relationships/hyperlink" Target="https://acf.gov/sites/default/files/documents/orr/ORR-DCL-22-14-ARHP-FY2022-Second-Allocation.pdf" TargetMode="External"/><Relationship Id="rId2552" Type="http://schemas.openxmlformats.org/officeDocument/2006/relationships/hyperlink" Target="https://acf.gov/orr/policy-guidance/state-letter-08-02" TargetMode="External"/><Relationship Id="rId317" Type="http://schemas.openxmlformats.org/officeDocument/2006/relationships/hyperlink" Target="https://acf.gov/cb/policy-guidance/im-09-02" TargetMode="External"/><Relationship Id="rId524" Type="http://schemas.openxmlformats.org/officeDocument/2006/relationships/hyperlink" Target="https://acf.gov/cb/policy-guidance/acf-oa-pi-13-01" TargetMode="External"/><Relationship Id="rId731" Type="http://schemas.openxmlformats.org/officeDocument/2006/relationships/hyperlink" Target="https://acf.gov/cb/faq/adoption5" TargetMode="External"/><Relationship Id="rId1154" Type="http://schemas.openxmlformats.org/officeDocument/2006/relationships/hyperlink" Target="https://acf.gov/ocs/resource/liheap-estimates-of-quarterly-obligations-for-the-fiscal-2011" TargetMode="External"/><Relationship Id="rId1361" Type="http://schemas.openxmlformats.org/officeDocument/2006/relationships/hyperlink" Target="https://acf.gov/ocs/resource/liheap-fy-2011-allocations-200-million-emergency-contingency-funds" TargetMode="External"/><Relationship Id="rId1459" Type="http://schemas.openxmlformats.org/officeDocument/2006/relationships/hyperlink" Target="https://acf.gov/css/policy-guidance/required-data-elements-paternity-establishment-affidavits-expires-jan-31-2027" TargetMode="External"/><Relationship Id="rId2205" Type="http://schemas.openxmlformats.org/officeDocument/2006/relationships/hyperlink" Target="https://acf.gov/css/training-technical-assistance/state-systems-apd-guide" TargetMode="External"/><Relationship Id="rId2412" Type="http://schemas.openxmlformats.org/officeDocument/2006/relationships/hyperlink" Target="https://acf.gov/orr/resource/cuban-haitian-social-services-set-aside-fiscal-year-2017" TargetMode="External"/><Relationship Id="rId2857" Type="http://schemas.openxmlformats.org/officeDocument/2006/relationships/hyperlink" Target="https://acf.gov/ofa/policy-guidance/tanf-acf-pi-2013-01-omb-approved-form-acf-196-state-tanf-financial-report-form" TargetMode="External"/><Relationship Id="rId98" Type="http://schemas.openxmlformats.org/officeDocument/2006/relationships/hyperlink" Target="https://acf.gov/cb/training-technical-assistance/rationale-statement-narratives" TargetMode="External"/><Relationship Id="rId829" Type="http://schemas.openxmlformats.org/officeDocument/2006/relationships/hyperlink" Target="https://acf.gov/occ/policy-guidance/ccdf-acf-pi-2021-05" TargetMode="External"/><Relationship Id="rId1014" Type="http://schemas.openxmlformats.org/officeDocument/2006/relationships/hyperlink" Target="https://acf.gov/occ/policy-guidance/ccdf-acf-pi-2018-02" TargetMode="External"/><Relationship Id="rId1221" Type="http://schemas.openxmlformats.org/officeDocument/2006/relationships/hyperlink" Target="https://acf.gov/ocs/resource/fy-2018-funding-release" TargetMode="External"/><Relationship Id="rId1666" Type="http://schemas.openxmlformats.org/officeDocument/2006/relationships/hyperlink" Target="https://acf.gov/css/policy-guidance/child-support-enforcement-program-audit-nprm" TargetMode="External"/><Relationship Id="rId1873" Type="http://schemas.openxmlformats.org/officeDocument/2006/relationships/hyperlink" Target="https://acf.gov/css/policy-guidance/updated-locator-codes-data-standards" TargetMode="External"/><Relationship Id="rId2717" Type="http://schemas.openxmlformats.org/officeDocument/2006/relationships/hyperlink" Target="https://acf.gov/orr/policy-guidance/state-letter-00-05" TargetMode="External"/><Relationship Id="rId2924" Type="http://schemas.openxmlformats.org/officeDocument/2006/relationships/hyperlink" Target="https://headstart.gov/policy/im/acf-im-hs-15-05" TargetMode="External"/><Relationship Id="rId1319" Type="http://schemas.openxmlformats.org/officeDocument/2006/relationships/hyperlink" Target="https://acf.gov/ocs/resource/im-2018-01-liheap-grantee-monitoring-schedule" TargetMode="External"/><Relationship Id="rId1526" Type="http://schemas.openxmlformats.org/officeDocument/2006/relationships/hyperlink" Target="https://acf.gov/css/policy-guidance/final-rule-computerized-tribal-iv-d-systems-and-office-automation" TargetMode="External"/><Relationship Id="rId1733" Type="http://schemas.openxmlformats.org/officeDocument/2006/relationships/hyperlink" Target="https://acf.gov/css/policy-guidance/definition-short-term-training" TargetMode="External"/><Relationship Id="rId1940" Type="http://schemas.openxmlformats.org/officeDocument/2006/relationships/hyperlink" Target="https://acf.gov/css/policy-guidance/facilitate-family-preservation-and-promote-adoption" TargetMode="External"/><Relationship Id="rId25" Type="http://schemas.openxmlformats.org/officeDocument/2006/relationships/hyperlink" Target="https://acf.gov/cb/faq/research-data-technology/reporting-systems/nytd/faq/section1" TargetMode="External"/><Relationship Id="rId1800" Type="http://schemas.openxmlformats.org/officeDocument/2006/relationships/hyperlink" Target="https://acf.gov/css/policy-guidance/fy-2024-user-fees-fpls-and-csenet" TargetMode="External"/><Relationship Id="rId174" Type="http://schemas.openxmlformats.org/officeDocument/2006/relationships/hyperlink" Target="https://acf.gov/cb/policy-guidance/letter-jerry-milner-cfsr-pip-measurement-non-overlapping-evaluation-period" TargetMode="External"/><Relationship Id="rId381" Type="http://schemas.openxmlformats.org/officeDocument/2006/relationships/hyperlink" Target="https://acf.gov/cb/policy-guidance/im-99-03" TargetMode="External"/><Relationship Id="rId2062" Type="http://schemas.openxmlformats.org/officeDocument/2006/relationships/hyperlink" Target="https://acf.gov/css/policy-guidance/state-medicaid-agency-incentive-payments-assigned-medical-support-collection" TargetMode="External"/><Relationship Id="rId241" Type="http://schemas.openxmlformats.org/officeDocument/2006/relationships/hyperlink" Target="https://acf.gov/cb/report/tribal-federal-medical-assistance-percentage-reference-table-fys-2018-2019" TargetMode="External"/><Relationship Id="rId479" Type="http://schemas.openxmlformats.org/officeDocument/2006/relationships/hyperlink" Target="https://acf.gov/cb/policy-guidance/im-83-04" TargetMode="External"/><Relationship Id="rId686" Type="http://schemas.openxmlformats.org/officeDocument/2006/relationships/hyperlink" Target="https://acf.gov/cb/policy-guidance/pi-90-01" TargetMode="External"/><Relationship Id="rId893" Type="http://schemas.openxmlformats.org/officeDocument/2006/relationships/hyperlink" Target="https://acf.gov/occ/resource/pi-2009-03" TargetMode="External"/><Relationship Id="rId2367" Type="http://schemas.openxmlformats.org/officeDocument/2006/relationships/hyperlink" Target="https://acf.gov/sites/default/files/documents/orr/DCL_21_10_FY_21_RSS_Formula_Allocations.pdf" TargetMode="External"/><Relationship Id="rId2574" Type="http://schemas.openxmlformats.org/officeDocument/2006/relationships/hyperlink" Target="https://acf.gov/orr/policy-guidance/state-letter-07-14" TargetMode="External"/><Relationship Id="rId2781" Type="http://schemas.openxmlformats.org/officeDocument/2006/relationships/hyperlink" Target="https://acf.gov/sites/default/files/documents/orr/garza_policy_memorandum.pdf" TargetMode="External"/><Relationship Id="rId339" Type="http://schemas.openxmlformats.org/officeDocument/2006/relationships/hyperlink" Target="https://acf.gov/cb/policy-guidance/im-05-05" TargetMode="External"/><Relationship Id="rId546" Type="http://schemas.openxmlformats.org/officeDocument/2006/relationships/hyperlink" Target="https://acf.gov/cb/policy-guidance/pi-10-13" TargetMode="External"/><Relationship Id="rId753" Type="http://schemas.openxmlformats.org/officeDocument/2006/relationships/hyperlink" Target="https://acf.gov/occ/policy-guidance/implementation-ccdf-through-tribal-consortium-acf-occ-ccdf-im-25-02" TargetMode="External"/><Relationship Id="rId1176" Type="http://schemas.openxmlformats.org/officeDocument/2006/relationships/hyperlink" Target="https://acf.gov/ocs/policy-guidance/liheap-dcl-2023-10-fy-23-and-first-quarter-fy-24-liheap-monitoring-review" TargetMode="External"/><Relationship Id="rId1383" Type="http://schemas.openxmlformats.org/officeDocument/2006/relationships/hyperlink" Target="https://acf.gov/sites/default/files/documents/ocs/COMM_LIHEAP_AT2024-05_Carryover-ReallotInstrs_FY2024_1.pdf" TargetMode="External"/><Relationship Id="rId2227" Type="http://schemas.openxmlformats.org/officeDocument/2006/relationships/hyperlink" Target="https://acf.gov/ecd/policy-guidance/tribal-hv-implementation-plan-guidance-cohort-3" TargetMode="External"/><Relationship Id="rId2434" Type="http://schemas.openxmlformats.org/officeDocument/2006/relationships/hyperlink" Target="https://acf.gov/sites/default/files/documents/orr/PL-23-01-Waivers-and-Flexibilities-for-Capacity-Management.pdf" TargetMode="External"/><Relationship Id="rId2879" Type="http://schemas.openxmlformats.org/officeDocument/2006/relationships/hyperlink" Target="https://acf.gov/ofa/policy-guidance/acf-ofa-im-24-01" TargetMode="External"/><Relationship Id="rId101" Type="http://schemas.openxmlformats.org/officeDocument/2006/relationships/hyperlink" Target="https://acf.gov/cb/report/cfsr-r4-statewide-data-indicators-data-dictionary" TargetMode="External"/><Relationship Id="rId406" Type="http://schemas.openxmlformats.org/officeDocument/2006/relationships/hyperlink" Target="https://acf.gov/cb/policy-guidance/im-95-11" TargetMode="External"/><Relationship Id="rId960" Type="http://schemas.openxmlformats.org/officeDocument/2006/relationships/hyperlink" Target="https://acf.gov/occ/faq/do-current-regulations-still-apply-and-when-will-acf-issue-new-proposed-rule" TargetMode="External"/><Relationship Id="rId1036" Type="http://schemas.openxmlformats.org/officeDocument/2006/relationships/hyperlink" Target="https://acf.gov/occ/policy-guidance/extension-acf-218-quality-progress-report-deadline" TargetMode="External"/><Relationship Id="rId1243" Type="http://schemas.openxmlformats.org/officeDocument/2006/relationships/hyperlink" Target="https://acf.gov/ocs/resource/liheap-dear-colleague-notice-on-free-financial-capability-integration-technical-assistance-opportunity" TargetMode="External"/><Relationship Id="rId1590" Type="http://schemas.openxmlformats.org/officeDocument/2006/relationships/hyperlink" Target="https://acf.gov/css/policy-guidance/nprm-prwora-child-support-enforcement-program-automation" TargetMode="External"/><Relationship Id="rId1688" Type="http://schemas.openxmlformats.org/officeDocument/2006/relationships/hyperlink" Target="https://acf.gov/css/policy-guidance/final-rule-computing-supplemental-payment-states" TargetMode="External"/><Relationship Id="rId1895" Type="http://schemas.openxmlformats.org/officeDocument/2006/relationships/hyperlink" Target="https://acf.gov/css/policy-guidance/child-support-and-court/judicial-message-exchange-data-model" TargetMode="External"/><Relationship Id="rId2641" Type="http://schemas.openxmlformats.org/officeDocument/2006/relationships/hyperlink" Target="https://acf.gov/orr/policy-guidance/state-letter-04-17" TargetMode="External"/><Relationship Id="rId2739" Type="http://schemas.openxmlformats.org/officeDocument/2006/relationships/hyperlink" Target="https://acf.gov/sites/default/files/documents/orr/ORR-6-Instructions.docx" TargetMode="External"/><Relationship Id="rId2946" Type="http://schemas.openxmlformats.org/officeDocument/2006/relationships/hyperlink" Target="https://headstart.gov/policy/pi/acf-pi-hs-20-06" TargetMode="External"/><Relationship Id="rId613" Type="http://schemas.openxmlformats.org/officeDocument/2006/relationships/hyperlink" Target="https://acf.gov/cb/policy-guidance/pi-03-03" TargetMode="External"/><Relationship Id="rId820" Type="http://schemas.openxmlformats.org/officeDocument/2006/relationships/hyperlink" Target="https://acf.gov/occ/policy-guidance/qpr-acf-218-ccdf-ffy-2023-pi-2023-03" TargetMode="External"/><Relationship Id="rId918" Type="http://schemas.openxmlformats.org/officeDocument/2006/relationships/hyperlink" Target="https://acf.gov/occ/faq/how-ccdf-plan-organized" TargetMode="External"/><Relationship Id="rId1450" Type="http://schemas.openxmlformats.org/officeDocument/2006/relationships/hyperlink" Target="https://acf.gov/css/policy-guidance/amended-guidance-snap-only-cases-federal-reporting-forms" TargetMode="External"/><Relationship Id="rId1548" Type="http://schemas.openxmlformats.org/officeDocument/2006/relationships/hyperlink" Target="https://acf.gov/css/policy-guidance/interim-final-rule-quantitative-standards-review-and-adjustment-child-support" TargetMode="External"/><Relationship Id="rId1755" Type="http://schemas.openxmlformats.org/officeDocument/2006/relationships/hyperlink" Target="https://acf.gov/css/policy-guidance/tax-reform-act-1976" TargetMode="External"/><Relationship Id="rId2501" Type="http://schemas.openxmlformats.org/officeDocument/2006/relationships/hyperlink" Target="https://acf.gov/orr/policy-guidance/state-letter-13-08" TargetMode="External"/><Relationship Id="rId1103" Type="http://schemas.openxmlformats.org/officeDocument/2006/relationships/hyperlink" Target="https://acf.gov/ocs/resource/action-transmittal-2018-03-revised-ffy-2017-liheap-carryover-and-reallotment-report" TargetMode="External"/><Relationship Id="rId1310" Type="http://schemas.openxmlformats.org/officeDocument/2006/relationships/hyperlink" Target="https://acf.gov/ocs/policy-guidance/liheap-im-2022-06-heat-stress-flexibilities-and-resources-fy2022" TargetMode="External"/><Relationship Id="rId1408" Type="http://schemas.openxmlformats.org/officeDocument/2006/relationships/hyperlink" Target="https://acf.gov/ocs/policy-guidance/liheap-im-2000-12-costs-planning-and-administration-updated-information" TargetMode="External"/><Relationship Id="rId1962" Type="http://schemas.openxmlformats.org/officeDocument/2006/relationships/hyperlink" Target="https://acf.gov/css/policy-guidance/usps-contact-information-child-support-agencies-updated" TargetMode="External"/><Relationship Id="rId2806" Type="http://schemas.openxmlformats.org/officeDocument/2006/relationships/hyperlink" Target="https://acf.gov/fysb/faq/eligible-fysb-grant" TargetMode="External"/><Relationship Id="rId47" Type="http://schemas.openxmlformats.org/officeDocument/2006/relationships/hyperlink" Target="https://acf.gov/cb/report/tribal-fmap-reference-table-fy-2025" TargetMode="External"/><Relationship Id="rId1615" Type="http://schemas.openxmlformats.org/officeDocument/2006/relationships/hyperlink" Target="https://acf.gov/css/policy-guidance/elimination-annual-three-year-hardware-and-software-configuration-plan" TargetMode="External"/><Relationship Id="rId1822" Type="http://schemas.openxmlformats.org/officeDocument/2006/relationships/hyperlink" Target="https://acf.gov/css/policy-guidance/fy-2023-federal-offset-and-pre-offset-notice-program-fees" TargetMode="External"/><Relationship Id="rId196" Type="http://schemas.openxmlformats.org/officeDocument/2006/relationships/hyperlink" Target="https://acf.gov/cb/training-technical-assistance/ffpsa-title-iv-e-prevention-program-implementation-updates" TargetMode="External"/><Relationship Id="rId2084" Type="http://schemas.openxmlformats.org/officeDocument/2006/relationships/hyperlink" Target="https://acf.gov/css/policy-guidance/reduction-unreimbursed-assistance-balance-when-permanently-assigned-arrearages" TargetMode="External"/><Relationship Id="rId2291" Type="http://schemas.openxmlformats.org/officeDocument/2006/relationships/hyperlink" Target="https://acf.gov/sites/default/files/documents/orr/dcl-24-06-services-to-older-refugees-set-aside-fy2024-funding.pdf" TargetMode="External"/><Relationship Id="rId263" Type="http://schemas.openxmlformats.org/officeDocument/2006/relationships/hyperlink" Target="https://acf.gov/cb/policy-guidance/85-04" TargetMode="External"/><Relationship Id="rId470" Type="http://schemas.openxmlformats.org/officeDocument/2006/relationships/hyperlink" Target="https://acf.gov/cb/policy-guidance/im-85-02" TargetMode="External"/><Relationship Id="rId2151" Type="http://schemas.openxmlformats.org/officeDocument/2006/relationships/hyperlink" Target="https://acf.gov/css/faq/my-children-no-longer-minor-will-debt-still-be-submitted-federal-tax-refund-offset" TargetMode="External"/><Relationship Id="rId2389" Type="http://schemas.openxmlformats.org/officeDocument/2006/relationships/hyperlink" Target="https://acf.gov/orr/resource/fy-2019-refugee-support-services-formula-allocation" TargetMode="External"/><Relationship Id="rId2596" Type="http://schemas.openxmlformats.org/officeDocument/2006/relationships/hyperlink" Target="https://acf.gov/orr/policy-guidance/state-letter-05-03" TargetMode="External"/><Relationship Id="rId123" Type="http://schemas.openxmlformats.org/officeDocument/2006/relationships/hyperlink" Target="https://acf.gov/cb/policy-guidance/joint-letter-states-financial-assistance" TargetMode="External"/><Relationship Id="rId330" Type="http://schemas.openxmlformats.org/officeDocument/2006/relationships/hyperlink" Target="https://acf.gov/cb/policy-guidance/im-06-04" TargetMode="External"/><Relationship Id="rId568" Type="http://schemas.openxmlformats.org/officeDocument/2006/relationships/hyperlink" Target="https://acf.gov/cb/policy-guidance/pi-09-03" TargetMode="External"/><Relationship Id="rId775" Type="http://schemas.openxmlformats.org/officeDocument/2006/relationships/hyperlink" Target="https://acf.gov/occ/resource/im-2015-02" TargetMode="External"/><Relationship Id="rId982" Type="http://schemas.openxmlformats.org/officeDocument/2006/relationships/hyperlink" Target="https://acf.gov/occ/faq/how-can-i-keep-date-information-about-implementation-new-law" TargetMode="External"/><Relationship Id="rId1198" Type="http://schemas.openxmlformats.org/officeDocument/2006/relationships/hyperlink" Target="https://acf.gov/ocs/resource/liheap-dcl-2020-01-funding-release-fy-21" TargetMode="External"/><Relationship Id="rId2011" Type="http://schemas.openxmlformats.org/officeDocument/2006/relationships/hyperlink" Target="https://acf.gov/css/policy-guidance/story-behind-numbers-understanding-and-managing-child-support-debt" TargetMode="External"/><Relationship Id="rId2249" Type="http://schemas.openxmlformats.org/officeDocument/2006/relationships/hyperlink" Target="https://acf.gov/ecd/policy-guidance/guidance-document-expulsion-and-suspension-policies-early-childhood-settings" TargetMode="External"/><Relationship Id="rId2456" Type="http://schemas.openxmlformats.org/officeDocument/2006/relationships/hyperlink" Target="https://acf.gov/sites/default/files/documents/orr/PL-21-01-Continued-Assistance-For-ORR-Populations-Affected-By-COVID-19.pdf" TargetMode="External"/><Relationship Id="rId2663" Type="http://schemas.openxmlformats.org/officeDocument/2006/relationships/hyperlink" Target="https://acf.gov/orr/policy-guidance/state-letter-03-22" TargetMode="External"/><Relationship Id="rId2870" Type="http://schemas.openxmlformats.org/officeDocument/2006/relationships/hyperlink" Target="https://acf.gov/ofa/policy-guidance/tanf-acf-pi-2017-04-renewed-form-acf-202-caseload-reduction-report" TargetMode="External"/><Relationship Id="rId428" Type="http://schemas.openxmlformats.org/officeDocument/2006/relationships/hyperlink" Target="https://acf.gov/cb/policy-guidance/im-90-26" TargetMode="External"/><Relationship Id="rId635" Type="http://schemas.openxmlformats.org/officeDocument/2006/relationships/hyperlink" Target="https://acf.gov/cb/policy-guidance/pi-99-04" TargetMode="External"/><Relationship Id="rId842" Type="http://schemas.openxmlformats.org/officeDocument/2006/relationships/hyperlink" Target="https://acf.gov/occ/resource/ccdf-acf-pi-2018-04" TargetMode="External"/><Relationship Id="rId1058" Type="http://schemas.openxmlformats.org/officeDocument/2006/relationships/hyperlink" Target="https://acf.gov/occ/policy-guidance/fy-2014-2015-ccdf-plan-preprint" TargetMode="External"/><Relationship Id="rId1265" Type="http://schemas.openxmlformats.org/officeDocument/2006/relationships/hyperlink" Target="https://acf.gov/ocs/resource/liheap-dear-colleague-notice-on-plan-and-oldc-system-updates" TargetMode="External"/><Relationship Id="rId1472" Type="http://schemas.openxmlformats.org/officeDocument/2006/relationships/hyperlink" Target="https://acf.gov/css/policy-guidance/final-rule-paternity-establishment-percentage-performance-relief" TargetMode="External"/><Relationship Id="rId2109" Type="http://schemas.openxmlformats.org/officeDocument/2006/relationships/hyperlink" Target="https://acf.gov/css/policy-guidance/direct-imposition-liens-and-levies-across-state-lines" TargetMode="External"/><Relationship Id="rId2316" Type="http://schemas.openxmlformats.org/officeDocument/2006/relationships/hyperlink" Target="https://acf.gov/sites/default/files/documents/orr/DCL-23-20-rss-asa-legal-services-fy2023.pdf" TargetMode="External"/><Relationship Id="rId2523" Type="http://schemas.openxmlformats.org/officeDocument/2006/relationships/hyperlink" Target="https://acf.gov/orr/policy-guidance/state-letter-10-10" TargetMode="External"/><Relationship Id="rId2730" Type="http://schemas.openxmlformats.org/officeDocument/2006/relationships/hyperlink" Target="https://acf.gov/orr/resource/state-letter-12-10" TargetMode="External"/><Relationship Id="rId2968" Type="http://schemas.openxmlformats.org/officeDocument/2006/relationships/hyperlink" Target="https://headstart.gov/policy/pi/acf-pi-hs-09-07" TargetMode="External"/><Relationship Id="rId702" Type="http://schemas.openxmlformats.org/officeDocument/2006/relationships/hyperlink" Target="https://acf.gov/cb/policy-guidance/pi-84-05" TargetMode="External"/><Relationship Id="rId1125" Type="http://schemas.openxmlformats.org/officeDocument/2006/relationships/hyperlink" Target="https://acf.gov/ocs/resource/ffy-2012-grantee-survey" TargetMode="External"/><Relationship Id="rId1332" Type="http://schemas.openxmlformats.org/officeDocument/2006/relationships/hyperlink" Target="https://acf.gov/ocs/resource/liheap-compliance-review-schedule" TargetMode="External"/><Relationship Id="rId1777" Type="http://schemas.openxmlformats.org/officeDocument/2006/relationships/hyperlink" Target="https://acf.gov/css/policy-guidance/ofa-ocss-joint-letter-child-support-cooperation-requirements" TargetMode="External"/><Relationship Id="rId1984" Type="http://schemas.openxmlformats.org/officeDocument/2006/relationships/hyperlink" Target="https://acf.gov/css/policy-guidance/caseworkers-guide-processing-cases-australia" TargetMode="External"/><Relationship Id="rId2828" Type="http://schemas.openxmlformats.org/officeDocument/2006/relationships/hyperlink" Target="https://acf.gov/ofa/policy-guidance/background-information-about-tanf-emergency-fund-0" TargetMode="External"/><Relationship Id="rId69" Type="http://schemas.openxmlformats.org/officeDocument/2006/relationships/hyperlink" Target="https://acf.gov/cb/faq/nofo-prelim-questions" TargetMode="External"/><Relationship Id="rId1637" Type="http://schemas.openxmlformats.org/officeDocument/2006/relationships/hyperlink" Target="https://acf.gov/css/policy-guidance/submission-state-plan-page-submitting-advance-planning-document-or-apd-update" TargetMode="External"/><Relationship Id="rId1844" Type="http://schemas.openxmlformats.org/officeDocument/2006/relationships/hyperlink" Target="https://acf.gov/css/policy-guidance/data-reliability-audit-requirements-fy-2020" TargetMode="External"/><Relationship Id="rId1704" Type="http://schemas.openxmlformats.org/officeDocument/2006/relationships/hyperlink" Target="https://acf.gov/css/policy-guidance/final-rule-railroad-retirement-garnishment" TargetMode="External"/><Relationship Id="rId285" Type="http://schemas.openxmlformats.org/officeDocument/2006/relationships/hyperlink" Target="https://acf.gov/cb/policy-guidance/im-15-08" TargetMode="External"/><Relationship Id="rId1911" Type="http://schemas.openxmlformats.org/officeDocument/2006/relationships/hyperlink" Target="https://acf.gov/css/policy-guidance/additional-information-regarding-dfas-restitution-letters" TargetMode="External"/><Relationship Id="rId492" Type="http://schemas.openxmlformats.org/officeDocument/2006/relationships/hyperlink" Target="https://acf.gov/cb/policy-guidance/pi-18-05" TargetMode="External"/><Relationship Id="rId797" Type="http://schemas.openxmlformats.org/officeDocument/2006/relationships/hyperlink" Target="https://acf.gov/occ/resource/piq2012-01" TargetMode="External"/><Relationship Id="rId2173" Type="http://schemas.openxmlformats.org/officeDocument/2006/relationships/hyperlink" Target="https://acf.gov/css/training-technical-assistance/organization-multiple-fein-templates" TargetMode="External"/><Relationship Id="rId2380" Type="http://schemas.openxmlformats.org/officeDocument/2006/relationships/hyperlink" Target="https://acf.gov/sites/default/files/documents/orr/dcl_20_08_fy_2020_2021_refugee_health_promotion_set_aside.pdf" TargetMode="External"/><Relationship Id="rId2478" Type="http://schemas.openxmlformats.org/officeDocument/2006/relationships/hyperlink" Target="https://acf.gov/orr/resource/the-role-of-refugee-health-coordinators" TargetMode="External"/><Relationship Id="rId3017" Type="http://schemas.openxmlformats.org/officeDocument/2006/relationships/hyperlink" Target="https://headstart.gov/publication/extending-aligning-redetermination-periods" TargetMode="External"/><Relationship Id="rId145" Type="http://schemas.openxmlformats.org/officeDocument/2006/relationships/hyperlink" Target="https://acf.gov/cb/policy-guidance/appendix-3-disaster-relief-flexibilities" TargetMode="External"/><Relationship Id="rId352" Type="http://schemas.openxmlformats.org/officeDocument/2006/relationships/hyperlink" Target="https://acf.gov/cb/policy-guidance/im-03-04" TargetMode="External"/><Relationship Id="rId1287" Type="http://schemas.openxmlformats.org/officeDocument/2006/relationships/hyperlink" Target="https://acf.gov/ocs/resource/liheap-webinar-for-tribal-and-territory-grantees-on-plan-requirements" TargetMode="External"/><Relationship Id="rId2033" Type="http://schemas.openxmlformats.org/officeDocument/2006/relationships/hyperlink" Target="https://acf.gov/css/policy-guidance/brown-bag-training-whats-your-security-iq" TargetMode="External"/><Relationship Id="rId2240" Type="http://schemas.openxmlformats.org/officeDocument/2006/relationships/hyperlink" Target="https://acf.gov/ecd/policy-guidance/ece-crosswalk" TargetMode="External"/><Relationship Id="rId2685" Type="http://schemas.openxmlformats.org/officeDocument/2006/relationships/hyperlink" Target="https://acf.gov/orr/policy-guidance/state-letter-02-23" TargetMode="External"/><Relationship Id="rId2892" Type="http://schemas.openxmlformats.org/officeDocument/2006/relationships/hyperlink" Target="https://acf.gov/ofa/policy-guidance/tanf-acf-pi-2021-02" TargetMode="External"/><Relationship Id="rId212" Type="http://schemas.openxmlformats.org/officeDocument/2006/relationships/hyperlink" Target="https://acf.gov/cb/training-technical-assistance/ncands-agency-file-codebook" TargetMode="External"/><Relationship Id="rId657" Type="http://schemas.openxmlformats.org/officeDocument/2006/relationships/hyperlink" Target="https://acf.gov/cb/policy-guidance/pi-96-07" TargetMode="External"/><Relationship Id="rId864" Type="http://schemas.openxmlformats.org/officeDocument/2006/relationships/hyperlink" Target="https://acf.gov/archive/occ/policy-guidance/program-instruction-ccdf-acf-pi-2013-03" TargetMode="External"/><Relationship Id="rId1494" Type="http://schemas.openxmlformats.org/officeDocument/2006/relationships/hyperlink" Target="https://acf.gov/css/policy-guidance/compliance-medical-support-final-rule-requirements" TargetMode="External"/><Relationship Id="rId1799" Type="http://schemas.openxmlformats.org/officeDocument/2006/relationships/hyperlink" Target="https://acf.gov/css/policy-guidance/us-objection-accession-botswana-hague-convention" TargetMode="External"/><Relationship Id="rId2100" Type="http://schemas.openxmlformats.org/officeDocument/2006/relationships/hyperlink" Target="https://acf.gov/css/policy-guidance/medical-support-enforcement-policy-clarifications" TargetMode="External"/><Relationship Id="rId2338" Type="http://schemas.openxmlformats.org/officeDocument/2006/relationships/hyperlink" Target="https://acf.gov/sites/default/files/documents/orr/DCL-22-21-Ukraine-RSS-Supplement.pdf" TargetMode="External"/><Relationship Id="rId2545" Type="http://schemas.openxmlformats.org/officeDocument/2006/relationships/hyperlink" Target="https://acf.gov/orr/policy-guidance/state-letter-09-11" TargetMode="External"/><Relationship Id="rId2752" Type="http://schemas.openxmlformats.org/officeDocument/2006/relationships/hyperlink" Target="https://acf.gov/sites/default/files/documents/orr/A-17-Interpreter-Agreement-with-ORR_v4_2024-10-04.pdf" TargetMode="External"/><Relationship Id="rId517" Type="http://schemas.openxmlformats.org/officeDocument/2006/relationships/hyperlink" Target="https://acf.gov/cb/policy-guidance/pi-14-06" TargetMode="External"/><Relationship Id="rId724" Type="http://schemas.openxmlformats.org/officeDocument/2006/relationships/hyperlink" Target="https://acf.gov/cb/faq/adoption17" TargetMode="External"/><Relationship Id="rId931" Type="http://schemas.openxmlformats.org/officeDocument/2006/relationships/hyperlink" Target="https://acf.gov/occ/faq/how-does-tribal-plan-extension-impact-102-477-tribes" TargetMode="External"/><Relationship Id="rId1147" Type="http://schemas.openxmlformats.org/officeDocument/2006/relationships/hyperlink" Target="https://acf.gov/ocs/resource/implementing-liheap-outcome-performance-measures" TargetMode="External"/><Relationship Id="rId1354" Type="http://schemas.openxmlformats.org/officeDocument/2006/relationships/hyperlink" Target="https://acf.gov/ocs/resource/fy-07-report-to-congress" TargetMode="External"/><Relationship Id="rId1561" Type="http://schemas.openxmlformats.org/officeDocument/2006/relationships/hyperlink" Target="https://acf.gov/css/policy-guidance/final-rule-national-medical-support-notice" TargetMode="External"/><Relationship Id="rId2405" Type="http://schemas.openxmlformats.org/officeDocument/2006/relationships/hyperlink" Target="https://acf.gov/orr/resource/discontinuation-of-cuban-haitian-social-services-set-aside-program" TargetMode="External"/><Relationship Id="rId2612" Type="http://schemas.openxmlformats.org/officeDocument/2006/relationships/hyperlink" Target="https://acf.gov/orr/resource/state-letter-05-20" TargetMode="External"/><Relationship Id="rId60" Type="http://schemas.openxmlformats.org/officeDocument/2006/relationships/hyperlink" Target="https://acf.gov/cb/faq/nofo-copies-successful-past-proposals" TargetMode="External"/><Relationship Id="rId1007" Type="http://schemas.openxmlformats.org/officeDocument/2006/relationships/hyperlink" Target="https://acf.gov/occ/policy-guidance/tribal-construction-or-major-renovation" TargetMode="External"/><Relationship Id="rId1214" Type="http://schemas.openxmlformats.org/officeDocument/2006/relationships/hyperlink" Target="https://acf.gov/ocs/resource/liheap-dcl-im-acf-oa-2020-1-acf-covid-flexibilities" TargetMode="External"/><Relationship Id="rId1421" Type="http://schemas.openxmlformats.org/officeDocument/2006/relationships/hyperlink" Target="https://acf.gov/ocs/policy-guidance/liheap-dcl-sequestration-update" TargetMode="External"/><Relationship Id="rId1659" Type="http://schemas.openxmlformats.org/officeDocument/2006/relationships/hyperlink" Target="https://acf.gov/css/policy-guidance/final-rule-standards-program-operations-processing-cases-and-distributing" TargetMode="External"/><Relationship Id="rId1866" Type="http://schemas.openxmlformats.org/officeDocument/2006/relationships/hyperlink" Target="https://acf.gov/css/policy-guidance/us-ratification-hague-child-support-convention" TargetMode="External"/><Relationship Id="rId2917" Type="http://schemas.openxmlformats.org/officeDocument/2006/relationships/hyperlink" Target="https://headstart.gov/policy/im/acf-im-hs-19-05" TargetMode="External"/><Relationship Id="rId1519" Type="http://schemas.openxmlformats.org/officeDocument/2006/relationships/hyperlink" Target="https://acf.gov/css/policy-guidance/final-rule-safeguarding-child-support-information" TargetMode="External"/><Relationship Id="rId1726" Type="http://schemas.openxmlformats.org/officeDocument/2006/relationships/hyperlink" Target="https://acf.gov/css/policy-guidance/interim-final-rule-cost-allocation-plans-public-assistance-programs" TargetMode="External"/><Relationship Id="rId1933" Type="http://schemas.openxmlformats.org/officeDocument/2006/relationships/hyperlink" Target="https://acf.gov/css/policy-guidance/internal-revenue-services-use-federal-case-registry-information" TargetMode="External"/><Relationship Id="rId18" Type="http://schemas.openxmlformats.org/officeDocument/2006/relationships/hyperlink" Target="https://acf.gov/cb/policy-guidance/im-24-10" TargetMode="External"/><Relationship Id="rId2195" Type="http://schemas.openxmlformats.org/officeDocument/2006/relationships/hyperlink" Target="https://acf.gov/css/training-technical-assistance/roundtable-domestic-violence-center-policy-research" TargetMode="External"/><Relationship Id="rId167" Type="http://schemas.openxmlformats.org/officeDocument/2006/relationships/hyperlink" Target="https://acf.gov/cb/policy-guidance/letter-regarding-roundtable-discussions" TargetMode="External"/><Relationship Id="rId374" Type="http://schemas.openxmlformats.org/officeDocument/2006/relationships/hyperlink" Target="https://acf.gov/cb/policy-guidance/im-00-09" TargetMode="External"/><Relationship Id="rId581" Type="http://schemas.openxmlformats.org/officeDocument/2006/relationships/hyperlink" Target="https://acf.gov/cb/policy-guidance/pi-07-10" TargetMode="External"/><Relationship Id="rId2055" Type="http://schemas.openxmlformats.org/officeDocument/2006/relationships/hyperlink" Target="https://acf.gov/css/policy-guidance/employers-wage-withholding-guide-small-business" TargetMode="External"/><Relationship Id="rId2262" Type="http://schemas.openxmlformats.org/officeDocument/2006/relationships/hyperlink" Target="https://acf.gov/cb/training-technical-assistance/tips-administering-nytd-survey" TargetMode="External"/><Relationship Id="rId234" Type="http://schemas.openxmlformats.org/officeDocument/2006/relationships/hyperlink" Target="https://acf.gov/cb/policy-guidance/pi-19-04" TargetMode="External"/><Relationship Id="rId679" Type="http://schemas.openxmlformats.org/officeDocument/2006/relationships/hyperlink" Target="https://acf.gov/cb/policy-guidance/pi-92-11" TargetMode="External"/><Relationship Id="rId886" Type="http://schemas.openxmlformats.org/officeDocument/2006/relationships/hyperlink" Target="https://acf.gov/occ/resource/pi-2010-01" TargetMode="External"/><Relationship Id="rId2567" Type="http://schemas.openxmlformats.org/officeDocument/2006/relationships/hyperlink" Target="https://acf.gov/orr/policy-guidance/state-letter-07-07" TargetMode="External"/><Relationship Id="rId2774" Type="http://schemas.openxmlformats.org/officeDocument/2006/relationships/hyperlink" Target="https://acf.gov/sites/default/files/documents/orr/RDH-2-Risk-Determination-Hearing-Opt-Out_v1_2024-07-01.pdf" TargetMode="External"/><Relationship Id="rId2" Type="http://schemas.openxmlformats.org/officeDocument/2006/relationships/hyperlink" Target="https://acf.gov/ecd/outreach-material/teli-collaborative-success" TargetMode="External"/><Relationship Id="rId441" Type="http://schemas.openxmlformats.org/officeDocument/2006/relationships/hyperlink" Target="https://acf.gov/cb/policy-guidance/im-88-28" TargetMode="External"/><Relationship Id="rId539" Type="http://schemas.openxmlformats.org/officeDocument/2006/relationships/hyperlink" Target="https://acf.gov/cb/policy-guidance/pi-11-07" TargetMode="External"/><Relationship Id="rId746" Type="http://schemas.openxmlformats.org/officeDocument/2006/relationships/hyperlink" Target="https://acf.gov/cb/faq/adoption11" TargetMode="External"/><Relationship Id="rId1071" Type="http://schemas.openxmlformats.org/officeDocument/2006/relationships/hyperlink" Target="https://acf.gov/ocs/policy-guidance/liheap-at2024-03-model-plan-application-funding-federal-fy-2025" TargetMode="External"/><Relationship Id="rId1169" Type="http://schemas.openxmlformats.org/officeDocument/2006/relationships/hyperlink" Target="https://acf.gov/ocs/policy-guidance/liheap-dcl-third-liheap-supplemental-grant-funding-release-ffy-2023" TargetMode="External"/><Relationship Id="rId1376" Type="http://schemas.openxmlformats.org/officeDocument/2006/relationships/hyperlink" Target="https://acf.gov/ocs/resource/update-to-the-liheap-allocation-formula" TargetMode="External"/><Relationship Id="rId1583" Type="http://schemas.openxmlformats.org/officeDocument/2006/relationships/hyperlink" Target="https://acf.gov/css/policy-guidance/alternative-system-configuration-implement-automation-provisions-cspia-1998" TargetMode="External"/><Relationship Id="rId2122" Type="http://schemas.openxmlformats.org/officeDocument/2006/relationships/hyperlink" Target="https://acf.gov/css/faq/bonus/lump-sum-reporting-answers-employers-questions" TargetMode="External"/><Relationship Id="rId2427" Type="http://schemas.openxmlformats.org/officeDocument/2006/relationships/hyperlink" Target="https://acf.gov/orr/policy/policy-letters/24-01" TargetMode="External"/><Relationship Id="rId2981" Type="http://schemas.openxmlformats.org/officeDocument/2006/relationships/hyperlink" Target="https://headstart.gov/program-data/article/program-information-report-pir" TargetMode="External"/><Relationship Id="rId301" Type="http://schemas.openxmlformats.org/officeDocument/2006/relationships/hyperlink" Target="https://acf.gov/cb/policy-guidance/im-12-07" TargetMode="External"/><Relationship Id="rId953" Type="http://schemas.openxmlformats.org/officeDocument/2006/relationships/hyperlink" Target="https://acf.gov/occ/faq/does-acf-intend-change-or-modify-error-rate-reporting-process" TargetMode="External"/><Relationship Id="rId1029" Type="http://schemas.openxmlformats.org/officeDocument/2006/relationships/hyperlink" Target="https://acf.gov/occ/policy-guidance/ccdf-acf-pi-2023-01" TargetMode="External"/><Relationship Id="rId1236" Type="http://schemas.openxmlformats.org/officeDocument/2006/relationships/hyperlink" Target="https://acf.gov/ocs/resource/dear-colleague-notice-on-native-heritage-youth-empowerment" TargetMode="External"/><Relationship Id="rId1790" Type="http://schemas.openxmlformats.org/officeDocument/2006/relationships/hyperlink" Target="https://acf.gov/css/policy-guidance/submit-ocse-157-fy-2024-october-30" TargetMode="External"/><Relationship Id="rId1888" Type="http://schemas.openxmlformats.org/officeDocument/2006/relationships/hyperlink" Target="https://acf.gov/css/policy-guidance/certified-copies-orders-canadian-provinces-and-territories" TargetMode="External"/><Relationship Id="rId2634" Type="http://schemas.openxmlformats.org/officeDocument/2006/relationships/hyperlink" Target="https://acf.gov/orr/policy-guidance/state-letter-04-10" TargetMode="External"/><Relationship Id="rId2841" Type="http://schemas.openxmlformats.org/officeDocument/2006/relationships/hyperlink" Target="https://acf.gov/ofa/policy-guidance/charitable-choice-final-rule" TargetMode="External"/><Relationship Id="rId2939" Type="http://schemas.openxmlformats.org/officeDocument/2006/relationships/hyperlink" Target="https://headstart.gov/policy/pi/acf-pi-hs-23-03" TargetMode="External"/><Relationship Id="rId82" Type="http://schemas.openxmlformats.org/officeDocument/2006/relationships/hyperlink" Target="https://acf.gov/cb/policy-guidance/pi-23-07" TargetMode="External"/><Relationship Id="rId606" Type="http://schemas.openxmlformats.org/officeDocument/2006/relationships/hyperlink" Target="https://acf.gov/cb/policy-guidance/pi-03-08" TargetMode="External"/><Relationship Id="rId813" Type="http://schemas.openxmlformats.org/officeDocument/2006/relationships/hyperlink" Target="https://acf.gov/occ/policy-guidance/guidance-tribal-lead-agencies-2024-ccdf-final-rule-provisions-and-waiver" TargetMode="External"/><Relationship Id="rId1443" Type="http://schemas.openxmlformats.org/officeDocument/2006/relationships/hyperlink" Target="https://acf.gov/ocs/policy-guidance/liheap-dcl-clearinghouse-program-integrity-working-group-report" TargetMode="External"/><Relationship Id="rId1650" Type="http://schemas.openxmlformats.org/officeDocument/2006/relationships/hyperlink" Target="https://acf.gov/css/policy-guidance/treatment-interest-earned-non-afdc-child-support-collections" TargetMode="External"/><Relationship Id="rId1748" Type="http://schemas.openxmlformats.org/officeDocument/2006/relationships/hyperlink" Target="https://acf.gov/css/policy-guidance/revision-effective-date-regulation-45-cfr-30421-ffp-costs-cooperative" TargetMode="External"/><Relationship Id="rId2701" Type="http://schemas.openxmlformats.org/officeDocument/2006/relationships/hyperlink" Target="https://acf.gov/archive/orr/policy-guidance/change-issuance-social-security-numbers-asylees" TargetMode="External"/><Relationship Id="rId1303" Type="http://schemas.openxmlformats.org/officeDocument/2006/relationships/hyperlink" Target="https://acf.gov/ocs/policy-guidance/liheap-im-2023-03-assistance-eligible-household-members-residing-ineligible" TargetMode="External"/><Relationship Id="rId1510" Type="http://schemas.openxmlformats.org/officeDocument/2006/relationships/hyperlink" Target="https://acf.gov/css/policy-guidance/e-iwo-implementation-and-amendment-title-iv-d-state-plan-preprint-page-38-3" TargetMode="External"/><Relationship Id="rId1955" Type="http://schemas.openxmlformats.org/officeDocument/2006/relationships/hyperlink" Target="https://acf.gov/css/policy-guidance/credit-reporting-agencies" TargetMode="External"/><Relationship Id="rId1608" Type="http://schemas.openxmlformats.org/officeDocument/2006/relationships/hyperlink" Target="https://acf.gov/css/policy-guidance/recoupment-federal-share-collections-and-payment-child-support-incentives-under" TargetMode="External"/><Relationship Id="rId1815" Type="http://schemas.openxmlformats.org/officeDocument/2006/relationships/hyperlink" Target="https://acf.gov/css/policy-guidance/2023-open-comment-period-state-plan-pages" TargetMode="External"/><Relationship Id="rId3030" Type="http://schemas.openxmlformats.org/officeDocument/2006/relationships/hyperlink" Target="https://headstart.gov/program-planning/article/serving-families-multiple-children-home-based-option" TargetMode="External"/><Relationship Id="rId189" Type="http://schemas.openxmlformats.org/officeDocument/2006/relationships/hyperlink" Target="https://acf.gov/cb/policy-guidance/joint-statement-child-welfare-courts-during-public-health-crisis-access-justice" TargetMode="External"/><Relationship Id="rId396" Type="http://schemas.openxmlformats.org/officeDocument/2006/relationships/hyperlink" Target="https://acf.gov/cb/policy-guidance/im-96-29" TargetMode="External"/><Relationship Id="rId2077" Type="http://schemas.openxmlformats.org/officeDocument/2006/relationships/hyperlink" Target="https://acf.gov/css/policy-guidance/federal-income-tax-refund-offset-program-recoup-medical-or-birthing-expenses" TargetMode="External"/><Relationship Id="rId2284" Type="http://schemas.openxmlformats.org/officeDocument/2006/relationships/hyperlink" Target="https://acf.gov/orr/policy/dear-colleague-letters/24-13" TargetMode="External"/><Relationship Id="rId2491" Type="http://schemas.openxmlformats.org/officeDocument/2006/relationships/hyperlink" Target="https://acf.gov/orr/policy-guidance/state-letter-15-05" TargetMode="External"/><Relationship Id="rId256" Type="http://schemas.openxmlformats.org/officeDocument/2006/relationships/hyperlink" Target="https://acf.gov/cb/policy-guidance/ossp-00-01" TargetMode="External"/><Relationship Id="rId463" Type="http://schemas.openxmlformats.org/officeDocument/2006/relationships/hyperlink" Target="https://acf.gov/cb/policy-guidance/im-85-34" TargetMode="External"/><Relationship Id="rId670" Type="http://schemas.openxmlformats.org/officeDocument/2006/relationships/hyperlink" Target="https://acf.gov/cb/policy-guidance/pi-93-16" TargetMode="External"/><Relationship Id="rId1093" Type="http://schemas.openxmlformats.org/officeDocument/2006/relationships/hyperlink" Target="https://acf.gov/ocs/resource/liheap-at-2020-03-carryover-and-reallotment-report-fy-2019" TargetMode="External"/><Relationship Id="rId2144" Type="http://schemas.openxmlformats.org/officeDocument/2006/relationships/hyperlink" Target="https://acf.gov/css/faq/noncustodial-parent-not-paying-who-can-help-me-collect-money" TargetMode="External"/><Relationship Id="rId2351" Type="http://schemas.openxmlformats.org/officeDocument/2006/relationships/hyperlink" Target="https://acf.gov/sites/default/files/documents/orr/orr-dcl-22-08-refugee-health-promotion-mental-health-fy2022-funding.pdf" TargetMode="External"/><Relationship Id="rId2589" Type="http://schemas.openxmlformats.org/officeDocument/2006/relationships/hyperlink" Target="https://acf.gov/orr/policy-guidance/state-letter-06-14" TargetMode="External"/><Relationship Id="rId2796" Type="http://schemas.openxmlformats.org/officeDocument/2006/relationships/hyperlink" Target="https://acf.gov/ohsepr/training-technical-assistance/state-emergency-repat-plan-dev-guide" TargetMode="External"/><Relationship Id="rId116" Type="http://schemas.openxmlformats.org/officeDocument/2006/relationships/hyperlink" Target="https://acf.gov/cb/policy-guidance/pi-22-05" TargetMode="External"/><Relationship Id="rId323" Type="http://schemas.openxmlformats.org/officeDocument/2006/relationships/hyperlink" Target="https://acf.gov/cb/policy-guidance/im-07-09" TargetMode="External"/><Relationship Id="rId530" Type="http://schemas.openxmlformats.org/officeDocument/2006/relationships/hyperlink" Target="https://acf.gov/cb/policy-guidance/pi-12-07" TargetMode="External"/><Relationship Id="rId768" Type="http://schemas.openxmlformats.org/officeDocument/2006/relationships/hyperlink" Target="https://acf.gov/occ/resource/ccdf-acf-im-2018-02" TargetMode="External"/><Relationship Id="rId975" Type="http://schemas.openxmlformats.org/officeDocument/2006/relationships/hyperlink" Target="https://acf.gov/occ/faq/are-states-required-have-appeals-process" TargetMode="External"/><Relationship Id="rId1160" Type="http://schemas.openxmlformats.org/officeDocument/2006/relationships/hyperlink" Target="https://acf.gov/ocs/policy-guidance/liheap-dcl-2024-03-third-party-data-verification-liheap-applications-webinar" TargetMode="External"/><Relationship Id="rId1398" Type="http://schemas.openxmlformats.org/officeDocument/2006/relationships/hyperlink" Target="https://acf.gov/sites/default/files/documents/ocs/COMM_LIHEAP_IM9108AdminCostReference_122790.pdf" TargetMode="External"/><Relationship Id="rId2004" Type="http://schemas.openxmlformats.org/officeDocument/2006/relationships/hyperlink" Target="https://acf.gov/css/policy-guidance/requests-locate-services-referrals-and-electronic-interface" TargetMode="External"/><Relationship Id="rId2211" Type="http://schemas.openxmlformats.org/officeDocument/2006/relationships/hyperlink" Target="https://acf.gov/css/policy-guidance/tribal-access-fpls" TargetMode="External"/><Relationship Id="rId2449" Type="http://schemas.openxmlformats.org/officeDocument/2006/relationships/hyperlink" Target="https://acf.gov/sites/default/files/documents/orr/ORR-PL-22-01-ORR-Authority-to-Serve-Afghan-Humanitarian-Parolees.pdf" TargetMode="External"/><Relationship Id="rId2656" Type="http://schemas.openxmlformats.org/officeDocument/2006/relationships/hyperlink" Target="https://acf.gov/orr/policy-guidance/state-letter-03-14" TargetMode="External"/><Relationship Id="rId2863" Type="http://schemas.openxmlformats.org/officeDocument/2006/relationships/hyperlink" Target="https://acf.gov/ofa/policy-guidance/ofa-dear-colleague-letter-dol-wioa-youth-tegl-and-use-tanf-funds-summer-youth" TargetMode="External"/><Relationship Id="rId628" Type="http://schemas.openxmlformats.org/officeDocument/2006/relationships/hyperlink" Target="https://acf.gov/cb/policy-guidance/pi-01-02" TargetMode="External"/><Relationship Id="rId835" Type="http://schemas.openxmlformats.org/officeDocument/2006/relationships/hyperlink" Target="https://acf.gov/occ/resource/ccdf-acf-pi-2020-05" TargetMode="External"/><Relationship Id="rId1258" Type="http://schemas.openxmlformats.org/officeDocument/2006/relationships/hyperlink" Target="https://acf.gov/ocs/resource/liheap-dear-colleaguereminder-of-deadline-for-final-liheap-household-report-data-for-ffy-2014" TargetMode="External"/><Relationship Id="rId1465" Type="http://schemas.openxmlformats.org/officeDocument/2006/relationships/hyperlink" Target="https://acf.gov/css/policy-guidance/state-plan-material-expires-may-31-2026" TargetMode="External"/><Relationship Id="rId1672" Type="http://schemas.openxmlformats.org/officeDocument/2006/relationships/hyperlink" Target="https://acf.gov/css/policy-guidance/corrections-final-rule-provision-services-interstate-iv-d-cases" TargetMode="External"/><Relationship Id="rId2309" Type="http://schemas.openxmlformats.org/officeDocument/2006/relationships/hyperlink" Target="https://acf.gov/sites/default/files/documents/orr/dcl-23-27-arsi-fy2023-allocation.pdf" TargetMode="External"/><Relationship Id="rId2516" Type="http://schemas.openxmlformats.org/officeDocument/2006/relationships/hyperlink" Target="https://acf.gov/orr/resource/state-letter-12-03" TargetMode="External"/><Relationship Id="rId2723" Type="http://schemas.openxmlformats.org/officeDocument/2006/relationships/hyperlink" Target="https://acf.gov/orr/resource/state-letter-00-14" TargetMode="External"/><Relationship Id="rId1020" Type="http://schemas.openxmlformats.org/officeDocument/2006/relationships/hyperlink" Target="https://acf.gov/occ/policy-guidance/ccdf-acf-pi-2016-04" TargetMode="External"/><Relationship Id="rId1118" Type="http://schemas.openxmlformats.org/officeDocument/2006/relationships/hyperlink" Target="https://acf.gov/ocs/resource/liheap-at-2015-2-performance-data-form-for-fy-2014" TargetMode="External"/><Relationship Id="rId1325" Type="http://schemas.openxmlformats.org/officeDocument/2006/relationships/hyperlink" Target="https://acf.gov/ocs/resource/liheap-information-memorandum-on-monitoring-schedule-fy-2016" TargetMode="External"/><Relationship Id="rId1532" Type="http://schemas.openxmlformats.org/officeDocument/2006/relationships/hyperlink" Target="https://acf.gov/css/policy-guidance/implementing-section-466a14-social-security-act" TargetMode="External"/><Relationship Id="rId1977" Type="http://schemas.openxmlformats.org/officeDocument/2006/relationships/hyperlink" Target="https://acf.gov/css/policy-guidance/judicial-bench-cards-uifsa-and-hague-convention-cases" TargetMode="External"/><Relationship Id="rId2930" Type="http://schemas.openxmlformats.org/officeDocument/2006/relationships/hyperlink" Target="https://headstart.gov/policy/im/acf-im-hs-11-04" TargetMode="External"/><Relationship Id="rId902" Type="http://schemas.openxmlformats.org/officeDocument/2006/relationships/hyperlink" Target="https://acf.gov/occ/resource/pi-cc-98-08" TargetMode="External"/><Relationship Id="rId1837" Type="http://schemas.openxmlformats.org/officeDocument/2006/relationships/hyperlink" Target="https://acf.gov/css/policy-guidance/open-comment-period-intergovernmental-reference-guide-2021" TargetMode="External"/><Relationship Id="rId31" Type="http://schemas.openxmlformats.org/officeDocument/2006/relationships/hyperlink" Target="https://acf.gov/cb/faq/research-data-technology/youth-outcomes-survey/nytd/faq/section3" TargetMode="External"/><Relationship Id="rId2099" Type="http://schemas.openxmlformats.org/officeDocument/2006/relationships/hyperlink" Target="https://acf.gov/css/policy-guidance/issuing-and-complying-federal-income-withholding" TargetMode="External"/><Relationship Id="rId180" Type="http://schemas.openxmlformats.org/officeDocument/2006/relationships/hyperlink" Target="https://acf.gov/cb/policy-guidance/im-20-06" TargetMode="External"/><Relationship Id="rId278" Type="http://schemas.openxmlformats.org/officeDocument/2006/relationships/hyperlink" Target="https://acf.gov/cb/policy-guidance/im-16-07" TargetMode="External"/><Relationship Id="rId1904" Type="http://schemas.openxmlformats.org/officeDocument/2006/relationships/hyperlink" Target="https://acf.gov/css/policy-guidance/cost-free-service-process-federal-reciprocating-countries" TargetMode="External"/><Relationship Id="rId485" Type="http://schemas.openxmlformats.org/officeDocument/2006/relationships/hyperlink" Target="https://acf.gov/cb/policy-guidance/im-81-01" TargetMode="External"/><Relationship Id="rId692" Type="http://schemas.openxmlformats.org/officeDocument/2006/relationships/hyperlink" Target="https://acf.gov/cb/policy-guidance/pi-87-06" TargetMode="External"/><Relationship Id="rId2166" Type="http://schemas.openxmlformats.org/officeDocument/2006/relationships/hyperlink" Target="https://acf.gov/css/training-technical-assistance/thrift-savings-plan-quick-guide-child-support-agencies" TargetMode="External"/><Relationship Id="rId2373" Type="http://schemas.openxmlformats.org/officeDocument/2006/relationships/hyperlink" Target="https://acf.gov/sites/default/files/documents/orr/DCL-21-03-ORR-Grants-May-Be-Used-As-A-Match-For-CNCS-Programs.pdf" TargetMode="External"/><Relationship Id="rId2580" Type="http://schemas.openxmlformats.org/officeDocument/2006/relationships/hyperlink" Target="https://acf.gov/orr/policy-guidance/state-letter-06-04" TargetMode="External"/><Relationship Id="rId138" Type="http://schemas.openxmlformats.org/officeDocument/2006/relationships/hyperlink" Target="https://acf.gov/cb/faq/custody4" TargetMode="External"/><Relationship Id="rId345" Type="http://schemas.openxmlformats.org/officeDocument/2006/relationships/hyperlink" Target="https://acf.gov/cb/policy-guidance/im-04-07" TargetMode="External"/><Relationship Id="rId552" Type="http://schemas.openxmlformats.org/officeDocument/2006/relationships/hyperlink" Target="https://acf.gov/cb/policy-guidance/pi-10-09" TargetMode="External"/><Relationship Id="rId997" Type="http://schemas.openxmlformats.org/officeDocument/2006/relationships/hyperlink" Target="https://acf.gov/occ/faq/does-law-change-how-much-states-must-spend-quality-activities" TargetMode="External"/><Relationship Id="rId1182" Type="http://schemas.openxmlformats.org/officeDocument/2006/relationships/hyperlink" Target="https://acf.gov/ocs/policy-guidance/liheap-dcl-2022-01-first-funding-release-fy-2022" TargetMode="External"/><Relationship Id="rId2026" Type="http://schemas.openxmlformats.org/officeDocument/2006/relationships/hyperlink" Target="https://acf.gov/css/policy-guidance/master-contracts-state-it-products-or-services" TargetMode="External"/><Relationship Id="rId2233" Type="http://schemas.openxmlformats.org/officeDocument/2006/relationships/hyperlink" Target="https://acf.gov/ecd/policy-guidance/ccdf-ch" TargetMode="External"/><Relationship Id="rId2440" Type="http://schemas.openxmlformats.org/officeDocument/2006/relationships/hyperlink" Target="https://acf.gov/sites/default/files/documents/orr/ORR-PL-22-10-ASA-eligibility_0.pdf" TargetMode="External"/><Relationship Id="rId2678" Type="http://schemas.openxmlformats.org/officeDocument/2006/relationships/hyperlink" Target="https://acf.gov/orr/policy-guidance/state-letter-02-16" TargetMode="External"/><Relationship Id="rId2885" Type="http://schemas.openxmlformats.org/officeDocument/2006/relationships/hyperlink" Target="https://acf.gov/ofa/policy-guidance/dear-colleague-tanf-data-portal" TargetMode="External"/><Relationship Id="rId205" Type="http://schemas.openxmlformats.org/officeDocument/2006/relationships/hyperlink" Target="https://acf.gov/cb/policy-guidance/im-20-02" TargetMode="External"/><Relationship Id="rId412" Type="http://schemas.openxmlformats.org/officeDocument/2006/relationships/hyperlink" Target="https://acf.gov/cb/policy-guidance/im-94-10" TargetMode="External"/><Relationship Id="rId857" Type="http://schemas.openxmlformats.org/officeDocument/2006/relationships/hyperlink" Target="https://acf.gov/archive/occ/policy-guidance/resource/pi-2014-02" TargetMode="External"/><Relationship Id="rId1042" Type="http://schemas.openxmlformats.org/officeDocument/2006/relationships/hyperlink" Target="https://acf.gov/occ/policy-guidance/list-potential-options-narrow-cost-analysis" TargetMode="External"/><Relationship Id="rId1487" Type="http://schemas.openxmlformats.org/officeDocument/2006/relationships/hyperlink" Target="https://acf.gov/css/policy-guidance/resubmission-state-plan-cover-page-and-316" TargetMode="External"/><Relationship Id="rId1694" Type="http://schemas.openxmlformats.org/officeDocument/2006/relationships/hyperlink" Target="https://acf.gov/css/policy-guidance/final-rule-afdc-grants-states-reporting-federal-share-child-support-collections" TargetMode="External"/><Relationship Id="rId2300" Type="http://schemas.openxmlformats.org/officeDocument/2006/relationships/hyperlink" Target="https://acf.gov/sites/default/files/documents/orr/dcl-23-36-reminder-asa-immigration-related-legal-assistance.pdf" TargetMode="External"/><Relationship Id="rId2538" Type="http://schemas.openxmlformats.org/officeDocument/2006/relationships/hyperlink" Target="https://acf.gov/orr/policy-guidance/state-letter-09-21" TargetMode="External"/><Relationship Id="rId2745" Type="http://schemas.openxmlformats.org/officeDocument/2006/relationships/hyperlink" Target="https://www.together.gov/support" TargetMode="External"/><Relationship Id="rId2952" Type="http://schemas.openxmlformats.org/officeDocument/2006/relationships/hyperlink" Target="https://headstart.gov/policy/pi/acf-pi-hs-18-06" TargetMode="External"/><Relationship Id="rId717" Type="http://schemas.openxmlformats.org/officeDocument/2006/relationships/hyperlink" Target="https://acf.gov/cb/policy-guidance/pi-81-06" TargetMode="External"/><Relationship Id="rId924" Type="http://schemas.openxmlformats.org/officeDocument/2006/relationships/hyperlink" Target="https://acf.gov/occ/faq/has-final-rule-been-issued-implement-ccdbg-act" TargetMode="External"/><Relationship Id="rId1347" Type="http://schemas.openxmlformats.org/officeDocument/2006/relationships/hyperlink" Target="https://acf.gov/ocs/resource/grant-awards-for-the-fy-2012-residential-energy-assistance-challenge" TargetMode="External"/><Relationship Id="rId1554" Type="http://schemas.openxmlformats.org/officeDocument/2006/relationships/hyperlink" Target="https://acf.gov/css/policy-guidance/interim-final-rule-comment-period-federal-tax-refund-offset" TargetMode="External"/><Relationship Id="rId1761" Type="http://schemas.openxmlformats.org/officeDocument/2006/relationships/hyperlink" Target="https://acf.gov/css/policy-guidance/documentation-required-support-claims-ffp-made-pursuant-cooperative-agreements" TargetMode="External"/><Relationship Id="rId1999" Type="http://schemas.openxmlformats.org/officeDocument/2006/relationships/hyperlink" Target="https://acf.gov/css/policy-guidance/domestic-violence-awareness-month-focus-resources-collaboration-and" TargetMode="External"/><Relationship Id="rId2605" Type="http://schemas.openxmlformats.org/officeDocument/2006/relationships/hyperlink" Target="https://acf.gov/orr/policy-guidance/state-letter-05-12" TargetMode="External"/><Relationship Id="rId2812" Type="http://schemas.openxmlformats.org/officeDocument/2006/relationships/hyperlink" Target="https://acf.gov/fysb/faq/what-fysb" TargetMode="External"/><Relationship Id="rId53" Type="http://schemas.openxmlformats.org/officeDocument/2006/relationships/hyperlink" Target="https://acf.gov/cb/policy-guidance/im-23-07" TargetMode="External"/><Relationship Id="rId1207" Type="http://schemas.openxmlformats.org/officeDocument/2006/relationships/hyperlink" Target="https://acf.gov/ocs/resource/liheap-dcl-funding-release-fy20" TargetMode="External"/><Relationship Id="rId1414" Type="http://schemas.openxmlformats.org/officeDocument/2006/relationships/hyperlink" Target="https://acf.gov/ocs/policy-guidance/liheap-dcl-grantee-needs-assessment" TargetMode="External"/><Relationship Id="rId1621" Type="http://schemas.openxmlformats.org/officeDocument/2006/relationships/hyperlink" Target="https://acf.gov/css/policy-guidance/final-rule-processing-garnishment-orders-child-support-and/or-alimony-1" TargetMode="External"/><Relationship Id="rId1859" Type="http://schemas.openxmlformats.org/officeDocument/2006/relationships/hyperlink" Target="https://acf.gov/css/policy-guidance/accessing-us-federal-parent-locator-service" TargetMode="External"/><Relationship Id="rId1719" Type="http://schemas.openxmlformats.org/officeDocument/2006/relationships/hyperlink" Target="https://acf.gov/css/policy-guidance/final-rule-allotments-military-pay-certain-support-obligations" TargetMode="External"/><Relationship Id="rId1926" Type="http://schemas.openxmlformats.org/officeDocument/2006/relationships/hyperlink" Target="https://acf.gov/css/policy-guidance/guidebook-common-methodology" TargetMode="External"/><Relationship Id="rId2090" Type="http://schemas.openxmlformats.org/officeDocument/2006/relationships/hyperlink" Target="https://acf.gov/css/policy-guidance/electronic-payment-withdrawal-alternative-income-withholding" TargetMode="External"/><Relationship Id="rId2188" Type="http://schemas.openxmlformats.org/officeDocument/2006/relationships/hyperlink" Target="https://acf.gov/css/training-technical-assistance/tribal-apd-template" TargetMode="External"/><Relationship Id="rId2395" Type="http://schemas.openxmlformats.org/officeDocument/2006/relationships/hyperlink" Target="https://acf.gov/orr/resource/fy-2018-youth-mentoring-set-aside" TargetMode="External"/><Relationship Id="rId367" Type="http://schemas.openxmlformats.org/officeDocument/2006/relationships/hyperlink" Target="https://acf.gov/cb/policy-guidance/im-01-07" TargetMode="External"/><Relationship Id="rId574" Type="http://schemas.openxmlformats.org/officeDocument/2006/relationships/hyperlink" Target="https://acf.gov/cb/policy-guidance/pi-08-04" TargetMode="External"/><Relationship Id="rId2048" Type="http://schemas.openxmlformats.org/officeDocument/2006/relationships/hyperlink" Target="https://acf.gov/css/policy-guidance/child-support-recovery-act-1992" TargetMode="External"/><Relationship Id="rId2255" Type="http://schemas.openxmlformats.org/officeDocument/2006/relationships/hyperlink" Target="https://acf.gov/cb/training-technical-assistance/nytd-technical-bulletin-1-file-structure" TargetMode="External"/><Relationship Id="rId3001" Type="http://schemas.openxmlformats.org/officeDocument/2006/relationships/hyperlink" Target="https://headstart.gov/mental-health/article/understanding-mental-health-consultation-head-start-programs" TargetMode="External"/><Relationship Id="rId227" Type="http://schemas.openxmlformats.org/officeDocument/2006/relationships/hyperlink" Target="https://acf.gov/cb/faq/can14" TargetMode="External"/><Relationship Id="rId781" Type="http://schemas.openxmlformats.org/officeDocument/2006/relationships/hyperlink" Target="https://acf.gov/occ/resource/im2011-06" TargetMode="External"/><Relationship Id="rId879" Type="http://schemas.openxmlformats.org/officeDocument/2006/relationships/hyperlink" Target="https://acf.gov/occ/resource/pi2010-07" TargetMode="External"/><Relationship Id="rId2462" Type="http://schemas.openxmlformats.org/officeDocument/2006/relationships/hyperlink" Target="https://acf.gov/sites/default/files/documents/orr/pl_esl_20_01_final.pdf" TargetMode="External"/><Relationship Id="rId2767" Type="http://schemas.openxmlformats.org/officeDocument/2006/relationships/hyperlink" Target="https://acf.gov/sites/default/files/documents/orr/FRP-13-Acceptable-Forms-of-ID-for-Fieldprintv15-English.pdf" TargetMode="External"/><Relationship Id="rId434" Type="http://schemas.openxmlformats.org/officeDocument/2006/relationships/hyperlink" Target="https://acf.gov/cb/policy-guidance/inf-89-01" TargetMode="External"/><Relationship Id="rId641" Type="http://schemas.openxmlformats.org/officeDocument/2006/relationships/hyperlink" Target="https://acf.gov/cb/policy-guidance/pi-98-10" TargetMode="External"/><Relationship Id="rId739" Type="http://schemas.openxmlformats.org/officeDocument/2006/relationships/hyperlink" Target="https://acf.gov/cb/faq/adoption8" TargetMode="External"/><Relationship Id="rId1064" Type="http://schemas.openxmlformats.org/officeDocument/2006/relationships/hyperlink" Target="https://acf.gov/ocs/policy-guidance/acf-ocs-liheap-2025-01-liheap-quarterly-report-submission-fy-2025" TargetMode="External"/><Relationship Id="rId1271" Type="http://schemas.openxmlformats.org/officeDocument/2006/relationships/hyperlink" Target="https://acf.gov/ocs/resource/liheap-dear-colleague-notice-final-budget-for-fy-2014" TargetMode="External"/><Relationship Id="rId1369" Type="http://schemas.openxmlformats.org/officeDocument/2006/relationships/hyperlink" Target="https://acf.gov/ocs/resource/staffing-changes-in-the-division-of-energy-assistance" TargetMode="External"/><Relationship Id="rId1576" Type="http://schemas.openxmlformats.org/officeDocument/2006/relationships/hyperlink" Target="https://acf.gov/css/policy-guidance/final-rule-implementing-part-paternity-establishment-provisions-prwora" TargetMode="External"/><Relationship Id="rId2115" Type="http://schemas.openxmlformats.org/officeDocument/2006/relationships/hyperlink" Target="https://acf.gov/css/faq/e-nmsn-answers-employers-questions" TargetMode="External"/><Relationship Id="rId2322" Type="http://schemas.openxmlformats.org/officeDocument/2006/relationships/hyperlink" Target="https://acf.gov/sites/default/files/documents/orr/DCL-23-13-New-USCIS-Parole-Process-CHNV.pdf" TargetMode="External"/><Relationship Id="rId2974" Type="http://schemas.openxmlformats.org/officeDocument/2006/relationships/hyperlink" Target="https://headstart.gov/children-disabilities/article/frequently-asked-questions-disabilities" TargetMode="External"/><Relationship Id="rId501" Type="http://schemas.openxmlformats.org/officeDocument/2006/relationships/hyperlink" Target="https://acf.gov/cb/policy-guidance/pi-17-01" TargetMode="External"/><Relationship Id="rId946" Type="http://schemas.openxmlformats.org/officeDocument/2006/relationships/hyperlink" Target="https://acf.gov/occ/faq/are-states-required-take-account-cost-providing-high-quality-child-care" TargetMode="External"/><Relationship Id="rId1131" Type="http://schemas.openxmlformats.org/officeDocument/2006/relationships/hyperlink" Target="https://acf.gov/ocs/resource/financial-reporting-requirement-for-all-liheap-grantees-sf-425-report" TargetMode="External"/><Relationship Id="rId1229" Type="http://schemas.openxmlformats.org/officeDocument/2006/relationships/hyperlink" Target="https://acf.gov/ocs/resource/dear-colleague-notice-on-webinar-behind-on-bills-financial-coaching-tool" TargetMode="External"/><Relationship Id="rId1783" Type="http://schemas.openxmlformats.org/officeDocument/2006/relationships/hyperlink" Target="https://acf.gov/css/policy-guidance/best-practices-child-support-system-modernization" TargetMode="External"/><Relationship Id="rId1990" Type="http://schemas.openxmlformats.org/officeDocument/2006/relationships/hyperlink" Target="https://acf.gov/css/policy-guidance/ocse-intergovernmental-forms-training" TargetMode="External"/><Relationship Id="rId2627" Type="http://schemas.openxmlformats.org/officeDocument/2006/relationships/hyperlink" Target="https://acf.gov/orr/policy-guidance/state-letter-04-03" TargetMode="External"/><Relationship Id="rId2834" Type="http://schemas.openxmlformats.org/officeDocument/2006/relationships/hyperlink" Target="https://acf.gov/ofa/policy-guidance/erroneous-payment-initiative" TargetMode="External"/><Relationship Id="rId75" Type="http://schemas.openxmlformats.org/officeDocument/2006/relationships/hyperlink" Target="https://acf.gov/cb/faq/apply-funding-opportunity" TargetMode="External"/><Relationship Id="rId806" Type="http://schemas.openxmlformats.org/officeDocument/2006/relationships/hyperlink" Target="https://acf.gov/occ/policy-guidance/financial-reporting-tribes-acf696t-acf-occ-pi-2025-05" TargetMode="External"/><Relationship Id="rId1436" Type="http://schemas.openxmlformats.org/officeDocument/2006/relationships/hyperlink" Target="https://acf.gov/ocs/policy-guidance/liheap-im-2011-6-publication-report-congress-fy-2007" TargetMode="External"/><Relationship Id="rId1643" Type="http://schemas.openxmlformats.org/officeDocument/2006/relationships/hyperlink" Target="https://acf.gov/css/policy-guidance/final-rule-50-pass-through-support-guidelines-mandatory-genetic-testing" TargetMode="External"/><Relationship Id="rId1850" Type="http://schemas.openxmlformats.org/officeDocument/2006/relationships/hyperlink" Target="https://acf.gov/css/policy-guidance/open-comment-period-tribal-budget-and-narrative-justification-template" TargetMode="External"/><Relationship Id="rId2901" Type="http://schemas.openxmlformats.org/officeDocument/2006/relationships/hyperlink" Target="https://headstart.gov/policy/im/acf-ohs-im-24-05" TargetMode="External"/><Relationship Id="rId1503" Type="http://schemas.openxmlformats.org/officeDocument/2006/relationships/hyperlink" Target="https://acf.gov/css/policy-guidance/extension-form-ocse-75-and-tribal-narrative" TargetMode="External"/><Relationship Id="rId1710" Type="http://schemas.openxmlformats.org/officeDocument/2006/relationships/hyperlink" Target="https://acf.gov/css/policy-guidance/final-rule-implementation-deficit-reduction-act-1984-afdc-and-child-support" TargetMode="External"/><Relationship Id="rId1948" Type="http://schemas.openxmlformats.org/officeDocument/2006/relationships/hyperlink" Target="https://acf.gov/css/policy-guidance/residency-requirements-iv-d-services" TargetMode="External"/><Relationship Id="rId291" Type="http://schemas.openxmlformats.org/officeDocument/2006/relationships/hyperlink" Target="https://acf.gov/cb/policy-guidance/im-15-02" TargetMode="External"/><Relationship Id="rId1808" Type="http://schemas.openxmlformats.org/officeDocument/2006/relationships/hyperlink" Target="https://acf.gov/css/policy-guidance/report-consultation-april-6-2023" TargetMode="External"/><Relationship Id="rId3023" Type="http://schemas.openxmlformats.org/officeDocument/2006/relationships/hyperlink" Target="https://headstart.gov/sites/default/files/pdf/pfce-framework.pdf" TargetMode="External"/><Relationship Id="rId151" Type="http://schemas.openxmlformats.org/officeDocument/2006/relationships/hyperlink" Target="https://acf.gov/cb/policy-guidance/pi-21-01" TargetMode="External"/><Relationship Id="rId389" Type="http://schemas.openxmlformats.org/officeDocument/2006/relationships/hyperlink" Target="https://acf.gov/cb/policy-guidance/im-97-09" TargetMode="External"/><Relationship Id="rId596" Type="http://schemas.openxmlformats.org/officeDocument/2006/relationships/hyperlink" Target="https://acf.gov/cb/policy-guidance/pi-05-06" TargetMode="External"/><Relationship Id="rId2277" Type="http://schemas.openxmlformats.org/officeDocument/2006/relationships/hyperlink" Target="https://acf.gov/orr/policy/dear-colleague-letters/25-07" TargetMode="External"/><Relationship Id="rId2484" Type="http://schemas.openxmlformats.org/officeDocument/2006/relationships/hyperlink" Target="https://acf.gov/orr/faq/orr-policy-letter-16-01-frequently-asked-questions" TargetMode="External"/><Relationship Id="rId2691" Type="http://schemas.openxmlformats.org/officeDocument/2006/relationships/hyperlink" Target="https://acf.gov/orr/policy-guidance/state-letter-02-32" TargetMode="External"/><Relationship Id="rId249" Type="http://schemas.openxmlformats.org/officeDocument/2006/relationships/hyperlink" Target="https://acf.gov/cb/training-technical-assistance/ccwis-technical-bulletin-6" TargetMode="External"/><Relationship Id="rId456" Type="http://schemas.openxmlformats.org/officeDocument/2006/relationships/hyperlink" Target="https://acf.gov/cb/policy-guidance/im-87-04" TargetMode="External"/><Relationship Id="rId663" Type="http://schemas.openxmlformats.org/officeDocument/2006/relationships/hyperlink" Target="https://acf.gov/cb/policy-guidance/pi-95-11" TargetMode="External"/><Relationship Id="rId870" Type="http://schemas.openxmlformats.org/officeDocument/2006/relationships/hyperlink" Target="https://acf.gov/occ/policy-guidance/ccdf-acf-pi-2012-03" TargetMode="External"/><Relationship Id="rId1086" Type="http://schemas.openxmlformats.org/officeDocument/2006/relationships/hyperlink" Target="https://acf.gov/ocs/policy-guidance/liheap-at2021-01-recs-2020" TargetMode="External"/><Relationship Id="rId1293" Type="http://schemas.openxmlformats.org/officeDocument/2006/relationships/hyperlink" Target="https://acf.gov/ocs/resource/liheap-webinar-on-new-liheap-policy-manual-for-state-grantees" TargetMode="External"/><Relationship Id="rId2137" Type="http://schemas.openxmlformats.org/officeDocument/2006/relationships/hyperlink" Target="https://acf.gov/css/faq/how-does-federal-tax-refund-offset-program-handle-interstate-case" TargetMode="External"/><Relationship Id="rId2344" Type="http://schemas.openxmlformats.org/officeDocument/2006/relationships/hyperlink" Target="https://acf.gov/sites/default/files/documents/orr/ORR-DCL-22-15-AYM-FY2022-Allocation.pdf" TargetMode="External"/><Relationship Id="rId2551" Type="http://schemas.openxmlformats.org/officeDocument/2006/relationships/hyperlink" Target="https://acf.gov/orr/policy-guidance/state-letter-08-01" TargetMode="External"/><Relationship Id="rId2789" Type="http://schemas.openxmlformats.org/officeDocument/2006/relationships/hyperlink" Target="https://acf.gov/fysb/faq/fvpsa-state-pass-through-entity-administrative-costs-faq" TargetMode="External"/><Relationship Id="rId2996" Type="http://schemas.openxmlformats.org/officeDocument/2006/relationships/hyperlink" Target="https://headstart.gov/how-apply" TargetMode="External"/><Relationship Id="rId109" Type="http://schemas.openxmlformats.org/officeDocument/2006/relationships/hyperlink" Target="https://acf.gov/cb/training-technical-assistance/cfsr-technical-bulletin-13a" TargetMode="External"/><Relationship Id="rId316" Type="http://schemas.openxmlformats.org/officeDocument/2006/relationships/hyperlink" Target="https://acf.gov/cb/policy-guidance/im-09-03" TargetMode="External"/><Relationship Id="rId523" Type="http://schemas.openxmlformats.org/officeDocument/2006/relationships/hyperlink" Target="https://acf.gov/cb/policy-guidance/pi-13-06" TargetMode="External"/><Relationship Id="rId968" Type="http://schemas.openxmlformats.org/officeDocument/2006/relationships/hyperlink" Target="https://acf.gov/occ/faq/what-alternative-methodology-can-be-used-instead-market-rate-survey" TargetMode="External"/><Relationship Id="rId1153" Type="http://schemas.openxmlformats.org/officeDocument/2006/relationships/hyperlink" Target="https://acf.gov/ocs/liheap/guidance/action_transmittals/at10-10.html" TargetMode="External"/><Relationship Id="rId1598" Type="http://schemas.openxmlformats.org/officeDocument/2006/relationships/hyperlink" Target="https://acf.gov/css/policy-guidance/collection-and-disbursement-support-payments" TargetMode="External"/><Relationship Id="rId2204" Type="http://schemas.openxmlformats.org/officeDocument/2006/relationships/hyperlink" Target="https://acf.gov/css/training-technical-assistance/csenet-interface-guidance-document" TargetMode="External"/><Relationship Id="rId2649" Type="http://schemas.openxmlformats.org/officeDocument/2006/relationships/hyperlink" Target="https://acf.gov/orr/policy-guidance/state-letter-03-05" TargetMode="External"/><Relationship Id="rId2856" Type="http://schemas.openxmlformats.org/officeDocument/2006/relationships/hyperlink" Target="https://acf.gov/ofa/policy-guidance/tanf-acf-im-2011-02-file-layouts-and-edits-report-engagement-additional-work" TargetMode="External"/><Relationship Id="rId97" Type="http://schemas.openxmlformats.org/officeDocument/2006/relationships/hyperlink" Target="https://acf.gov/cb/policy-guidance/acf-im-22-01" TargetMode="External"/><Relationship Id="rId730" Type="http://schemas.openxmlformats.org/officeDocument/2006/relationships/hyperlink" Target="https://acf.gov/cb/faq/can8" TargetMode="External"/><Relationship Id="rId828" Type="http://schemas.openxmlformats.org/officeDocument/2006/relationships/hyperlink" Target="https://acf.gov/occ/policy-guidance/ccdf-acf-pi-2021-06" TargetMode="External"/><Relationship Id="rId1013" Type="http://schemas.openxmlformats.org/officeDocument/2006/relationships/hyperlink" Target="https://acf.gov/occ/policy-guidance/process-submit-child-count-declaration-form-and-definition-indian-reservation" TargetMode="External"/><Relationship Id="rId1360" Type="http://schemas.openxmlformats.org/officeDocument/2006/relationships/hyperlink" Target="https://acf.gov/ocs/resource/fy-2011-liheap-appropriations" TargetMode="External"/><Relationship Id="rId1458" Type="http://schemas.openxmlformats.org/officeDocument/2006/relationships/hyperlink" Target="https://acf.gov/css/policy-guidance/final-rule-elimination-tribal-non-federal-share-requirement" TargetMode="External"/><Relationship Id="rId1665" Type="http://schemas.openxmlformats.org/officeDocument/2006/relationships/hyperlink" Target="https://acf.gov/css/policy-guidance/final-rule-medical-support-enforcement-1988" TargetMode="External"/><Relationship Id="rId1872" Type="http://schemas.openxmlformats.org/officeDocument/2006/relationships/hyperlink" Target="https://acf.gov/css/policy-guidance/changing-child-support-order-guide" TargetMode="External"/><Relationship Id="rId2411" Type="http://schemas.openxmlformats.org/officeDocument/2006/relationships/hyperlink" Target="https://acf.gov/orr/resource/fiscal-year-2016-targeted-assistance-formula-allocations" TargetMode="External"/><Relationship Id="rId2509" Type="http://schemas.openxmlformats.org/officeDocument/2006/relationships/hyperlink" Target="https://acf.gov/orr/resource/state-letter-12-13" TargetMode="External"/><Relationship Id="rId2716" Type="http://schemas.openxmlformats.org/officeDocument/2006/relationships/hyperlink" Target="https://acf.gov/archive/orr/policy-guidance/state-letter-00-03" TargetMode="External"/><Relationship Id="rId1220" Type="http://schemas.openxmlformats.org/officeDocument/2006/relationships/hyperlink" Target="https://acf.gov/ocs/resource/dcl-2019-national-liheap-training-meeting" TargetMode="External"/><Relationship Id="rId1318" Type="http://schemas.openxmlformats.org/officeDocument/2006/relationships/hyperlink" Target="https://acf.gov/ocs/resource/liheap-im-2019-02-state-median-income-estimates-fy-2019" TargetMode="External"/><Relationship Id="rId1525" Type="http://schemas.openxmlformats.org/officeDocument/2006/relationships/hyperlink" Target="https://acf.gov/css/policy-guidance/nprm-safeguarding-child-support-information" TargetMode="External"/><Relationship Id="rId2923" Type="http://schemas.openxmlformats.org/officeDocument/2006/relationships/hyperlink" Target="https://headstart.gov/policy/im/acf-im-hs-17-02" TargetMode="External"/><Relationship Id="rId1732" Type="http://schemas.openxmlformats.org/officeDocument/2006/relationships/hyperlink" Target="https://acf.gov/css/policy-guidance/child-support-obligations-not-discharged-bankruptcy" TargetMode="External"/><Relationship Id="rId24" Type="http://schemas.openxmlformats.org/officeDocument/2006/relationships/hyperlink" Target="https://acf.gov/cb/training-technical-assistance/nytd-reporting-populations-and-cohort-schedule" TargetMode="External"/><Relationship Id="rId2299" Type="http://schemas.openxmlformats.org/officeDocument/2006/relationships/hyperlink" Target="https://acf.gov/sites/default/files/documents/orr/dcl-23-37-ausaa-rss-third-allocation.pdf" TargetMode="External"/><Relationship Id="rId173" Type="http://schemas.openxmlformats.org/officeDocument/2006/relationships/hyperlink" Target="https://acf.gov/cb/policy-guidance/pi-20-11" TargetMode="External"/><Relationship Id="rId380" Type="http://schemas.openxmlformats.org/officeDocument/2006/relationships/hyperlink" Target="https://acf.gov/cb/policy-guidance/im-04-02" TargetMode="External"/><Relationship Id="rId2061" Type="http://schemas.openxmlformats.org/officeDocument/2006/relationships/hyperlink" Target="https://acf.gov/css/policy-guidance/using-intergovernmental-forms-case-processing" TargetMode="External"/><Relationship Id="rId240" Type="http://schemas.openxmlformats.org/officeDocument/2006/relationships/hyperlink" Target="https://acf.gov/cb/report/tribal-federal-medical-assistance-percentage-look-table-fy-2019" TargetMode="External"/><Relationship Id="rId478" Type="http://schemas.openxmlformats.org/officeDocument/2006/relationships/hyperlink" Target="https://acf.gov/cb/policy-guidance/im-83-14" TargetMode="External"/><Relationship Id="rId685" Type="http://schemas.openxmlformats.org/officeDocument/2006/relationships/hyperlink" Target="https://acf.gov/cb/policy-guidance/pi-90-09" TargetMode="External"/><Relationship Id="rId892" Type="http://schemas.openxmlformats.org/officeDocument/2006/relationships/hyperlink" Target="https://acf.gov/occ/resource/pi-2009-05" TargetMode="External"/><Relationship Id="rId2159" Type="http://schemas.openxmlformats.org/officeDocument/2006/relationships/hyperlink" Target="https://acf.gov/css/faq/income-withholding-and-medical-support-federal-retirees-answers-state-agencies" TargetMode="External"/><Relationship Id="rId2366" Type="http://schemas.openxmlformats.org/officeDocument/2006/relationships/hyperlink" Target="https://acf.gov/sites/default/files/documents/orr/DCL_21_11_FY_2021_YM_Set-Asides.pdf" TargetMode="External"/><Relationship Id="rId2573" Type="http://schemas.openxmlformats.org/officeDocument/2006/relationships/hyperlink" Target="https://acf.gov/orr/policy-guidance/state-letter-07-13" TargetMode="External"/><Relationship Id="rId2780" Type="http://schemas.openxmlformats.org/officeDocument/2006/relationships/hyperlink" Target="https://acf.gov/orr/policy-guidance/employment-rights-and-resources-refugees-and-asylees" TargetMode="External"/><Relationship Id="rId100" Type="http://schemas.openxmlformats.org/officeDocument/2006/relationships/hyperlink" Target="https://acf.gov/cb/report/cfsr-termination-parental-rights" TargetMode="External"/><Relationship Id="rId338" Type="http://schemas.openxmlformats.org/officeDocument/2006/relationships/hyperlink" Target="https://acf.gov/cb/policy-guidance/im-05-10" TargetMode="External"/><Relationship Id="rId545" Type="http://schemas.openxmlformats.org/officeDocument/2006/relationships/hyperlink" Target="https://acf.gov/cb/policy-guidance/pi-11-01" TargetMode="External"/><Relationship Id="rId752" Type="http://schemas.openxmlformats.org/officeDocument/2006/relationships/hyperlink" Target="https://acf.gov/occ/policy-guidance/american-relief-act-ccdf-discretionary-supplemental-funds-acf-occ-ccdf-im-25-03" TargetMode="External"/><Relationship Id="rId1175" Type="http://schemas.openxmlformats.org/officeDocument/2006/relationships/hyperlink" Target="https://acf.gov/ocs/policy-guidance/liheap-dcl-2023-09-introducing-new-division-energy-assistance-leaders" TargetMode="External"/><Relationship Id="rId1382" Type="http://schemas.openxmlformats.org/officeDocument/2006/relationships/hyperlink" Target="https://acf.gov/sites/default/files/documents/ocs/COMM_LIHEAP_AT2024_HHR_ShortFormInstr_FY24_1.pdf" TargetMode="External"/><Relationship Id="rId2019" Type="http://schemas.openxmlformats.org/officeDocument/2006/relationships/hyperlink" Target="https://acf.gov/css/policy-guidance/social-security-administration-court-order-garnishment-system" TargetMode="External"/><Relationship Id="rId2226" Type="http://schemas.openxmlformats.org/officeDocument/2006/relationships/hyperlink" Target="https://acf.gov/ecd/policy-guidance/tribal-miechv-homelessness-letter" TargetMode="External"/><Relationship Id="rId2433" Type="http://schemas.openxmlformats.org/officeDocument/2006/relationships/hyperlink" Target="https://acf.gov/sites/default/files/documents/orr/PL-23-02-Waiver-for-Shift-in-RCA-Time-Eligibility-Period.pdf" TargetMode="External"/><Relationship Id="rId2640" Type="http://schemas.openxmlformats.org/officeDocument/2006/relationships/hyperlink" Target="https://acf.gov/orr/policy-guidance/state-letter-04-16" TargetMode="External"/><Relationship Id="rId2878" Type="http://schemas.openxmlformats.org/officeDocument/2006/relationships/hyperlink" Target="https://acf.gov/ofa/policy-guidance/acf-dear-colleague-letter-state-tanf-and-child-support-cooperation" TargetMode="External"/><Relationship Id="rId405" Type="http://schemas.openxmlformats.org/officeDocument/2006/relationships/hyperlink" Target="https://acf.gov/cb/policy-guidance/im-95-12" TargetMode="External"/><Relationship Id="rId612" Type="http://schemas.openxmlformats.org/officeDocument/2006/relationships/hyperlink" Target="https://acf.gov/cb/policy-guidance/pi-03-04" TargetMode="External"/><Relationship Id="rId1035" Type="http://schemas.openxmlformats.org/officeDocument/2006/relationships/hyperlink" Target="https://acf.gov/occ/policy-guidance/ccdf-plan-preprint-tribes-fy-2023-2025-and-paperwork-reduction-act-30-day" TargetMode="External"/><Relationship Id="rId1242" Type="http://schemas.openxmlformats.org/officeDocument/2006/relationships/hyperlink" Target="https://acf.gov/ocs/resource/liheap-dear-colleague-notice-on-grantee-training-and-technical-assistance" TargetMode="External"/><Relationship Id="rId1687" Type="http://schemas.openxmlformats.org/officeDocument/2006/relationships/hyperlink" Target="https://acf.gov/css/policy-guidance/revision-title-iv-d-state-plan-preprint" TargetMode="External"/><Relationship Id="rId1894" Type="http://schemas.openxmlformats.org/officeDocument/2006/relationships/hyperlink" Target="https://acf.gov/css/policy-guidance/distribution-options-under-deficit-reduction-act-2005" TargetMode="External"/><Relationship Id="rId2500" Type="http://schemas.openxmlformats.org/officeDocument/2006/relationships/hyperlink" Target="https://acf.gov/orr/policy-guidance/state-letter-13-09" TargetMode="External"/><Relationship Id="rId2738" Type="http://schemas.openxmlformats.org/officeDocument/2006/relationships/hyperlink" Target="https://acf.gov/sites/default/files/documents/orr/ORR-5-Instructions-FINAL.docx" TargetMode="External"/><Relationship Id="rId2945" Type="http://schemas.openxmlformats.org/officeDocument/2006/relationships/hyperlink" Target="https://headstart.gov/policy/pi/acf-pi-hs-20-07" TargetMode="External"/><Relationship Id="rId917" Type="http://schemas.openxmlformats.org/officeDocument/2006/relationships/hyperlink" Target="https://acf.gov/occ/faq/what-child-care-and-development-fund-ccdf-0" TargetMode="External"/><Relationship Id="rId1102" Type="http://schemas.openxmlformats.org/officeDocument/2006/relationships/hyperlink" Target="https://acf.gov/ocs/resource/action-transmittal-2018-02-household-report-short-form-and-long-form-for-fy-2017" TargetMode="External"/><Relationship Id="rId1547" Type="http://schemas.openxmlformats.org/officeDocument/2006/relationships/hyperlink" Target="https://acf.gov/css/policy-guidance/final-rule-tribal-child-support-program-systems-and-financial-policy-questions" TargetMode="External"/><Relationship Id="rId1754" Type="http://schemas.openxmlformats.org/officeDocument/2006/relationships/hyperlink" Target="https://acf.gov/css/policy-guidance/preparation-requests-proposals-automated-child-support-information-systems" TargetMode="External"/><Relationship Id="rId1961" Type="http://schemas.openxmlformats.org/officeDocument/2006/relationships/hyperlink" Target="https://acf.gov/css/policy-guidance/guidance-tribal-child-support-program-start-up-application-process" TargetMode="External"/><Relationship Id="rId2805" Type="http://schemas.openxmlformats.org/officeDocument/2006/relationships/hyperlink" Target="https://acf.gov/fysb/faq/fysb-support" TargetMode="External"/><Relationship Id="rId46" Type="http://schemas.openxmlformats.org/officeDocument/2006/relationships/hyperlink" Target="https://acf.gov/cb/policy-guidance/pi-24-02" TargetMode="External"/><Relationship Id="rId1407" Type="http://schemas.openxmlformats.org/officeDocument/2006/relationships/hyperlink" Target="https://acf.gov/ocs/policy-guidance/liheap-dcl-first-quarter-funds-under-continuing-resolution" TargetMode="External"/><Relationship Id="rId1614" Type="http://schemas.openxmlformats.org/officeDocument/2006/relationships/hyperlink" Target="https://acf.gov/css/policy-guidance/collection-child-support-irs-through-federal-income-tax-refunds-offset-1994" TargetMode="External"/><Relationship Id="rId1821" Type="http://schemas.openxmlformats.org/officeDocument/2006/relationships/hyperlink" Target="https://acf.gov/css/policy-guidance/open-comment-period-tribal-child-support-direct-funding-request" TargetMode="External"/><Relationship Id="rId195" Type="http://schemas.openxmlformats.org/officeDocument/2006/relationships/hyperlink" Target="https://acf.gov/cb/policy-guidance/pi-20-07" TargetMode="External"/><Relationship Id="rId1919" Type="http://schemas.openxmlformats.org/officeDocument/2006/relationships/hyperlink" Target="https://acf.gov/css/policy-guidance/disclosure-federal-tax-data-iv-d-iv" TargetMode="External"/><Relationship Id="rId2083" Type="http://schemas.openxmlformats.org/officeDocument/2006/relationships/hyperlink" Target="https://acf.gov/css/policy-guidance/case-initiation-previously-closed-iv-d-cases" TargetMode="External"/><Relationship Id="rId2290" Type="http://schemas.openxmlformats.org/officeDocument/2006/relationships/hyperlink" Target="https://acf.gov/sites/default/files/documents/orr/dcl-24-07-youth-mentoring-set-aside-fy24-funding.pdf" TargetMode="External"/><Relationship Id="rId2388" Type="http://schemas.openxmlformats.org/officeDocument/2006/relationships/hyperlink" Target="https://acf.gov/orr/resource/dhs-final-rule-on-public-charge-does-not-affect-orr-populations" TargetMode="External"/><Relationship Id="rId2595" Type="http://schemas.openxmlformats.org/officeDocument/2006/relationships/hyperlink" Target="https://acf.gov/archive/orr/policy-guidance/public-charge-and-orr-populations" TargetMode="External"/><Relationship Id="rId262" Type="http://schemas.openxmlformats.org/officeDocument/2006/relationships/hyperlink" Target="https://acf.gov/cb/policy-guidance/91-33" TargetMode="External"/><Relationship Id="rId567" Type="http://schemas.openxmlformats.org/officeDocument/2006/relationships/hyperlink" Target="https://acf.gov/cb/policy-guidance/pi-09-04" TargetMode="External"/><Relationship Id="rId1197" Type="http://schemas.openxmlformats.org/officeDocument/2006/relationships/hyperlink" Target="https://acf.gov/ocs/policy-guidance/ocs-dcl-2022-15-ocs-relaunches-customer-facing-energy-help-website-fy2022" TargetMode="External"/><Relationship Id="rId2150" Type="http://schemas.openxmlformats.org/officeDocument/2006/relationships/hyperlink" Target="https://acf.gov/css/faq/what-documents-do-i-need-bring-child-support-office" TargetMode="External"/><Relationship Id="rId2248" Type="http://schemas.openxmlformats.org/officeDocument/2006/relationships/hyperlink" Target="https://acf.gov/ecd/policy-guidance/implementing-parenting-interventions-early-care-and-education" TargetMode="External"/><Relationship Id="rId122" Type="http://schemas.openxmlformats.org/officeDocument/2006/relationships/hyperlink" Target="https://acf.gov/cb/training-technical-assistance/ccwis-technical-bulletin-8" TargetMode="External"/><Relationship Id="rId774" Type="http://schemas.openxmlformats.org/officeDocument/2006/relationships/hyperlink" Target="https://acf.gov/occ/resource/im-2016-01" TargetMode="External"/><Relationship Id="rId981" Type="http://schemas.openxmlformats.org/officeDocument/2006/relationships/hyperlink" Target="https://acf.gov/occ/faq/what-are-purposes-ccdf" TargetMode="External"/><Relationship Id="rId1057" Type="http://schemas.openxmlformats.org/officeDocument/2006/relationships/hyperlink" Target="https://acf.gov/occ/policy-guidance/state-and-territory-responses-emergency-preparedness-planning-questions-fy2010" TargetMode="External"/><Relationship Id="rId2010" Type="http://schemas.openxmlformats.org/officeDocument/2006/relationships/hyperlink" Target="https://acf.gov/css/policy-guidance/iv-and-iv-d-interface-and-data-exchange-report" TargetMode="External"/><Relationship Id="rId2455" Type="http://schemas.openxmlformats.org/officeDocument/2006/relationships/hyperlink" Target="https://acf.gov/sites/default/files/documents/orr/PL-21-02-COVID-19-Assistance-for-URM-Youth.pdf" TargetMode="External"/><Relationship Id="rId2662" Type="http://schemas.openxmlformats.org/officeDocument/2006/relationships/hyperlink" Target="https://acf.gov/orr/policy-guidance/state-letter-03-21" TargetMode="External"/><Relationship Id="rId427" Type="http://schemas.openxmlformats.org/officeDocument/2006/relationships/hyperlink" Target="https://acf.gov/cb/policy-guidance/im-90-28" TargetMode="External"/><Relationship Id="rId634" Type="http://schemas.openxmlformats.org/officeDocument/2006/relationships/hyperlink" Target="https://acf.gov/cb/policy-guidance/pi-99-05" TargetMode="External"/><Relationship Id="rId841" Type="http://schemas.openxmlformats.org/officeDocument/2006/relationships/hyperlink" Target="https://acf.gov/occ/resource/ccdf-acf-pi-2019-01" TargetMode="External"/><Relationship Id="rId1264" Type="http://schemas.openxmlformats.org/officeDocument/2006/relationships/hyperlink" Target="https://acf.gov/ocs/resource/liheap-dear-colleague-notice-on-contracts-awarded-in-september-2014" TargetMode="External"/><Relationship Id="rId1471" Type="http://schemas.openxmlformats.org/officeDocument/2006/relationships/hyperlink" Target="https://acf.gov/css/policy-guidance/implementing-revised-ocse-157-form-and-instructions-fy-2023" TargetMode="External"/><Relationship Id="rId1569" Type="http://schemas.openxmlformats.org/officeDocument/2006/relationships/hyperlink" Target="https://acf.gov/css/policy-guidance/definition-assistance-paid-family-child-support-enforcement-collection-purposes" TargetMode="External"/><Relationship Id="rId2108" Type="http://schemas.openxmlformats.org/officeDocument/2006/relationships/hyperlink" Target="https://acf.gov/css/policy-guidance/state-iv-d-program-flexibility-respect-low-income-obligors" TargetMode="External"/><Relationship Id="rId2315" Type="http://schemas.openxmlformats.org/officeDocument/2006/relationships/hyperlink" Target="https://acf.gov/sites/default/files/documents/orr/DCL-23-21-fy-2023-rss-formula-allocations.pdf" TargetMode="External"/><Relationship Id="rId2522" Type="http://schemas.openxmlformats.org/officeDocument/2006/relationships/hyperlink" Target="https://acf.gov/orr/policy-guidance/state-letter-11-01" TargetMode="External"/><Relationship Id="rId2967" Type="http://schemas.openxmlformats.org/officeDocument/2006/relationships/hyperlink" Target="https://headstart.gov/policy/pi/acf-pi-hs-09-10" TargetMode="External"/><Relationship Id="rId701" Type="http://schemas.openxmlformats.org/officeDocument/2006/relationships/hyperlink" Target="https://acf.gov/cb/policy-guidance/pi-84-06" TargetMode="External"/><Relationship Id="rId939" Type="http://schemas.openxmlformats.org/officeDocument/2006/relationships/hyperlink" Target="https://acf.gov/occ/faq/what-would-make-child-care-staff-member-ineligible-employment" TargetMode="External"/><Relationship Id="rId1124" Type="http://schemas.openxmlformats.org/officeDocument/2006/relationships/hyperlink" Target="https://acf.gov/ocs/resource/liheap-at-2014-5-household-report-for-fy-2014" TargetMode="External"/><Relationship Id="rId1331" Type="http://schemas.openxmlformats.org/officeDocument/2006/relationships/hyperlink" Target="https://acf.gov/ocs/resource/liheap-im-2015-04-applicability-of-the-omb-uniform-administrative-requirements-cost-principles" TargetMode="External"/><Relationship Id="rId1776" Type="http://schemas.openxmlformats.org/officeDocument/2006/relationships/hyperlink" Target="https://acf.gov/css/policy-guidance/ofa-ocss-joint-letter-tribal-child-support-cooperation-requirements" TargetMode="External"/><Relationship Id="rId1983" Type="http://schemas.openxmlformats.org/officeDocument/2006/relationships/hyperlink" Target="https://acf.gov/css/policy-guidance/hague-child-support-convention-judicial-guide" TargetMode="External"/><Relationship Id="rId2827" Type="http://schemas.openxmlformats.org/officeDocument/2006/relationships/hyperlink" Target="https://acf.gov/ofa/policy-guidance/dol-hhs-joint-letter-summer-jobs-risk-youth" TargetMode="External"/><Relationship Id="rId68" Type="http://schemas.openxmlformats.org/officeDocument/2006/relationships/hyperlink" Target="https://acf.gov/cb/faq/nofo-award-ceiling" TargetMode="External"/><Relationship Id="rId1429" Type="http://schemas.openxmlformats.org/officeDocument/2006/relationships/hyperlink" Target="https://acf.gov/ocs/policy-guidance/liheap-policy-manual" TargetMode="External"/><Relationship Id="rId1636" Type="http://schemas.openxmlformats.org/officeDocument/2006/relationships/hyperlink" Target="https://acf.gov/css/policy-guidance/nprm-safeguarding-information-federal-income-tax-refund-offset" TargetMode="External"/><Relationship Id="rId1843" Type="http://schemas.openxmlformats.org/officeDocument/2006/relationships/hyperlink" Target="https://acf.gov/css/policy-guidance/open-comment-period-msfidm-fast-levy" TargetMode="External"/><Relationship Id="rId1703" Type="http://schemas.openxmlformats.org/officeDocument/2006/relationships/hyperlink" Target="https://acf.gov/css/policy-guidance/final-rule-corrections-implementation-child-support-enforcement-amendments-1984" TargetMode="External"/><Relationship Id="rId1910" Type="http://schemas.openxmlformats.org/officeDocument/2006/relationships/hyperlink" Target="https://acf.gov/css/policy-guidance/privacy-act-disclosure-requirement" TargetMode="External"/><Relationship Id="rId284" Type="http://schemas.openxmlformats.org/officeDocument/2006/relationships/hyperlink" Target="https://acf.gov/cb/policy-guidance/im-16-01" TargetMode="External"/><Relationship Id="rId491" Type="http://schemas.openxmlformats.org/officeDocument/2006/relationships/hyperlink" Target="https://acf.gov/cb/policy-guidance/pi-18-06" TargetMode="External"/><Relationship Id="rId2172" Type="http://schemas.openxmlformats.org/officeDocument/2006/relationships/hyperlink" Target="https://acf.gov/css/training-technical-assistance/operational-apd-instructions-and-template" TargetMode="External"/><Relationship Id="rId3016" Type="http://schemas.openxmlformats.org/officeDocument/2006/relationships/hyperlink" Target="https://headstart.gov/publication/ersea-assessment-tool" TargetMode="External"/><Relationship Id="rId144" Type="http://schemas.openxmlformats.org/officeDocument/2006/relationships/hyperlink" Target="https://acf.gov/cb/policy-guidance/letter-child-welfare-directors-covid19" TargetMode="External"/><Relationship Id="rId589" Type="http://schemas.openxmlformats.org/officeDocument/2006/relationships/hyperlink" Target="https://acf.gov/cb/policy-guidance/pi-06-07" TargetMode="External"/><Relationship Id="rId796" Type="http://schemas.openxmlformats.org/officeDocument/2006/relationships/hyperlink" Target="https://acf.gov/occ/resource/piq-cc-99-01" TargetMode="External"/><Relationship Id="rId2477" Type="http://schemas.openxmlformats.org/officeDocument/2006/relationships/hyperlink" Target="https://acf.gov/orr/resource/orr-repatriation-program-compliance-with-the-windsor-and-obergefell-decisions" TargetMode="External"/><Relationship Id="rId2684" Type="http://schemas.openxmlformats.org/officeDocument/2006/relationships/hyperlink" Target="https://acf.gov/orr/policy-guidance/state-letter-02-22" TargetMode="External"/><Relationship Id="rId351" Type="http://schemas.openxmlformats.org/officeDocument/2006/relationships/hyperlink" Target="https://acf.gov/cb/policy-guidance/im-03-05" TargetMode="External"/><Relationship Id="rId449" Type="http://schemas.openxmlformats.org/officeDocument/2006/relationships/hyperlink" Target="https://acf.gov/cb/policy-guidance/im-87-28" TargetMode="External"/><Relationship Id="rId656" Type="http://schemas.openxmlformats.org/officeDocument/2006/relationships/hyperlink" Target="https://acf.gov/cb/policy-guidance/pi-96-06" TargetMode="External"/><Relationship Id="rId863" Type="http://schemas.openxmlformats.org/officeDocument/2006/relationships/hyperlink" Target="https://acf.gov/archive/occ/policy-guidance/consolidating-ccdf-under-102-477-indian-employment-training-and-related" TargetMode="External"/><Relationship Id="rId1079" Type="http://schemas.openxmlformats.org/officeDocument/2006/relationships/hyperlink" Target="https://acf.gov/ocs/policy-guidance/liheap-2023-05-model-plan-application-liheap-funding-federal-fiscal-year-fy" TargetMode="External"/><Relationship Id="rId1286" Type="http://schemas.openxmlformats.org/officeDocument/2006/relationships/hyperlink" Target="https://acf.gov/ocs/resource/liheap-disaster-relief-and-outreach-in-the-wake-of-recent-storms-and-power" TargetMode="External"/><Relationship Id="rId1493" Type="http://schemas.openxmlformats.org/officeDocument/2006/relationships/hyperlink" Target="https://acf.gov/css/policy-guidance/nprm-2018-child-support-technical-corrections" TargetMode="External"/><Relationship Id="rId2032" Type="http://schemas.openxmlformats.org/officeDocument/2006/relationships/hyperlink" Target="https://acf.gov/css/policy-guidance/employment-verification-federal-agencies-and-military" TargetMode="External"/><Relationship Id="rId2337" Type="http://schemas.openxmlformats.org/officeDocument/2006/relationships/hyperlink" Target="https://acf.gov/sites/default/files/documents/orr/ORR-DCL-22-22-Immigration-Related-Legal-Assistance-For-UC-Enrolled-In-URM.pdf" TargetMode="External"/><Relationship Id="rId2544" Type="http://schemas.openxmlformats.org/officeDocument/2006/relationships/hyperlink" Target="https://acf.gov/orr/policy-guidance/state-letter-09-13" TargetMode="External"/><Relationship Id="rId2891" Type="http://schemas.openxmlformats.org/officeDocument/2006/relationships/hyperlink" Target="https://acf.gov/ofa/policy-guidance/tanf-acf-im-2021-01" TargetMode="External"/><Relationship Id="rId2989" Type="http://schemas.openxmlformats.org/officeDocument/2006/relationships/hyperlink" Target="https://headstart.gov/fiscal-management/article/what-cash-flow-how-should-we-manage-it" TargetMode="External"/><Relationship Id="rId211" Type="http://schemas.openxmlformats.org/officeDocument/2006/relationships/hyperlink" Target="https://acf.gov/cb/policy-guidance/pi-19-07" TargetMode="External"/><Relationship Id="rId309" Type="http://schemas.openxmlformats.org/officeDocument/2006/relationships/hyperlink" Target="https://acf.gov/cb/policy-guidance/im-11-05" TargetMode="External"/><Relationship Id="rId516" Type="http://schemas.openxmlformats.org/officeDocument/2006/relationships/hyperlink" Target="https://acf.gov/cb/policy-guidance/pi-15-02" TargetMode="External"/><Relationship Id="rId1146" Type="http://schemas.openxmlformats.org/officeDocument/2006/relationships/hyperlink" Target="https://acf.gov/ocs/resource/request-for-fy-2010-applications-for-the-residential-energy-assistance" TargetMode="External"/><Relationship Id="rId1798" Type="http://schemas.openxmlformats.org/officeDocument/2006/relationships/hyperlink" Target="https://acf.gov/css/policy-guidance/fy-2024-incentive-payment-pool-amount" TargetMode="External"/><Relationship Id="rId2751" Type="http://schemas.openxmlformats.org/officeDocument/2006/relationships/hyperlink" Target="https://acf.gov/sites/default/files/documents/orr/Field-Guidance-No.-22_FINAL.pdf" TargetMode="External"/><Relationship Id="rId2849" Type="http://schemas.openxmlformats.org/officeDocument/2006/relationships/hyperlink" Target="https://acf.gov/ofa/policy-guidance/tanf-acf-pi-2008-11-revised-form-acf-202-caseload-reduction-report" TargetMode="External"/><Relationship Id="rId723" Type="http://schemas.openxmlformats.org/officeDocument/2006/relationships/hyperlink" Target="https://acf.gov/cb/faq/can4" TargetMode="External"/><Relationship Id="rId930" Type="http://schemas.openxmlformats.org/officeDocument/2006/relationships/hyperlink" Target="https://acf.gov/occ/faq/how-does-reauthorization-change-funding-ccdf-program" TargetMode="External"/><Relationship Id="rId1006" Type="http://schemas.openxmlformats.org/officeDocument/2006/relationships/hyperlink" Target="https://acf.gov/occ/policy-guidance/draft-guidance-disaster-supplemental-funds-child-care-2023-2024" TargetMode="External"/><Relationship Id="rId1353" Type="http://schemas.openxmlformats.org/officeDocument/2006/relationships/hyperlink" Target="https://acf.gov/ocs/resource/staff-assignments-for-the-division-of-energy-assistance" TargetMode="External"/><Relationship Id="rId1560" Type="http://schemas.openxmlformats.org/officeDocument/2006/relationships/hyperlink" Target="https://acf.gov/css/policy-guidance/reinvestment-child-support-incentive-payments" TargetMode="External"/><Relationship Id="rId1658" Type="http://schemas.openxmlformats.org/officeDocument/2006/relationships/hyperlink" Target="https://acf.gov/css/policy-guidance/treatment-income-earned-states-interest-investments-or-other-income" TargetMode="External"/><Relationship Id="rId1865" Type="http://schemas.openxmlformats.org/officeDocument/2006/relationships/hyperlink" Target="https://acf.gov/css/policy-guidance/wioa-final-rule" TargetMode="External"/><Relationship Id="rId2404" Type="http://schemas.openxmlformats.org/officeDocument/2006/relationships/hyperlink" Target="https://acf.gov/orr/resource/monitoring-initiative" TargetMode="External"/><Relationship Id="rId2611" Type="http://schemas.openxmlformats.org/officeDocument/2006/relationships/hyperlink" Target="https://acf.gov/orr/policy-guidance/state-letter-05-19" TargetMode="External"/><Relationship Id="rId2709" Type="http://schemas.openxmlformats.org/officeDocument/2006/relationships/hyperlink" Target="https://acf.gov/archive/orr/policy-guidance/state-letter-01-20" TargetMode="External"/><Relationship Id="rId1213" Type="http://schemas.openxmlformats.org/officeDocument/2006/relationships/hyperlink" Target="https://acf.gov/ocs/resource/liheap-dcl-partnership-to-address-the-spread-of-covid-19" TargetMode="External"/><Relationship Id="rId1420" Type="http://schemas.openxmlformats.org/officeDocument/2006/relationships/hyperlink" Target="https://acf.gov/ocs/policy-guidance/liheap-dcl-training-and-technical-assistance-meeting-san-diego-ca" TargetMode="External"/><Relationship Id="rId1518" Type="http://schemas.openxmlformats.org/officeDocument/2006/relationships/hyperlink" Target="https://acf.gov/css/policy-guidance/project-save-our-children-psoc-procedures" TargetMode="External"/><Relationship Id="rId2916" Type="http://schemas.openxmlformats.org/officeDocument/2006/relationships/hyperlink" Target="https://headstart.gov/policy/im/acf-im-hs-20-01" TargetMode="External"/><Relationship Id="rId1725" Type="http://schemas.openxmlformats.org/officeDocument/2006/relationships/hyperlink" Target="https://acf.gov/css/policy-guidance/final-rule-incentive-payments-states-and-political-subdivisions-0" TargetMode="External"/><Relationship Id="rId1932" Type="http://schemas.openxmlformats.org/officeDocument/2006/relationships/hyperlink" Target="https://acf.gov/css/policy-guidance/processing-bankruptcies" TargetMode="External"/><Relationship Id="rId17" Type="http://schemas.openxmlformats.org/officeDocument/2006/relationships/hyperlink" Target="https://acf.gov/cb/policy-guidance/pi-24-10" TargetMode="External"/><Relationship Id="rId2194" Type="http://schemas.openxmlformats.org/officeDocument/2006/relationships/hyperlink" Target="https://acf.gov/css/training-technical-assistance/debt-inquiry-service-system-interface-specifications" TargetMode="External"/><Relationship Id="rId166" Type="http://schemas.openxmlformats.org/officeDocument/2006/relationships/hyperlink" Target="https://acf.gov/cb/training-technical-assistance/afcars-20-questions-and-answers" TargetMode="External"/><Relationship Id="rId373" Type="http://schemas.openxmlformats.org/officeDocument/2006/relationships/hyperlink" Target="https://acf.gov/cb/policy-guidance/im-00-11" TargetMode="External"/><Relationship Id="rId580" Type="http://schemas.openxmlformats.org/officeDocument/2006/relationships/hyperlink" Target="https://acf.gov/cb/policy-guidance/pi-07-08" TargetMode="External"/><Relationship Id="rId2054" Type="http://schemas.openxmlformats.org/officeDocument/2006/relationships/hyperlink" Target="https://acf.gov/css/policy-guidance/state-advancements-paternity-establishment" TargetMode="External"/><Relationship Id="rId2261" Type="http://schemas.openxmlformats.org/officeDocument/2006/relationships/hyperlink" Target="https://acf.gov/cb/training-technical-assistance/tu2-nytd-compliance-status" TargetMode="External"/><Relationship Id="rId2499" Type="http://schemas.openxmlformats.org/officeDocument/2006/relationships/hyperlink" Target="https://acf.gov/orr/policy-guidance/state-letter-13-10" TargetMode="External"/><Relationship Id="rId1" Type="http://schemas.openxmlformats.org/officeDocument/2006/relationships/hyperlink" Target="https://acf.gov/ecd/outreach-material/teli-synthesis" TargetMode="External"/><Relationship Id="rId233" Type="http://schemas.openxmlformats.org/officeDocument/2006/relationships/hyperlink" Target="https://acf.gov/cb/policy-guidance/pi-19-05" TargetMode="External"/><Relationship Id="rId440" Type="http://schemas.openxmlformats.org/officeDocument/2006/relationships/hyperlink" Target="https://acf.gov/cb/policy-guidance/im-88-24" TargetMode="External"/><Relationship Id="rId678" Type="http://schemas.openxmlformats.org/officeDocument/2006/relationships/hyperlink" Target="https://acf.gov/cb/policy-guidance/pi-92-13" TargetMode="External"/><Relationship Id="rId885" Type="http://schemas.openxmlformats.org/officeDocument/2006/relationships/hyperlink" Target="https://acf.gov/occ/policy-guidance/ccdf-acf-pi-2010-02" TargetMode="External"/><Relationship Id="rId1070" Type="http://schemas.openxmlformats.org/officeDocument/2006/relationships/hyperlink" Target="https://acf.gov/ocs/policy-guidance/liheap-2024-02-quarterly-report-submission-fy-2024" TargetMode="External"/><Relationship Id="rId2121" Type="http://schemas.openxmlformats.org/officeDocument/2006/relationships/hyperlink" Target="https://acf.gov/css/faq/income-withholding-answers-employers-questions" TargetMode="External"/><Relationship Id="rId2359" Type="http://schemas.openxmlformats.org/officeDocument/2006/relationships/hyperlink" Target="https://acf.gov/sites/default/files/documents/orr/ORR-DCL-21-18-Eligibility-Status-of-Certain-Afghan-Parolees.pdf" TargetMode="External"/><Relationship Id="rId2566" Type="http://schemas.openxmlformats.org/officeDocument/2006/relationships/hyperlink" Target="https://acf.gov/orr/policy-guidance/state-letter-07-06" TargetMode="External"/><Relationship Id="rId2773" Type="http://schemas.openxmlformats.org/officeDocument/2006/relationships/hyperlink" Target="https://acf.gov/sites/default/files/documents/orr/RDH-1-Request-for-Risk-Determination-Hearing_v1_2024-07-01.pdf" TargetMode="External"/><Relationship Id="rId2980" Type="http://schemas.openxmlformats.org/officeDocument/2006/relationships/hyperlink" Target="https://headstart.gov/safety-practices/article/child-abuse-neglect" TargetMode="External"/><Relationship Id="rId300" Type="http://schemas.openxmlformats.org/officeDocument/2006/relationships/hyperlink" Target="https://acf.gov/cb/policy-guidance/im-12-08" TargetMode="External"/><Relationship Id="rId538" Type="http://schemas.openxmlformats.org/officeDocument/2006/relationships/hyperlink" Target="https://acf.gov/cb/policy-guidance/pi-11-08" TargetMode="External"/><Relationship Id="rId745" Type="http://schemas.openxmlformats.org/officeDocument/2006/relationships/hyperlink" Target="https://acf.gov/cb/faq/can5" TargetMode="External"/><Relationship Id="rId952" Type="http://schemas.openxmlformats.org/officeDocument/2006/relationships/hyperlink" Target="https://acf.gov/occ/faq/what-does-comprehensive-background-check-include-under-new-law" TargetMode="External"/><Relationship Id="rId1168" Type="http://schemas.openxmlformats.org/officeDocument/2006/relationships/hyperlink" Target="https://acf.gov/ocs/policy-guidance/liheap-dcl-2023-02-announcing-new-dea-senior-advisor" TargetMode="External"/><Relationship Id="rId1375" Type="http://schemas.openxmlformats.org/officeDocument/2006/relationships/hyperlink" Target="https://acf.gov/ocs/resource/fy-07-state-level-recipiency-targeting-indexes-and-rankings" TargetMode="External"/><Relationship Id="rId1582" Type="http://schemas.openxmlformats.org/officeDocument/2006/relationships/hyperlink" Target="https://acf.gov/css/policy-guidance/final-rule-standards-program-operations-quarterly-wage-and-unemployment" TargetMode="External"/><Relationship Id="rId2219" Type="http://schemas.openxmlformats.org/officeDocument/2006/relationships/hyperlink" Target="https://acf.gov/ecd/policy-guidance/ed-and-hhs-miechv-part-c-guidance" TargetMode="External"/><Relationship Id="rId2426" Type="http://schemas.openxmlformats.org/officeDocument/2006/relationships/hyperlink" Target="https://acf.gov/orr/policy/policy-letters/24-03" TargetMode="External"/><Relationship Id="rId2633" Type="http://schemas.openxmlformats.org/officeDocument/2006/relationships/hyperlink" Target="https://acf.gov/orr/policy-guidance/state-letter-04-09" TargetMode="External"/><Relationship Id="rId81" Type="http://schemas.openxmlformats.org/officeDocument/2006/relationships/hyperlink" Target="https://acf.gov/cb/report/tribal-fmap-fy-2024" TargetMode="External"/><Relationship Id="rId605" Type="http://schemas.openxmlformats.org/officeDocument/2006/relationships/hyperlink" Target="https://acf.gov/cb/policy-guidance/pi-04-02" TargetMode="External"/><Relationship Id="rId812" Type="http://schemas.openxmlformats.org/officeDocument/2006/relationships/hyperlink" Target="https://acf.gov/occ/policy-guidance/acf-696-form-ccdf-acf-pi-2024-06" TargetMode="External"/><Relationship Id="rId1028" Type="http://schemas.openxmlformats.org/officeDocument/2006/relationships/hyperlink" Target="https://acf.gov/occ/policy-guidance/program-instruction-ccdf-acf-pi-2014-03" TargetMode="External"/><Relationship Id="rId1235" Type="http://schemas.openxmlformats.org/officeDocument/2006/relationships/hyperlink" Target="https://acf.gov/ocs/resource/liheap-dear-colleague-notice-fy-2016-funding-release" TargetMode="External"/><Relationship Id="rId1442" Type="http://schemas.openxmlformats.org/officeDocument/2006/relationships/hyperlink" Target="https://acf.gov/ocs/policy-guidance/liheap-attachment-dcl-initial-cr-release-block-grant-funds-fy-2014" TargetMode="External"/><Relationship Id="rId1887" Type="http://schemas.openxmlformats.org/officeDocument/2006/relationships/hyperlink" Target="https://acf.gov/css/policy-guidance/tribal-irs-safeguarding-guidance" TargetMode="External"/><Relationship Id="rId2840" Type="http://schemas.openxmlformats.org/officeDocument/2006/relationships/hyperlink" Target="https://acf.gov/ofa/policy-guidance/sanction-notices" TargetMode="External"/><Relationship Id="rId2938" Type="http://schemas.openxmlformats.org/officeDocument/2006/relationships/hyperlink" Target="https://headstart.gov/policy/pi/acf-pi-ohs-24-01" TargetMode="External"/><Relationship Id="rId1302" Type="http://schemas.openxmlformats.org/officeDocument/2006/relationships/hyperlink" Target="https://acf.gov/ocs/policy-guidance/liheap-im-2023-02-state-median-income-estimates-optional-use-ffy-2023-and" TargetMode="External"/><Relationship Id="rId1747" Type="http://schemas.openxmlformats.org/officeDocument/2006/relationships/hyperlink" Target="https://acf.gov/css/policy-guidance/fee-cases-certified-internal-revenue-service" TargetMode="External"/><Relationship Id="rId1954" Type="http://schemas.openxmlformats.org/officeDocument/2006/relationships/hyperlink" Target="https://acf.gov/css/policy-guidance/reimbursement-states-use-fpls" TargetMode="External"/><Relationship Id="rId2700" Type="http://schemas.openxmlformats.org/officeDocument/2006/relationships/hyperlink" Target="https://acf.gov/archive/orr/policy-guidance/state-letter-01-07" TargetMode="External"/><Relationship Id="rId39" Type="http://schemas.openxmlformats.org/officeDocument/2006/relationships/hyperlink" Target="https://acf.gov/cb/faq/national-cbcap-nofo-faqs" TargetMode="External"/><Relationship Id="rId1607" Type="http://schemas.openxmlformats.org/officeDocument/2006/relationships/hyperlink" Target="https://acf.gov/css/policy-guidance/revision-title-iv-d-state-plan-preprint-computerized-support-enforcement" TargetMode="External"/><Relationship Id="rId1814" Type="http://schemas.openxmlformats.org/officeDocument/2006/relationships/hyperlink" Target="https://acf.gov/css/policy-guidance/enrollment-cap-service-international-payments" TargetMode="External"/><Relationship Id="rId188" Type="http://schemas.openxmlformats.org/officeDocument/2006/relationships/hyperlink" Target="https://acf.gov/cb/policy-guidance/postponement-title-iv-e-foster-care-eligibility-reviews-and-national-youth" TargetMode="External"/><Relationship Id="rId395" Type="http://schemas.openxmlformats.org/officeDocument/2006/relationships/hyperlink" Target="https://acf.gov/cb/policy-guidance/im-97-02" TargetMode="External"/><Relationship Id="rId2076" Type="http://schemas.openxmlformats.org/officeDocument/2006/relationships/hyperlink" Target="https://acf.gov/css/policy-guidance/moving-start-comprehensive-tribal-iv-d-program" TargetMode="External"/><Relationship Id="rId2283" Type="http://schemas.openxmlformats.org/officeDocument/2006/relationships/hyperlink" Target="https://acf.gov/orr/policy/dear-colleague-letters/24-14" TargetMode="External"/><Relationship Id="rId2490" Type="http://schemas.openxmlformats.org/officeDocument/2006/relationships/hyperlink" Target="https://acf.gov/orr/policy-guidance/state-letter-15-08" TargetMode="External"/><Relationship Id="rId2588" Type="http://schemas.openxmlformats.org/officeDocument/2006/relationships/hyperlink" Target="https://acf.gov/orr/policy-guidance/state-letter-06-13" TargetMode="External"/><Relationship Id="rId255" Type="http://schemas.openxmlformats.org/officeDocument/2006/relationships/hyperlink" Target="https://acf.gov/cb/policy-guidance/guide-nytd-review-transmittal-letter" TargetMode="External"/><Relationship Id="rId462" Type="http://schemas.openxmlformats.org/officeDocument/2006/relationships/hyperlink" Target="https://acf.gov/cb/policy-guidance/im-85-36" TargetMode="External"/><Relationship Id="rId1092" Type="http://schemas.openxmlformats.org/officeDocument/2006/relationships/hyperlink" Target="https://acf.gov/ocs/resource/liheap-at-2020-02-household-report-short-and-long-form-fy-2019" TargetMode="External"/><Relationship Id="rId1397" Type="http://schemas.openxmlformats.org/officeDocument/2006/relationships/hyperlink" Target="https://acf.gov/sites/default/files/documents/ocs/COMM_LIHEAP_IM%2091-19.pdf" TargetMode="External"/><Relationship Id="rId2143" Type="http://schemas.openxmlformats.org/officeDocument/2006/relationships/hyperlink" Target="https://acf.gov/css/faq/can-i-establish-paternity-even-though-father-my-child-lives-another-state" TargetMode="External"/><Relationship Id="rId2350" Type="http://schemas.openxmlformats.org/officeDocument/2006/relationships/hyperlink" Target="https://acf.gov/sites/default/files/documents/orr/orr-dcl-22-09-fy2021-arrivals-and-service-data-collection-process.pdf" TargetMode="External"/><Relationship Id="rId2795" Type="http://schemas.openxmlformats.org/officeDocument/2006/relationships/hyperlink" Target="https://acf.gov/ohsepr/training-technical-assistance/repat-essential-function-cap-guide" TargetMode="External"/><Relationship Id="rId115" Type="http://schemas.openxmlformats.org/officeDocument/2006/relationships/hyperlink" Target="https://acf.gov/cb/report/tribal-fmap-fy-2023" TargetMode="External"/><Relationship Id="rId322" Type="http://schemas.openxmlformats.org/officeDocument/2006/relationships/hyperlink" Target="https://acf.gov/cb/policy-guidance/im-08-01" TargetMode="External"/><Relationship Id="rId767" Type="http://schemas.openxmlformats.org/officeDocument/2006/relationships/hyperlink" Target="https://acf.gov/occ/resource/im-18-01" TargetMode="External"/><Relationship Id="rId974" Type="http://schemas.openxmlformats.org/officeDocument/2006/relationships/hyperlink" Target="https://acf.gov/occ/faq/does-background-check-requirement-apply-family-child-care-providers" TargetMode="External"/><Relationship Id="rId2003" Type="http://schemas.openxmlformats.org/officeDocument/2006/relationships/hyperlink" Target="https://acf.gov/css/policy-guidance/facts-garnishing-federal-benefits-child-support" TargetMode="External"/><Relationship Id="rId2210" Type="http://schemas.openxmlformats.org/officeDocument/2006/relationships/hyperlink" Target="https://acf.gov/css/policy-guidance/open-comment-period-tribal-direct-funding-request-45-cfr-309-plan" TargetMode="External"/><Relationship Id="rId2448" Type="http://schemas.openxmlformats.org/officeDocument/2006/relationships/hyperlink" Target="https://acf.gov/sites/default/files/documents/orr/ORR-PL-22-02-Additional-ORR-Eligibility-Categories-and-Documentation-Requirements-for-Afghan-Nationals-Revised.pdf" TargetMode="External"/><Relationship Id="rId2655" Type="http://schemas.openxmlformats.org/officeDocument/2006/relationships/hyperlink" Target="https://acf.gov/orr/policy-guidance/state-letter-03-13" TargetMode="External"/><Relationship Id="rId2862" Type="http://schemas.openxmlformats.org/officeDocument/2006/relationships/hyperlink" Target="https://acf.gov/ofa/policy-guidance/tanf-acf-pi-2014-03-form-acf-199-tanf-data-report-and-form-acf-209-ssp-moe-data" TargetMode="External"/><Relationship Id="rId627" Type="http://schemas.openxmlformats.org/officeDocument/2006/relationships/hyperlink" Target="https://acf.gov/cb/policy-guidance/pi-01-03" TargetMode="External"/><Relationship Id="rId834" Type="http://schemas.openxmlformats.org/officeDocument/2006/relationships/hyperlink" Target="https://acf.gov/occ/resource/ccdf-acf-pi-2020-06" TargetMode="External"/><Relationship Id="rId1257" Type="http://schemas.openxmlformats.org/officeDocument/2006/relationships/hyperlink" Target="https://acf.gov/ocs/resource/liheap-dear-colleague-on-second-funding-release-fy-2015" TargetMode="External"/><Relationship Id="rId1464" Type="http://schemas.openxmlformats.org/officeDocument/2006/relationships/hyperlink" Target="https://acf.gov/css/policy-guidance/tribal-budget-and-narrative-justification-templates-expire-may-2026" TargetMode="External"/><Relationship Id="rId1671" Type="http://schemas.openxmlformats.org/officeDocument/2006/relationships/hyperlink" Target="https://acf.gov/css/policy-guidance/final-rule-disregard-child-support-payments-correction-88-11" TargetMode="External"/><Relationship Id="rId2308" Type="http://schemas.openxmlformats.org/officeDocument/2006/relationships/hyperlink" Target="https://acf.gov/sites/default/files/documents/orr/dcl-23-28-fy-2023-second-asa-arhp-allocation.pdf" TargetMode="External"/><Relationship Id="rId2515" Type="http://schemas.openxmlformats.org/officeDocument/2006/relationships/hyperlink" Target="https://acf.gov/orr/resource/state-letter-12-04" TargetMode="External"/><Relationship Id="rId2722" Type="http://schemas.openxmlformats.org/officeDocument/2006/relationships/hyperlink" Target="https://acf.gov/orr/resource/state-letter-00-12" TargetMode="External"/><Relationship Id="rId901" Type="http://schemas.openxmlformats.org/officeDocument/2006/relationships/hyperlink" Target="https://acf.gov/occ/resource/pi-cc-99-05" TargetMode="External"/><Relationship Id="rId1117" Type="http://schemas.openxmlformats.org/officeDocument/2006/relationships/hyperlink" Target="https://acf.gov/ocs/resource/liheap-at-2014-06-correction-needed-to-grantee-survey-for-fy-2013" TargetMode="External"/><Relationship Id="rId1324" Type="http://schemas.openxmlformats.org/officeDocument/2006/relationships/hyperlink" Target="https://acf.gov/ocs/resource/liheap-im2017-03" TargetMode="External"/><Relationship Id="rId1531" Type="http://schemas.openxmlformats.org/officeDocument/2006/relationships/hyperlink" Target="https://acf.gov/css/policy-guidance/nprm-computerized-tribal-iv-d-systems-and-office-automation-and-consultations" TargetMode="External"/><Relationship Id="rId1769" Type="http://schemas.openxmlformats.org/officeDocument/2006/relationships/hyperlink" Target="https://acf.gov/css/policy-guidance/data-reliability-audit-requirements-fy-2025" TargetMode="External"/><Relationship Id="rId1976" Type="http://schemas.openxmlformats.org/officeDocument/2006/relationships/hyperlink" Target="https://acf.gov/css/policy-guidance/model-procedures-domestic-violence-cases" TargetMode="External"/><Relationship Id="rId30" Type="http://schemas.openxmlformats.org/officeDocument/2006/relationships/hyperlink" Target="https://acf.gov/cb/faq/research-data-technology/compliance-standards/nytd/faq" TargetMode="External"/><Relationship Id="rId1629" Type="http://schemas.openxmlformats.org/officeDocument/2006/relationships/hyperlink" Target="https://acf.gov/css/policy-guidance/final-rule-prohibition-federal-funding-costs-guardians-ad-litem-iv-d-actions" TargetMode="External"/><Relationship Id="rId1836" Type="http://schemas.openxmlformats.org/officeDocument/2006/relationships/hyperlink" Target="https://acf.gov/css/policy-guidance/essentials-attorneys-child-support-enforcement-4th-edition-released" TargetMode="External"/><Relationship Id="rId1903" Type="http://schemas.openxmlformats.org/officeDocument/2006/relationships/hyperlink" Target="https://acf.gov/css/policy-guidance/automated-systems-child-support-guide-enhancing-review-and-adjustment" TargetMode="External"/><Relationship Id="rId2098" Type="http://schemas.openxmlformats.org/officeDocument/2006/relationships/hyperlink" Target="https://acf.gov/css/policy-guidance/recoupment-child-support-overpayment-guidance-2003" TargetMode="External"/><Relationship Id="rId277" Type="http://schemas.openxmlformats.org/officeDocument/2006/relationships/hyperlink" Target="https://acf.gov/cb/policy-guidance/im-17-01" TargetMode="External"/><Relationship Id="rId484" Type="http://schemas.openxmlformats.org/officeDocument/2006/relationships/hyperlink" Target="https://acf.gov/cb/policy-guidance/im-81-02" TargetMode="External"/><Relationship Id="rId2165" Type="http://schemas.openxmlformats.org/officeDocument/2006/relationships/hyperlink" Target="https://acf.gov/css/training-technical-assistance/guide-national-directory-new-hires" TargetMode="External"/><Relationship Id="rId3009" Type="http://schemas.openxmlformats.org/officeDocument/2006/relationships/hyperlink" Target="https://headstart.gov/publication/domestic-violence-child-abuse-reporting" TargetMode="External"/><Relationship Id="rId137" Type="http://schemas.openxmlformats.org/officeDocument/2006/relationships/hyperlink" Target="https://acf.gov/cb/faq/custody1" TargetMode="External"/><Relationship Id="rId344" Type="http://schemas.openxmlformats.org/officeDocument/2006/relationships/hyperlink" Target="https://acf.gov/cb/policy-guidance/im-04-08" TargetMode="External"/><Relationship Id="rId691" Type="http://schemas.openxmlformats.org/officeDocument/2006/relationships/hyperlink" Target="https://acf.gov/cb/policy-guidance/pi-88-07" TargetMode="External"/><Relationship Id="rId789" Type="http://schemas.openxmlformats.org/officeDocument/2006/relationships/hyperlink" Target="https://acf.gov/occ/resource/ccdf-acf-im-09-01" TargetMode="External"/><Relationship Id="rId996" Type="http://schemas.openxmlformats.org/officeDocument/2006/relationships/hyperlink" Target="https://acf.gov/occ/faq/does-quality-set-aside-apply-full-ccdf-grant-award" TargetMode="External"/><Relationship Id="rId2025" Type="http://schemas.openxmlformats.org/officeDocument/2006/relationships/hyperlink" Target="https://acf.gov/css/policy-guidance/use-enterprise-software-automated-human-services-information-systems" TargetMode="External"/><Relationship Id="rId2372" Type="http://schemas.openxmlformats.org/officeDocument/2006/relationships/hyperlink" Target="https://acf.gov/sites/default/files/documents/orr/ORR-DCL-21-04-Revision-22-04-19.pdf" TargetMode="External"/><Relationship Id="rId2677" Type="http://schemas.openxmlformats.org/officeDocument/2006/relationships/hyperlink" Target="https://acf.gov/archive/otip/policy-guidance/state-letter-02-15" TargetMode="External"/><Relationship Id="rId2884" Type="http://schemas.openxmlformats.org/officeDocument/2006/relationships/hyperlink" Target="https://acf.gov/ofa/policy-guidance/tanf-acf-im-2023-02" TargetMode="External"/><Relationship Id="rId551" Type="http://schemas.openxmlformats.org/officeDocument/2006/relationships/hyperlink" Target="https://acf.gov/cb/policy-guidance/pi-10-08" TargetMode="External"/><Relationship Id="rId649" Type="http://schemas.openxmlformats.org/officeDocument/2006/relationships/hyperlink" Target="https://acf.gov/cb/policy-guidance/pi-97-04" TargetMode="External"/><Relationship Id="rId856" Type="http://schemas.openxmlformats.org/officeDocument/2006/relationships/hyperlink" Target="https://acf.gov/occ/resource/pi2014-04" TargetMode="External"/><Relationship Id="rId1181" Type="http://schemas.openxmlformats.org/officeDocument/2006/relationships/hyperlink" Target="https://acf.gov/ocs/policy-guidance/liheap-dcl-2023-15-reallotment-liheap-funds-ffy-2022" TargetMode="External"/><Relationship Id="rId1279" Type="http://schemas.openxmlformats.org/officeDocument/2006/relationships/hyperlink" Target="https://acf.gov/ocs/resource/liheap-dear-colleague-reminder-of-deadline-for-final-household-report-data" TargetMode="External"/><Relationship Id="rId1486" Type="http://schemas.openxmlformats.org/officeDocument/2006/relationships/hyperlink" Target="https://acf.gov/css/policy-guidance/extension-tribal-annual-data-report-form-ocse-75-and-tribal-narrative" TargetMode="External"/><Relationship Id="rId2232" Type="http://schemas.openxmlformats.org/officeDocument/2006/relationships/hyperlink" Target="https://acf.gov/ecd/policy-guidance/early-care-and-education-workforce-salary-scale-playbook-implementation-guide" TargetMode="External"/><Relationship Id="rId2537" Type="http://schemas.openxmlformats.org/officeDocument/2006/relationships/hyperlink" Target="https://acf.gov/orr/policy-guidance/state-letter-09-22" TargetMode="External"/><Relationship Id="rId204" Type="http://schemas.openxmlformats.org/officeDocument/2006/relationships/hyperlink" Target="https://acf.gov/cb/policy-guidance/pi-20-03" TargetMode="External"/><Relationship Id="rId411" Type="http://schemas.openxmlformats.org/officeDocument/2006/relationships/hyperlink" Target="https://acf.gov/cb/policy-guidance/im-94-17" TargetMode="External"/><Relationship Id="rId509" Type="http://schemas.openxmlformats.org/officeDocument/2006/relationships/hyperlink" Target="https://acf.gov/cb/policy-guidance/pi-15-08" TargetMode="External"/><Relationship Id="rId1041" Type="http://schemas.openxmlformats.org/officeDocument/2006/relationships/hyperlink" Target="https://acf.gov/occ/policy-guidance/information-about-covid-19-ccdf-lead-agencies-relevant-flexibilities-ccdf-law" TargetMode="External"/><Relationship Id="rId1139" Type="http://schemas.openxmlformats.org/officeDocument/2006/relationships/hyperlink" Target="https://acf.gov/ocs/resource/financial-reporting-requirement-for-all-liheap-grantees-sf-269a-report" TargetMode="External"/><Relationship Id="rId1346" Type="http://schemas.openxmlformats.org/officeDocument/2006/relationships/hyperlink" Target="https://acf.gov/ocs/resource/state-median-income-estimates-for-fy-2012-liheap-program" TargetMode="External"/><Relationship Id="rId1693" Type="http://schemas.openxmlformats.org/officeDocument/2006/relationships/hyperlink" Target="https://acf.gov/css/policy-guidance/interim-final-rule-federal-employees-health-benefits-program" TargetMode="External"/><Relationship Id="rId1998" Type="http://schemas.openxmlformats.org/officeDocument/2006/relationships/hyperlink" Target="https://acf.gov/css/policy-guidance/uniform-interstate-family-support-act-2008-and-hague-treaty-provisions" TargetMode="External"/><Relationship Id="rId2744" Type="http://schemas.openxmlformats.org/officeDocument/2006/relationships/hyperlink" Target="https://acf.gov/system/files/documents/orr/HHS-Separated-from-Parent-One-Pager-Child.pdf" TargetMode="External"/><Relationship Id="rId2951" Type="http://schemas.openxmlformats.org/officeDocument/2006/relationships/hyperlink" Target="https://headstart.gov/policy/pi/acf-pi-hs-19-01" TargetMode="External"/><Relationship Id="rId716" Type="http://schemas.openxmlformats.org/officeDocument/2006/relationships/hyperlink" Target="https://acf.gov/cb/policy-guidance/pi-81-05" TargetMode="External"/><Relationship Id="rId923" Type="http://schemas.openxmlformats.org/officeDocument/2006/relationships/hyperlink" Target="https://acf.gov/occ/faq/what-was-occs-approach-reviewing-waiver-requests" TargetMode="External"/><Relationship Id="rId1553" Type="http://schemas.openxmlformats.org/officeDocument/2006/relationships/hyperlink" Target="https://acf.gov/css/policy-guidance/submission-latest-security-review-findings-and-determination-compliance-part-95" TargetMode="External"/><Relationship Id="rId1760" Type="http://schemas.openxmlformats.org/officeDocument/2006/relationships/hyperlink" Target="https://acf.gov/css/policy-guidance/final-rule-disallowance-deferral-and-reconsideration" TargetMode="External"/><Relationship Id="rId1858" Type="http://schemas.openxmlformats.org/officeDocument/2006/relationships/hyperlink" Target="https://acf.gov/css/policy-guidance/streamlining-feasibility-studies" TargetMode="External"/><Relationship Id="rId2604" Type="http://schemas.openxmlformats.org/officeDocument/2006/relationships/hyperlink" Target="https://acf.gov/orr/policy-guidance/state-letter-05-11" TargetMode="External"/><Relationship Id="rId2811" Type="http://schemas.openxmlformats.org/officeDocument/2006/relationships/hyperlink" Target="https://acf.gov/fysb/faq/how-apply-grant" TargetMode="External"/><Relationship Id="rId52" Type="http://schemas.openxmlformats.org/officeDocument/2006/relationships/hyperlink" Target="https://acf.gov/cb/policy-guidance/pi-23-10" TargetMode="External"/><Relationship Id="rId1206" Type="http://schemas.openxmlformats.org/officeDocument/2006/relationships/hyperlink" Target="https://acf.gov/ocs/resource/liheap-dcl-american-customer-satisfaction-index-survey-on-tta" TargetMode="External"/><Relationship Id="rId1413" Type="http://schemas.openxmlformats.org/officeDocument/2006/relationships/hyperlink" Target="https://acf.gov/ocs/policy-guidance/liheap-fact-sheet-fy-2014" TargetMode="External"/><Relationship Id="rId1620" Type="http://schemas.openxmlformats.org/officeDocument/2006/relationships/hyperlink" Target="https://acf.gov/css/policy-guidance/final-rule-safeguarding-information-federal-income-tax-refund-offset" TargetMode="External"/><Relationship Id="rId2909" Type="http://schemas.openxmlformats.org/officeDocument/2006/relationships/hyperlink" Target="https://headstart.gov/policy/im/acf-im-hs-22-04" TargetMode="External"/><Relationship Id="rId1718" Type="http://schemas.openxmlformats.org/officeDocument/2006/relationships/hyperlink" Target="https://acf.gov/css/policy-guidance/final-rule-processing-garnishment-orders-child-support-and/or-alimony-2" TargetMode="External"/><Relationship Id="rId1925" Type="http://schemas.openxmlformats.org/officeDocument/2006/relationships/hyperlink" Target="https://acf.gov/css/policy-guidance/federal-guidance-international-child-support-payments" TargetMode="External"/><Relationship Id="rId299" Type="http://schemas.openxmlformats.org/officeDocument/2006/relationships/hyperlink" Target="https://acf.gov/cb/policy-guidance/im-13-01" TargetMode="External"/><Relationship Id="rId2187" Type="http://schemas.openxmlformats.org/officeDocument/2006/relationships/hyperlink" Target="https://acf.gov/css/training-technical-assistance/automated-systems-child-support-enforcement-guide-states" TargetMode="External"/><Relationship Id="rId2394" Type="http://schemas.openxmlformats.org/officeDocument/2006/relationships/hyperlink" Target="https://acf.gov/orr/resource/fiscal-year-2019-refugee-school-impact-support-services-set-aside" TargetMode="External"/><Relationship Id="rId159" Type="http://schemas.openxmlformats.org/officeDocument/2006/relationships/hyperlink" Target="https://acf.gov/cb/policy-guidance/im-21-01" TargetMode="External"/><Relationship Id="rId366" Type="http://schemas.openxmlformats.org/officeDocument/2006/relationships/hyperlink" Target="https://acf.gov/cb/policy-guidance/im-01-09" TargetMode="External"/><Relationship Id="rId573" Type="http://schemas.openxmlformats.org/officeDocument/2006/relationships/hyperlink" Target="https://acf.gov/cb/policy-guidance/pi-08-05" TargetMode="External"/><Relationship Id="rId780" Type="http://schemas.openxmlformats.org/officeDocument/2006/relationships/hyperlink" Target="https://acf.gov/occ/resource/im-2012-01" TargetMode="External"/><Relationship Id="rId2047" Type="http://schemas.openxmlformats.org/officeDocument/2006/relationships/hyperlink" Target="https://acf.gov/css/policy-guidance/accreditation-genetic-testing-labs" TargetMode="External"/><Relationship Id="rId2254" Type="http://schemas.openxmlformats.org/officeDocument/2006/relationships/hyperlink" Target="https://acf.gov/css/policy-guidance/personal-responsibility-and-work-opportunity-reconciliation-act-1996" TargetMode="External"/><Relationship Id="rId2461" Type="http://schemas.openxmlformats.org/officeDocument/2006/relationships/hyperlink" Target="https://acf.gov/orr/policy-guidance/limitations-collection-orr-client-information-refugee-programs" TargetMode="External"/><Relationship Id="rId2699" Type="http://schemas.openxmlformats.org/officeDocument/2006/relationships/hyperlink" Target="https://acf.gov/archive/orr/policy-guidance/state-letter-01-06" TargetMode="External"/><Relationship Id="rId3000" Type="http://schemas.openxmlformats.org/officeDocument/2006/relationships/hyperlink" Target="https://headstart.gov/ersea/article/making-enrollment-engagement-accessible-families" TargetMode="External"/><Relationship Id="rId226" Type="http://schemas.openxmlformats.org/officeDocument/2006/relationships/hyperlink" Target="https://acf.gov/cb/faq/cw2" TargetMode="External"/><Relationship Id="rId433" Type="http://schemas.openxmlformats.org/officeDocument/2006/relationships/hyperlink" Target="https://acf.gov/cb/policy-guidance/im-89-23" TargetMode="External"/><Relationship Id="rId878" Type="http://schemas.openxmlformats.org/officeDocument/2006/relationships/hyperlink" Target="https://acf.gov/occ/policy-guidance/ccdf-acf-pi-2010-08" TargetMode="External"/><Relationship Id="rId1063" Type="http://schemas.openxmlformats.org/officeDocument/2006/relationships/hyperlink" Target="https://acf.gov/occ/policy-guidance/disregard-federal-tax-refunds-determining-ccdf-eligibility" TargetMode="External"/><Relationship Id="rId1270" Type="http://schemas.openxmlformats.org/officeDocument/2006/relationships/hyperlink" Target="https://acf.gov/ocs/resource/liheap-dear-colleague-notice-release-of-research-brief-on-energy-assistance-funding-approaches" TargetMode="External"/><Relationship Id="rId2114" Type="http://schemas.openxmlformats.org/officeDocument/2006/relationships/hyperlink" Target="https://acf.gov/css/policy-guidance/direct-application-title-iv-d-services-international-residents" TargetMode="External"/><Relationship Id="rId2559" Type="http://schemas.openxmlformats.org/officeDocument/2006/relationships/hyperlink" Target="https://acf.gov/orr/policy-guidance/state-letter-08-10" TargetMode="External"/><Relationship Id="rId2766" Type="http://schemas.openxmlformats.org/officeDocument/2006/relationships/hyperlink" Target="https://acf.gov/sites/default/files/documents/orr/Fraud-Warning-English.pdf" TargetMode="External"/><Relationship Id="rId2973" Type="http://schemas.openxmlformats.org/officeDocument/2006/relationships/hyperlink" Target="https://headstart.gov/organizational-leadership/article/head-start-program-governance-frequently-asked-questions-faqs" TargetMode="External"/><Relationship Id="rId640" Type="http://schemas.openxmlformats.org/officeDocument/2006/relationships/hyperlink" Target="https://acf.gov/cb/policy-guidance/pi-98-11" TargetMode="External"/><Relationship Id="rId738" Type="http://schemas.openxmlformats.org/officeDocument/2006/relationships/hyperlink" Target="https://acf.gov/cb/faq/adoption4" TargetMode="External"/><Relationship Id="rId945" Type="http://schemas.openxmlformats.org/officeDocument/2006/relationships/hyperlink" Target="https://acf.gov/occ/faq/do-special-requirements-apply-how-states-serve-homeless-families" TargetMode="External"/><Relationship Id="rId1368" Type="http://schemas.openxmlformats.org/officeDocument/2006/relationships/hyperlink" Target="https://acf.gov/ocs/resource/exclusions-from-income-when-determining-liheap-eligibility" TargetMode="External"/><Relationship Id="rId1575" Type="http://schemas.openxmlformats.org/officeDocument/2006/relationships/hyperlink" Target="https://acf.gov/css/policy-guidance/final-rule-case-closure-criteria-45-cfr-part-303" TargetMode="External"/><Relationship Id="rId1782" Type="http://schemas.openxmlformats.org/officeDocument/2006/relationships/hyperlink" Target="https://acf.gov/css/policy-guidance/fy-2025-user-fees-fpls-and-csenet" TargetMode="External"/><Relationship Id="rId2321" Type="http://schemas.openxmlformats.org/officeDocument/2006/relationships/hyperlink" Target="https://acf.gov/sites/default/files/documents/orr/DCL-23-14-Revisions-to-RADS-for-Forumla-Funds-Allocations.pdf" TargetMode="External"/><Relationship Id="rId2419" Type="http://schemas.openxmlformats.org/officeDocument/2006/relationships/hyperlink" Target="https://acf.gov/orr/resource/resettlement-of-syrian-refugees" TargetMode="External"/><Relationship Id="rId2626" Type="http://schemas.openxmlformats.org/officeDocument/2006/relationships/hyperlink" Target="https://acf.gov/orr/policy-guidance/state-letter-04-02" TargetMode="External"/><Relationship Id="rId2833" Type="http://schemas.openxmlformats.org/officeDocument/2006/relationships/hyperlink" Target="https://acf.gov/ofa/policy-guidance/background-information-about-tanf-emergency-fund" TargetMode="External"/><Relationship Id="rId74" Type="http://schemas.openxmlformats.org/officeDocument/2006/relationships/hyperlink" Target="https://acf.gov/cb/faq/funding-opportunity-open-public-and-state-institutions-higher-education" TargetMode="External"/><Relationship Id="rId500" Type="http://schemas.openxmlformats.org/officeDocument/2006/relationships/hyperlink" Target="https://acf.gov/cb/policy-guidance/pi-17-02" TargetMode="External"/><Relationship Id="rId805" Type="http://schemas.openxmlformats.org/officeDocument/2006/relationships/hyperlink" Target="https://acf.gov/occ/policy-guidance/disaster-funds-2023-2024-acf-occ-ccdf-pi-2025-06" TargetMode="External"/><Relationship Id="rId1130" Type="http://schemas.openxmlformats.org/officeDocument/2006/relationships/hyperlink" Target="https://acf.gov/ocs/resource/estimates-of-quarterly-obligations-for-the-fiscal-year-fy-2013" TargetMode="External"/><Relationship Id="rId1228" Type="http://schemas.openxmlformats.org/officeDocument/2006/relationships/hyperlink" Target="https://acf.gov/ocs/resource/liheap-dear-colleague-notice-on-release-of-approximately-309-billion-of-regular-block-grant-funding-fy-2017" TargetMode="External"/><Relationship Id="rId1435" Type="http://schemas.openxmlformats.org/officeDocument/2006/relationships/hyperlink" Target="https://acf.gov/ocs/policy-guidance/liheap-im-2011-6-report-congress-fy-2007" TargetMode="External"/><Relationship Id="rId1642" Type="http://schemas.openxmlformats.org/officeDocument/2006/relationships/hyperlink" Target="https://acf.gov/css/policy-guidance/nprm-prohibition-federal-funding-costs-guardians-ad-litem" TargetMode="External"/><Relationship Id="rId1947" Type="http://schemas.openxmlformats.org/officeDocument/2006/relationships/hyperlink" Target="https://acf.gov/css/policy-guidance/recently-enacted-laws-impacting-child-support-enforcement-iv-d-program" TargetMode="External"/><Relationship Id="rId2900" Type="http://schemas.openxmlformats.org/officeDocument/2006/relationships/hyperlink" Target="https://headstart.gov/policy/im/acf-ohs-im-24-06" TargetMode="External"/><Relationship Id="rId1502" Type="http://schemas.openxmlformats.org/officeDocument/2006/relationships/hyperlink" Target="https://acf.gov/css/policy-guidance/omb-approved-hague-child-support-convention-forms" TargetMode="External"/><Relationship Id="rId1807" Type="http://schemas.openxmlformats.org/officeDocument/2006/relationships/hyperlink" Target="https://acf.gov/css/policy-guidance/open-comment-period-voluntary-paternity-acknowledgment-and-required-data" TargetMode="External"/><Relationship Id="rId290" Type="http://schemas.openxmlformats.org/officeDocument/2006/relationships/hyperlink" Target="https://acf.gov/cb/policy-guidance/im-15-03" TargetMode="External"/><Relationship Id="rId388" Type="http://schemas.openxmlformats.org/officeDocument/2006/relationships/hyperlink" Target="https://acf.gov/cb/policy-guidance/im-98-01" TargetMode="External"/><Relationship Id="rId2069" Type="http://schemas.openxmlformats.org/officeDocument/2006/relationships/hyperlink" Target="https://acf.gov/css/policy-guidance/use-electronic-signatures-applications-iv-d-services" TargetMode="External"/><Relationship Id="rId3022" Type="http://schemas.openxmlformats.org/officeDocument/2006/relationships/hyperlink" Target="https://headstart.gov/sites/default/files/pdf/elof-ohs-framework.pdf" TargetMode="External"/><Relationship Id="rId150" Type="http://schemas.openxmlformats.org/officeDocument/2006/relationships/hyperlink" Target="https://acf.gov/cb/policy-guidance/pi-21-02" TargetMode="External"/><Relationship Id="rId595" Type="http://schemas.openxmlformats.org/officeDocument/2006/relationships/hyperlink" Target="https://acf.gov/cb/policy-guidance/pi-06-01" TargetMode="External"/><Relationship Id="rId2276" Type="http://schemas.openxmlformats.org/officeDocument/2006/relationships/hyperlink" Target="https://acf.gov/orr/policy/dear-colleague-letters/25-08" TargetMode="External"/><Relationship Id="rId2483" Type="http://schemas.openxmlformats.org/officeDocument/2006/relationships/hyperlink" Target="https://acf.gov/orr/faq/pl-23-06" TargetMode="External"/><Relationship Id="rId2690" Type="http://schemas.openxmlformats.org/officeDocument/2006/relationships/hyperlink" Target="https://acf.gov/archive/otip/report/state-letter-02-31" TargetMode="External"/><Relationship Id="rId248" Type="http://schemas.openxmlformats.org/officeDocument/2006/relationships/hyperlink" Target="https://acf.gov/cb/law-regulation/notice-biennial-publication-allotment-percentages-states-under-title-iv-b-subpart" TargetMode="External"/><Relationship Id="rId455" Type="http://schemas.openxmlformats.org/officeDocument/2006/relationships/hyperlink" Target="https://acf.gov/cb/policy-guidance/im-87-06" TargetMode="External"/><Relationship Id="rId662" Type="http://schemas.openxmlformats.org/officeDocument/2006/relationships/hyperlink" Target="https://acf.gov/cb/policy-guidance/pi-95-09" TargetMode="External"/><Relationship Id="rId1085" Type="http://schemas.openxmlformats.org/officeDocument/2006/relationships/hyperlink" Target="https://acf.gov/ocs/policy-guidance/liheap-at2022-05-carryover-and-reallotment-report-ffy-2022" TargetMode="External"/><Relationship Id="rId1292" Type="http://schemas.openxmlformats.org/officeDocument/2006/relationships/hyperlink" Target="https://acf.gov/ocs/resource/liheap-webinar-on-the-new-policy-manual-for-tribal-grantees" TargetMode="External"/><Relationship Id="rId2136" Type="http://schemas.openxmlformats.org/officeDocument/2006/relationships/hyperlink" Target="https://acf.gov/css/faq/noncustodial-parent-what-happens-if-i-have-remarried-and-part-income-tax-refund-belongs-my" TargetMode="External"/><Relationship Id="rId2343" Type="http://schemas.openxmlformats.org/officeDocument/2006/relationships/hyperlink" Target="https://acf.gov/sites/default/files/documents/orr/ORR-DCL-22-16-ASOR-FY2022-Allocation.pdf" TargetMode="External"/><Relationship Id="rId2550" Type="http://schemas.openxmlformats.org/officeDocument/2006/relationships/hyperlink" Target="https://acf.gov/orr/policy-guidance/state-letter-09-02" TargetMode="External"/><Relationship Id="rId2788" Type="http://schemas.openxmlformats.org/officeDocument/2006/relationships/hyperlink" Target="https://acf.gov/fysb/faq/food-costs-allowability-faq" TargetMode="External"/><Relationship Id="rId2995" Type="http://schemas.openxmlformats.org/officeDocument/2006/relationships/hyperlink" Target="https://headstart.gov/ersea/article/snap-public-assistance-head-start-eligibility-faqs" TargetMode="External"/><Relationship Id="rId108" Type="http://schemas.openxmlformats.org/officeDocument/2006/relationships/hyperlink" Target="https://acf.gov/cb/training-technical-assistance/afcars-2020-compliance-and-penalties" TargetMode="External"/><Relationship Id="rId315" Type="http://schemas.openxmlformats.org/officeDocument/2006/relationships/hyperlink" Target="https://acf.gov/cb/policy-guidance/im-10-01" TargetMode="External"/><Relationship Id="rId522" Type="http://schemas.openxmlformats.org/officeDocument/2006/relationships/hyperlink" Target="https://acf.gov/cb/policy-guidance/pi-14-01" TargetMode="External"/><Relationship Id="rId967" Type="http://schemas.openxmlformats.org/officeDocument/2006/relationships/hyperlink" Target="https://acf.gov/occ/faq/what-are-new-requirements-regarding-market-rate-survey-used-set-payment-rates" TargetMode="External"/><Relationship Id="rId1152" Type="http://schemas.openxmlformats.org/officeDocument/2006/relationships/hyperlink" Target="https://acf.gov/ocs/resource/liheap-household-report-for-federal-fiscal-year-ffy-2010" TargetMode="External"/><Relationship Id="rId1597" Type="http://schemas.openxmlformats.org/officeDocument/2006/relationships/hyperlink" Target="https://acf.gov/css/policy-guidance/instructions-distribution-child-support-under-section-457-social-security-act" TargetMode="External"/><Relationship Id="rId2203" Type="http://schemas.openxmlformats.org/officeDocument/2006/relationships/hyperlink" Target="https://acf.gov/css/training-technical-assistance/procurement-and-contracts-presentation" TargetMode="External"/><Relationship Id="rId2410" Type="http://schemas.openxmlformats.org/officeDocument/2006/relationships/hyperlink" Target="https://acf.gov/orr/resource/additional-fiscal-year-2016-funding" TargetMode="External"/><Relationship Id="rId2648" Type="http://schemas.openxmlformats.org/officeDocument/2006/relationships/hyperlink" Target="https://acf.gov/orr/policy-guidance/state-letter-03-04" TargetMode="External"/><Relationship Id="rId2855" Type="http://schemas.openxmlformats.org/officeDocument/2006/relationships/hyperlink" Target="https://acf.gov/ofa/policy-guidance/tanf-acf-pi-2011-04-tanf-detailed-expenditure-form-acf-196-supplement-acf-196" TargetMode="External"/><Relationship Id="rId96" Type="http://schemas.openxmlformats.org/officeDocument/2006/relationships/hyperlink" Target="https://acf.gov/cb/training-technical-assistance/afcars2020-office-hours-dec2022" TargetMode="External"/><Relationship Id="rId827" Type="http://schemas.openxmlformats.org/officeDocument/2006/relationships/hyperlink" Target="https://acf.gov/occ/policy-guidance/ccdf-acf-pi-2021-07" TargetMode="External"/><Relationship Id="rId1012" Type="http://schemas.openxmlformats.org/officeDocument/2006/relationships/hyperlink" Target="https://acf.gov/occ/policy-guidance/fiscal-year-2020-2022-ccdf-plan-and-plan-preprint-tribes" TargetMode="External"/><Relationship Id="rId1457" Type="http://schemas.openxmlformats.org/officeDocument/2006/relationships/hyperlink" Target="https://acf.gov/css/policy-guidance/final-rule-modifications-performance-standards-during-natural-disasters" TargetMode="External"/><Relationship Id="rId1664" Type="http://schemas.openxmlformats.org/officeDocument/2006/relationships/hyperlink" Target="https://acf.gov/css/policy-guidance/nprm-standards-program-operations-processing-cases-and-distributing-collections" TargetMode="External"/><Relationship Id="rId1871" Type="http://schemas.openxmlformats.org/officeDocument/2006/relationships/hyperlink" Target="https://acf.gov/css/policy-guidance/intergovernmental-reference-guide-irg-international-requirements" TargetMode="External"/><Relationship Id="rId2508" Type="http://schemas.openxmlformats.org/officeDocument/2006/relationships/hyperlink" Target="https://acf.gov/orr/policy-guidance/state-letter-13-01" TargetMode="External"/><Relationship Id="rId2715" Type="http://schemas.openxmlformats.org/officeDocument/2006/relationships/hyperlink" Target="https://acf.gov/orr/policy-guidance/state-letter-00-02" TargetMode="External"/><Relationship Id="rId2922" Type="http://schemas.openxmlformats.org/officeDocument/2006/relationships/hyperlink" Target="https://headstart.gov/policy/im/acf-acf-im-18-01" TargetMode="External"/><Relationship Id="rId1317" Type="http://schemas.openxmlformats.org/officeDocument/2006/relationships/hyperlink" Target="https://acf.gov/ocs/resource/liheap-im2019-01-hhs-poverty-guidelines-fy2019" TargetMode="External"/><Relationship Id="rId1524" Type="http://schemas.openxmlformats.org/officeDocument/2006/relationships/hyperlink" Target="https://acf.gov/css/policy-guidance/collection-and-enforcement-past-due-child-support-obligations" TargetMode="External"/><Relationship Id="rId1731" Type="http://schemas.openxmlformats.org/officeDocument/2006/relationships/hyperlink" Target="https://acf.gov/css/policy-guidance/final-rule-time-limits-states-file-claims" TargetMode="External"/><Relationship Id="rId1969" Type="http://schemas.openxmlformats.org/officeDocument/2006/relationships/hyperlink" Target="https://acf.gov/css/policy-guidance/omb-approved-insurance-match-standard-input-file-record-expires-january-31-2024" TargetMode="External"/><Relationship Id="rId23" Type="http://schemas.openxmlformats.org/officeDocument/2006/relationships/hyperlink" Target="https://acf.gov/cb/policy-guidance/pi-24-09" TargetMode="External"/><Relationship Id="rId1829" Type="http://schemas.openxmlformats.org/officeDocument/2006/relationships/hyperlink" Target="https://acf.gov/css/policy-guidance/irs-releases-revised-publication-1075" TargetMode="External"/><Relationship Id="rId2298" Type="http://schemas.openxmlformats.org/officeDocument/2006/relationships/hyperlink" Target="https://acf.gov/sites/default/files/documents/orr/dcl-23-38-fy2023-rss-asa-third-allocation.pdf" TargetMode="External"/><Relationship Id="rId172" Type="http://schemas.openxmlformats.org/officeDocument/2006/relationships/hyperlink" Target="https://acf.gov/cb/policy-guidance/letter-addresses-concerns-regarding-terminating-parental-rights-due-service" TargetMode="External"/><Relationship Id="rId477" Type="http://schemas.openxmlformats.org/officeDocument/2006/relationships/hyperlink" Target="https://acf.gov/cb/policy-guidance/im-84-02" TargetMode="External"/><Relationship Id="rId684" Type="http://schemas.openxmlformats.org/officeDocument/2006/relationships/hyperlink" Target="https://acf.gov/cb/policy-guidance/im-90-11" TargetMode="External"/><Relationship Id="rId2060" Type="http://schemas.openxmlformats.org/officeDocument/2006/relationships/hyperlink" Target="https://acf.gov/css/policy-guidance/tribal-contract-provisions" TargetMode="External"/><Relationship Id="rId2158" Type="http://schemas.openxmlformats.org/officeDocument/2006/relationships/hyperlink" Target="https://acf.gov/css/faq/tribal-child-support-order-and-moving-my-reservation" TargetMode="External"/><Relationship Id="rId2365" Type="http://schemas.openxmlformats.org/officeDocument/2006/relationships/hyperlink" Target="https://acf.gov/sites/default/files/documents/orr/DCL-21-12_FY_21_RHP_Set-Aside.pdf" TargetMode="External"/><Relationship Id="rId337" Type="http://schemas.openxmlformats.org/officeDocument/2006/relationships/hyperlink" Target="https://acf.gov/cb/policy-guidance/im-05-06" TargetMode="External"/><Relationship Id="rId891" Type="http://schemas.openxmlformats.org/officeDocument/2006/relationships/hyperlink" Target="https://acf.gov/occ/policy-guidance/ccdf-acf-pi-2009-04" TargetMode="External"/><Relationship Id="rId989" Type="http://schemas.openxmlformats.org/officeDocument/2006/relationships/hyperlink" Target="https://acf.gov/occ/faq/does-law-require-states-offer-families-period-job-search" TargetMode="External"/><Relationship Id="rId2018" Type="http://schemas.openxmlformats.org/officeDocument/2006/relationships/hyperlink" Target="https://acf.gov/css/policy-guidance/distribution-tribal-iv-d-cases-trainers-guide-and-participant-guide" TargetMode="External"/><Relationship Id="rId2572" Type="http://schemas.openxmlformats.org/officeDocument/2006/relationships/hyperlink" Target="https://acf.gov/orr/policy-guidance/state-letter-07-12" TargetMode="External"/><Relationship Id="rId2877" Type="http://schemas.openxmlformats.org/officeDocument/2006/relationships/hyperlink" Target="https://acf.gov/ofa/policy-guidance/tanf-acf-pi-2020-04" TargetMode="External"/><Relationship Id="rId544" Type="http://schemas.openxmlformats.org/officeDocument/2006/relationships/hyperlink" Target="https://acf.gov/cb/policy-guidance/pi-11-02" TargetMode="External"/><Relationship Id="rId751" Type="http://schemas.openxmlformats.org/officeDocument/2006/relationships/hyperlink" Target="https://acf.gov/occ/policy-guidance/educational-freedom-and-opportunities-for-families-acf-occ-ccdf-im-25-04" TargetMode="External"/><Relationship Id="rId849" Type="http://schemas.openxmlformats.org/officeDocument/2006/relationships/hyperlink" Target="https://acf.gov/occ/resource/ccdf-acf-pi-2016-06" TargetMode="External"/><Relationship Id="rId1174" Type="http://schemas.openxmlformats.org/officeDocument/2006/relationships/hyperlink" Target="https://acf.gov/ocs/policy-guidance/liheap-dcl-2023-08-liheap-flexibilities-during-hurricane-and-tropical-storm" TargetMode="External"/><Relationship Id="rId1381" Type="http://schemas.openxmlformats.org/officeDocument/2006/relationships/hyperlink" Target="https://acf.gov/sites/default/files/documents/ocs/COMM_LIHEAP_AT2024_HHR_LongFormInstr_FY24_2.pdf" TargetMode="External"/><Relationship Id="rId1479" Type="http://schemas.openxmlformats.org/officeDocument/2006/relationships/hyperlink" Target="https://acf.gov/css/policy-guidance/updated-interstate-child-support-policy" TargetMode="External"/><Relationship Id="rId1686" Type="http://schemas.openxmlformats.org/officeDocument/2006/relationships/hyperlink" Target="https://acf.gov/css/policy-guidance/nprm-provision-services-interstate-iv-d-cases" TargetMode="External"/><Relationship Id="rId2225" Type="http://schemas.openxmlformats.org/officeDocument/2006/relationships/hyperlink" Target="https://acf.gov/ecd/policy-guidance/tribal-miechv-performance-measurement-system" TargetMode="External"/><Relationship Id="rId2432" Type="http://schemas.openxmlformats.org/officeDocument/2006/relationships/hyperlink" Target="https://acf.gov/sites/default/files/documents/orr/pl-23-03-asa-afghan-xcm-xco.pdf" TargetMode="External"/><Relationship Id="rId404" Type="http://schemas.openxmlformats.org/officeDocument/2006/relationships/hyperlink" Target="https://acf.gov/cb/policy-guidance/im-95-28" TargetMode="External"/><Relationship Id="rId611" Type="http://schemas.openxmlformats.org/officeDocument/2006/relationships/hyperlink" Target="https://acf.gov/cb/policy-guidance/pi-03-01" TargetMode="External"/><Relationship Id="rId1034" Type="http://schemas.openxmlformats.org/officeDocument/2006/relationships/hyperlink" Target="https://acf.gov/occ/policy-guidance/ccdf-acf-pi-2022-01" TargetMode="External"/><Relationship Id="rId1241" Type="http://schemas.openxmlformats.org/officeDocument/2006/relationships/hyperlink" Target="https://acf.gov/ocs/resource/dear-colleague-notice-on-extreme-heat-week-resources" TargetMode="External"/><Relationship Id="rId1339" Type="http://schemas.openxmlformats.org/officeDocument/2006/relationships/hyperlink" Target="https://acf.gov/ocs/resource/hhs-poverty-guidelines-for-optional-use-in-ffy-2013" TargetMode="External"/><Relationship Id="rId1893" Type="http://schemas.openxmlformats.org/officeDocument/2006/relationships/hyperlink" Target="https://acf.gov/css/policy-guidance/quick-internet" TargetMode="External"/><Relationship Id="rId2737" Type="http://schemas.openxmlformats.org/officeDocument/2006/relationships/hyperlink" Target="https://acf.gov/sites/default/files/documents/orr/orr-4-instructions-2026.pdf" TargetMode="External"/><Relationship Id="rId2944" Type="http://schemas.openxmlformats.org/officeDocument/2006/relationships/hyperlink" Target="https://headstart.gov/policy/pi/acf-pi-hs-21-01" TargetMode="External"/><Relationship Id="rId709" Type="http://schemas.openxmlformats.org/officeDocument/2006/relationships/hyperlink" Target="https://acf.gov/cb/policy-guidance/pi-83-02" TargetMode="External"/><Relationship Id="rId916" Type="http://schemas.openxmlformats.org/officeDocument/2006/relationships/hyperlink" Target="https://acf.gov/occ/faq/how-many-children-and-families-are-currently-being-served-ccdf" TargetMode="External"/><Relationship Id="rId1101" Type="http://schemas.openxmlformats.org/officeDocument/2006/relationships/hyperlink" Target="https://acf.gov/ocs/resource/liheap-at-2018-01-model-plan-application-for-fy2018-funding" TargetMode="External"/><Relationship Id="rId1546" Type="http://schemas.openxmlformats.org/officeDocument/2006/relationships/hyperlink" Target="https://acf.gov/css/policy-guidance/miscellaneous-issues-regarding-45-cfr-part-309-tribal-child-support-enforcement" TargetMode="External"/><Relationship Id="rId1753" Type="http://schemas.openxmlformats.org/officeDocument/2006/relationships/hyperlink" Target="https://acf.gov/css/policy-guidance/request-comments-final-rule-good-cause-refusing-cooperate" TargetMode="External"/><Relationship Id="rId1960" Type="http://schemas.openxmlformats.org/officeDocument/2006/relationships/hyperlink" Target="https://acf.gov/css/policy-guidance/fmap-rates-state-iv-d-agencies-fy-2024-and-2025" TargetMode="External"/><Relationship Id="rId2804" Type="http://schemas.openxmlformats.org/officeDocument/2006/relationships/hyperlink" Target="https://acf.gov/fysb/faq/how-many-us-homeless-youth" TargetMode="External"/><Relationship Id="rId45" Type="http://schemas.openxmlformats.org/officeDocument/2006/relationships/hyperlink" Target="https://acf.gov/cb/policy-guidance/pi-24-03" TargetMode="External"/><Relationship Id="rId1406" Type="http://schemas.openxmlformats.org/officeDocument/2006/relationships/hyperlink" Target="https://acf.gov/ocs/policy-guidance/liheap-dcl-about-upcoming-gao-request" TargetMode="External"/><Relationship Id="rId1613" Type="http://schemas.openxmlformats.org/officeDocument/2006/relationships/hyperlink" Target="https://acf.gov/css/policy-guidance/final-rule-paternity-establishment-and-revision-child-support-audit-regulations" TargetMode="External"/><Relationship Id="rId1820" Type="http://schemas.openxmlformats.org/officeDocument/2006/relationships/hyperlink" Target="https://acf.gov/css/policy-guidance/fy-2023-user-fees-fpls-and-csenet" TargetMode="External"/><Relationship Id="rId194" Type="http://schemas.openxmlformats.org/officeDocument/2006/relationships/hyperlink" Target="https://acf.gov/cb/outreach-material/hhs-division-updates-covid-19" TargetMode="External"/><Relationship Id="rId1918" Type="http://schemas.openxmlformats.org/officeDocument/2006/relationships/hyperlink" Target="https://acf.gov/css/policy-guidance/data-reliability-audit-process-auditing-states-less-frequently-annually" TargetMode="External"/><Relationship Id="rId2082" Type="http://schemas.openxmlformats.org/officeDocument/2006/relationships/hyperlink" Target="https://acf.gov/css/policy-guidance/ffp-costs-carrying-out-expedited-administrative-processes-under-section-466a2" TargetMode="External"/><Relationship Id="rId261" Type="http://schemas.openxmlformats.org/officeDocument/2006/relationships/hyperlink" Target="https://acf.gov/cb/policy-guidance/92-05" TargetMode="External"/><Relationship Id="rId499" Type="http://schemas.openxmlformats.org/officeDocument/2006/relationships/hyperlink" Target="https://acf.gov/cb/policy-guidance/pi-17-04" TargetMode="External"/><Relationship Id="rId2387" Type="http://schemas.openxmlformats.org/officeDocument/2006/relationships/hyperlink" Target="https://acf.gov/orr/resource/dcl-20-01-state-arrival-and-service-data-collection-process-for-fy-2019" TargetMode="External"/><Relationship Id="rId2594" Type="http://schemas.openxmlformats.org/officeDocument/2006/relationships/hyperlink" Target="https://acf.gov/archive/orr/policy-guidance/testing-refugee-children-lead" TargetMode="External"/><Relationship Id="rId359" Type="http://schemas.openxmlformats.org/officeDocument/2006/relationships/hyperlink" Target="https://acf.gov/cb/policy-guidance/im-02-05" TargetMode="External"/><Relationship Id="rId566" Type="http://schemas.openxmlformats.org/officeDocument/2006/relationships/hyperlink" Target="https://acf.gov/cb/policy-guidance/pi-09-05" TargetMode="External"/><Relationship Id="rId773" Type="http://schemas.openxmlformats.org/officeDocument/2006/relationships/hyperlink" Target="https://acf.gov/occ/resource/im-2016-02" TargetMode="External"/><Relationship Id="rId1196" Type="http://schemas.openxmlformats.org/officeDocument/2006/relationships/hyperlink" Target="https://acf.gov/ocs/policy-guidance/ocs-dcl-2023-04-liheap-heating-season-toolkit-fy2023" TargetMode="External"/><Relationship Id="rId2247" Type="http://schemas.openxmlformats.org/officeDocument/2006/relationships/hyperlink" Target="https://acf.gov/ecd/policy-guidance/intervention-implementation-guide" TargetMode="External"/><Relationship Id="rId2454" Type="http://schemas.openxmlformats.org/officeDocument/2006/relationships/hyperlink" Target="https://acf.gov/sites/default/files/documents/orr/ORR-PL-21-03-RD-Authorization-Role-Resp-Status-Change.pdf" TargetMode="External"/><Relationship Id="rId2899" Type="http://schemas.openxmlformats.org/officeDocument/2006/relationships/hyperlink" Target="https://headstart.gov/policy/im/acf-ohs-im-25-02" TargetMode="External"/><Relationship Id="rId121" Type="http://schemas.openxmlformats.org/officeDocument/2006/relationships/hyperlink" Target="https://acf.gov/cb/report/cfsr-4-site-selection-spanish" TargetMode="External"/><Relationship Id="rId219" Type="http://schemas.openxmlformats.org/officeDocument/2006/relationships/hyperlink" Target="https://acf.gov/cb/training-technical-assistance/cfsr-round-3-statewide-data-indicator-data-dictionary-2019" TargetMode="External"/><Relationship Id="rId426" Type="http://schemas.openxmlformats.org/officeDocument/2006/relationships/hyperlink" Target="https://acf.gov/cb/policy-guidance/im-90-27" TargetMode="External"/><Relationship Id="rId633" Type="http://schemas.openxmlformats.org/officeDocument/2006/relationships/hyperlink" Target="https://acf.gov/cb/policy-guidance/pi-99-07" TargetMode="External"/><Relationship Id="rId980" Type="http://schemas.openxmlformats.org/officeDocument/2006/relationships/hyperlink" Target="https://acf.gov/occ/faq/how-will-changes-eligibility-change-state-processes-protect-against-improper-payments" TargetMode="External"/><Relationship Id="rId1056" Type="http://schemas.openxmlformats.org/officeDocument/2006/relationships/hyperlink" Target="https://acf.gov/occ/policy-guidance/acf-800-submission-site" TargetMode="External"/><Relationship Id="rId1263" Type="http://schemas.openxmlformats.org/officeDocument/2006/relationships/hyperlink" Target="https://acf.gov/ocs/resource/liheap-dear-colleague-notice-to-announce-the-release-of-approximately-305-billion-of-regular-block-grant-funding-fy-2015" TargetMode="External"/><Relationship Id="rId2107" Type="http://schemas.openxmlformats.org/officeDocument/2006/relationships/hyperlink" Target="https://acf.gov/css/policy-guidance/use-federal-order/notice-withhold-income-child-support" TargetMode="External"/><Relationship Id="rId2314" Type="http://schemas.openxmlformats.org/officeDocument/2006/relationships/hyperlink" Target="https://acf.gov/sites/default/files/documents/orr/DCL-23-22-refugee-school-impact-fy2023-supplement.pdf" TargetMode="External"/><Relationship Id="rId2661" Type="http://schemas.openxmlformats.org/officeDocument/2006/relationships/hyperlink" Target="https://acf.gov/orr/policy-guidance/state-letter-03-20" TargetMode="External"/><Relationship Id="rId2759" Type="http://schemas.openxmlformats.org/officeDocument/2006/relationships/hyperlink" Target="https://acf.gov/sites/default/files/documents/orr/FG-27_-_DNA_Testing_Expansion.pdf" TargetMode="External"/><Relationship Id="rId2966" Type="http://schemas.openxmlformats.org/officeDocument/2006/relationships/hyperlink" Target="https://headstart.gov/policy/pi/acf-pi-hs-10-03" TargetMode="External"/><Relationship Id="rId840" Type="http://schemas.openxmlformats.org/officeDocument/2006/relationships/hyperlink" Target="https://acf.gov/occ/resource/ccdf-acf-pi-2019-07" TargetMode="External"/><Relationship Id="rId938" Type="http://schemas.openxmlformats.org/officeDocument/2006/relationships/hyperlink" Target="https://acf.gov/occ/faq/will-existing-infant-and-toddler-targeted-funds-remain-place" TargetMode="External"/><Relationship Id="rId1470" Type="http://schemas.openxmlformats.org/officeDocument/2006/relationships/hyperlink" Target="https://acf.gov/css/policy-guidance/revised-nmsn-parts-and-b-expire-nov-30-2025" TargetMode="External"/><Relationship Id="rId1568" Type="http://schemas.openxmlformats.org/officeDocument/2006/relationships/hyperlink" Target="https://acf.gov/css/policy-guidance/nprm-incentives-penalties-and-audit" TargetMode="External"/><Relationship Id="rId1775" Type="http://schemas.openxmlformats.org/officeDocument/2006/relationships/hyperlink" Target="https://acf.gov/css/policy-guidance/strengthening-state-and-tribal-child-support-enforcement-act" TargetMode="External"/><Relationship Id="rId2521" Type="http://schemas.openxmlformats.org/officeDocument/2006/relationships/hyperlink" Target="https://acf.gov/orr/policy-guidance/state-letter-11-03" TargetMode="External"/><Relationship Id="rId2619" Type="http://schemas.openxmlformats.org/officeDocument/2006/relationships/hyperlink" Target="https://acf.gov/orr/policy-guidance/state-letter-05-26" TargetMode="External"/><Relationship Id="rId2826" Type="http://schemas.openxmlformats.org/officeDocument/2006/relationships/hyperlink" Target="https://acf.gov/ofa/policy-guidance/hhs-dol-and-hud-issue-joint-letter-encouraging-summer-youth-employment-efforts" TargetMode="External"/><Relationship Id="rId67" Type="http://schemas.openxmlformats.org/officeDocument/2006/relationships/hyperlink" Target="https://acf.gov/cb/faq/nofo-fiscal-agent" TargetMode="External"/><Relationship Id="rId700" Type="http://schemas.openxmlformats.org/officeDocument/2006/relationships/hyperlink" Target="https://acf.gov/cb/policy-guidance/pi-84-04" TargetMode="External"/><Relationship Id="rId1123" Type="http://schemas.openxmlformats.org/officeDocument/2006/relationships/hyperlink" Target="https://acf.gov/ocs/resource/liheap-at-2014-4-estimates-of-quarterly-obligations-for-fy-2015" TargetMode="External"/><Relationship Id="rId1330" Type="http://schemas.openxmlformats.org/officeDocument/2006/relationships/hyperlink" Target="https://acf.gov/ocs/resource/liheap-hhs-poverty-guidelines-for-optional-use-in-ffy-2015-and-mandatory-use-in-ffy-2016" TargetMode="External"/><Relationship Id="rId1428" Type="http://schemas.openxmlformats.org/officeDocument/2006/relationships/hyperlink" Target="https://acf.gov/ocs/policy-guidance/liheap-income-eligibility-guidelines" TargetMode="External"/><Relationship Id="rId1635" Type="http://schemas.openxmlformats.org/officeDocument/2006/relationships/hyperlink" Target="https://acf.gov/css/policy-guidance/final-rule-federal-parent-locator-service-fees" TargetMode="External"/><Relationship Id="rId1982" Type="http://schemas.openxmlformats.org/officeDocument/2006/relationships/hyperlink" Target="https://acf.gov/css/policy-guidance/sending-wire-payments-austria-czech-republic-slovakia-and-switzerland" TargetMode="External"/><Relationship Id="rId1842" Type="http://schemas.openxmlformats.org/officeDocument/2006/relationships/hyperlink" Target="https://acf.gov/css/policy-guidance/open-comment-period-insurance-match-collection-activity" TargetMode="External"/><Relationship Id="rId1702" Type="http://schemas.openxmlformats.org/officeDocument/2006/relationships/hyperlink" Target="https://acf.gov/css/policy-guidance/final-rule-revision-child-support-enforcement-program-audit-regulations" TargetMode="External"/><Relationship Id="rId283" Type="http://schemas.openxmlformats.org/officeDocument/2006/relationships/hyperlink" Target="https://acf.gov/cb/policy-guidance/im-16-02" TargetMode="External"/><Relationship Id="rId490" Type="http://schemas.openxmlformats.org/officeDocument/2006/relationships/hyperlink" Target="https://acf.gov/cb/policy-guidance/pi-18-07" TargetMode="External"/><Relationship Id="rId2171" Type="http://schemas.openxmlformats.org/officeDocument/2006/relationships/hyperlink" Target="https://acf.gov/css/training-technical-assistance/ndnh-guide-data-submission" TargetMode="External"/><Relationship Id="rId3015" Type="http://schemas.openxmlformats.org/officeDocument/2006/relationships/hyperlink" Target="https://headstart.gov/ersea/article/letter-director-changes-eligibility-criteria-regions-xi-xii" TargetMode="External"/><Relationship Id="rId143" Type="http://schemas.openxmlformats.org/officeDocument/2006/relationships/hyperlink" Target="https://acf.gov/cb/training-technical-assistance/technical-bulletin-22-reporting-population" TargetMode="External"/><Relationship Id="rId350" Type="http://schemas.openxmlformats.org/officeDocument/2006/relationships/hyperlink" Target="https://acf.gov/cb/policy-guidance/im-03-06" TargetMode="External"/><Relationship Id="rId588" Type="http://schemas.openxmlformats.org/officeDocument/2006/relationships/hyperlink" Target="https://acf.gov/cb/policy-guidance/pi-07-02" TargetMode="External"/><Relationship Id="rId795" Type="http://schemas.openxmlformats.org/officeDocument/2006/relationships/hyperlink" Target="https://acf.gov/occ/resource/ccdf-acf-piq-2017-01" TargetMode="External"/><Relationship Id="rId2031" Type="http://schemas.openxmlformats.org/officeDocument/2006/relationships/hyperlink" Target="https://acf.gov/css/policy-guidance/state-best-practices-fpls-data-quarterly-wage-and-unemployment-insurance" TargetMode="External"/><Relationship Id="rId2269" Type="http://schemas.openxmlformats.org/officeDocument/2006/relationships/hyperlink" Target="https://acf.gov/orr/policy/dear-colleague-letters/25-11" TargetMode="External"/><Relationship Id="rId2476" Type="http://schemas.openxmlformats.org/officeDocument/2006/relationships/hyperlink" Target="https://acf.gov/orr/resource/snap-work-requirements-and-participation-in-office-of-refugee-resettlement-training-programs" TargetMode="External"/><Relationship Id="rId2683" Type="http://schemas.openxmlformats.org/officeDocument/2006/relationships/hyperlink" Target="https://acf.gov/orr/policy-guidance/state-letter-02-21" TargetMode="External"/><Relationship Id="rId2890" Type="http://schemas.openxmlformats.org/officeDocument/2006/relationships/hyperlink" Target="https://acf.gov/ofa/policy-guidance/tanf-acf-pi-2021-06" TargetMode="External"/><Relationship Id="rId9" Type="http://schemas.openxmlformats.org/officeDocument/2006/relationships/hyperlink" Target="https://acf.gov/cb/report/tribal-fmap-reference-table-fy-2026" TargetMode="External"/><Relationship Id="rId210" Type="http://schemas.openxmlformats.org/officeDocument/2006/relationships/hyperlink" Target="https://acf.gov/cb/policy-guidance/pi-20-01" TargetMode="External"/><Relationship Id="rId448" Type="http://schemas.openxmlformats.org/officeDocument/2006/relationships/hyperlink" Target="https://acf.gov/cb/policy-guidance/im-87-31" TargetMode="External"/><Relationship Id="rId655" Type="http://schemas.openxmlformats.org/officeDocument/2006/relationships/hyperlink" Target="https://acf.gov/cb/policy-guidance/pi-96-11" TargetMode="External"/><Relationship Id="rId862" Type="http://schemas.openxmlformats.org/officeDocument/2006/relationships/hyperlink" Target="https://acf.gov/occ/resource/pi-2013-05" TargetMode="External"/><Relationship Id="rId1078" Type="http://schemas.openxmlformats.org/officeDocument/2006/relationships/hyperlink" Target="https://acf.gov/ocs/policy-guidance/liheap-household-report-short-form-and-long-form-federal-fiscal-year-2023" TargetMode="External"/><Relationship Id="rId1285" Type="http://schemas.openxmlformats.org/officeDocument/2006/relationships/hyperlink" Target="https://acf.gov/ocs/resource/ocs-awarded-of-four-new-contracts-in-the-low-income-home-energy-assistance" TargetMode="External"/><Relationship Id="rId1492" Type="http://schemas.openxmlformats.org/officeDocument/2006/relationships/hyperlink" Target="https://acf.gov/css/policy-guidance/state-self-assessment-report-extended-until-april-30-2022" TargetMode="External"/><Relationship Id="rId2129" Type="http://schemas.openxmlformats.org/officeDocument/2006/relationships/hyperlink" Target="https://acf.gov/css/faq/new-hire-reporting-answers-employer-questions" TargetMode="External"/><Relationship Id="rId2336" Type="http://schemas.openxmlformats.org/officeDocument/2006/relationships/hyperlink" Target="https://acf.gov/sites/default/files/documents/orr/DCL-22-23-RSS-ASA-FY22-Fourth-Allocation.pdf" TargetMode="External"/><Relationship Id="rId2543" Type="http://schemas.openxmlformats.org/officeDocument/2006/relationships/hyperlink" Target="https://acf.gov/orr/policy-guidance/state-letter-09-14" TargetMode="External"/><Relationship Id="rId2750" Type="http://schemas.openxmlformats.org/officeDocument/2006/relationships/hyperlink" Target="https://acf.gov/sites/default/files/documents/orr/field-guidance-21.pdf" TargetMode="External"/><Relationship Id="rId2988" Type="http://schemas.openxmlformats.org/officeDocument/2006/relationships/hyperlink" Target="https://headstart.gov/ersea/article/calculating-10-actual-enrollment-disability-requirement" TargetMode="External"/><Relationship Id="rId308" Type="http://schemas.openxmlformats.org/officeDocument/2006/relationships/hyperlink" Target="https://acf.gov/cb/policy-guidance/im-11-06" TargetMode="External"/><Relationship Id="rId515" Type="http://schemas.openxmlformats.org/officeDocument/2006/relationships/hyperlink" Target="https://acf.gov/cb/policy-guidance/pi-15-01" TargetMode="External"/><Relationship Id="rId722" Type="http://schemas.openxmlformats.org/officeDocument/2006/relationships/hyperlink" Target="https://acf.gov/cb/policy-guidance/pi-80-01" TargetMode="External"/><Relationship Id="rId1145" Type="http://schemas.openxmlformats.org/officeDocument/2006/relationships/hyperlink" Target="https://acf.gov/ocs/resource/liheap-grantee-survey-for-federal-fiscal-year-ffy-2009" TargetMode="External"/><Relationship Id="rId1352" Type="http://schemas.openxmlformats.org/officeDocument/2006/relationships/hyperlink" Target="https://acf.gov/ocs/resource/three-year-liheap-compliance-review-monitoring-schedule" TargetMode="External"/><Relationship Id="rId1797" Type="http://schemas.openxmlformats.org/officeDocument/2006/relationships/hyperlink" Target="https://acf.gov/css/policy-guidance/open-comment-period-interstate-administrative-subpoena-and-notice-lien" TargetMode="External"/><Relationship Id="rId2403" Type="http://schemas.openxmlformats.org/officeDocument/2006/relationships/hyperlink" Target="https://acf.gov/orr/resource/fy-2017-refugee-social-services-formula-allocations" TargetMode="External"/><Relationship Id="rId2848" Type="http://schemas.openxmlformats.org/officeDocument/2006/relationships/hyperlink" Target="https://acf.gov/ofa/policy-guidance/tanf-acf-pi-2009-05-form-ofa-100-emergency-fund-request-form" TargetMode="External"/><Relationship Id="rId89" Type="http://schemas.openxmlformats.org/officeDocument/2006/relationships/hyperlink" Target="https://acf.gov/cb/policy-guidance/im-23-03" TargetMode="External"/><Relationship Id="rId1005" Type="http://schemas.openxmlformats.org/officeDocument/2006/relationships/hyperlink" Target="https://acf.gov/occ/policy-guidance/ccdf-acf-800-form-instructions-expires-6-30-2015" TargetMode="External"/><Relationship Id="rId1212" Type="http://schemas.openxmlformats.org/officeDocument/2006/relationships/hyperlink" Target="https://acf.gov/ocs/resource/liheap-dcl-2020-12-reallotment-of-federal-fiscal-year-ffy-2019-funds" TargetMode="External"/><Relationship Id="rId1657" Type="http://schemas.openxmlformats.org/officeDocument/2006/relationships/hyperlink" Target="https://acf.gov/css/policy-guidance/nprm-50-pass-through-support-guidelines-genetic-testing-paternity-establishment" TargetMode="External"/><Relationship Id="rId1864" Type="http://schemas.openxmlformats.org/officeDocument/2006/relationships/hyperlink" Target="https://acf.gov/css/policy-guidance/child-support-final-rule-fact-sheets" TargetMode="External"/><Relationship Id="rId2610" Type="http://schemas.openxmlformats.org/officeDocument/2006/relationships/hyperlink" Target="https://acf.gov/orr/policy-guidance/state-letter-05-18" TargetMode="External"/><Relationship Id="rId2708" Type="http://schemas.openxmlformats.org/officeDocument/2006/relationships/hyperlink" Target="https://acf.gov/archive/orr/policy-guidance/state-letter-01-19" TargetMode="External"/><Relationship Id="rId2915" Type="http://schemas.openxmlformats.org/officeDocument/2006/relationships/hyperlink" Target="https://headstart.gov/policy/im/acf-im-hs-20-02" TargetMode="External"/><Relationship Id="rId1517" Type="http://schemas.openxmlformats.org/officeDocument/2006/relationships/hyperlink" Target="https://acf.gov/css/policy-guidance/notice-changes-ocse-157-form-regarding-medical-support" TargetMode="External"/><Relationship Id="rId1724" Type="http://schemas.openxmlformats.org/officeDocument/2006/relationships/hyperlink" Target="https://acf.gov/css/policy-guidance/final-rule-comment-period-assigned-support-received-afdc-applicants-or" TargetMode="External"/><Relationship Id="rId16" Type="http://schemas.openxmlformats.org/officeDocument/2006/relationships/hyperlink" Target="https://acf.gov/cb/policy-guidance/pi-24-11" TargetMode="External"/><Relationship Id="rId1931" Type="http://schemas.openxmlformats.org/officeDocument/2006/relationships/hyperlink" Target="https://acf.gov/css/policy-guidance/removal-full-locate-functionality-state-cse-system-and-csenet-2000" TargetMode="External"/><Relationship Id="rId2193" Type="http://schemas.openxmlformats.org/officeDocument/2006/relationships/hyperlink" Target="https://acf.gov/css/training-technical-assistance/child-and-spousal-support-courts-and-attorneys" TargetMode="External"/><Relationship Id="rId2498" Type="http://schemas.openxmlformats.org/officeDocument/2006/relationships/hyperlink" Target="https://acf.gov/orr/resource/state-letter-14-02" TargetMode="External"/><Relationship Id="rId165" Type="http://schemas.openxmlformats.org/officeDocument/2006/relationships/hyperlink" Target="https://acf.gov/cb/policy-guidance/letter-child-welfare-leaders-about-title-iv-e-prevention-program-flexibilities" TargetMode="External"/><Relationship Id="rId372" Type="http://schemas.openxmlformats.org/officeDocument/2006/relationships/hyperlink" Target="https://acf.gov/cb/policy-guidance/im-01-01" TargetMode="External"/><Relationship Id="rId677" Type="http://schemas.openxmlformats.org/officeDocument/2006/relationships/hyperlink" Target="https://acf.gov/cb/policy-guidance/pi-93-01" TargetMode="External"/><Relationship Id="rId2053" Type="http://schemas.openxmlformats.org/officeDocument/2006/relationships/hyperlink" Target="https://acf.gov/css/policy-guidance/state-monitoring-program-standards-implementation" TargetMode="External"/><Relationship Id="rId2260" Type="http://schemas.openxmlformats.org/officeDocument/2006/relationships/hyperlink" Target="https://acf.gov/cb/training-technical-assistance/tu1-nytd-file-upload" TargetMode="External"/><Relationship Id="rId2358" Type="http://schemas.openxmlformats.org/officeDocument/2006/relationships/hyperlink" Target="https://acf.gov/sites/default/files/documents/orr/ORR-DCL-22-01-PPP-RCA-maximum-payment-ceilings.pdf" TargetMode="External"/><Relationship Id="rId232" Type="http://schemas.openxmlformats.org/officeDocument/2006/relationships/hyperlink" Target="https://acf.gov/cb/policy-guidance/im-19-02" TargetMode="External"/><Relationship Id="rId884" Type="http://schemas.openxmlformats.org/officeDocument/2006/relationships/hyperlink" Target="https://acf.gov/occ/policy-guidance/ccdf-acf-pi-2010-03" TargetMode="External"/><Relationship Id="rId2120" Type="http://schemas.openxmlformats.org/officeDocument/2006/relationships/hyperlink" Target="https://acf.gov/css/faq/income-withholding-and-medical-support-federal-workers-compensation-answers-state-agencies" TargetMode="External"/><Relationship Id="rId2565" Type="http://schemas.openxmlformats.org/officeDocument/2006/relationships/hyperlink" Target="https://acf.gov/orr/policy-guidance/state-letter-07-04" TargetMode="External"/><Relationship Id="rId2772" Type="http://schemas.openxmlformats.org/officeDocument/2006/relationships/hyperlink" Target="https://acf.gov/sites/default/files/documents/orr/request-for-specific-consent-to-juvenile-court-jurisdiction-form-L-1.pdf" TargetMode="External"/><Relationship Id="rId537" Type="http://schemas.openxmlformats.org/officeDocument/2006/relationships/hyperlink" Target="https://acf.gov/cb/policy-guidance/pi-11-09" TargetMode="External"/><Relationship Id="rId744" Type="http://schemas.openxmlformats.org/officeDocument/2006/relationships/hyperlink" Target="https://acf.gov/cb/faq/am-i-eligible-scholarship" TargetMode="External"/><Relationship Id="rId951" Type="http://schemas.openxmlformats.org/officeDocument/2006/relationships/hyperlink" Target="https://acf.gov/occ/faq/will-targeted-funds-school-age-care-child-care-resource-and-referral-remain-place" TargetMode="External"/><Relationship Id="rId1167" Type="http://schemas.openxmlformats.org/officeDocument/2006/relationships/hyperlink" Target="https://acf.gov/ocs/policy-guidance/dcl-liheap-first-funding-release-fy23" TargetMode="External"/><Relationship Id="rId1374" Type="http://schemas.openxmlformats.org/officeDocument/2006/relationships/hyperlink" Target="https://acf.gov/ocs/resource/use-of-liheap-funds-coordinated-with-vendor-assistance-programs" TargetMode="External"/><Relationship Id="rId1581" Type="http://schemas.openxmlformats.org/officeDocument/2006/relationships/hyperlink" Target="https://acf.gov/css/policy-guidance/instructions-distribution-child-support-definition-assistance-paid-family" TargetMode="External"/><Relationship Id="rId1679" Type="http://schemas.openxmlformats.org/officeDocument/2006/relationships/hyperlink" Target="https://acf.gov/css/policy-guidance/guide-states-seeking-enhanced-funding-computerized-child-support-enforcement" TargetMode="External"/><Relationship Id="rId2218" Type="http://schemas.openxmlformats.org/officeDocument/2006/relationships/hyperlink" Target="https://acf.gov/ecd/policy-guidance/tribal-miechv-homelessness-letter-0" TargetMode="External"/><Relationship Id="rId2425" Type="http://schemas.openxmlformats.org/officeDocument/2006/relationships/hyperlink" Target="https://acf.gov/orr/policy/policy-letters/25-01" TargetMode="External"/><Relationship Id="rId2632" Type="http://schemas.openxmlformats.org/officeDocument/2006/relationships/hyperlink" Target="https://acf.gov/orr/policy-guidance/state-letter-04-08" TargetMode="External"/><Relationship Id="rId80" Type="http://schemas.openxmlformats.org/officeDocument/2006/relationships/hyperlink" Target="https://acf.gov/cb/report/tribal-lookup-table-fy-2024" TargetMode="External"/><Relationship Id="rId604" Type="http://schemas.openxmlformats.org/officeDocument/2006/relationships/hyperlink" Target="https://acf.gov/cb/policy-guidance/pi-04-01" TargetMode="External"/><Relationship Id="rId811" Type="http://schemas.openxmlformats.org/officeDocument/2006/relationships/hyperlink" Target="https://acf.gov/archive/occ/policy-guidance/quality-progress-report-acf-218-ffy-2024-ccdf-acf-pi-2024-07" TargetMode="External"/><Relationship Id="rId1027" Type="http://schemas.openxmlformats.org/officeDocument/2006/relationships/hyperlink" Target="https://acf.gov/occ/policy-guidance/quality-performance-report-acf-118-appendix-1-ccdf-program-fiscal-year-2014" TargetMode="External"/><Relationship Id="rId1234" Type="http://schemas.openxmlformats.org/officeDocument/2006/relationships/hyperlink" Target="https://acf.gov/ocs/resource/liheap-dear-colleague-notice-on-reallotment-of-fy-2014-funds" TargetMode="External"/><Relationship Id="rId1441" Type="http://schemas.openxmlformats.org/officeDocument/2006/relationships/hyperlink" Target="https://acf.gov/ocs/policy-guidance/liheap-dcl-reallotment-funds-fy-2015" TargetMode="External"/><Relationship Id="rId1886" Type="http://schemas.openxmlformats.org/officeDocument/2006/relationships/hyperlink" Target="https://acf.gov/css/policy-guidance/plan-amendments" TargetMode="External"/><Relationship Id="rId2937" Type="http://schemas.openxmlformats.org/officeDocument/2006/relationships/hyperlink" Target="https://headstart.gov/policy/pi/acf-ohs-pi-24-02" TargetMode="External"/><Relationship Id="rId909" Type="http://schemas.openxmlformats.org/officeDocument/2006/relationships/hyperlink" Target="https://acf.gov/occ/training-technical-assistance/using-acf-801-data-assessment-report-tb-9r-v6" TargetMode="External"/><Relationship Id="rId1301" Type="http://schemas.openxmlformats.org/officeDocument/2006/relationships/hyperlink" Target="https://acf.gov/ocs/policy-guidance/liheap-im-2023-01-federal-poverty-guidelines-optional-use-ffy-2023and-mandatory" TargetMode="External"/><Relationship Id="rId1539" Type="http://schemas.openxmlformats.org/officeDocument/2006/relationships/hyperlink" Target="https://acf.gov/css/policy-guidance/issues-regarding-child-support-provisions-new-federal-bankruptcy-law-pl109-8" TargetMode="External"/><Relationship Id="rId1746" Type="http://schemas.openxmlformats.org/officeDocument/2006/relationships/hyperlink" Target="https://acf.gov/css/policy-guidance/final-rule-medical-support-enforcement-1980" TargetMode="External"/><Relationship Id="rId1953" Type="http://schemas.openxmlformats.org/officeDocument/2006/relationships/hyperlink" Target="https://acf.gov/css/policy-guidance/hcfa-final-rule-poverty-level-pregnant-women-eligible-medicaid" TargetMode="External"/><Relationship Id="rId38" Type="http://schemas.openxmlformats.org/officeDocument/2006/relationships/hyperlink" Target="https://acf.gov/cb/policy-guidance/im-24-05" TargetMode="External"/><Relationship Id="rId1606" Type="http://schemas.openxmlformats.org/officeDocument/2006/relationships/hyperlink" Target="https://acf.gov/css/policy-guidance/final-rule-revisions-presidents-reform-initiative-certified-statewide-systems" TargetMode="External"/><Relationship Id="rId1813" Type="http://schemas.openxmlformats.org/officeDocument/2006/relationships/hyperlink" Target="https://acf.gov/css/policy-guidance/2023-open-comment-period-revised-iwo-form-and-instructions" TargetMode="External"/><Relationship Id="rId187" Type="http://schemas.openxmlformats.org/officeDocument/2006/relationships/hyperlink" Target="https://acf.gov/cb/policy-guidance/pi-20-08" TargetMode="External"/><Relationship Id="rId394" Type="http://schemas.openxmlformats.org/officeDocument/2006/relationships/hyperlink" Target="https://acf.gov/cb/policy-guidance/im-97-03" TargetMode="External"/><Relationship Id="rId2075" Type="http://schemas.openxmlformats.org/officeDocument/2006/relationships/hyperlink" Target="https://acf.gov/css/policy-guidance/disclosures-child-support-enforcement-information-state-iv-b-iv-e-child-welfare" TargetMode="External"/><Relationship Id="rId2282" Type="http://schemas.openxmlformats.org/officeDocument/2006/relationships/hyperlink" Target="https://acf.gov/orr/policy/dear-colleague-letters/25-02" TargetMode="External"/><Relationship Id="rId254" Type="http://schemas.openxmlformats.org/officeDocument/2006/relationships/hyperlink" Target="https://acf.gov/cb/policy-guidance/im-18-03" TargetMode="External"/><Relationship Id="rId699" Type="http://schemas.openxmlformats.org/officeDocument/2006/relationships/hyperlink" Target="https://acf.gov/cb/policy-guidance/pi-85-01" TargetMode="External"/><Relationship Id="rId1091" Type="http://schemas.openxmlformats.org/officeDocument/2006/relationships/hyperlink" Target="https://acf.gov/ocs/resource/liheap-at-2020-01-performance-data-form-for-fy-2019" TargetMode="External"/><Relationship Id="rId2587" Type="http://schemas.openxmlformats.org/officeDocument/2006/relationships/hyperlink" Target="https://acf.gov/orr/policy-guidance/state-letter-06-12" TargetMode="External"/><Relationship Id="rId2794" Type="http://schemas.openxmlformats.org/officeDocument/2006/relationships/hyperlink" Target="https://acf.gov/ana/policy-guidance/post-award-manual" TargetMode="External"/><Relationship Id="rId114" Type="http://schemas.openxmlformats.org/officeDocument/2006/relationships/hyperlink" Target="https://acf.gov/cb/report/tribal-lookup-table-fy-2023" TargetMode="External"/><Relationship Id="rId461" Type="http://schemas.openxmlformats.org/officeDocument/2006/relationships/hyperlink" Target="https://acf.gov/cb/policy-guidance/im-86-09" TargetMode="External"/><Relationship Id="rId559" Type="http://schemas.openxmlformats.org/officeDocument/2006/relationships/hyperlink" Target="https://acf.gov/cb/policy-guidance/pi-10-01" TargetMode="External"/><Relationship Id="rId766" Type="http://schemas.openxmlformats.org/officeDocument/2006/relationships/hyperlink" Target="https://acf.gov/occ/resource/ccdf-acf-im-2018-03" TargetMode="External"/><Relationship Id="rId1189" Type="http://schemas.openxmlformats.org/officeDocument/2006/relationships/hyperlink" Target="https://acf.gov/ocs/policy-guidance/liheap-dcl-2022-08-preparation-liheap-quarterly-performance-and-management-data" TargetMode="External"/><Relationship Id="rId1396" Type="http://schemas.openxmlformats.org/officeDocument/2006/relationships/hyperlink" Target="https://acf.gov/ocs/resource/uses-of-liheap-funds" TargetMode="External"/><Relationship Id="rId2142" Type="http://schemas.openxmlformats.org/officeDocument/2006/relationships/hyperlink" Target="https://acf.gov/css/faq/how-can-i-contact-my-local-child-support-office" TargetMode="External"/><Relationship Id="rId2447" Type="http://schemas.openxmlformats.org/officeDocument/2006/relationships/hyperlink" Target="https://acf.gov/sites/default/files/documents/orr/orr_pl-22-03-rss-asa012725-revised.pdf" TargetMode="External"/><Relationship Id="rId321" Type="http://schemas.openxmlformats.org/officeDocument/2006/relationships/hyperlink" Target="https://acf.gov/cb/policy-guidance/im-08-02" TargetMode="External"/><Relationship Id="rId419" Type="http://schemas.openxmlformats.org/officeDocument/2006/relationships/hyperlink" Target="https://acf.gov/cb/policy-guidance/oism-im-93-01" TargetMode="External"/><Relationship Id="rId626" Type="http://schemas.openxmlformats.org/officeDocument/2006/relationships/hyperlink" Target="https://acf.gov/cb/policy-guidance/pi-01-05" TargetMode="External"/><Relationship Id="rId973" Type="http://schemas.openxmlformats.org/officeDocument/2006/relationships/hyperlink" Target="https://acf.gov/occ/faq/who-does-background-check-requirement-apply" TargetMode="External"/><Relationship Id="rId1049" Type="http://schemas.openxmlformats.org/officeDocument/2006/relationships/hyperlink" Target="https://acf.gov/occ/policy-guidance/using-acf-700-cars" TargetMode="External"/><Relationship Id="rId1256" Type="http://schemas.openxmlformats.org/officeDocument/2006/relationships/hyperlink" Target="https://acf.gov/ocs/resource/liheap-dear-colleague-notice-on-grantee-national-grantee-training-meeting-2015" TargetMode="External"/><Relationship Id="rId2002" Type="http://schemas.openxmlformats.org/officeDocument/2006/relationships/hyperlink" Target="https://acf.gov/css/policy-guidance/updated-caseworkers-guide-processing-cases-canada" TargetMode="External"/><Relationship Id="rId2307" Type="http://schemas.openxmlformats.org/officeDocument/2006/relationships/hyperlink" Target="https://acf.gov/sites/default/files/documents/orr/dcl-23-29-ausaa-rss-second-allocation.pdf" TargetMode="External"/><Relationship Id="rId2654" Type="http://schemas.openxmlformats.org/officeDocument/2006/relationships/hyperlink" Target="https://acf.gov/orr/policy-guidance/state-letter-03-12" TargetMode="External"/><Relationship Id="rId2861" Type="http://schemas.openxmlformats.org/officeDocument/2006/relationships/hyperlink" Target="https://acf.gov/ofa/policy-guidance/tanf-acf-pi-2014-02-omb-approved-form-acf-196r-state-tanf-financial-report-form" TargetMode="External"/><Relationship Id="rId2959" Type="http://schemas.openxmlformats.org/officeDocument/2006/relationships/hyperlink" Target="https://headstart.gov/policy/pi/acf-pi-hs-17-01" TargetMode="External"/><Relationship Id="rId833" Type="http://schemas.openxmlformats.org/officeDocument/2006/relationships/hyperlink" Target="https://acf.gov/occ/policy-guidance/planned-use-child-care-and-development-fund-ccdf-coronavirus-response-and" TargetMode="External"/><Relationship Id="rId1116" Type="http://schemas.openxmlformats.org/officeDocument/2006/relationships/hyperlink" Target="https://acf.gov/ocs/resource/liheap-at-2016-06-model-plan-application-for-liheap-funding-for-fy-2017" TargetMode="External"/><Relationship Id="rId1463" Type="http://schemas.openxmlformats.org/officeDocument/2006/relationships/hyperlink" Target="https://acf.gov/css/policy-guidance/nprm-modifications-performance-standards-during-natural-disasters-and-other" TargetMode="External"/><Relationship Id="rId1670" Type="http://schemas.openxmlformats.org/officeDocument/2006/relationships/hyperlink" Target="https://acf.gov/css/policy-guidance/nprm-cooperative-arrangements" TargetMode="External"/><Relationship Id="rId1768" Type="http://schemas.openxmlformats.org/officeDocument/2006/relationships/hyperlink" Target="https://acf.gov/css/policy-guidance/submittal-annual-certification-letter-2025" TargetMode="External"/><Relationship Id="rId2514" Type="http://schemas.openxmlformats.org/officeDocument/2006/relationships/hyperlink" Target="https://acf.gov/orr/resource/state-letter-12-05" TargetMode="External"/><Relationship Id="rId2721" Type="http://schemas.openxmlformats.org/officeDocument/2006/relationships/hyperlink" Target="https://acf.gov/orr/resource/state-letter-00-10" TargetMode="External"/><Relationship Id="rId2819" Type="http://schemas.openxmlformats.org/officeDocument/2006/relationships/hyperlink" Target="https://acf.gov/ofa/policy-guidance/ttcw-budget-modification-guidance" TargetMode="External"/><Relationship Id="rId900" Type="http://schemas.openxmlformats.org/officeDocument/2006/relationships/hyperlink" Target="https://acf.gov/occ/resource/pi-cc-00-04" TargetMode="External"/><Relationship Id="rId1323" Type="http://schemas.openxmlformats.org/officeDocument/2006/relationships/hyperlink" Target="https://acf.gov/ocs/resource/liheap-im-2017-02-fy-2017-hhs-federal-poverty-guidelines" TargetMode="External"/><Relationship Id="rId1530" Type="http://schemas.openxmlformats.org/officeDocument/2006/relationships/hyperlink" Target="https://acf.gov/css/policy-guidance/final-rule-child-support-enforcement-program-medical-support" TargetMode="External"/><Relationship Id="rId1628" Type="http://schemas.openxmlformats.org/officeDocument/2006/relationships/hyperlink" Target="https://acf.gov/css/policy-guidance/final-rule-review-and-adjustment-requirements-child-support-orders-effective" TargetMode="External"/><Relationship Id="rId1975" Type="http://schemas.openxmlformats.org/officeDocument/2006/relationships/hyperlink" Target="https://acf.gov/css/policy-guidance/ssn-ocse-issued-pre-offset-notice" TargetMode="External"/><Relationship Id="rId1835" Type="http://schemas.openxmlformats.org/officeDocument/2006/relationships/hyperlink" Target="https://acf.gov/css/policy-guidance/submittal-annual-certification-letter-2021" TargetMode="External"/><Relationship Id="rId1902" Type="http://schemas.openxmlformats.org/officeDocument/2006/relationships/hyperlink" Target="https://acf.gov/css/policy-guidance/query-interstate-cases-kids-quick" TargetMode="External"/><Relationship Id="rId2097" Type="http://schemas.openxmlformats.org/officeDocument/2006/relationships/hyperlink" Target="https://acf.gov/css/policy-guidance/foreign-currency-child-support-payments" TargetMode="External"/><Relationship Id="rId276" Type="http://schemas.openxmlformats.org/officeDocument/2006/relationships/hyperlink" Target="https://acf.gov/cb/policy-guidance/im-17-02" TargetMode="External"/><Relationship Id="rId483" Type="http://schemas.openxmlformats.org/officeDocument/2006/relationships/hyperlink" Target="https://acf.gov/cb/policy-guidance/im-81-03" TargetMode="External"/><Relationship Id="rId690" Type="http://schemas.openxmlformats.org/officeDocument/2006/relationships/hyperlink" Target="https://acf.gov/cb/policy-guidance/pi-88-08" TargetMode="External"/><Relationship Id="rId2164" Type="http://schemas.openxmlformats.org/officeDocument/2006/relationships/hyperlink" Target="https://acf.gov/css/training-technical-assistance/msfidm-state-cost-reimbursement-table" TargetMode="External"/><Relationship Id="rId2371" Type="http://schemas.openxmlformats.org/officeDocument/2006/relationships/hyperlink" Target="https://acf.gov/sites/default/files/documents/orr/DCL-21-06-Transition-of-the-North-Dakota-Refugee-Resettlement-Program.pdf" TargetMode="External"/><Relationship Id="rId3008" Type="http://schemas.openxmlformats.org/officeDocument/2006/relationships/hyperlink" Target="https://headstart.gov/oral-health/brush-oral-health/identifying-oral-health-signs-child-maltreatment" TargetMode="External"/><Relationship Id="rId136" Type="http://schemas.openxmlformats.org/officeDocument/2006/relationships/hyperlink" Target="https://acf.gov/cb/faq/custody6" TargetMode="External"/><Relationship Id="rId343" Type="http://schemas.openxmlformats.org/officeDocument/2006/relationships/hyperlink" Target="https://acf.gov/cb/policy-guidance/im-05-01" TargetMode="External"/><Relationship Id="rId550" Type="http://schemas.openxmlformats.org/officeDocument/2006/relationships/hyperlink" Target="https://acf.gov/cb/policy-guidance/pi-10-10" TargetMode="External"/><Relationship Id="rId788" Type="http://schemas.openxmlformats.org/officeDocument/2006/relationships/hyperlink" Target="https://acf.gov/occ/policy-guidance/child-care-and-development-fund-ccdf-acf-im-2010-01" TargetMode="External"/><Relationship Id="rId995" Type="http://schemas.openxmlformats.org/officeDocument/2006/relationships/hyperlink" Target="https://acf.gov/occ/faq/are-states-required-protect-privacy-results-background-checks" TargetMode="External"/><Relationship Id="rId1180" Type="http://schemas.openxmlformats.org/officeDocument/2006/relationships/hyperlink" Target="https://acf.gov/ocs/policy-guidance/liheap-dcl-2023-14-application-streamline-and-electronic-verification-asev" TargetMode="External"/><Relationship Id="rId2024" Type="http://schemas.openxmlformats.org/officeDocument/2006/relationships/hyperlink" Target="https://acf.gov/css/policy-guidance/optional-checklist-exemption-prior-approval-it-acquisitions" TargetMode="External"/><Relationship Id="rId2231" Type="http://schemas.openxmlformats.org/officeDocument/2006/relationships/hyperlink" Target="https://acf.gov/ecd/policy-guidance/head-start-act-and-child-care-and-development-block-grant-act-allow-american" TargetMode="External"/><Relationship Id="rId2469" Type="http://schemas.openxmlformats.org/officeDocument/2006/relationships/hyperlink" Target="https://acf.gov/orr/resource/refugee-school-impact-program" TargetMode="External"/><Relationship Id="rId2676" Type="http://schemas.openxmlformats.org/officeDocument/2006/relationships/hyperlink" Target="https://acf.gov/orr/policy-guidance/state-letter-02-14" TargetMode="External"/><Relationship Id="rId2883" Type="http://schemas.openxmlformats.org/officeDocument/2006/relationships/hyperlink" Target="https://acf.gov/ofa/policy-guidance/acf-ofa-pi-23-05" TargetMode="External"/><Relationship Id="rId203" Type="http://schemas.openxmlformats.org/officeDocument/2006/relationships/hyperlink" Target="https://acf.gov/cb/policy-guidance/im-20-03" TargetMode="External"/><Relationship Id="rId648" Type="http://schemas.openxmlformats.org/officeDocument/2006/relationships/hyperlink" Target="https://acf.gov/cb/policy-guidance/pi-97-05" TargetMode="External"/><Relationship Id="rId855" Type="http://schemas.openxmlformats.org/officeDocument/2006/relationships/hyperlink" Target="https://acf.gov/occ/resource/guidance-on-extension-and-submission-requirements-for-the-fy-20162018-ccdf-plans-for-states-and-territories" TargetMode="External"/><Relationship Id="rId1040" Type="http://schemas.openxmlformats.org/officeDocument/2006/relationships/hyperlink" Target="https://acf.gov/occ/policy-guidance/summary-child-care-provisions-coronavirus-aid-relief-and-economic-security-act" TargetMode="External"/><Relationship Id="rId1278" Type="http://schemas.openxmlformats.org/officeDocument/2006/relationships/hyperlink" Target="https://acf.gov/ocs/resource/liheap-dear-colleague-letter-revisions-to-the-proposed-new-liheap" TargetMode="External"/><Relationship Id="rId1485" Type="http://schemas.openxmlformats.org/officeDocument/2006/relationships/hyperlink" Target="https://acf.gov/css/policy-guidance/hague-child-support-convention-forms-renewal-expire-feb-28-2023" TargetMode="External"/><Relationship Id="rId1692" Type="http://schemas.openxmlformats.org/officeDocument/2006/relationships/hyperlink" Target="https://acf.gov/css/policy-guidance/nprm-processing-garnishment-orders-child-support-and/or-alimony" TargetMode="External"/><Relationship Id="rId2329" Type="http://schemas.openxmlformats.org/officeDocument/2006/relationships/hyperlink" Target="https://acf.gov/sites/default/files/documents/orr/DCL-23-06-AUSAA-Ukrainian-Refugee-School-Impact-FY2023.pdf" TargetMode="External"/><Relationship Id="rId2536" Type="http://schemas.openxmlformats.org/officeDocument/2006/relationships/hyperlink" Target="https://acf.gov/orr/policy-guidance/state-letter-09-24" TargetMode="External"/><Relationship Id="rId2743" Type="http://schemas.openxmlformats.org/officeDocument/2006/relationships/hyperlink" Target="https://acf.gov/system/files/documents/orr/HHS-Separated-from-Child-One-Pager-Parent-Legal-Guardian.pdf" TargetMode="External"/><Relationship Id="rId410" Type="http://schemas.openxmlformats.org/officeDocument/2006/relationships/hyperlink" Target="https://acf.gov/cb/policy-guidance/im-94-19" TargetMode="External"/><Relationship Id="rId508" Type="http://schemas.openxmlformats.org/officeDocument/2006/relationships/hyperlink" Target="https://acf.gov/cb/policy-guidance/pi-15-09" TargetMode="External"/><Relationship Id="rId715" Type="http://schemas.openxmlformats.org/officeDocument/2006/relationships/hyperlink" Target="https://acf.gov/cb/policy-guidance/pi-81-07" TargetMode="External"/><Relationship Id="rId922" Type="http://schemas.openxmlformats.org/officeDocument/2006/relationships/hyperlink" Target="https://acf.gov/occ/faq/why-occ-releasing-fy-2016-2018-ccdf-plans" TargetMode="External"/><Relationship Id="rId1138" Type="http://schemas.openxmlformats.org/officeDocument/2006/relationships/hyperlink" Target="https://acf.gov/ocs/resource/fiscal-year-2010-liheap-grantee-survey" TargetMode="External"/><Relationship Id="rId1345" Type="http://schemas.openxmlformats.org/officeDocument/2006/relationships/hyperlink" Target="https://acf.gov/ocs/resource/model-plan-application-for-liheap-funding-for-fiscal-year-fy-2013-all" TargetMode="External"/><Relationship Id="rId1552" Type="http://schemas.openxmlformats.org/officeDocument/2006/relationships/hyperlink" Target="https://acf.gov/css/policy-guidance/requests-information-fpls-parental-kidnapping-child-custody-or-visitation" TargetMode="External"/><Relationship Id="rId1997" Type="http://schemas.openxmlformats.org/officeDocument/2006/relationships/hyperlink" Target="https://acf.gov/css/policy-guidance/safe-access-child-support-services-scope-issue" TargetMode="External"/><Relationship Id="rId2603" Type="http://schemas.openxmlformats.org/officeDocument/2006/relationships/hyperlink" Target="https://acf.gov/orr/policy-guidance/state-letter-05-10" TargetMode="External"/><Relationship Id="rId2950" Type="http://schemas.openxmlformats.org/officeDocument/2006/relationships/hyperlink" Target="https://headstart.gov/policy/pi/acf-pi-hs-19-02" TargetMode="External"/><Relationship Id="rId1205" Type="http://schemas.openxmlformats.org/officeDocument/2006/relationships/hyperlink" Target="https://acf.gov/ocs/policy-guidance/liheap-dcl-2021-09-flex-hurricane-season-fy2021" TargetMode="External"/><Relationship Id="rId1857" Type="http://schemas.openxmlformats.org/officeDocument/2006/relationships/hyperlink" Target="https://acf.gov/css/policy-guidance/hague-convention-forms-foreign-languages" TargetMode="External"/><Relationship Id="rId2810" Type="http://schemas.openxmlformats.org/officeDocument/2006/relationships/hyperlink" Target="https://acf.gov/fysb/faq/how-can-i-learn-about-fysb-funding-opportunities" TargetMode="External"/><Relationship Id="rId2908" Type="http://schemas.openxmlformats.org/officeDocument/2006/relationships/hyperlink" Target="https://headstart.gov/policy/im/acf-im-hs-22-06" TargetMode="External"/><Relationship Id="rId51" Type="http://schemas.openxmlformats.org/officeDocument/2006/relationships/hyperlink" Target="https://acf.gov/cb/policy-guidance/im-23-09" TargetMode="External"/><Relationship Id="rId1412" Type="http://schemas.openxmlformats.org/officeDocument/2006/relationships/hyperlink" Target="https://acf.gov/ocs/policy-guidance/liheap-dcl-initial-cr-release-block-grant-funds-indian-tribes-and-tribal" TargetMode="External"/><Relationship Id="rId1717" Type="http://schemas.openxmlformats.org/officeDocument/2006/relationships/hyperlink" Target="https://acf.gov/css/policy-guidance/nprm-involuntary-child-and-spousal-support-allotments" TargetMode="External"/><Relationship Id="rId1924" Type="http://schemas.openxmlformats.org/officeDocument/2006/relationships/hyperlink" Target="https://acf.gov/css/policy-guidance/report-study-administrative-and-judicial-processes-establishing-child-support" TargetMode="External"/><Relationship Id="rId298" Type="http://schemas.openxmlformats.org/officeDocument/2006/relationships/hyperlink" Target="https://acf.gov/cb/policy-guidance/im-13-02" TargetMode="External"/><Relationship Id="rId158" Type="http://schemas.openxmlformats.org/officeDocument/2006/relationships/hyperlink" Target="https://acf.gov/cb/policy-guidance/im-21-02" TargetMode="External"/><Relationship Id="rId2186" Type="http://schemas.openxmlformats.org/officeDocument/2006/relationships/hyperlink" Target="https://acf.gov/css/training-technical-assistance/model-tribal-system-documentation" TargetMode="External"/><Relationship Id="rId2393" Type="http://schemas.openxmlformats.org/officeDocument/2006/relationships/hyperlink" Target="https://acf.gov/orr/resource/fiscal-year-2019-services-to-older-refugees-support-services-set-aside" TargetMode="External"/><Relationship Id="rId2698" Type="http://schemas.openxmlformats.org/officeDocument/2006/relationships/hyperlink" Target="https://acf.gov/archive/orr/policy-guidance/state-letter-01-05" TargetMode="External"/><Relationship Id="rId365" Type="http://schemas.openxmlformats.org/officeDocument/2006/relationships/hyperlink" Target="https://acf.gov/cb/policy-guidance/im-01-08" TargetMode="External"/><Relationship Id="rId572" Type="http://schemas.openxmlformats.org/officeDocument/2006/relationships/hyperlink" Target="https://acf.gov/cb/policy-guidance/pi-08-06" TargetMode="External"/><Relationship Id="rId2046" Type="http://schemas.openxmlformats.org/officeDocument/2006/relationships/hyperlink" Target="https://acf.gov/css/policy-guidance/technical-amendments-legislation-pertaining-medical-child-support-orders" TargetMode="External"/><Relationship Id="rId2253" Type="http://schemas.openxmlformats.org/officeDocument/2006/relationships/hyperlink" Target="https://acf.gov/occ/policy-guidance/ffy-2025-2027-ccdf-monitoring" TargetMode="External"/><Relationship Id="rId2460" Type="http://schemas.openxmlformats.org/officeDocument/2006/relationships/hyperlink" Target="https://acf.gov/sites/default/files/documents/orr/pl_20_03_rca_rma_extension_covid_19.pdf" TargetMode="External"/><Relationship Id="rId225" Type="http://schemas.openxmlformats.org/officeDocument/2006/relationships/hyperlink" Target="https://acf.gov/cb/faq/cw3" TargetMode="External"/><Relationship Id="rId432" Type="http://schemas.openxmlformats.org/officeDocument/2006/relationships/hyperlink" Target="https://acf.gov/cb/policy-guidance/im-90-07" TargetMode="External"/><Relationship Id="rId877" Type="http://schemas.openxmlformats.org/officeDocument/2006/relationships/hyperlink" Target="https://acf.gov/archive/occ/policy-guidance/fy-2011-tribal-application-plan-procedures-ccdf-grantees-0" TargetMode="External"/><Relationship Id="rId1062" Type="http://schemas.openxmlformats.org/officeDocument/2006/relationships/hyperlink" Target="https://acf.gov/occ/policy-guidance/child-welfare-and-child-care-partnerships-partnering-families-involved-child" TargetMode="External"/><Relationship Id="rId2113" Type="http://schemas.openxmlformats.org/officeDocument/2006/relationships/hyperlink" Target="https://acf.gov/css/policy-guidance/order/notice-withhold-income-child-support" TargetMode="External"/><Relationship Id="rId2320" Type="http://schemas.openxmlformats.org/officeDocument/2006/relationships/hyperlink" Target="https://acf.gov/sites/default/files/documents/orr/DCL-23-15-Immigration-Legal-Services-for-Afghan-Arrivals.pdf" TargetMode="External"/><Relationship Id="rId2558" Type="http://schemas.openxmlformats.org/officeDocument/2006/relationships/hyperlink" Target="https://acf.gov/orr/policy-guidance/state-letter-08-09" TargetMode="External"/><Relationship Id="rId2765" Type="http://schemas.openxmlformats.org/officeDocument/2006/relationships/hyperlink" Target="https://acf.gov/sites/default/files/documents/orr/FRP-5-Legal-Orientation-Program-for-Custodians-Overview-v15-English.pdf" TargetMode="External"/><Relationship Id="rId2972" Type="http://schemas.openxmlformats.org/officeDocument/2006/relationships/hyperlink" Target="https://headstart.gov/policy/pi/acyf-pi-hs-06-01" TargetMode="External"/><Relationship Id="rId737" Type="http://schemas.openxmlformats.org/officeDocument/2006/relationships/hyperlink" Target="https://acf.gov/cb/faq/adoption3" TargetMode="External"/><Relationship Id="rId944" Type="http://schemas.openxmlformats.org/officeDocument/2006/relationships/hyperlink" Target="https://acf.gov/occ/faq/does-law-specify-length-time-re-determining-familys-eligibility" TargetMode="External"/><Relationship Id="rId1367" Type="http://schemas.openxmlformats.org/officeDocument/2006/relationships/hyperlink" Target="https://acf.gov/ocs/resource/states-discretion-to-require-social-security-numbers-in-determining" TargetMode="External"/><Relationship Id="rId1574" Type="http://schemas.openxmlformats.org/officeDocument/2006/relationships/hyperlink" Target="https://acf.gov/css/policy-guidance/distribution-addendum-state-systems-apd-guide-child-support-enforcement-systems" TargetMode="External"/><Relationship Id="rId1781" Type="http://schemas.openxmlformats.org/officeDocument/2006/relationships/hyperlink" Target="https://acf.gov/css/policy-guidance/open-comment-period-ocss-75-tribal-child-support-data-report" TargetMode="External"/><Relationship Id="rId2418" Type="http://schemas.openxmlformats.org/officeDocument/2006/relationships/hyperlink" Target="https://acf.gov/orr/resource/refugee-technical-assistance-grantees" TargetMode="External"/><Relationship Id="rId2625" Type="http://schemas.openxmlformats.org/officeDocument/2006/relationships/hyperlink" Target="https://acf.gov/orr/policy-guidance/state-letter-05-33" TargetMode="External"/><Relationship Id="rId2832" Type="http://schemas.openxmlformats.org/officeDocument/2006/relationships/hyperlink" Target="https://acf.gov/ofa/policy-guidance/hhs/hud-joint-guidance-preventing-ending-homelessness" TargetMode="External"/><Relationship Id="rId73" Type="http://schemas.openxmlformats.org/officeDocument/2006/relationships/hyperlink" Target="https://acf.gov/cb/faq/suggested-page-length" TargetMode="External"/><Relationship Id="rId804" Type="http://schemas.openxmlformats.org/officeDocument/2006/relationships/hyperlink" Target="https://acf.gov/occ/policy-guidance/ffy-2025-tribal-annual-report-acf-occ-ccdf-pi-2025-10" TargetMode="External"/><Relationship Id="rId1227" Type="http://schemas.openxmlformats.org/officeDocument/2006/relationships/hyperlink" Target="https://acf.gov/sites/default/files/documents/ocs/2018_tribal_consultation_meeting.pdf" TargetMode="External"/><Relationship Id="rId1434" Type="http://schemas.openxmlformats.org/officeDocument/2006/relationships/hyperlink" Target="https://acf.gov/ocs/policy-guidance/liheap-im-2011-5-dea-staff-assignments" TargetMode="External"/><Relationship Id="rId1641" Type="http://schemas.openxmlformats.org/officeDocument/2006/relationships/hyperlink" Target="https://acf.gov/css/policy-guidance/information-absent-parents-forms-1099-wage-and-information-document-master-file" TargetMode="External"/><Relationship Id="rId1879" Type="http://schemas.openxmlformats.org/officeDocument/2006/relationships/hyperlink" Target="https://acf.gov/css/policy-guidance/use-federal-intergovernmental-forms-foreign-reciprocating-countries" TargetMode="External"/><Relationship Id="rId1501" Type="http://schemas.openxmlformats.org/officeDocument/2006/relationships/hyperlink" Target="https://acf.gov/css/policy-guidance/interstate-child-support-payment-processing" TargetMode="External"/><Relationship Id="rId1739" Type="http://schemas.openxmlformats.org/officeDocument/2006/relationships/hyperlink" Target="https://acf.gov/css/policy-guidance/final-rule-matching-payments-states-non-afdc-related-expenditures" TargetMode="External"/><Relationship Id="rId1946" Type="http://schemas.openxmlformats.org/officeDocument/2006/relationships/hyperlink" Target="https://acf.gov/css/policy-guidance/final-rule-medicaid-extension-when-iv-d-support-collection-results-termination" TargetMode="External"/><Relationship Id="rId1806" Type="http://schemas.openxmlformats.org/officeDocument/2006/relationships/hyperlink" Target="https://acf.gov/css/policy-guidance/submittal-ocse-157-fy-2023-oct-30" TargetMode="External"/><Relationship Id="rId387" Type="http://schemas.openxmlformats.org/officeDocument/2006/relationships/hyperlink" Target="https://acf.gov/cb/policy-guidance/im-98-02" TargetMode="External"/><Relationship Id="rId594" Type="http://schemas.openxmlformats.org/officeDocument/2006/relationships/hyperlink" Target="https://acf.gov/cb/policy-guidance/pi-06-02" TargetMode="External"/><Relationship Id="rId2068" Type="http://schemas.openxmlformats.org/officeDocument/2006/relationships/hyperlink" Target="https://acf.gov/css/policy-guidance/federal-financial-participation-and-non-iv-d-activities" TargetMode="External"/><Relationship Id="rId2275" Type="http://schemas.openxmlformats.org/officeDocument/2006/relationships/hyperlink" Target="https://acf.gov/orr/policy/dear-colleague-letters/25-09" TargetMode="External"/><Relationship Id="rId3021" Type="http://schemas.openxmlformats.org/officeDocument/2006/relationships/hyperlink" Target="https://headstart.gov/children-disabilities/article/program-considerations-prior-submitting-disability-waiver-request" TargetMode="External"/><Relationship Id="rId247" Type="http://schemas.openxmlformats.org/officeDocument/2006/relationships/hyperlink" Target="https://acf.gov/cb/policy-guidance/pi-18-09" TargetMode="External"/><Relationship Id="rId899" Type="http://schemas.openxmlformats.org/officeDocument/2006/relationships/hyperlink" Target="https://acf.gov/occ/resource/pi-cc-01-07" TargetMode="External"/><Relationship Id="rId1084" Type="http://schemas.openxmlformats.org/officeDocument/2006/relationships/hyperlink" Target="https://acf.gov/ocs/policy-guidance/liheap-2022-04-model-plan-application-liheap-funding-federal-fiscal-year-fy" TargetMode="External"/><Relationship Id="rId2482" Type="http://schemas.openxmlformats.org/officeDocument/2006/relationships/hyperlink" Target="https://acf.gov/orr/resource/policy-letter-16-01" TargetMode="External"/><Relationship Id="rId2787" Type="http://schemas.openxmlformats.org/officeDocument/2006/relationships/hyperlink" Target="https://acf.gov/fysb/faq/spending-fvpsa-grant-funds-technical-assistance" TargetMode="External"/><Relationship Id="rId107" Type="http://schemas.openxmlformats.org/officeDocument/2006/relationships/hyperlink" Target="https://acf.gov/cb/report/cfsr-r4-case-elimination-guidance" TargetMode="External"/><Relationship Id="rId454" Type="http://schemas.openxmlformats.org/officeDocument/2006/relationships/hyperlink" Target="https://acf.gov/cb/policy-guidance/im-87-07" TargetMode="External"/><Relationship Id="rId661" Type="http://schemas.openxmlformats.org/officeDocument/2006/relationships/hyperlink" Target="https://acf.gov/cb/policy-guidance/pi-95-12" TargetMode="External"/><Relationship Id="rId759" Type="http://schemas.openxmlformats.org/officeDocument/2006/relationships/hyperlink" Target="https://acf.gov/occ/policy-guidance/ccdf-acf-im-2022-01" TargetMode="External"/><Relationship Id="rId966" Type="http://schemas.openxmlformats.org/officeDocument/2006/relationships/hyperlink" Target="https://acf.gov/occ/faq/does-law-allow-states-use-grants-and-contracts-build-supply-high-quality-child-care" TargetMode="External"/><Relationship Id="rId1291" Type="http://schemas.openxmlformats.org/officeDocument/2006/relationships/hyperlink" Target="https://acf.gov/ocs/resource/liheap-webinar-on-additional-liheap-funds" TargetMode="External"/><Relationship Id="rId1389" Type="http://schemas.openxmlformats.org/officeDocument/2006/relationships/hyperlink" Target="https://acf.gov/ocs/resource/federal-public-benefits-under-the-welfare-reform-law-revised-guidance" TargetMode="External"/><Relationship Id="rId1596" Type="http://schemas.openxmlformats.org/officeDocument/2006/relationships/hyperlink" Target="https://acf.gov/css/policy-guidance/nprm-reporting-quarterly-wage-and-unemployment-compensation-claims-data-ndnh" TargetMode="External"/><Relationship Id="rId2135" Type="http://schemas.openxmlformats.org/officeDocument/2006/relationships/hyperlink" Target="https://acf.gov/css/faq/if-either-parent-loses-job-or-earning-more-money-will-child-support-automatically-be" TargetMode="External"/><Relationship Id="rId2342" Type="http://schemas.openxmlformats.org/officeDocument/2006/relationships/hyperlink" Target="https://acf.gov/sites/default/files/documents/orr/ORR-DCL-22-17-Alabama-Inspiritus-Replacement-Designee.pdf" TargetMode="External"/><Relationship Id="rId2647" Type="http://schemas.openxmlformats.org/officeDocument/2006/relationships/hyperlink" Target="https://acf.gov/orr/policy-guidance/state-letter-03-03" TargetMode="External"/><Relationship Id="rId2994" Type="http://schemas.openxmlformats.org/officeDocument/2006/relationships/hyperlink" Target="https://headstart.gov/about-us/article/head-start-faqs" TargetMode="External"/><Relationship Id="rId314" Type="http://schemas.openxmlformats.org/officeDocument/2006/relationships/hyperlink" Target="https://acf.gov/cb/policy-guidance/im-10-02" TargetMode="External"/><Relationship Id="rId521" Type="http://schemas.openxmlformats.org/officeDocument/2006/relationships/hyperlink" Target="https://acf.gov/cb/policy-guidance/pi-14-02" TargetMode="External"/><Relationship Id="rId619" Type="http://schemas.openxmlformats.org/officeDocument/2006/relationships/hyperlink" Target="https://acf.gov/cb/policy-guidance/pi-02-04" TargetMode="External"/><Relationship Id="rId1151" Type="http://schemas.openxmlformats.org/officeDocument/2006/relationships/hyperlink" Target="https://acf.gov/ocs/resource/carryover-and-reallotment-report-fy2010" TargetMode="External"/><Relationship Id="rId1249" Type="http://schemas.openxmlformats.org/officeDocument/2006/relationships/hyperlink" Target="https://acf.gov/ocs/resource/liheap-dear-colleague-notice-on-behind-on-bills" TargetMode="External"/><Relationship Id="rId2202" Type="http://schemas.openxmlformats.org/officeDocument/2006/relationships/hyperlink" Target="https://acf.gov/css/training-technical-assistance/employees-called-active-duty" TargetMode="External"/><Relationship Id="rId2854" Type="http://schemas.openxmlformats.org/officeDocument/2006/relationships/hyperlink" Target="https://acf.gov/ofa/policy-guidance/tanf-acf-pi-2011-03-form-acf-812-report-engagement-additional-work-activities" TargetMode="External"/><Relationship Id="rId95" Type="http://schemas.openxmlformats.org/officeDocument/2006/relationships/hyperlink" Target="https://acf.gov/cb/policy-guidance/im2301" TargetMode="External"/><Relationship Id="rId826" Type="http://schemas.openxmlformats.org/officeDocument/2006/relationships/hyperlink" Target="https://acf.gov/occ/policy-guidance/ccdf-acf-pi-2021-08" TargetMode="External"/><Relationship Id="rId1011" Type="http://schemas.openxmlformats.org/officeDocument/2006/relationships/hyperlink" Target="https://acf.gov/occ/policy-guidance/consolidate-ccdf-under-indian-employment-training-and-related-services" TargetMode="External"/><Relationship Id="rId1109" Type="http://schemas.openxmlformats.org/officeDocument/2006/relationships/hyperlink" Target="https://acf.gov/ocs/resource/2015-recs-liheap-household-administrative-data-matching" TargetMode="External"/><Relationship Id="rId1456" Type="http://schemas.openxmlformats.org/officeDocument/2006/relationships/hyperlink" Target="https://acf.gov/css/policy-guidance/updated-tribal-budget-and-narrative-templates-may-2026" TargetMode="External"/><Relationship Id="rId1663" Type="http://schemas.openxmlformats.org/officeDocument/2006/relationships/hyperlink" Target="https://acf.gov/css/policy-guidance/revised-minimum-data-elements-required-certifiable-famis-and-cse-systems" TargetMode="External"/><Relationship Id="rId1870" Type="http://schemas.openxmlformats.org/officeDocument/2006/relationships/hyperlink" Target="https://acf.gov/css/policy-guidance/offset-tax-refund-payments-collect-past-due-support-interim-final-rule" TargetMode="External"/><Relationship Id="rId1968" Type="http://schemas.openxmlformats.org/officeDocument/2006/relationships/hyperlink" Target="https://acf.gov/css/policy-guidance/omb-approved-msfidm-and-fast-levy-documents-expires-january-31-2024" TargetMode="External"/><Relationship Id="rId2507" Type="http://schemas.openxmlformats.org/officeDocument/2006/relationships/hyperlink" Target="https://acf.gov/orr/policy-guidance/state-letter-13-02" TargetMode="External"/><Relationship Id="rId2714" Type="http://schemas.openxmlformats.org/officeDocument/2006/relationships/hyperlink" Target="https://acf.gov/archive/orr/policy-guidance/state-letter-01-31" TargetMode="External"/><Relationship Id="rId2921" Type="http://schemas.openxmlformats.org/officeDocument/2006/relationships/hyperlink" Target="https://headstart.gov/policy/im/acf-im-hs-19-01" TargetMode="External"/><Relationship Id="rId1316" Type="http://schemas.openxmlformats.org/officeDocument/2006/relationships/hyperlink" Target="https://acf.gov/ocs/resource/liheap-im-2020-02-state-median-income-estimates-for-optional-use-fy2020-and-mandatory-use-fy2021" TargetMode="External"/><Relationship Id="rId1523" Type="http://schemas.openxmlformats.org/officeDocument/2006/relationships/hyperlink" Target="https://acf.gov/css/policy-guidance/continuation-annual-state-self-assessment-review-and-report" TargetMode="External"/><Relationship Id="rId1730" Type="http://schemas.openxmlformats.org/officeDocument/2006/relationships/hyperlink" Target="https://acf.gov/css/policy-guidance/interim-final-rule-collection-past-due-support-federal-tax-refunds" TargetMode="External"/><Relationship Id="rId22" Type="http://schemas.openxmlformats.org/officeDocument/2006/relationships/hyperlink" Target="https://acf.gov/cb/policy-guidance/im-24-07" TargetMode="External"/><Relationship Id="rId1828" Type="http://schemas.openxmlformats.org/officeDocument/2006/relationships/hyperlink" Target="https://acf.gov/css/policy-guidance/fy-2021-preliminary-data-report-and-tables" TargetMode="External"/><Relationship Id="rId171" Type="http://schemas.openxmlformats.org/officeDocument/2006/relationships/hyperlink" Target="https://acf.gov/cb/training-technical-assistance/cfsr-technical-bulletin-12" TargetMode="External"/><Relationship Id="rId2297" Type="http://schemas.openxmlformats.org/officeDocument/2006/relationships/hyperlink" Target="https://acf.gov/sites/default/files/documents/orr/dcl-23-39-response-potential-government-shutdown.pdf" TargetMode="External"/><Relationship Id="rId269" Type="http://schemas.openxmlformats.org/officeDocument/2006/relationships/hyperlink" Target="https://acf.gov/cb/policy-guidance/80-02" TargetMode="External"/><Relationship Id="rId476" Type="http://schemas.openxmlformats.org/officeDocument/2006/relationships/hyperlink" Target="https://acf.gov/cb/policy-guidance/im-84-09" TargetMode="External"/><Relationship Id="rId683" Type="http://schemas.openxmlformats.org/officeDocument/2006/relationships/hyperlink" Target="https://acf.gov/cb/policy-guidance/pi-90-16" TargetMode="External"/><Relationship Id="rId890" Type="http://schemas.openxmlformats.org/officeDocument/2006/relationships/hyperlink" Target="https://acf.gov/occ/policy-guidance/ccdf-acf-pi-2009-06" TargetMode="External"/><Relationship Id="rId2157" Type="http://schemas.openxmlformats.org/officeDocument/2006/relationships/hyperlink" Target="https://acf.gov/css/faq/remitting-payments-answers-employers-questions" TargetMode="External"/><Relationship Id="rId2364" Type="http://schemas.openxmlformats.org/officeDocument/2006/relationships/hyperlink" Target="https://acf.gov/sites/default/files/documents/orr/ORR-DCL-21-13-Revisions-to-RADS-for-Formula-Funds-Allocations-ORR-5.pdf" TargetMode="External"/><Relationship Id="rId2571" Type="http://schemas.openxmlformats.org/officeDocument/2006/relationships/hyperlink" Target="https://acf.gov/orr/policy-guidance/state-letter-07-11" TargetMode="External"/><Relationship Id="rId129" Type="http://schemas.openxmlformats.org/officeDocument/2006/relationships/hyperlink" Target="https://acf.gov/cb/faq/foster-care-5" TargetMode="External"/><Relationship Id="rId336" Type="http://schemas.openxmlformats.org/officeDocument/2006/relationships/hyperlink" Target="https://acf.gov/cb/policy-guidance/im-05-07" TargetMode="External"/><Relationship Id="rId543" Type="http://schemas.openxmlformats.org/officeDocument/2006/relationships/hyperlink" Target="https://acf.gov/cb/policy-guidance/pi-11-03" TargetMode="External"/><Relationship Id="rId988" Type="http://schemas.openxmlformats.org/officeDocument/2006/relationships/hyperlink" Target="https://acf.gov/occ/faq/what-information-must-states-make-available-consumer-education-website" TargetMode="External"/><Relationship Id="rId1173" Type="http://schemas.openxmlformats.org/officeDocument/2006/relationships/hyperlink" Target="https://acf.gov/ocs/policy-guidance/liheap-dcl-2023-07-ocs-launches-liheap-data-dashboard" TargetMode="External"/><Relationship Id="rId1380" Type="http://schemas.openxmlformats.org/officeDocument/2006/relationships/hyperlink" Target="https://acf.gov/ocs/resource/liheap-eligibility-criteria" TargetMode="External"/><Relationship Id="rId2017" Type="http://schemas.openxmlformats.org/officeDocument/2006/relationships/hyperlink" Target="https://acf.gov/css/policy-guidance/tribal-and-state-jurisdiction-establish-and-enforce-child-support" TargetMode="External"/><Relationship Id="rId2224" Type="http://schemas.openxmlformats.org/officeDocument/2006/relationships/hyperlink" Target="https://acf.gov/ecd/policy-guidance/tribal-miechv-performance-measurement-system-0" TargetMode="External"/><Relationship Id="rId2669" Type="http://schemas.openxmlformats.org/officeDocument/2006/relationships/hyperlink" Target="https://acf.gov/orr/policy-guidance/state-letter-02-06" TargetMode="External"/><Relationship Id="rId2876" Type="http://schemas.openxmlformats.org/officeDocument/2006/relationships/hyperlink" Target="https://acf.gov/ofa/policy-guidance/tanf-acf-pi-2019-01-sponsor-reimbursement-obligations" TargetMode="External"/><Relationship Id="rId403" Type="http://schemas.openxmlformats.org/officeDocument/2006/relationships/hyperlink" Target="https://acf.gov/cb/policy-guidance/im-95-32" TargetMode="External"/><Relationship Id="rId750" Type="http://schemas.openxmlformats.org/officeDocument/2006/relationships/hyperlink" Target="https://cwpm.acf.gov/" TargetMode="External"/><Relationship Id="rId848" Type="http://schemas.openxmlformats.org/officeDocument/2006/relationships/hyperlink" Target="https://acf.gov/occ/resource/ccdf-acf-pi-2017-01" TargetMode="External"/><Relationship Id="rId1033" Type="http://schemas.openxmlformats.org/officeDocument/2006/relationships/hyperlink" Target="https://acf.gov/occ/policy-guidance/ccdf-acf-pi-2022-03" TargetMode="External"/><Relationship Id="rId1478" Type="http://schemas.openxmlformats.org/officeDocument/2006/relationships/hyperlink" Target="https://acf.gov/css/policy-guidance/final-rule-regulatory-clean-up-initiative" TargetMode="External"/><Relationship Id="rId1685" Type="http://schemas.openxmlformats.org/officeDocument/2006/relationships/hyperlink" Target="https://acf.gov/css/policy-guidance/procedures-determining-state-iv-d-plan-disapproved-0" TargetMode="External"/><Relationship Id="rId1892" Type="http://schemas.openxmlformats.org/officeDocument/2006/relationships/hyperlink" Target="https://acf.gov/css/policy-guidance/new-collaborative-planning-guide-child-support-and-judiciary" TargetMode="External"/><Relationship Id="rId2431" Type="http://schemas.openxmlformats.org/officeDocument/2006/relationships/hyperlink" Target="https://acf.gov/sites/default/files/documents/orr/pl-23-04-expanding-income-disregards-for-rca.pdf" TargetMode="External"/><Relationship Id="rId2529" Type="http://schemas.openxmlformats.org/officeDocument/2006/relationships/hyperlink" Target="https://acf.gov/orr/policy-guidance/state-letter-10-03" TargetMode="External"/><Relationship Id="rId2736" Type="http://schemas.openxmlformats.org/officeDocument/2006/relationships/hyperlink" Target="https://acf.gov/sites/default/files/documents/orr/orr-3-instructions-2026.pdf" TargetMode="External"/><Relationship Id="rId610" Type="http://schemas.openxmlformats.org/officeDocument/2006/relationships/hyperlink" Target="https://acf.gov/cb/policy-guidance/pi-03-02" TargetMode="External"/><Relationship Id="rId708" Type="http://schemas.openxmlformats.org/officeDocument/2006/relationships/hyperlink" Target="https://acf.gov/cb/policy-guidance/pi-83-04" TargetMode="External"/><Relationship Id="rId915" Type="http://schemas.openxmlformats.org/officeDocument/2006/relationships/hyperlink" Target="https://acf.gov/occ/faq/child-care-and-development-fund-final-rule-frequently-asked-questions" TargetMode="External"/><Relationship Id="rId1240" Type="http://schemas.openxmlformats.org/officeDocument/2006/relationships/hyperlink" Target="https://acf.gov/ocs/resource/liheap-dear-colleague-notice-on-second-funding-release-fy-2016" TargetMode="External"/><Relationship Id="rId1338" Type="http://schemas.openxmlformats.org/officeDocument/2006/relationships/hyperlink" Target="https://acf.gov/ocs/resource/fy-2014-model-plan-application" TargetMode="External"/><Relationship Id="rId1545" Type="http://schemas.openxmlformats.org/officeDocument/2006/relationships/hyperlink" Target="https://acf.gov/css/policy-guidance/annual-data-report-instructions-completing-revised-ocse-157-form" TargetMode="External"/><Relationship Id="rId2943" Type="http://schemas.openxmlformats.org/officeDocument/2006/relationships/hyperlink" Target="https://headstart.gov/policy/pi/acf-pi-hs-21-02" TargetMode="External"/><Relationship Id="rId1100" Type="http://schemas.openxmlformats.org/officeDocument/2006/relationships/hyperlink" Target="https://acf.gov/ocs/resource/liheap/at-2019-03-modelplan-fy20" TargetMode="External"/><Relationship Id="rId1405" Type="http://schemas.openxmlformats.org/officeDocument/2006/relationships/hyperlink" Target="https://acf.gov/ocs/policy-guidance/liheap-dcl-four-contract-solicitations" TargetMode="External"/><Relationship Id="rId1752" Type="http://schemas.openxmlformats.org/officeDocument/2006/relationships/hyperlink" Target="https://acf.gov/css/policy-guidance/procedures-implementing-changes-45-cfr-30235-30270-and-3033-access-fpls" TargetMode="External"/><Relationship Id="rId2803" Type="http://schemas.openxmlformats.org/officeDocument/2006/relationships/hyperlink" Target="https://acf.gov/fysb/faq/how-contact-fysb" TargetMode="External"/><Relationship Id="rId44" Type="http://schemas.openxmlformats.org/officeDocument/2006/relationships/hyperlink" Target="https://acf.gov/cb/policy-guidance/im-24-02" TargetMode="External"/><Relationship Id="rId1612" Type="http://schemas.openxmlformats.org/officeDocument/2006/relationships/hyperlink" Target="https://acf.gov/css/policy-guidance/final-rule-processing-garnishment-orders-child-support-and/or-alimony-3" TargetMode="External"/><Relationship Id="rId1917" Type="http://schemas.openxmlformats.org/officeDocument/2006/relationships/hyperlink" Target="https://acf.gov/css/policy-guidance/improving-processing-ndnh-data" TargetMode="External"/><Relationship Id="rId193" Type="http://schemas.openxmlformats.org/officeDocument/2006/relationships/hyperlink" Target="https://acf.gov/cb/policy-guidance/pi-20-09" TargetMode="External"/><Relationship Id="rId498" Type="http://schemas.openxmlformats.org/officeDocument/2006/relationships/hyperlink" Target="https://acf.gov/cb/policy-guidance/pi-17-05" TargetMode="External"/><Relationship Id="rId2081" Type="http://schemas.openxmlformats.org/officeDocument/2006/relationships/hyperlink" Target="https://acf.gov/css/policy-guidance/state-iv-d-agencies-use-federal-income-withholding-form-tribal-employers" TargetMode="External"/><Relationship Id="rId2179" Type="http://schemas.openxmlformats.org/officeDocument/2006/relationships/hyperlink" Target="https://acf.gov/css/training-technical-assistance/federal-case-registry-data-election-guide" TargetMode="External"/><Relationship Id="rId260" Type="http://schemas.openxmlformats.org/officeDocument/2006/relationships/hyperlink" Target="https://acf.gov/cb/policy-guidance/93-03" TargetMode="External"/><Relationship Id="rId2386" Type="http://schemas.openxmlformats.org/officeDocument/2006/relationships/hyperlink" Target="https://acf.gov/orr/resource/fiscal-year-2020-services-to-older-refugees-support-services-set-aside" TargetMode="External"/><Relationship Id="rId2593" Type="http://schemas.openxmlformats.org/officeDocument/2006/relationships/hyperlink" Target="https://acf.gov/archive/orr/policy-guidance/clarification-medicaid-programs-new-guidance-citizenship-documentation" TargetMode="External"/><Relationship Id="rId120" Type="http://schemas.openxmlformats.org/officeDocument/2006/relationships/hyperlink" Target="https://acf.gov/cb/policy-guidance/pi-22-01" TargetMode="External"/><Relationship Id="rId358" Type="http://schemas.openxmlformats.org/officeDocument/2006/relationships/hyperlink" Target="https://acf.gov/cb/policy-guidance/im-02-02" TargetMode="External"/><Relationship Id="rId565" Type="http://schemas.openxmlformats.org/officeDocument/2006/relationships/hyperlink" Target="https://acf.gov/cb/policy-guidance/pi-09-06" TargetMode="External"/><Relationship Id="rId772" Type="http://schemas.openxmlformats.org/officeDocument/2006/relationships/hyperlink" Target="https://acf.gov/occ/resource/im-2016-04" TargetMode="External"/><Relationship Id="rId1195" Type="http://schemas.openxmlformats.org/officeDocument/2006/relationships/hyperlink" Target="https://acf.gov/ocs/policy-guidance/liheap-dcl-2022-14-reallotment-ffy-2021-liheap-funds-fy2022" TargetMode="External"/><Relationship Id="rId2039" Type="http://schemas.openxmlformats.org/officeDocument/2006/relationships/hyperlink" Target="https://acf.gov/css/policy-guidance/ocse-web-page-financial-institution-data-match" TargetMode="External"/><Relationship Id="rId2246" Type="http://schemas.openxmlformats.org/officeDocument/2006/relationships/hyperlink" Target="https://acf.gov/ecd/policy-guidance/policy-statement-family-engagement" TargetMode="External"/><Relationship Id="rId2453" Type="http://schemas.openxmlformats.org/officeDocument/2006/relationships/hyperlink" Target="https://acf.gov/sites/default/files/documents/orr/ORR-PL-21-04-Public-Private-RCA-Programs.pdf" TargetMode="External"/><Relationship Id="rId2660" Type="http://schemas.openxmlformats.org/officeDocument/2006/relationships/hyperlink" Target="https://acf.gov/orr/policy-guidance/state-letter-03-19" TargetMode="External"/><Relationship Id="rId2898" Type="http://schemas.openxmlformats.org/officeDocument/2006/relationships/hyperlink" Target="https://headstart.gov/policy/im/acf-ohs-im-25-03" TargetMode="External"/><Relationship Id="rId218" Type="http://schemas.openxmlformats.org/officeDocument/2006/relationships/hyperlink" Target="https://acf.gov/cb/training-technical-assistance/cfsr-technical-bulletin-10" TargetMode="External"/><Relationship Id="rId425" Type="http://schemas.openxmlformats.org/officeDocument/2006/relationships/hyperlink" Target="https://acf.gov/cb/policy-guidance/im-91-11" TargetMode="External"/><Relationship Id="rId632" Type="http://schemas.openxmlformats.org/officeDocument/2006/relationships/hyperlink" Target="https://acf.gov/cb/policy-guidance/pi-99-09" TargetMode="External"/><Relationship Id="rId1055" Type="http://schemas.openxmlformats.org/officeDocument/2006/relationships/hyperlink" Target="https://acf.gov/occ/policy-guidance/acf-800-reporting-instructions/definitions" TargetMode="External"/><Relationship Id="rId1262" Type="http://schemas.openxmlformats.org/officeDocument/2006/relationships/hyperlink" Target="https://acf.gov/ocs/resource/liheap-dear-colleague-notice-on-family-violence-awareness-month-in-october" TargetMode="External"/><Relationship Id="rId2106" Type="http://schemas.openxmlformats.org/officeDocument/2006/relationships/hyperlink" Target="https://acf.gov/css/policy-guidance/locate-requirements-after-expanded-federal-parent-locator-service" TargetMode="External"/><Relationship Id="rId2313" Type="http://schemas.openxmlformats.org/officeDocument/2006/relationships/hyperlink" Target="https://acf.gov/sites/default/files/documents/orr/DCL-23-23-refugee-health-promotion-fy-2023-supplement.pdf" TargetMode="External"/><Relationship Id="rId2520" Type="http://schemas.openxmlformats.org/officeDocument/2006/relationships/hyperlink" Target="https://acf.gov/orr/policy-guidance/state-letter-11-04" TargetMode="External"/><Relationship Id="rId2758" Type="http://schemas.openxmlformats.org/officeDocument/2006/relationships/hyperlink" Target="https://acf.gov/sites/default/files/documents/orr/ORR-FG-26-Revised-Fingerprint-Requirements-for-Sponsors-and-HHM--02-14-2025-.pdf" TargetMode="External"/><Relationship Id="rId2965" Type="http://schemas.openxmlformats.org/officeDocument/2006/relationships/hyperlink" Target="https://headstart.gov/policy/pi/acf-pi-hs-12-01" TargetMode="External"/><Relationship Id="rId937" Type="http://schemas.openxmlformats.org/officeDocument/2006/relationships/hyperlink" Target="https://acf.gov/occ/faq/how-will-law-support-expanded-supply-quality-child-care-providers" TargetMode="External"/><Relationship Id="rId1122" Type="http://schemas.openxmlformats.org/officeDocument/2006/relationships/hyperlink" Target="https://acf.gov/ocs/resource/liheap-at-model-plan-application-for-liheap-funding-fy2015" TargetMode="External"/><Relationship Id="rId1567" Type="http://schemas.openxmlformats.org/officeDocument/2006/relationships/hyperlink" Target="https://acf.gov/css/policy-guidance/nprm-national-medical-support-notice" TargetMode="External"/><Relationship Id="rId1774" Type="http://schemas.openxmlformats.org/officeDocument/2006/relationships/hyperlink" Target="https://acf.gov/css/policy-guidance/2025-certification-statement-compliance-security-and-privacy-requirements-due" TargetMode="External"/><Relationship Id="rId1981" Type="http://schemas.openxmlformats.org/officeDocument/2006/relationships/hyperlink" Target="https://acf.gov/css/policy-guidance/international-locate-requests-central-authorities-only" TargetMode="External"/><Relationship Id="rId2618" Type="http://schemas.openxmlformats.org/officeDocument/2006/relationships/hyperlink" Target="https://acf.gov/orr/policy-guidance/state-letter-05-25a" TargetMode="External"/><Relationship Id="rId2825" Type="http://schemas.openxmlformats.org/officeDocument/2006/relationships/hyperlink" Target="https://acf.gov/ofa/policy-guidance/ed-hhs-and-dol-issue-joint-letter-encouraging-partnerships-help-transition" TargetMode="External"/><Relationship Id="rId66" Type="http://schemas.openxmlformats.org/officeDocument/2006/relationships/hyperlink" Target="https://acf.gov/cb/training-technical-assistance/lessons-learned-text-chat" TargetMode="External"/><Relationship Id="rId1427" Type="http://schemas.openxmlformats.org/officeDocument/2006/relationships/hyperlink" Target="https://acf.gov/ocs/policy-guidance/liheap-dcl-request-proposals" TargetMode="External"/><Relationship Id="rId1634" Type="http://schemas.openxmlformats.org/officeDocument/2006/relationships/hyperlink" Target="https://acf.gov/css/policy-guidance/final-rule-income-withholding-review-and-adjustment-notice-assigned-support" TargetMode="External"/><Relationship Id="rId1841" Type="http://schemas.openxmlformats.org/officeDocument/2006/relationships/hyperlink" Target="https://acf.gov/css/policy-guidance/open-comment-period-administrative-subpoena-and-notice-lien" TargetMode="External"/><Relationship Id="rId1939" Type="http://schemas.openxmlformats.org/officeDocument/2006/relationships/hyperlink" Target="https://acf.gov/css/policy-guidance/recent-legislation-relating-iv-d-program-taxpayer-relief-act-1997" TargetMode="External"/><Relationship Id="rId1701" Type="http://schemas.openxmlformats.org/officeDocument/2006/relationships/hyperlink" Target="https://acf.gov/css/policy-guidance/final-rule-medical-support-enforcement-1985" TargetMode="External"/><Relationship Id="rId282" Type="http://schemas.openxmlformats.org/officeDocument/2006/relationships/hyperlink" Target="https://acf.gov/cb/policy-guidance/im-16-03" TargetMode="External"/><Relationship Id="rId587" Type="http://schemas.openxmlformats.org/officeDocument/2006/relationships/hyperlink" Target="https://acf.gov/cb/policy-guidance/pi-07-04" TargetMode="External"/><Relationship Id="rId2170" Type="http://schemas.openxmlformats.org/officeDocument/2006/relationships/hyperlink" Target="https://acf.gov/css/training-technical-assistance/ndnh-research-request-form" TargetMode="External"/><Relationship Id="rId2268" Type="http://schemas.openxmlformats.org/officeDocument/2006/relationships/hyperlink" Target="https://acf.gov/cb/training-technical-assistance/tips-using-and-supplementing-nytd-data-snapshots" TargetMode="External"/><Relationship Id="rId3014" Type="http://schemas.openxmlformats.org/officeDocument/2006/relationships/hyperlink" Target="https://headstart.gov/ersea/article/letter-director-mshs-leaders" TargetMode="External"/><Relationship Id="rId8" Type="http://schemas.openxmlformats.org/officeDocument/2006/relationships/hyperlink" Target="https://acf.gov/cb/policy-guidance/pi-25-03" TargetMode="External"/><Relationship Id="rId142" Type="http://schemas.openxmlformats.org/officeDocument/2006/relationships/hyperlink" Target="https://acf.gov/cb/training-technical-assistance/technical-bulletin-23-compliance-data" TargetMode="External"/><Relationship Id="rId447" Type="http://schemas.openxmlformats.org/officeDocument/2006/relationships/hyperlink" Target="https://acf.gov/cb/policy-guidance/im-88-01" TargetMode="External"/><Relationship Id="rId794" Type="http://schemas.openxmlformats.org/officeDocument/2006/relationships/hyperlink" Target="https://acf.gov/occ/resource/ccdf-acf-piq-2018-01" TargetMode="External"/><Relationship Id="rId1077" Type="http://schemas.openxmlformats.org/officeDocument/2006/relationships/hyperlink" Target="https://acf.gov/ocs/policy-guidance/liheap-2023-03-quarterly-report-submission-fy-2023" TargetMode="External"/><Relationship Id="rId2030" Type="http://schemas.openxmlformats.org/officeDocument/2006/relationships/hyperlink" Target="https://acf.gov/css/policy-guidance/quick-guide-working-military-employer-2003" TargetMode="External"/><Relationship Id="rId2128" Type="http://schemas.openxmlformats.org/officeDocument/2006/relationships/hyperlink" Target="https://acf.gov/css/faq/how-amount-my-child-support-order-set" TargetMode="External"/><Relationship Id="rId2475" Type="http://schemas.openxmlformats.org/officeDocument/2006/relationships/hyperlink" Target="https://acf.gov/orr/resource/cuban-entrants-remain-eligible-for-orr-benefits-and-services" TargetMode="External"/><Relationship Id="rId2682" Type="http://schemas.openxmlformats.org/officeDocument/2006/relationships/hyperlink" Target="https://acf.gov/orr/resource/state-letter-02-20" TargetMode="External"/><Relationship Id="rId2987" Type="http://schemas.openxmlformats.org/officeDocument/2006/relationships/hyperlink" Target="https://headstart.gov/housing-cost-adjustment-calculator" TargetMode="External"/><Relationship Id="rId654" Type="http://schemas.openxmlformats.org/officeDocument/2006/relationships/hyperlink" Target="https://acf.gov/cb/policy-guidance/pi-96-15" TargetMode="External"/><Relationship Id="rId861" Type="http://schemas.openxmlformats.org/officeDocument/2006/relationships/hyperlink" Target="https://acf.gov/occ/resource/pi2013-06" TargetMode="External"/><Relationship Id="rId959" Type="http://schemas.openxmlformats.org/officeDocument/2006/relationships/hyperlink" Target="https://acf.gov/occ/faq/does-new-law-include-health-and-safety-requirements-specific-topic-areas" TargetMode="External"/><Relationship Id="rId1284" Type="http://schemas.openxmlformats.org/officeDocument/2006/relationships/hyperlink" Target="https://acf.gov/ocs/resource/fy-2013-leveraging-activities-once-the-final-fy-2013-liheap-appropriation" TargetMode="External"/><Relationship Id="rId1491" Type="http://schemas.openxmlformats.org/officeDocument/2006/relationships/hyperlink" Target="https://acf.gov/css/policy-guidance/revised-part-national-medical-support-notice-nmsn-and-instructions" TargetMode="External"/><Relationship Id="rId1589" Type="http://schemas.openxmlformats.org/officeDocument/2006/relationships/hyperlink" Target="https://acf.gov/css/policy-guidance/request-comments-automation-requirements-under-prwora" TargetMode="External"/><Relationship Id="rId2335" Type="http://schemas.openxmlformats.org/officeDocument/2006/relationships/hyperlink" Target="https://acf.gov/orr/policy/dear-colleague-letters/22-24" TargetMode="External"/><Relationship Id="rId2542" Type="http://schemas.openxmlformats.org/officeDocument/2006/relationships/hyperlink" Target="https://acf.gov/orr/policy-guidance/state-letter-09-15" TargetMode="External"/><Relationship Id="rId307" Type="http://schemas.openxmlformats.org/officeDocument/2006/relationships/hyperlink" Target="https://acf.gov/cb/policy-guidance/im-12-01" TargetMode="External"/><Relationship Id="rId514" Type="http://schemas.openxmlformats.org/officeDocument/2006/relationships/hyperlink" Target="https://acf.gov/cb/policy-guidance/pi-15-03" TargetMode="External"/><Relationship Id="rId721" Type="http://schemas.openxmlformats.org/officeDocument/2006/relationships/hyperlink" Target="https://acf.gov/cb/policy-guidance/pi-80-02" TargetMode="External"/><Relationship Id="rId1144" Type="http://schemas.openxmlformats.org/officeDocument/2006/relationships/hyperlink" Target="https://acf.gov/ocs/resource/fy-2010-financial-reporting-requirement-for-all-liheap" TargetMode="External"/><Relationship Id="rId1351" Type="http://schemas.openxmlformats.org/officeDocument/2006/relationships/hyperlink" Target="https://acf.gov/ocs/resource/tax-refunds-disregarded-as-income-per-the-tax-relief-unemployment" TargetMode="External"/><Relationship Id="rId1449" Type="http://schemas.openxmlformats.org/officeDocument/2006/relationships/hyperlink" Target="https://acf.gov/css/policy-guidance/revised-ocss-396-and-ocss-34-forms-expire-june-30-2027" TargetMode="External"/><Relationship Id="rId1796" Type="http://schemas.openxmlformats.org/officeDocument/2006/relationships/hyperlink" Target="https://acf.gov/css/policy-guidance/us-objection-accession-azerbaijan-hague-convention" TargetMode="External"/><Relationship Id="rId2402" Type="http://schemas.openxmlformats.org/officeDocument/2006/relationships/hyperlink" Target="https://acf.gov/orr/resource/expanded-data-match-process-for-fiscal-year-2018" TargetMode="External"/><Relationship Id="rId2847" Type="http://schemas.openxmlformats.org/officeDocument/2006/relationships/hyperlink" Target="https://acf.gov/ofa/policy-guidance/acf-ofa-pi-24-04" TargetMode="External"/><Relationship Id="rId88" Type="http://schemas.openxmlformats.org/officeDocument/2006/relationships/hyperlink" Target="https://acf.gov/cb/training-technical-assistance/validation-technical-training-video" TargetMode="External"/><Relationship Id="rId819" Type="http://schemas.openxmlformats.org/officeDocument/2006/relationships/hyperlink" Target="https://acf.gov/occ/policy-guidance/ffy-2023-tribal-annual-report-ccdf-acf-pi-2023-04" TargetMode="External"/><Relationship Id="rId1004" Type="http://schemas.openxmlformats.org/officeDocument/2006/relationships/hyperlink" Target="https://acf.gov/occ/policy-guidance/ccdf-acf-pi-2013-01" TargetMode="External"/><Relationship Id="rId1211" Type="http://schemas.openxmlformats.org/officeDocument/2006/relationships/hyperlink" Target="https://acf.gov/ocs/resource/liheap-dcl-2020-10-cares-act-supplemental-funding-release-ffy20" TargetMode="External"/><Relationship Id="rId1656" Type="http://schemas.openxmlformats.org/officeDocument/2006/relationships/hyperlink" Target="https://acf.gov/css/policy-guidance/final-rule-processing-garnishment-orders-child-support-and/or-alimony-0" TargetMode="External"/><Relationship Id="rId1863" Type="http://schemas.openxmlformats.org/officeDocument/2006/relationships/hyperlink" Target="https://acf.gov/css/policy-guidance/tribal-directors-resource-guide" TargetMode="External"/><Relationship Id="rId2707" Type="http://schemas.openxmlformats.org/officeDocument/2006/relationships/hyperlink" Target="https://acf.gov/archive/orr/policy-guidance/state-letter-01-18" TargetMode="External"/><Relationship Id="rId2914" Type="http://schemas.openxmlformats.org/officeDocument/2006/relationships/hyperlink" Target="https://headstart.gov/policy/im/acf-im-hs-21-02" TargetMode="External"/><Relationship Id="rId1309" Type="http://schemas.openxmlformats.org/officeDocument/2006/relationships/hyperlink" Target="https://acf.gov/ocs/policy-guidance/liheap-im-2022-05-cares-act-and-arp-act-funds-obligation-and-drawdown-plan" TargetMode="External"/><Relationship Id="rId1516" Type="http://schemas.openxmlformats.org/officeDocument/2006/relationships/hyperlink" Target="https://acf.gov/css/policy-guidance/reporting-adoptions-ocse-157-child-support-enforcement-annual-data-report" TargetMode="External"/><Relationship Id="rId1723" Type="http://schemas.openxmlformats.org/officeDocument/2006/relationships/hyperlink" Target="https://acf.gov/css/policy-guidance/final-rule-equipment-acquired-under-public-assistance-programs" TargetMode="External"/><Relationship Id="rId1930" Type="http://schemas.openxmlformats.org/officeDocument/2006/relationships/hyperlink" Target="https://acf.gov/css/policy-guidance/department-state-passport-denial-procedures" TargetMode="External"/><Relationship Id="rId15" Type="http://schemas.openxmlformats.org/officeDocument/2006/relationships/hyperlink" Target="https://acf.gov/cb/policy-guidance/im-25-01" TargetMode="External"/><Relationship Id="rId2192" Type="http://schemas.openxmlformats.org/officeDocument/2006/relationships/hyperlink" Target="https://acf.gov/css/training-technical-assistance/finding-right-security-control-assessor" TargetMode="External"/><Relationship Id="rId3036" Type="http://schemas.openxmlformats.org/officeDocument/2006/relationships/printerSettings" Target="../printerSettings/printerSettings1.bin"/><Relationship Id="rId164" Type="http://schemas.openxmlformats.org/officeDocument/2006/relationships/hyperlink" Target="https://acf.gov/cb/policy-guidance/ensuring-continuation-critical-court-hearings-during-covid-19" TargetMode="External"/><Relationship Id="rId371" Type="http://schemas.openxmlformats.org/officeDocument/2006/relationships/hyperlink" Target="https://acf.gov/cb/policy-guidance/im-01-03" TargetMode="External"/><Relationship Id="rId2052" Type="http://schemas.openxmlformats.org/officeDocument/2006/relationships/hyperlink" Target="https://acf.gov/css/policy-guidance/administrative-determination-paternity" TargetMode="External"/><Relationship Id="rId2497" Type="http://schemas.openxmlformats.org/officeDocument/2006/relationships/hyperlink" Target="https://acf.gov/orr/resource/state-letter-14-04" TargetMode="External"/><Relationship Id="rId469" Type="http://schemas.openxmlformats.org/officeDocument/2006/relationships/hyperlink" Target="https://acf.gov/cb/policy-guidance/im-85-04" TargetMode="External"/><Relationship Id="rId676" Type="http://schemas.openxmlformats.org/officeDocument/2006/relationships/hyperlink" Target="https://acf.gov/cb/policy-guidance/pi-93-02" TargetMode="External"/><Relationship Id="rId883" Type="http://schemas.openxmlformats.org/officeDocument/2006/relationships/hyperlink" Target="https://acf.gov/occ/policy-guidance/ccdf-acf-pi-2013-01" TargetMode="External"/><Relationship Id="rId1099" Type="http://schemas.openxmlformats.org/officeDocument/2006/relationships/hyperlink" Target="https://acf.gov/ocs/resource/liheap-at-2019-02-household-report-short-form-and-long-form-for-fy-2018" TargetMode="External"/><Relationship Id="rId2357" Type="http://schemas.openxmlformats.org/officeDocument/2006/relationships/hyperlink" Target="https://acf.gov/sites/default/files/documents/orr/ORR-DCL-22-02-FY2022-Replacement-Designee-Selections.pdf" TargetMode="External"/><Relationship Id="rId2564" Type="http://schemas.openxmlformats.org/officeDocument/2006/relationships/hyperlink" Target="https://acf.gov/orr/policy-guidance/state-letter-07-03" TargetMode="External"/><Relationship Id="rId231" Type="http://schemas.openxmlformats.org/officeDocument/2006/relationships/hyperlink" Target="https://acf.gov/cb/policy-guidance/questions-and-answers-afcars-nprm" TargetMode="External"/><Relationship Id="rId329" Type="http://schemas.openxmlformats.org/officeDocument/2006/relationships/hyperlink" Target="https://acf.gov/cb/policy-guidance/im-06-05" TargetMode="External"/><Relationship Id="rId536" Type="http://schemas.openxmlformats.org/officeDocument/2006/relationships/hyperlink" Target="https://acf.gov/cb/policy-guidance/pi-12-01" TargetMode="External"/><Relationship Id="rId1166" Type="http://schemas.openxmlformats.org/officeDocument/2006/relationships/hyperlink" Target="https://acf.gov/ocs/policy-guidance/acf-ocs-liheap-dcl-2024-09-reallotment-federal-fiscal-year-2023" TargetMode="External"/><Relationship Id="rId1373" Type="http://schemas.openxmlformats.org/officeDocument/2006/relationships/hyperlink" Target="https://acf.gov/ocs/resource/awards-of-fy-2010-reach-grants" TargetMode="External"/><Relationship Id="rId2217" Type="http://schemas.openxmlformats.org/officeDocument/2006/relationships/hyperlink" Target="https://acf.gov/ecd/policy-guidance/tribal-home-visiting-emergency-response-covid-19-guidance-tribal-home-visiting" TargetMode="External"/><Relationship Id="rId2771" Type="http://schemas.openxmlformats.org/officeDocument/2006/relationships/hyperlink" Target="https://acf.gov/sites/default/files/documents/orr/L3-Notice-of-Attorney-Representation.pdf" TargetMode="External"/><Relationship Id="rId2869" Type="http://schemas.openxmlformats.org/officeDocument/2006/relationships/hyperlink" Target="https://acf.gov/ofa/policy-guidance/tanf-acf-pi-2017-03-form-acf-196t-tribal-tanf-financial-report-form" TargetMode="External"/><Relationship Id="rId743" Type="http://schemas.openxmlformats.org/officeDocument/2006/relationships/hyperlink" Target="https://acf.gov/cb/faq/adoption10" TargetMode="External"/><Relationship Id="rId950" Type="http://schemas.openxmlformats.org/officeDocument/2006/relationships/hyperlink" Target="https://acf.gov/occ/faq/how-does-law-help-build-stable-effective-early-care-and-education-workforce" TargetMode="External"/><Relationship Id="rId1026" Type="http://schemas.openxmlformats.org/officeDocument/2006/relationships/hyperlink" Target="https://acf.gov/occ/policy-guidance/uniform-administrative-requirements-cost-principles-and-audit-requirements" TargetMode="External"/><Relationship Id="rId1580" Type="http://schemas.openxmlformats.org/officeDocument/2006/relationships/hyperlink" Target="https://acf.gov/css/policy-guidance/final-rule-allocation-80-percent-matching-funds" TargetMode="External"/><Relationship Id="rId1678" Type="http://schemas.openxmlformats.org/officeDocument/2006/relationships/hyperlink" Target="https://acf.gov/css/policy-guidance/retrieval-information-absent-parents-forms-1099-irs" TargetMode="External"/><Relationship Id="rId1885" Type="http://schemas.openxmlformats.org/officeDocument/2006/relationships/hyperlink" Target="https://acf.gov/css/policy-guidance/hague-convention-international-recovery-child-support" TargetMode="External"/><Relationship Id="rId2424" Type="http://schemas.openxmlformats.org/officeDocument/2006/relationships/hyperlink" Target="https://acf.gov/orr/policy/policy-letters/25-02" TargetMode="External"/><Relationship Id="rId2631" Type="http://schemas.openxmlformats.org/officeDocument/2006/relationships/hyperlink" Target="https://acf.gov/orr/policy-guidance/state-letter-04-07" TargetMode="External"/><Relationship Id="rId2729" Type="http://schemas.openxmlformats.org/officeDocument/2006/relationships/hyperlink" Target="https://acf.gov/orr/policy-guidance/states-cannot-require-applicants-office-refugee-resettlement-orr-funded" TargetMode="External"/><Relationship Id="rId2936" Type="http://schemas.openxmlformats.org/officeDocument/2006/relationships/hyperlink" Target="https://headstart.gov/policy/pi/acf-ohs-pi-24-03" TargetMode="External"/><Relationship Id="rId603" Type="http://schemas.openxmlformats.org/officeDocument/2006/relationships/hyperlink" Target="https://acf.gov/cb/policy-guidance/pi-04-03" TargetMode="External"/><Relationship Id="rId810" Type="http://schemas.openxmlformats.org/officeDocument/2006/relationships/hyperlink" Target="https://acf.gov/occ/policy-guidance/ffy-2024-tribal-annual-report-acf-occ-ccdf-pi-24-08" TargetMode="External"/><Relationship Id="rId908" Type="http://schemas.openxmlformats.org/officeDocument/2006/relationships/hyperlink" Target="https://acf.gov/occ/training-technical-assistance/ccdf-acf-801-clarifications-tb8rv7" TargetMode="External"/><Relationship Id="rId1233" Type="http://schemas.openxmlformats.org/officeDocument/2006/relationships/hyperlink" Target="https://acf.gov/ocs/resource/liheap-dear-collegue-notice-on-fy-2016-liheap-reallotment-in-fy-2017" TargetMode="External"/><Relationship Id="rId1440" Type="http://schemas.openxmlformats.org/officeDocument/2006/relationships/hyperlink" Target="https://acf.gov/ocs/policy-guidance/liheap-2010-7-state-household-administrative-data-fy-2010" TargetMode="External"/><Relationship Id="rId1538" Type="http://schemas.openxmlformats.org/officeDocument/2006/relationships/hyperlink" Target="https://acf.gov/css/policy-guidance/revisions-ocse-financial-reporting-instructions-fy-2007" TargetMode="External"/><Relationship Id="rId1300" Type="http://schemas.openxmlformats.org/officeDocument/2006/relationships/hyperlink" Target="https://acf.gov/ocs/policy-guidance/liheap-im-2024-04-liheap-obligations-expenditures-and-refunds" TargetMode="External"/><Relationship Id="rId1745" Type="http://schemas.openxmlformats.org/officeDocument/2006/relationships/hyperlink" Target="https://acf.gov/css/policy-guidance/final-rule-automated-data-processing-equipment-and-services-conditions-ffp" TargetMode="External"/><Relationship Id="rId1952" Type="http://schemas.openxmlformats.org/officeDocument/2006/relationships/hyperlink" Target="https://acf.gov/css/policy-guidance/omnibus-budget-reconciliation-act-1993-pl-103-66" TargetMode="External"/><Relationship Id="rId37" Type="http://schemas.openxmlformats.org/officeDocument/2006/relationships/hyperlink" Target="https://acf.gov/cb/policy-guidance/pi-24-07" TargetMode="External"/><Relationship Id="rId1605" Type="http://schemas.openxmlformats.org/officeDocument/2006/relationships/hyperlink" Target="https://acf.gov/css/policy-guidance/availability-federal-financial-participation-enhanced-rate-under-prwora" TargetMode="External"/><Relationship Id="rId1812" Type="http://schemas.openxmlformats.org/officeDocument/2006/relationships/hyperlink" Target="https://acf.gov/css/policy-guidance/tribal-child-support-consultation" TargetMode="External"/><Relationship Id="rId186" Type="http://schemas.openxmlformats.org/officeDocument/2006/relationships/hyperlink" Target="https://acf.gov/cb/policy-guidance/guidance-regarding-fingerprint-and-caseworker-visit-requirements-during-covid-19" TargetMode="External"/><Relationship Id="rId393" Type="http://schemas.openxmlformats.org/officeDocument/2006/relationships/hyperlink" Target="https://acf.gov/cb/policy-guidance/im-97-04" TargetMode="External"/><Relationship Id="rId2074" Type="http://schemas.openxmlformats.org/officeDocument/2006/relationships/hyperlink" Target="https://acf.gov/css/policy-guidance/ffp-state-automated-systems-costs-service-agreements-submitting-tribal-cases" TargetMode="External"/><Relationship Id="rId2281" Type="http://schemas.openxmlformats.org/officeDocument/2006/relationships/hyperlink" Target="https://acf.gov/orr/policy/dear-colleague-letters/25-03" TargetMode="External"/><Relationship Id="rId253" Type="http://schemas.openxmlformats.org/officeDocument/2006/relationships/hyperlink" Target="https://acf.gov/cb/training-technical-assistance/ccwis-technical-bulletin-4" TargetMode="External"/><Relationship Id="rId460" Type="http://schemas.openxmlformats.org/officeDocument/2006/relationships/hyperlink" Target="https://acf.gov/cb/policy-guidance/im-86-19" TargetMode="External"/><Relationship Id="rId698" Type="http://schemas.openxmlformats.org/officeDocument/2006/relationships/hyperlink" Target="https://acf.gov/cb/policy-guidance/pi-85-02" TargetMode="External"/><Relationship Id="rId1090" Type="http://schemas.openxmlformats.org/officeDocument/2006/relationships/hyperlink" Target="https://acf.gov/ocs/policy-guidance/liheap-2021-05-household-report-fy2021" TargetMode="External"/><Relationship Id="rId2141" Type="http://schemas.openxmlformats.org/officeDocument/2006/relationships/hyperlink" Target="https://acf.gov/css/faq/case-eligible-federal-tax-refund-offset-program" TargetMode="External"/><Relationship Id="rId2379" Type="http://schemas.openxmlformats.org/officeDocument/2006/relationships/hyperlink" Target="https://acf.gov/sites/default/files/documents/orr/dcl_20_09_fy_2020_youth_mentoring_set_aside.pdf" TargetMode="External"/><Relationship Id="rId2586" Type="http://schemas.openxmlformats.org/officeDocument/2006/relationships/hyperlink" Target="https://acf.gov/orr/policy-guidance/state-letter-06-11" TargetMode="External"/><Relationship Id="rId2793" Type="http://schemas.openxmlformats.org/officeDocument/2006/relationships/hyperlink" Target="https://acf.gov/ana/policy-guidance/ana-tribal-consultation-2025" TargetMode="External"/><Relationship Id="rId113" Type="http://schemas.openxmlformats.org/officeDocument/2006/relationships/hyperlink" Target="https://acf.gov/cb/policy-guidance/pi-22-06" TargetMode="External"/><Relationship Id="rId320" Type="http://schemas.openxmlformats.org/officeDocument/2006/relationships/hyperlink" Target="https://acf.gov/cb/policy-guidance/im-08-03" TargetMode="External"/><Relationship Id="rId558" Type="http://schemas.openxmlformats.org/officeDocument/2006/relationships/hyperlink" Target="https://acf.gov/cb/policy-guidance/pi-10-02" TargetMode="External"/><Relationship Id="rId765" Type="http://schemas.openxmlformats.org/officeDocument/2006/relationships/hyperlink" Target="https://acf.gov/occ/resource/ccdf-acf-im-2019-01" TargetMode="External"/><Relationship Id="rId972" Type="http://schemas.openxmlformats.org/officeDocument/2006/relationships/hyperlink" Target="https://acf.gov/occ/faq/are-states-required-post-results-monitoring-and-inspection-visits" TargetMode="External"/><Relationship Id="rId1188" Type="http://schemas.openxmlformats.org/officeDocument/2006/relationships/hyperlink" Target="https://acf.gov/ocs/policy-guidance/liheap-dcl-2022-07-additional-uses-administrative-data-collected-2020-recs-data" TargetMode="External"/><Relationship Id="rId1395" Type="http://schemas.openxmlformats.org/officeDocument/2006/relationships/hyperlink" Target="https://acf.gov/ocs/resource/fact-sheet-on-us-citizenship-requirements" TargetMode="External"/><Relationship Id="rId2001" Type="http://schemas.openxmlformats.org/officeDocument/2006/relationships/hyperlink" Target="https://acf.gov/css/policy-guidance/changes-currency-conversion-policy-british-columbia-and-manitoba-canada" TargetMode="External"/><Relationship Id="rId2239" Type="http://schemas.openxmlformats.org/officeDocument/2006/relationships/hyperlink" Target="https://acf.gov/ecd/policy-guidance/joint-guidance-brief-early-learning-and-use-technology" TargetMode="External"/><Relationship Id="rId2446" Type="http://schemas.openxmlformats.org/officeDocument/2006/relationships/hyperlink" Target="https://acf.gov/sites/default/files/documents/orr/orr-pl-22-04-virtual-refugee-service-delivery-and-elements-of-program-administration_.pdf" TargetMode="External"/><Relationship Id="rId2653" Type="http://schemas.openxmlformats.org/officeDocument/2006/relationships/hyperlink" Target="https://acf.gov/orr/policy-guidance/state-letter-03-11" TargetMode="External"/><Relationship Id="rId2860" Type="http://schemas.openxmlformats.org/officeDocument/2006/relationships/hyperlink" Target="https://acf.gov/ofa/policy-guidance/tanf-acf-im-2014-01-proposed-revisions-tanf-financial-data-collection" TargetMode="External"/><Relationship Id="rId418" Type="http://schemas.openxmlformats.org/officeDocument/2006/relationships/hyperlink" Target="https://acf.gov/cb/policy-guidance/im-93-04" TargetMode="External"/><Relationship Id="rId625" Type="http://schemas.openxmlformats.org/officeDocument/2006/relationships/hyperlink" Target="https://acf.gov/cb/policy-guidance/pi-01-06" TargetMode="External"/><Relationship Id="rId832" Type="http://schemas.openxmlformats.org/officeDocument/2006/relationships/hyperlink" Target="https://acf.gov/occ/policy-guidance/ffy2022-2024-ccdf-plan-preprint-states-and-territories" TargetMode="External"/><Relationship Id="rId1048" Type="http://schemas.openxmlformats.org/officeDocument/2006/relationships/hyperlink" Target="https://acf.gov/occ/policy-guidance/acf-700-reporting-tips" TargetMode="External"/><Relationship Id="rId1255" Type="http://schemas.openxmlformats.org/officeDocument/2006/relationships/hyperlink" Target="https://acf.gov/ocs/resource/dear-colleague-notice-on-peer-to-peer-mentoring-program" TargetMode="External"/><Relationship Id="rId1462" Type="http://schemas.openxmlformats.org/officeDocument/2006/relationships/hyperlink" Target="https://acf.gov/css/policy-guidance/final-rule-privacy-act-implementation" TargetMode="External"/><Relationship Id="rId2306" Type="http://schemas.openxmlformats.org/officeDocument/2006/relationships/hyperlink" Target="https://acf.gov/sites/default/files/documents/orr/dcl-23-30-medicaid-childrens-health-insurance-plan-updates-recommendations.pdf" TargetMode="External"/><Relationship Id="rId2513" Type="http://schemas.openxmlformats.org/officeDocument/2006/relationships/hyperlink" Target="https://acf.gov/orr/resource/state-letter-12-06" TargetMode="External"/><Relationship Id="rId2958" Type="http://schemas.openxmlformats.org/officeDocument/2006/relationships/hyperlink" Target="https://headstart.gov/policy/pi/acf-pi-hs-17-02" TargetMode="External"/><Relationship Id="rId1115" Type="http://schemas.openxmlformats.org/officeDocument/2006/relationships/hyperlink" Target="https://acf.gov/ocs/resource/liheap-revised-reporting-instructions-for-the-household-report-fy-2015" TargetMode="External"/><Relationship Id="rId1322" Type="http://schemas.openxmlformats.org/officeDocument/2006/relationships/hyperlink" Target="https://acf.gov/ocs/resource/im-2017-01-liheap-compliance-review-monitoring-schedule-fy-2017" TargetMode="External"/><Relationship Id="rId1767" Type="http://schemas.openxmlformats.org/officeDocument/2006/relationships/hyperlink" Target="https://acf.gov/css/policy-guidance/report-tribal-consultation-june-30-2025" TargetMode="External"/><Relationship Id="rId1974" Type="http://schemas.openxmlformats.org/officeDocument/2006/relationships/hyperlink" Target="https://acf.gov/css/policy-guidance/questions-and-answers-working-child-support-cases-canada" TargetMode="External"/><Relationship Id="rId2720" Type="http://schemas.openxmlformats.org/officeDocument/2006/relationships/hyperlink" Target="https://acf.gov/orr/resource/state-letter-00-08" TargetMode="External"/><Relationship Id="rId2818" Type="http://schemas.openxmlformats.org/officeDocument/2006/relationships/hyperlink" Target="https://acf.gov/ofa/policy-guidance/ttcw-instructions-change-principal-investigator/project-director" TargetMode="External"/><Relationship Id="rId59" Type="http://schemas.openxmlformats.org/officeDocument/2006/relationships/hyperlink" Target="https://acf.gov/cb/policy-guidance/title-iv-e-foster-care-eligibility-reviews-schedule" TargetMode="External"/><Relationship Id="rId1627" Type="http://schemas.openxmlformats.org/officeDocument/2006/relationships/hyperlink" Target="https://acf.gov/css/policy-guidance/submitting-processing-fees-fpls-non-afdc-cases-locate-only-and-parental" TargetMode="External"/><Relationship Id="rId1834" Type="http://schemas.openxmlformats.org/officeDocument/2006/relationships/hyperlink" Target="https://acf.gov/css/policy-guidance/data-reliability-audit-requirements-fy-2021" TargetMode="External"/><Relationship Id="rId2096" Type="http://schemas.openxmlformats.org/officeDocument/2006/relationships/hyperlink" Target="https://acf.gov/css/policy-guidance/paternity-disestablishment" TargetMode="External"/><Relationship Id="rId1901" Type="http://schemas.openxmlformats.org/officeDocument/2006/relationships/hyperlink" Target="https://acf.gov/css/policy-guidance/implementation-new-passport-denial-threshold" TargetMode="External"/><Relationship Id="rId275" Type="http://schemas.openxmlformats.org/officeDocument/2006/relationships/hyperlink" Target="https://acf.gov/cb/policy-guidance/im-17-04" TargetMode="External"/><Relationship Id="rId482" Type="http://schemas.openxmlformats.org/officeDocument/2006/relationships/hyperlink" Target="https://acf.gov/cb/policy-guidance/im-82-02" TargetMode="External"/><Relationship Id="rId2163" Type="http://schemas.openxmlformats.org/officeDocument/2006/relationships/hyperlink" Target="https://acf.gov/css/training-technical-assistance/interstate-case-reconciliation-reason-codes-quick-reference" TargetMode="External"/><Relationship Id="rId2370" Type="http://schemas.openxmlformats.org/officeDocument/2006/relationships/hyperlink" Target="https://acf.gov/sites/default/files/documents/orr/DCL-21-07-Replacement-Designee-Competition.pdf" TargetMode="External"/><Relationship Id="rId3007" Type="http://schemas.openxmlformats.org/officeDocument/2006/relationships/hyperlink" Target="https://headstart.gov/publication/head-start-eligibility-verification-form" TargetMode="External"/><Relationship Id="rId135" Type="http://schemas.openxmlformats.org/officeDocument/2006/relationships/hyperlink" Target="https://acf.gov/cb/faq/foster-care6" TargetMode="External"/><Relationship Id="rId342" Type="http://schemas.openxmlformats.org/officeDocument/2006/relationships/hyperlink" Target="https://acf.gov/cb/policy-guidance/acf-cms-fns-im-05-04" TargetMode="External"/><Relationship Id="rId787" Type="http://schemas.openxmlformats.org/officeDocument/2006/relationships/hyperlink" Target="https://acf.gov/occ/resource/im-2010-02" TargetMode="External"/><Relationship Id="rId994" Type="http://schemas.openxmlformats.org/officeDocument/2006/relationships/hyperlink" Target="https://acf.gov/occ/faq/how-often-must-background-checks-be-conducted" TargetMode="External"/><Relationship Id="rId2023" Type="http://schemas.openxmlformats.org/officeDocument/2006/relationships/hyperlink" Target="https://acf.gov/css/policy-guidance/new-federal-bankruptcy-law-contains-child-support-provisions" TargetMode="External"/><Relationship Id="rId2230" Type="http://schemas.openxmlformats.org/officeDocument/2006/relationships/hyperlink" Target="https://acf.gov/ecd/policy-guidance/hrsa-acf-letter-state-miechv-grantees" TargetMode="External"/><Relationship Id="rId2468" Type="http://schemas.openxmlformats.org/officeDocument/2006/relationships/hyperlink" Target="https://acf.gov/orr/resource/youth-mentoring-program" TargetMode="External"/><Relationship Id="rId2675" Type="http://schemas.openxmlformats.org/officeDocument/2006/relationships/hyperlink" Target="https://acf.gov/orr/policy-guidance/state-letter-02-13" TargetMode="External"/><Relationship Id="rId2882" Type="http://schemas.openxmlformats.org/officeDocument/2006/relationships/hyperlink" Target="https://acf.gov/ofa/policy-guidance/acf-ofa-pi-23-04" TargetMode="External"/><Relationship Id="rId202" Type="http://schemas.openxmlformats.org/officeDocument/2006/relationships/hyperlink" Target="https://acf.gov/cb/training-technical-assistance/cfsr-technical-bulletin-11" TargetMode="External"/><Relationship Id="rId647" Type="http://schemas.openxmlformats.org/officeDocument/2006/relationships/hyperlink" Target="https://acf.gov/cb/policy-guidance/pi-98-01" TargetMode="External"/><Relationship Id="rId854" Type="http://schemas.openxmlformats.org/officeDocument/2006/relationships/hyperlink" Target="https://acf.gov/archive/occ/policy-guidance/resource/pi-2015-05" TargetMode="External"/><Relationship Id="rId1277" Type="http://schemas.openxmlformats.org/officeDocument/2006/relationships/hyperlink" Target="https://acf.gov/ocs/resource/liheap-dear-colleague-notice-grantee-regional-training-workshop-2014" TargetMode="External"/><Relationship Id="rId1484" Type="http://schemas.openxmlformats.org/officeDocument/2006/relationships/hyperlink" Target="https://acf.gov/css/policy-guidance/delayed-implementation-revised-ocse-157-data-report-oct-1-2021" TargetMode="External"/><Relationship Id="rId1691" Type="http://schemas.openxmlformats.org/officeDocument/2006/relationships/hyperlink" Target="https://acf.gov/css/policy-guidance/nprm-prohibition-federal-funding-costs-incarceration-and-counsel" TargetMode="External"/><Relationship Id="rId2328" Type="http://schemas.openxmlformats.org/officeDocument/2006/relationships/hyperlink" Target="https://acf.gov/sites/default/files/documents/orr/DCL-23-07-New-USCIS-Process-for-Venezuelans.pdf" TargetMode="External"/><Relationship Id="rId2535" Type="http://schemas.openxmlformats.org/officeDocument/2006/relationships/hyperlink" Target="https://acf.gov/orr/policy-guidance/state-letter-09-25" TargetMode="External"/><Relationship Id="rId2742" Type="http://schemas.openxmlformats.org/officeDocument/2006/relationships/hyperlink" Target="https://acf.gov/sites/default/files/documents/orr/dra-reporting-calendar.pdf" TargetMode="External"/><Relationship Id="rId507" Type="http://schemas.openxmlformats.org/officeDocument/2006/relationships/hyperlink" Target="https://acf.gov/cb/policy-guidance/pi-15-10" TargetMode="External"/><Relationship Id="rId714" Type="http://schemas.openxmlformats.org/officeDocument/2006/relationships/hyperlink" Target="https://acf.gov/cb/policy-guidance/pi-81-08" TargetMode="External"/><Relationship Id="rId921" Type="http://schemas.openxmlformats.org/officeDocument/2006/relationships/hyperlink" Target="https://acf.gov/occ/faq/what-are-deadlines-implementing-new-provisions-ccdbg-act-2014" TargetMode="External"/><Relationship Id="rId1137" Type="http://schemas.openxmlformats.org/officeDocument/2006/relationships/hyperlink" Target="https://acf.gov/ocs/resource/household-report-for-ffy-2012-short-form-and-long-form" TargetMode="External"/><Relationship Id="rId1344" Type="http://schemas.openxmlformats.org/officeDocument/2006/relationships/hyperlink" Target="https://acf.gov/ocs/resource/hhs-poverty-guidelines-ffy-2012-" TargetMode="External"/><Relationship Id="rId1551" Type="http://schemas.openxmlformats.org/officeDocument/2006/relationships/hyperlink" Target="https://acf.gov/css/policy-guidance/final-rule-tribal-child-support-enforcement-programs" TargetMode="External"/><Relationship Id="rId1789" Type="http://schemas.openxmlformats.org/officeDocument/2006/relationships/hyperlink" Target="https://acf.gov/css/policy-guidance/open-comment-period-ocss-157-annual-data-report" TargetMode="External"/><Relationship Id="rId1996" Type="http://schemas.openxmlformats.org/officeDocument/2006/relationships/hyperlink" Target="https://acf.gov/css/policy-guidance/proper-case-type-reporting-ocse-157" TargetMode="External"/><Relationship Id="rId2602" Type="http://schemas.openxmlformats.org/officeDocument/2006/relationships/hyperlink" Target="https://acf.gov/orr/policy-guidance/state-letter-05-09" TargetMode="External"/><Relationship Id="rId50" Type="http://schemas.openxmlformats.org/officeDocument/2006/relationships/hyperlink" Target="https://acf.gov/cb/policy-guidance/im-23-10" TargetMode="External"/><Relationship Id="rId1204" Type="http://schemas.openxmlformats.org/officeDocument/2006/relationships/hyperlink" Target="https://acf.gov/ocs/policy-guidance/liheap-dcl-2021-11-reallotment-federal-fiscal-year-ffy-2020-liheap-funds" TargetMode="External"/><Relationship Id="rId1411" Type="http://schemas.openxmlformats.org/officeDocument/2006/relationships/hyperlink" Target="https://acf.gov/ocs/policy-guidance/liheap-resurce-guide-winter-preparedeness-information" TargetMode="External"/><Relationship Id="rId1649" Type="http://schemas.openxmlformats.org/officeDocument/2006/relationships/hyperlink" Target="https://acf.gov/css/policy-guidance/nprm-processing-garnishments-child-support-and/or-alimony" TargetMode="External"/><Relationship Id="rId1856" Type="http://schemas.openxmlformats.org/officeDocument/2006/relationships/hyperlink" Target="https://acf.gov/css/policy-guidance/us-objection-accession-kazakhstan-hague-convention" TargetMode="External"/><Relationship Id="rId2907" Type="http://schemas.openxmlformats.org/officeDocument/2006/relationships/hyperlink" Target="https://headstart.gov/policy/im/acf-im-hs-22-09" TargetMode="External"/><Relationship Id="rId1509" Type="http://schemas.openxmlformats.org/officeDocument/2006/relationships/hyperlink" Target="https://acf.gov/css/policy-guidance/nprm-flexibility-efficiency-and-modernization-child-support-enforcement" TargetMode="External"/><Relationship Id="rId1716" Type="http://schemas.openxmlformats.org/officeDocument/2006/relationships/hyperlink" Target="https://acf.gov/css/policy-guidance/final-rule-requests-use-fpls-parental-kidnapping-and-child-custody-cases" TargetMode="External"/><Relationship Id="rId1923" Type="http://schemas.openxmlformats.org/officeDocument/2006/relationships/hyperlink" Target="https://acf.gov/css/policy-guidance/state-disbursement-unit-payment-processing-and-physical-security" TargetMode="External"/><Relationship Id="rId297" Type="http://schemas.openxmlformats.org/officeDocument/2006/relationships/hyperlink" Target="https://acf.gov/cb/policy-guidance/im-14-01" TargetMode="External"/><Relationship Id="rId2185" Type="http://schemas.openxmlformats.org/officeDocument/2006/relationships/hyperlink" Target="https://acf.gov/css/training-technical-assistance/guide-processing-national-interstate-case-reconciliation" TargetMode="External"/><Relationship Id="rId2392" Type="http://schemas.openxmlformats.org/officeDocument/2006/relationships/hyperlink" Target="https://acf.gov/orr/resource/refugee-technical-assistance-grantee" TargetMode="External"/><Relationship Id="rId3029" Type="http://schemas.openxmlformats.org/officeDocument/2006/relationships/hyperlink" Target="https://headstart.gov/local-early-childhood-partnerships/article/coordinated-enrollment-across-early-care-education-settings" TargetMode="External"/><Relationship Id="rId157" Type="http://schemas.openxmlformats.org/officeDocument/2006/relationships/hyperlink" Target="https://acf.gov/cb/policy-guidance/im-21-05" TargetMode="External"/><Relationship Id="rId364" Type="http://schemas.openxmlformats.org/officeDocument/2006/relationships/hyperlink" Target="https://acf.gov/cb/policy-guidance/im-01-10" TargetMode="External"/><Relationship Id="rId2045" Type="http://schemas.openxmlformats.org/officeDocument/2006/relationships/hyperlink" Target="https://acf.gov/css/policy-guidance/directory-interstate-central-registries" TargetMode="External"/><Relationship Id="rId2697" Type="http://schemas.openxmlformats.org/officeDocument/2006/relationships/hyperlink" Target="https://acf.gov/orr/policy-guidance/state-letter-01-04" TargetMode="External"/><Relationship Id="rId571" Type="http://schemas.openxmlformats.org/officeDocument/2006/relationships/hyperlink" Target="https://acf.gov/cb/policy-guidance/pi-08-07" TargetMode="External"/><Relationship Id="rId669" Type="http://schemas.openxmlformats.org/officeDocument/2006/relationships/hyperlink" Target="https://acf.gov/cb/policy-guidance/pi-94-01" TargetMode="External"/><Relationship Id="rId876" Type="http://schemas.openxmlformats.org/officeDocument/2006/relationships/hyperlink" Target="https://acf.gov/occ/resource/pi-2011-03" TargetMode="External"/><Relationship Id="rId1299" Type="http://schemas.openxmlformats.org/officeDocument/2006/relationships/hyperlink" Target="https://acf.gov/ocs/policy-guidance/liheap-im-2024-03-changes-liheap-eligibility-citizens-countries-governed" TargetMode="External"/><Relationship Id="rId2252" Type="http://schemas.openxmlformats.org/officeDocument/2006/relationships/hyperlink" Target="https://acf.gov/ecd/policy-guidance/strong-start-americas-children-senate-bill" TargetMode="External"/><Relationship Id="rId2557" Type="http://schemas.openxmlformats.org/officeDocument/2006/relationships/hyperlink" Target="https://acf.gov/orr/policy-guidance/state-letter-08-08" TargetMode="External"/><Relationship Id="rId224" Type="http://schemas.openxmlformats.org/officeDocument/2006/relationships/hyperlink" Target="https://acf.gov/cb/faq/can13" TargetMode="External"/><Relationship Id="rId431" Type="http://schemas.openxmlformats.org/officeDocument/2006/relationships/hyperlink" Target="https://acf.gov/cb/policy-guidance/im-90-08" TargetMode="External"/><Relationship Id="rId529" Type="http://schemas.openxmlformats.org/officeDocument/2006/relationships/hyperlink" Target="https://acf.gov/cb/policy-guidance/pi-13-01" TargetMode="External"/><Relationship Id="rId736" Type="http://schemas.openxmlformats.org/officeDocument/2006/relationships/hyperlink" Target="https://acf.gov/cb/faq/can2" TargetMode="External"/><Relationship Id="rId1061" Type="http://schemas.openxmlformats.org/officeDocument/2006/relationships/hyperlink" Target="https://acf.gov/occ/policy-guidance/ccdf-specific-guidance-transparency-act-requirements" TargetMode="External"/><Relationship Id="rId1159" Type="http://schemas.openxmlformats.org/officeDocument/2006/relationships/hyperlink" Target="https://acf.gov/ocs/policy-guidance/liheap-dcl-2024-02-first-liheap-funding-announced-award-fy-2024" TargetMode="External"/><Relationship Id="rId1366" Type="http://schemas.openxmlformats.org/officeDocument/2006/relationships/hyperlink" Target="https://acf.gov/ocs/resource/model-plan-application-for-fy-2011" TargetMode="External"/><Relationship Id="rId2112" Type="http://schemas.openxmlformats.org/officeDocument/2006/relationships/hyperlink" Target="https://acf.gov/css/policy-guidance/direct-unemployment-compensation-intercepts" TargetMode="External"/><Relationship Id="rId2417" Type="http://schemas.openxmlformats.org/officeDocument/2006/relationships/hyperlink" Target="https://acf.gov/orr/resource/orr-monitoring-initiative" TargetMode="External"/><Relationship Id="rId2764" Type="http://schemas.openxmlformats.org/officeDocument/2006/relationships/hyperlink" Target="https://acf.gov/sites/default/files/documents/orr/Sexual-Abuse-Hotline-Flyer-English.pdf" TargetMode="External"/><Relationship Id="rId2971" Type="http://schemas.openxmlformats.org/officeDocument/2006/relationships/hyperlink" Target="https://headstart.gov/policy/pi/acyf-pi-hs-06-06" TargetMode="External"/><Relationship Id="rId943" Type="http://schemas.openxmlformats.org/officeDocument/2006/relationships/hyperlink" Target="https://acf.gov/occ/faq/do-states-have-provide-information-about-developmental-screenings" TargetMode="External"/><Relationship Id="rId1019" Type="http://schemas.openxmlformats.org/officeDocument/2006/relationships/hyperlink" Target="https://acf.gov/occ/policy-guidance/ccdf-acf-pi-2016-05" TargetMode="External"/><Relationship Id="rId1573" Type="http://schemas.openxmlformats.org/officeDocument/2006/relationships/hyperlink" Target="https://acf.gov/css/policy-guidance/policy-questions-and-responses-regarding-ndnh-and-sdnh" TargetMode="External"/><Relationship Id="rId1780" Type="http://schemas.openxmlformats.org/officeDocument/2006/relationships/hyperlink" Target="https://acf.gov/css/policy-guidance/fy-2025-incentive-payment-pool-amount" TargetMode="External"/><Relationship Id="rId1878" Type="http://schemas.openxmlformats.org/officeDocument/2006/relationships/hyperlink" Target="https://acf.gov/css/policy-guidance/update-erroneous-federal-tax-refund-offsets-based-upon-fraudulent-returns" TargetMode="External"/><Relationship Id="rId2624" Type="http://schemas.openxmlformats.org/officeDocument/2006/relationships/hyperlink" Target="https://acf.gov/orr/policy-guidance/state-letter-05-32" TargetMode="External"/><Relationship Id="rId2831" Type="http://schemas.openxmlformats.org/officeDocument/2006/relationships/hyperlink" Target="https://acf.gov/ofa/policy-guidance/tanf-carry-over-funds-final-rule" TargetMode="External"/><Relationship Id="rId2929" Type="http://schemas.openxmlformats.org/officeDocument/2006/relationships/hyperlink" Target="https://headstart.gov/policy/im/acf-im-hs-12-01" TargetMode="External"/><Relationship Id="rId72" Type="http://schemas.openxmlformats.org/officeDocument/2006/relationships/hyperlink" Target="https://acf.gov/cb/faq/trauma-nofo-faq1" TargetMode="External"/><Relationship Id="rId803" Type="http://schemas.openxmlformats.org/officeDocument/2006/relationships/hyperlink" Target="https://acf.gov/occ/policy-guidance/acf-800-annual-aggregate-report-instructions-acf-occ-ccdf-pi-2025-08" TargetMode="External"/><Relationship Id="rId1226" Type="http://schemas.openxmlformats.org/officeDocument/2006/relationships/hyperlink" Target="https://acf.gov/ocs/resource/dear-colleague-notice-on-reallotment-of-fy-2017-liheap-funding" TargetMode="External"/><Relationship Id="rId1433" Type="http://schemas.openxmlformats.org/officeDocument/2006/relationships/hyperlink" Target="https://acf.gov/ocs/policy-guidance/liheap-im-2011-07-model-plan-and-program-integrity-assessment-application-fy" TargetMode="External"/><Relationship Id="rId1640" Type="http://schemas.openxmlformats.org/officeDocument/2006/relationships/hyperlink" Target="https://acf.gov/css/policy-guidance/revision-title-iv-d-state-plan-preprint-and-submission-state-plan-pages" TargetMode="External"/><Relationship Id="rId1738" Type="http://schemas.openxmlformats.org/officeDocument/2006/relationships/hyperlink" Target="https://acf.gov/css/policy-guidance/final-rule-optional-use-current-rate-ffp-distribute-arrearage-collections" TargetMode="External"/><Relationship Id="rId1500" Type="http://schemas.openxmlformats.org/officeDocument/2006/relationships/hyperlink" Target="https://acf.gov/css/policy-guidance/extension-ocse-157-annual-data-report-july-2020" TargetMode="External"/><Relationship Id="rId1945" Type="http://schemas.openxmlformats.org/officeDocument/2006/relationships/hyperlink" Target="https://acf.gov/css/policy-guidance/change-expedited-processes-exemption-requirements" TargetMode="External"/><Relationship Id="rId1805" Type="http://schemas.openxmlformats.org/officeDocument/2006/relationships/hyperlink" Target="https://acf.gov/css/policy-guidance/data-reliability-audit-requirements-fy-2023" TargetMode="External"/><Relationship Id="rId3020" Type="http://schemas.openxmlformats.org/officeDocument/2006/relationships/hyperlink" Target="https://headstart.gov/organizational-leadership/article/governance-leadership-oversight-capacity-screener-certification" TargetMode="External"/><Relationship Id="rId179" Type="http://schemas.openxmlformats.org/officeDocument/2006/relationships/hyperlink" Target="https://acf.gov/cb/policy-guidance/pi-20-10" TargetMode="External"/><Relationship Id="rId386" Type="http://schemas.openxmlformats.org/officeDocument/2006/relationships/hyperlink" Target="https://acf.gov/cb/policy-guidance/im-98-03" TargetMode="External"/><Relationship Id="rId593" Type="http://schemas.openxmlformats.org/officeDocument/2006/relationships/hyperlink" Target="https://acf.gov/cb/policy-guidance/pi-06-04" TargetMode="External"/><Relationship Id="rId2067" Type="http://schemas.openxmlformats.org/officeDocument/2006/relationships/hyperlink" Target="https://acf.gov/css/policy-guidance/administrative-offset-attorney-fees-under-equal-access-justice-act" TargetMode="External"/><Relationship Id="rId2274" Type="http://schemas.openxmlformats.org/officeDocument/2006/relationships/hyperlink" Target="https://acf.gov/orr/policy/dear-colleague-letters/25-10" TargetMode="External"/><Relationship Id="rId2481" Type="http://schemas.openxmlformats.org/officeDocument/2006/relationships/hyperlink" Target="https://acf.gov/orr/resource/pl-16-02-extension-of-the-waiver-of-rma-financial-eligibility-standards" TargetMode="External"/><Relationship Id="rId246" Type="http://schemas.openxmlformats.org/officeDocument/2006/relationships/hyperlink" Target="https://acf.gov/cb/policy-guidance/pi-18-12" TargetMode="External"/><Relationship Id="rId453" Type="http://schemas.openxmlformats.org/officeDocument/2006/relationships/hyperlink" Target="https://acf.gov/cb/policy-guidance/im-87-08" TargetMode="External"/><Relationship Id="rId660" Type="http://schemas.openxmlformats.org/officeDocument/2006/relationships/hyperlink" Target="https://acf.gov/cb/policy-guidance/pi-95-23" TargetMode="External"/><Relationship Id="rId898" Type="http://schemas.openxmlformats.org/officeDocument/2006/relationships/hyperlink" Target="https://acf.gov/occ/policy-guidance/pi-cc-05-02" TargetMode="External"/><Relationship Id="rId1083" Type="http://schemas.openxmlformats.org/officeDocument/2006/relationships/hyperlink" Target="https://acf.gov/ocs/policy-guidance/liheap-at2022-03-quarterly-report-submission-fy22" TargetMode="External"/><Relationship Id="rId1290" Type="http://schemas.openxmlformats.org/officeDocument/2006/relationships/hyperlink" Target="https://acf.gov/ocs/resource/liheap-webinar-on-the-release-of-liheap-funds" TargetMode="External"/><Relationship Id="rId2134" Type="http://schemas.openxmlformats.org/officeDocument/2006/relationships/hyperlink" Target="https://acf.gov/css/faq/what-if-i-have-more-one-child-support-order" TargetMode="External"/><Relationship Id="rId2341" Type="http://schemas.openxmlformats.org/officeDocument/2006/relationships/hyperlink" Target="https://acf.gov/sites/default/files/documents/orr/DCL-22-18-ARSI-S2S-Allocation.pdf" TargetMode="External"/><Relationship Id="rId2579" Type="http://schemas.openxmlformats.org/officeDocument/2006/relationships/hyperlink" Target="https://acf.gov/orr/policy-guidance/state-letter-06-03" TargetMode="External"/><Relationship Id="rId2786" Type="http://schemas.openxmlformats.org/officeDocument/2006/relationships/hyperlink" Target="https://acf.gov/sites/default/files/documents/ofvps/MinorRenovationsFVPSAFAQ%20-April%202023.pdf" TargetMode="External"/><Relationship Id="rId2993" Type="http://schemas.openxmlformats.org/officeDocument/2006/relationships/hyperlink" Target="https://headstart.gov/gestion-fiscal/articulo/administrative-cost-limitations" TargetMode="External"/><Relationship Id="rId106" Type="http://schemas.openxmlformats.org/officeDocument/2006/relationships/hyperlink" Target="https://acf.gov/cb/training-technical-assistance/ccwis-technical-bulletin-9" TargetMode="External"/><Relationship Id="rId313" Type="http://schemas.openxmlformats.org/officeDocument/2006/relationships/hyperlink" Target="https://acf.gov/cb/policy-guidance/acf-cms-fns-im-11-18" TargetMode="External"/><Relationship Id="rId758" Type="http://schemas.openxmlformats.org/officeDocument/2006/relationships/hyperlink" Target="https://acf.gov/occ/policy-guidance/ccdf-acf-im-2022-02" TargetMode="External"/><Relationship Id="rId965" Type="http://schemas.openxmlformats.org/officeDocument/2006/relationships/hyperlink" Target="https://acf.gov/occ/faq/how-does-law-help-build-supply-high-quality-providers-caring-all-children" TargetMode="External"/><Relationship Id="rId1150" Type="http://schemas.openxmlformats.org/officeDocument/2006/relationships/hyperlink" Target="https://acf.gov/ocs/resource/state-fy-2010-liheap-household-administrative-data-matching" TargetMode="External"/><Relationship Id="rId1388" Type="http://schemas.openxmlformats.org/officeDocument/2006/relationships/hyperlink" Target="https://acf.gov/ocs/resource/guidance-on-federal-means-tested-public-benefits" TargetMode="External"/><Relationship Id="rId1595" Type="http://schemas.openxmlformats.org/officeDocument/2006/relationships/hyperlink" Target="https://acf.gov/css/policy-guidance/nprm-paternity-establishment-provisions-contained-section-331-prwora" TargetMode="External"/><Relationship Id="rId2439" Type="http://schemas.openxmlformats.org/officeDocument/2006/relationships/hyperlink" Target="https://acf.gov/sites/default/files/documents/orr/Revised-PL-22-11-ASA-Legal-Assistance-RPU.pdf" TargetMode="External"/><Relationship Id="rId2646" Type="http://schemas.openxmlformats.org/officeDocument/2006/relationships/hyperlink" Target="https://acf.gov/orr/policy-guidance/state-letter-03-02" TargetMode="External"/><Relationship Id="rId2853" Type="http://schemas.openxmlformats.org/officeDocument/2006/relationships/hyperlink" Target="https://acf.gov/ofa/policy-guidance/tanf-acf-pi-2010-01-revised-form-ofa-100-emergency-fund-request-form" TargetMode="External"/><Relationship Id="rId94" Type="http://schemas.openxmlformats.org/officeDocument/2006/relationships/hyperlink" Target="https://acf.gov/cb/policy-guidance/pi-23-01" TargetMode="External"/><Relationship Id="rId520" Type="http://schemas.openxmlformats.org/officeDocument/2006/relationships/hyperlink" Target="https://acf.gov/cb/policy-guidance/pi-14-03" TargetMode="External"/><Relationship Id="rId618" Type="http://schemas.openxmlformats.org/officeDocument/2006/relationships/hyperlink" Target="https://acf.gov/cb/policy-guidance/pi-02-05" TargetMode="External"/><Relationship Id="rId825" Type="http://schemas.openxmlformats.org/officeDocument/2006/relationships/hyperlink" Target="https://acf.gov/occ/policy-guidance/ccdf-acf-pi-2022-02" TargetMode="External"/><Relationship Id="rId1248" Type="http://schemas.openxmlformats.org/officeDocument/2006/relationships/hyperlink" Target="https://acf.gov/ocs/resource/liheap-dear-colleague-notice-on-reallotment-of-fy-2015-liheap-funds-into-fy-2016" TargetMode="External"/><Relationship Id="rId1455" Type="http://schemas.openxmlformats.org/officeDocument/2006/relationships/hyperlink" Target="https://acf.gov/css/policy-guidance/submittal-sf-424-mandatory-form-fy-2025" TargetMode="External"/><Relationship Id="rId1662" Type="http://schemas.openxmlformats.org/officeDocument/2006/relationships/hyperlink" Target="https://acf.gov/css/policy-guidance/nprm-extension-iv-d-child-support-enforcement-services" TargetMode="External"/><Relationship Id="rId2201" Type="http://schemas.openxmlformats.org/officeDocument/2006/relationships/hyperlink" Target="https://acf.gov/css/training-technical-assistance/online-social-security-number-verification-tool" TargetMode="External"/><Relationship Id="rId2506" Type="http://schemas.openxmlformats.org/officeDocument/2006/relationships/hyperlink" Target="https://acf.gov/orr/policy-guidance/state-letter-13-03" TargetMode="External"/><Relationship Id="rId1010" Type="http://schemas.openxmlformats.org/officeDocument/2006/relationships/hyperlink" Target="https://acf.gov/occ/policy-guidance/guidance-alternative-approaches-purposes-conducting-background-checks-child" TargetMode="External"/><Relationship Id="rId1108" Type="http://schemas.openxmlformats.org/officeDocument/2006/relationships/hyperlink" Target="https://acf.gov/ocs/resource/liheap-performance-data-form-for-fiscal-year-fy-2016" TargetMode="External"/><Relationship Id="rId1315" Type="http://schemas.openxmlformats.org/officeDocument/2006/relationships/hyperlink" Target="https://acf.gov/ocs/resource/liheap-im-2020-01-hhs-poverty-guidelines-for-optional-use-in-ffy-2020-and-mandatory-use-in-ffy-2021" TargetMode="External"/><Relationship Id="rId1967" Type="http://schemas.openxmlformats.org/officeDocument/2006/relationships/hyperlink" Target="https://acf.gov/css/policy-guidance/child-support-resource-guide-state-iv-d-directors-2021" TargetMode="External"/><Relationship Id="rId2713" Type="http://schemas.openxmlformats.org/officeDocument/2006/relationships/hyperlink" Target="https://acf.gov/archive/orr/policy-guidance/state-letter-01-30" TargetMode="External"/><Relationship Id="rId2920" Type="http://schemas.openxmlformats.org/officeDocument/2006/relationships/hyperlink" Target="https://headstart.gov/policy/im/acf-im-hs-19-02" TargetMode="External"/><Relationship Id="rId1522" Type="http://schemas.openxmlformats.org/officeDocument/2006/relationships/hyperlink" Target="https://acf.gov/css/policy-guidance/final-rule-intergovernmental-child-support" TargetMode="External"/><Relationship Id="rId21" Type="http://schemas.openxmlformats.org/officeDocument/2006/relationships/hyperlink" Target="https://acf.gov/cb/policy-guidance/im-24-08" TargetMode="External"/><Relationship Id="rId2089" Type="http://schemas.openxmlformats.org/officeDocument/2006/relationships/hyperlink" Target="https://acf.gov/css/policy-guidance/medical-support-enforcement-under-iv-d-program-and-privacy-protections-under" TargetMode="External"/><Relationship Id="rId2296" Type="http://schemas.openxmlformats.org/officeDocument/2006/relationships/hyperlink" Target="https://acf.gov/orr/policy/dear-colleague-letters/24-01" TargetMode="External"/><Relationship Id="rId268" Type="http://schemas.openxmlformats.org/officeDocument/2006/relationships/hyperlink" Target="https://acf.gov/cb/policy-guidance/80-03" TargetMode="External"/><Relationship Id="rId475" Type="http://schemas.openxmlformats.org/officeDocument/2006/relationships/hyperlink" Target="https://acf.gov/cb/policy-guidance/im-84-21" TargetMode="External"/><Relationship Id="rId682" Type="http://schemas.openxmlformats.org/officeDocument/2006/relationships/hyperlink" Target="https://acf.gov/cb/policy-guidance/pi-92-03" TargetMode="External"/><Relationship Id="rId2156" Type="http://schemas.openxmlformats.org/officeDocument/2006/relationships/hyperlink" Target="https://acf.gov/css/faq/medical-support-answers-employers-questions" TargetMode="External"/><Relationship Id="rId2363" Type="http://schemas.openxmlformats.org/officeDocument/2006/relationships/hyperlink" Target="https://acf.gov/sites/default/files/documents/orr/ORR-DCL-21-14-Updates-to-RADS-Functionality.pdf" TargetMode="External"/><Relationship Id="rId2570" Type="http://schemas.openxmlformats.org/officeDocument/2006/relationships/hyperlink" Target="https://acf.gov/orr/policy-guidance/state-letter-07-10" TargetMode="External"/><Relationship Id="rId128" Type="http://schemas.openxmlformats.org/officeDocument/2006/relationships/hyperlink" Target="https://acf.gov/cb/policy-guidance/pi-21-08" TargetMode="External"/><Relationship Id="rId335" Type="http://schemas.openxmlformats.org/officeDocument/2006/relationships/hyperlink" Target="https://acf.gov/cb/policy-guidance/im-05-08" TargetMode="External"/><Relationship Id="rId542" Type="http://schemas.openxmlformats.org/officeDocument/2006/relationships/hyperlink" Target="https://acf.gov/cb/policy-guidance/pi-11-04" TargetMode="External"/><Relationship Id="rId1172" Type="http://schemas.openxmlformats.org/officeDocument/2006/relationships/hyperlink" Target="https://acf.gov/ocs/policy-guidance/liheap-dcl-2023-06-reporting-requirements-fy-2023" TargetMode="External"/><Relationship Id="rId2016" Type="http://schemas.openxmlformats.org/officeDocument/2006/relationships/hyperlink" Target="https://acf.gov/css/policy-guidance/child-support-and-vital-records-data-exchange-successful-practices" TargetMode="External"/><Relationship Id="rId2223" Type="http://schemas.openxmlformats.org/officeDocument/2006/relationships/hyperlink" Target="https://acf.gov/ecd/policy-guidance/tribal-miechv-implementation-plan-guidance-and-form-1" TargetMode="External"/><Relationship Id="rId2430" Type="http://schemas.openxmlformats.org/officeDocument/2006/relationships/hyperlink" Target="https://acf.gov/sites/default/files/documents/orr/pl-23-05-orr-authorized-legal-assistance-using-ausaa-funds.pdf" TargetMode="External"/><Relationship Id="rId402" Type="http://schemas.openxmlformats.org/officeDocument/2006/relationships/hyperlink" Target="https://acf.gov/cb/policy-guidance/im-96-01" TargetMode="External"/><Relationship Id="rId1032" Type="http://schemas.openxmlformats.org/officeDocument/2006/relationships/hyperlink" Target="https://acf.gov/occ/policy-guidance/acf-800-annual-aggregate-report-instructions-ccdf-acf-pi-2022-04" TargetMode="External"/><Relationship Id="rId1989" Type="http://schemas.openxmlformats.org/officeDocument/2006/relationships/hyperlink" Target="https://acf.gov/css/policy-guidance/toolkit-collaborations-assist-veterans" TargetMode="External"/><Relationship Id="rId1849" Type="http://schemas.openxmlformats.org/officeDocument/2006/relationships/hyperlink" Target="https://acf.gov/css/policy-guidance/us-objection-accession-guyana-hague-convention" TargetMode="External"/><Relationship Id="rId192" Type="http://schemas.openxmlformats.org/officeDocument/2006/relationships/hyperlink" Target="https://acf.gov/cb/policy-guidance/guidance-flexible-convening-court-hearings-during-covid-19" TargetMode="External"/><Relationship Id="rId1709" Type="http://schemas.openxmlformats.org/officeDocument/2006/relationships/hyperlink" Target="https://acf.gov/css/policy-guidance/final-rule-case-assessment-costs-services-non-afdc-families-reduction-program" TargetMode="External"/><Relationship Id="rId1916" Type="http://schemas.openxmlformats.org/officeDocument/2006/relationships/hyperlink" Target="https://acf.gov/css/policy-guidance/cost-allocation-methodologies-toolkit" TargetMode="External"/><Relationship Id="rId2080" Type="http://schemas.openxmlformats.org/officeDocument/2006/relationships/hyperlink" Target="https://acf.gov/css/policy-guidance/sending-national-medical-support-notice-defense-management-data-center" TargetMode="External"/><Relationship Id="rId2897" Type="http://schemas.openxmlformats.org/officeDocument/2006/relationships/hyperlink" Target="https://headstart.gov/policy/im/acf-ohs-im-25-04" TargetMode="External"/><Relationship Id="rId869" Type="http://schemas.openxmlformats.org/officeDocument/2006/relationships/hyperlink" Target="https://acf.gov/archive/occ/policy-guidance/fy2013-child-care-and-development-fund-ccdf-tribal-mandatory-and" TargetMode="External"/><Relationship Id="rId1499" Type="http://schemas.openxmlformats.org/officeDocument/2006/relationships/hyperlink" Target="https://acf.gov/css/policy-guidance/2017-update-automated-systems-child-support-enforcement-guide-states" TargetMode="External"/><Relationship Id="rId729" Type="http://schemas.openxmlformats.org/officeDocument/2006/relationships/hyperlink" Target="https://acf.gov/cb/faq/adoption14" TargetMode="External"/><Relationship Id="rId1359" Type="http://schemas.openxmlformats.org/officeDocument/2006/relationships/hyperlink" Target="https://acf.gov/ocs/resource/update-on-the-new-liheap-performance-measures-and-upcoming-webinars" TargetMode="External"/><Relationship Id="rId2757" Type="http://schemas.openxmlformats.org/officeDocument/2006/relationships/hyperlink" Target="https://acf.gov/sites/default/files/documents/orr/fg-25-vor-card-guidance-selected-grantees.pdf" TargetMode="External"/><Relationship Id="rId2964" Type="http://schemas.openxmlformats.org/officeDocument/2006/relationships/hyperlink" Target="https://headstart.gov/policy/pi/acf-pi-hs-12-02" TargetMode="External"/><Relationship Id="rId936" Type="http://schemas.openxmlformats.org/officeDocument/2006/relationships/hyperlink" Target="https://acf.gov/occ/faq/what-are-monitoring-requirements-new-law" TargetMode="External"/><Relationship Id="rId1219" Type="http://schemas.openxmlformats.org/officeDocument/2006/relationships/hyperlink" Target="https://acf.gov/ocs/resource/liheap-dcl-new-format-ims-ats-dcls" TargetMode="External"/><Relationship Id="rId1566" Type="http://schemas.openxmlformats.org/officeDocument/2006/relationships/hyperlink" Target="https://acf.gov/css/policy-guidance/consideration-ffp-state-system-acquisitions-without-prior-approval" TargetMode="External"/><Relationship Id="rId1773" Type="http://schemas.openxmlformats.org/officeDocument/2006/relationships/hyperlink" Target="https://acf.gov/css/policy-guidance/open-comment-period-revised-national-medical-support-notice" TargetMode="External"/><Relationship Id="rId1980" Type="http://schemas.openxmlformats.org/officeDocument/2006/relationships/hyperlink" Target="https://acf.gov/css/policy-guidance/outgoing-convention-applications-portugal-recognition-and-enforcement-decision" TargetMode="External"/><Relationship Id="rId2617" Type="http://schemas.openxmlformats.org/officeDocument/2006/relationships/hyperlink" Target="https://acf.gov/orr/policy-guidance/state-letter-05-25" TargetMode="External"/><Relationship Id="rId2824" Type="http://schemas.openxmlformats.org/officeDocument/2006/relationships/hyperlink" Target="https://acf.gov/ofa/policy-guidance/domestic-violence-awareness-month" TargetMode="External"/><Relationship Id="rId65" Type="http://schemas.openxmlformats.org/officeDocument/2006/relationships/hyperlink" Target="https://acf.gov/cb/faq/how-do-i-submit-letter-intent" TargetMode="External"/><Relationship Id="rId1426" Type="http://schemas.openxmlformats.org/officeDocument/2006/relationships/hyperlink" Target="https://acf.gov/ocs/policy-guidance/liheap-dcl-federal-register-notice-announcing-approximately-31-million" TargetMode="External"/><Relationship Id="rId1633" Type="http://schemas.openxmlformats.org/officeDocument/2006/relationships/hyperlink" Target="https://acf.gov/css/policy-guidance/fees-submitting-cases-federal-parent-locator-service" TargetMode="External"/><Relationship Id="rId1840" Type="http://schemas.openxmlformats.org/officeDocument/2006/relationships/hyperlink" Target="https://acf.gov/css/policy-guidance/open-comment-period-forms-ocse-396-and-ocse-34" TargetMode="External"/><Relationship Id="rId1700" Type="http://schemas.openxmlformats.org/officeDocument/2006/relationships/hyperlink" Target="https://acf.gov/css/policy-guidance/final-rule-corrections-revision-child-support-enforcement-program-audit" TargetMode="External"/><Relationship Id="rId379" Type="http://schemas.openxmlformats.org/officeDocument/2006/relationships/hyperlink" Target="https://acf.gov/cb/policy-guidance/im-00-01" TargetMode="External"/><Relationship Id="rId586" Type="http://schemas.openxmlformats.org/officeDocument/2006/relationships/hyperlink" Target="https://acf.gov/cb/policy-guidance/pi-07-03" TargetMode="External"/><Relationship Id="rId793" Type="http://schemas.openxmlformats.org/officeDocument/2006/relationships/hyperlink" Target="https://acf.gov/occ/policy-guidance/arp-act-increased-mandatory-and-matching-funds" TargetMode="External"/><Relationship Id="rId2267" Type="http://schemas.openxmlformats.org/officeDocument/2006/relationships/hyperlink" Target="https://acf.gov/cb/training-technical-assistance/technology-engage-nytd-survey" TargetMode="External"/><Relationship Id="rId2474" Type="http://schemas.openxmlformats.org/officeDocument/2006/relationships/hyperlink" Target="https://acf.gov/orr/resource/data-sharing" TargetMode="External"/><Relationship Id="rId2681" Type="http://schemas.openxmlformats.org/officeDocument/2006/relationships/hyperlink" Target="https://acf.gov/orr/policy-guidance/state-letter-02-19" TargetMode="External"/><Relationship Id="rId239" Type="http://schemas.openxmlformats.org/officeDocument/2006/relationships/hyperlink" Target="https://acf.gov/cb/policy-guidance/im-19-01" TargetMode="External"/><Relationship Id="rId446" Type="http://schemas.openxmlformats.org/officeDocument/2006/relationships/hyperlink" Target="https://acf.gov/cb/policy-guidance/im-88-02" TargetMode="External"/><Relationship Id="rId653" Type="http://schemas.openxmlformats.org/officeDocument/2006/relationships/hyperlink" Target="https://acf.gov/cb/policy-guidance/pi-nccan-97-01" TargetMode="External"/><Relationship Id="rId1076" Type="http://schemas.openxmlformats.org/officeDocument/2006/relationships/hyperlink" Target="https://acf.gov/ocs/policy-guidance/liheap-2023-02-performance-data-form-ffy-2022" TargetMode="External"/><Relationship Id="rId1283" Type="http://schemas.openxmlformats.org/officeDocument/2006/relationships/hyperlink" Target="https://acf.gov/ocs/resource/liheap-regulations-45-cfr-9649-states" TargetMode="External"/><Relationship Id="rId1490" Type="http://schemas.openxmlformats.org/officeDocument/2006/relationships/hyperlink" Target="https://acf.gov/css/policy-guidance/update-revised-part-national-medical-support-notice-and-instructions" TargetMode="External"/><Relationship Id="rId2127" Type="http://schemas.openxmlformats.org/officeDocument/2006/relationships/hyperlink" Target="https://acf.gov/css/faq/what-does-child-support-program-do" TargetMode="External"/><Relationship Id="rId2334" Type="http://schemas.openxmlformats.org/officeDocument/2006/relationships/hyperlink" Target="https://acf.gov/sites/default/files/documents/orr/DCL-23-01-Refugee-Health-Promotion-Set-Aside-FY2023-Funding.pdf" TargetMode="External"/><Relationship Id="rId306" Type="http://schemas.openxmlformats.org/officeDocument/2006/relationships/hyperlink" Target="https://acf.gov/cb/policy-guidance/im-12-02" TargetMode="External"/><Relationship Id="rId860" Type="http://schemas.openxmlformats.org/officeDocument/2006/relationships/hyperlink" Target="https://acf.gov/archive/occ/policy-guidance/program-instruction-ccdf-acf-pi-2013-07" TargetMode="External"/><Relationship Id="rId1143" Type="http://schemas.openxmlformats.org/officeDocument/2006/relationships/hyperlink" Target="https://acf.gov/ocs/resource/liheap-household-report-for-federal-fiscal-year-ffy-2011" TargetMode="External"/><Relationship Id="rId2541" Type="http://schemas.openxmlformats.org/officeDocument/2006/relationships/hyperlink" Target="https://acf.gov/orr/policy-guidance/state-letter-09-17" TargetMode="External"/><Relationship Id="rId513" Type="http://schemas.openxmlformats.org/officeDocument/2006/relationships/hyperlink" Target="https://acf.gov/cb/policy-guidance/pi-15-04" TargetMode="External"/><Relationship Id="rId720" Type="http://schemas.openxmlformats.org/officeDocument/2006/relationships/hyperlink" Target="https://acf.gov/cb/policy-guidance/pi-80-03" TargetMode="External"/><Relationship Id="rId1350" Type="http://schemas.openxmlformats.org/officeDocument/2006/relationships/hyperlink" Target="https://acf.gov/ocs/resource/treatment-of-per-capita-payments-0" TargetMode="External"/><Relationship Id="rId2401" Type="http://schemas.openxmlformats.org/officeDocument/2006/relationships/hyperlink" Target="https://acf.gov/orr/resource/fiscal-year-2017-targeted-assistance-formula-allocations" TargetMode="External"/><Relationship Id="rId1003" Type="http://schemas.openxmlformats.org/officeDocument/2006/relationships/hyperlink" Target="https://acf.gov/occ/policy-guidance/letter-regarding-im-acf-oa-2020-01" TargetMode="External"/><Relationship Id="rId1210" Type="http://schemas.openxmlformats.org/officeDocument/2006/relationships/hyperlink" Target="https://acf.gov/ocs/resource/liheap-dcl" TargetMode="External"/><Relationship Id="rId2191" Type="http://schemas.openxmlformats.org/officeDocument/2006/relationships/hyperlink" Target="https://acf.gov/css/training-technical-assistance/income-withholding-support-and-state-disbursement-unit" TargetMode="External"/><Relationship Id="rId3035" Type="http://schemas.openxmlformats.org/officeDocument/2006/relationships/hyperlink" Target="https://headstart.gov/policy/im/acf-ohs-im-25-01" TargetMode="External"/><Relationship Id="rId163" Type="http://schemas.openxmlformats.org/officeDocument/2006/relationships/hyperlink" Target="https://acf.gov/cb/policy-guidance/pi-20-13" TargetMode="External"/><Relationship Id="rId370" Type="http://schemas.openxmlformats.org/officeDocument/2006/relationships/hyperlink" Target="https://acf.gov/cb/policy-guidance/im-01-04" TargetMode="External"/><Relationship Id="rId2051" Type="http://schemas.openxmlformats.org/officeDocument/2006/relationships/hyperlink" Target="https://acf.gov/css/policy-guidance/full-faith-and-credit-child-support-orders-act" TargetMode="External"/><Relationship Id="rId230" Type="http://schemas.openxmlformats.org/officeDocument/2006/relationships/hyperlink" Target="https://acf.gov/cb/grant-funding/checklist-2021-annual-progress-and-services-review-reports-apsrs-due-june-30-2020" TargetMode="External"/><Relationship Id="rId2868" Type="http://schemas.openxmlformats.org/officeDocument/2006/relationships/hyperlink" Target="https://acf.gov/ofa/policy-guidance/tanf-acf-pi-2016-03-form-acf-4125-children-foster-homes-and-children-families" TargetMode="External"/><Relationship Id="rId1677" Type="http://schemas.openxmlformats.org/officeDocument/2006/relationships/hyperlink" Target="https://acf.gov/css/policy-guidance/final-rule-automatic-data-processing-equipment-and-services-conditions-ffp-1988" TargetMode="External"/><Relationship Id="rId1884" Type="http://schemas.openxmlformats.org/officeDocument/2006/relationships/hyperlink" Target="https://acf.gov/css/policy-guidance/restructured-project-save-our-children-psoc-services" TargetMode="External"/><Relationship Id="rId2728" Type="http://schemas.openxmlformats.org/officeDocument/2006/relationships/hyperlink" Target="https://acf.gov/orr/resource/state-letter-00-19" TargetMode="External"/><Relationship Id="rId2935" Type="http://schemas.openxmlformats.org/officeDocument/2006/relationships/hyperlink" Target="https://headstart.gov/policy/pi/acf-ohs-pi-24-04" TargetMode="External"/><Relationship Id="rId907" Type="http://schemas.openxmlformats.org/officeDocument/2006/relationships/hyperlink" Target="https://acf.gov/sites/default/files/documents/occ/tb5r_v4.pdf" TargetMode="External"/><Relationship Id="rId1537" Type="http://schemas.openxmlformats.org/officeDocument/2006/relationships/hyperlink" Target="https://acf.gov/css/policy-guidance/nprm-implementing-provisions-title-iv-d-social-security-act-amended-deficit" TargetMode="External"/><Relationship Id="rId1744" Type="http://schemas.openxmlformats.org/officeDocument/2006/relationships/hyperlink" Target="https://acf.gov/css/policy-guidance/appeals-procedures-subsequent-disallowance-action-regional-representatives" TargetMode="External"/><Relationship Id="rId1951" Type="http://schemas.openxmlformats.org/officeDocument/2006/relationships/hyperlink" Target="https://acf.gov/css/policy-guidance/criminal-non-support-child-support" TargetMode="External"/><Relationship Id="rId36" Type="http://schemas.openxmlformats.org/officeDocument/2006/relationships/hyperlink" Target="https://acf.gov/cb/policy-guidance/im-24-06" TargetMode="External"/><Relationship Id="rId1604" Type="http://schemas.openxmlformats.org/officeDocument/2006/relationships/hyperlink" Target="https://acf.gov/css/policy-guidance/recoupment-federal-share-collections-made-behalf-children-foster-care" TargetMode="External"/><Relationship Id="rId1811" Type="http://schemas.openxmlformats.org/officeDocument/2006/relationships/hyperlink" Target="https://acf.gov/css/policy-guidance/updates-covid-19-flexibilities" TargetMode="External"/><Relationship Id="rId697" Type="http://schemas.openxmlformats.org/officeDocument/2006/relationships/hyperlink" Target="https://acf.gov/cb/policy-guidance/pi-85-03" TargetMode="External"/><Relationship Id="rId2378" Type="http://schemas.openxmlformats.org/officeDocument/2006/relationships/hyperlink" Target="https://acf.gov/sites/default/files/documents/orr/dcl_20_10_fy20_revised_rss_formula_allocations.pdf" TargetMode="External"/><Relationship Id="rId1187" Type="http://schemas.openxmlformats.org/officeDocument/2006/relationships/hyperlink" Target="https://acf.gov/ocs/policy-guidance/liheap-dcl-2022-06-national-energy-assistance-day-fy2022" TargetMode="External"/><Relationship Id="rId2585" Type="http://schemas.openxmlformats.org/officeDocument/2006/relationships/hyperlink" Target="https://acf.gov/orr/policy-guidance/state-letter-06-10" TargetMode="External"/><Relationship Id="rId2792" Type="http://schemas.openxmlformats.org/officeDocument/2006/relationships/hyperlink" Target="https://acf.gov/fysb/news/faqs-allowable-use-fvpsa-funds-during-covid-19-public-health-emergency" TargetMode="External"/><Relationship Id="rId557" Type="http://schemas.openxmlformats.org/officeDocument/2006/relationships/hyperlink" Target="https://acf.gov/cb/policy-guidance/pi-10-03" TargetMode="External"/><Relationship Id="rId764" Type="http://schemas.openxmlformats.org/officeDocument/2006/relationships/hyperlink" Target="https://acf.gov/occ/resource/ccdf-acf-im-2020-01" TargetMode="External"/><Relationship Id="rId971" Type="http://schemas.openxmlformats.org/officeDocument/2006/relationships/hyperlink" Target="https://acf.gov/occ/faq/does-new-law-require-minimum-health-and-safety-trainings-ccdf-providers" TargetMode="External"/><Relationship Id="rId1394" Type="http://schemas.openxmlformats.org/officeDocument/2006/relationships/hyperlink" Target="https://acf.gov/ocs/resource/policy-guidance-on-serving-persons-with-limited-english-proficiency" TargetMode="External"/><Relationship Id="rId2238" Type="http://schemas.openxmlformats.org/officeDocument/2006/relationships/hyperlink" Target="https://acf.gov/ecd/policy-guidance/early-childhood-homelessness-guidance-document" TargetMode="External"/><Relationship Id="rId2445" Type="http://schemas.openxmlformats.org/officeDocument/2006/relationships/hyperlink" Target="https://acf.gov/sites/default/files/documents/orr/orr-pl-22-05-orr-funds-and-flexibilities-during-emergencies-and-disasters.pdf" TargetMode="External"/><Relationship Id="rId2652" Type="http://schemas.openxmlformats.org/officeDocument/2006/relationships/hyperlink" Target="https://acf.gov/orr/policy-guidance/state-letter-03-09" TargetMode="External"/><Relationship Id="rId417" Type="http://schemas.openxmlformats.org/officeDocument/2006/relationships/hyperlink" Target="https://acf.gov/cb/policy-guidance/im-93-19" TargetMode="External"/><Relationship Id="rId624" Type="http://schemas.openxmlformats.org/officeDocument/2006/relationships/hyperlink" Target="https://acf.gov/cb/policy-guidance/pi-01-07" TargetMode="External"/><Relationship Id="rId831" Type="http://schemas.openxmlformats.org/officeDocument/2006/relationships/hyperlink" Target="https://acf.gov/occ/policy-guidance/ccdf-acf-pi-2021-03" TargetMode="External"/><Relationship Id="rId1047" Type="http://schemas.openxmlformats.org/officeDocument/2006/relationships/hyperlink" Target="https://acf.gov/occ/policy-guidance/timeliness-acf-700-data-submissions" TargetMode="External"/><Relationship Id="rId1254" Type="http://schemas.openxmlformats.org/officeDocument/2006/relationships/hyperlink" Target="https://acf.gov/ocs/resource/dear-colleague-notice-on-fy-2016" TargetMode="External"/><Relationship Id="rId1461" Type="http://schemas.openxmlformats.org/officeDocument/2006/relationships/hyperlink" Target="https://acf.gov/css/policy-guidance/revised-iwo-form-and-instructions-expire-aug-31-2026" TargetMode="External"/><Relationship Id="rId2305" Type="http://schemas.openxmlformats.org/officeDocument/2006/relationships/hyperlink" Target="https://acf.gov/sites/default/files/documents/orr/ORR%20DCL%2023-31-CMA%20ORR-2-Supplemental-Data-Collection.pdf" TargetMode="External"/><Relationship Id="rId2512" Type="http://schemas.openxmlformats.org/officeDocument/2006/relationships/hyperlink" Target="https://acf.gov/orr/resource/state-letter-12-09" TargetMode="External"/><Relationship Id="rId1114" Type="http://schemas.openxmlformats.org/officeDocument/2006/relationships/hyperlink" Target="https://acf.gov/ocs/resource/liheap-performance-data-form-for-federal-fiscal-year-2015" TargetMode="External"/><Relationship Id="rId1321" Type="http://schemas.openxmlformats.org/officeDocument/2006/relationships/hyperlink" Target="https://acf.gov/ocs/resource/state-median-income-estimates-for-optional-use-in-fy-2018-and-mandatory-use-in-fy-2019" TargetMode="External"/><Relationship Id="rId2095" Type="http://schemas.openxmlformats.org/officeDocument/2006/relationships/hyperlink" Target="https://acf.gov/css/policy-guidance/private-collection-agencies-agent-child-and-third-party-address-correspondence" TargetMode="External"/><Relationship Id="rId274" Type="http://schemas.openxmlformats.org/officeDocument/2006/relationships/hyperlink" Target="https://acf.gov/cb/policy-guidance/im-17-05" TargetMode="External"/><Relationship Id="rId481" Type="http://schemas.openxmlformats.org/officeDocument/2006/relationships/hyperlink" Target="https://acf.gov/cb/policy-guidance/im-82-06" TargetMode="External"/><Relationship Id="rId2162" Type="http://schemas.openxmlformats.org/officeDocument/2006/relationships/hyperlink" Target="https://acf.gov/css/training-technical-assistance/interstate-case-reconciliation-case-id-matrix" TargetMode="External"/><Relationship Id="rId3006" Type="http://schemas.openxmlformats.org/officeDocument/2006/relationships/hyperlink" Target="https://headstart.gov/ersea/article/poverty-guidelines-determining-eligibility-participation-head-start-programs" TargetMode="External"/><Relationship Id="rId134" Type="http://schemas.openxmlformats.org/officeDocument/2006/relationships/hyperlink" Target="https://acf.gov/cb/faq/foster-care7" TargetMode="External"/><Relationship Id="rId341" Type="http://schemas.openxmlformats.org/officeDocument/2006/relationships/hyperlink" Target="https://acf.gov/cb/policy-guidance/im-05-04" TargetMode="External"/><Relationship Id="rId2022" Type="http://schemas.openxmlformats.org/officeDocument/2006/relationships/hyperlink" Target="https://acf.gov/css/policy-guidance/story-behind-numbers-collecting-interstate-child-support" TargetMode="External"/><Relationship Id="rId2979" Type="http://schemas.openxmlformats.org/officeDocument/2006/relationships/hyperlink" Target="https://headstart.gov/ersea/article/snap-public-assistance-head-start-eligibility-faqs" TargetMode="External"/><Relationship Id="rId201" Type="http://schemas.openxmlformats.org/officeDocument/2006/relationships/hyperlink" Target="https://acf.gov/cb/policy-guidance/im-20-04" TargetMode="External"/><Relationship Id="rId1788" Type="http://schemas.openxmlformats.org/officeDocument/2006/relationships/hyperlink" Target="https://acf.gov/css/policy-guidance/open-comment-period-intergovernmental-reference-guide-2024" TargetMode="External"/><Relationship Id="rId1995" Type="http://schemas.openxmlformats.org/officeDocument/2006/relationships/hyperlink" Target="https://acf.gov/css/policy-guidance/tribal-child-support-budget-toolbox-and-technical-assistance" TargetMode="External"/><Relationship Id="rId2839" Type="http://schemas.openxmlformats.org/officeDocument/2006/relationships/hyperlink" Target="https://acf.gov/ofa/policy-guidance/reauthorization-tanf-interim-final-rule" TargetMode="External"/><Relationship Id="rId1648" Type="http://schemas.openxmlformats.org/officeDocument/2006/relationships/hyperlink" Target="https://acf.gov/css/policy-guidance/apd-requirements-meet-child-support-system-provision-family-support-act-1988" TargetMode="External"/><Relationship Id="rId1508" Type="http://schemas.openxmlformats.org/officeDocument/2006/relationships/hyperlink" Target="https://acf.gov/css/policy-guidance/automated-state-plan-submission-and-review-process" TargetMode="External"/><Relationship Id="rId1855" Type="http://schemas.openxmlformats.org/officeDocument/2006/relationships/hyperlink" Target="https://acf.gov/css/policy-guidance/medical-support-outgoing-cases-canada" TargetMode="External"/><Relationship Id="rId2906" Type="http://schemas.openxmlformats.org/officeDocument/2006/relationships/hyperlink" Target="https://headstart.gov/policy/im/acf-im-hs-23-01" TargetMode="External"/><Relationship Id="rId1715" Type="http://schemas.openxmlformats.org/officeDocument/2006/relationships/hyperlink" Target="https://acf.gov/css/policy-guidance/final-rule-involuntary-child-and-spousal-support-allotments" TargetMode="External"/><Relationship Id="rId1922" Type="http://schemas.openxmlformats.org/officeDocument/2006/relationships/hyperlink" Target="https://acf.gov/css/policy-guidance/service-process-child-support-matters-united-states" TargetMode="External"/><Relationship Id="rId2489" Type="http://schemas.openxmlformats.org/officeDocument/2006/relationships/hyperlink" Target="https://acf.gov/orr/policy-guidance/state-letter-15-09" TargetMode="External"/><Relationship Id="rId2696" Type="http://schemas.openxmlformats.org/officeDocument/2006/relationships/hyperlink" Target="https://acf.gov/orr/policy-guidance/state-letter-01-03" TargetMode="External"/><Relationship Id="rId668" Type="http://schemas.openxmlformats.org/officeDocument/2006/relationships/hyperlink" Target="https://acf.gov/cb/policy-guidance/pi-94-03" TargetMode="External"/><Relationship Id="rId875" Type="http://schemas.openxmlformats.org/officeDocument/2006/relationships/hyperlink" Target="https://acf.gov/occ/policy-guidance/ccdf-acf-pi-2011-02" TargetMode="External"/><Relationship Id="rId1298" Type="http://schemas.openxmlformats.org/officeDocument/2006/relationships/hyperlink" Target="https://acf.gov/ocs/policy-guidance/liheap-im-2024-02-federal-poverty-guidelines-and-state-median-income-estimates" TargetMode="External"/><Relationship Id="rId2349" Type="http://schemas.openxmlformats.org/officeDocument/2006/relationships/hyperlink" Target="https://acf.gov/sites/default/files/documents/orr/orr-dcl-22-10-rss-asa-fy2022-second-allocation.pdf" TargetMode="External"/><Relationship Id="rId2556" Type="http://schemas.openxmlformats.org/officeDocument/2006/relationships/hyperlink" Target="https://acf.gov/orr/policy-guidance/state-letter-08-07" TargetMode="External"/><Relationship Id="rId2763" Type="http://schemas.openxmlformats.org/officeDocument/2006/relationships/hyperlink" Target="https://acf.gov/sites/default/files/documents/orr/Sponsor-Handbook-English.pdf" TargetMode="External"/><Relationship Id="rId2970" Type="http://schemas.openxmlformats.org/officeDocument/2006/relationships/hyperlink" Target="https://headstart.gov/policy/pi/acf-pi-hs-07-04" TargetMode="External"/><Relationship Id="rId528" Type="http://schemas.openxmlformats.org/officeDocument/2006/relationships/hyperlink" Target="https://acf.gov/cb/policy-guidance/pi-13-02" TargetMode="External"/><Relationship Id="rId735" Type="http://schemas.openxmlformats.org/officeDocument/2006/relationships/hyperlink" Target="https://acf.gov/cb/faq/can3" TargetMode="External"/><Relationship Id="rId942" Type="http://schemas.openxmlformats.org/officeDocument/2006/relationships/hyperlink" Target="https://acf.gov/occ/faq/how-are-states-make-available-results-monitoring-and-inspections" TargetMode="External"/><Relationship Id="rId1158" Type="http://schemas.openxmlformats.org/officeDocument/2006/relationships/hyperlink" Target="https://acf.gov/ocs/policy-guidance/liheap-dcl-2024-02-proposed-changes-liheap-model-plan-application-fy-25" TargetMode="External"/><Relationship Id="rId1365" Type="http://schemas.openxmlformats.org/officeDocument/2006/relationships/hyperlink" Target="https://acf.gov/ocs/resource/liheap-allocations-fy-2010-emergency-contingency-490-million" TargetMode="External"/><Relationship Id="rId1572" Type="http://schemas.openxmlformats.org/officeDocument/2006/relationships/hyperlink" Target="https://acf.gov/css/policy-guidance/final-rule-grants-states-access-and-visitation-programs" TargetMode="External"/><Relationship Id="rId2209" Type="http://schemas.openxmlformats.org/officeDocument/2006/relationships/hyperlink" Target="https://acf.gov/css/training-technical-assistance/feasibility-alternatives-and-cost-benefit-analysis-guide" TargetMode="External"/><Relationship Id="rId2416" Type="http://schemas.openxmlformats.org/officeDocument/2006/relationships/hyperlink" Target="https://acf.gov/orr/resource/fiscal-year-2017-planning" TargetMode="External"/><Relationship Id="rId2623" Type="http://schemas.openxmlformats.org/officeDocument/2006/relationships/hyperlink" Target="https://acf.gov/orr/policy-guidance/state-letter-05-31" TargetMode="External"/><Relationship Id="rId1018" Type="http://schemas.openxmlformats.org/officeDocument/2006/relationships/hyperlink" Target="https://acf.gov/occ/policy-guidance/ccdf-acf-pi-2016-07" TargetMode="External"/><Relationship Id="rId1225" Type="http://schemas.openxmlformats.org/officeDocument/2006/relationships/hyperlink" Target="https://acf.gov/ocs/resource/release-of-preliminary-ffy-2016-and-ffy-2015-liheap-data" TargetMode="External"/><Relationship Id="rId1432" Type="http://schemas.openxmlformats.org/officeDocument/2006/relationships/hyperlink" Target="https://acf.gov/ocs/policy-guidance/liheap-im-2011-8-federal-poverty-guidelines-optional-use-fy-2011" TargetMode="External"/><Relationship Id="rId2830" Type="http://schemas.openxmlformats.org/officeDocument/2006/relationships/hyperlink" Target="https://acf.gov/ofa/policy-guidance/use-tanf-funds-support-summer-jobs-youth" TargetMode="External"/><Relationship Id="rId71" Type="http://schemas.openxmlformats.org/officeDocument/2006/relationships/hyperlink" Target="https://acf.gov/cb/policy-guidance/pi-23-09" TargetMode="External"/><Relationship Id="rId802" Type="http://schemas.openxmlformats.org/officeDocument/2006/relationships/hyperlink" Target="https://acf.gov/occ/resource/piq-acyf-piq-cc-97-01" TargetMode="External"/><Relationship Id="rId178" Type="http://schemas.openxmlformats.org/officeDocument/2006/relationships/hyperlink" Target="https://acf.gov/cb/policy-guidance/im-20-07" TargetMode="External"/><Relationship Id="rId385" Type="http://schemas.openxmlformats.org/officeDocument/2006/relationships/hyperlink" Target="https://acf.gov/cb/policy-guidance/im-98-04" TargetMode="External"/><Relationship Id="rId592" Type="http://schemas.openxmlformats.org/officeDocument/2006/relationships/hyperlink" Target="https://acf.gov/cb/policy-guidance/pi-06-03" TargetMode="External"/><Relationship Id="rId2066" Type="http://schemas.openxmlformats.org/officeDocument/2006/relationships/hyperlink" Target="https://acf.gov/css/policy-guidance/partnering-other-programs-including-outreach-referral-and-case-management" TargetMode="External"/><Relationship Id="rId2273" Type="http://schemas.openxmlformats.org/officeDocument/2006/relationships/hyperlink" Target="https://acf.gov/orr/policy/dear-colleague-letters/25-12" TargetMode="External"/><Relationship Id="rId2480" Type="http://schemas.openxmlformats.org/officeDocument/2006/relationships/hyperlink" Target="https://acf.gov/orr/resource/policy-letter-16-03" TargetMode="External"/><Relationship Id="rId245" Type="http://schemas.openxmlformats.org/officeDocument/2006/relationships/hyperlink" Target="https://acf.gov/cb/policy-guidance/pi-18-11" TargetMode="External"/><Relationship Id="rId452" Type="http://schemas.openxmlformats.org/officeDocument/2006/relationships/hyperlink" Target="https://acf.gov/cb/policy-guidance/im-87-09" TargetMode="External"/><Relationship Id="rId1082" Type="http://schemas.openxmlformats.org/officeDocument/2006/relationships/hyperlink" Target="https://acf.gov/ocs/policy-guidance/liheap-2022-02-liheap-performance-data-form-fy-2021" TargetMode="External"/><Relationship Id="rId2133" Type="http://schemas.openxmlformats.org/officeDocument/2006/relationships/hyperlink" Target="https://acf.gov/css/faq/if-i-ask-have-my-order-changed-will-amount-decrease" TargetMode="External"/><Relationship Id="rId2340" Type="http://schemas.openxmlformats.org/officeDocument/2006/relationships/hyperlink" Target="https://acf.gov/sites/default/files/documents/orr/DCL-22-19-FY2022-RSS-Formula-Allocations.pdf" TargetMode="External"/><Relationship Id="rId105" Type="http://schemas.openxmlformats.org/officeDocument/2006/relationships/hyperlink" Target="https://acf.gov/cb/infographic/cfsr-process-defined-regulation" TargetMode="External"/><Relationship Id="rId312" Type="http://schemas.openxmlformats.org/officeDocument/2006/relationships/hyperlink" Target="https://acf.gov/cb/policy-guidance/im-11-01" TargetMode="External"/><Relationship Id="rId2200" Type="http://schemas.openxmlformats.org/officeDocument/2006/relationships/hyperlink" Target="https://acf.gov/css/training-technical-assistance/statutory-and-regulatory-authority-income-withholding-allocation" TargetMode="External"/><Relationship Id="rId1899" Type="http://schemas.openxmlformats.org/officeDocument/2006/relationships/hyperlink" Target="https://acf.gov/css/policy-guidance/child-welfare-and-child-support-working-together-help-children" TargetMode="External"/><Relationship Id="rId1759" Type="http://schemas.openxmlformats.org/officeDocument/2006/relationships/hyperlink" Target="https://acf.gov/css/policy-guidance/final-rule-revocation-deadline-submission-claims-ffp" TargetMode="External"/><Relationship Id="rId1966" Type="http://schemas.openxmlformats.org/officeDocument/2006/relationships/hyperlink" Target="https://acf.gov/css/policy-guidance/wire-payments-countries-not-accepting-paper-checks" TargetMode="External"/><Relationship Id="rId1619" Type="http://schemas.openxmlformats.org/officeDocument/2006/relationships/hyperlink" Target="https://acf.gov/css/policy-guidance/nprm-revision-child-support-enforcement-program-and-audit-regulations" TargetMode="External"/><Relationship Id="rId1826" Type="http://schemas.openxmlformats.org/officeDocument/2006/relationships/hyperlink" Target="https://acf.gov/css/policy-guidance/open-comment-period-hague-convention-forms-annual-burden" TargetMode="External"/><Relationship Id="rId779" Type="http://schemas.openxmlformats.org/officeDocument/2006/relationships/hyperlink" Target="https://acf.gov/occ/resource/crib-standards-information-memorandum" TargetMode="External"/><Relationship Id="rId986" Type="http://schemas.openxmlformats.org/officeDocument/2006/relationships/hyperlink" Target="https://acf.gov/occ/faq/what-does-ccdf-reauthorization-mean-tribes" TargetMode="External"/><Relationship Id="rId2667" Type="http://schemas.openxmlformats.org/officeDocument/2006/relationships/hyperlink" Target="https://acf.gov/orr/policy-guidance/verification-refugee-status-department-state-refugee-data-center" TargetMode="External"/><Relationship Id="rId639" Type="http://schemas.openxmlformats.org/officeDocument/2006/relationships/hyperlink" Target="https://acf.gov/cb/policy-guidance/pi-98-14" TargetMode="External"/><Relationship Id="rId1269" Type="http://schemas.openxmlformats.org/officeDocument/2006/relationships/hyperlink" Target="https://acf.gov/ocs/resource/liheap-dear-colleague-notice-on-reallotment-of-funds-fy-2013" TargetMode="External"/><Relationship Id="rId1476" Type="http://schemas.openxmlformats.org/officeDocument/2006/relationships/hyperlink" Target="https://acf.gov/css/policy-guidance/required-data-elements-paternity-establishment-affidavits-expires-1/31/2024" TargetMode="External"/><Relationship Id="rId2874" Type="http://schemas.openxmlformats.org/officeDocument/2006/relationships/hyperlink" Target="https://acf.gov/ofa/policy-guidance/acf-acf-im-18-01-integrating-approaches-prioritize-and-enhance-father" TargetMode="External"/><Relationship Id="rId846" Type="http://schemas.openxmlformats.org/officeDocument/2006/relationships/hyperlink" Target="https://acf.gov/occ/resource/ccdf-acf-pi-2017-04" TargetMode="External"/><Relationship Id="rId1129" Type="http://schemas.openxmlformats.org/officeDocument/2006/relationships/hyperlink" Target="https://acf.gov/ocs/resource/liheap-application-requirements-for-fy-2014" TargetMode="External"/><Relationship Id="rId1683" Type="http://schemas.openxmlformats.org/officeDocument/2006/relationships/hyperlink" Target="https://acf.gov/css/policy-guidance/final-rule-automatic-data-processing-equipment-and-services-conditions-ffp-1987" TargetMode="External"/><Relationship Id="rId1890" Type="http://schemas.openxmlformats.org/officeDocument/2006/relationships/hyperlink" Target="https://acf.gov/css/policy-guidance/moving-start-comprehensive-program-tool-submitting-application" TargetMode="External"/><Relationship Id="rId2527" Type="http://schemas.openxmlformats.org/officeDocument/2006/relationships/hyperlink" Target="https://acf.gov/orr/policy-guidance/state-letter-10-05" TargetMode="External"/><Relationship Id="rId2734" Type="http://schemas.openxmlformats.org/officeDocument/2006/relationships/hyperlink" Target="https://acf.gov/sites/default/files/documents/orr/orr_1_instructions_and_justification_0_0_0.pdf" TargetMode="External"/><Relationship Id="rId2941" Type="http://schemas.openxmlformats.org/officeDocument/2006/relationships/hyperlink" Target="https://headstart.gov/policy/pi/acf-pi-hs-22-02" TargetMode="External"/><Relationship Id="rId706" Type="http://schemas.openxmlformats.org/officeDocument/2006/relationships/hyperlink" Target="https://acf.gov/cb/policy-guidance/pi-83-06" TargetMode="External"/><Relationship Id="rId913" Type="http://schemas.openxmlformats.org/officeDocument/2006/relationships/hyperlink" Target="https://acf.gov/occ/training-technical-assistance/technical-bulletin-17" TargetMode="External"/><Relationship Id="rId1336" Type="http://schemas.openxmlformats.org/officeDocument/2006/relationships/hyperlink" Target="https://acf.gov/ocs/resource/liheap-im-2014-05-state-median-income-estimates" TargetMode="External"/><Relationship Id="rId1543" Type="http://schemas.openxmlformats.org/officeDocument/2006/relationships/hyperlink" Target="https://acf.gov/css/policy-guidance/child-support-provision-deficit-reduction-act-2005" TargetMode="External"/><Relationship Id="rId1750" Type="http://schemas.openxmlformats.org/officeDocument/2006/relationships/hyperlink" Target="https://acf.gov/css/policy-guidance/final-rule-conditions-ffp-costs-automatic-data-processing" TargetMode="External"/><Relationship Id="rId2801" Type="http://schemas.openxmlformats.org/officeDocument/2006/relationships/hyperlink" Target="https://acf.gov/fysb/faq/preventing-teen-pregnancy" TargetMode="External"/><Relationship Id="rId42" Type="http://schemas.openxmlformats.org/officeDocument/2006/relationships/hyperlink" Target="https://acf.gov/cb/policy-guidance/pi-24-06" TargetMode="External"/><Relationship Id="rId1403" Type="http://schemas.openxmlformats.org/officeDocument/2006/relationships/hyperlink" Target="https://acf.gov/ocs/policy-guidance/liheap-dcl-extension-87-cost-allocation-exception" TargetMode="External"/><Relationship Id="rId1610" Type="http://schemas.openxmlformats.org/officeDocument/2006/relationships/hyperlink" Target="https://acf.gov/css/policy-guidance/nprm-consumer-reporting-agencies-certified-statewide-systems-presidents-reform" TargetMode="External"/><Relationship Id="rId289" Type="http://schemas.openxmlformats.org/officeDocument/2006/relationships/hyperlink" Target="https://acf.gov/cb/policy-guidance/im-15-04" TargetMode="External"/><Relationship Id="rId496" Type="http://schemas.openxmlformats.org/officeDocument/2006/relationships/hyperlink" Target="https://acf.gov/cb/policy-guidance/pi-18-02" TargetMode="External"/><Relationship Id="rId2177" Type="http://schemas.openxmlformats.org/officeDocument/2006/relationships/hyperlink" Target="https://acf.gov/css/training-technical-assistance/federal-case-registry-interface-guidance-document" TargetMode="External"/><Relationship Id="rId2384" Type="http://schemas.openxmlformats.org/officeDocument/2006/relationships/hyperlink" Target="https://acf.gov/sites/default/files/documents/orr/dcl_20_04_ussc_ruling_public_charge.pdf" TargetMode="External"/><Relationship Id="rId2591" Type="http://schemas.openxmlformats.org/officeDocument/2006/relationships/hyperlink" Target="https://acf.gov/orr/policy-guidance/state-letter-06-17" TargetMode="External"/><Relationship Id="rId149" Type="http://schemas.openxmlformats.org/officeDocument/2006/relationships/hyperlink" Target="https://acf.gov/cb/policy-guidance/pi-21-03" TargetMode="External"/><Relationship Id="rId356" Type="http://schemas.openxmlformats.org/officeDocument/2006/relationships/hyperlink" Target="https://acf.gov/cb/policy-guidance/im-02-07" TargetMode="External"/><Relationship Id="rId563" Type="http://schemas.openxmlformats.org/officeDocument/2006/relationships/hyperlink" Target="https://acf.gov/cb/policy-guidance/pi-09-09" TargetMode="External"/><Relationship Id="rId770" Type="http://schemas.openxmlformats.org/officeDocument/2006/relationships/hyperlink" Target="https://acf.gov/occ/resource/im-2017-01" TargetMode="External"/><Relationship Id="rId1193" Type="http://schemas.openxmlformats.org/officeDocument/2006/relationships/hyperlink" Target="https://acf.gov/ocs/policy-guidance/liheap-dcl-2022-12-heat-stress-webinars-fy2022" TargetMode="External"/><Relationship Id="rId2037" Type="http://schemas.openxmlformats.org/officeDocument/2006/relationships/hyperlink" Target="https://acf.gov/css/policy-guidance/techniques-one-state-and-limited-services-interstate-case-processing" TargetMode="External"/><Relationship Id="rId2244" Type="http://schemas.openxmlformats.org/officeDocument/2006/relationships/hyperlink" Target="https://acf.gov/ecd/policy-guidance/access-early-childhood-development-services-homeless-families-young-children" TargetMode="External"/><Relationship Id="rId2451" Type="http://schemas.openxmlformats.org/officeDocument/2006/relationships/hyperlink" Target="https://acf.gov/orr/policy/policy-letters/21-06" TargetMode="External"/><Relationship Id="rId216" Type="http://schemas.openxmlformats.org/officeDocument/2006/relationships/hyperlink" Target="https://acf.gov/cb/report/tribal-federal-medical-assistance-percentage-look-table-fy-2020" TargetMode="External"/><Relationship Id="rId423" Type="http://schemas.openxmlformats.org/officeDocument/2006/relationships/hyperlink" Target="https://acf.gov/cb/policy-guidance/im-91-19" TargetMode="External"/><Relationship Id="rId1053" Type="http://schemas.openxmlformats.org/officeDocument/2006/relationships/hyperlink" Target="https://acf.gov/occ/policy-guidance/guidance-submitting-needs-assessment-and-plan-responding-identified-needs-phase" TargetMode="External"/><Relationship Id="rId1260" Type="http://schemas.openxmlformats.org/officeDocument/2006/relationships/hyperlink" Target="https://acf.gov/ocs/resource/liheap-dear-colleague-notice-on-omb-clearance-of-new-performance-measures-and-upcoming-webinars" TargetMode="External"/><Relationship Id="rId2104" Type="http://schemas.openxmlformats.org/officeDocument/2006/relationships/hyperlink" Target="https://acf.gov/css/policy-guidance/thresholds-federal-income-tax-refund-offset" TargetMode="External"/><Relationship Id="rId630" Type="http://schemas.openxmlformats.org/officeDocument/2006/relationships/hyperlink" Target="https://acf.gov/cb/policy-guidance/pi-00-03" TargetMode="External"/><Relationship Id="rId2311" Type="http://schemas.openxmlformats.org/officeDocument/2006/relationships/hyperlink" Target="https://acf.gov/sites/default/files/documents/orr/dcl-23-25-rss-obligation-liquidation-extension.pdf" TargetMode="External"/><Relationship Id="rId1120" Type="http://schemas.openxmlformats.org/officeDocument/2006/relationships/hyperlink" Target="https://acf.gov/ocs/resource/liheap-action-transmittal-2014-1-grantee-survey-for-fiscal-year-2013" TargetMode="External"/><Relationship Id="rId1937" Type="http://schemas.openxmlformats.org/officeDocument/2006/relationships/hyperlink" Target="https://acf.gov/css/policy-guidance/international-child-abduction" TargetMode="External"/><Relationship Id="rId280" Type="http://schemas.openxmlformats.org/officeDocument/2006/relationships/hyperlink" Target="https://acf.gov/cb/policy-guidance/im-16-05" TargetMode="External"/><Relationship Id="rId3012" Type="http://schemas.openxmlformats.org/officeDocument/2006/relationships/hyperlink" Target="https://headstart.gov/publication/partnering-child-welfare-agencies-overview" TargetMode="External"/><Relationship Id="rId140" Type="http://schemas.openxmlformats.org/officeDocument/2006/relationships/hyperlink" Target="https://acf.gov/cb/faq/policy1" TargetMode="External"/><Relationship Id="rId6" Type="http://schemas.openxmlformats.org/officeDocument/2006/relationships/hyperlink" Target="https://acf.gov/cb/policy-guidance/pi-25-06" TargetMode="External"/><Relationship Id="rId2778" Type="http://schemas.openxmlformats.org/officeDocument/2006/relationships/hyperlink" Target="https://acf.gov/orr/fact-sheet/refugee-assistance-eligible-uc" TargetMode="External"/><Relationship Id="rId2985" Type="http://schemas.openxmlformats.org/officeDocument/2006/relationships/hyperlink" Target="https://headstart.gov/about-us/article/mypeers-social-network-early-childhood-professionals" TargetMode="External"/><Relationship Id="rId957" Type="http://schemas.openxmlformats.org/officeDocument/2006/relationships/hyperlink" Target="https://acf.gov/occ/faq/how-does-new-law-help-parents-make-more-informed-child-care-choices" TargetMode="External"/><Relationship Id="rId1587" Type="http://schemas.openxmlformats.org/officeDocument/2006/relationships/hyperlink" Target="https://acf.gov/css/policy-guidance/instructions-completing-form-ocse-157-child-support-enforcement-annual-data" TargetMode="External"/><Relationship Id="rId1794" Type="http://schemas.openxmlformats.org/officeDocument/2006/relationships/hyperlink" Target="https://acf.gov/css/policy-guidance/listening-session-tribal-systems-june18" TargetMode="External"/><Relationship Id="rId2638" Type="http://schemas.openxmlformats.org/officeDocument/2006/relationships/hyperlink" Target="https://acf.gov/orr/policy-guidance/state-letter-04-14" TargetMode="External"/><Relationship Id="rId2845" Type="http://schemas.openxmlformats.org/officeDocument/2006/relationships/hyperlink" Target="https://acf.gov/ofa/faq/state-and-local-fiscal-recovery-funds-cannot-be-tanf-moe" TargetMode="External"/><Relationship Id="rId86" Type="http://schemas.openxmlformats.org/officeDocument/2006/relationships/hyperlink" Target="https://acf.gov/cb/training-technical-assistance/title-iv-e-foster-care-eligibility-site-review-instrument" TargetMode="External"/><Relationship Id="rId817" Type="http://schemas.openxmlformats.org/officeDocument/2006/relationships/hyperlink" Target="https://acf.gov/occ/policy-guidance/fy-2025-2027-ccdf-plan-states-and-territories-ccdf-acf-pi-2024-01" TargetMode="External"/><Relationship Id="rId1447" Type="http://schemas.openxmlformats.org/officeDocument/2006/relationships/hyperlink" Target="https://acf.gov/css/policy-guidance/ocse-75-form-and-instructions-expires-june-30-2028" TargetMode="External"/><Relationship Id="rId1654" Type="http://schemas.openxmlformats.org/officeDocument/2006/relationships/hyperlink" Target="https://acf.gov/css/policy-guidance/final-rule-child-support-enforcement-program-audit" TargetMode="External"/><Relationship Id="rId1861" Type="http://schemas.openxmlformats.org/officeDocument/2006/relationships/hyperlink" Target="https://acf.gov/css/policy-guidance/training-finding-right-security-control-assessor-fpls-access" TargetMode="External"/><Relationship Id="rId2705" Type="http://schemas.openxmlformats.org/officeDocument/2006/relationships/hyperlink" Target="https://acf.gov/archive/orr/policy-guidance/state-letter-01-14" TargetMode="External"/><Relationship Id="rId2912" Type="http://schemas.openxmlformats.org/officeDocument/2006/relationships/hyperlink" Target="https://headstart.gov/policy/im/acf-im-hs-21-05" TargetMode="External"/><Relationship Id="rId1307" Type="http://schemas.openxmlformats.org/officeDocument/2006/relationships/hyperlink" Target="https://acf.gov/ocs/policy-guidance/liheap-im-2022-03-federal-poverty-guidelines-optional-use-ffy-2022-and" TargetMode="External"/><Relationship Id="rId1514" Type="http://schemas.openxmlformats.org/officeDocument/2006/relationships/hyperlink" Target="https://acf.gov/css/policy-guidance/tribal-apd-process-and-mts-frequently-asked-questions" TargetMode="External"/><Relationship Id="rId1721" Type="http://schemas.openxmlformats.org/officeDocument/2006/relationships/hyperlink" Target="https://acf.gov/css/policy-guidance/final-rule-comment-period-collection-support-certain-adults" TargetMode="External"/><Relationship Id="rId13" Type="http://schemas.openxmlformats.org/officeDocument/2006/relationships/hyperlink" Target="https://acf.gov/cb/policy-guidance/pi-25-04" TargetMode="External"/><Relationship Id="rId2288" Type="http://schemas.openxmlformats.org/officeDocument/2006/relationships/hyperlink" Target="https://acf.gov/orr/policy-guidance/dear-colleague-letters/24-09" TargetMode="External"/><Relationship Id="rId2495" Type="http://schemas.openxmlformats.org/officeDocument/2006/relationships/hyperlink" Target="https://acf.gov/orr/resource/state-letter-14-06" TargetMode="External"/><Relationship Id="rId467" Type="http://schemas.openxmlformats.org/officeDocument/2006/relationships/hyperlink" Target="https://acf.gov/cb/policy-guidance/im-85-11" TargetMode="External"/><Relationship Id="rId1097" Type="http://schemas.openxmlformats.org/officeDocument/2006/relationships/hyperlink" Target="https://acf.gov/ocs/policy-guidance/liheap-2020-07-standard-form-sf-425-federal-fiscal-year-ffy-2020" TargetMode="External"/><Relationship Id="rId2148" Type="http://schemas.openxmlformats.org/officeDocument/2006/relationships/hyperlink" Target="https://acf.gov/css/faq/what-income-withholding" TargetMode="External"/><Relationship Id="rId674" Type="http://schemas.openxmlformats.org/officeDocument/2006/relationships/hyperlink" Target="https://acf.gov/cb/policy-guidance/pi-93-10" TargetMode="External"/><Relationship Id="rId881" Type="http://schemas.openxmlformats.org/officeDocument/2006/relationships/hyperlink" Target="https://acf.gov/archive/occ/policy-guidance/fy-2011-tribal-application-plan-procedures-ccdf-grantees" TargetMode="External"/><Relationship Id="rId2355" Type="http://schemas.openxmlformats.org/officeDocument/2006/relationships/hyperlink" Target="https://acf.gov/sites/default/files/documents/orr/ORR-DCL-22-04-ARSI-FY2022-Q1-Allocations.pdf" TargetMode="External"/><Relationship Id="rId2562" Type="http://schemas.openxmlformats.org/officeDocument/2006/relationships/hyperlink" Target="https://acf.gov/orr/policy-guidance/state-letter-07-01" TargetMode="External"/><Relationship Id="rId327" Type="http://schemas.openxmlformats.org/officeDocument/2006/relationships/hyperlink" Target="https://acf.gov/cb/policy-guidance/im-07-02" TargetMode="External"/><Relationship Id="rId534" Type="http://schemas.openxmlformats.org/officeDocument/2006/relationships/hyperlink" Target="https://acf.gov/cb/policy-guidance/pi-12-03" TargetMode="External"/><Relationship Id="rId741" Type="http://schemas.openxmlformats.org/officeDocument/2006/relationships/hyperlink" Target="https://acf.gov/cb/faq/funding1" TargetMode="External"/><Relationship Id="rId1164" Type="http://schemas.openxmlformats.org/officeDocument/2006/relationships/hyperlink" Target="https://acf.gov/ocs/policy-guidance/acf-ocs-liheap-dcl-2024-07-third-funding-release-fy-2024" TargetMode="External"/><Relationship Id="rId1371" Type="http://schemas.openxmlformats.org/officeDocument/2006/relationships/hyperlink" Target="https://acf.gov/ocs/resource/awards-of-fy-2010-liheap-leveraging-incentive-grants" TargetMode="External"/><Relationship Id="rId2008" Type="http://schemas.openxmlformats.org/officeDocument/2006/relationships/hyperlink" Target="https://acf.gov/css/policy-guidance/caseworkers-guide-processing-cases-switzerland" TargetMode="External"/><Relationship Id="rId2215" Type="http://schemas.openxmlformats.org/officeDocument/2006/relationships/hyperlink" Target="https://acf.gov/ecd/policy-guidance/use-federal-early-childhood-program-funds-improve-housing-related-supports" TargetMode="External"/><Relationship Id="rId2422" Type="http://schemas.openxmlformats.org/officeDocument/2006/relationships/hyperlink" Target="https://acf.gov/orr/policy/policy-letters/25-04" TargetMode="External"/><Relationship Id="rId601" Type="http://schemas.openxmlformats.org/officeDocument/2006/relationships/hyperlink" Target="https://acf.gov/cb/policy-guidance/pi-04-04" TargetMode="External"/><Relationship Id="rId1024" Type="http://schemas.openxmlformats.org/officeDocument/2006/relationships/hyperlink" Target="https://acf.gov/occ/policy-guidance/guidance-child-care-and-development-block-grant-ccdbg-act-2014-relevant-tribes" TargetMode="External"/><Relationship Id="rId1231" Type="http://schemas.openxmlformats.org/officeDocument/2006/relationships/hyperlink" Target="https://acf.gov/ocs/resource/dear-colleague-letter-announcement-of-the-public-launch-of-the-liheap-performance-management-website" TargetMode="External"/><Relationship Id="rId184" Type="http://schemas.openxmlformats.org/officeDocument/2006/relationships/hyperlink" Target="https://acf.gov/cb/policy-guidance/letter-childrens-bureau-regarding-use-federal-funds-cell-phones-and-personal" TargetMode="External"/><Relationship Id="rId391" Type="http://schemas.openxmlformats.org/officeDocument/2006/relationships/hyperlink" Target="https://acf.gov/cb/policy-guidance/im-97-07" TargetMode="External"/><Relationship Id="rId1908" Type="http://schemas.openxmlformats.org/officeDocument/2006/relationships/hyperlink" Target="https://acf.gov/css/policy-guidance/interstate-case-reconciliations-2006" TargetMode="External"/><Relationship Id="rId2072" Type="http://schemas.openxmlformats.org/officeDocument/2006/relationships/hyperlink" Target="https://acf.gov/css/policy-guidance/enforcing-child-support-when-obligor-bankruptcy" TargetMode="External"/><Relationship Id="rId251" Type="http://schemas.openxmlformats.org/officeDocument/2006/relationships/hyperlink" Target="https://acf.gov/cb/policy-guidance/im-18-05" TargetMode="External"/><Relationship Id="rId2889" Type="http://schemas.openxmlformats.org/officeDocument/2006/relationships/hyperlink" Target="https://acf.gov/ofa/policy-guidance/tanf-acf-pi-2022-03" TargetMode="External"/><Relationship Id="rId111" Type="http://schemas.openxmlformats.org/officeDocument/2006/relationships/hyperlink" Target="https://acf.gov/cb/grant-funding/court-improvement-program" TargetMode="External"/><Relationship Id="rId1698" Type="http://schemas.openxmlformats.org/officeDocument/2006/relationships/hyperlink" Target="https://acf.gov/css/policy-guidance/interim-final-rule-automatic-data-processing-equipment-and-services-conditions" TargetMode="External"/><Relationship Id="rId2749" Type="http://schemas.openxmlformats.org/officeDocument/2006/relationships/hyperlink" Target="https://acf.gov/sites/default/files/documents/orr/FG-13%20EIS%20Instructions%20and%20Standards%202021%2004%2030.pdf" TargetMode="External"/><Relationship Id="rId2956" Type="http://schemas.openxmlformats.org/officeDocument/2006/relationships/hyperlink" Target="https://headstart.gov/policy/pi/acf-pi-hs-18-02" TargetMode="External"/><Relationship Id="rId928" Type="http://schemas.openxmlformats.org/officeDocument/2006/relationships/hyperlink" Target="https://acf.gov/occ/faq/who-should-be-contacted-if-we-have-questions-about-ccdf-plan" TargetMode="External"/><Relationship Id="rId1558" Type="http://schemas.openxmlformats.org/officeDocument/2006/relationships/hyperlink" Target="https://acf.gov/css/policy-guidance/requesting-exemption-mandatory-law-and-procedure-section-466f-social-security" TargetMode="External"/><Relationship Id="rId1765" Type="http://schemas.openxmlformats.org/officeDocument/2006/relationships/hyperlink" Target="https://acf.gov/css/policy-guidance/applications-states-use-courts-united-states-enforce-child-support-orders" TargetMode="External"/><Relationship Id="rId2609" Type="http://schemas.openxmlformats.org/officeDocument/2006/relationships/hyperlink" Target="https://acf.gov/orr/policy-guidance/state-letter-05-17" TargetMode="External"/><Relationship Id="rId57" Type="http://schemas.openxmlformats.org/officeDocument/2006/relationships/hyperlink" Target="https://acf.gov/cb/report/state-legal-judicial-specialist" TargetMode="External"/><Relationship Id="rId1418" Type="http://schemas.openxmlformats.org/officeDocument/2006/relationships/hyperlink" Target="https://acf.gov/ocs/policy-guidance/liheap-dcl-follow-announcement-american-customer-satisfaction-index" TargetMode="External"/><Relationship Id="rId1972" Type="http://schemas.openxmlformats.org/officeDocument/2006/relationships/hyperlink" Target="https://acf.gov/css/policy-guidance/tribal-property-and-uniform-cost-principles" TargetMode="External"/><Relationship Id="rId2816" Type="http://schemas.openxmlformats.org/officeDocument/2006/relationships/hyperlink" Target="https://acf.gov/ofa/policy-guidance/acp-outreach-state-tanf-grantees" TargetMode="External"/><Relationship Id="rId1625" Type="http://schemas.openxmlformats.org/officeDocument/2006/relationships/hyperlink" Target="https://acf.gov/css/policy-guidance/clarification-case-closure-criteria" TargetMode="External"/><Relationship Id="rId1832" Type="http://schemas.openxmlformats.org/officeDocument/2006/relationships/hyperlink" Target="https://acf.gov/css/policy-guidance/nprm-withdrawal-optional-exceptions-child-support-guidelines" TargetMode="External"/><Relationship Id="rId2399" Type="http://schemas.openxmlformats.org/officeDocument/2006/relationships/hyperlink" Target="https://acf.gov/orr/resource/fiscal-year-2018-services-to-older-refugees-social-services-set-aside" TargetMode="External"/><Relationship Id="rId578" Type="http://schemas.openxmlformats.org/officeDocument/2006/relationships/hyperlink" Target="https://acf.gov/cb/policy-guidance/im-07-06" TargetMode="External"/><Relationship Id="rId785" Type="http://schemas.openxmlformats.org/officeDocument/2006/relationships/hyperlink" Target="https://acf.gov/occ/resource/im-child-welfare" TargetMode="External"/><Relationship Id="rId992" Type="http://schemas.openxmlformats.org/officeDocument/2006/relationships/hyperlink" Target="https://acf.gov/occ/faq/what-are-new-child-abuse-reporting-requirements-law" TargetMode="External"/><Relationship Id="rId2259" Type="http://schemas.openxmlformats.org/officeDocument/2006/relationships/hyperlink" Target="https://acf.gov/cb/training-technical-assistance/nytd-technical-bulletin-5-cohort-management-and-sampling" TargetMode="External"/><Relationship Id="rId2466" Type="http://schemas.openxmlformats.org/officeDocument/2006/relationships/hyperlink" Target="https://acf.gov/orr/resource/privately-administered-refugee-medical-assistance-through-a-medical-replacement-designee" TargetMode="External"/><Relationship Id="rId2673" Type="http://schemas.openxmlformats.org/officeDocument/2006/relationships/hyperlink" Target="https://acf.gov/orr/policy-guidance/state-letter-02-11" TargetMode="External"/><Relationship Id="rId2880" Type="http://schemas.openxmlformats.org/officeDocument/2006/relationships/hyperlink" Target="https://acf.gov/ofa/policy-guidance/acf-ofa-pi-24-03" TargetMode="External"/><Relationship Id="rId438" Type="http://schemas.openxmlformats.org/officeDocument/2006/relationships/hyperlink" Target="https://acf.gov/cb/policy-guidance/im-89-02" TargetMode="External"/><Relationship Id="rId645" Type="http://schemas.openxmlformats.org/officeDocument/2006/relationships/hyperlink" Target="https://acf.gov/cb/policy-guidance/pi-98-03" TargetMode="External"/><Relationship Id="rId852" Type="http://schemas.openxmlformats.org/officeDocument/2006/relationships/hyperlink" Target="https://acf.gov/occ/resource/pi2015-08" TargetMode="External"/><Relationship Id="rId1068" Type="http://schemas.openxmlformats.org/officeDocument/2006/relationships/hyperlink" Target="https://acf.gov/ocs/policy-guidance/liheap-household-report-long-form-and-short-form-federal-fiscal-year-ffy-2025" TargetMode="External"/><Relationship Id="rId1275" Type="http://schemas.openxmlformats.org/officeDocument/2006/relationships/hyperlink" Target="https://acf.gov/ocs/resource/liheap-dear-colleague-letter-final-fy-2014-funding-release" TargetMode="External"/><Relationship Id="rId1482" Type="http://schemas.openxmlformats.org/officeDocument/2006/relationships/hyperlink" Target="https://acf.gov/css/policy-guidance/submit-revised-state-iv-d-plan-page-38-3-comply-technical-corrections-final" TargetMode="External"/><Relationship Id="rId2119" Type="http://schemas.openxmlformats.org/officeDocument/2006/relationships/hyperlink" Target="https://acf.gov/css/faq/what-employers-should-know-when-working-tribes" TargetMode="External"/><Relationship Id="rId2326" Type="http://schemas.openxmlformats.org/officeDocument/2006/relationships/hyperlink" Target="https://acf.gov/sites/default/files/documents/orr/DCL-23-09-RSS-ASA-FY2023-Q1-Allocations.pdf" TargetMode="External"/><Relationship Id="rId2533" Type="http://schemas.openxmlformats.org/officeDocument/2006/relationships/hyperlink" Target="https://acf.gov/orr/policy-guidance/state-letter-09-27" TargetMode="External"/><Relationship Id="rId2740" Type="http://schemas.openxmlformats.org/officeDocument/2006/relationships/hyperlink" Target="https://acf.gov/sites/default/files/documents/orr/aogp-instruction.pdf" TargetMode="External"/><Relationship Id="rId505" Type="http://schemas.openxmlformats.org/officeDocument/2006/relationships/hyperlink" Target="https://acf.gov/cb/policy-guidance/pi-16-02" TargetMode="External"/><Relationship Id="rId712" Type="http://schemas.openxmlformats.org/officeDocument/2006/relationships/hyperlink" Target="https://acf.gov/cb/policy-guidance/pi-82-04" TargetMode="External"/><Relationship Id="rId1135" Type="http://schemas.openxmlformats.org/officeDocument/2006/relationships/hyperlink" Target="https://acf.gov/ocs/resource/liheap-application-requirements-for-fy-2013" TargetMode="External"/><Relationship Id="rId1342" Type="http://schemas.openxmlformats.org/officeDocument/2006/relationships/hyperlink" Target="https://acf.gov/ocs/resource/update-to-the-liheap-allocation-formula-for-federal-fiscal-year-ffy-2012" TargetMode="External"/><Relationship Id="rId1202" Type="http://schemas.openxmlformats.org/officeDocument/2006/relationships/hyperlink" Target="https://acf.gov/ocs/policy-guidance/liheap-dcl-2021-05-supplemental-funding-release-fy-21" TargetMode="External"/><Relationship Id="rId2600" Type="http://schemas.openxmlformats.org/officeDocument/2006/relationships/hyperlink" Target="https://acf.gov/archive/orr/policy-guidance/cdc-recommendations-lead-poisoning-prevention-refugee-children" TargetMode="External"/><Relationship Id="rId295" Type="http://schemas.openxmlformats.org/officeDocument/2006/relationships/hyperlink" Target="https://acf.gov/cb/policy-guidance/im-14-03" TargetMode="External"/><Relationship Id="rId2183" Type="http://schemas.openxmlformats.org/officeDocument/2006/relationships/hyperlink" Target="https://acf.gov/css/training-technical-assistance/msfidm-specifications-handbook" TargetMode="External"/><Relationship Id="rId2390" Type="http://schemas.openxmlformats.org/officeDocument/2006/relationships/hyperlink" Target="https://acf.gov/orr/resource/fy-2019-youth-mentoring-set-aside" TargetMode="External"/><Relationship Id="rId3027" Type="http://schemas.openxmlformats.org/officeDocument/2006/relationships/hyperlink" Target="https://headstart.gov/publication/class-brief-understanding-using-class-program-improvement" TargetMode="External"/><Relationship Id="rId155" Type="http://schemas.openxmlformats.org/officeDocument/2006/relationships/hyperlink" Target="https://acf.gov/cb/policy-guidance/im-21-06" TargetMode="External"/><Relationship Id="rId362" Type="http://schemas.openxmlformats.org/officeDocument/2006/relationships/hyperlink" Target="https://acf.gov/cb/policy-guidance/im-02-01" TargetMode="External"/><Relationship Id="rId2043" Type="http://schemas.openxmlformats.org/officeDocument/2006/relationships/hyperlink" Target="https://acf.gov/css/policy-guidance/use-federal-parent-locator-service-child-welfare-services" TargetMode="External"/><Relationship Id="rId2250" Type="http://schemas.openxmlformats.org/officeDocument/2006/relationships/hyperlink" Target="https://acf.gov/ecd/policy-guidance/summary-strong-start-americas-children-act" TargetMode="External"/><Relationship Id="rId222" Type="http://schemas.openxmlformats.org/officeDocument/2006/relationships/hyperlink" Target="https://acf.gov/cb/policy-guidance/pi-19-06" TargetMode="External"/><Relationship Id="rId2110" Type="http://schemas.openxmlformats.org/officeDocument/2006/relationships/hyperlink" Target="https://acf.gov/css/policy-guidance/social-security-numbers-license-applications-and-other-documents" TargetMode="External"/><Relationship Id="rId1669" Type="http://schemas.openxmlformats.org/officeDocument/2006/relationships/hyperlink" Target="https://acf.gov/css/policy-guidance/family-support-act-1988" TargetMode="External"/><Relationship Id="rId1876" Type="http://schemas.openxmlformats.org/officeDocument/2006/relationships/hyperlink" Target="https://acf.gov/css/policy-guidance/garnishment-supplemental-security-income-benefits" TargetMode="External"/><Relationship Id="rId2927" Type="http://schemas.openxmlformats.org/officeDocument/2006/relationships/hyperlink" Target="https://headstart.gov/policy/im/acf-im-hs-14-06" TargetMode="External"/><Relationship Id="rId1529" Type="http://schemas.openxmlformats.org/officeDocument/2006/relationships/hyperlink" Target="https://acf.gov/css/policy-guidance/final-rule-state-parent-locator-service-safeguarding-child-support-information" TargetMode="External"/><Relationship Id="rId1736" Type="http://schemas.openxmlformats.org/officeDocument/2006/relationships/hyperlink" Target="https://acf.gov/css/policy-guidance/requests-fpls-information-absent-parents-state-user-guide" TargetMode="External"/><Relationship Id="rId1943" Type="http://schemas.openxmlformats.org/officeDocument/2006/relationships/hyperlink" Target="https://acf.gov/css/policy-guidance/charge-backs-printing-and-processing-pre-offset-notices" TargetMode="External"/><Relationship Id="rId28" Type="http://schemas.openxmlformats.org/officeDocument/2006/relationships/hyperlink" Target="https://acf.gov/cb/faq/research-data-technology/implementation-costs-funding/nytd/faq/section7" TargetMode="External"/><Relationship Id="rId1803" Type="http://schemas.openxmlformats.org/officeDocument/2006/relationships/hyperlink" Target="https://acf.gov/css/policy-guidance/submittal-annual-certification-letter-2023" TargetMode="External"/><Relationship Id="rId689" Type="http://schemas.openxmlformats.org/officeDocument/2006/relationships/hyperlink" Target="https://acf.gov/cb/policy-guidance/pi-89-05" TargetMode="External"/><Relationship Id="rId896" Type="http://schemas.openxmlformats.org/officeDocument/2006/relationships/hyperlink" Target="https://acf.gov/occ/resource/pi-2008-01" TargetMode="External"/><Relationship Id="rId2577" Type="http://schemas.openxmlformats.org/officeDocument/2006/relationships/hyperlink" Target="https://acf.gov/orr/policy-guidance/state-letter-07-17" TargetMode="External"/><Relationship Id="rId2784" Type="http://schemas.openxmlformats.org/officeDocument/2006/relationships/hyperlink" Target="https://acf.gov/orr/policy-guidance/state-letter-12-13-guidance-clarification" TargetMode="External"/><Relationship Id="rId549" Type="http://schemas.openxmlformats.org/officeDocument/2006/relationships/hyperlink" Target="https://acf.gov/cb/policy-guidance/pi-10-11" TargetMode="External"/><Relationship Id="rId756" Type="http://schemas.openxmlformats.org/officeDocument/2006/relationships/hyperlink" Target="https://acf.gov/occ/policy-guidance/engage-individuals-direct-experience-child-care-acf-ecd-occ-im-24-09" TargetMode="External"/><Relationship Id="rId1179" Type="http://schemas.openxmlformats.org/officeDocument/2006/relationships/hyperlink" Target="https://acf.gov/ocs/policy-guidance/liheap-dcl-2023-13-energy-efficiency-month-webinar" TargetMode="External"/><Relationship Id="rId1386" Type="http://schemas.openxmlformats.org/officeDocument/2006/relationships/hyperlink" Target="https://acf.gov/sites/default/files/documents/OCS-93-568-LIHEAP%20T%26amp%3BCS%20%28OCT-2021%29%20Final.pdf" TargetMode="External"/><Relationship Id="rId1593" Type="http://schemas.openxmlformats.org/officeDocument/2006/relationships/hyperlink" Target="https://acf.gov/css/policy-guidance/policy-responses-regarding-state-case-registry-and-federal-case-registry" TargetMode="External"/><Relationship Id="rId2437" Type="http://schemas.openxmlformats.org/officeDocument/2006/relationships/hyperlink" Target="https://acf.gov/orr/policy/policy-letters/22-13" TargetMode="External"/><Relationship Id="rId2991" Type="http://schemas.openxmlformats.org/officeDocument/2006/relationships/hyperlink" Target="https://headstart.gov/video/migrant-seasonal-head-start-eligibility" TargetMode="External"/><Relationship Id="rId409" Type="http://schemas.openxmlformats.org/officeDocument/2006/relationships/hyperlink" Target="https://acf.gov/cb/policy-guidance/im-94-22" TargetMode="External"/><Relationship Id="rId963" Type="http://schemas.openxmlformats.org/officeDocument/2006/relationships/hyperlink" Target="https://acf.gov/occ/faq/may-states-use-ccdf-child-care-resource-and-referral-ccrr-systems" TargetMode="External"/><Relationship Id="rId1039" Type="http://schemas.openxmlformats.org/officeDocument/2006/relationships/hyperlink" Target="https://acf.gov/occ/policy-guidance/program-integrity-and-accountability-improper-payments-error-rate-review" TargetMode="External"/><Relationship Id="rId1246" Type="http://schemas.openxmlformats.org/officeDocument/2006/relationships/hyperlink" Target="https://acf.gov/ocs/resource/liheapfy-2016-third-liheap-funding-release-and-anticipated-reallotment" TargetMode="External"/><Relationship Id="rId2644" Type="http://schemas.openxmlformats.org/officeDocument/2006/relationships/hyperlink" Target="https://acf.gov/orr/policy-guidance/state-letter-04-20" TargetMode="External"/><Relationship Id="rId2851" Type="http://schemas.openxmlformats.org/officeDocument/2006/relationships/hyperlink" Target="https://acf.gov/ofa/policy-guidance/tanf-acf-pi-2008-06-electronic-submission-annual-report-tanf-programs" TargetMode="External"/><Relationship Id="rId92" Type="http://schemas.openxmlformats.org/officeDocument/2006/relationships/hyperlink" Target="https://acf.gov/cb/policy-guidance/pi-23-03" TargetMode="External"/><Relationship Id="rId616" Type="http://schemas.openxmlformats.org/officeDocument/2006/relationships/hyperlink" Target="https://acf.gov/cb/policy-guidance/pi-02-07" TargetMode="External"/><Relationship Id="rId823" Type="http://schemas.openxmlformats.org/officeDocument/2006/relationships/hyperlink" Target="https://acf.gov/occ/policy-guidance/ccdf-acf-pi-2022-08" TargetMode="External"/><Relationship Id="rId1453" Type="http://schemas.openxmlformats.org/officeDocument/2006/relationships/hyperlink" Target="https://acf.gov/css/policy-guidance/administrative-subpoena-and-notice-lien-forms-expire-april-30-2027" TargetMode="External"/><Relationship Id="rId1660" Type="http://schemas.openxmlformats.org/officeDocument/2006/relationships/hyperlink" Target="https://acf.gov/css/policy-guidance/final-rule-cooperative-arrangements" TargetMode="External"/><Relationship Id="rId2504" Type="http://schemas.openxmlformats.org/officeDocument/2006/relationships/hyperlink" Target="https://acf.gov/orr/policy-guidance/state-letter-13-05" TargetMode="External"/><Relationship Id="rId2711" Type="http://schemas.openxmlformats.org/officeDocument/2006/relationships/hyperlink" Target="https://acf.gov/archive/orr/policy-guidance/state-letter-01-25" TargetMode="External"/><Relationship Id="rId1106" Type="http://schemas.openxmlformats.org/officeDocument/2006/relationships/hyperlink" Target="https://acf.gov/ocs/resource/performance-data-form-fiscal-year-2017" TargetMode="External"/><Relationship Id="rId1313" Type="http://schemas.openxmlformats.org/officeDocument/2006/relationships/hyperlink" Target="https://acf.gov/ocs/policy-guidance/liheap-im-2021-02-federal-poverty-guidelines-optional-use-federal-fiscal-year" TargetMode="External"/><Relationship Id="rId1520" Type="http://schemas.openxmlformats.org/officeDocument/2006/relationships/hyperlink" Target="https://acf.gov/css/policy-guidance/alternative-methods-meet-monthly-notification-requirement" TargetMode="External"/><Relationship Id="rId199" Type="http://schemas.openxmlformats.org/officeDocument/2006/relationships/hyperlink" Target="https://acf.gov/cb/policy-guidance/pi-20-04" TargetMode="External"/><Relationship Id="rId2087" Type="http://schemas.openxmlformats.org/officeDocument/2006/relationships/hyperlink" Target="https://acf.gov/css/policy-guidance/direct-income-withholding-when-employers-are-subject-tribes-jurisdiction" TargetMode="External"/><Relationship Id="rId2294" Type="http://schemas.openxmlformats.org/officeDocument/2006/relationships/hyperlink" Target="https://acf.gov/sites/default/files/documents/orr/ORR_DCL_24_03_ORR-5_Submission_Process_for_FY23_data.pdf" TargetMode="External"/><Relationship Id="rId266" Type="http://schemas.openxmlformats.org/officeDocument/2006/relationships/hyperlink" Target="https://acf.gov/cb/policy-guidance/80-05" TargetMode="External"/><Relationship Id="rId473" Type="http://schemas.openxmlformats.org/officeDocument/2006/relationships/hyperlink" Target="https://acf.gov/cb/policy-guidance/im-84-27" TargetMode="External"/><Relationship Id="rId680" Type="http://schemas.openxmlformats.org/officeDocument/2006/relationships/hyperlink" Target="https://acf.gov/cb/policy-guidance/pi-92-07" TargetMode="External"/><Relationship Id="rId2154" Type="http://schemas.openxmlformats.org/officeDocument/2006/relationships/hyperlink" Target="https://acf.gov/css/faq/income-withholding-and-medical-support-department-veterans-affairs-benefits" TargetMode="External"/><Relationship Id="rId2361" Type="http://schemas.openxmlformats.org/officeDocument/2006/relationships/hyperlink" Target="https://acf.gov/sites/default/files/documents/orr/ORR-DCL-21-16-Clarification-Related-to-Afghan-SQSI-Parolees-Eligibility-for-RCA-RMA-8.5.2021.pdf" TargetMode="External"/><Relationship Id="rId126" Type="http://schemas.openxmlformats.org/officeDocument/2006/relationships/hyperlink" Target="https://acf.gov/cb/policy-guidance/pi-21-09" TargetMode="External"/><Relationship Id="rId333" Type="http://schemas.openxmlformats.org/officeDocument/2006/relationships/hyperlink" Target="https://acf.gov/cb/policy-guidance/im-06-01" TargetMode="External"/><Relationship Id="rId540" Type="http://schemas.openxmlformats.org/officeDocument/2006/relationships/hyperlink" Target="https://acf.gov/cb/policy-guidance/pi-11-06" TargetMode="External"/><Relationship Id="rId1170" Type="http://schemas.openxmlformats.org/officeDocument/2006/relationships/hyperlink" Target="https://acf.gov/ocs/policy-guidance/liheap-dcl-2023-04-upcoming/temporary-regular-liheap-block-grant-draw-down" TargetMode="External"/><Relationship Id="rId2014" Type="http://schemas.openxmlformats.org/officeDocument/2006/relationships/hyperlink" Target="https://acf.gov/css/policy-guidance/issuance-food-stamp-agency" TargetMode="External"/><Relationship Id="rId2221" Type="http://schemas.openxmlformats.org/officeDocument/2006/relationships/hyperlink" Target="https://acf.gov/ecd/policy-guidance/tribal-policy-statement" TargetMode="External"/><Relationship Id="rId1030" Type="http://schemas.openxmlformats.org/officeDocument/2006/relationships/hyperlink" Target="https://acf.gov/occ/policy-guidance/ccdf-acf-pi-2022-06" TargetMode="External"/><Relationship Id="rId400" Type="http://schemas.openxmlformats.org/officeDocument/2006/relationships/hyperlink" Target="https://acf.gov/cb/policy-guidance/im-96-09" TargetMode="External"/><Relationship Id="rId1987" Type="http://schemas.openxmlformats.org/officeDocument/2006/relationships/hyperlink" Target="https://acf.gov/css/policy-guidance/use-iv-d-incentive-funds-ncp-work-activities" TargetMode="External"/><Relationship Id="rId1847" Type="http://schemas.openxmlformats.org/officeDocument/2006/relationships/hyperlink" Target="https://acf.gov/css/policy-guidance/federal-collections-enforcement-annual-certification-letter-2020" TargetMode="External"/><Relationship Id="rId1707" Type="http://schemas.openxmlformats.org/officeDocument/2006/relationships/hyperlink" Target="https://acf.gov/css/policy-guidance/final-rule-conditions-imposition-remedial-actions-applicable-letter-credit" TargetMode="External"/><Relationship Id="rId190" Type="http://schemas.openxmlformats.org/officeDocument/2006/relationships/hyperlink" Target="https://acf.gov/cb/policy-guidance/im-20-05" TargetMode="External"/><Relationship Id="rId1914" Type="http://schemas.openxmlformats.org/officeDocument/2006/relationships/hyperlink" Target="https://acf.gov/css/policy-guidance/dfas-restitution-letters" TargetMode="External"/><Relationship Id="rId2688" Type="http://schemas.openxmlformats.org/officeDocument/2006/relationships/hyperlink" Target="https://acf.gov/orr/policy-guidance/state-letter-02-26" TargetMode="External"/><Relationship Id="rId2895" Type="http://schemas.openxmlformats.org/officeDocument/2006/relationships/hyperlink" Target="https://headstart.gov/policy/im/acf-ohs-im-25-06" TargetMode="External"/><Relationship Id="rId867" Type="http://schemas.openxmlformats.org/officeDocument/2006/relationships/hyperlink" Target="https://acf.gov/occ/resource/program-instruction-ccdf-acf-pi-2012-06-ccdf-annual-report-for-tribal-lead" TargetMode="External"/><Relationship Id="rId1497" Type="http://schemas.openxmlformats.org/officeDocument/2006/relationships/hyperlink" Target="https://acf.gov/css/policy-guidance/extension-ocse-34-and-ocse-396-forms-expire-december-31-2020" TargetMode="External"/><Relationship Id="rId2548" Type="http://schemas.openxmlformats.org/officeDocument/2006/relationships/hyperlink" Target="https://acf.gov/orr/policy-guidance/state-letter-09-04" TargetMode="External"/><Relationship Id="rId2755" Type="http://schemas.openxmlformats.org/officeDocument/2006/relationships/hyperlink" Target="https://acf.gov/sites/default/files/documents/orr/Field-Guidance-No.-23_FINAL.pdf" TargetMode="External"/><Relationship Id="rId2962" Type="http://schemas.openxmlformats.org/officeDocument/2006/relationships/hyperlink" Target="https://headstart.gov/policy/pi/acf-pi-hs-16-01" TargetMode="External"/><Relationship Id="rId727" Type="http://schemas.openxmlformats.org/officeDocument/2006/relationships/hyperlink" Target="https://acf.gov/cb/faq/custody5" TargetMode="External"/><Relationship Id="rId934" Type="http://schemas.openxmlformats.org/officeDocument/2006/relationships/hyperlink" Target="https://acf.gov/occ/faq/what-does-it-mean-market-rate-survey-be-statistically-valid-and-reliable" TargetMode="External"/><Relationship Id="rId1357" Type="http://schemas.openxmlformats.org/officeDocument/2006/relationships/hyperlink" Target="https://acf.gov/ocs/resource/state-median-income-estimates-for-optional-use-in-fy-2011" TargetMode="External"/><Relationship Id="rId1564" Type="http://schemas.openxmlformats.org/officeDocument/2006/relationships/hyperlink" Target="https://acf.gov/css/policy-guidance/questions-and-responses-regarding-collaborative-efforts-iv-d-agencies-and" TargetMode="External"/><Relationship Id="rId1771" Type="http://schemas.openxmlformats.org/officeDocument/2006/relationships/hyperlink" Target="https://acf.gov/css/policy-guidance/submit-ocse-157-fy-2025-october-30" TargetMode="External"/><Relationship Id="rId2408" Type="http://schemas.openxmlformats.org/officeDocument/2006/relationships/hyperlink" Target="https://acf.gov/orr/resource/human-trafficking-awareness-day-2017" TargetMode="External"/><Relationship Id="rId2615" Type="http://schemas.openxmlformats.org/officeDocument/2006/relationships/hyperlink" Target="https://acf.gov/orr/policy-guidance/state-letter-05-23" TargetMode="External"/><Relationship Id="rId2822" Type="http://schemas.openxmlformats.org/officeDocument/2006/relationships/hyperlink" Target="https://acf.gov/ofa/policy-guidance/systems-family-stability-national-policy-academy" TargetMode="External"/><Relationship Id="rId63" Type="http://schemas.openxmlformats.org/officeDocument/2006/relationships/hyperlink" Target="https://acf.gov/cb/faq/nofo-limited-serving-children" TargetMode="External"/><Relationship Id="rId1217" Type="http://schemas.openxmlformats.org/officeDocument/2006/relationships/hyperlink" Target="https://acf.gov/ocs/resource/dear-colleague-notice-on-liheap-fy-2019-funding-release" TargetMode="External"/><Relationship Id="rId1424" Type="http://schemas.openxmlformats.org/officeDocument/2006/relationships/hyperlink" Target="https://acf.gov/ocs/policy-guidance/liheap-dcl-customer-service-feedback" TargetMode="External"/><Relationship Id="rId1631" Type="http://schemas.openxmlformats.org/officeDocument/2006/relationships/hyperlink" Target="https://acf.gov/css/policy-guidance/ssns-under-social-security-administrations-enumeration-verification-system" TargetMode="External"/><Relationship Id="rId2198" Type="http://schemas.openxmlformats.org/officeDocument/2006/relationships/hyperlink" Target="https://acf.gov/css/training-technical-assistance/no-programming-option-employers" TargetMode="External"/><Relationship Id="rId377" Type="http://schemas.openxmlformats.org/officeDocument/2006/relationships/hyperlink" Target="https://acf.gov/cb/policy-guidance/im-00-03" TargetMode="External"/><Relationship Id="rId584" Type="http://schemas.openxmlformats.org/officeDocument/2006/relationships/hyperlink" Target="https://acf.gov/cb/policy-guidance/pi-07-06" TargetMode="External"/><Relationship Id="rId2058" Type="http://schemas.openxmlformats.org/officeDocument/2006/relationships/hyperlink" Target="https://acf.gov/css/policy-guidance/processing-incoming-cases-under-2007-hague-child-support-convention" TargetMode="External"/><Relationship Id="rId2265" Type="http://schemas.openxmlformats.org/officeDocument/2006/relationships/hyperlink" Target="https://acf.gov/cb/training-technical-assistance/tips-hiring-young-people-lived-experience" TargetMode="External"/><Relationship Id="rId237" Type="http://schemas.openxmlformats.org/officeDocument/2006/relationships/hyperlink" Target="https://acf.gov/cb/grant-funding/childrens-bureau-tribal-consultation-response-tribal-consultation-title-iv-e" TargetMode="External"/><Relationship Id="rId791" Type="http://schemas.openxmlformats.org/officeDocument/2006/relationships/hyperlink" Target="https://acf.gov/occ/policy-guidance/acyf-im-cc-05-02" TargetMode="External"/><Relationship Id="rId1074" Type="http://schemas.openxmlformats.org/officeDocument/2006/relationships/hyperlink" Target="https://acf.gov/ocs/policy-guidance/liheap-2024-06-liheap-household-report-long-form-and-short-form-fy24" TargetMode="External"/><Relationship Id="rId2472" Type="http://schemas.openxmlformats.org/officeDocument/2006/relationships/hyperlink" Target="https://acf.gov/orr/resource/federal-lobbying-restrictions" TargetMode="External"/><Relationship Id="rId444" Type="http://schemas.openxmlformats.org/officeDocument/2006/relationships/hyperlink" Target="https://acf.gov/cb/policy-guidance/im-88-13" TargetMode="External"/><Relationship Id="rId651" Type="http://schemas.openxmlformats.org/officeDocument/2006/relationships/hyperlink" Target="https://acf.gov/cb/policy-guidance/pi-97-02" TargetMode="External"/><Relationship Id="rId1281" Type="http://schemas.openxmlformats.org/officeDocument/2006/relationships/hyperlink" Target="https://acf.gov/ocs/resource/liheap-dear-colleague-notice-on-the-initial-fy-2014-funding-release" TargetMode="External"/><Relationship Id="rId2125" Type="http://schemas.openxmlformats.org/officeDocument/2006/relationships/hyperlink" Target="https://acf.gov/css/faq/what-steps-should-i-take-if-state-department-has-denied-my-passport-because-past-due" TargetMode="External"/><Relationship Id="rId2332" Type="http://schemas.openxmlformats.org/officeDocument/2006/relationships/hyperlink" Target="https://acf.gov/sites/default/files/documents/orr/DCL-23-03-Youth-Mentoring-Set-Aside-FY2023-Funding.pdf" TargetMode="External"/><Relationship Id="rId304" Type="http://schemas.openxmlformats.org/officeDocument/2006/relationships/hyperlink" Target="https://acf.gov/cb/policy-guidance/im-12-04" TargetMode="External"/><Relationship Id="rId511" Type="http://schemas.openxmlformats.org/officeDocument/2006/relationships/hyperlink" Target="https://acf.gov/cb/policy-guidance/pi-15-05" TargetMode="External"/><Relationship Id="rId1141" Type="http://schemas.openxmlformats.org/officeDocument/2006/relationships/hyperlink" Target="https://acf.gov/ocs/resource/liheap-application-requirements-for-fy-2012-and-deadline-for-all" TargetMode="External"/><Relationship Id="rId1001" Type="http://schemas.openxmlformats.org/officeDocument/2006/relationships/hyperlink" Target="https://acf.gov/occ/policy-guidance/letter-mayors-re-ccdf-covid-19-resources" TargetMode="External"/><Relationship Id="rId1958" Type="http://schemas.openxmlformats.org/officeDocument/2006/relationships/hyperlink" Target="https://acf.gov/css/policy-guidance/section-1115-grant-funding-process-update" TargetMode="External"/><Relationship Id="rId1818" Type="http://schemas.openxmlformats.org/officeDocument/2006/relationships/hyperlink" Target="https://acf.gov/css/policy-guidance/fy-2022-and-fy-2023-incentive-payment-pool-amounts" TargetMode="External"/><Relationship Id="rId3033" Type="http://schemas.openxmlformats.org/officeDocument/2006/relationships/hyperlink" Target="https://headstart.gov/family-support-well-being/article/frequently-asked-questions-families-about-medicaid" TargetMode="External"/><Relationship Id="rId161" Type="http://schemas.openxmlformats.org/officeDocument/2006/relationships/hyperlink" Target="https://acf.gov/cb/policy-guidance/pi-20-14" TargetMode="External"/><Relationship Id="rId2799" Type="http://schemas.openxmlformats.org/officeDocument/2006/relationships/hyperlink" Target="https://acf.gov/ohsepr/faq/repatriation/emergency-repatriation/emergency-repatriation-faqs" TargetMode="External"/><Relationship Id="rId978" Type="http://schemas.openxmlformats.org/officeDocument/2006/relationships/hyperlink" Target="https://acf.gov/occ/faq/does-law-require-child-care-providers-acquire-credentials-receive-ccdf" TargetMode="External"/><Relationship Id="rId2659" Type="http://schemas.openxmlformats.org/officeDocument/2006/relationships/hyperlink" Target="https://acf.gov/orr/policy-guidance/state-letter-03-18" TargetMode="External"/><Relationship Id="rId2866" Type="http://schemas.openxmlformats.org/officeDocument/2006/relationships/hyperlink" Target="https://acf.gov/ofa/policy-guidance/tanf-acf-im-2015-01-work-participation-rates-fy-2012" TargetMode="External"/><Relationship Id="rId838" Type="http://schemas.openxmlformats.org/officeDocument/2006/relationships/hyperlink" Target="https://acf.gov/occ/resource/ccdf-acf-pi-2019-09" TargetMode="External"/><Relationship Id="rId1468" Type="http://schemas.openxmlformats.org/officeDocument/2006/relationships/hyperlink" Target="https://acf.gov/css/policy-guidance/hague-child-support-convention-forms-expire-march-31-2026" TargetMode="External"/><Relationship Id="rId1675" Type="http://schemas.openxmlformats.org/officeDocument/2006/relationships/hyperlink" Target="https://acf.gov/css/policy-guidance/assessment-interest-disallowed-claims-federal-financial-participation" TargetMode="External"/><Relationship Id="rId1882" Type="http://schemas.openxmlformats.org/officeDocument/2006/relationships/hyperlink" Target="https://acf.gov/css/policy-guidance/federal-offset-and-passport-denial-state-services-portal-applications" TargetMode="External"/><Relationship Id="rId2519" Type="http://schemas.openxmlformats.org/officeDocument/2006/relationships/hyperlink" Target="https://acf.gov/orr/policy-guidance/state-letter-11-05" TargetMode="External"/><Relationship Id="rId2726" Type="http://schemas.openxmlformats.org/officeDocument/2006/relationships/hyperlink" Target="https://acf.gov/orr/resource/state-letter-00-17" TargetMode="External"/><Relationship Id="rId1328" Type="http://schemas.openxmlformats.org/officeDocument/2006/relationships/hyperlink" Target="https://acf.gov/ocs/resource/liheap-im-hhs-guidance-on-the-use-of-social-security-numbers-ssns-and-citizenship-status-verification" TargetMode="External"/><Relationship Id="rId1535" Type="http://schemas.openxmlformats.org/officeDocument/2006/relationships/hyperlink" Target="https://acf.gov/css/policy-guidance/recommended-state-child-support-enforcement-program-self-assessment-report" TargetMode="External"/><Relationship Id="rId2933" Type="http://schemas.openxmlformats.org/officeDocument/2006/relationships/hyperlink" Target="https://headstart.gov/policy/pi/acf-ohs-pi-25-01" TargetMode="External"/><Relationship Id="rId905" Type="http://schemas.openxmlformats.org/officeDocument/2006/relationships/hyperlink" Target="https://acf.gov/occ/training-technical-assistance/acf-801-case-level-data-standards-tb3r-v9" TargetMode="External"/><Relationship Id="rId1742" Type="http://schemas.openxmlformats.org/officeDocument/2006/relationships/hyperlink" Target="https://acf.gov/css/policy-guidance/pl-96-265-use-irs-collect-child-support-and-ffp-duties-performed-courts" TargetMode="External"/><Relationship Id="rId34" Type="http://schemas.openxmlformats.org/officeDocument/2006/relationships/hyperlink" Target="https://acf.gov/cb/policy-guidance/pi-24-08" TargetMode="External"/><Relationship Id="rId1602" Type="http://schemas.openxmlformats.org/officeDocument/2006/relationships/hyperlink" Target="https://acf.gov/css/policy-guidance/procedures-determining-state-iv-d-plan-disapproved" TargetMode="External"/><Relationship Id="rId488" Type="http://schemas.openxmlformats.org/officeDocument/2006/relationships/hyperlink" Target="https://acf.gov/cb/training-technical-assistance/child-and-family-services-review-technical-bulletin-1" TargetMode="External"/><Relationship Id="rId695" Type="http://schemas.openxmlformats.org/officeDocument/2006/relationships/hyperlink" Target="https://acf.gov/cb/policy-guidance/pi-86-01" TargetMode="External"/><Relationship Id="rId2169" Type="http://schemas.openxmlformats.org/officeDocument/2006/relationships/hyperlink" Target="https://acf.gov/css/training-technical-assistance/irg-state-and-tribal-child-support-users-guide" TargetMode="External"/><Relationship Id="rId2376" Type="http://schemas.openxmlformats.org/officeDocument/2006/relationships/hyperlink" Target="https://acf.gov/sites/default/files/documents/orr/dcl_20_12_fy_2021_rsi_rss_set_aside.pdf" TargetMode="External"/><Relationship Id="rId2583" Type="http://schemas.openxmlformats.org/officeDocument/2006/relationships/hyperlink" Target="https://acf.gov/orr/policy-guidance/state-letter-06-08" TargetMode="External"/><Relationship Id="rId2790" Type="http://schemas.openxmlformats.org/officeDocument/2006/relationships/hyperlink" Target="https://acf.gov/fysb/faq/fvpsa-grant-recipient-allocation-employee-costs-faq" TargetMode="External"/><Relationship Id="rId348" Type="http://schemas.openxmlformats.org/officeDocument/2006/relationships/hyperlink" Target="https://acf.gov/cb/policy-guidance/im-04-04" TargetMode="External"/><Relationship Id="rId555" Type="http://schemas.openxmlformats.org/officeDocument/2006/relationships/hyperlink" Target="https://acf.gov/cb/policy-guidance/pi-10-05" TargetMode="External"/><Relationship Id="rId762" Type="http://schemas.openxmlformats.org/officeDocument/2006/relationships/hyperlink" Target="https://acf.gov/occ/policy-guidance/ccdf-discretionary-funds-appropriated-crrsa-act-public-law-116-260-signed-law" TargetMode="External"/><Relationship Id="rId1185" Type="http://schemas.openxmlformats.org/officeDocument/2006/relationships/hyperlink" Target="https://acf.gov/ocs/policy-guidance/liheap-dcl-2022-04-additional-training-opportunities-guidance-emergency-rental" TargetMode="External"/><Relationship Id="rId1392" Type="http://schemas.openxmlformats.org/officeDocument/2006/relationships/hyperlink" Target="https://acf.gov/ocs/resource/liheap-disaster-relief" TargetMode="External"/><Relationship Id="rId2029" Type="http://schemas.openxmlformats.org/officeDocument/2006/relationships/hyperlink" Target="https://acf.gov/css/policy-guidance/state-best-practices-fpls-data-automation-employer-database-employer-new-hire" TargetMode="External"/><Relationship Id="rId2236" Type="http://schemas.openxmlformats.org/officeDocument/2006/relationships/hyperlink" Target="https://acf.gov/ecd/policy-guidance/expulsion-and-suspension-resource-guide-0" TargetMode="External"/><Relationship Id="rId2443" Type="http://schemas.openxmlformats.org/officeDocument/2006/relationships/hyperlink" Target="https://acf.gov/sites/default/files/documents/orr/orr-pl-22-07-refugee-school-impact-2021-12-08-revised.pdf" TargetMode="External"/><Relationship Id="rId2650" Type="http://schemas.openxmlformats.org/officeDocument/2006/relationships/hyperlink" Target="https://acf.gov/orr/policy-guidance/state-letter-03-07" TargetMode="External"/><Relationship Id="rId208" Type="http://schemas.openxmlformats.org/officeDocument/2006/relationships/hyperlink" Target="https://acf.gov/cb/report/tribal-federal-medical-assistance-percentage-reference-table-fy-2021" TargetMode="External"/><Relationship Id="rId415" Type="http://schemas.openxmlformats.org/officeDocument/2006/relationships/hyperlink" Target="https://acf.gov/cb/policy-guidance/im-93-22" TargetMode="External"/><Relationship Id="rId622" Type="http://schemas.openxmlformats.org/officeDocument/2006/relationships/hyperlink" Target="https://acf.gov/cb/policy-guidance/pi-01-09" TargetMode="External"/><Relationship Id="rId1045" Type="http://schemas.openxmlformats.org/officeDocument/2006/relationships/hyperlink" Target="https://acf.gov/occ/policy-guidance/ccdf-financial-reporting-form-acf-696-fy-2009-grant-award-arra-2009" TargetMode="External"/><Relationship Id="rId1252" Type="http://schemas.openxmlformats.org/officeDocument/2006/relationships/hyperlink" Target="https://acf.gov/ocs/resource/dear-colleague-notice-on-dea-new-staff" TargetMode="External"/><Relationship Id="rId2303" Type="http://schemas.openxmlformats.org/officeDocument/2006/relationships/hyperlink" Target="https://acf.gov/sites/default/files/documents/orr/dcl-23-33-orr-funded-behavioral-health-resources-afghan-arrivals.pdf" TargetMode="External"/><Relationship Id="rId2510" Type="http://schemas.openxmlformats.org/officeDocument/2006/relationships/hyperlink" Target="https://acf.gov/orr/resource/state-letter-12-12" TargetMode="External"/><Relationship Id="rId1112" Type="http://schemas.openxmlformats.org/officeDocument/2006/relationships/hyperlink" Target="https://acf.gov/ocs/resource/liheap-action-transmittal-2016-02-on-fy-2015-hhr" TargetMode="External"/><Relationship Id="rId1929" Type="http://schemas.openxmlformats.org/officeDocument/2006/relationships/hyperlink" Target="https://acf.gov/css/policy-guidance/attachment-social-security-benefits" TargetMode="External"/><Relationship Id="rId2093" Type="http://schemas.openxmlformats.org/officeDocument/2006/relationships/hyperlink" Target="https://acf.gov/css/policy-guidance/hold-period-joint-non-iv-tax-refund-offsets" TargetMode="External"/><Relationship Id="rId272" Type="http://schemas.openxmlformats.org/officeDocument/2006/relationships/hyperlink" Target="https://acf.gov/cb/policy-guidance/im-18-02" TargetMode="External"/><Relationship Id="rId2160" Type="http://schemas.openxmlformats.org/officeDocument/2006/relationships/hyperlink" Target="https://acf.gov/css/training-technical-assistance/federal-collection-and-passport-denial-technical-guide" TargetMode="External"/><Relationship Id="rId3004" Type="http://schemas.openxmlformats.org/officeDocument/2006/relationships/hyperlink" Target="https://headstart.gov/publication/timeline-compliance-updated-performance-standard-requirements" TargetMode="External"/><Relationship Id="rId132" Type="http://schemas.openxmlformats.org/officeDocument/2006/relationships/hyperlink" Target="https://acf.gov/cb/faq/custody3" TargetMode="External"/><Relationship Id="rId2020" Type="http://schemas.openxmlformats.org/officeDocument/2006/relationships/hyperlink" Target="https://acf.gov/css/policy-guidance/interstate-child-support-hearings" TargetMode="External"/><Relationship Id="rId1579" Type="http://schemas.openxmlformats.org/officeDocument/2006/relationships/hyperlink" Target="https://acf.gov/css/policy-guidance/final-rule-standards-program-operations-program-automation" TargetMode="External"/><Relationship Id="rId2977" Type="http://schemas.openxmlformats.org/officeDocument/2006/relationships/hyperlink" Target="https://headstart.gov/human-resources/article/background-checks-faqs" TargetMode="External"/><Relationship Id="rId949" Type="http://schemas.openxmlformats.org/officeDocument/2006/relationships/hyperlink" Target="https://acf.gov/occ/faq/when-must-state-have-policies-and-procedures-background-checks-place" TargetMode="External"/><Relationship Id="rId1786" Type="http://schemas.openxmlformats.org/officeDocument/2006/relationships/hyperlink" Target="https://acf.gov/css/policy-guidance/data-reliability-audit-requirements-fy-2024" TargetMode="External"/><Relationship Id="rId1993" Type="http://schemas.openxmlformats.org/officeDocument/2006/relationships/hyperlink" Target="https://acf.gov/css/policy-guidance/information-tribal-access-fpls" TargetMode="External"/><Relationship Id="rId2837" Type="http://schemas.openxmlformats.org/officeDocument/2006/relationships/hyperlink" Target="https://acf.gov/ofa/policy-guidance/reauthorization-tanf-final-rule" TargetMode="External"/><Relationship Id="rId78" Type="http://schemas.openxmlformats.org/officeDocument/2006/relationships/hyperlink" Target="https://acf.gov/cb/policy-guidance/pi-23-08" TargetMode="External"/><Relationship Id="rId809" Type="http://schemas.openxmlformats.org/officeDocument/2006/relationships/hyperlink" Target="https://acf.gov/occ/policy-guidance/guidance-tribal-lead-agencies-ccdf-eligibility-final-rule-acf-occ-ccdf-pi-25-02" TargetMode="External"/><Relationship Id="rId1439" Type="http://schemas.openxmlformats.org/officeDocument/2006/relationships/hyperlink" Target="https://acf.gov/ocs/policy-guidance/liheap-2010-8-carryover-and-reallotment-report-fy-2010-0" TargetMode="External"/><Relationship Id="rId1646" Type="http://schemas.openxmlformats.org/officeDocument/2006/relationships/hyperlink" Target="https://acf.gov/css/policy-guidance/restrictions-use-federal-funds-influence-awarding-federal-grants-or-contracts" TargetMode="External"/><Relationship Id="rId1853" Type="http://schemas.openxmlformats.org/officeDocument/2006/relationships/hyperlink" Target="https://acf.gov/css/policy-guidance/open-comment-period-ocse-75-tribal-annual-data-report" TargetMode="External"/><Relationship Id="rId2904" Type="http://schemas.openxmlformats.org/officeDocument/2006/relationships/hyperlink" Target="https://headstart.gov/policy/im/acf-ohs-im-24-01" TargetMode="External"/><Relationship Id="rId1506" Type="http://schemas.openxmlformats.org/officeDocument/2006/relationships/hyperlink" Target="https://acf.gov/css/policy-guidance/correctly-withholding-child-support-weekly-and-biweekly-pay-cycles" TargetMode="External"/><Relationship Id="rId1713" Type="http://schemas.openxmlformats.org/officeDocument/2006/relationships/hyperlink" Target="https://acf.gov/css/policy-guidance/final-rule-elimination-double-support-payments" TargetMode="External"/><Relationship Id="rId1920" Type="http://schemas.openxmlformats.org/officeDocument/2006/relationships/hyperlink" Target="https://acf.gov/css/policy-guidance/international-child-support-payments-poland" TargetMode="External"/><Relationship Id="rId599" Type="http://schemas.openxmlformats.org/officeDocument/2006/relationships/hyperlink" Target="https://acf.gov/cb/policy-guidance/pi-05-01" TargetMode="External"/><Relationship Id="rId2487" Type="http://schemas.openxmlformats.org/officeDocument/2006/relationships/hyperlink" Target="https://acf.gov/orr/policy-guidance/state-letter-15-11" TargetMode="External"/><Relationship Id="rId2694" Type="http://schemas.openxmlformats.org/officeDocument/2006/relationships/hyperlink" Target="https://acf.gov/archive/orr/policy-guidance/state-letter-01-01" TargetMode="External"/><Relationship Id="rId459" Type="http://schemas.openxmlformats.org/officeDocument/2006/relationships/hyperlink" Target="https://acf.gov/cb/policy-guidance/im-86-24" TargetMode="External"/><Relationship Id="rId666" Type="http://schemas.openxmlformats.org/officeDocument/2006/relationships/hyperlink" Target="https://acf.gov/cb/policy-guidance/pi-94-12" TargetMode="External"/><Relationship Id="rId873" Type="http://schemas.openxmlformats.org/officeDocument/2006/relationships/hyperlink" Target="https://acf.gov/occ/policy-guidance/ccdf-acf-pi-2011-05" TargetMode="External"/><Relationship Id="rId1089" Type="http://schemas.openxmlformats.org/officeDocument/2006/relationships/hyperlink" Target="https://acf.gov/ocs/policy-guidance/liheap-2021-04-carryoverreallot-fy2021" TargetMode="External"/><Relationship Id="rId1296" Type="http://schemas.openxmlformats.org/officeDocument/2006/relationships/hyperlink" Target="https://acf.gov/ocs/policy-guidance/liheap-im2025-02-federal-poverty-guidelines-and-state-median-income-estimates" TargetMode="External"/><Relationship Id="rId2347" Type="http://schemas.openxmlformats.org/officeDocument/2006/relationships/hyperlink" Target="https://acf.gov/sites/default/files/documents/orr/ORR-DCL-22-12-Expansion-of-RCA-and-RMA-Eligibility-Period.pdf" TargetMode="External"/><Relationship Id="rId2554" Type="http://schemas.openxmlformats.org/officeDocument/2006/relationships/hyperlink" Target="https://acf.gov/orr/policy-guidance/state-letter-08-05" TargetMode="External"/><Relationship Id="rId319" Type="http://schemas.openxmlformats.org/officeDocument/2006/relationships/hyperlink" Target="https://acf.gov/cb/policy-guidance/cms-acf-im-08-01" TargetMode="External"/><Relationship Id="rId526" Type="http://schemas.openxmlformats.org/officeDocument/2006/relationships/hyperlink" Target="https://acf.gov/cb/policy-guidance/pi-13-04" TargetMode="External"/><Relationship Id="rId1156" Type="http://schemas.openxmlformats.org/officeDocument/2006/relationships/hyperlink" Target="https://acf.gov/ocs/policy-guidance/liheap-dcl-2025-01-first-funding-release-ffy-2025" TargetMode="External"/><Relationship Id="rId1363" Type="http://schemas.openxmlformats.org/officeDocument/2006/relationships/hyperlink" Target="https://acf.gov/ocs/resource/three-year-liheap-compliance-review-monitoring-schedule-fy-2010-through-fy" TargetMode="External"/><Relationship Id="rId2207" Type="http://schemas.openxmlformats.org/officeDocument/2006/relationships/hyperlink" Target="https://acf.gov/css/training-technical-assistance/arrears-reconciliation-calculator" TargetMode="External"/><Relationship Id="rId2761" Type="http://schemas.openxmlformats.org/officeDocument/2006/relationships/hyperlink" Target="https://acf.gov/orr/policy-guidance/unaccompanied-children-program/verification-release" TargetMode="External"/><Relationship Id="rId733" Type="http://schemas.openxmlformats.org/officeDocument/2006/relationships/hyperlink" Target="https://acf.gov/cb/faq/funding2" TargetMode="External"/><Relationship Id="rId940" Type="http://schemas.openxmlformats.org/officeDocument/2006/relationships/hyperlink" Target="https://acf.gov/occ/faq/who-affected-new-law" TargetMode="External"/><Relationship Id="rId1016" Type="http://schemas.openxmlformats.org/officeDocument/2006/relationships/hyperlink" Target="https://acf.gov/occ/policy-guidance/ccdf-acf-pi-2017-03" TargetMode="External"/><Relationship Id="rId1570" Type="http://schemas.openxmlformats.org/officeDocument/2006/relationships/hyperlink" Target="https://acf.gov/css/policy-guidance/policy-questions-and-responses-regarding-requests-information-fpls" TargetMode="External"/><Relationship Id="rId2414" Type="http://schemas.openxmlformats.org/officeDocument/2006/relationships/hyperlink" Target="https://acf.gov/orr/resource/fy-16-refugee-school-impact-social-services-set-aside" TargetMode="External"/><Relationship Id="rId2621" Type="http://schemas.openxmlformats.org/officeDocument/2006/relationships/hyperlink" Target="https://acf.gov/orr/policy-guidance/state-letter-05-28" TargetMode="External"/><Relationship Id="rId800" Type="http://schemas.openxmlformats.org/officeDocument/2006/relationships/hyperlink" Target="https://acf.gov/occ/policy-guidance/parental-choice-provisions-included-ccdf-regulations" TargetMode="External"/><Relationship Id="rId1223" Type="http://schemas.openxmlformats.org/officeDocument/2006/relationships/hyperlink" Target="https://acf.gov/ocs/resource/dear-colleague-notice-2018-national-liheap-training-meeting" TargetMode="External"/><Relationship Id="rId1430" Type="http://schemas.openxmlformats.org/officeDocument/2006/relationships/hyperlink" Target="https://acf.gov/ocs/policy-guidance/liheap-im-2011-11-update-new-liheap-performance-measures-and-webinars" TargetMode="External"/><Relationship Id="rId176" Type="http://schemas.openxmlformats.org/officeDocument/2006/relationships/hyperlink" Target="https://acf.gov/cb/policy-guidance/joint-letter-family-support-maternal-and-child-health-and-early-childhood" TargetMode="External"/><Relationship Id="rId383" Type="http://schemas.openxmlformats.org/officeDocument/2006/relationships/hyperlink" Target="https://acf.gov/cb/policy-guidance/im-99-01" TargetMode="External"/><Relationship Id="rId590" Type="http://schemas.openxmlformats.org/officeDocument/2006/relationships/hyperlink" Target="https://acf.gov/cb/policy-guidance/pi-06-06" TargetMode="External"/><Relationship Id="rId2064" Type="http://schemas.openxmlformats.org/officeDocument/2006/relationships/hyperlink" Target="https://acf.gov/css/policy-guidance/federal-tax-refund-offset-administrative-offset-and-passport-denial-tribes" TargetMode="External"/><Relationship Id="rId2271" Type="http://schemas.openxmlformats.org/officeDocument/2006/relationships/hyperlink" Target="https://acf.gov/orr/dcl-25-14" TargetMode="External"/><Relationship Id="rId243" Type="http://schemas.openxmlformats.org/officeDocument/2006/relationships/hyperlink" Target="https://acf.gov/cb/outreach-material/letter-update-child-welfare-directors-title-iv-e-prevention-services" TargetMode="External"/><Relationship Id="rId450" Type="http://schemas.openxmlformats.org/officeDocument/2006/relationships/hyperlink" Target="https://acf.gov/cb/policy-guidance/im-87-15" TargetMode="External"/><Relationship Id="rId1080" Type="http://schemas.openxmlformats.org/officeDocument/2006/relationships/hyperlink" Target="https://acf.gov/ocs/policy-guidance/liheap-2023-06-carryover-and-reallotment-report-federal-fiscal-year-2023" TargetMode="External"/><Relationship Id="rId2131" Type="http://schemas.openxmlformats.org/officeDocument/2006/relationships/hyperlink" Target="https://acf.gov/css/faq/how-child-support-order-changed" TargetMode="External"/><Relationship Id="rId103" Type="http://schemas.openxmlformats.org/officeDocument/2006/relationships/hyperlink" Target="https://acf.gov/cb/policy-guidance/letter-assignment-rights-child-support" TargetMode="External"/><Relationship Id="rId310" Type="http://schemas.openxmlformats.org/officeDocument/2006/relationships/hyperlink" Target="https://acf.gov/cb/policy-guidance/im-11-04" TargetMode="External"/><Relationship Id="rId1897" Type="http://schemas.openxmlformats.org/officeDocument/2006/relationships/hyperlink" Target="https://acf.gov/css/policy-guidance/establishment-paternity-and-service-process-when-noncustodial-parent-us" TargetMode="External"/><Relationship Id="rId2948" Type="http://schemas.openxmlformats.org/officeDocument/2006/relationships/hyperlink" Target="https://headstart.gov/policy/pi/acf-pi-hs-20-02" TargetMode="External"/><Relationship Id="rId1757" Type="http://schemas.openxmlformats.org/officeDocument/2006/relationships/hyperlink" Target="https://acf.gov/css/policy-guidance/restrictions-ffp-publicly-owned-buildings" TargetMode="External"/><Relationship Id="rId1964" Type="http://schemas.openxmlformats.org/officeDocument/2006/relationships/hyperlink" Target="https://acf.gov/css/policy-guidance/new-webpage-parents" TargetMode="External"/><Relationship Id="rId2808" Type="http://schemas.openxmlformats.org/officeDocument/2006/relationships/hyperlink" Target="https://acf.gov/fysb/faq/homeless-fysb-help" TargetMode="External"/><Relationship Id="rId49" Type="http://schemas.openxmlformats.org/officeDocument/2006/relationships/hyperlink" Target="https://acf.gov/cb/policy-guidance/pi-24-01" TargetMode="External"/><Relationship Id="rId1617" Type="http://schemas.openxmlformats.org/officeDocument/2006/relationships/hyperlink" Target="https://acf.gov/css/policy-guidance/revised-program-instructions-immediate-wage-withholding" TargetMode="External"/><Relationship Id="rId1824" Type="http://schemas.openxmlformats.org/officeDocument/2006/relationships/hyperlink" Target="https://acf.gov/css/policy-guidance/submittal-annual-certification-letter-2022" TargetMode="External"/><Relationship Id="rId2598" Type="http://schemas.openxmlformats.org/officeDocument/2006/relationships/hyperlink" Target="https://acf.gov/orr/policy-guidance/state-letter-05-05" TargetMode="External"/><Relationship Id="rId777" Type="http://schemas.openxmlformats.org/officeDocument/2006/relationships/hyperlink" Target="https://acf.gov/occ/resource/im-ohs-2015-03" TargetMode="External"/><Relationship Id="rId984" Type="http://schemas.openxmlformats.org/officeDocument/2006/relationships/hyperlink" Target="https://acf.gov/occ/faq/what-provisions-new-law-are-effective-upon-enactment" TargetMode="External"/><Relationship Id="rId2458" Type="http://schemas.openxmlformats.org/officeDocument/2006/relationships/hyperlink" Target="https://acf.gov/sites/default/files/documents/orr/pl_20_05_rhp_transitions_to_rss6_1.pdf" TargetMode="External"/><Relationship Id="rId2665" Type="http://schemas.openxmlformats.org/officeDocument/2006/relationships/hyperlink" Target="https://acf.gov/archive/otip/policy-guidance/state-letter-02-01" TargetMode="External"/><Relationship Id="rId2872" Type="http://schemas.openxmlformats.org/officeDocument/2006/relationships/hyperlink" Target="https://acf.gov/ofa/policy-guidance/tribal-tanf-data-coding-instructions" TargetMode="External"/><Relationship Id="rId637" Type="http://schemas.openxmlformats.org/officeDocument/2006/relationships/hyperlink" Target="https://acf.gov/cb/policy-guidance/pi-99-01" TargetMode="External"/><Relationship Id="rId844" Type="http://schemas.openxmlformats.org/officeDocument/2006/relationships/hyperlink" Target="https://acf.gov/occ/resource/ccdf-acf-pi-2017-06" TargetMode="External"/><Relationship Id="rId1267" Type="http://schemas.openxmlformats.org/officeDocument/2006/relationships/hyperlink" Target="https://acf.gov/ocs/policy-guidance/ocs-dcl-2022-04-joint-dcl-ocs-and-acl-fy2022" TargetMode="External"/><Relationship Id="rId1474" Type="http://schemas.openxmlformats.org/officeDocument/2006/relationships/hyperlink" Target="https://acf.gov/css/policy-guidance/implementing-revised-ocse-396-and-ocse-34-instructions" TargetMode="External"/><Relationship Id="rId1681" Type="http://schemas.openxmlformats.org/officeDocument/2006/relationships/hyperlink" Target="https://acf.gov/css/policy-guidance/reduction-ffp-rate-administrative-expenditures" TargetMode="External"/><Relationship Id="rId2318" Type="http://schemas.openxmlformats.org/officeDocument/2006/relationships/hyperlink" Target="https://acf.gov/sites/default/files/documents/orr/dcl-23-17-services-to-afghan-surivors-impacted-by-combat.pdf" TargetMode="External"/><Relationship Id="rId2525" Type="http://schemas.openxmlformats.org/officeDocument/2006/relationships/hyperlink" Target="https://acf.gov/orr/policy-guidance/state-letter-10-07" TargetMode="External"/><Relationship Id="rId2732" Type="http://schemas.openxmlformats.org/officeDocument/2006/relationships/hyperlink" Target="https://acf.gov/orr/policy-guidance/orr-guide-eligibility-placement-and-services-unaccompanied-refugee-minors-urm-0" TargetMode="External"/><Relationship Id="rId704" Type="http://schemas.openxmlformats.org/officeDocument/2006/relationships/hyperlink" Target="https://acf.gov/cb/policy-guidance/pi-83-08" TargetMode="External"/><Relationship Id="rId911" Type="http://schemas.openxmlformats.org/officeDocument/2006/relationships/hyperlink" Target="https://acf.gov/occ/training-technical-assistance/ccdf-acf-700-clarifications-tb12rv3" TargetMode="External"/><Relationship Id="rId1127" Type="http://schemas.openxmlformats.org/officeDocument/2006/relationships/hyperlink" Target="https://acf.gov/ocs/resource/carryover-and-reallotment-report-2013" TargetMode="External"/><Relationship Id="rId1334" Type="http://schemas.openxmlformats.org/officeDocument/2006/relationships/hyperlink" Target="https://acf.gov/ocs/resource/liheap-im-2014-3-best-practices-identified-during-compliance-reviews" TargetMode="External"/><Relationship Id="rId1541" Type="http://schemas.openxmlformats.org/officeDocument/2006/relationships/hyperlink" Target="https://acf.gov/css/policy-guidance/policy-clarifications-automated-systems-title-iv-d-child-support-enforcement" TargetMode="External"/><Relationship Id="rId40" Type="http://schemas.openxmlformats.org/officeDocument/2006/relationships/hyperlink" Target="https://acf.gov/cb/faq/tribal-cip-nofo-faqs" TargetMode="External"/><Relationship Id="rId1401" Type="http://schemas.openxmlformats.org/officeDocument/2006/relationships/hyperlink" Target="https://acf.gov/ocs/faq/liheap-resource-guide-finding-energy-assistance" TargetMode="External"/><Relationship Id="rId287" Type="http://schemas.openxmlformats.org/officeDocument/2006/relationships/hyperlink" Target="https://acf.gov/cb/policy-guidance/im-15-06" TargetMode="External"/><Relationship Id="rId494" Type="http://schemas.openxmlformats.org/officeDocument/2006/relationships/hyperlink" Target="https://acf.gov/cb/policy-guidance/pi-18-03" TargetMode="External"/><Relationship Id="rId2175" Type="http://schemas.openxmlformats.org/officeDocument/2006/relationships/hyperlink" Target="https://acf.gov/css/training-technical-assistance/irg-tribal-profile-questions" TargetMode="External"/><Relationship Id="rId2382" Type="http://schemas.openxmlformats.org/officeDocument/2006/relationships/hyperlink" Target="https://acf.gov/sites/default/files/documents/orr/dcl_20_06_fy20_rss_allocations.pdf" TargetMode="External"/><Relationship Id="rId3019" Type="http://schemas.openxmlformats.org/officeDocument/2006/relationships/hyperlink" Target="https://headstart.gov/sites/default/files/pdf/hs-program-governance-reference-book.pdf" TargetMode="External"/><Relationship Id="rId147" Type="http://schemas.openxmlformats.org/officeDocument/2006/relationships/hyperlink" Target="https://acf.gov/cb/policy-guidance/pi-21-05" TargetMode="External"/><Relationship Id="rId354" Type="http://schemas.openxmlformats.org/officeDocument/2006/relationships/hyperlink" Target="https://acf.gov/cb/policy-guidance/im-03-02" TargetMode="External"/><Relationship Id="rId1191" Type="http://schemas.openxmlformats.org/officeDocument/2006/relationships/hyperlink" Target="https://acf.gov/ocs/policy-guidance/liheap-dcl-2022-10-second-non-supplemental-block-grant-funding-release-fy-22" TargetMode="External"/><Relationship Id="rId2035" Type="http://schemas.openxmlformats.org/officeDocument/2006/relationships/hyperlink" Target="https://acf.gov/css/policy-guidance/income-withholding-federal-employees-working-indian-reservations" TargetMode="External"/><Relationship Id="rId561" Type="http://schemas.openxmlformats.org/officeDocument/2006/relationships/hyperlink" Target="https://acf.gov/cb/policy-guidance/pi-09-11" TargetMode="External"/><Relationship Id="rId2242" Type="http://schemas.openxmlformats.org/officeDocument/2006/relationships/hyperlink" Target="https://acf.gov/ecd/policy-guidance/joint-policy-statement-release" TargetMode="External"/><Relationship Id="rId214" Type="http://schemas.openxmlformats.org/officeDocument/2006/relationships/hyperlink" Target="https://acf.gov/cb/policy-guidance/title-iv-e-foster-care-eligibility-reviews-2020-schedule" TargetMode="External"/><Relationship Id="rId421" Type="http://schemas.openxmlformats.org/officeDocument/2006/relationships/hyperlink" Target="https://acf.gov/cb/policy-guidance/im-92-04" TargetMode="External"/><Relationship Id="rId1051" Type="http://schemas.openxmlformats.org/officeDocument/2006/relationships/hyperlink" Target="https://acf.gov/occ/policy-guidance/timeliness-acf-801-data-submissions" TargetMode="External"/><Relationship Id="rId2102" Type="http://schemas.openxmlformats.org/officeDocument/2006/relationships/hyperlink" Target="https://acf.gov/css/policy-guidance/recoupment-child-support-overpayment-guidance-2002" TargetMode="External"/><Relationship Id="rId1868" Type="http://schemas.openxmlformats.org/officeDocument/2006/relationships/hyperlink" Target="https://acf.gov/css/policy-guidance/state-plan-system-frequently-asked-questions" TargetMode="External"/><Relationship Id="rId2919" Type="http://schemas.openxmlformats.org/officeDocument/2006/relationships/hyperlink" Target="https://headstart.gov/policy/im/acf-im-hs-19-03" TargetMode="External"/><Relationship Id="rId1728" Type="http://schemas.openxmlformats.org/officeDocument/2006/relationships/hyperlink" Target="https://acf.gov/css/policy-guidance/withholding-unemployment-benefits-section-2335-public-law-97-35" TargetMode="External"/><Relationship Id="rId1935" Type="http://schemas.openxmlformats.org/officeDocument/2006/relationships/hyperlink" Target="https://acf.gov/css/policy-guidance/online-interstate-roster-and-referral-guide-record-layout-and-state-fips-codes" TargetMode="External"/><Relationship Id="rId3010" Type="http://schemas.openxmlformats.org/officeDocument/2006/relationships/hyperlink" Target="https://headstart.gov/publication/engaging-families-when-there-child-welfare-involvement" TargetMode="External"/><Relationship Id="rId4" Type="http://schemas.openxmlformats.org/officeDocument/2006/relationships/hyperlink" Target="https://acf.gov/cb/policy-guidance/im-25-05" TargetMode="External"/><Relationship Id="rId888" Type="http://schemas.openxmlformats.org/officeDocument/2006/relationships/hyperlink" Target="https://acf.gov/occ/resource/pi-2009-08" TargetMode="External"/><Relationship Id="rId2569" Type="http://schemas.openxmlformats.org/officeDocument/2006/relationships/hyperlink" Target="https://acf.gov/orr/policy-guidance/state-letter-07-09" TargetMode="External"/><Relationship Id="rId2776" Type="http://schemas.openxmlformats.org/officeDocument/2006/relationships/hyperlink" Target="https://acf.gov/sites/default/files/documents/orr/RDH-4-Risk-Determination-Hearing-Transcript-Request_v1_2024-07-01.pdf" TargetMode="External"/><Relationship Id="rId2983" Type="http://schemas.openxmlformats.org/officeDocument/2006/relationships/hyperlink" Target="https://headstart.gov/ersea/article/housing-cost-adjustment-calculator-faqs" TargetMode="External"/><Relationship Id="rId748" Type="http://schemas.openxmlformats.org/officeDocument/2006/relationships/hyperlink" Target="https://acf.gov/cb/faq/adoption7" TargetMode="External"/><Relationship Id="rId955" Type="http://schemas.openxmlformats.org/officeDocument/2006/relationships/hyperlink" Target="https://acf.gov/occ/faq/does-new-law-allow-states-apply-waivers" TargetMode="External"/><Relationship Id="rId1378" Type="http://schemas.openxmlformats.org/officeDocument/2006/relationships/hyperlink" Target="https://acf.gov/ocs/resource/professional-frequently-asked-questions" TargetMode="External"/><Relationship Id="rId1585" Type="http://schemas.openxmlformats.org/officeDocument/2006/relationships/hyperlink" Target="https://acf.gov/css/policy-guidance/cooperative-agreements-between-indian-tribes-and-state-iv-d-agencies" TargetMode="External"/><Relationship Id="rId1792" Type="http://schemas.openxmlformats.org/officeDocument/2006/relationships/hyperlink" Target="https://acf.gov/css/policy-guidance/fy-2023-preliminary-data-report-and-tables" TargetMode="External"/><Relationship Id="rId2429" Type="http://schemas.openxmlformats.org/officeDocument/2006/relationships/hyperlink" Target="https://acf.gov/sites/default/files/documents/orr/PL%2023-06-continuation-of-orr-services-for-afghans.pdf" TargetMode="External"/><Relationship Id="rId2636" Type="http://schemas.openxmlformats.org/officeDocument/2006/relationships/hyperlink" Target="https://acf.gov/archive/otip/report/state-letter-04-12" TargetMode="External"/><Relationship Id="rId2843" Type="http://schemas.openxmlformats.org/officeDocument/2006/relationships/hyperlink" Target="https://acf.gov/ofa/policy-guidance/claims-resolution-act-engagement-additional-work-activities-and-expenditures" TargetMode="External"/><Relationship Id="rId84" Type="http://schemas.openxmlformats.org/officeDocument/2006/relationships/hyperlink" Target="https://acf.gov/cb/training-technical-assistance/title-iv-e-instructions" TargetMode="External"/><Relationship Id="rId608" Type="http://schemas.openxmlformats.org/officeDocument/2006/relationships/hyperlink" Target="https://acf.gov/cb/policy-guidance/pi-03-06" TargetMode="External"/><Relationship Id="rId815" Type="http://schemas.openxmlformats.org/officeDocument/2006/relationships/hyperlink" Target="https://acf.gov/occ/policy-guidance/2024-ccdf-final-rule-transitional-waiver-flexibilities-acf-occ-ccdf-pi-24-03" TargetMode="External"/><Relationship Id="rId1238" Type="http://schemas.openxmlformats.org/officeDocument/2006/relationships/hyperlink" Target="https://acf.gov/ocs/resource/liheap-dear-colleague-notice-on-affordable-care-act-study" TargetMode="External"/><Relationship Id="rId1445" Type="http://schemas.openxmlformats.org/officeDocument/2006/relationships/hyperlink" Target="https://acf.gov/ocs/policy-guidance/liheap-im-2011-13-emergency-contingency-funds-fy-2011" TargetMode="External"/><Relationship Id="rId1652" Type="http://schemas.openxmlformats.org/officeDocument/2006/relationships/hyperlink" Target="https://acf.gov/css/policy-guidance/final-rule-standards-program-operations-corrections-notification" TargetMode="External"/><Relationship Id="rId1305" Type="http://schemas.openxmlformats.org/officeDocument/2006/relationships/hyperlink" Target="https://acf.gov/ocs/policy-guidance/liheap-im-2022-01-liheap-coordination-era-during-winter-fy22" TargetMode="External"/><Relationship Id="rId2703" Type="http://schemas.openxmlformats.org/officeDocument/2006/relationships/hyperlink" Target="https://acf.gov/archive/orr/policy-guidance/state-letter-01-12" TargetMode="External"/><Relationship Id="rId2910" Type="http://schemas.openxmlformats.org/officeDocument/2006/relationships/hyperlink" Target="https://headstart.gov/policy/im/acf-im-hs-22-03" TargetMode="External"/><Relationship Id="rId1512" Type="http://schemas.openxmlformats.org/officeDocument/2006/relationships/hyperlink" Target="https://acf.gov/css/policy-guidance/hr-4980-preventing-sex-trafficking-and-strengthening-families-act-2014" TargetMode="External"/><Relationship Id="rId11" Type="http://schemas.openxmlformats.org/officeDocument/2006/relationships/hyperlink" Target="https://acf.gov/cb/policy-guidance/pi-25-02" TargetMode="External"/><Relationship Id="rId398" Type="http://schemas.openxmlformats.org/officeDocument/2006/relationships/hyperlink" Target="https://acf.gov/cb/policy-guidance/im-96-24" TargetMode="External"/><Relationship Id="rId2079" Type="http://schemas.openxmlformats.org/officeDocument/2006/relationships/hyperlink" Target="https://acf.gov/css/policy-guidance/non-recurring-short-term-cash-benefit-tanf-cases-and-closing-such-cases-were" TargetMode="External"/><Relationship Id="rId2286" Type="http://schemas.openxmlformats.org/officeDocument/2006/relationships/hyperlink" Target="https://acf.gov/orr/policy-guidance/dear-colleague-letters/24-11" TargetMode="External"/><Relationship Id="rId2493" Type="http://schemas.openxmlformats.org/officeDocument/2006/relationships/hyperlink" Target="https://acf.gov/orr/policy-guidance/state-letter-15-02" TargetMode="External"/><Relationship Id="rId258" Type="http://schemas.openxmlformats.org/officeDocument/2006/relationships/hyperlink" Target="https://acf.gov/cb/policy-guidance/95-01" TargetMode="External"/><Relationship Id="rId465" Type="http://schemas.openxmlformats.org/officeDocument/2006/relationships/hyperlink" Target="https://acf.gov/cb/policy-guidance/im-85-24" TargetMode="External"/><Relationship Id="rId672" Type="http://schemas.openxmlformats.org/officeDocument/2006/relationships/hyperlink" Target="https://acf.gov/cb/policy-guidance/pi-98-13" TargetMode="External"/><Relationship Id="rId1095" Type="http://schemas.openxmlformats.org/officeDocument/2006/relationships/hyperlink" Target="https://acf.gov/ocs/resource/liheap-at-2020-05-carryover-and-reallotment-report-fy-2020" TargetMode="External"/><Relationship Id="rId2146" Type="http://schemas.openxmlformats.org/officeDocument/2006/relationships/hyperlink" Target="https://acf.gov/css/faq/there-limit-amount-money-can-be-taken-my-paycheck-child-support" TargetMode="External"/><Relationship Id="rId2353" Type="http://schemas.openxmlformats.org/officeDocument/2006/relationships/hyperlink" Target="https://acf.gov/sites/default/files/documents/orr/orr-dcl-22-06-refugee-school-impact-fy2022-funding.pdf" TargetMode="External"/><Relationship Id="rId2560" Type="http://schemas.openxmlformats.org/officeDocument/2006/relationships/hyperlink" Target="https://acf.gov/orr/policy-guidance/state-letter-08-11" TargetMode="External"/><Relationship Id="rId118" Type="http://schemas.openxmlformats.org/officeDocument/2006/relationships/hyperlink" Target="https://acf.gov/cb/policy-guidance/pi-22-03" TargetMode="External"/><Relationship Id="rId325" Type="http://schemas.openxmlformats.org/officeDocument/2006/relationships/hyperlink" Target="https://acf.gov/cb/policy-guidance/im-07-05" TargetMode="External"/><Relationship Id="rId532" Type="http://schemas.openxmlformats.org/officeDocument/2006/relationships/hyperlink" Target="https://acf.gov/cb/policy-guidance/pi-12-05" TargetMode="External"/><Relationship Id="rId1162" Type="http://schemas.openxmlformats.org/officeDocument/2006/relationships/hyperlink" Target="https://acf.gov/ocs/policy-guidance/liheap-dcl-2024-three-year-anniversary-american-rescue-plan-act" TargetMode="External"/><Relationship Id="rId2006" Type="http://schemas.openxmlformats.org/officeDocument/2006/relationships/hyperlink" Target="https://acf.gov/css/policy-guidance/questions-and-responses-regarding-model-tribal-system-final-rule" TargetMode="External"/><Relationship Id="rId2213" Type="http://schemas.openxmlformats.org/officeDocument/2006/relationships/hyperlink" Target="https://acf.gov/ecd/policy-guidance/opportunities-tribal-maternal-infant-and-early-childhood-home-visiting-miechv" TargetMode="External"/><Relationship Id="rId2420" Type="http://schemas.openxmlformats.org/officeDocument/2006/relationships/hyperlink" Target="https://acf.gov/orr/resource/dear-colleague-letter-october-1-2015" TargetMode="External"/><Relationship Id="rId1022" Type="http://schemas.openxmlformats.org/officeDocument/2006/relationships/hyperlink" Target="https://acf.gov/occ/policy-guidance/program-instruction-ccdf-acf-2016-01" TargetMode="External"/><Relationship Id="rId1979" Type="http://schemas.openxmlformats.org/officeDocument/2006/relationships/hyperlink" Target="https://acf.gov/css/policy-guidance/provide-only-us-state-residence-international-locate-requests" TargetMode="External"/><Relationship Id="rId1839" Type="http://schemas.openxmlformats.org/officeDocument/2006/relationships/hyperlink" Target="https://acf.gov/css/policy-guidance/written-tribal-consultation-ocse-75-form" TargetMode="External"/><Relationship Id="rId182" Type="http://schemas.openxmlformats.org/officeDocument/2006/relationships/hyperlink" Target="https://acf.gov/cb/policy-guidance/letter-governors-regarding-personal-protective-equipment-child-welfare-workers" TargetMode="External"/><Relationship Id="rId1906" Type="http://schemas.openxmlformats.org/officeDocument/2006/relationships/hyperlink" Target="https://acf.gov/css/policy-guidance/implementation-new-passport-denial-threshold-effective-oct-1-2006" TargetMode="External"/><Relationship Id="rId2070" Type="http://schemas.openxmlformats.org/officeDocument/2006/relationships/hyperlink" Target="https://acf.gov/css/policy-guidance/garnishment-federal-payments-child-support-obligations" TargetMode="External"/><Relationship Id="rId999" Type="http://schemas.openxmlformats.org/officeDocument/2006/relationships/hyperlink" Target="https://acf.gov/occ/training-technical-assistance/using-acf-801-data-assessment-report-tb-9r-v6" TargetMode="External"/><Relationship Id="rId2887" Type="http://schemas.openxmlformats.org/officeDocument/2006/relationships/hyperlink" Target="https://acf.gov/ofa/policy-guidance/tanf-acf-pi-2022-05" TargetMode="External"/><Relationship Id="rId859" Type="http://schemas.openxmlformats.org/officeDocument/2006/relationships/hyperlink" Target="https://acf.gov/occ/resource/pi2013-08" TargetMode="External"/><Relationship Id="rId1489" Type="http://schemas.openxmlformats.org/officeDocument/2006/relationships/hyperlink" Target="https://acf.gov/css/policy-guidance/exemption-requests-mandatory-laws-and-procedures" TargetMode="External"/><Relationship Id="rId1696" Type="http://schemas.openxmlformats.org/officeDocument/2006/relationships/hyperlink" Target="https://acf.gov/css/policy-guidance/final-rule-disclosure-change-address-and-post-office-boxholder-information" TargetMode="External"/><Relationship Id="rId1349" Type="http://schemas.openxmlformats.org/officeDocument/2006/relationships/hyperlink" Target="https://acf.gov/ocs/resource/liheap-allocations-from-the-fy-2010-energy-emergency-contingency-fund-101-0" TargetMode="External"/><Relationship Id="rId2747" Type="http://schemas.openxmlformats.org/officeDocument/2006/relationships/hyperlink" Target="https://acf.gov/sites/default/files/documents/orr/FG6-covid-19-procedures-for-uc-children-care-provider-staff.pdf" TargetMode="External"/><Relationship Id="rId2954" Type="http://schemas.openxmlformats.org/officeDocument/2006/relationships/hyperlink" Target="https://headstart.gov/policy/pi/acf-pi-hs-18-04" TargetMode="External"/><Relationship Id="rId719" Type="http://schemas.openxmlformats.org/officeDocument/2006/relationships/hyperlink" Target="https://acf.gov/cb/policy-guidance/pi-81-01" TargetMode="External"/><Relationship Id="rId926" Type="http://schemas.openxmlformats.org/officeDocument/2006/relationships/hyperlink" Target="https://acf.gov/occ/faq/what-are-waiver-requests" TargetMode="External"/><Relationship Id="rId1556" Type="http://schemas.openxmlformats.org/officeDocument/2006/relationships/hyperlink" Target="https://acf.gov/css/policy-guidance/providing-fpls-locate-services-agent-child-child-support-purposes" TargetMode="External"/><Relationship Id="rId1763" Type="http://schemas.openxmlformats.org/officeDocument/2006/relationships/hyperlink" Target="https://acf.gov/css/policy-guidance/revised-applications-states-use-courts-united-states-enforce-child-support" TargetMode="External"/><Relationship Id="rId1970" Type="http://schemas.openxmlformats.org/officeDocument/2006/relationships/hyperlink" Target="https://acf.gov/css/policy-guidance/united-kingdoms-ratification-hague-child-support-convention" TargetMode="External"/><Relationship Id="rId2607" Type="http://schemas.openxmlformats.org/officeDocument/2006/relationships/hyperlink" Target="https://acf.gov/orr/policy-guidance/state-letter-05-15" TargetMode="External"/><Relationship Id="rId2814" Type="http://schemas.openxmlformats.org/officeDocument/2006/relationships/hyperlink" Target="https://acf.gov/ofa/policy-guidance/final-tanf-ssp-moe-data-reporting-system-transmission-files-layouts-and-edits" TargetMode="External"/><Relationship Id="rId55" Type="http://schemas.openxmlformats.org/officeDocument/2006/relationships/hyperlink" Target="https://acf.gov/cb/training-technical-assistance/ccwis-technical-bulletin-10" TargetMode="External"/><Relationship Id="rId1209" Type="http://schemas.openxmlformats.org/officeDocument/2006/relationships/hyperlink" Target="https://acf.gov/ocs/resource/liheap-dcl-second-funding-release" TargetMode="External"/><Relationship Id="rId1416" Type="http://schemas.openxmlformats.org/officeDocument/2006/relationships/hyperlink" Target="https://acf.gov/ocs/policy-guidance/liheap-dcl-release-1874-million-states" TargetMode="External"/><Relationship Id="rId1623" Type="http://schemas.openxmlformats.org/officeDocument/2006/relationships/hyperlink" Target="https://acf.gov/css/policy-guidance/requirements-immediate-wage-withholding-all-orders-not-being-enforced-under" TargetMode="External"/><Relationship Id="rId1830" Type="http://schemas.openxmlformats.org/officeDocument/2006/relationships/hyperlink" Target="https://acf.gov/css/policy-guidance/open-comment-period-ocse-75" TargetMode="External"/><Relationship Id="rId2397" Type="http://schemas.openxmlformats.org/officeDocument/2006/relationships/hyperlink" Target="https://acf.gov/orr/resource/public-charge-nprm-and-orr-populations" TargetMode="External"/><Relationship Id="rId369" Type="http://schemas.openxmlformats.org/officeDocument/2006/relationships/hyperlink" Target="https://acf.gov/cb/policy-guidance/im-01-05" TargetMode="External"/><Relationship Id="rId576" Type="http://schemas.openxmlformats.org/officeDocument/2006/relationships/hyperlink" Target="https://acf.gov/cb/policy-guidance/pi-08-02" TargetMode="External"/><Relationship Id="rId783" Type="http://schemas.openxmlformats.org/officeDocument/2006/relationships/hyperlink" Target="https://acf.gov/occ/resource/im-2011-04" TargetMode="External"/><Relationship Id="rId990" Type="http://schemas.openxmlformats.org/officeDocument/2006/relationships/hyperlink" Target="https://acf.gov/occ/faq/can-homeless-children-receive-ccdf-if-they-dont-have-immunizations-or-documentation" TargetMode="External"/><Relationship Id="rId2257" Type="http://schemas.openxmlformats.org/officeDocument/2006/relationships/hyperlink" Target="https://acf.gov/cb/training-technical-assistance/nytd-technical-bulletin-3-data-quality-advisories" TargetMode="External"/><Relationship Id="rId2464" Type="http://schemas.openxmlformats.org/officeDocument/2006/relationships/hyperlink" Target="https://acf.gov/orr/resource/eligibility-for-orr-services-for-cuban-and-haitian-entrants-without-work-authorization" TargetMode="External"/><Relationship Id="rId2671" Type="http://schemas.openxmlformats.org/officeDocument/2006/relationships/hyperlink" Target="https://acf.gov/orr/policy-guidance/state-letter-02-09" TargetMode="External"/><Relationship Id="rId229" Type="http://schemas.openxmlformats.org/officeDocument/2006/relationships/hyperlink" Target="https://acf.gov/cb/faq/can11" TargetMode="External"/><Relationship Id="rId436" Type="http://schemas.openxmlformats.org/officeDocument/2006/relationships/hyperlink" Target="https://acf.gov/cb/policy-guidance/im-89-08" TargetMode="External"/><Relationship Id="rId643" Type="http://schemas.openxmlformats.org/officeDocument/2006/relationships/hyperlink" Target="https://acf.gov/cb/policy-guidance/pi-98-07" TargetMode="External"/><Relationship Id="rId1066" Type="http://schemas.openxmlformats.org/officeDocument/2006/relationships/hyperlink" Target="https://acf.gov/ocs/policy-guidance/acf-ocs-liheap-2025-03-state-and-tribe-agreements" TargetMode="External"/><Relationship Id="rId1273" Type="http://schemas.openxmlformats.org/officeDocument/2006/relationships/hyperlink" Target="https://acf.gov/ocs/resource/liheap-dear-colleague-notice-webinar-on-preparing-for-a-federal-liheap-monitoring-review" TargetMode="External"/><Relationship Id="rId1480" Type="http://schemas.openxmlformats.org/officeDocument/2006/relationships/hyperlink" Target="https://acf.gov/css/policy-guidance/2020-revisions-iwo-form-and-instructions" TargetMode="External"/><Relationship Id="rId2117" Type="http://schemas.openxmlformats.org/officeDocument/2006/relationships/hyperlink" Target="https://acf.gov/css/faq/what-role-federal-office-child-support" TargetMode="External"/><Relationship Id="rId2324" Type="http://schemas.openxmlformats.org/officeDocument/2006/relationships/hyperlink" Target="https://acf.gov/sites/default/files/documents/orr/dcl-23-11-fy-2023-uhp-rss-formula-allocations.pdf" TargetMode="External"/><Relationship Id="rId850" Type="http://schemas.openxmlformats.org/officeDocument/2006/relationships/hyperlink" Target="https://acf.gov/archive/occ/policy-guidance/resource/ccdf-acf-pi-2016-03" TargetMode="External"/><Relationship Id="rId1133" Type="http://schemas.openxmlformats.org/officeDocument/2006/relationships/hyperlink" Target="https://acf.gov/ocs/resource/request-for-fy-2012-applications-for-the-residential-energy-assistance" TargetMode="External"/><Relationship Id="rId2531" Type="http://schemas.openxmlformats.org/officeDocument/2006/relationships/hyperlink" Target="https://acf.gov/orr/policy-guidance/state-letter-10-01" TargetMode="External"/><Relationship Id="rId503" Type="http://schemas.openxmlformats.org/officeDocument/2006/relationships/hyperlink" Target="https://acf.gov/cb/policy-guidance/pi-16-04" TargetMode="External"/><Relationship Id="rId710" Type="http://schemas.openxmlformats.org/officeDocument/2006/relationships/hyperlink" Target="https://acf.gov/cb/policy-guidance/pi-82-07" TargetMode="External"/><Relationship Id="rId1340" Type="http://schemas.openxmlformats.org/officeDocument/2006/relationships/hyperlink" Target="https://acf.gov/ocs/resource/state-median-income-estimates-for-fy-2013" TargetMode="External"/><Relationship Id="rId1200" Type="http://schemas.openxmlformats.org/officeDocument/2006/relationships/hyperlink" Target="https://acf.gov/ocs/policy-guidance/liheap-dcl-2021-03-liheap-flexibilities-during-winter-storm" TargetMode="External"/><Relationship Id="rId293" Type="http://schemas.openxmlformats.org/officeDocument/2006/relationships/hyperlink" Target="https://acf.gov/cb/policy-guidance/fysb-im-14-01" TargetMode="External"/><Relationship Id="rId2181" Type="http://schemas.openxmlformats.org/officeDocument/2006/relationships/hyperlink" Target="https://acf.gov/css/training-technical-assistance/im-implementation-guide" TargetMode="External"/><Relationship Id="rId3025" Type="http://schemas.openxmlformats.org/officeDocument/2006/relationships/hyperlink" Target="https://headstart.gov/publication/improving-teacher-child-interactions-using-class-head-start-preschool-programs" TargetMode="External"/><Relationship Id="rId153" Type="http://schemas.openxmlformats.org/officeDocument/2006/relationships/hyperlink" Target="https://acf.gov/cb/report/tribal-fmap-fys-2021-2022" TargetMode="External"/><Relationship Id="rId360" Type="http://schemas.openxmlformats.org/officeDocument/2006/relationships/hyperlink" Target="https://acf.gov/cb/policy-guidance/im-02-03" TargetMode="External"/><Relationship Id="rId2041" Type="http://schemas.openxmlformats.org/officeDocument/2006/relationships/hyperlink" Target="https://acf.gov/css/policy-guidance/tips-techniques-and-technology-using-fpls-data" TargetMode="External"/><Relationship Id="rId220" Type="http://schemas.openxmlformats.org/officeDocument/2006/relationships/hyperlink" Target="https://acf.gov/cb/training-technical-assistance/instructions-run-data-quality-dq-checks-and-observed-performance" TargetMode="External"/><Relationship Id="rId2998" Type="http://schemas.openxmlformats.org/officeDocument/2006/relationships/hyperlink" Target="https://headstart.gov/physical-health/article/protecting-children-lead-paint" TargetMode="External"/><Relationship Id="rId2858" Type="http://schemas.openxmlformats.org/officeDocument/2006/relationships/hyperlink" Target="https://acf.gov/ofa/policy-guidance/tanf-acf-im-2013-01-use-tanf-funds-serve-homeless-families-and-families-risk" TargetMode="External"/><Relationship Id="rId99" Type="http://schemas.openxmlformats.org/officeDocument/2006/relationships/hyperlink" Target="https://acf.gov/cb/report/cfsr-osri-application-review-period" TargetMode="External"/><Relationship Id="rId1667" Type="http://schemas.openxmlformats.org/officeDocument/2006/relationships/hyperlink" Target="https://acf.gov/css/policy-guidance/revisions-financial-reporting-requirements-conform-recent-legislation" TargetMode="External"/><Relationship Id="rId1874" Type="http://schemas.openxmlformats.org/officeDocument/2006/relationships/hyperlink" Target="https://acf.gov/css/policy-guidance/instructions-australian-child-support-secure-email-system" TargetMode="External"/><Relationship Id="rId2718" Type="http://schemas.openxmlformats.org/officeDocument/2006/relationships/hyperlink" Target="https://acf.gov/orr/resource/state-letter-00-06" TargetMode="External"/><Relationship Id="rId2925" Type="http://schemas.openxmlformats.org/officeDocument/2006/relationships/hyperlink" Target="https://headstart.gov/policy/im/acf-im-hs-15-02" TargetMode="External"/><Relationship Id="rId1527" Type="http://schemas.openxmlformats.org/officeDocument/2006/relationships/hyperlink" Target="https://acf.gov/css/policy-guidance/final-rule-child-support-provisions-deficit-reduction-act-2005" TargetMode="External"/><Relationship Id="rId1734" Type="http://schemas.openxmlformats.org/officeDocument/2006/relationships/hyperlink" Target="https://acf.gov/css/policy-guidance/final-rule-administration-grants" TargetMode="External"/><Relationship Id="rId1941" Type="http://schemas.openxmlformats.org/officeDocument/2006/relationships/hyperlink" Target="https://acf.gov/css/policy-guidance/clarification-claim-charge-backs-pre-offset-notices" TargetMode="External"/><Relationship Id="rId26" Type="http://schemas.openxmlformats.org/officeDocument/2006/relationships/hyperlink" Target="https://acf.gov/cb/faq/research-data-technology/system-requirements/nytd/faq/section4" TargetMode="External"/><Relationship Id="rId1801" Type="http://schemas.openxmlformats.org/officeDocument/2006/relationships/hyperlink" Target="https://acf.gov/css/policy-guidance/submittal-ocse-75-fy-2023" TargetMode="External"/><Relationship Id="rId687" Type="http://schemas.openxmlformats.org/officeDocument/2006/relationships/hyperlink" Target="https://acf.gov/cb/policy-guidance/pi-89-09" TargetMode="External"/><Relationship Id="rId2368" Type="http://schemas.openxmlformats.org/officeDocument/2006/relationships/hyperlink" Target="https://acf.gov/sites/default/files/documents/orr/ORR-DCL-21-09-State-Plan-Template.pdf" TargetMode="External"/><Relationship Id="rId894" Type="http://schemas.openxmlformats.org/officeDocument/2006/relationships/hyperlink" Target="https://acf.gov/occ/policy-guidance/ccdf-acf-pi-2009-02" TargetMode="External"/><Relationship Id="rId1177" Type="http://schemas.openxmlformats.org/officeDocument/2006/relationships/hyperlink" Target="https://acf.gov/ocs/policy-guidance/fourth-fy-2023-liheap-funding-release" TargetMode="External"/><Relationship Id="rId2575" Type="http://schemas.openxmlformats.org/officeDocument/2006/relationships/hyperlink" Target="https://acf.gov/orr/policy-guidance/state-letter-07-15" TargetMode="External"/><Relationship Id="rId2782" Type="http://schemas.openxmlformats.org/officeDocument/2006/relationships/hyperlink" Target="https://acf.gov/orr/policy-guidance/statement-goals-priorities-standards-and-guidelines" TargetMode="External"/><Relationship Id="rId547" Type="http://schemas.openxmlformats.org/officeDocument/2006/relationships/hyperlink" Target="https://acf.gov/cb/policy-guidance/pi-10-14" TargetMode="External"/><Relationship Id="rId754" Type="http://schemas.openxmlformats.org/officeDocument/2006/relationships/hyperlink" Target="https://acf.gov/occ/policy-guidance/ccdf-requirements-tribal-lead-agencies-parental-acf-occ-ccdf-im-25-01" TargetMode="External"/><Relationship Id="rId961" Type="http://schemas.openxmlformats.org/officeDocument/2006/relationships/hyperlink" Target="https://acf.gov/occ/faq/what-effective-dates-are-specified-law" TargetMode="External"/><Relationship Id="rId1384" Type="http://schemas.openxmlformats.org/officeDocument/2006/relationships/hyperlink" Target="https://acf.gov/sites/default/files/documents/ocs/COMM_LIHEAP_AT2024-01_PerformanceDataFormInstructions_FY23_1.pdf" TargetMode="External"/><Relationship Id="rId1591" Type="http://schemas.openxmlformats.org/officeDocument/2006/relationships/hyperlink" Target="https://acf.gov/css/policy-guidance/implementation-hold-harmless-provision-state-share-child-support-collections" TargetMode="External"/><Relationship Id="rId2228" Type="http://schemas.openxmlformats.org/officeDocument/2006/relationships/hyperlink" Target="https://acf.gov/ecd/policy-guidance/tribal-hv-implementation-plan-guidance" TargetMode="External"/><Relationship Id="rId2435" Type="http://schemas.openxmlformats.org/officeDocument/2006/relationships/hyperlink" Target="https://acf.gov/sites/default/files/documents/orr/PL-22-16-Extension-Flexibilities-Waivers-From-ORRPL-21-08.pdf" TargetMode="External"/><Relationship Id="rId2642" Type="http://schemas.openxmlformats.org/officeDocument/2006/relationships/hyperlink" Target="https://acf.gov/orr/policy-guidance/state-letter-04-18" TargetMode="External"/><Relationship Id="rId90" Type="http://schemas.openxmlformats.org/officeDocument/2006/relationships/hyperlink" Target="https://acf.gov/cb/policy-guidance/pi-23-04" TargetMode="External"/><Relationship Id="rId407" Type="http://schemas.openxmlformats.org/officeDocument/2006/relationships/hyperlink" Target="https://acf.gov/cb/policy-guidance/im-95-05" TargetMode="External"/><Relationship Id="rId614" Type="http://schemas.openxmlformats.org/officeDocument/2006/relationships/hyperlink" Target="https://acf.gov/cb/policy-guidance/pi-02-09" TargetMode="External"/><Relationship Id="rId821" Type="http://schemas.openxmlformats.org/officeDocument/2006/relationships/hyperlink" Target="https://acf.gov/occ/policy-guidance/supplemental-funds-child-care-disaster-recovery-planning-grants-hurricanes" TargetMode="External"/><Relationship Id="rId1037" Type="http://schemas.openxmlformats.org/officeDocument/2006/relationships/hyperlink" Target="https://acf.gov/occ/policy-guidance/qpr-acf-218-ccdf-program-ffy-2020" TargetMode="External"/><Relationship Id="rId1244" Type="http://schemas.openxmlformats.org/officeDocument/2006/relationships/hyperlink" Target="https://acf.gov/ocs/resource/low-income-home-energy-assistance-program-liheap-grantees" TargetMode="External"/><Relationship Id="rId1451" Type="http://schemas.openxmlformats.org/officeDocument/2006/relationships/hyperlink" Target="https://acf.gov/css/policy-guidance/revision-tribal-direct-funding-request-45-cfr-309-plan" TargetMode="External"/><Relationship Id="rId2502" Type="http://schemas.openxmlformats.org/officeDocument/2006/relationships/hyperlink" Target="https://acf.gov/orr/policy-guidance/state-letter-13-07" TargetMode="External"/><Relationship Id="rId1104" Type="http://schemas.openxmlformats.org/officeDocument/2006/relationships/hyperlink" Target="https://acf.gov/ocs/resource/at-2018-04-liheap-performance-data-form-for-fy-2017" TargetMode="External"/><Relationship Id="rId1311" Type="http://schemas.openxmlformats.org/officeDocument/2006/relationships/hyperlink" Target="https://acf.gov/ocs/policy-guidance/liheap-im2022-07-funds-appropriated-american-rescue-plan-arp-act-2021" TargetMode="External"/><Relationship Id="rId197" Type="http://schemas.openxmlformats.org/officeDocument/2006/relationships/hyperlink" Target="https://acf.gov/cb/policy-guidance/pi-20-05" TargetMode="External"/><Relationship Id="rId2085" Type="http://schemas.openxmlformats.org/officeDocument/2006/relationships/hyperlink" Target="https://acf.gov/css/policy-guidance/applicability-45-cfr-part-303-tribal-iv-d-programs-jurisdiction-and-cooperation" TargetMode="External"/><Relationship Id="rId2292" Type="http://schemas.openxmlformats.org/officeDocument/2006/relationships/hyperlink" Target="https://acf.gov/sites/default/files/documents/orr/dcl-24-05-refugee-school-impact-set-aside-fy24-funding.pdf" TargetMode="External"/><Relationship Id="rId264" Type="http://schemas.openxmlformats.org/officeDocument/2006/relationships/hyperlink" Target="https://acf.gov/cb/policy-guidance/81-16" TargetMode="External"/><Relationship Id="rId471" Type="http://schemas.openxmlformats.org/officeDocument/2006/relationships/hyperlink" Target="https://acf.gov/cb/policy-guidance/im-84-31" TargetMode="External"/><Relationship Id="rId2152" Type="http://schemas.openxmlformats.org/officeDocument/2006/relationships/hyperlink" Target="https://acf.gov/css/faq/visitation-and-parenting-time-help" TargetMode="External"/><Relationship Id="rId124" Type="http://schemas.openxmlformats.org/officeDocument/2006/relationships/hyperlink" Target="https://acf.gov/cb/training-technical-assistance/ccwis-tb-7" TargetMode="External"/><Relationship Id="rId331" Type="http://schemas.openxmlformats.org/officeDocument/2006/relationships/hyperlink" Target="https://acf.gov/cb/policy-guidance/im-06-03" TargetMode="External"/><Relationship Id="rId2012" Type="http://schemas.openxmlformats.org/officeDocument/2006/relationships/hyperlink" Target="https://acf.gov/css/policy-guidance/guidance-referral-medicaid-cases-title-iv-d-child-support" TargetMode="External"/><Relationship Id="rId2969" Type="http://schemas.openxmlformats.org/officeDocument/2006/relationships/hyperlink" Target="https://headstart.gov/policy/pi/acf-pi-hs-08-03" TargetMode="External"/><Relationship Id="rId1778" Type="http://schemas.openxmlformats.org/officeDocument/2006/relationships/hyperlink" Target="https://acf.gov/css/policy-guidance/direct-final-rule-45-cfr-chapter-iii-technical-corrections" TargetMode="External"/><Relationship Id="rId1985" Type="http://schemas.openxmlformats.org/officeDocument/2006/relationships/hyperlink" Target="https://acf.gov/css/policy-guidance/dol-opinion-ccpa-and-lump-sum-payments" TargetMode="External"/><Relationship Id="rId2829" Type="http://schemas.openxmlformats.org/officeDocument/2006/relationships/hyperlink" Target="https://acf.gov/ofa/policy-guidance/doe-hhs-and-dol-issue-joint-letter-promoting-use-career-pathways-approaches" TargetMode="External"/><Relationship Id="rId1638" Type="http://schemas.openxmlformats.org/officeDocument/2006/relationships/hyperlink" Target="https://acf.gov/css/policy-guidance/nprm-revision-timeframes-distributing-5000-pass-through-payments" TargetMode="External"/><Relationship Id="rId1845" Type="http://schemas.openxmlformats.org/officeDocument/2006/relationships/hyperlink" Target="https://acf.gov/css/policy-guidance/fy-2021-federal-offset-and-pre-offset-notice-program-fees" TargetMode="External"/><Relationship Id="rId1705" Type="http://schemas.openxmlformats.org/officeDocument/2006/relationships/hyperlink" Target="https://acf.gov/css/policy-guidance/final-rule-implementation-child-support-enforcement-amendments-1984" TargetMode="External"/><Relationship Id="rId1912" Type="http://schemas.openxmlformats.org/officeDocument/2006/relationships/hyperlink" Target="https://acf.gov/css/policy-guidance/military-trainer-guide-working-military-child-support-matters" TargetMode="External"/><Relationship Id="rId798" Type="http://schemas.openxmlformats.org/officeDocument/2006/relationships/hyperlink" Target="https://acf.gov/occ/resource/111-312-states" TargetMode="External"/><Relationship Id="rId2479" Type="http://schemas.openxmlformats.org/officeDocument/2006/relationships/hyperlink" Target="https://acf.gov/orr/resource/aca-reporting-requirements-for-rma" TargetMode="External"/><Relationship Id="rId2686" Type="http://schemas.openxmlformats.org/officeDocument/2006/relationships/hyperlink" Target="https://acf.gov/orr/policy-guidance/state-letter-02-24" TargetMode="External"/><Relationship Id="rId2893" Type="http://schemas.openxmlformats.org/officeDocument/2006/relationships/hyperlink" Target="https://acf.gov/ofa/policy-guidance/tanf-acf-pi-2021-01" TargetMode="External"/><Relationship Id="rId658" Type="http://schemas.openxmlformats.org/officeDocument/2006/relationships/hyperlink" Target="https://acf.gov/cb/policy-guidance/pi-96-05" TargetMode="External"/><Relationship Id="rId865" Type="http://schemas.openxmlformats.org/officeDocument/2006/relationships/hyperlink" Target="https://acf.gov/occ/resource/ccdf-acf-pi-2013-02" TargetMode="External"/><Relationship Id="rId1288" Type="http://schemas.openxmlformats.org/officeDocument/2006/relationships/hyperlink" Target="https://acf.gov/ocs/resource/liheap-webinar-on-best-practice-exchange-in-building-an-effective" TargetMode="External"/><Relationship Id="rId1495" Type="http://schemas.openxmlformats.org/officeDocument/2006/relationships/hyperlink" Target="https://acf.gov/css/policy-guidance/availability-ffp-making-arrests-pursuant-appropriate-state-process-updated" TargetMode="External"/><Relationship Id="rId2339" Type="http://schemas.openxmlformats.org/officeDocument/2006/relationships/hyperlink" Target="https://acf.gov/sites/default/files/documents/orr/DCL-22-20-Clarification-Related-to-UHPs-Eligibility-for-RCA-RMA.pdf" TargetMode="External"/><Relationship Id="rId2546" Type="http://schemas.openxmlformats.org/officeDocument/2006/relationships/hyperlink" Target="https://acf.gov/orr/policy-guidance/state-letter-09-09" TargetMode="External"/><Relationship Id="rId2753" Type="http://schemas.openxmlformats.org/officeDocument/2006/relationships/hyperlink" Target="https://acf.gov/sites/default/files/documents/orr/A-16-Volunteer-Agreement-with-ORR_v3_2024-10-04.pdf" TargetMode="External"/><Relationship Id="rId2960" Type="http://schemas.openxmlformats.org/officeDocument/2006/relationships/hyperlink" Target="https://headstart.gov/policy/pi/acf-pi-hs-16-04" TargetMode="External"/><Relationship Id="rId518" Type="http://schemas.openxmlformats.org/officeDocument/2006/relationships/hyperlink" Target="https://acf.gov/cb/policy-guidance/pi-14-05" TargetMode="External"/><Relationship Id="rId725" Type="http://schemas.openxmlformats.org/officeDocument/2006/relationships/hyperlink" Target="https://acf.gov/cb/faq/can10" TargetMode="External"/><Relationship Id="rId932" Type="http://schemas.openxmlformats.org/officeDocument/2006/relationships/hyperlink" Target="https://acf.gov/occ/faq/what-new-requirement-graduated-phase-out-assistance" TargetMode="External"/><Relationship Id="rId1148" Type="http://schemas.openxmlformats.org/officeDocument/2006/relationships/hyperlink" Target="https://acf.gov/ocs/resource/comments-on-extension-of-office-of-management-and" TargetMode="External"/><Relationship Id="rId1355" Type="http://schemas.openxmlformats.org/officeDocument/2006/relationships/hyperlink" Target="https://acf.gov/ocs/resource/model-plan-and-program-integrity-assessment-application-for-liheap" TargetMode="External"/><Relationship Id="rId1562" Type="http://schemas.openxmlformats.org/officeDocument/2006/relationships/hyperlink" Target="https://acf.gov/css/policy-guidance/final-rule-incentives-penalties-and-audit" TargetMode="External"/><Relationship Id="rId2406" Type="http://schemas.openxmlformats.org/officeDocument/2006/relationships/hyperlink" Target="https://acf.gov/orr/resource/maine-replacement-designee" TargetMode="External"/><Relationship Id="rId2613" Type="http://schemas.openxmlformats.org/officeDocument/2006/relationships/hyperlink" Target="https://acf.gov/orr/policy-guidance/state-letter-05-21" TargetMode="External"/><Relationship Id="rId1008" Type="http://schemas.openxmlformats.org/officeDocument/2006/relationships/hyperlink" Target="https://acf.gov/occ/policy-guidance/supplemental-disaster-relief-funds-child-care" TargetMode="External"/><Relationship Id="rId1215" Type="http://schemas.openxmlformats.org/officeDocument/2006/relationships/hyperlink" Target="https://acf.gov/ocs/resource/liheap-dcl-initial-covid-19-program-guidance" TargetMode="External"/><Relationship Id="rId1422" Type="http://schemas.openxmlformats.org/officeDocument/2006/relationships/hyperlink" Target="https://acf.gov/ocs/policy-guidance/liheap-dcl-acsi-survey-result-csbg-and-liheap" TargetMode="External"/><Relationship Id="rId2820" Type="http://schemas.openxmlformats.org/officeDocument/2006/relationships/hyperlink" Target="https://acf.gov/ofa/policy-guidance/tribal-tanf-child-welfare-ttcw-carryover-balance-amendment-requests" TargetMode="External"/><Relationship Id="rId61" Type="http://schemas.openxmlformats.org/officeDocument/2006/relationships/hyperlink" Target="https://acf.gov/cb/faq/nofo-how-many-applicants-submitted" TargetMode="External"/><Relationship Id="rId2196" Type="http://schemas.openxmlformats.org/officeDocument/2006/relationships/hyperlink" Target="https://acf.gov/css/training-technical-assistance/caseworkers-guide-processing-cases-isra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921B9-F1B4-46B3-9967-622E37A64CBC}">
  <dimension ref="A1:ZC3384"/>
  <sheetViews>
    <sheetView tabSelected="1" zoomScale="55" zoomScaleNormal="55" workbookViewId="0">
      <pane ySplit="1" topLeftCell="A2" activePane="bottomLeft" state="frozen"/>
      <selection activeCell="L2847" sqref="L2847"/>
      <selection pane="bottomLeft" activeCell="E4" sqref="E4"/>
    </sheetView>
  </sheetViews>
  <sheetFormatPr defaultColWidth="8.73046875" defaultRowHeight="14.25" x14ac:dyDescent="0.45"/>
  <cols>
    <col min="1" max="1" width="8.19921875" style="3" bestFit="1" customWidth="1"/>
    <col min="2" max="2" width="12.46484375" style="3" bestFit="1" customWidth="1"/>
    <col min="3" max="3" width="28.19921875" style="3" customWidth="1"/>
    <col min="4" max="4" width="22.265625" style="3" customWidth="1"/>
    <col min="5" max="5" width="49.19921875" style="3" customWidth="1"/>
    <col min="6" max="6" width="25.19921875" style="3" customWidth="1"/>
    <col min="7" max="7" width="16" style="2" customWidth="1"/>
    <col min="8" max="8" width="18.46484375" style="2" customWidth="1"/>
    <col min="9" max="9" width="29.53125" style="2" customWidth="1"/>
    <col min="10" max="10" width="26.46484375" style="2" customWidth="1"/>
    <col min="11" max="11" width="10.9296875" style="2" customWidth="1"/>
    <col min="12" max="12" width="58.53125" style="3" customWidth="1"/>
    <col min="13" max="15" width="8.73046875" style="3"/>
    <col min="16" max="16" width="9.19921875" style="3" bestFit="1" customWidth="1"/>
    <col min="17" max="16384" width="8.73046875" style="3"/>
  </cols>
  <sheetData>
    <row r="1" spans="1:14" x14ac:dyDescent="0.45">
      <c r="A1" s="1" t="s">
        <v>0</v>
      </c>
      <c r="B1" s="1" t="s">
        <v>1</v>
      </c>
      <c r="C1" s="1" t="s">
        <v>2</v>
      </c>
      <c r="D1" s="1" t="s">
        <v>3</v>
      </c>
      <c r="E1" s="1" t="s">
        <v>4</v>
      </c>
      <c r="F1" s="1" t="s">
        <v>5</v>
      </c>
      <c r="G1" s="2" t="s">
        <v>6</v>
      </c>
      <c r="H1" s="2" t="s">
        <v>7</v>
      </c>
      <c r="I1" s="2" t="s">
        <v>8</v>
      </c>
      <c r="J1" s="2" t="s">
        <v>9</v>
      </c>
      <c r="K1" s="2" t="s">
        <v>10</v>
      </c>
      <c r="M1" s="3" t="s">
        <v>5663</v>
      </c>
      <c r="N1" s="48"/>
    </row>
    <row r="2" spans="1:14" x14ac:dyDescent="0.45">
      <c r="A2" s="3" t="s">
        <v>11</v>
      </c>
      <c r="B2" s="4">
        <v>28921</v>
      </c>
      <c r="C2" s="5" t="s">
        <v>12</v>
      </c>
      <c r="D2" s="6" t="s">
        <v>13</v>
      </c>
      <c r="F2" s="3">
        <v>35</v>
      </c>
      <c r="N2" s="48"/>
    </row>
    <row r="3" spans="1:14" x14ac:dyDescent="0.45">
      <c r="A3" s="3" t="s">
        <v>11</v>
      </c>
      <c r="B3" s="4">
        <v>29277</v>
      </c>
      <c r="C3" s="5" t="s">
        <v>12</v>
      </c>
      <c r="D3" s="6" t="s">
        <v>14</v>
      </c>
      <c r="F3" s="3">
        <v>4</v>
      </c>
      <c r="N3" s="48"/>
    </row>
    <row r="4" spans="1:14" x14ac:dyDescent="0.45">
      <c r="A4" s="3" t="s">
        <v>11</v>
      </c>
      <c r="B4" s="4">
        <v>29315</v>
      </c>
      <c r="C4" s="5" t="s">
        <v>12</v>
      </c>
      <c r="D4" s="6" t="s">
        <v>15</v>
      </c>
      <c r="F4" s="3">
        <v>1</v>
      </c>
      <c r="N4" s="48"/>
    </row>
    <row r="5" spans="1:14" x14ac:dyDescent="0.45">
      <c r="A5" s="3" t="s">
        <v>11</v>
      </c>
      <c r="B5" s="4">
        <v>29332</v>
      </c>
      <c r="C5" s="5" t="s">
        <v>12</v>
      </c>
      <c r="D5" s="6" t="s">
        <v>16</v>
      </c>
      <c r="F5" s="3">
        <v>5</v>
      </c>
      <c r="N5" s="48"/>
    </row>
    <row r="6" spans="1:14" x14ac:dyDescent="0.45">
      <c r="A6" s="3" t="s">
        <v>11</v>
      </c>
      <c r="B6" s="4">
        <v>29389</v>
      </c>
      <c r="C6" s="5" t="s">
        <v>12</v>
      </c>
      <c r="D6" s="6" t="s">
        <v>17</v>
      </c>
      <c r="F6" s="3">
        <v>10</v>
      </c>
      <c r="N6" s="48"/>
    </row>
    <row r="7" spans="1:14" x14ac:dyDescent="0.45">
      <c r="A7" s="3" t="s">
        <v>11</v>
      </c>
      <c r="B7" s="4">
        <v>29454</v>
      </c>
      <c r="C7" s="5" t="s">
        <v>12</v>
      </c>
      <c r="D7" s="6" t="s">
        <v>18</v>
      </c>
      <c r="F7" s="3">
        <v>4</v>
      </c>
      <c r="N7" s="48"/>
    </row>
    <row r="8" spans="1:14" x14ac:dyDescent="0.45">
      <c r="A8" s="3" t="s">
        <v>11</v>
      </c>
      <c r="B8" s="4">
        <v>29508</v>
      </c>
      <c r="C8" s="5" t="s">
        <v>12</v>
      </c>
      <c r="D8" s="6" t="s">
        <v>19</v>
      </c>
      <c r="F8" s="3">
        <v>1</v>
      </c>
      <c r="L8" s="3" t="s">
        <v>20</v>
      </c>
      <c r="N8" s="48"/>
    </row>
    <row r="9" spans="1:14" x14ac:dyDescent="0.45">
      <c r="A9" s="3" t="s">
        <v>11</v>
      </c>
      <c r="B9" s="4">
        <v>29508</v>
      </c>
      <c r="C9" s="7" t="s">
        <v>21</v>
      </c>
      <c r="D9" s="6" t="s">
        <v>22</v>
      </c>
      <c r="F9" s="3">
        <v>1</v>
      </c>
      <c r="N9" s="48"/>
    </row>
    <row r="10" spans="1:14" x14ac:dyDescent="0.45">
      <c r="A10" s="3" t="s">
        <v>11</v>
      </c>
      <c r="B10" s="4">
        <v>29521</v>
      </c>
      <c r="C10" s="7" t="s">
        <v>21</v>
      </c>
      <c r="D10" s="6" t="s">
        <v>23</v>
      </c>
      <c r="F10" s="3">
        <v>1</v>
      </c>
      <c r="N10" s="48"/>
    </row>
    <row r="11" spans="1:14" x14ac:dyDescent="0.45">
      <c r="A11" s="3" t="s">
        <v>11</v>
      </c>
      <c r="B11" s="4">
        <v>29574</v>
      </c>
      <c r="C11" s="7" t="s">
        <v>21</v>
      </c>
      <c r="D11" s="6" t="s">
        <v>24</v>
      </c>
      <c r="F11" s="3">
        <v>2</v>
      </c>
      <c r="N11" s="48"/>
    </row>
    <row r="12" spans="1:14" x14ac:dyDescent="0.45">
      <c r="A12" s="3" t="s">
        <v>11</v>
      </c>
      <c r="B12" s="4">
        <v>29588</v>
      </c>
      <c r="C12" s="7" t="s">
        <v>25</v>
      </c>
      <c r="D12" s="6" t="s">
        <v>26</v>
      </c>
      <c r="F12" s="3">
        <v>2</v>
      </c>
      <c r="N12" s="48"/>
    </row>
    <row r="13" spans="1:14" x14ac:dyDescent="0.45">
      <c r="A13" s="3" t="s">
        <v>11</v>
      </c>
      <c r="B13" s="4">
        <v>29593</v>
      </c>
      <c r="C13" s="7" t="s">
        <v>21</v>
      </c>
      <c r="D13" s="6" t="s">
        <v>27</v>
      </c>
      <c r="F13" s="3">
        <v>2</v>
      </c>
      <c r="N13" s="48"/>
    </row>
    <row r="14" spans="1:14" x14ac:dyDescent="0.45">
      <c r="A14" s="3" t="s">
        <v>11</v>
      </c>
      <c r="B14" s="4">
        <v>29664</v>
      </c>
      <c r="C14" s="7" t="s">
        <v>25</v>
      </c>
      <c r="D14" s="6" t="s">
        <v>28</v>
      </c>
      <c r="F14" s="3">
        <v>5</v>
      </c>
      <c r="N14" s="48"/>
    </row>
    <row r="15" spans="1:14" x14ac:dyDescent="0.45">
      <c r="A15" s="3" t="s">
        <v>11</v>
      </c>
      <c r="B15" s="4">
        <v>29668</v>
      </c>
      <c r="C15" s="7" t="s">
        <v>21</v>
      </c>
      <c r="D15" s="6" t="s">
        <v>29</v>
      </c>
      <c r="F15" s="3">
        <v>3</v>
      </c>
      <c r="N15" s="48"/>
    </row>
    <row r="16" spans="1:14" x14ac:dyDescent="0.45">
      <c r="A16" s="3" t="s">
        <v>11</v>
      </c>
      <c r="B16" s="4">
        <v>29706</v>
      </c>
      <c r="C16" s="7" t="s">
        <v>25</v>
      </c>
      <c r="D16" s="6" t="s">
        <v>30</v>
      </c>
      <c r="F16" s="3">
        <v>2</v>
      </c>
      <c r="N16" s="48"/>
    </row>
    <row r="17" spans="1:679" s="2" customFormat="1" x14ac:dyDescent="0.45">
      <c r="A17" s="3" t="s">
        <v>11</v>
      </c>
      <c r="B17" s="4">
        <v>29711</v>
      </c>
      <c r="C17" s="7" t="s">
        <v>21</v>
      </c>
      <c r="D17" s="6" t="s">
        <v>31</v>
      </c>
      <c r="E17" s="3"/>
      <c r="F17" s="3">
        <v>4</v>
      </c>
      <c r="L17" s="3"/>
      <c r="M17" s="3"/>
      <c r="N17" s="48"/>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c r="IV17" s="3"/>
      <c r="IW17" s="3"/>
      <c r="IX17" s="3"/>
      <c r="IY17" s="3"/>
      <c r="IZ17" s="3"/>
      <c r="JA17" s="3"/>
      <c r="JB17" s="3"/>
      <c r="JC17" s="3"/>
      <c r="JD17" s="3"/>
      <c r="JE17" s="3"/>
      <c r="JF17" s="3"/>
      <c r="JG17" s="3"/>
      <c r="JH17" s="3"/>
      <c r="JI17" s="3"/>
      <c r="JJ17" s="3"/>
      <c r="JK17" s="3"/>
      <c r="JL17" s="3"/>
      <c r="JM17" s="3"/>
      <c r="JN17" s="3"/>
      <c r="JO17" s="3"/>
      <c r="JP17" s="3"/>
      <c r="JQ17" s="3"/>
      <c r="JR17" s="3"/>
      <c r="JS17" s="3"/>
      <c r="JT17" s="3"/>
      <c r="JU17" s="3"/>
      <c r="JV17" s="3"/>
      <c r="JW17" s="3"/>
      <c r="JX17" s="3"/>
      <c r="JY17" s="3"/>
      <c r="JZ17" s="3"/>
      <c r="KA17" s="3"/>
      <c r="KB17" s="3"/>
      <c r="KC17" s="3"/>
      <c r="KD17" s="3"/>
      <c r="KE17" s="3"/>
      <c r="KF17" s="3"/>
      <c r="KG17" s="3"/>
      <c r="KH17" s="3"/>
      <c r="KI17" s="3"/>
      <c r="KJ17" s="3"/>
      <c r="KK17" s="3"/>
      <c r="KL17" s="3"/>
      <c r="KM17" s="3"/>
      <c r="KN17" s="3"/>
      <c r="KO17" s="3"/>
      <c r="KP17" s="3"/>
      <c r="KQ17" s="3"/>
      <c r="KR17" s="3"/>
      <c r="KS17" s="3"/>
      <c r="KT17" s="3"/>
      <c r="KU17" s="3"/>
      <c r="KV17" s="3"/>
      <c r="KW17" s="3"/>
      <c r="KX17" s="3"/>
      <c r="KY17" s="3"/>
      <c r="KZ17" s="3"/>
      <c r="LA17" s="3"/>
      <c r="LB17" s="3"/>
      <c r="LC17" s="3"/>
      <c r="LD17" s="3"/>
      <c r="LE17" s="3"/>
      <c r="LF17" s="3"/>
      <c r="LG17" s="3"/>
      <c r="LH17" s="3"/>
      <c r="LI17" s="3"/>
      <c r="LJ17" s="3"/>
      <c r="LK17" s="3"/>
      <c r="LL17" s="3"/>
      <c r="LM17" s="3"/>
      <c r="LN17" s="3"/>
      <c r="LO17" s="3"/>
      <c r="LP17" s="3"/>
      <c r="LQ17" s="3"/>
      <c r="LR17" s="3"/>
      <c r="LS17" s="3"/>
      <c r="LT17" s="3"/>
      <c r="LU17" s="3"/>
      <c r="LV17" s="3"/>
      <c r="LW17" s="3"/>
      <c r="LX17" s="3"/>
      <c r="LY17" s="3"/>
      <c r="LZ17" s="3"/>
      <c r="MA17" s="3"/>
      <c r="MB17" s="3"/>
      <c r="MC17" s="3"/>
      <c r="MD17" s="3"/>
      <c r="ME17" s="3"/>
      <c r="MF17" s="3"/>
      <c r="MG17" s="3"/>
      <c r="MH17" s="3"/>
      <c r="MI17" s="3"/>
      <c r="MJ17" s="3"/>
      <c r="MK17" s="3"/>
      <c r="ML17" s="3"/>
      <c r="MM17" s="3"/>
      <c r="MN17" s="3"/>
      <c r="MO17" s="3"/>
      <c r="MP17" s="3"/>
      <c r="MQ17" s="3"/>
      <c r="MR17" s="3"/>
      <c r="MS17" s="3"/>
      <c r="MT17" s="3"/>
      <c r="MU17" s="3"/>
      <c r="MV17" s="3"/>
      <c r="MW17" s="3"/>
      <c r="MX17" s="3"/>
      <c r="MY17" s="3"/>
      <c r="MZ17" s="3"/>
      <c r="NA17" s="3"/>
      <c r="NB17" s="3"/>
      <c r="NC17" s="3"/>
      <c r="ND17" s="3"/>
      <c r="NE17" s="3"/>
      <c r="NF17" s="3"/>
      <c r="NG17" s="3"/>
      <c r="NH17" s="3"/>
      <c r="NI17" s="3"/>
      <c r="NJ17" s="3"/>
      <c r="NK17" s="3"/>
      <c r="NL17" s="3"/>
      <c r="NM17" s="3"/>
      <c r="NN17" s="3"/>
      <c r="NO17" s="3"/>
      <c r="NP17" s="3"/>
      <c r="NQ17" s="3"/>
      <c r="NR17" s="3"/>
      <c r="NS17" s="3"/>
      <c r="NT17" s="3"/>
      <c r="NU17" s="3"/>
      <c r="NV17" s="3"/>
      <c r="NW17" s="3"/>
      <c r="NX17" s="3"/>
      <c r="NY17" s="3"/>
      <c r="NZ17" s="3"/>
      <c r="OA17" s="3"/>
      <c r="OB17" s="3"/>
      <c r="OC17" s="3"/>
      <c r="OD17" s="3"/>
      <c r="OE17" s="3"/>
      <c r="OF17" s="3"/>
      <c r="OG17" s="3"/>
      <c r="OH17" s="3"/>
      <c r="OI17" s="3"/>
      <c r="OJ17" s="3"/>
      <c r="OK17" s="3"/>
      <c r="OL17" s="3"/>
      <c r="OM17" s="3"/>
      <c r="ON17" s="3"/>
      <c r="OO17" s="3"/>
      <c r="OP17" s="3"/>
      <c r="OQ17" s="3"/>
      <c r="OR17" s="3"/>
      <c r="OS17" s="3"/>
      <c r="OT17" s="3"/>
      <c r="OU17" s="3"/>
      <c r="OV17" s="3"/>
      <c r="OW17" s="3"/>
      <c r="OX17" s="3"/>
      <c r="OY17" s="3"/>
      <c r="OZ17" s="3"/>
      <c r="PA17" s="3"/>
      <c r="PB17" s="3"/>
      <c r="PC17" s="3"/>
      <c r="PD17" s="3"/>
      <c r="PE17" s="3"/>
      <c r="PF17" s="3"/>
      <c r="PG17" s="3"/>
      <c r="PH17" s="3"/>
      <c r="PI17" s="3"/>
      <c r="PJ17" s="3"/>
      <c r="PK17" s="3"/>
      <c r="PL17" s="3"/>
      <c r="PM17" s="3"/>
      <c r="PN17" s="3"/>
      <c r="PO17" s="3"/>
      <c r="PP17" s="3"/>
      <c r="PQ17" s="3"/>
      <c r="PR17" s="3"/>
      <c r="PS17" s="3"/>
      <c r="PT17" s="3"/>
      <c r="PU17" s="3"/>
      <c r="PV17" s="3"/>
      <c r="PW17" s="3"/>
      <c r="PX17" s="3"/>
      <c r="PY17" s="3"/>
      <c r="PZ17" s="3"/>
      <c r="QA17" s="3"/>
      <c r="QB17" s="3"/>
      <c r="QC17" s="3"/>
      <c r="QD17" s="3"/>
      <c r="QE17" s="3"/>
      <c r="QF17" s="3"/>
      <c r="QG17" s="3"/>
      <c r="QH17" s="3"/>
      <c r="QI17" s="3"/>
      <c r="QJ17" s="3"/>
      <c r="QK17" s="3"/>
      <c r="QL17" s="3"/>
      <c r="QM17" s="3"/>
      <c r="QN17" s="3"/>
      <c r="QO17" s="3"/>
      <c r="QP17" s="3"/>
      <c r="QQ17" s="3"/>
      <c r="QR17" s="3"/>
      <c r="QS17" s="3"/>
      <c r="QT17" s="3"/>
      <c r="QU17" s="3"/>
      <c r="QV17" s="3"/>
      <c r="QW17" s="3"/>
      <c r="QX17" s="3"/>
      <c r="QY17" s="3"/>
      <c r="QZ17" s="3"/>
      <c r="RA17" s="3"/>
      <c r="RB17" s="3"/>
      <c r="RC17" s="3"/>
      <c r="RD17" s="3"/>
      <c r="RE17" s="3"/>
      <c r="RF17" s="3"/>
      <c r="RG17" s="3"/>
      <c r="RH17" s="3"/>
      <c r="RI17" s="3"/>
      <c r="RJ17" s="3"/>
      <c r="RK17" s="3"/>
      <c r="RL17" s="3"/>
      <c r="RM17" s="3"/>
      <c r="RN17" s="3"/>
      <c r="RO17" s="3"/>
      <c r="RP17" s="3"/>
      <c r="RQ17" s="3"/>
      <c r="RR17" s="3"/>
      <c r="RS17" s="3"/>
      <c r="RT17" s="3"/>
      <c r="RU17" s="3"/>
      <c r="RV17" s="3"/>
      <c r="RW17" s="3"/>
      <c r="RX17" s="3"/>
      <c r="RY17" s="3"/>
      <c r="RZ17" s="3"/>
      <c r="SA17" s="3"/>
      <c r="SB17" s="3"/>
      <c r="SC17" s="3"/>
      <c r="SD17" s="3"/>
      <c r="SE17" s="3"/>
      <c r="SF17" s="3"/>
      <c r="SG17" s="3"/>
      <c r="SH17" s="3"/>
      <c r="SI17" s="3"/>
      <c r="SJ17" s="3"/>
      <c r="SK17" s="3"/>
      <c r="SL17" s="3"/>
      <c r="SM17" s="3"/>
      <c r="SN17" s="3"/>
      <c r="SO17" s="3"/>
      <c r="SP17" s="3"/>
      <c r="SQ17" s="3"/>
      <c r="SR17" s="3"/>
      <c r="SS17" s="3"/>
      <c r="ST17" s="3"/>
      <c r="SU17" s="3"/>
      <c r="SV17" s="3"/>
      <c r="SW17" s="3"/>
      <c r="SX17" s="3"/>
      <c r="SY17" s="3"/>
      <c r="SZ17" s="3"/>
      <c r="TA17" s="3"/>
      <c r="TB17" s="3"/>
      <c r="TC17" s="3"/>
      <c r="TD17" s="3"/>
      <c r="TE17" s="3"/>
      <c r="TF17" s="3"/>
      <c r="TG17" s="3"/>
      <c r="TH17" s="3"/>
      <c r="TI17" s="3"/>
      <c r="TJ17" s="3"/>
      <c r="TK17" s="3"/>
      <c r="TL17" s="3"/>
      <c r="TM17" s="3"/>
      <c r="TN17" s="3"/>
      <c r="TO17" s="3"/>
      <c r="TP17" s="3"/>
      <c r="TQ17" s="3"/>
      <c r="TR17" s="3"/>
      <c r="TS17" s="3"/>
      <c r="TT17" s="3"/>
      <c r="TU17" s="3"/>
      <c r="TV17" s="3"/>
      <c r="TW17" s="3"/>
      <c r="TX17" s="3"/>
      <c r="TY17" s="3"/>
      <c r="TZ17" s="3"/>
      <c r="UA17" s="3"/>
      <c r="UB17" s="3"/>
      <c r="UC17" s="3"/>
      <c r="UD17" s="3"/>
      <c r="UE17" s="3"/>
      <c r="UF17" s="3"/>
      <c r="UG17" s="3"/>
      <c r="UH17" s="3"/>
      <c r="UI17" s="3"/>
      <c r="UJ17" s="3"/>
      <c r="UK17" s="3"/>
      <c r="UL17" s="3"/>
      <c r="UM17" s="3"/>
      <c r="UN17" s="3"/>
      <c r="UO17" s="3"/>
      <c r="UP17" s="3"/>
      <c r="UQ17" s="3"/>
      <c r="UR17" s="3"/>
      <c r="US17" s="3"/>
      <c r="UT17" s="3"/>
      <c r="UU17" s="3"/>
      <c r="UV17" s="3"/>
      <c r="UW17" s="3"/>
      <c r="UX17" s="3"/>
      <c r="UY17" s="3"/>
      <c r="UZ17" s="3"/>
      <c r="VA17" s="3"/>
      <c r="VB17" s="3"/>
      <c r="VC17" s="3"/>
      <c r="VD17" s="3"/>
      <c r="VE17" s="3"/>
      <c r="VF17" s="3"/>
      <c r="VG17" s="3"/>
      <c r="VH17" s="3"/>
      <c r="VI17" s="3"/>
      <c r="VJ17" s="3"/>
      <c r="VK17" s="3"/>
      <c r="VL17" s="3"/>
      <c r="VM17" s="3"/>
      <c r="VN17" s="3"/>
      <c r="VO17" s="3"/>
      <c r="VP17" s="3"/>
      <c r="VQ17" s="3"/>
      <c r="VR17" s="3"/>
      <c r="VS17" s="3"/>
      <c r="VT17" s="3"/>
      <c r="VU17" s="3"/>
      <c r="VV17" s="3"/>
      <c r="VW17" s="3"/>
      <c r="VX17" s="3"/>
      <c r="VY17" s="3"/>
      <c r="VZ17" s="3"/>
      <c r="WA17" s="3"/>
      <c r="WB17" s="3"/>
      <c r="WC17" s="3"/>
      <c r="WD17" s="3"/>
      <c r="WE17" s="3"/>
      <c r="WF17" s="3"/>
      <c r="WG17" s="3"/>
      <c r="WH17" s="3"/>
      <c r="WI17" s="3"/>
      <c r="WJ17" s="3"/>
      <c r="WK17" s="3"/>
      <c r="WL17" s="3"/>
      <c r="WM17" s="3"/>
      <c r="WN17" s="3"/>
      <c r="WO17" s="3"/>
      <c r="WP17" s="3"/>
      <c r="WQ17" s="3"/>
      <c r="WR17" s="3"/>
      <c r="WS17" s="3"/>
      <c r="WT17" s="3"/>
      <c r="WU17" s="3"/>
      <c r="WV17" s="3"/>
      <c r="WW17" s="3"/>
      <c r="WX17" s="3"/>
      <c r="WY17" s="3"/>
      <c r="WZ17" s="3"/>
      <c r="XA17" s="3"/>
      <c r="XB17" s="3"/>
      <c r="XC17" s="3"/>
      <c r="XD17" s="3"/>
      <c r="XE17" s="3"/>
      <c r="XF17" s="3"/>
      <c r="XG17" s="3"/>
      <c r="XH17" s="3"/>
      <c r="XI17" s="3"/>
      <c r="XJ17" s="3"/>
      <c r="XK17" s="3"/>
      <c r="XL17" s="3"/>
      <c r="XM17" s="3"/>
      <c r="XN17" s="3"/>
      <c r="XO17" s="3"/>
      <c r="XP17" s="3"/>
      <c r="XQ17" s="3"/>
      <c r="XR17" s="3"/>
      <c r="XS17" s="3"/>
      <c r="XT17" s="3"/>
      <c r="XU17" s="3"/>
      <c r="XV17" s="3"/>
      <c r="XW17" s="3"/>
      <c r="XX17" s="3"/>
      <c r="XY17" s="3"/>
      <c r="XZ17" s="3"/>
      <c r="YA17" s="3"/>
      <c r="YB17" s="3"/>
      <c r="YC17" s="3"/>
      <c r="YD17" s="3"/>
      <c r="YE17" s="3"/>
      <c r="YF17" s="3"/>
      <c r="YG17" s="3"/>
      <c r="YH17" s="3"/>
      <c r="YI17" s="3"/>
      <c r="YJ17" s="3"/>
      <c r="YK17" s="3"/>
      <c r="YL17" s="3"/>
      <c r="YM17" s="3"/>
      <c r="YN17" s="3"/>
      <c r="YO17" s="3"/>
      <c r="YP17" s="3"/>
      <c r="YQ17" s="3"/>
      <c r="YR17" s="3"/>
      <c r="YS17" s="3"/>
      <c r="YT17" s="3"/>
      <c r="YU17" s="3"/>
      <c r="YV17" s="3"/>
      <c r="YW17" s="3"/>
      <c r="YX17" s="3"/>
      <c r="YY17" s="3"/>
      <c r="YZ17" s="3"/>
      <c r="ZA17" s="3"/>
      <c r="ZB17" s="3"/>
      <c r="ZC17" s="3"/>
    </row>
    <row r="18" spans="1:679" s="2" customFormat="1" x14ac:dyDescent="0.45">
      <c r="A18" s="3" t="s">
        <v>11</v>
      </c>
      <c r="B18" s="4">
        <v>29746</v>
      </c>
      <c r="C18" s="5" t="s">
        <v>12</v>
      </c>
      <c r="D18" s="6" t="s">
        <v>32</v>
      </c>
      <c r="E18" s="3"/>
      <c r="F18" s="3">
        <v>4</v>
      </c>
      <c r="L18" s="3"/>
      <c r="M18" s="3"/>
      <c r="N18" s="48"/>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c r="IV18" s="3"/>
      <c r="IW18" s="3"/>
      <c r="IX18" s="3"/>
      <c r="IY18" s="3"/>
      <c r="IZ18" s="3"/>
      <c r="JA18" s="3"/>
      <c r="JB18" s="3"/>
      <c r="JC18" s="3"/>
      <c r="JD18" s="3"/>
      <c r="JE18" s="3"/>
      <c r="JF18" s="3"/>
      <c r="JG18" s="3"/>
      <c r="JH18" s="3"/>
      <c r="JI18" s="3"/>
      <c r="JJ18" s="3"/>
      <c r="JK18" s="3"/>
      <c r="JL18" s="3"/>
      <c r="JM18" s="3"/>
      <c r="JN18" s="3"/>
      <c r="JO18" s="3"/>
      <c r="JP18" s="3"/>
      <c r="JQ18" s="3"/>
      <c r="JR18" s="3"/>
      <c r="JS18" s="3"/>
      <c r="JT18" s="3"/>
      <c r="JU18" s="3"/>
      <c r="JV18" s="3"/>
      <c r="JW18" s="3"/>
      <c r="JX18" s="3"/>
      <c r="JY18" s="3"/>
      <c r="JZ18" s="3"/>
      <c r="KA18" s="3"/>
      <c r="KB18" s="3"/>
      <c r="KC18" s="3"/>
      <c r="KD18" s="3"/>
      <c r="KE18" s="3"/>
      <c r="KF18" s="3"/>
      <c r="KG18" s="3"/>
      <c r="KH18" s="3"/>
      <c r="KI18" s="3"/>
      <c r="KJ18" s="3"/>
      <c r="KK18" s="3"/>
      <c r="KL18" s="3"/>
      <c r="KM18" s="3"/>
      <c r="KN18" s="3"/>
      <c r="KO18" s="3"/>
      <c r="KP18" s="3"/>
      <c r="KQ18" s="3"/>
      <c r="KR18" s="3"/>
      <c r="KS18" s="3"/>
      <c r="KT18" s="3"/>
      <c r="KU18" s="3"/>
      <c r="KV18" s="3"/>
      <c r="KW18" s="3"/>
      <c r="KX18" s="3"/>
      <c r="KY18" s="3"/>
      <c r="KZ18" s="3"/>
      <c r="LA18" s="3"/>
      <c r="LB18" s="3"/>
      <c r="LC18" s="3"/>
      <c r="LD18" s="3"/>
      <c r="LE18" s="3"/>
      <c r="LF18" s="3"/>
      <c r="LG18" s="3"/>
      <c r="LH18" s="3"/>
      <c r="LI18" s="3"/>
      <c r="LJ18" s="3"/>
      <c r="LK18" s="3"/>
      <c r="LL18" s="3"/>
      <c r="LM18" s="3"/>
      <c r="LN18" s="3"/>
      <c r="LO18" s="3"/>
      <c r="LP18" s="3"/>
      <c r="LQ18" s="3"/>
      <c r="LR18" s="3"/>
      <c r="LS18" s="3"/>
      <c r="LT18" s="3"/>
      <c r="LU18" s="3"/>
      <c r="LV18" s="3"/>
      <c r="LW18" s="3"/>
      <c r="LX18" s="3"/>
      <c r="LY18" s="3"/>
      <c r="LZ18" s="3"/>
      <c r="MA18" s="3"/>
      <c r="MB18" s="3"/>
      <c r="MC18" s="3"/>
      <c r="MD18" s="3"/>
      <c r="ME18" s="3"/>
      <c r="MF18" s="3"/>
      <c r="MG18" s="3"/>
      <c r="MH18" s="3"/>
      <c r="MI18" s="3"/>
      <c r="MJ18" s="3"/>
      <c r="MK18" s="3"/>
      <c r="ML18" s="3"/>
      <c r="MM18" s="3"/>
      <c r="MN18" s="3"/>
      <c r="MO18" s="3"/>
      <c r="MP18" s="3"/>
      <c r="MQ18" s="3"/>
      <c r="MR18" s="3"/>
      <c r="MS18" s="3"/>
      <c r="MT18" s="3"/>
      <c r="MU18" s="3"/>
      <c r="MV18" s="3"/>
      <c r="MW18" s="3"/>
      <c r="MX18" s="3"/>
      <c r="MY18" s="3"/>
      <c r="MZ18" s="3"/>
      <c r="NA18" s="3"/>
      <c r="NB18" s="3"/>
      <c r="NC18" s="3"/>
      <c r="ND18" s="3"/>
      <c r="NE18" s="3"/>
      <c r="NF18" s="3"/>
      <c r="NG18" s="3"/>
      <c r="NH18" s="3"/>
      <c r="NI18" s="3"/>
      <c r="NJ18" s="3"/>
      <c r="NK18" s="3"/>
      <c r="NL18" s="3"/>
      <c r="NM18" s="3"/>
      <c r="NN18" s="3"/>
      <c r="NO18" s="3"/>
      <c r="NP18" s="3"/>
      <c r="NQ18" s="3"/>
      <c r="NR18" s="3"/>
      <c r="NS18" s="3"/>
      <c r="NT18" s="3"/>
      <c r="NU18" s="3"/>
      <c r="NV18" s="3"/>
      <c r="NW18" s="3"/>
      <c r="NX18" s="3"/>
      <c r="NY18" s="3"/>
      <c r="NZ18" s="3"/>
      <c r="OA18" s="3"/>
      <c r="OB18" s="3"/>
      <c r="OC18" s="3"/>
      <c r="OD18" s="3"/>
      <c r="OE18" s="3"/>
      <c r="OF18" s="3"/>
      <c r="OG18" s="3"/>
      <c r="OH18" s="3"/>
      <c r="OI18" s="3"/>
      <c r="OJ18" s="3"/>
      <c r="OK18" s="3"/>
      <c r="OL18" s="3"/>
      <c r="OM18" s="3"/>
      <c r="ON18" s="3"/>
      <c r="OO18" s="3"/>
      <c r="OP18" s="3"/>
      <c r="OQ18" s="3"/>
      <c r="OR18" s="3"/>
      <c r="OS18" s="3"/>
      <c r="OT18" s="3"/>
      <c r="OU18" s="3"/>
      <c r="OV18" s="3"/>
      <c r="OW18" s="3"/>
      <c r="OX18" s="3"/>
      <c r="OY18" s="3"/>
      <c r="OZ18" s="3"/>
      <c r="PA18" s="3"/>
      <c r="PB18" s="3"/>
      <c r="PC18" s="3"/>
      <c r="PD18" s="3"/>
      <c r="PE18" s="3"/>
      <c r="PF18" s="3"/>
      <c r="PG18" s="3"/>
      <c r="PH18" s="3"/>
      <c r="PI18" s="3"/>
      <c r="PJ18" s="3"/>
      <c r="PK18" s="3"/>
      <c r="PL18" s="3"/>
      <c r="PM18" s="3"/>
      <c r="PN18" s="3"/>
      <c r="PO18" s="3"/>
      <c r="PP18" s="3"/>
      <c r="PQ18" s="3"/>
      <c r="PR18" s="3"/>
      <c r="PS18" s="3"/>
      <c r="PT18" s="3"/>
      <c r="PU18" s="3"/>
      <c r="PV18" s="3"/>
      <c r="PW18" s="3"/>
      <c r="PX18" s="3"/>
      <c r="PY18" s="3"/>
      <c r="PZ18" s="3"/>
      <c r="QA18" s="3"/>
      <c r="QB18" s="3"/>
      <c r="QC18" s="3"/>
      <c r="QD18" s="3"/>
      <c r="QE18" s="3"/>
      <c r="QF18" s="3"/>
      <c r="QG18" s="3"/>
      <c r="QH18" s="3"/>
      <c r="QI18" s="3"/>
      <c r="QJ18" s="3"/>
      <c r="QK18" s="3"/>
      <c r="QL18" s="3"/>
      <c r="QM18" s="3"/>
      <c r="QN18" s="3"/>
      <c r="QO18" s="3"/>
      <c r="QP18" s="3"/>
      <c r="QQ18" s="3"/>
      <c r="QR18" s="3"/>
      <c r="QS18" s="3"/>
      <c r="QT18" s="3"/>
      <c r="QU18" s="3"/>
      <c r="QV18" s="3"/>
      <c r="QW18" s="3"/>
      <c r="QX18" s="3"/>
      <c r="QY18" s="3"/>
      <c r="QZ18" s="3"/>
      <c r="RA18" s="3"/>
      <c r="RB18" s="3"/>
      <c r="RC18" s="3"/>
      <c r="RD18" s="3"/>
      <c r="RE18" s="3"/>
      <c r="RF18" s="3"/>
      <c r="RG18" s="3"/>
      <c r="RH18" s="3"/>
      <c r="RI18" s="3"/>
      <c r="RJ18" s="3"/>
      <c r="RK18" s="3"/>
      <c r="RL18" s="3"/>
      <c r="RM18" s="3"/>
      <c r="RN18" s="3"/>
      <c r="RO18" s="3"/>
      <c r="RP18" s="3"/>
      <c r="RQ18" s="3"/>
      <c r="RR18" s="3"/>
      <c r="RS18" s="3"/>
      <c r="RT18" s="3"/>
      <c r="RU18" s="3"/>
      <c r="RV18" s="3"/>
      <c r="RW18" s="3"/>
      <c r="RX18" s="3"/>
      <c r="RY18" s="3"/>
      <c r="RZ18" s="3"/>
      <c r="SA18" s="3"/>
      <c r="SB18" s="3"/>
      <c r="SC18" s="3"/>
      <c r="SD18" s="3"/>
      <c r="SE18" s="3"/>
      <c r="SF18" s="3"/>
      <c r="SG18" s="3"/>
      <c r="SH18" s="3"/>
      <c r="SI18" s="3"/>
      <c r="SJ18" s="3"/>
      <c r="SK18" s="3"/>
      <c r="SL18" s="3"/>
      <c r="SM18" s="3"/>
      <c r="SN18" s="3"/>
      <c r="SO18" s="3"/>
      <c r="SP18" s="3"/>
      <c r="SQ18" s="3"/>
      <c r="SR18" s="3"/>
      <c r="SS18" s="3"/>
      <c r="ST18" s="3"/>
      <c r="SU18" s="3"/>
      <c r="SV18" s="3"/>
      <c r="SW18" s="3"/>
      <c r="SX18" s="3"/>
      <c r="SY18" s="3"/>
      <c r="SZ18" s="3"/>
      <c r="TA18" s="3"/>
      <c r="TB18" s="3"/>
      <c r="TC18" s="3"/>
      <c r="TD18" s="3"/>
      <c r="TE18" s="3"/>
      <c r="TF18" s="3"/>
      <c r="TG18" s="3"/>
      <c r="TH18" s="3"/>
      <c r="TI18" s="3"/>
      <c r="TJ18" s="3"/>
      <c r="TK18" s="3"/>
      <c r="TL18" s="3"/>
      <c r="TM18" s="3"/>
      <c r="TN18" s="3"/>
      <c r="TO18" s="3"/>
      <c r="TP18" s="3"/>
      <c r="TQ18" s="3"/>
      <c r="TR18" s="3"/>
      <c r="TS18" s="3"/>
      <c r="TT18" s="3"/>
      <c r="TU18" s="3"/>
      <c r="TV18" s="3"/>
      <c r="TW18" s="3"/>
      <c r="TX18" s="3"/>
      <c r="TY18" s="3"/>
      <c r="TZ18" s="3"/>
      <c r="UA18" s="3"/>
      <c r="UB18" s="3"/>
      <c r="UC18" s="3"/>
      <c r="UD18" s="3"/>
      <c r="UE18" s="3"/>
      <c r="UF18" s="3"/>
      <c r="UG18" s="3"/>
      <c r="UH18" s="3"/>
      <c r="UI18" s="3"/>
      <c r="UJ18" s="3"/>
      <c r="UK18" s="3"/>
      <c r="UL18" s="3"/>
      <c r="UM18" s="3"/>
      <c r="UN18" s="3"/>
      <c r="UO18" s="3"/>
      <c r="UP18" s="3"/>
      <c r="UQ18" s="3"/>
      <c r="UR18" s="3"/>
      <c r="US18" s="3"/>
      <c r="UT18" s="3"/>
      <c r="UU18" s="3"/>
      <c r="UV18" s="3"/>
      <c r="UW18" s="3"/>
      <c r="UX18" s="3"/>
      <c r="UY18" s="3"/>
      <c r="UZ18" s="3"/>
      <c r="VA18" s="3"/>
      <c r="VB18" s="3"/>
      <c r="VC18" s="3"/>
      <c r="VD18" s="3"/>
      <c r="VE18" s="3"/>
      <c r="VF18" s="3"/>
      <c r="VG18" s="3"/>
      <c r="VH18" s="3"/>
      <c r="VI18" s="3"/>
      <c r="VJ18" s="3"/>
      <c r="VK18" s="3"/>
      <c r="VL18" s="3"/>
      <c r="VM18" s="3"/>
      <c r="VN18" s="3"/>
      <c r="VO18" s="3"/>
      <c r="VP18" s="3"/>
      <c r="VQ18" s="3"/>
      <c r="VR18" s="3"/>
      <c r="VS18" s="3"/>
      <c r="VT18" s="3"/>
      <c r="VU18" s="3"/>
      <c r="VV18" s="3"/>
      <c r="VW18" s="3"/>
      <c r="VX18" s="3"/>
      <c r="VY18" s="3"/>
      <c r="VZ18" s="3"/>
      <c r="WA18" s="3"/>
      <c r="WB18" s="3"/>
      <c r="WC18" s="3"/>
      <c r="WD18" s="3"/>
      <c r="WE18" s="3"/>
      <c r="WF18" s="3"/>
      <c r="WG18" s="3"/>
      <c r="WH18" s="3"/>
      <c r="WI18" s="3"/>
      <c r="WJ18" s="3"/>
      <c r="WK18" s="3"/>
      <c r="WL18" s="3"/>
      <c r="WM18" s="3"/>
      <c r="WN18" s="3"/>
      <c r="WO18" s="3"/>
      <c r="WP18" s="3"/>
      <c r="WQ18" s="3"/>
      <c r="WR18" s="3"/>
      <c r="WS18" s="3"/>
      <c r="WT18" s="3"/>
      <c r="WU18" s="3"/>
      <c r="WV18" s="3"/>
      <c r="WW18" s="3"/>
      <c r="WX18" s="3"/>
      <c r="WY18" s="3"/>
      <c r="WZ18" s="3"/>
      <c r="XA18" s="3"/>
      <c r="XB18" s="3"/>
      <c r="XC18" s="3"/>
      <c r="XD18" s="3"/>
      <c r="XE18" s="3"/>
      <c r="XF18" s="3"/>
      <c r="XG18" s="3"/>
      <c r="XH18" s="3"/>
      <c r="XI18" s="3"/>
      <c r="XJ18" s="3"/>
      <c r="XK18" s="3"/>
      <c r="XL18" s="3"/>
      <c r="XM18" s="3"/>
      <c r="XN18" s="3"/>
      <c r="XO18" s="3"/>
      <c r="XP18" s="3"/>
      <c r="XQ18" s="3"/>
      <c r="XR18" s="3"/>
      <c r="XS18" s="3"/>
      <c r="XT18" s="3"/>
      <c r="XU18" s="3"/>
      <c r="XV18" s="3"/>
      <c r="XW18" s="3"/>
      <c r="XX18" s="3"/>
      <c r="XY18" s="3"/>
      <c r="XZ18" s="3"/>
      <c r="YA18" s="3"/>
      <c r="YB18" s="3"/>
      <c r="YC18" s="3"/>
      <c r="YD18" s="3"/>
      <c r="YE18" s="3"/>
      <c r="YF18" s="3"/>
      <c r="YG18" s="3"/>
      <c r="YH18" s="3"/>
      <c r="YI18" s="3"/>
      <c r="YJ18" s="3"/>
      <c r="YK18" s="3"/>
      <c r="YL18" s="3"/>
      <c r="YM18" s="3"/>
      <c r="YN18" s="3"/>
      <c r="YO18" s="3"/>
      <c r="YP18" s="3"/>
      <c r="YQ18" s="3"/>
      <c r="YR18" s="3"/>
      <c r="YS18" s="3"/>
      <c r="YT18" s="3"/>
      <c r="YU18" s="3"/>
      <c r="YV18" s="3"/>
      <c r="YW18" s="3"/>
      <c r="YX18" s="3"/>
      <c r="YY18" s="3"/>
      <c r="YZ18" s="3"/>
      <c r="ZA18" s="3"/>
      <c r="ZB18" s="3"/>
      <c r="ZC18" s="3"/>
    </row>
    <row r="19" spans="1:679" s="2" customFormat="1" x14ac:dyDescent="0.45">
      <c r="A19" s="3" t="s">
        <v>11</v>
      </c>
      <c r="B19" s="4">
        <v>29746</v>
      </c>
      <c r="C19" s="7" t="s">
        <v>21</v>
      </c>
      <c r="D19" s="6" t="s">
        <v>33</v>
      </c>
      <c r="E19" s="3"/>
      <c r="F19" s="3">
        <v>10</v>
      </c>
      <c r="L19" s="3"/>
      <c r="M19" s="3"/>
      <c r="N19" s="48"/>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c r="HY19" s="3"/>
      <c r="HZ19" s="3"/>
      <c r="IA19" s="3"/>
      <c r="IB19" s="3"/>
      <c r="IC19" s="3"/>
      <c r="ID19" s="3"/>
      <c r="IE19" s="3"/>
      <c r="IF19" s="3"/>
      <c r="IG19" s="3"/>
      <c r="IH19" s="3"/>
      <c r="II19" s="3"/>
      <c r="IJ19" s="3"/>
      <c r="IK19" s="3"/>
      <c r="IL19" s="3"/>
      <c r="IM19" s="3"/>
      <c r="IN19" s="3"/>
      <c r="IO19" s="3"/>
      <c r="IP19" s="3"/>
      <c r="IQ19" s="3"/>
      <c r="IR19" s="3"/>
      <c r="IS19" s="3"/>
      <c r="IT19" s="3"/>
      <c r="IU19" s="3"/>
      <c r="IV19" s="3"/>
      <c r="IW19" s="3"/>
      <c r="IX19" s="3"/>
      <c r="IY19" s="3"/>
      <c r="IZ19" s="3"/>
      <c r="JA19" s="3"/>
      <c r="JB19" s="3"/>
      <c r="JC19" s="3"/>
      <c r="JD19" s="3"/>
      <c r="JE19" s="3"/>
      <c r="JF19" s="3"/>
      <c r="JG19" s="3"/>
      <c r="JH19" s="3"/>
      <c r="JI19" s="3"/>
      <c r="JJ19" s="3"/>
      <c r="JK19" s="3"/>
      <c r="JL19" s="3"/>
      <c r="JM19" s="3"/>
      <c r="JN19" s="3"/>
      <c r="JO19" s="3"/>
      <c r="JP19" s="3"/>
      <c r="JQ19" s="3"/>
      <c r="JR19" s="3"/>
      <c r="JS19" s="3"/>
      <c r="JT19" s="3"/>
      <c r="JU19" s="3"/>
      <c r="JV19" s="3"/>
      <c r="JW19" s="3"/>
      <c r="JX19" s="3"/>
      <c r="JY19" s="3"/>
      <c r="JZ19" s="3"/>
      <c r="KA19" s="3"/>
      <c r="KB19" s="3"/>
      <c r="KC19" s="3"/>
      <c r="KD19" s="3"/>
      <c r="KE19" s="3"/>
      <c r="KF19" s="3"/>
      <c r="KG19" s="3"/>
      <c r="KH19" s="3"/>
      <c r="KI19" s="3"/>
      <c r="KJ19" s="3"/>
      <c r="KK19" s="3"/>
      <c r="KL19" s="3"/>
      <c r="KM19" s="3"/>
      <c r="KN19" s="3"/>
      <c r="KO19" s="3"/>
      <c r="KP19" s="3"/>
      <c r="KQ19" s="3"/>
      <c r="KR19" s="3"/>
      <c r="KS19" s="3"/>
      <c r="KT19" s="3"/>
      <c r="KU19" s="3"/>
      <c r="KV19" s="3"/>
      <c r="KW19" s="3"/>
      <c r="KX19" s="3"/>
      <c r="KY19" s="3"/>
      <c r="KZ19" s="3"/>
      <c r="LA19" s="3"/>
      <c r="LB19" s="3"/>
      <c r="LC19" s="3"/>
      <c r="LD19" s="3"/>
      <c r="LE19" s="3"/>
      <c r="LF19" s="3"/>
      <c r="LG19" s="3"/>
      <c r="LH19" s="3"/>
      <c r="LI19" s="3"/>
      <c r="LJ19" s="3"/>
      <c r="LK19" s="3"/>
      <c r="LL19" s="3"/>
      <c r="LM19" s="3"/>
      <c r="LN19" s="3"/>
      <c r="LO19" s="3"/>
      <c r="LP19" s="3"/>
      <c r="LQ19" s="3"/>
      <c r="LR19" s="3"/>
      <c r="LS19" s="3"/>
      <c r="LT19" s="3"/>
      <c r="LU19" s="3"/>
      <c r="LV19" s="3"/>
      <c r="LW19" s="3"/>
      <c r="LX19" s="3"/>
      <c r="LY19" s="3"/>
      <c r="LZ19" s="3"/>
      <c r="MA19" s="3"/>
      <c r="MB19" s="3"/>
      <c r="MC19" s="3"/>
      <c r="MD19" s="3"/>
      <c r="ME19" s="3"/>
      <c r="MF19" s="3"/>
      <c r="MG19" s="3"/>
      <c r="MH19" s="3"/>
      <c r="MI19" s="3"/>
      <c r="MJ19" s="3"/>
      <c r="MK19" s="3"/>
      <c r="ML19" s="3"/>
      <c r="MM19" s="3"/>
      <c r="MN19" s="3"/>
      <c r="MO19" s="3"/>
      <c r="MP19" s="3"/>
      <c r="MQ19" s="3"/>
      <c r="MR19" s="3"/>
      <c r="MS19" s="3"/>
      <c r="MT19" s="3"/>
      <c r="MU19" s="3"/>
      <c r="MV19" s="3"/>
      <c r="MW19" s="3"/>
      <c r="MX19" s="3"/>
      <c r="MY19" s="3"/>
      <c r="MZ19" s="3"/>
      <c r="NA19" s="3"/>
      <c r="NB19" s="3"/>
      <c r="NC19" s="3"/>
      <c r="ND19" s="3"/>
      <c r="NE19" s="3"/>
      <c r="NF19" s="3"/>
      <c r="NG19" s="3"/>
      <c r="NH19" s="3"/>
      <c r="NI19" s="3"/>
      <c r="NJ19" s="3"/>
      <c r="NK19" s="3"/>
      <c r="NL19" s="3"/>
      <c r="NM19" s="3"/>
      <c r="NN19" s="3"/>
      <c r="NO19" s="3"/>
      <c r="NP19" s="3"/>
      <c r="NQ19" s="3"/>
      <c r="NR19" s="3"/>
      <c r="NS19" s="3"/>
      <c r="NT19" s="3"/>
      <c r="NU19" s="3"/>
      <c r="NV19" s="3"/>
      <c r="NW19" s="3"/>
      <c r="NX19" s="3"/>
      <c r="NY19" s="3"/>
      <c r="NZ19" s="3"/>
      <c r="OA19" s="3"/>
      <c r="OB19" s="3"/>
      <c r="OC19" s="3"/>
      <c r="OD19" s="3"/>
      <c r="OE19" s="3"/>
      <c r="OF19" s="3"/>
      <c r="OG19" s="3"/>
      <c r="OH19" s="3"/>
      <c r="OI19" s="3"/>
      <c r="OJ19" s="3"/>
      <c r="OK19" s="3"/>
      <c r="OL19" s="3"/>
      <c r="OM19" s="3"/>
      <c r="ON19" s="3"/>
      <c r="OO19" s="3"/>
      <c r="OP19" s="3"/>
      <c r="OQ19" s="3"/>
      <c r="OR19" s="3"/>
      <c r="OS19" s="3"/>
      <c r="OT19" s="3"/>
      <c r="OU19" s="3"/>
      <c r="OV19" s="3"/>
      <c r="OW19" s="3"/>
      <c r="OX19" s="3"/>
      <c r="OY19" s="3"/>
      <c r="OZ19" s="3"/>
      <c r="PA19" s="3"/>
      <c r="PB19" s="3"/>
      <c r="PC19" s="3"/>
      <c r="PD19" s="3"/>
      <c r="PE19" s="3"/>
      <c r="PF19" s="3"/>
      <c r="PG19" s="3"/>
      <c r="PH19" s="3"/>
      <c r="PI19" s="3"/>
      <c r="PJ19" s="3"/>
      <c r="PK19" s="3"/>
      <c r="PL19" s="3"/>
      <c r="PM19" s="3"/>
      <c r="PN19" s="3"/>
      <c r="PO19" s="3"/>
      <c r="PP19" s="3"/>
      <c r="PQ19" s="3"/>
      <c r="PR19" s="3"/>
      <c r="PS19" s="3"/>
      <c r="PT19" s="3"/>
      <c r="PU19" s="3"/>
      <c r="PV19" s="3"/>
      <c r="PW19" s="3"/>
      <c r="PX19" s="3"/>
      <c r="PY19" s="3"/>
      <c r="PZ19" s="3"/>
      <c r="QA19" s="3"/>
      <c r="QB19" s="3"/>
      <c r="QC19" s="3"/>
      <c r="QD19" s="3"/>
      <c r="QE19" s="3"/>
      <c r="QF19" s="3"/>
      <c r="QG19" s="3"/>
      <c r="QH19" s="3"/>
      <c r="QI19" s="3"/>
      <c r="QJ19" s="3"/>
      <c r="QK19" s="3"/>
      <c r="QL19" s="3"/>
      <c r="QM19" s="3"/>
      <c r="QN19" s="3"/>
      <c r="QO19" s="3"/>
      <c r="QP19" s="3"/>
      <c r="QQ19" s="3"/>
      <c r="QR19" s="3"/>
      <c r="QS19" s="3"/>
      <c r="QT19" s="3"/>
      <c r="QU19" s="3"/>
      <c r="QV19" s="3"/>
      <c r="QW19" s="3"/>
      <c r="QX19" s="3"/>
      <c r="QY19" s="3"/>
      <c r="QZ19" s="3"/>
      <c r="RA19" s="3"/>
      <c r="RB19" s="3"/>
      <c r="RC19" s="3"/>
      <c r="RD19" s="3"/>
      <c r="RE19" s="3"/>
      <c r="RF19" s="3"/>
      <c r="RG19" s="3"/>
      <c r="RH19" s="3"/>
      <c r="RI19" s="3"/>
      <c r="RJ19" s="3"/>
      <c r="RK19" s="3"/>
      <c r="RL19" s="3"/>
      <c r="RM19" s="3"/>
      <c r="RN19" s="3"/>
      <c r="RO19" s="3"/>
      <c r="RP19" s="3"/>
      <c r="RQ19" s="3"/>
      <c r="RR19" s="3"/>
      <c r="RS19" s="3"/>
      <c r="RT19" s="3"/>
      <c r="RU19" s="3"/>
      <c r="RV19" s="3"/>
      <c r="RW19" s="3"/>
      <c r="RX19" s="3"/>
      <c r="RY19" s="3"/>
      <c r="RZ19" s="3"/>
      <c r="SA19" s="3"/>
      <c r="SB19" s="3"/>
      <c r="SC19" s="3"/>
      <c r="SD19" s="3"/>
      <c r="SE19" s="3"/>
      <c r="SF19" s="3"/>
      <c r="SG19" s="3"/>
      <c r="SH19" s="3"/>
      <c r="SI19" s="3"/>
      <c r="SJ19" s="3"/>
      <c r="SK19" s="3"/>
      <c r="SL19" s="3"/>
      <c r="SM19" s="3"/>
      <c r="SN19" s="3"/>
      <c r="SO19" s="3"/>
      <c r="SP19" s="3"/>
      <c r="SQ19" s="3"/>
      <c r="SR19" s="3"/>
      <c r="SS19" s="3"/>
      <c r="ST19" s="3"/>
      <c r="SU19" s="3"/>
      <c r="SV19" s="3"/>
      <c r="SW19" s="3"/>
      <c r="SX19" s="3"/>
      <c r="SY19" s="3"/>
      <c r="SZ19" s="3"/>
      <c r="TA19" s="3"/>
      <c r="TB19" s="3"/>
      <c r="TC19" s="3"/>
      <c r="TD19" s="3"/>
      <c r="TE19" s="3"/>
      <c r="TF19" s="3"/>
      <c r="TG19" s="3"/>
      <c r="TH19" s="3"/>
      <c r="TI19" s="3"/>
      <c r="TJ19" s="3"/>
      <c r="TK19" s="3"/>
      <c r="TL19" s="3"/>
      <c r="TM19" s="3"/>
      <c r="TN19" s="3"/>
      <c r="TO19" s="3"/>
      <c r="TP19" s="3"/>
      <c r="TQ19" s="3"/>
      <c r="TR19" s="3"/>
      <c r="TS19" s="3"/>
      <c r="TT19" s="3"/>
      <c r="TU19" s="3"/>
      <c r="TV19" s="3"/>
      <c r="TW19" s="3"/>
      <c r="TX19" s="3"/>
      <c r="TY19" s="3"/>
      <c r="TZ19" s="3"/>
      <c r="UA19" s="3"/>
      <c r="UB19" s="3"/>
      <c r="UC19" s="3"/>
      <c r="UD19" s="3"/>
      <c r="UE19" s="3"/>
      <c r="UF19" s="3"/>
      <c r="UG19" s="3"/>
      <c r="UH19" s="3"/>
      <c r="UI19" s="3"/>
      <c r="UJ19" s="3"/>
      <c r="UK19" s="3"/>
      <c r="UL19" s="3"/>
      <c r="UM19" s="3"/>
      <c r="UN19" s="3"/>
      <c r="UO19" s="3"/>
      <c r="UP19" s="3"/>
      <c r="UQ19" s="3"/>
      <c r="UR19" s="3"/>
      <c r="US19" s="3"/>
      <c r="UT19" s="3"/>
      <c r="UU19" s="3"/>
      <c r="UV19" s="3"/>
      <c r="UW19" s="3"/>
      <c r="UX19" s="3"/>
      <c r="UY19" s="3"/>
      <c r="UZ19" s="3"/>
      <c r="VA19" s="3"/>
      <c r="VB19" s="3"/>
      <c r="VC19" s="3"/>
      <c r="VD19" s="3"/>
      <c r="VE19" s="3"/>
      <c r="VF19" s="3"/>
      <c r="VG19" s="3"/>
      <c r="VH19" s="3"/>
      <c r="VI19" s="3"/>
      <c r="VJ19" s="3"/>
      <c r="VK19" s="3"/>
      <c r="VL19" s="3"/>
      <c r="VM19" s="3"/>
      <c r="VN19" s="3"/>
      <c r="VO19" s="3"/>
      <c r="VP19" s="3"/>
      <c r="VQ19" s="3"/>
      <c r="VR19" s="3"/>
      <c r="VS19" s="3"/>
      <c r="VT19" s="3"/>
      <c r="VU19" s="3"/>
      <c r="VV19" s="3"/>
      <c r="VW19" s="3"/>
      <c r="VX19" s="3"/>
      <c r="VY19" s="3"/>
      <c r="VZ19" s="3"/>
      <c r="WA19" s="3"/>
      <c r="WB19" s="3"/>
      <c r="WC19" s="3"/>
      <c r="WD19" s="3"/>
      <c r="WE19" s="3"/>
      <c r="WF19" s="3"/>
      <c r="WG19" s="3"/>
      <c r="WH19" s="3"/>
      <c r="WI19" s="3"/>
      <c r="WJ19" s="3"/>
      <c r="WK19" s="3"/>
      <c r="WL19" s="3"/>
      <c r="WM19" s="3"/>
      <c r="WN19" s="3"/>
      <c r="WO19" s="3"/>
      <c r="WP19" s="3"/>
      <c r="WQ19" s="3"/>
      <c r="WR19" s="3"/>
      <c r="WS19" s="3"/>
      <c r="WT19" s="3"/>
      <c r="WU19" s="3"/>
      <c r="WV19" s="3"/>
      <c r="WW19" s="3"/>
      <c r="WX19" s="3"/>
      <c r="WY19" s="3"/>
      <c r="WZ19" s="3"/>
      <c r="XA19" s="3"/>
      <c r="XB19" s="3"/>
      <c r="XC19" s="3"/>
      <c r="XD19" s="3"/>
      <c r="XE19" s="3"/>
      <c r="XF19" s="3"/>
      <c r="XG19" s="3"/>
      <c r="XH19" s="3"/>
      <c r="XI19" s="3"/>
      <c r="XJ19" s="3"/>
      <c r="XK19" s="3"/>
      <c r="XL19" s="3"/>
      <c r="XM19" s="3"/>
      <c r="XN19" s="3"/>
      <c r="XO19" s="3"/>
      <c r="XP19" s="3"/>
      <c r="XQ19" s="3"/>
      <c r="XR19" s="3"/>
      <c r="XS19" s="3"/>
      <c r="XT19" s="3"/>
      <c r="XU19" s="3"/>
      <c r="XV19" s="3"/>
      <c r="XW19" s="3"/>
      <c r="XX19" s="3"/>
      <c r="XY19" s="3"/>
      <c r="XZ19" s="3"/>
      <c r="YA19" s="3"/>
      <c r="YB19" s="3"/>
      <c r="YC19" s="3"/>
      <c r="YD19" s="3"/>
      <c r="YE19" s="3"/>
      <c r="YF19" s="3"/>
      <c r="YG19" s="3"/>
      <c r="YH19" s="3"/>
      <c r="YI19" s="3"/>
      <c r="YJ19" s="3"/>
      <c r="YK19" s="3"/>
      <c r="YL19" s="3"/>
      <c r="YM19" s="3"/>
      <c r="YN19" s="3"/>
      <c r="YO19" s="3"/>
      <c r="YP19" s="3"/>
      <c r="YQ19" s="3"/>
      <c r="YR19" s="3"/>
      <c r="YS19" s="3"/>
      <c r="YT19" s="3"/>
      <c r="YU19" s="3"/>
      <c r="YV19" s="3"/>
      <c r="YW19" s="3"/>
      <c r="YX19" s="3"/>
      <c r="YY19" s="3"/>
      <c r="YZ19" s="3"/>
      <c r="ZA19" s="3"/>
      <c r="ZB19" s="3"/>
      <c r="ZC19" s="3"/>
    </row>
    <row r="20" spans="1:679" s="2" customFormat="1" x14ac:dyDescent="0.45">
      <c r="A20" s="3" t="s">
        <v>11</v>
      </c>
      <c r="B20" s="4">
        <v>29768</v>
      </c>
      <c r="C20" s="7" t="s">
        <v>21</v>
      </c>
      <c r="D20" s="6" t="s">
        <v>34</v>
      </c>
      <c r="E20" s="3"/>
      <c r="F20" s="3">
        <v>5</v>
      </c>
      <c r="L20" s="3"/>
      <c r="M20" s="3"/>
      <c r="N20" s="48"/>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c r="IF20" s="3"/>
      <c r="IG20" s="3"/>
      <c r="IH20" s="3"/>
      <c r="II20" s="3"/>
      <c r="IJ20" s="3"/>
      <c r="IK20" s="3"/>
      <c r="IL20" s="3"/>
      <c r="IM20" s="3"/>
      <c r="IN20" s="3"/>
      <c r="IO20" s="3"/>
      <c r="IP20" s="3"/>
      <c r="IQ20" s="3"/>
      <c r="IR20" s="3"/>
      <c r="IS20" s="3"/>
      <c r="IT20" s="3"/>
      <c r="IU20" s="3"/>
      <c r="IV20" s="3"/>
      <c r="IW20" s="3"/>
      <c r="IX20" s="3"/>
      <c r="IY20" s="3"/>
      <c r="IZ20" s="3"/>
      <c r="JA20" s="3"/>
      <c r="JB20" s="3"/>
      <c r="JC20" s="3"/>
      <c r="JD20" s="3"/>
      <c r="JE20" s="3"/>
      <c r="JF20" s="3"/>
      <c r="JG20" s="3"/>
      <c r="JH20" s="3"/>
      <c r="JI20" s="3"/>
      <c r="JJ20" s="3"/>
      <c r="JK20" s="3"/>
      <c r="JL20" s="3"/>
      <c r="JM20" s="3"/>
      <c r="JN20" s="3"/>
      <c r="JO20" s="3"/>
      <c r="JP20" s="3"/>
      <c r="JQ20" s="3"/>
      <c r="JR20" s="3"/>
      <c r="JS20" s="3"/>
      <c r="JT20" s="3"/>
      <c r="JU20" s="3"/>
      <c r="JV20" s="3"/>
      <c r="JW20" s="3"/>
      <c r="JX20" s="3"/>
      <c r="JY20" s="3"/>
      <c r="JZ20" s="3"/>
      <c r="KA20" s="3"/>
      <c r="KB20" s="3"/>
      <c r="KC20" s="3"/>
      <c r="KD20" s="3"/>
      <c r="KE20" s="3"/>
      <c r="KF20" s="3"/>
      <c r="KG20" s="3"/>
      <c r="KH20" s="3"/>
      <c r="KI20" s="3"/>
      <c r="KJ20" s="3"/>
      <c r="KK20" s="3"/>
      <c r="KL20" s="3"/>
      <c r="KM20" s="3"/>
      <c r="KN20" s="3"/>
      <c r="KO20" s="3"/>
      <c r="KP20" s="3"/>
      <c r="KQ20" s="3"/>
      <c r="KR20" s="3"/>
      <c r="KS20" s="3"/>
      <c r="KT20" s="3"/>
      <c r="KU20" s="3"/>
      <c r="KV20" s="3"/>
      <c r="KW20" s="3"/>
      <c r="KX20" s="3"/>
      <c r="KY20" s="3"/>
      <c r="KZ20" s="3"/>
      <c r="LA20" s="3"/>
      <c r="LB20" s="3"/>
      <c r="LC20" s="3"/>
      <c r="LD20" s="3"/>
      <c r="LE20" s="3"/>
      <c r="LF20" s="3"/>
      <c r="LG20" s="3"/>
      <c r="LH20" s="3"/>
      <c r="LI20" s="3"/>
      <c r="LJ20" s="3"/>
      <c r="LK20" s="3"/>
      <c r="LL20" s="3"/>
      <c r="LM20" s="3"/>
      <c r="LN20" s="3"/>
      <c r="LO20" s="3"/>
      <c r="LP20" s="3"/>
      <c r="LQ20" s="3"/>
      <c r="LR20" s="3"/>
      <c r="LS20" s="3"/>
      <c r="LT20" s="3"/>
      <c r="LU20" s="3"/>
      <c r="LV20" s="3"/>
      <c r="LW20" s="3"/>
      <c r="LX20" s="3"/>
      <c r="LY20" s="3"/>
      <c r="LZ20" s="3"/>
      <c r="MA20" s="3"/>
      <c r="MB20" s="3"/>
      <c r="MC20" s="3"/>
      <c r="MD20" s="3"/>
      <c r="ME20" s="3"/>
      <c r="MF20" s="3"/>
      <c r="MG20" s="3"/>
      <c r="MH20" s="3"/>
      <c r="MI20" s="3"/>
      <c r="MJ20" s="3"/>
      <c r="MK20" s="3"/>
      <c r="ML20" s="3"/>
      <c r="MM20" s="3"/>
      <c r="MN20" s="3"/>
      <c r="MO20" s="3"/>
      <c r="MP20" s="3"/>
      <c r="MQ20" s="3"/>
      <c r="MR20" s="3"/>
      <c r="MS20" s="3"/>
      <c r="MT20" s="3"/>
      <c r="MU20" s="3"/>
      <c r="MV20" s="3"/>
      <c r="MW20" s="3"/>
      <c r="MX20" s="3"/>
      <c r="MY20" s="3"/>
      <c r="MZ20" s="3"/>
      <c r="NA20" s="3"/>
      <c r="NB20" s="3"/>
      <c r="NC20" s="3"/>
      <c r="ND20" s="3"/>
      <c r="NE20" s="3"/>
      <c r="NF20" s="3"/>
      <c r="NG20" s="3"/>
      <c r="NH20" s="3"/>
      <c r="NI20" s="3"/>
      <c r="NJ20" s="3"/>
      <c r="NK20" s="3"/>
      <c r="NL20" s="3"/>
      <c r="NM20" s="3"/>
      <c r="NN20" s="3"/>
      <c r="NO20" s="3"/>
      <c r="NP20" s="3"/>
      <c r="NQ20" s="3"/>
      <c r="NR20" s="3"/>
      <c r="NS20" s="3"/>
      <c r="NT20" s="3"/>
      <c r="NU20" s="3"/>
      <c r="NV20" s="3"/>
      <c r="NW20" s="3"/>
      <c r="NX20" s="3"/>
      <c r="NY20" s="3"/>
      <c r="NZ20" s="3"/>
      <c r="OA20" s="3"/>
      <c r="OB20" s="3"/>
      <c r="OC20" s="3"/>
      <c r="OD20" s="3"/>
      <c r="OE20" s="3"/>
      <c r="OF20" s="3"/>
      <c r="OG20" s="3"/>
      <c r="OH20" s="3"/>
      <c r="OI20" s="3"/>
      <c r="OJ20" s="3"/>
      <c r="OK20" s="3"/>
      <c r="OL20" s="3"/>
      <c r="OM20" s="3"/>
      <c r="ON20" s="3"/>
      <c r="OO20" s="3"/>
      <c r="OP20" s="3"/>
      <c r="OQ20" s="3"/>
      <c r="OR20" s="3"/>
      <c r="OS20" s="3"/>
      <c r="OT20" s="3"/>
      <c r="OU20" s="3"/>
      <c r="OV20" s="3"/>
      <c r="OW20" s="3"/>
      <c r="OX20" s="3"/>
      <c r="OY20" s="3"/>
      <c r="OZ20" s="3"/>
      <c r="PA20" s="3"/>
      <c r="PB20" s="3"/>
      <c r="PC20" s="3"/>
      <c r="PD20" s="3"/>
      <c r="PE20" s="3"/>
      <c r="PF20" s="3"/>
      <c r="PG20" s="3"/>
      <c r="PH20" s="3"/>
      <c r="PI20" s="3"/>
      <c r="PJ20" s="3"/>
      <c r="PK20" s="3"/>
      <c r="PL20" s="3"/>
      <c r="PM20" s="3"/>
      <c r="PN20" s="3"/>
      <c r="PO20" s="3"/>
      <c r="PP20" s="3"/>
      <c r="PQ20" s="3"/>
      <c r="PR20" s="3"/>
      <c r="PS20" s="3"/>
      <c r="PT20" s="3"/>
      <c r="PU20" s="3"/>
      <c r="PV20" s="3"/>
      <c r="PW20" s="3"/>
      <c r="PX20" s="3"/>
      <c r="PY20" s="3"/>
      <c r="PZ20" s="3"/>
      <c r="QA20" s="3"/>
      <c r="QB20" s="3"/>
      <c r="QC20" s="3"/>
      <c r="QD20" s="3"/>
      <c r="QE20" s="3"/>
      <c r="QF20" s="3"/>
      <c r="QG20" s="3"/>
      <c r="QH20" s="3"/>
      <c r="QI20" s="3"/>
      <c r="QJ20" s="3"/>
      <c r="QK20" s="3"/>
      <c r="QL20" s="3"/>
      <c r="QM20" s="3"/>
      <c r="QN20" s="3"/>
      <c r="QO20" s="3"/>
      <c r="QP20" s="3"/>
      <c r="QQ20" s="3"/>
      <c r="QR20" s="3"/>
      <c r="QS20" s="3"/>
      <c r="QT20" s="3"/>
      <c r="QU20" s="3"/>
      <c r="QV20" s="3"/>
      <c r="QW20" s="3"/>
      <c r="QX20" s="3"/>
      <c r="QY20" s="3"/>
      <c r="QZ20" s="3"/>
      <c r="RA20" s="3"/>
      <c r="RB20" s="3"/>
      <c r="RC20" s="3"/>
      <c r="RD20" s="3"/>
      <c r="RE20" s="3"/>
      <c r="RF20" s="3"/>
      <c r="RG20" s="3"/>
      <c r="RH20" s="3"/>
      <c r="RI20" s="3"/>
      <c r="RJ20" s="3"/>
      <c r="RK20" s="3"/>
      <c r="RL20" s="3"/>
      <c r="RM20" s="3"/>
      <c r="RN20" s="3"/>
      <c r="RO20" s="3"/>
      <c r="RP20" s="3"/>
      <c r="RQ20" s="3"/>
      <c r="RR20" s="3"/>
      <c r="RS20" s="3"/>
      <c r="RT20" s="3"/>
      <c r="RU20" s="3"/>
      <c r="RV20" s="3"/>
      <c r="RW20" s="3"/>
      <c r="RX20" s="3"/>
      <c r="RY20" s="3"/>
      <c r="RZ20" s="3"/>
      <c r="SA20" s="3"/>
      <c r="SB20" s="3"/>
      <c r="SC20" s="3"/>
      <c r="SD20" s="3"/>
      <c r="SE20" s="3"/>
      <c r="SF20" s="3"/>
      <c r="SG20" s="3"/>
      <c r="SH20" s="3"/>
      <c r="SI20" s="3"/>
      <c r="SJ20" s="3"/>
      <c r="SK20" s="3"/>
      <c r="SL20" s="3"/>
      <c r="SM20" s="3"/>
      <c r="SN20" s="3"/>
      <c r="SO20" s="3"/>
      <c r="SP20" s="3"/>
      <c r="SQ20" s="3"/>
      <c r="SR20" s="3"/>
      <c r="SS20" s="3"/>
      <c r="ST20" s="3"/>
      <c r="SU20" s="3"/>
      <c r="SV20" s="3"/>
      <c r="SW20" s="3"/>
      <c r="SX20" s="3"/>
      <c r="SY20" s="3"/>
      <c r="SZ20" s="3"/>
      <c r="TA20" s="3"/>
      <c r="TB20" s="3"/>
      <c r="TC20" s="3"/>
      <c r="TD20" s="3"/>
      <c r="TE20" s="3"/>
      <c r="TF20" s="3"/>
      <c r="TG20" s="3"/>
      <c r="TH20" s="3"/>
      <c r="TI20" s="3"/>
      <c r="TJ20" s="3"/>
      <c r="TK20" s="3"/>
      <c r="TL20" s="3"/>
      <c r="TM20" s="3"/>
      <c r="TN20" s="3"/>
      <c r="TO20" s="3"/>
      <c r="TP20" s="3"/>
      <c r="TQ20" s="3"/>
      <c r="TR20" s="3"/>
      <c r="TS20" s="3"/>
      <c r="TT20" s="3"/>
      <c r="TU20" s="3"/>
      <c r="TV20" s="3"/>
      <c r="TW20" s="3"/>
      <c r="TX20" s="3"/>
      <c r="TY20" s="3"/>
      <c r="TZ20" s="3"/>
      <c r="UA20" s="3"/>
      <c r="UB20" s="3"/>
      <c r="UC20" s="3"/>
      <c r="UD20" s="3"/>
      <c r="UE20" s="3"/>
      <c r="UF20" s="3"/>
      <c r="UG20" s="3"/>
      <c r="UH20" s="3"/>
      <c r="UI20" s="3"/>
      <c r="UJ20" s="3"/>
      <c r="UK20" s="3"/>
      <c r="UL20" s="3"/>
      <c r="UM20" s="3"/>
      <c r="UN20" s="3"/>
      <c r="UO20" s="3"/>
      <c r="UP20" s="3"/>
      <c r="UQ20" s="3"/>
      <c r="UR20" s="3"/>
      <c r="US20" s="3"/>
      <c r="UT20" s="3"/>
      <c r="UU20" s="3"/>
      <c r="UV20" s="3"/>
      <c r="UW20" s="3"/>
      <c r="UX20" s="3"/>
      <c r="UY20" s="3"/>
      <c r="UZ20" s="3"/>
      <c r="VA20" s="3"/>
      <c r="VB20" s="3"/>
      <c r="VC20" s="3"/>
      <c r="VD20" s="3"/>
      <c r="VE20" s="3"/>
      <c r="VF20" s="3"/>
      <c r="VG20" s="3"/>
      <c r="VH20" s="3"/>
      <c r="VI20" s="3"/>
      <c r="VJ20" s="3"/>
      <c r="VK20" s="3"/>
      <c r="VL20" s="3"/>
      <c r="VM20" s="3"/>
      <c r="VN20" s="3"/>
      <c r="VO20" s="3"/>
      <c r="VP20" s="3"/>
      <c r="VQ20" s="3"/>
      <c r="VR20" s="3"/>
      <c r="VS20" s="3"/>
      <c r="VT20" s="3"/>
      <c r="VU20" s="3"/>
      <c r="VV20" s="3"/>
      <c r="VW20" s="3"/>
      <c r="VX20" s="3"/>
      <c r="VY20" s="3"/>
      <c r="VZ20" s="3"/>
      <c r="WA20" s="3"/>
      <c r="WB20" s="3"/>
      <c r="WC20" s="3"/>
      <c r="WD20" s="3"/>
      <c r="WE20" s="3"/>
      <c r="WF20" s="3"/>
      <c r="WG20" s="3"/>
      <c r="WH20" s="3"/>
      <c r="WI20" s="3"/>
      <c r="WJ20" s="3"/>
      <c r="WK20" s="3"/>
      <c r="WL20" s="3"/>
      <c r="WM20" s="3"/>
      <c r="WN20" s="3"/>
      <c r="WO20" s="3"/>
      <c r="WP20" s="3"/>
      <c r="WQ20" s="3"/>
      <c r="WR20" s="3"/>
      <c r="WS20" s="3"/>
      <c r="WT20" s="3"/>
      <c r="WU20" s="3"/>
      <c r="WV20" s="3"/>
      <c r="WW20" s="3"/>
      <c r="WX20" s="3"/>
      <c r="WY20" s="3"/>
      <c r="WZ20" s="3"/>
      <c r="XA20" s="3"/>
      <c r="XB20" s="3"/>
      <c r="XC20" s="3"/>
      <c r="XD20" s="3"/>
      <c r="XE20" s="3"/>
      <c r="XF20" s="3"/>
      <c r="XG20" s="3"/>
      <c r="XH20" s="3"/>
      <c r="XI20" s="3"/>
      <c r="XJ20" s="3"/>
      <c r="XK20" s="3"/>
      <c r="XL20" s="3"/>
      <c r="XM20" s="3"/>
      <c r="XN20" s="3"/>
      <c r="XO20" s="3"/>
      <c r="XP20" s="3"/>
      <c r="XQ20" s="3"/>
      <c r="XR20" s="3"/>
      <c r="XS20" s="3"/>
      <c r="XT20" s="3"/>
      <c r="XU20" s="3"/>
      <c r="XV20" s="3"/>
      <c r="XW20" s="3"/>
      <c r="XX20" s="3"/>
      <c r="XY20" s="3"/>
      <c r="XZ20" s="3"/>
      <c r="YA20" s="3"/>
      <c r="YB20" s="3"/>
      <c r="YC20" s="3"/>
      <c r="YD20" s="3"/>
      <c r="YE20" s="3"/>
      <c r="YF20" s="3"/>
      <c r="YG20" s="3"/>
      <c r="YH20" s="3"/>
      <c r="YI20" s="3"/>
      <c r="YJ20" s="3"/>
      <c r="YK20" s="3"/>
      <c r="YL20" s="3"/>
      <c r="YM20" s="3"/>
      <c r="YN20" s="3"/>
      <c r="YO20" s="3"/>
      <c r="YP20" s="3"/>
      <c r="YQ20" s="3"/>
      <c r="YR20" s="3"/>
      <c r="YS20" s="3"/>
      <c r="YT20" s="3"/>
      <c r="YU20" s="3"/>
      <c r="YV20" s="3"/>
      <c r="YW20" s="3"/>
      <c r="YX20" s="3"/>
      <c r="YY20" s="3"/>
      <c r="YZ20" s="3"/>
      <c r="ZA20" s="3"/>
      <c r="ZB20" s="3"/>
      <c r="ZC20" s="3"/>
    </row>
    <row r="21" spans="1:679" s="2" customFormat="1" x14ac:dyDescent="0.45">
      <c r="A21" s="3" t="s">
        <v>11</v>
      </c>
      <c r="B21" s="4">
        <v>29817</v>
      </c>
      <c r="C21" s="7" t="s">
        <v>21</v>
      </c>
      <c r="D21" s="6" t="s">
        <v>35</v>
      </c>
      <c r="E21" s="3"/>
      <c r="F21" s="3">
        <v>2</v>
      </c>
      <c r="L21" s="3"/>
      <c r="M21" s="3"/>
      <c r="N21" s="48"/>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c r="IJ21" s="3"/>
      <c r="IK21" s="3"/>
      <c r="IL21" s="3"/>
      <c r="IM21" s="3"/>
      <c r="IN21" s="3"/>
      <c r="IO21" s="3"/>
      <c r="IP21" s="3"/>
      <c r="IQ21" s="3"/>
      <c r="IR21" s="3"/>
      <c r="IS21" s="3"/>
      <c r="IT21" s="3"/>
      <c r="IU21" s="3"/>
      <c r="IV21" s="3"/>
      <c r="IW21" s="3"/>
      <c r="IX21" s="3"/>
      <c r="IY21" s="3"/>
      <c r="IZ21" s="3"/>
      <c r="JA21" s="3"/>
      <c r="JB21" s="3"/>
      <c r="JC21" s="3"/>
      <c r="JD21" s="3"/>
      <c r="JE21" s="3"/>
      <c r="JF21" s="3"/>
      <c r="JG21" s="3"/>
      <c r="JH21" s="3"/>
      <c r="JI21" s="3"/>
      <c r="JJ21" s="3"/>
      <c r="JK21" s="3"/>
      <c r="JL21" s="3"/>
      <c r="JM21" s="3"/>
      <c r="JN21" s="3"/>
      <c r="JO21" s="3"/>
      <c r="JP21" s="3"/>
      <c r="JQ21" s="3"/>
      <c r="JR21" s="3"/>
      <c r="JS21" s="3"/>
      <c r="JT21" s="3"/>
      <c r="JU21" s="3"/>
      <c r="JV21" s="3"/>
      <c r="JW21" s="3"/>
      <c r="JX21" s="3"/>
      <c r="JY21" s="3"/>
      <c r="JZ21" s="3"/>
      <c r="KA21" s="3"/>
      <c r="KB21" s="3"/>
      <c r="KC21" s="3"/>
      <c r="KD21" s="3"/>
      <c r="KE21" s="3"/>
      <c r="KF21" s="3"/>
      <c r="KG21" s="3"/>
      <c r="KH21" s="3"/>
      <c r="KI21" s="3"/>
      <c r="KJ21" s="3"/>
      <c r="KK21" s="3"/>
      <c r="KL21" s="3"/>
      <c r="KM21" s="3"/>
      <c r="KN21" s="3"/>
      <c r="KO21" s="3"/>
      <c r="KP21" s="3"/>
      <c r="KQ21" s="3"/>
      <c r="KR21" s="3"/>
      <c r="KS21" s="3"/>
      <c r="KT21" s="3"/>
      <c r="KU21" s="3"/>
      <c r="KV21" s="3"/>
      <c r="KW21" s="3"/>
      <c r="KX21" s="3"/>
      <c r="KY21" s="3"/>
      <c r="KZ21" s="3"/>
      <c r="LA21" s="3"/>
      <c r="LB21" s="3"/>
      <c r="LC21" s="3"/>
      <c r="LD21" s="3"/>
      <c r="LE21" s="3"/>
      <c r="LF21" s="3"/>
      <c r="LG21" s="3"/>
      <c r="LH21" s="3"/>
      <c r="LI21" s="3"/>
      <c r="LJ21" s="3"/>
      <c r="LK21" s="3"/>
      <c r="LL21" s="3"/>
      <c r="LM21" s="3"/>
      <c r="LN21" s="3"/>
      <c r="LO21" s="3"/>
      <c r="LP21" s="3"/>
      <c r="LQ21" s="3"/>
      <c r="LR21" s="3"/>
      <c r="LS21" s="3"/>
      <c r="LT21" s="3"/>
      <c r="LU21" s="3"/>
      <c r="LV21" s="3"/>
      <c r="LW21" s="3"/>
      <c r="LX21" s="3"/>
      <c r="LY21" s="3"/>
      <c r="LZ21" s="3"/>
      <c r="MA21" s="3"/>
      <c r="MB21" s="3"/>
      <c r="MC21" s="3"/>
      <c r="MD21" s="3"/>
      <c r="ME21" s="3"/>
      <c r="MF21" s="3"/>
      <c r="MG21" s="3"/>
      <c r="MH21" s="3"/>
      <c r="MI21" s="3"/>
      <c r="MJ21" s="3"/>
      <c r="MK21" s="3"/>
      <c r="ML21" s="3"/>
      <c r="MM21" s="3"/>
      <c r="MN21" s="3"/>
      <c r="MO21" s="3"/>
      <c r="MP21" s="3"/>
      <c r="MQ21" s="3"/>
      <c r="MR21" s="3"/>
      <c r="MS21" s="3"/>
      <c r="MT21" s="3"/>
      <c r="MU21" s="3"/>
      <c r="MV21" s="3"/>
      <c r="MW21" s="3"/>
      <c r="MX21" s="3"/>
      <c r="MY21" s="3"/>
      <c r="MZ21" s="3"/>
      <c r="NA21" s="3"/>
      <c r="NB21" s="3"/>
      <c r="NC21" s="3"/>
      <c r="ND21" s="3"/>
      <c r="NE21" s="3"/>
      <c r="NF21" s="3"/>
      <c r="NG21" s="3"/>
      <c r="NH21" s="3"/>
      <c r="NI21" s="3"/>
      <c r="NJ21" s="3"/>
      <c r="NK21" s="3"/>
      <c r="NL21" s="3"/>
      <c r="NM21" s="3"/>
      <c r="NN21" s="3"/>
      <c r="NO21" s="3"/>
      <c r="NP21" s="3"/>
      <c r="NQ21" s="3"/>
      <c r="NR21" s="3"/>
      <c r="NS21" s="3"/>
      <c r="NT21" s="3"/>
      <c r="NU21" s="3"/>
      <c r="NV21" s="3"/>
      <c r="NW21" s="3"/>
      <c r="NX21" s="3"/>
      <c r="NY21" s="3"/>
      <c r="NZ21" s="3"/>
      <c r="OA21" s="3"/>
      <c r="OB21" s="3"/>
      <c r="OC21" s="3"/>
      <c r="OD21" s="3"/>
      <c r="OE21" s="3"/>
      <c r="OF21" s="3"/>
      <c r="OG21" s="3"/>
      <c r="OH21" s="3"/>
      <c r="OI21" s="3"/>
      <c r="OJ21" s="3"/>
      <c r="OK21" s="3"/>
      <c r="OL21" s="3"/>
      <c r="OM21" s="3"/>
      <c r="ON21" s="3"/>
      <c r="OO21" s="3"/>
      <c r="OP21" s="3"/>
      <c r="OQ21" s="3"/>
      <c r="OR21" s="3"/>
      <c r="OS21" s="3"/>
      <c r="OT21" s="3"/>
      <c r="OU21" s="3"/>
      <c r="OV21" s="3"/>
      <c r="OW21" s="3"/>
      <c r="OX21" s="3"/>
      <c r="OY21" s="3"/>
      <c r="OZ21" s="3"/>
      <c r="PA21" s="3"/>
      <c r="PB21" s="3"/>
      <c r="PC21" s="3"/>
      <c r="PD21" s="3"/>
      <c r="PE21" s="3"/>
      <c r="PF21" s="3"/>
      <c r="PG21" s="3"/>
      <c r="PH21" s="3"/>
      <c r="PI21" s="3"/>
      <c r="PJ21" s="3"/>
      <c r="PK21" s="3"/>
      <c r="PL21" s="3"/>
      <c r="PM21" s="3"/>
      <c r="PN21" s="3"/>
      <c r="PO21" s="3"/>
      <c r="PP21" s="3"/>
      <c r="PQ21" s="3"/>
      <c r="PR21" s="3"/>
      <c r="PS21" s="3"/>
      <c r="PT21" s="3"/>
      <c r="PU21" s="3"/>
      <c r="PV21" s="3"/>
      <c r="PW21" s="3"/>
      <c r="PX21" s="3"/>
      <c r="PY21" s="3"/>
      <c r="PZ21" s="3"/>
      <c r="QA21" s="3"/>
      <c r="QB21" s="3"/>
      <c r="QC21" s="3"/>
      <c r="QD21" s="3"/>
      <c r="QE21" s="3"/>
      <c r="QF21" s="3"/>
      <c r="QG21" s="3"/>
      <c r="QH21" s="3"/>
      <c r="QI21" s="3"/>
      <c r="QJ21" s="3"/>
      <c r="QK21" s="3"/>
      <c r="QL21" s="3"/>
      <c r="QM21" s="3"/>
      <c r="QN21" s="3"/>
      <c r="QO21" s="3"/>
      <c r="QP21" s="3"/>
      <c r="QQ21" s="3"/>
      <c r="QR21" s="3"/>
      <c r="QS21" s="3"/>
      <c r="QT21" s="3"/>
      <c r="QU21" s="3"/>
      <c r="QV21" s="3"/>
      <c r="QW21" s="3"/>
      <c r="QX21" s="3"/>
      <c r="QY21" s="3"/>
      <c r="QZ21" s="3"/>
      <c r="RA21" s="3"/>
      <c r="RB21" s="3"/>
      <c r="RC21" s="3"/>
      <c r="RD21" s="3"/>
      <c r="RE21" s="3"/>
      <c r="RF21" s="3"/>
      <c r="RG21" s="3"/>
      <c r="RH21" s="3"/>
      <c r="RI21" s="3"/>
      <c r="RJ21" s="3"/>
      <c r="RK21" s="3"/>
      <c r="RL21" s="3"/>
      <c r="RM21" s="3"/>
      <c r="RN21" s="3"/>
      <c r="RO21" s="3"/>
      <c r="RP21" s="3"/>
      <c r="RQ21" s="3"/>
      <c r="RR21" s="3"/>
      <c r="RS21" s="3"/>
      <c r="RT21" s="3"/>
      <c r="RU21" s="3"/>
      <c r="RV21" s="3"/>
      <c r="RW21" s="3"/>
      <c r="RX21" s="3"/>
      <c r="RY21" s="3"/>
      <c r="RZ21" s="3"/>
      <c r="SA21" s="3"/>
      <c r="SB21" s="3"/>
      <c r="SC21" s="3"/>
      <c r="SD21" s="3"/>
      <c r="SE21" s="3"/>
      <c r="SF21" s="3"/>
      <c r="SG21" s="3"/>
      <c r="SH21" s="3"/>
      <c r="SI21" s="3"/>
      <c r="SJ21" s="3"/>
      <c r="SK21" s="3"/>
      <c r="SL21" s="3"/>
      <c r="SM21" s="3"/>
      <c r="SN21" s="3"/>
      <c r="SO21" s="3"/>
      <c r="SP21" s="3"/>
      <c r="SQ21" s="3"/>
      <c r="SR21" s="3"/>
      <c r="SS21" s="3"/>
      <c r="ST21" s="3"/>
      <c r="SU21" s="3"/>
      <c r="SV21" s="3"/>
      <c r="SW21" s="3"/>
      <c r="SX21" s="3"/>
      <c r="SY21" s="3"/>
      <c r="SZ21" s="3"/>
      <c r="TA21" s="3"/>
      <c r="TB21" s="3"/>
      <c r="TC21" s="3"/>
      <c r="TD21" s="3"/>
      <c r="TE21" s="3"/>
      <c r="TF21" s="3"/>
      <c r="TG21" s="3"/>
      <c r="TH21" s="3"/>
      <c r="TI21" s="3"/>
      <c r="TJ21" s="3"/>
      <c r="TK21" s="3"/>
      <c r="TL21" s="3"/>
      <c r="TM21" s="3"/>
      <c r="TN21" s="3"/>
      <c r="TO21" s="3"/>
      <c r="TP21" s="3"/>
      <c r="TQ21" s="3"/>
      <c r="TR21" s="3"/>
      <c r="TS21" s="3"/>
      <c r="TT21" s="3"/>
      <c r="TU21" s="3"/>
      <c r="TV21" s="3"/>
      <c r="TW21" s="3"/>
      <c r="TX21" s="3"/>
      <c r="TY21" s="3"/>
      <c r="TZ21" s="3"/>
      <c r="UA21" s="3"/>
      <c r="UB21" s="3"/>
      <c r="UC21" s="3"/>
      <c r="UD21" s="3"/>
      <c r="UE21" s="3"/>
      <c r="UF21" s="3"/>
      <c r="UG21" s="3"/>
      <c r="UH21" s="3"/>
      <c r="UI21" s="3"/>
      <c r="UJ21" s="3"/>
      <c r="UK21" s="3"/>
      <c r="UL21" s="3"/>
      <c r="UM21" s="3"/>
      <c r="UN21" s="3"/>
      <c r="UO21" s="3"/>
      <c r="UP21" s="3"/>
      <c r="UQ21" s="3"/>
      <c r="UR21" s="3"/>
      <c r="US21" s="3"/>
      <c r="UT21" s="3"/>
      <c r="UU21" s="3"/>
      <c r="UV21" s="3"/>
      <c r="UW21" s="3"/>
      <c r="UX21" s="3"/>
      <c r="UY21" s="3"/>
      <c r="UZ21" s="3"/>
      <c r="VA21" s="3"/>
      <c r="VB21" s="3"/>
      <c r="VC21" s="3"/>
      <c r="VD21" s="3"/>
      <c r="VE21" s="3"/>
      <c r="VF21" s="3"/>
      <c r="VG21" s="3"/>
      <c r="VH21" s="3"/>
      <c r="VI21" s="3"/>
      <c r="VJ21" s="3"/>
      <c r="VK21" s="3"/>
      <c r="VL21" s="3"/>
      <c r="VM21" s="3"/>
      <c r="VN21" s="3"/>
      <c r="VO21" s="3"/>
      <c r="VP21" s="3"/>
      <c r="VQ21" s="3"/>
      <c r="VR21" s="3"/>
      <c r="VS21" s="3"/>
      <c r="VT21" s="3"/>
      <c r="VU21" s="3"/>
      <c r="VV21" s="3"/>
      <c r="VW21" s="3"/>
      <c r="VX21" s="3"/>
      <c r="VY21" s="3"/>
      <c r="VZ21" s="3"/>
      <c r="WA21" s="3"/>
      <c r="WB21" s="3"/>
      <c r="WC21" s="3"/>
      <c r="WD21" s="3"/>
      <c r="WE21" s="3"/>
      <c r="WF21" s="3"/>
      <c r="WG21" s="3"/>
      <c r="WH21" s="3"/>
      <c r="WI21" s="3"/>
      <c r="WJ21" s="3"/>
      <c r="WK21" s="3"/>
      <c r="WL21" s="3"/>
      <c r="WM21" s="3"/>
      <c r="WN21" s="3"/>
      <c r="WO21" s="3"/>
      <c r="WP21" s="3"/>
      <c r="WQ21" s="3"/>
      <c r="WR21" s="3"/>
      <c r="WS21" s="3"/>
      <c r="WT21" s="3"/>
      <c r="WU21" s="3"/>
      <c r="WV21" s="3"/>
      <c r="WW21" s="3"/>
      <c r="WX21" s="3"/>
      <c r="WY21" s="3"/>
      <c r="WZ21" s="3"/>
      <c r="XA21" s="3"/>
      <c r="XB21" s="3"/>
      <c r="XC21" s="3"/>
      <c r="XD21" s="3"/>
      <c r="XE21" s="3"/>
      <c r="XF21" s="3"/>
      <c r="XG21" s="3"/>
      <c r="XH21" s="3"/>
      <c r="XI21" s="3"/>
      <c r="XJ21" s="3"/>
      <c r="XK21" s="3"/>
      <c r="XL21" s="3"/>
      <c r="XM21" s="3"/>
      <c r="XN21" s="3"/>
      <c r="XO21" s="3"/>
      <c r="XP21" s="3"/>
      <c r="XQ21" s="3"/>
      <c r="XR21" s="3"/>
      <c r="XS21" s="3"/>
      <c r="XT21" s="3"/>
      <c r="XU21" s="3"/>
      <c r="XV21" s="3"/>
      <c r="XW21" s="3"/>
      <c r="XX21" s="3"/>
      <c r="XY21" s="3"/>
      <c r="XZ21" s="3"/>
      <c r="YA21" s="3"/>
      <c r="YB21" s="3"/>
      <c r="YC21" s="3"/>
      <c r="YD21" s="3"/>
      <c r="YE21" s="3"/>
      <c r="YF21" s="3"/>
      <c r="YG21" s="3"/>
      <c r="YH21" s="3"/>
      <c r="YI21" s="3"/>
      <c r="YJ21" s="3"/>
      <c r="YK21" s="3"/>
      <c r="YL21" s="3"/>
      <c r="YM21" s="3"/>
      <c r="YN21" s="3"/>
      <c r="YO21" s="3"/>
      <c r="YP21" s="3"/>
      <c r="YQ21" s="3"/>
      <c r="YR21" s="3"/>
      <c r="YS21" s="3"/>
      <c r="YT21" s="3"/>
      <c r="YU21" s="3"/>
      <c r="YV21" s="3"/>
      <c r="YW21" s="3"/>
      <c r="YX21" s="3"/>
      <c r="YY21" s="3"/>
      <c r="YZ21" s="3"/>
      <c r="ZA21" s="3"/>
      <c r="ZB21" s="3"/>
      <c r="ZC21" s="3"/>
    </row>
    <row r="22" spans="1:679" s="2" customFormat="1" x14ac:dyDescent="0.45">
      <c r="A22" s="3" t="s">
        <v>11</v>
      </c>
      <c r="B22" s="4">
        <v>29962</v>
      </c>
      <c r="C22" s="7" t="s">
        <v>21</v>
      </c>
      <c r="D22" s="6" t="s">
        <v>36</v>
      </c>
      <c r="E22" s="3"/>
      <c r="F22" s="3">
        <v>2</v>
      </c>
      <c r="L22" s="3"/>
      <c r="M22" s="3"/>
      <c r="N22" s="48"/>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c r="IV22" s="3"/>
      <c r="IW22" s="3"/>
      <c r="IX22" s="3"/>
      <c r="IY22" s="3"/>
      <c r="IZ22" s="3"/>
      <c r="JA22" s="3"/>
      <c r="JB22" s="3"/>
      <c r="JC22" s="3"/>
      <c r="JD22" s="3"/>
      <c r="JE22" s="3"/>
      <c r="JF22" s="3"/>
      <c r="JG22" s="3"/>
      <c r="JH22" s="3"/>
      <c r="JI22" s="3"/>
      <c r="JJ22" s="3"/>
      <c r="JK22" s="3"/>
      <c r="JL22" s="3"/>
      <c r="JM22" s="3"/>
      <c r="JN22" s="3"/>
      <c r="JO22" s="3"/>
      <c r="JP22" s="3"/>
      <c r="JQ22" s="3"/>
      <c r="JR22" s="3"/>
      <c r="JS22" s="3"/>
      <c r="JT22" s="3"/>
      <c r="JU22" s="3"/>
      <c r="JV22" s="3"/>
      <c r="JW22" s="3"/>
      <c r="JX22" s="3"/>
      <c r="JY22" s="3"/>
      <c r="JZ22" s="3"/>
      <c r="KA22" s="3"/>
      <c r="KB22" s="3"/>
      <c r="KC22" s="3"/>
      <c r="KD22" s="3"/>
      <c r="KE22" s="3"/>
      <c r="KF22" s="3"/>
      <c r="KG22" s="3"/>
      <c r="KH22" s="3"/>
      <c r="KI22" s="3"/>
      <c r="KJ22" s="3"/>
      <c r="KK22" s="3"/>
      <c r="KL22" s="3"/>
      <c r="KM22" s="3"/>
      <c r="KN22" s="3"/>
      <c r="KO22" s="3"/>
      <c r="KP22" s="3"/>
      <c r="KQ22" s="3"/>
      <c r="KR22" s="3"/>
      <c r="KS22" s="3"/>
      <c r="KT22" s="3"/>
      <c r="KU22" s="3"/>
      <c r="KV22" s="3"/>
      <c r="KW22" s="3"/>
      <c r="KX22" s="3"/>
      <c r="KY22" s="3"/>
      <c r="KZ22" s="3"/>
      <c r="LA22" s="3"/>
      <c r="LB22" s="3"/>
      <c r="LC22" s="3"/>
      <c r="LD22" s="3"/>
      <c r="LE22" s="3"/>
      <c r="LF22" s="3"/>
      <c r="LG22" s="3"/>
      <c r="LH22" s="3"/>
      <c r="LI22" s="3"/>
      <c r="LJ22" s="3"/>
      <c r="LK22" s="3"/>
      <c r="LL22" s="3"/>
      <c r="LM22" s="3"/>
      <c r="LN22" s="3"/>
      <c r="LO22" s="3"/>
      <c r="LP22" s="3"/>
      <c r="LQ22" s="3"/>
      <c r="LR22" s="3"/>
      <c r="LS22" s="3"/>
      <c r="LT22" s="3"/>
      <c r="LU22" s="3"/>
      <c r="LV22" s="3"/>
      <c r="LW22" s="3"/>
      <c r="LX22" s="3"/>
      <c r="LY22" s="3"/>
      <c r="LZ22" s="3"/>
      <c r="MA22" s="3"/>
      <c r="MB22" s="3"/>
      <c r="MC22" s="3"/>
      <c r="MD22" s="3"/>
      <c r="ME22" s="3"/>
      <c r="MF22" s="3"/>
      <c r="MG22" s="3"/>
      <c r="MH22" s="3"/>
      <c r="MI22" s="3"/>
      <c r="MJ22" s="3"/>
      <c r="MK22" s="3"/>
      <c r="ML22" s="3"/>
      <c r="MM22" s="3"/>
      <c r="MN22" s="3"/>
      <c r="MO22" s="3"/>
      <c r="MP22" s="3"/>
      <c r="MQ22" s="3"/>
      <c r="MR22" s="3"/>
      <c r="MS22" s="3"/>
      <c r="MT22" s="3"/>
      <c r="MU22" s="3"/>
      <c r="MV22" s="3"/>
      <c r="MW22" s="3"/>
      <c r="MX22" s="3"/>
      <c r="MY22" s="3"/>
      <c r="MZ22" s="3"/>
      <c r="NA22" s="3"/>
      <c r="NB22" s="3"/>
      <c r="NC22" s="3"/>
      <c r="ND22" s="3"/>
      <c r="NE22" s="3"/>
      <c r="NF22" s="3"/>
      <c r="NG22" s="3"/>
      <c r="NH22" s="3"/>
      <c r="NI22" s="3"/>
      <c r="NJ22" s="3"/>
      <c r="NK22" s="3"/>
      <c r="NL22" s="3"/>
      <c r="NM22" s="3"/>
      <c r="NN22" s="3"/>
      <c r="NO22" s="3"/>
      <c r="NP22" s="3"/>
      <c r="NQ22" s="3"/>
      <c r="NR22" s="3"/>
      <c r="NS22" s="3"/>
      <c r="NT22" s="3"/>
      <c r="NU22" s="3"/>
      <c r="NV22" s="3"/>
      <c r="NW22" s="3"/>
      <c r="NX22" s="3"/>
      <c r="NY22" s="3"/>
      <c r="NZ22" s="3"/>
      <c r="OA22" s="3"/>
      <c r="OB22" s="3"/>
      <c r="OC22" s="3"/>
      <c r="OD22" s="3"/>
      <c r="OE22" s="3"/>
      <c r="OF22" s="3"/>
      <c r="OG22" s="3"/>
      <c r="OH22" s="3"/>
      <c r="OI22" s="3"/>
      <c r="OJ22" s="3"/>
      <c r="OK22" s="3"/>
      <c r="OL22" s="3"/>
      <c r="OM22" s="3"/>
      <c r="ON22" s="3"/>
      <c r="OO22" s="3"/>
      <c r="OP22" s="3"/>
      <c r="OQ22" s="3"/>
      <c r="OR22" s="3"/>
      <c r="OS22" s="3"/>
      <c r="OT22" s="3"/>
      <c r="OU22" s="3"/>
      <c r="OV22" s="3"/>
      <c r="OW22" s="3"/>
      <c r="OX22" s="3"/>
      <c r="OY22" s="3"/>
      <c r="OZ22" s="3"/>
      <c r="PA22" s="3"/>
      <c r="PB22" s="3"/>
      <c r="PC22" s="3"/>
      <c r="PD22" s="3"/>
      <c r="PE22" s="3"/>
      <c r="PF22" s="3"/>
      <c r="PG22" s="3"/>
      <c r="PH22" s="3"/>
      <c r="PI22" s="3"/>
      <c r="PJ22" s="3"/>
      <c r="PK22" s="3"/>
      <c r="PL22" s="3"/>
      <c r="PM22" s="3"/>
      <c r="PN22" s="3"/>
      <c r="PO22" s="3"/>
      <c r="PP22" s="3"/>
      <c r="PQ22" s="3"/>
      <c r="PR22" s="3"/>
      <c r="PS22" s="3"/>
      <c r="PT22" s="3"/>
      <c r="PU22" s="3"/>
      <c r="PV22" s="3"/>
      <c r="PW22" s="3"/>
      <c r="PX22" s="3"/>
      <c r="PY22" s="3"/>
      <c r="PZ22" s="3"/>
      <c r="QA22" s="3"/>
      <c r="QB22" s="3"/>
      <c r="QC22" s="3"/>
      <c r="QD22" s="3"/>
      <c r="QE22" s="3"/>
      <c r="QF22" s="3"/>
      <c r="QG22" s="3"/>
      <c r="QH22" s="3"/>
      <c r="QI22" s="3"/>
      <c r="QJ22" s="3"/>
      <c r="QK22" s="3"/>
      <c r="QL22" s="3"/>
      <c r="QM22" s="3"/>
      <c r="QN22" s="3"/>
      <c r="QO22" s="3"/>
      <c r="QP22" s="3"/>
      <c r="QQ22" s="3"/>
      <c r="QR22" s="3"/>
      <c r="QS22" s="3"/>
      <c r="QT22" s="3"/>
      <c r="QU22" s="3"/>
      <c r="QV22" s="3"/>
      <c r="QW22" s="3"/>
      <c r="QX22" s="3"/>
      <c r="QY22" s="3"/>
      <c r="QZ22" s="3"/>
      <c r="RA22" s="3"/>
      <c r="RB22" s="3"/>
      <c r="RC22" s="3"/>
      <c r="RD22" s="3"/>
      <c r="RE22" s="3"/>
      <c r="RF22" s="3"/>
      <c r="RG22" s="3"/>
      <c r="RH22" s="3"/>
      <c r="RI22" s="3"/>
      <c r="RJ22" s="3"/>
      <c r="RK22" s="3"/>
      <c r="RL22" s="3"/>
      <c r="RM22" s="3"/>
      <c r="RN22" s="3"/>
      <c r="RO22" s="3"/>
      <c r="RP22" s="3"/>
      <c r="RQ22" s="3"/>
      <c r="RR22" s="3"/>
      <c r="RS22" s="3"/>
      <c r="RT22" s="3"/>
      <c r="RU22" s="3"/>
      <c r="RV22" s="3"/>
      <c r="RW22" s="3"/>
      <c r="RX22" s="3"/>
      <c r="RY22" s="3"/>
      <c r="RZ22" s="3"/>
      <c r="SA22" s="3"/>
      <c r="SB22" s="3"/>
      <c r="SC22" s="3"/>
      <c r="SD22" s="3"/>
      <c r="SE22" s="3"/>
      <c r="SF22" s="3"/>
      <c r="SG22" s="3"/>
      <c r="SH22" s="3"/>
      <c r="SI22" s="3"/>
      <c r="SJ22" s="3"/>
      <c r="SK22" s="3"/>
      <c r="SL22" s="3"/>
      <c r="SM22" s="3"/>
      <c r="SN22" s="3"/>
      <c r="SO22" s="3"/>
      <c r="SP22" s="3"/>
      <c r="SQ22" s="3"/>
      <c r="SR22" s="3"/>
      <c r="SS22" s="3"/>
      <c r="ST22" s="3"/>
      <c r="SU22" s="3"/>
      <c r="SV22" s="3"/>
      <c r="SW22" s="3"/>
      <c r="SX22" s="3"/>
      <c r="SY22" s="3"/>
      <c r="SZ22" s="3"/>
      <c r="TA22" s="3"/>
      <c r="TB22" s="3"/>
      <c r="TC22" s="3"/>
      <c r="TD22" s="3"/>
      <c r="TE22" s="3"/>
      <c r="TF22" s="3"/>
      <c r="TG22" s="3"/>
      <c r="TH22" s="3"/>
      <c r="TI22" s="3"/>
      <c r="TJ22" s="3"/>
      <c r="TK22" s="3"/>
      <c r="TL22" s="3"/>
      <c r="TM22" s="3"/>
      <c r="TN22" s="3"/>
      <c r="TO22" s="3"/>
      <c r="TP22" s="3"/>
      <c r="TQ22" s="3"/>
      <c r="TR22" s="3"/>
      <c r="TS22" s="3"/>
      <c r="TT22" s="3"/>
      <c r="TU22" s="3"/>
      <c r="TV22" s="3"/>
      <c r="TW22" s="3"/>
      <c r="TX22" s="3"/>
      <c r="TY22" s="3"/>
      <c r="TZ22" s="3"/>
      <c r="UA22" s="3"/>
      <c r="UB22" s="3"/>
      <c r="UC22" s="3"/>
      <c r="UD22" s="3"/>
      <c r="UE22" s="3"/>
      <c r="UF22" s="3"/>
      <c r="UG22" s="3"/>
      <c r="UH22" s="3"/>
      <c r="UI22" s="3"/>
      <c r="UJ22" s="3"/>
      <c r="UK22" s="3"/>
      <c r="UL22" s="3"/>
      <c r="UM22" s="3"/>
      <c r="UN22" s="3"/>
      <c r="UO22" s="3"/>
      <c r="UP22" s="3"/>
      <c r="UQ22" s="3"/>
      <c r="UR22" s="3"/>
      <c r="US22" s="3"/>
      <c r="UT22" s="3"/>
      <c r="UU22" s="3"/>
      <c r="UV22" s="3"/>
      <c r="UW22" s="3"/>
      <c r="UX22" s="3"/>
      <c r="UY22" s="3"/>
      <c r="UZ22" s="3"/>
      <c r="VA22" s="3"/>
      <c r="VB22" s="3"/>
      <c r="VC22" s="3"/>
      <c r="VD22" s="3"/>
      <c r="VE22" s="3"/>
      <c r="VF22" s="3"/>
      <c r="VG22" s="3"/>
      <c r="VH22" s="3"/>
      <c r="VI22" s="3"/>
      <c r="VJ22" s="3"/>
      <c r="VK22" s="3"/>
      <c r="VL22" s="3"/>
      <c r="VM22" s="3"/>
      <c r="VN22" s="3"/>
      <c r="VO22" s="3"/>
      <c r="VP22" s="3"/>
      <c r="VQ22" s="3"/>
      <c r="VR22" s="3"/>
      <c r="VS22" s="3"/>
      <c r="VT22" s="3"/>
      <c r="VU22" s="3"/>
      <c r="VV22" s="3"/>
      <c r="VW22" s="3"/>
      <c r="VX22" s="3"/>
      <c r="VY22" s="3"/>
      <c r="VZ22" s="3"/>
      <c r="WA22" s="3"/>
      <c r="WB22" s="3"/>
      <c r="WC22" s="3"/>
      <c r="WD22" s="3"/>
      <c r="WE22" s="3"/>
      <c r="WF22" s="3"/>
      <c r="WG22" s="3"/>
      <c r="WH22" s="3"/>
      <c r="WI22" s="3"/>
      <c r="WJ22" s="3"/>
      <c r="WK22" s="3"/>
      <c r="WL22" s="3"/>
      <c r="WM22" s="3"/>
      <c r="WN22" s="3"/>
      <c r="WO22" s="3"/>
      <c r="WP22" s="3"/>
      <c r="WQ22" s="3"/>
      <c r="WR22" s="3"/>
      <c r="WS22" s="3"/>
      <c r="WT22" s="3"/>
      <c r="WU22" s="3"/>
      <c r="WV22" s="3"/>
      <c r="WW22" s="3"/>
      <c r="WX22" s="3"/>
      <c r="WY22" s="3"/>
      <c r="WZ22" s="3"/>
      <c r="XA22" s="3"/>
      <c r="XB22" s="3"/>
      <c r="XC22" s="3"/>
      <c r="XD22" s="3"/>
      <c r="XE22" s="3"/>
      <c r="XF22" s="3"/>
      <c r="XG22" s="3"/>
      <c r="XH22" s="3"/>
      <c r="XI22" s="3"/>
      <c r="XJ22" s="3"/>
      <c r="XK22" s="3"/>
      <c r="XL22" s="3"/>
      <c r="XM22" s="3"/>
      <c r="XN22" s="3"/>
      <c r="XO22" s="3"/>
      <c r="XP22" s="3"/>
      <c r="XQ22" s="3"/>
      <c r="XR22" s="3"/>
      <c r="XS22" s="3"/>
      <c r="XT22" s="3"/>
      <c r="XU22" s="3"/>
      <c r="XV22" s="3"/>
      <c r="XW22" s="3"/>
      <c r="XX22" s="3"/>
      <c r="XY22" s="3"/>
      <c r="XZ22" s="3"/>
      <c r="YA22" s="3"/>
      <c r="YB22" s="3"/>
      <c r="YC22" s="3"/>
      <c r="YD22" s="3"/>
      <c r="YE22" s="3"/>
      <c r="YF22" s="3"/>
      <c r="YG22" s="3"/>
      <c r="YH22" s="3"/>
      <c r="YI22" s="3"/>
      <c r="YJ22" s="3"/>
      <c r="YK22" s="3"/>
      <c r="YL22" s="3"/>
      <c r="YM22" s="3"/>
      <c r="YN22" s="3"/>
      <c r="YO22" s="3"/>
      <c r="YP22" s="3"/>
      <c r="YQ22" s="3"/>
      <c r="YR22" s="3"/>
      <c r="YS22" s="3"/>
      <c r="YT22" s="3"/>
      <c r="YU22" s="3"/>
      <c r="YV22" s="3"/>
      <c r="YW22" s="3"/>
      <c r="YX22" s="3"/>
      <c r="YY22" s="3"/>
      <c r="YZ22" s="3"/>
      <c r="ZA22" s="3"/>
      <c r="ZB22" s="3"/>
      <c r="ZC22" s="3"/>
    </row>
    <row r="23" spans="1:679" s="2" customFormat="1" x14ac:dyDescent="0.45">
      <c r="A23" s="3" t="s">
        <v>11</v>
      </c>
      <c r="B23" s="4">
        <v>29986</v>
      </c>
      <c r="C23" s="7" t="s">
        <v>25</v>
      </c>
      <c r="D23" s="6" t="s">
        <v>37</v>
      </c>
      <c r="E23" s="3"/>
      <c r="F23" s="3">
        <v>4</v>
      </c>
      <c r="L23" s="3"/>
      <c r="M23" s="3"/>
      <c r="N23" s="48"/>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c r="II23" s="3"/>
      <c r="IJ23" s="3"/>
      <c r="IK23" s="3"/>
      <c r="IL23" s="3"/>
      <c r="IM23" s="3"/>
      <c r="IN23" s="3"/>
      <c r="IO23" s="3"/>
      <c r="IP23" s="3"/>
      <c r="IQ23" s="3"/>
      <c r="IR23" s="3"/>
      <c r="IS23" s="3"/>
      <c r="IT23" s="3"/>
      <c r="IU23" s="3"/>
      <c r="IV23" s="3"/>
      <c r="IW23" s="3"/>
      <c r="IX23" s="3"/>
      <c r="IY23" s="3"/>
      <c r="IZ23" s="3"/>
      <c r="JA23" s="3"/>
      <c r="JB23" s="3"/>
      <c r="JC23" s="3"/>
      <c r="JD23" s="3"/>
      <c r="JE23" s="3"/>
      <c r="JF23" s="3"/>
      <c r="JG23" s="3"/>
      <c r="JH23" s="3"/>
      <c r="JI23" s="3"/>
      <c r="JJ23" s="3"/>
      <c r="JK23" s="3"/>
      <c r="JL23" s="3"/>
      <c r="JM23" s="3"/>
      <c r="JN23" s="3"/>
      <c r="JO23" s="3"/>
      <c r="JP23" s="3"/>
      <c r="JQ23" s="3"/>
      <c r="JR23" s="3"/>
      <c r="JS23" s="3"/>
      <c r="JT23" s="3"/>
      <c r="JU23" s="3"/>
      <c r="JV23" s="3"/>
      <c r="JW23" s="3"/>
      <c r="JX23" s="3"/>
      <c r="JY23" s="3"/>
      <c r="JZ23" s="3"/>
      <c r="KA23" s="3"/>
      <c r="KB23" s="3"/>
      <c r="KC23" s="3"/>
      <c r="KD23" s="3"/>
      <c r="KE23" s="3"/>
      <c r="KF23" s="3"/>
      <c r="KG23" s="3"/>
      <c r="KH23" s="3"/>
      <c r="KI23" s="3"/>
      <c r="KJ23" s="3"/>
      <c r="KK23" s="3"/>
      <c r="KL23" s="3"/>
      <c r="KM23" s="3"/>
      <c r="KN23" s="3"/>
      <c r="KO23" s="3"/>
      <c r="KP23" s="3"/>
      <c r="KQ23" s="3"/>
      <c r="KR23" s="3"/>
      <c r="KS23" s="3"/>
      <c r="KT23" s="3"/>
      <c r="KU23" s="3"/>
      <c r="KV23" s="3"/>
      <c r="KW23" s="3"/>
      <c r="KX23" s="3"/>
      <c r="KY23" s="3"/>
      <c r="KZ23" s="3"/>
      <c r="LA23" s="3"/>
      <c r="LB23" s="3"/>
      <c r="LC23" s="3"/>
      <c r="LD23" s="3"/>
      <c r="LE23" s="3"/>
      <c r="LF23" s="3"/>
      <c r="LG23" s="3"/>
      <c r="LH23" s="3"/>
      <c r="LI23" s="3"/>
      <c r="LJ23" s="3"/>
      <c r="LK23" s="3"/>
      <c r="LL23" s="3"/>
      <c r="LM23" s="3"/>
      <c r="LN23" s="3"/>
      <c r="LO23" s="3"/>
      <c r="LP23" s="3"/>
      <c r="LQ23" s="3"/>
      <c r="LR23" s="3"/>
      <c r="LS23" s="3"/>
      <c r="LT23" s="3"/>
      <c r="LU23" s="3"/>
      <c r="LV23" s="3"/>
      <c r="LW23" s="3"/>
      <c r="LX23" s="3"/>
      <c r="LY23" s="3"/>
      <c r="LZ23" s="3"/>
      <c r="MA23" s="3"/>
      <c r="MB23" s="3"/>
      <c r="MC23" s="3"/>
      <c r="MD23" s="3"/>
      <c r="ME23" s="3"/>
      <c r="MF23" s="3"/>
      <c r="MG23" s="3"/>
      <c r="MH23" s="3"/>
      <c r="MI23" s="3"/>
      <c r="MJ23" s="3"/>
      <c r="MK23" s="3"/>
      <c r="ML23" s="3"/>
      <c r="MM23" s="3"/>
      <c r="MN23" s="3"/>
      <c r="MO23" s="3"/>
      <c r="MP23" s="3"/>
      <c r="MQ23" s="3"/>
      <c r="MR23" s="3"/>
      <c r="MS23" s="3"/>
      <c r="MT23" s="3"/>
      <c r="MU23" s="3"/>
      <c r="MV23" s="3"/>
      <c r="MW23" s="3"/>
      <c r="MX23" s="3"/>
      <c r="MY23" s="3"/>
      <c r="MZ23" s="3"/>
      <c r="NA23" s="3"/>
      <c r="NB23" s="3"/>
      <c r="NC23" s="3"/>
      <c r="ND23" s="3"/>
      <c r="NE23" s="3"/>
      <c r="NF23" s="3"/>
      <c r="NG23" s="3"/>
      <c r="NH23" s="3"/>
      <c r="NI23" s="3"/>
      <c r="NJ23" s="3"/>
      <c r="NK23" s="3"/>
      <c r="NL23" s="3"/>
      <c r="NM23" s="3"/>
      <c r="NN23" s="3"/>
      <c r="NO23" s="3"/>
      <c r="NP23" s="3"/>
      <c r="NQ23" s="3"/>
      <c r="NR23" s="3"/>
      <c r="NS23" s="3"/>
      <c r="NT23" s="3"/>
      <c r="NU23" s="3"/>
      <c r="NV23" s="3"/>
      <c r="NW23" s="3"/>
      <c r="NX23" s="3"/>
      <c r="NY23" s="3"/>
      <c r="NZ23" s="3"/>
      <c r="OA23" s="3"/>
      <c r="OB23" s="3"/>
      <c r="OC23" s="3"/>
      <c r="OD23" s="3"/>
      <c r="OE23" s="3"/>
      <c r="OF23" s="3"/>
      <c r="OG23" s="3"/>
      <c r="OH23" s="3"/>
      <c r="OI23" s="3"/>
      <c r="OJ23" s="3"/>
      <c r="OK23" s="3"/>
      <c r="OL23" s="3"/>
      <c r="OM23" s="3"/>
      <c r="ON23" s="3"/>
      <c r="OO23" s="3"/>
      <c r="OP23" s="3"/>
      <c r="OQ23" s="3"/>
      <c r="OR23" s="3"/>
      <c r="OS23" s="3"/>
      <c r="OT23" s="3"/>
      <c r="OU23" s="3"/>
      <c r="OV23" s="3"/>
      <c r="OW23" s="3"/>
      <c r="OX23" s="3"/>
      <c r="OY23" s="3"/>
      <c r="OZ23" s="3"/>
      <c r="PA23" s="3"/>
      <c r="PB23" s="3"/>
      <c r="PC23" s="3"/>
      <c r="PD23" s="3"/>
      <c r="PE23" s="3"/>
      <c r="PF23" s="3"/>
      <c r="PG23" s="3"/>
      <c r="PH23" s="3"/>
      <c r="PI23" s="3"/>
      <c r="PJ23" s="3"/>
      <c r="PK23" s="3"/>
      <c r="PL23" s="3"/>
      <c r="PM23" s="3"/>
      <c r="PN23" s="3"/>
      <c r="PO23" s="3"/>
      <c r="PP23" s="3"/>
      <c r="PQ23" s="3"/>
      <c r="PR23" s="3"/>
      <c r="PS23" s="3"/>
      <c r="PT23" s="3"/>
      <c r="PU23" s="3"/>
      <c r="PV23" s="3"/>
      <c r="PW23" s="3"/>
      <c r="PX23" s="3"/>
      <c r="PY23" s="3"/>
      <c r="PZ23" s="3"/>
      <c r="QA23" s="3"/>
      <c r="QB23" s="3"/>
      <c r="QC23" s="3"/>
      <c r="QD23" s="3"/>
      <c r="QE23" s="3"/>
      <c r="QF23" s="3"/>
      <c r="QG23" s="3"/>
      <c r="QH23" s="3"/>
      <c r="QI23" s="3"/>
      <c r="QJ23" s="3"/>
      <c r="QK23" s="3"/>
      <c r="QL23" s="3"/>
      <c r="QM23" s="3"/>
      <c r="QN23" s="3"/>
      <c r="QO23" s="3"/>
      <c r="QP23" s="3"/>
      <c r="QQ23" s="3"/>
      <c r="QR23" s="3"/>
      <c r="QS23" s="3"/>
      <c r="QT23" s="3"/>
      <c r="QU23" s="3"/>
      <c r="QV23" s="3"/>
      <c r="QW23" s="3"/>
      <c r="QX23" s="3"/>
      <c r="QY23" s="3"/>
      <c r="QZ23" s="3"/>
      <c r="RA23" s="3"/>
      <c r="RB23" s="3"/>
      <c r="RC23" s="3"/>
      <c r="RD23" s="3"/>
      <c r="RE23" s="3"/>
      <c r="RF23" s="3"/>
      <c r="RG23" s="3"/>
      <c r="RH23" s="3"/>
      <c r="RI23" s="3"/>
      <c r="RJ23" s="3"/>
      <c r="RK23" s="3"/>
      <c r="RL23" s="3"/>
      <c r="RM23" s="3"/>
      <c r="RN23" s="3"/>
      <c r="RO23" s="3"/>
      <c r="RP23" s="3"/>
      <c r="RQ23" s="3"/>
      <c r="RR23" s="3"/>
      <c r="RS23" s="3"/>
      <c r="RT23" s="3"/>
      <c r="RU23" s="3"/>
      <c r="RV23" s="3"/>
      <c r="RW23" s="3"/>
      <c r="RX23" s="3"/>
      <c r="RY23" s="3"/>
      <c r="RZ23" s="3"/>
      <c r="SA23" s="3"/>
      <c r="SB23" s="3"/>
      <c r="SC23" s="3"/>
      <c r="SD23" s="3"/>
      <c r="SE23" s="3"/>
      <c r="SF23" s="3"/>
      <c r="SG23" s="3"/>
      <c r="SH23" s="3"/>
      <c r="SI23" s="3"/>
      <c r="SJ23" s="3"/>
      <c r="SK23" s="3"/>
      <c r="SL23" s="3"/>
      <c r="SM23" s="3"/>
      <c r="SN23" s="3"/>
      <c r="SO23" s="3"/>
      <c r="SP23" s="3"/>
      <c r="SQ23" s="3"/>
      <c r="SR23" s="3"/>
      <c r="SS23" s="3"/>
      <c r="ST23" s="3"/>
      <c r="SU23" s="3"/>
      <c r="SV23" s="3"/>
      <c r="SW23" s="3"/>
      <c r="SX23" s="3"/>
      <c r="SY23" s="3"/>
      <c r="SZ23" s="3"/>
      <c r="TA23" s="3"/>
      <c r="TB23" s="3"/>
      <c r="TC23" s="3"/>
      <c r="TD23" s="3"/>
      <c r="TE23" s="3"/>
      <c r="TF23" s="3"/>
      <c r="TG23" s="3"/>
      <c r="TH23" s="3"/>
      <c r="TI23" s="3"/>
      <c r="TJ23" s="3"/>
      <c r="TK23" s="3"/>
      <c r="TL23" s="3"/>
      <c r="TM23" s="3"/>
      <c r="TN23" s="3"/>
      <c r="TO23" s="3"/>
      <c r="TP23" s="3"/>
      <c r="TQ23" s="3"/>
      <c r="TR23" s="3"/>
      <c r="TS23" s="3"/>
      <c r="TT23" s="3"/>
      <c r="TU23" s="3"/>
      <c r="TV23" s="3"/>
      <c r="TW23" s="3"/>
      <c r="TX23" s="3"/>
      <c r="TY23" s="3"/>
      <c r="TZ23" s="3"/>
      <c r="UA23" s="3"/>
      <c r="UB23" s="3"/>
      <c r="UC23" s="3"/>
      <c r="UD23" s="3"/>
      <c r="UE23" s="3"/>
      <c r="UF23" s="3"/>
      <c r="UG23" s="3"/>
      <c r="UH23" s="3"/>
      <c r="UI23" s="3"/>
      <c r="UJ23" s="3"/>
      <c r="UK23" s="3"/>
      <c r="UL23" s="3"/>
      <c r="UM23" s="3"/>
      <c r="UN23" s="3"/>
      <c r="UO23" s="3"/>
      <c r="UP23" s="3"/>
      <c r="UQ23" s="3"/>
      <c r="UR23" s="3"/>
      <c r="US23" s="3"/>
      <c r="UT23" s="3"/>
      <c r="UU23" s="3"/>
      <c r="UV23" s="3"/>
      <c r="UW23" s="3"/>
      <c r="UX23" s="3"/>
      <c r="UY23" s="3"/>
      <c r="UZ23" s="3"/>
      <c r="VA23" s="3"/>
      <c r="VB23" s="3"/>
      <c r="VC23" s="3"/>
      <c r="VD23" s="3"/>
      <c r="VE23" s="3"/>
      <c r="VF23" s="3"/>
      <c r="VG23" s="3"/>
      <c r="VH23" s="3"/>
      <c r="VI23" s="3"/>
      <c r="VJ23" s="3"/>
      <c r="VK23" s="3"/>
      <c r="VL23" s="3"/>
      <c r="VM23" s="3"/>
      <c r="VN23" s="3"/>
      <c r="VO23" s="3"/>
      <c r="VP23" s="3"/>
      <c r="VQ23" s="3"/>
      <c r="VR23" s="3"/>
      <c r="VS23" s="3"/>
      <c r="VT23" s="3"/>
      <c r="VU23" s="3"/>
      <c r="VV23" s="3"/>
      <c r="VW23" s="3"/>
      <c r="VX23" s="3"/>
      <c r="VY23" s="3"/>
      <c r="VZ23" s="3"/>
      <c r="WA23" s="3"/>
      <c r="WB23" s="3"/>
      <c r="WC23" s="3"/>
      <c r="WD23" s="3"/>
      <c r="WE23" s="3"/>
      <c r="WF23" s="3"/>
      <c r="WG23" s="3"/>
      <c r="WH23" s="3"/>
      <c r="WI23" s="3"/>
      <c r="WJ23" s="3"/>
      <c r="WK23" s="3"/>
      <c r="WL23" s="3"/>
      <c r="WM23" s="3"/>
      <c r="WN23" s="3"/>
      <c r="WO23" s="3"/>
      <c r="WP23" s="3"/>
      <c r="WQ23" s="3"/>
      <c r="WR23" s="3"/>
      <c r="WS23" s="3"/>
      <c r="WT23" s="3"/>
      <c r="WU23" s="3"/>
      <c r="WV23" s="3"/>
      <c r="WW23" s="3"/>
      <c r="WX23" s="3"/>
      <c r="WY23" s="3"/>
      <c r="WZ23" s="3"/>
      <c r="XA23" s="3"/>
      <c r="XB23" s="3"/>
      <c r="XC23" s="3"/>
      <c r="XD23" s="3"/>
      <c r="XE23" s="3"/>
      <c r="XF23" s="3"/>
      <c r="XG23" s="3"/>
      <c r="XH23" s="3"/>
      <c r="XI23" s="3"/>
      <c r="XJ23" s="3"/>
      <c r="XK23" s="3"/>
      <c r="XL23" s="3"/>
      <c r="XM23" s="3"/>
      <c r="XN23" s="3"/>
      <c r="XO23" s="3"/>
      <c r="XP23" s="3"/>
      <c r="XQ23" s="3"/>
      <c r="XR23" s="3"/>
      <c r="XS23" s="3"/>
      <c r="XT23" s="3"/>
      <c r="XU23" s="3"/>
      <c r="XV23" s="3"/>
      <c r="XW23" s="3"/>
      <c r="XX23" s="3"/>
      <c r="XY23" s="3"/>
      <c r="XZ23" s="3"/>
      <c r="YA23" s="3"/>
      <c r="YB23" s="3"/>
      <c r="YC23" s="3"/>
      <c r="YD23" s="3"/>
      <c r="YE23" s="3"/>
      <c r="YF23" s="3"/>
      <c r="YG23" s="3"/>
      <c r="YH23" s="3"/>
      <c r="YI23" s="3"/>
      <c r="YJ23" s="3"/>
      <c r="YK23" s="3"/>
      <c r="YL23" s="3"/>
      <c r="YM23" s="3"/>
      <c r="YN23" s="3"/>
      <c r="YO23" s="3"/>
      <c r="YP23" s="3"/>
      <c r="YQ23" s="3"/>
      <c r="YR23" s="3"/>
      <c r="YS23" s="3"/>
      <c r="YT23" s="3"/>
      <c r="YU23" s="3"/>
      <c r="YV23" s="3"/>
      <c r="YW23" s="3"/>
      <c r="YX23" s="3"/>
      <c r="YY23" s="3"/>
      <c r="YZ23" s="3"/>
      <c r="ZA23" s="3"/>
      <c r="ZB23" s="3"/>
      <c r="ZC23" s="3"/>
    </row>
    <row r="24" spans="1:679" s="2" customFormat="1" x14ac:dyDescent="0.45">
      <c r="A24" s="3" t="s">
        <v>11</v>
      </c>
      <c r="B24" s="4">
        <v>30057</v>
      </c>
      <c r="C24" s="7" t="s">
        <v>21</v>
      </c>
      <c r="D24" s="6" t="s">
        <v>38</v>
      </c>
      <c r="E24" s="3"/>
      <c r="F24" s="3">
        <v>5</v>
      </c>
      <c r="L24" s="3"/>
      <c r="M24" s="3"/>
      <c r="N24" s="48"/>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c r="II24" s="3"/>
      <c r="IJ24" s="3"/>
      <c r="IK24" s="3"/>
      <c r="IL24" s="3"/>
      <c r="IM24" s="3"/>
      <c r="IN24" s="3"/>
      <c r="IO24" s="3"/>
      <c r="IP24" s="3"/>
      <c r="IQ24" s="3"/>
      <c r="IR24" s="3"/>
      <c r="IS24" s="3"/>
      <c r="IT24" s="3"/>
      <c r="IU24" s="3"/>
      <c r="IV24" s="3"/>
      <c r="IW24" s="3"/>
      <c r="IX24" s="3"/>
      <c r="IY24" s="3"/>
      <c r="IZ24" s="3"/>
      <c r="JA24" s="3"/>
      <c r="JB24" s="3"/>
      <c r="JC24" s="3"/>
      <c r="JD24" s="3"/>
      <c r="JE24" s="3"/>
      <c r="JF24" s="3"/>
      <c r="JG24" s="3"/>
      <c r="JH24" s="3"/>
      <c r="JI24" s="3"/>
      <c r="JJ24" s="3"/>
      <c r="JK24" s="3"/>
      <c r="JL24" s="3"/>
      <c r="JM24" s="3"/>
      <c r="JN24" s="3"/>
      <c r="JO24" s="3"/>
      <c r="JP24" s="3"/>
      <c r="JQ24" s="3"/>
      <c r="JR24" s="3"/>
      <c r="JS24" s="3"/>
      <c r="JT24" s="3"/>
      <c r="JU24" s="3"/>
      <c r="JV24" s="3"/>
      <c r="JW24" s="3"/>
      <c r="JX24" s="3"/>
      <c r="JY24" s="3"/>
      <c r="JZ24" s="3"/>
      <c r="KA24" s="3"/>
      <c r="KB24" s="3"/>
      <c r="KC24" s="3"/>
      <c r="KD24" s="3"/>
      <c r="KE24" s="3"/>
      <c r="KF24" s="3"/>
      <c r="KG24" s="3"/>
      <c r="KH24" s="3"/>
      <c r="KI24" s="3"/>
      <c r="KJ24" s="3"/>
      <c r="KK24" s="3"/>
      <c r="KL24" s="3"/>
      <c r="KM24" s="3"/>
      <c r="KN24" s="3"/>
      <c r="KO24" s="3"/>
      <c r="KP24" s="3"/>
      <c r="KQ24" s="3"/>
      <c r="KR24" s="3"/>
      <c r="KS24" s="3"/>
      <c r="KT24" s="3"/>
      <c r="KU24" s="3"/>
      <c r="KV24" s="3"/>
      <c r="KW24" s="3"/>
      <c r="KX24" s="3"/>
      <c r="KY24" s="3"/>
      <c r="KZ24" s="3"/>
      <c r="LA24" s="3"/>
      <c r="LB24" s="3"/>
      <c r="LC24" s="3"/>
      <c r="LD24" s="3"/>
      <c r="LE24" s="3"/>
      <c r="LF24" s="3"/>
      <c r="LG24" s="3"/>
      <c r="LH24" s="3"/>
      <c r="LI24" s="3"/>
      <c r="LJ24" s="3"/>
      <c r="LK24" s="3"/>
      <c r="LL24" s="3"/>
      <c r="LM24" s="3"/>
      <c r="LN24" s="3"/>
      <c r="LO24" s="3"/>
      <c r="LP24" s="3"/>
      <c r="LQ24" s="3"/>
      <c r="LR24" s="3"/>
      <c r="LS24" s="3"/>
      <c r="LT24" s="3"/>
      <c r="LU24" s="3"/>
      <c r="LV24" s="3"/>
      <c r="LW24" s="3"/>
      <c r="LX24" s="3"/>
      <c r="LY24" s="3"/>
      <c r="LZ24" s="3"/>
      <c r="MA24" s="3"/>
      <c r="MB24" s="3"/>
      <c r="MC24" s="3"/>
      <c r="MD24" s="3"/>
      <c r="ME24" s="3"/>
      <c r="MF24" s="3"/>
      <c r="MG24" s="3"/>
      <c r="MH24" s="3"/>
      <c r="MI24" s="3"/>
      <c r="MJ24" s="3"/>
      <c r="MK24" s="3"/>
      <c r="ML24" s="3"/>
      <c r="MM24" s="3"/>
      <c r="MN24" s="3"/>
      <c r="MO24" s="3"/>
      <c r="MP24" s="3"/>
      <c r="MQ24" s="3"/>
      <c r="MR24" s="3"/>
      <c r="MS24" s="3"/>
      <c r="MT24" s="3"/>
      <c r="MU24" s="3"/>
      <c r="MV24" s="3"/>
      <c r="MW24" s="3"/>
      <c r="MX24" s="3"/>
      <c r="MY24" s="3"/>
      <c r="MZ24" s="3"/>
      <c r="NA24" s="3"/>
      <c r="NB24" s="3"/>
      <c r="NC24" s="3"/>
      <c r="ND24" s="3"/>
      <c r="NE24" s="3"/>
      <c r="NF24" s="3"/>
      <c r="NG24" s="3"/>
      <c r="NH24" s="3"/>
      <c r="NI24" s="3"/>
      <c r="NJ24" s="3"/>
      <c r="NK24" s="3"/>
      <c r="NL24" s="3"/>
      <c r="NM24" s="3"/>
      <c r="NN24" s="3"/>
      <c r="NO24" s="3"/>
      <c r="NP24" s="3"/>
      <c r="NQ24" s="3"/>
      <c r="NR24" s="3"/>
      <c r="NS24" s="3"/>
      <c r="NT24" s="3"/>
      <c r="NU24" s="3"/>
      <c r="NV24" s="3"/>
      <c r="NW24" s="3"/>
      <c r="NX24" s="3"/>
      <c r="NY24" s="3"/>
      <c r="NZ24" s="3"/>
      <c r="OA24" s="3"/>
      <c r="OB24" s="3"/>
      <c r="OC24" s="3"/>
      <c r="OD24" s="3"/>
      <c r="OE24" s="3"/>
      <c r="OF24" s="3"/>
      <c r="OG24" s="3"/>
      <c r="OH24" s="3"/>
      <c r="OI24" s="3"/>
      <c r="OJ24" s="3"/>
      <c r="OK24" s="3"/>
      <c r="OL24" s="3"/>
      <c r="OM24" s="3"/>
      <c r="ON24" s="3"/>
      <c r="OO24" s="3"/>
      <c r="OP24" s="3"/>
      <c r="OQ24" s="3"/>
      <c r="OR24" s="3"/>
      <c r="OS24" s="3"/>
      <c r="OT24" s="3"/>
      <c r="OU24" s="3"/>
      <c r="OV24" s="3"/>
      <c r="OW24" s="3"/>
      <c r="OX24" s="3"/>
      <c r="OY24" s="3"/>
      <c r="OZ24" s="3"/>
      <c r="PA24" s="3"/>
      <c r="PB24" s="3"/>
      <c r="PC24" s="3"/>
      <c r="PD24" s="3"/>
      <c r="PE24" s="3"/>
      <c r="PF24" s="3"/>
      <c r="PG24" s="3"/>
      <c r="PH24" s="3"/>
      <c r="PI24" s="3"/>
      <c r="PJ24" s="3"/>
      <c r="PK24" s="3"/>
      <c r="PL24" s="3"/>
      <c r="PM24" s="3"/>
      <c r="PN24" s="3"/>
      <c r="PO24" s="3"/>
      <c r="PP24" s="3"/>
      <c r="PQ24" s="3"/>
      <c r="PR24" s="3"/>
      <c r="PS24" s="3"/>
      <c r="PT24" s="3"/>
      <c r="PU24" s="3"/>
      <c r="PV24" s="3"/>
      <c r="PW24" s="3"/>
      <c r="PX24" s="3"/>
      <c r="PY24" s="3"/>
      <c r="PZ24" s="3"/>
      <c r="QA24" s="3"/>
      <c r="QB24" s="3"/>
      <c r="QC24" s="3"/>
      <c r="QD24" s="3"/>
      <c r="QE24" s="3"/>
      <c r="QF24" s="3"/>
      <c r="QG24" s="3"/>
      <c r="QH24" s="3"/>
      <c r="QI24" s="3"/>
      <c r="QJ24" s="3"/>
      <c r="QK24" s="3"/>
      <c r="QL24" s="3"/>
      <c r="QM24" s="3"/>
      <c r="QN24" s="3"/>
      <c r="QO24" s="3"/>
      <c r="QP24" s="3"/>
      <c r="QQ24" s="3"/>
      <c r="QR24" s="3"/>
      <c r="QS24" s="3"/>
      <c r="QT24" s="3"/>
      <c r="QU24" s="3"/>
      <c r="QV24" s="3"/>
      <c r="QW24" s="3"/>
      <c r="QX24" s="3"/>
      <c r="QY24" s="3"/>
      <c r="QZ24" s="3"/>
      <c r="RA24" s="3"/>
      <c r="RB24" s="3"/>
      <c r="RC24" s="3"/>
      <c r="RD24" s="3"/>
      <c r="RE24" s="3"/>
      <c r="RF24" s="3"/>
      <c r="RG24" s="3"/>
      <c r="RH24" s="3"/>
      <c r="RI24" s="3"/>
      <c r="RJ24" s="3"/>
      <c r="RK24" s="3"/>
      <c r="RL24" s="3"/>
      <c r="RM24" s="3"/>
      <c r="RN24" s="3"/>
      <c r="RO24" s="3"/>
      <c r="RP24" s="3"/>
      <c r="RQ24" s="3"/>
      <c r="RR24" s="3"/>
      <c r="RS24" s="3"/>
      <c r="RT24" s="3"/>
      <c r="RU24" s="3"/>
      <c r="RV24" s="3"/>
      <c r="RW24" s="3"/>
      <c r="RX24" s="3"/>
      <c r="RY24" s="3"/>
      <c r="RZ24" s="3"/>
      <c r="SA24" s="3"/>
      <c r="SB24" s="3"/>
      <c r="SC24" s="3"/>
      <c r="SD24" s="3"/>
      <c r="SE24" s="3"/>
      <c r="SF24" s="3"/>
      <c r="SG24" s="3"/>
      <c r="SH24" s="3"/>
      <c r="SI24" s="3"/>
      <c r="SJ24" s="3"/>
      <c r="SK24" s="3"/>
      <c r="SL24" s="3"/>
      <c r="SM24" s="3"/>
      <c r="SN24" s="3"/>
      <c r="SO24" s="3"/>
      <c r="SP24" s="3"/>
      <c r="SQ24" s="3"/>
      <c r="SR24" s="3"/>
      <c r="SS24" s="3"/>
      <c r="ST24" s="3"/>
      <c r="SU24" s="3"/>
      <c r="SV24" s="3"/>
      <c r="SW24" s="3"/>
      <c r="SX24" s="3"/>
      <c r="SY24" s="3"/>
      <c r="SZ24" s="3"/>
      <c r="TA24" s="3"/>
      <c r="TB24" s="3"/>
      <c r="TC24" s="3"/>
      <c r="TD24" s="3"/>
      <c r="TE24" s="3"/>
      <c r="TF24" s="3"/>
      <c r="TG24" s="3"/>
      <c r="TH24" s="3"/>
      <c r="TI24" s="3"/>
      <c r="TJ24" s="3"/>
      <c r="TK24" s="3"/>
      <c r="TL24" s="3"/>
      <c r="TM24" s="3"/>
      <c r="TN24" s="3"/>
      <c r="TO24" s="3"/>
      <c r="TP24" s="3"/>
      <c r="TQ24" s="3"/>
      <c r="TR24" s="3"/>
      <c r="TS24" s="3"/>
      <c r="TT24" s="3"/>
      <c r="TU24" s="3"/>
      <c r="TV24" s="3"/>
      <c r="TW24" s="3"/>
      <c r="TX24" s="3"/>
      <c r="TY24" s="3"/>
      <c r="TZ24" s="3"/>
      <c r="UA24" s="3"/>
      <c r="UB24" s="3"/>
      <c r="UC24" s="3"/>
      <c r="UD24" s="3"/>
      <c r="UE24" s="3"/>
      <c r="UF24" s="3"/>
      <c r="UG24" s="3"/>
      <c r="UH24" s="3"/>
      <c r="UI24" s="3"/>
      <c r="UJ24" s="3"/>
      <c r="UK24" s="3"/>
      <c r="UL24" s="3"/>
      <c r="UM24" s="3"/>
      <c r="UN24" s="3"/>
      <c r="UO24" s="3"/>
      <c r="UP24" s="3"/>
      <c r="UQ24" s="3"/>
      <c r="UR24" s="3"/>
      <c r="US24" s="3"/>
      <c r="UT24" s="3"/>
      <c r="UU24" s="3"/>
      <c r="UV24" s="3"/>
      <c r="UW24" s="3"/>
      <c r="UX24" s="3"/>
      <c r="UY24" s="3"/>
      <c r="UZ24" s="3"/>
      <c r="VA24" s="3"/>
      <c r="VB24" s="3"/>
      <c r="VC24" s="3"/>
      <c r="VD24" s="3"/>
      <c r="VE24" s="3"/>
      <c r="VF24" s="3"/>
      <c r="VG24" s="3"/>
      <c r="VH24" s="3"/>
      <c r="VI24" s="3"/>
      <c r="VJ24" s="3"/>
      <c r="VK24" s="3"/>
      <c r="VL24" s="3"/>
      <c r="VM24" s="3"/>
      <c r="VN24" s="3"/>
      <c r="VO24" s="3"/>
      <c r="VP24" s="3"/>
      <c r="VQ24" s="3"/>
      <c r="VR24" s="3"/>
      <c r="VS24" s="3"/>
      <c r="VT24" s="3"/>
      <c r="VU24" s="3"/>
      <c r="VV24" s="3"/>
      <c r="VW24" s="3"/>
      <c r="VX24" s="3"/>
      <c r="VY24" s="3"/>
      <c r="VZ24" s="3"/>
      <c r="WA24" s="3"/>
      <c r="WB24" s="3"/>
      <c r="WC24" s="3"/>
      <c r="WD24" s="3"/>
      <c r="WE24" s="3"/>
      <c r="WF24" s="3"/>
      <c r="WG24" s="3"/>
      <c r="WH24" s="3"/>
      <c r="WI24" s="3"/>
      <c r="WJ24" s="3"/>
      <c r="WK24" s="3"/>
      <c r="WL24" s="3"/>
      <c r="WM24" s="3"/>
      <c r="WN24" s="3"/>
      <c r="WO24" s="3"/>
      <c r="WP24" s="3"/>
      <c r="WQ24" s="3"/>
      <c r="WR24" s="3"/>
      <c r="WS24" s="3"/>
      <c r="WT24" s="3"/>
      <c r="WU24" s="3"/>
      <c r="WV24" s="3"/>
      <c r="WW24" s="3"/>
      <c r="WX24" s="3"/>
      <c r="WY24" s="3"/>
      <c r="WZ24" s="3"/>
      <c r="XA24" s="3"/>
      <c r="XB24" s="3"/>
      <c r="XC24" s="3"/>
      <c r="XD24" s="3"/>
      <c r="XE24" s="3"/>
      <c r="XF24" s="3"/>
      <c r="XG24" s="3"/>
      <c r="XH24" s="3"/>
      <c r="XI24" s="3"/>
      <c r="XJ24" s="3"/>
      <c r="XK24" s="3"/>
      <c r="XL24" s="3"/>
      <c r="XM24" s="3"/>
      <c r="XN24" s="3"/>
      <c r="XO24" s="3"/>
      <c r="XP24" s="3"/>
      <c r="XQ24" s="3"/>
      <c r="XR24" s="3"/>
      <c r="XS24" s="3"/>
      <c r="XT24" s="3"/>
      <c r="XU24" s="3"/>
      <c r="XV24" s="3"/>
      <c r="XW24" s="3"/>
      <c r="XX24" s="3"/>
      <c r="XY24" s="3"/>
      <c r="XZ24" s="3"/>
      <c r="YA24" s="3"/>
      <c r="YB24" s="3"/>
      <c r="YC24" s="3"/>
      <c r="YD24" s="3"/>
      <c r="YE24" s="3"/>
      <c r="YF24" s="3"/>
      <c r="YG24" s="3"/>
      <c r="YH24" s="3"/>
      <c r="YI24" s="3"/>
      <c r="YJ24" s="3"/>
      <c r="YK24" s="3"/>
      <c r="YL24" s="3"/>
      <c r="YM24" s="3"/>
      <c r="YN24" s="3"/>
      <c r="YO24" s="3"/>
      <c r="YP24" s="3"/>
      <c r="YQ24" s="3"/>
      <c r="YR24" s="3"/>
      <c r="YS24" s="3"/>
      <c r="YT24" s="3"/>
      <c r="YU24" s="3"/>
      <c r="YV24" s="3"/>
      <c r="YW24" s="3"/>
      <c r="YX24" s="3"/>
      <c r="YY24" s="3"/>
      <c r="YZ24" s="3"/>
      <c r="ZA24" s="3"/>
      <c r="ZB24" s="3"/>
      <c r="ZC24" s="3"/>
    </row>
    <row r="25" spans="1:679" s="2" customFormat="1" x14ac:dyDescent="0.45">
      <c r="A25" s="3" t="s">
        <v>11</v>
      </c>
      <c r="B25" s="4">
        <v>30096</v>
      </c>
      <c r="C25" s="7" t="s">
        <v>25</v>
      </c>
      <c r="D25" s="6" t="s">
        <v>39</v>
      </c>
      <c r="E25" s="3"/>
      <c r="F25" s="3">
        <v>8</v>
      </c>
      <c r="L25" s="3"/>
      <c r="M25" s="3"/>
      <c r="N25" s="48"/>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c r="ID25" s="3"/>
      <c r="IE25" s="3"/>
      <c r="IF25" s="3"/>
      <c r="IG25" s="3"/>
      <c r="IH25" s="3"/>
      <c r="II25" s="3"/>
      <c r="IJ25" s="3"/>
      <c r="IK25" s="3"/>
      <c r="IL25" s="3"/>
      <c r="IM25" s="3"/>
      <c r="IN25" s="3"/>
      <c r="IO25" s="3"/>
      <c r="IP25" s="3"/>
      <c r="IQ25" s="3"/>
      <c r="IR25" s="3"/>
      <c r="IS25" s="3"/>
      <c r="IT25" s="3"/>
      <c r="IU25" s="3"/>
      <c r="IV25" s="3"/>
      <c r="IW25" s="3"/>
      <c r="IX25" s="3"/>
      <c r="IY25" s="3"/>
      <c r="IZ25" s="3"/>
      <c r="JA25" s="3"/>
      <c r="JB25" s="3"/>
      <c r="JC25" s="3"/>
      <c r="JD25" s="3"/>
      <c r="JE25" s="3"/>
      <c r="JF25" s="3"/>
      <c r="JG25" s="3"/>
      <c r="JH25" s="3"/>
      <c r="JI25" s="3"/>
      <c r="JJ25" s="3"/>
      <c r="JK25" s="3"/>
      <c r="JL25" s="3"/>
      <c r="JM25" s="3"/>
      <c r="JN25" s="3"/>
      <c r="JO25" s="3"/>
      <c r="JP25" s="3"/>
      <c r="JQ25" s="3"/>
      <c r="JR25" s="3"/>
      <c r="JS25" s="3"/>
      <c r="JT25" s="3"/>
      <c r="JU25" s="3"/>
      <c r="JV25" s="3"/>
      <c r="JW25" s="3"/>
      <c r="JX25" s="3"/>
      <c r="JY25" s="3"/>
      <c r="JZ25" s="3"/>
      <c r="KA25" s="3"/>
      <c r="KB25" s="3"/>
      <c r="KC25" s="3"/>
      <c r="KD25" s="3"/>
      <c r="KE25" s="3"/>
      <c r="KF25" s="3"/>
      <c r="KG25" s="3"/>
      <c r="KH25" s="3"/>
      <c r="KI25" s="3"/>
      <c r="KJ25" s="3"/>
      <c r="KK25" s="3"/>
      <c r="KL25" s="3"/>
      <c r="KM25" s="3"/>
      <c r="KN25" s="3"/>
      <c r="KO25" s="3"/>
      <c r="KP25" s="3"/>
      <c r="KQ25" s="3"/>
      <c r="KR25" s="3"/>
      <c r="KS25" s="3"/>
      <c r="KT25" s="3"/>
      <c r="KU25" s="3"/>
      <c r="KV25" s="3"/>
      <c r="KW25" s="3"/>
      <c r="KX25" s="3"/>
      <c r="KY25" s="3"/>
      <c r="KZ25" s="3"/>
      <c r="LA25" s="3"/>
      <c r="LB25" s="3"/>
      <c r="LC25" s="3"/>
      <c r="LD25" s="3"/>
      <c r="LE25" s="3"/>
      <c r="LF25" s="3"/>
      <c r="LG25" s="3"/>
      <c r="LH25" s="3"/>
      <c r="LI25" s="3"/>
      <c r="LJ25" s="3"/>
      <c r="LK25" s="3"/>
      <c r="LL25" s="3"/>
      <c r="LM25" s="3"/>
      <c r="LN25" s="3"/>
      <c r="LO25" s="3"/>
      <c r="LP25" s="3"/>
      <c r="LQ25" s="3"/>
      <c r="LR25" s="3"/>
      <c r="LS25" s="3"/>
      <c r="LT25" s="3"/>
      <c r="LU25" s="3"/>
      <c r="LV25" s="3"/>
      <c r="LW25" s="3"/>
      <c r="LX25" s="3"/>
      <c r="LY25" s="3"/>
      <c r="LZ25" s="3"/>
      <c r="MA25" s="3"/>
      <c r="MB25" s="3"/>
      <c r="MC25" s="3"/>
      <c r="MD25" s="3"/>
      <c r="ME25" s="3"/>
      <c r="MF25" s="3"/>
      <c r="MG25" s="3"/>
      <c r="MH25" s="3"/>
      <c r="MI25" s="3"/>
      <c r="MJ25" s="3"/>
      <c r="MK25" s="3"/>
      <c r="ML25" s="3"/>
      <c r="MM25" s="3"/>
      <c r="MN25" s="3"/>
      <c r="MO25" s="3"/>
      <c r="MP25" s="3"/>
      <c r="MQ25" s="3"/>
      <c r="MR25" s="3"/>
      <c r="MS25" s="3"/>
      <c r="MT25" s="3"/>
      <c r="MU25" s="3"/>
      <c r="MV25" s="3"/>
      <c r="MW25" s="3"/>
      <c r="MX25" s="3"/>
      <c r="MY25" s="3"/>
      <c r="MZ25" s="3"/>
      <c r="NA25" s="3"/>
      <c r="NB25" s="3"/>
      <c r="NC25" s="3"/>
      <c r="ND25" s="3"/>
      <c r="NE25" s="3"/>
      <c r="NF25" s="3"/>
      <c r="NG25" s="3"/>
      <c r="NH25" s="3"/>
      <c r="NI25" s="3"/>
      <c r="NJ25" s="3"/>
      <c r="NK25" s="3"/>
      <c r="NL25" s="3"/>
      <c r="NM25" s="3"/>
      <c r="NN25" s="3"/>
      <c r="NO25" s="3"/>
      <c r="NP25" s="3"/>
      <c r="NQ25" s="3"/>
      <c r="NR25" s="3"/>
      <c r="NS25" s="3"/>
      <c r="NT25" s="3"/>
      <c r="NU25" s="3"/>
      <c r="NV25" s="3"/>
      <c r="NW25" s="3"/>
      <c r="NX25" s="3"/>
      <c r="NY25" s="3"/>
      <c r="NZ25" s="3"/>
      <c r="OA25" s="3"/>
      <c r="OB25" s="3"/>
      <c r="OC25" s="3"/>
      <c r="OD25" s="3"/>
      <c r="OE25" s="3"/>
      <c r="OF25" s="3"/>
      <c r="OG25" s="3"/>
      <c r="OH25" s="3"/>
      <c r="OI25" s="3"/>
      <c r="OJ25" s="3"/>
      <c r="OK25" s="3"/>
      <c r="OL25" s="3"/>
      <c r="OM25" s="3"/>
      <c r="ON25" s="3"/>
      <c r="OO25" s="3"/>
      <c r="OP25" s="3"/>
      <c r="OQ25" s="3"/>
      <c r="OR25" s="3"/>
      <c r="OS25" s="3"/>
      <c r="OT25" s="3"/>
      <c r="OU25" s="3"/>
      <c r="OV25" s="3"/>
      <c r="OW25" s="3"/>
      <c r="OX25" s="3"/>
      <c r="OY25" s="3"/>
      <c r="OZ25" s="3"/>
      <c r="PA25" s="3"/>
      <c r="PB25" s="3"/>
      <c r="PC25" s="3"/>
      <c r="PD25" s="3"/>
      <c r="PE25" s="3"/>
      <c r="PF25" s="3"/>
      <c r="PG25" s="3"/>
      <c r="PH25" s="3"/>
      <c r="PI25" s="3"/>
      <c r="PJ25" s="3"/>
      <c r="PK25" s="3"/>
      <c r="PL25" s="3"/>
      <c r="PM25" s="3"/>
      <c r="PN25" s="3"/>
      <c r="PO25" s="3"/>
      <c r="PP25" s="3"/>
      <c r="PQ25" s="3"/>
      <c r="PR25" s="3"/>
      <c r="PS25" s="3"/>
      <c r="PT25" s="3"/>
      <c r="PU25" s="3"/>
      <c r="PV25" s="3"/>
      <c r="PW25" s="3"/>
      <c r="PX25" s="3"/>
      <c r="PY25" s="3"/>
      <c r="PZ25" s="3"/>
      <c r="QA25" s="3"/>
      <c r="QB25" s="3"/>
      <c r="QC25" s="3"/>
      <c r="QD25" s="3"/>
      <c r="QE25" s="3"/>
      <c r="QF25" s="3"/>
      <c r="QG25" s="3"/>
      <c r="QH25" s="3"/>
      <c r="QI25" s="3"/>
      <c r="QJ25" s="3"/>
      <c r="QK25" s="3"/>
      <c r="QL25" s="3"/>
      <c r="QM25" s="3"/>
      <c r="QN25" s="3"/>
      <c r="QO25" s="3"/>
      <c r="QP25" s="3"/>
      <c r="QQ25" s="3"/>
      <c r="QR25" s="3"/>
      <c r="QS25" s="3"/>
      <c r="QT25" s="3"/>
      <c r="QU25" s="3"/>
      <c r="QV25" s="3"/>
      <c r="QW25" s="3"/>
      <c r="QX25" s="3"/>
      <c r="QY25" s="3"/>
      <c r="QZ25" s="3"/>
      <c r="RA25" s="3"/>
      <c r="RB25" s="3"/>
      <c r="RC25" s="3"/>
      <c r="RD25" s="3"/>
      <c r="RE25" s="3"/>
      <c r="RF25" s="3"/>
      <c r="RG25" s="3"/>
      <c r="RH25" s="3"/>
      <c r="RI25" s="3"/>
      <c r="RJ25" s="3"/>
      <c r="RK25" s="3"/>
      <c r="RL25" s="3"/>
      <c r="RM25" s="3"/>
      <c r="RN25" s="3"/>
      <c r="RO25" s="3"/>
      <c r="RP25" s="3"/>
      <c r="RQ25" s="3"/>
      <c r="RR25" s="3"/>
      <c r="RS25" s="3"/>
      <c r="RT25" s="3"/>
      <c r="RU25" s="3"/>
      <c r="RV25" s="3"/>
      <c r="RW25" s="3"/>
      <c r="RX25" s="3"/>
      <c r="RY25" s="3"/>
      <c r="RZ25" s="3"/>
      <c r="SA25" s="3"/>
      <c r="SB25" s="3"/>
      <c r="SC25" s="3"/>
      <c r="SD25" s="3"/>
      <c r="SE25" s="3"/>
      <c r="SF25" s="3"/>
      <c r="SG25" s="3"/>
      <c r="SH25" s="3"/>
      <c r="SI25" s="3"/>
      <c r="SJ25" s="3"/>
      <c r="SK25" s="3"/>
      <c r="SL25" s="3"/>
      <c r="SM25" s="3"/>
      <c r="SN25" s="3"/>
      <c r="SO25" s="3"/>
      <c r="SP25" s="3"/>
      <c r="SQ25" s="3"/>
      <c r="SR25" s="3"/>
      <c r="SS25" s="3"/>
      <c r="ST25" s="3"/>
      <c r="SU25" s="3"/>
      <c r="SV25" s="3"/>
      <c r="SW25" s="3"/>
      <c r="SX25" s="3"/>
      <c r="SY25" s="3"/>
      <c r="SZ25" s="3"/>
      <c r="TA25" s="3"/>
      <c r="TB25" s="3"/>
      <c r="TC25" s="3"/>
      <c r="TD25" s="3"/>
      <c r="TE25" s="3"/>
      <c r="TF25" s="3"/>
      <c r="TG25" s="3"/>
      <c r="TH25" s="3"/>
      <c r="TI25" s="3"/>
      <c r="TJ25" s="3"/>
      <c r="TK25" s="3"/>
      <c r="TL25" s="3"/>
      <c r="TM25" s="3"/>
      <c r="TN25" s="3"/>
      <c r="TO25" s="3"/>
      <c r="TP25" s="3"/>
      <c r="TQ25" s="3"/>
      <c r="TR25" s="3"/>
      <c r="TS25" s="3"/>
      <c r="TT25" s="3"/>
      <c r="TU25" s="3"/>
      <c r="TV25" s="3"/>
      <c r="TW25" s="3"/>
      <c r="TX25" s="3"/>
      <c r="TY25" s="3"/>
      <c r="TZ25" s="3"/>
      <c r="UA25" s="3"/>
      <c r="UB25" s="3"/>
      <c r="UC25" s="3"/>
      <c r="UD25" s="3"/>
      <c r="UE25" s="3"/>
      <c r="UF25" s="3"/>
      <c r="UG25" s="3"/>
      <c r="UH25" s="3"/>
      <c r="UI25" s="3"/>
      <c r="UJ25" s="3"/>
      <c r="UK25" s="3"/>
      <c r="UL25" s="3"/>
      <c r="UM25" s="3"/>
      <c r="UN25" s="3"/>
      <c r="UO25" s="3"/>
      <c r="UP25" s="3"/>
      <c r="UQ25" s="3"/>
      <c r="UR25" s="3"/>
      <c r="US25" s="3"/>
      <c r="UT25" s="3"/>
      <c r="UU25" s="3"/>
      <c r="UV25" s="3"/>
      <c r="UW25" s="3"/>
      <c r="UX25" s="3"/>
      <c r="UY25" s="3"/>
      <c r="UZ25" s="3"/>
      <c r="VA25" s="3"/>
      <c r="VB25" s="3"/>
      <c r="VC25" s="3"/>
      <c r="VD25" s="3"/>
      <c r="VE25" s="3"/>
      <c r="VF25" s="3"/>
      <c r="VG25" s="3"/>
      <c r="VH25" s="3"/>
      <c r="VI25" s="3"/>
      <c r="VJ25" s="3"/>
      <c r="VK25" s="3"/>
      <c r="VL25" s="3"/>
      <c r="VM25" s="3"/>
      <c r="VN25" s="3"/>
      <c r="VO25" s="3"/>
      <c r="VP25" s="3"/>
      <c r="VQ25" s="3"/>
      <c r="VR25" s="3"/>
      <c r="VS25" s="3"/>
      <c r="VT25" s="3"/>
      <c r="VU25" s="3"/>
      <c r="VV25" s="3"/>
      <c r="VW25" s="3"/>
      <c r="VX25" s="3"/>
      <c r="VY25" s="3"/>
      <c r="VZ25" s="3"/>
      <c r="WA25" s="3"/>
      <c r="WB25" s="3"/>
      <c r="WC25" s="3"/>
      <c r="WD25" s="3"/>
      <c r="WE25" s="3"/>
      <c r="WF25" s="3"/>
      <c r="WG25" s="3"/>
      <c r="WH25" s="3"/>
      <c r="WI25" s="3"/>
      <c r="WJ25" s="3"/>
      <c r="WK25" s="3"/>
      <c r="WL25" s="3"/>
      <c r="WM25" s="3"/>
      <c r="WN25" s="3"/>
      <c r="WO25" s="3"/>
      <c r="WP25" s="3"/>
      <c r="WQ25" s="3"/>
      <c r="WR25" s="3"/>
      <c r="WS25" s="3"/>
      <c r="WT25" s="3"/>
      <c r="WU25" s="3"/>
      <c r="WV25" s="3"/>
      <c r="WW25" s="3"/>
      <c r="WX25" s="3"/>
      <c r="WY25" s="3"/>
      <c r="WZ25" s="3"/>
      <c r="XA25" s="3"/>
      <c r="XB25" s="3"/>
      <c r="XC25" s="3"/>
      <c r="XD25" s="3"/>
      <c r="XE25" s="3"/>
      <c r="XF25" s="3"/>
      <c r="XG25" s="3"/>
      <c r="XH25" s="3"/>
      <c r="XI25" s="3"/>
      <c r="XJ25" s="3"/>
      <c r="XK25" s="3"/>
      <c r="XL25" s="3"/>
      <c r="XM25" s="3"/>
      <c r="XN25" s="3"/>
      <c r="XO25" s="3"/>
      <c r="XP25" s="3"/>
      <c r="XQ25" s="3"/>
      <c r="XR25" s="3"/>
      <c r="XS25" s="3"/>
      <c r="XT25" s="3"/>
      <c r="XU25" s="3"/>
      <c r="XV25" s="3"/>
      <c r="XW25" s="3"/>
      <c r="XX25" s="3"/>
      <c r="XY25" s="3"/>
      <c r="XZ25" s="3"/>
      <c r="YA25" s="3"/>
      <c r="YB25" s="3"/>
      <c r="YC25" s="3"/>
      <c r="YD25" s="3"/>
      <c r="YE25" s="3"/>
      <c r="YF25" s="3"/>
      <c r="YG25" s="3"/>
      <c r="YH25" s="3"/>
      <c r="YI25" s="3"/>
      <c r="YJ25" s="3"/>
      <c r="YK25" s="3"/>
      <c r="YL25" s="3"/>
      <c r="YM25" s="3"/>
      <c r="YN25" s="3"/>
      <c r="YO25" s="3"/>
      <c r="YP25" s="3"/>
      <c r="YQ25" s="3"/>
      <c r="YR25" s="3"/>
      <c r="YS25" s="3"/>
      <c r="YT25" s="3"/>
      <c r="YU25" s="3"/>
      <c r="YV25" s="3"/>
      <c r="YW25" s="3"/>
      <c r="YX25" s="3"/>
      <c r="YY25" s="3"/>
      <c r="YZ25" s="3"/>
      <c r="ZA25" s="3"/>
      <c r="ZB25" s="3"/>
      <c r="ZC25" s="3"/>
    </row>
    <row r="26" spans="1:679" s="2" customFormat="1" x14ac:dyDescent="0.45">
      <c r="A26" s="3" t="s">
        <v>11</v>
      </c>
      <c r="B26" s="4">
        <v>30105</v>
      </c>
      <c r="C26" s="7" t="s">
        <v>21</v>
      </c>
      <c r="D26" s="6" t="s">
        <v>40</v>
      </c>
      <c r="E26" s="3"/>
      <c r="F26" s="3">
        <v>43</v>
      </c>
      <c r="L26" s="3"/>
      <c r="M26" s="3"/>
      <c r="N26" s="48"/>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c r="IF26" s="3"/>
      <c r="IG26" s="3"/>
      <c r="IH26" s="3"/>
      <c r="II26" s="3"/>
      <c r="IJ26" s="3"/>
      <c r="IK26" s="3"/>
      <c r="IL26" s="3"/>
      <c r="IM26" s="3"/>
      <c r="IN26" s="3"/>
      <c r="IO26" s="3"/>
      <c r="IP26" s="3"/>
      <c r="IQ26" s="3"/>
      <c r="IR26" s="3"/>
      <c r="IS26" s="3"/>
      <c r="IT26" s="3"/>
      <c r="IU26" s="3"/>
      <c r="IV26" s="3"/>
      <c r="IW26" s="3"/>
      <c r="IX26" s="3"/>
      <c r="IY26" s="3"/>
      <c r="IZ26" s="3"/>
      <c r="JA26" s="3"/>
      <c r="JB26" s="3"/>
      <c r="JC26" s="3"/>
      <c r="JD26" s="3"/>
      <c r="JE26" s="3"/>
      <c r="JF26" s="3"/>
      <c r="JG26" s="3"/>
      <c r="JH26" s="3"/>
      <c r="JI26" s="3"/>
      <c r="JJ26" s="3"/>
      <c r="JK26" s="3"/>
      <c r="JL26" s="3"/>
      <c r="JM26" s="3"/>
      <c r="JN26" s="3"/>
      <c r="JO26" s="3"/>
      <c r="JP26" s="3"/>
      <c r="JQ26" s="3"/>
      <c r="JR26" s="3"/>
      <c r="JS26" s="3"/>
      <c r="JT26" s="3"/>
      <c r="JU26" s="3"/>
      <c r="JV26" s="3"/>
      <c r="JW26" s="3"/>
      <c r="JX26" s="3"/>
      <c r="JY26" s="3"/>
      <c r="JZ26" s="3"/>
      <c r="KA26" s="3"/>
      <c r="KB26" s="3"/>
      <c r="KC26" s="3"/>
      <c r="KD26" s="3"/>
      <c r="KE26" s="3"/>
      <c r="KF26" s="3"/>
      <c r="KG26" s="3"/>
      <c r="KH26" s="3"/>
      <c r="KI26" s="3"/>
      <c r="KJ26" s="3"/>
      <c r="KK26" s="3"/>
      <c r="KL26" s="3"/>
      <c r="KM26" s="3"/>
      <c r="KN26" s="3"/>
      <c r="KO26" s="3"/>
      <c r="KP26" s="3"/>
      <c r="KQ26" s="3"/>
      <c r="KR26" s="3"/>
      <c r="KS26" s="3"/>
      <c r="KT26" s="3"/>
      <c r="KU26" s="3"/>
      <c r="KV26" s="3"/>
      <c r="KW26" s="3"/>
      <c r="KX26" s="3"/>
      <c r="KY26" s="3"/>
      <c r="KZ26" s="3"/>
      <c r="LA26" s="3"/>
      <c r="LB26" s="3"/>
      <c r="LC26" s="3"/>
      <c r="LD26" s="3"/>
      <c r="LE26" s="3"/>
      <c r="LF26" s="3"/>
      <c r="LG26" s="3"/>
      <c r="LH26" s="3"/>
      <c r="LI26" s="3"/>
      <c r="LJ26" s="3"/>
      <c r="LK26" s="3"/>
      <c r="LL26" s="3"/>
      <c r="LM26" s="3"/>
      <c r="LN26" s="3"/>
      <c r="LO26" s="3"/>
      <c r="LP26" s="3"/>
      <c r="LQ26" s="3"/>
      <c r="LR26" s="3"/>
      <c r="LS26" s="3"/>
      <c r="LT26" s="3"/>
      <c r="LU26" s="3"/>
      <c r="LV26" s="3"/>
      <c r="LW26" s="3"/>
      <c r="LX26" s="3"/>
      <c r="LY26" s="3"/>
      <c r="LZ26" s="3"/>
      <c r="MA26" s="3"/>
      <c r="MB26" s="3"/>
      <c r="MC26" s="3"/>
      <c r="MD26" s="3"/>
      <c r="ME26" s="3"/>
      <c r="MF26" s="3"/>
      <c r="MG26" s="3"/>
      <c r="MH26" s="3"/>
      <c r="MI26" s="3"/>
      <c r="MJ26" s="3"/>
      <c r="MK26" s="3"/>
      <c r="ML26" s="3"/>
      <c r="MM26" s="3"/>
      <c r="MN26" s="3"/>
      <c r="MO26" s="3"/>
      <c r="MP26" s="3"/>
      <c r="MQ26" s="3"/>
      <c r="MR26" s="3"/>
      <c r="MS26" s="3"/>
      <c r="MT26" s="3"/>
      <c r="MU26" s="3"/>
      <c r="MV26" s="3"/>
      <c r="MW26" s="3"/>
      <c r="MX26" s="3"/>
      <c r="MY26" s="3"/>
      <c r="MZ26" s="3"/>
      <c r="NA26" s="3"/>
      <c r="NB26" s="3"/>
      <c r="NC26" s="3"/>
      <c r="ND26" s="3"/>
      <c r="NE26" s="3"/>
      <c r="NF26" s="3"/>
      <c r="NG26" s="3"/>
      <c r="NH26" s="3"/>
      <c r="NI26" s="3"/>
      <c r="NJ26" s="3"/>
      <c r="NK26" s="3"/>
      <c r="NL26" s="3"/>
      <c r="NM26" s="3"/>
      <c r="NN26" s="3"/>
      <c r="NO26" s="3"/>
      <c r="NP26" s="3"/>
      <c r="NQ26" s="3"/>
      <c r="NR26" s="3"/>
      <c r="NS26" s="3"/>
      <c r="NT26" s="3"/>
      <c r="NU26" s="3"/>
      <c r="NV26" s="3"/>
      <c r="NW26" s="3"/>
      <c r="NX26" s="3"/>
      <c r="NY26" s="3"/>
      <c r="NZ26" s="3"/>
      <c r="OA26" s="3"/>
      <c r="OB26" s="3"/>
      <c r="OC26" s="3"/>
      <c r="OD26" s="3"/>
      <c r="OE26" s="3"/>
      <c r="OF26" s="3"/>
      <c r="OG26" s="3"/>
      <c r="OH26" s="3"/>
      <c r="OI26" s="3"/>
      <c r="OJ26" s="3"/>
      <c r="OK26" s="3"/>
      <c r="OL26" s="3"/>
      <c r="OM26" s="3"/>
      <c r="ON26" s="3"/>
      <c r="OO26" s="3"/>
      <c r="OP26" s="3"/>
      <c r="OQ26" s="3"/>
      <c r="OR26" s="3"/>
      <c r="OS26" s="3"/>
      <c r="OT26" s="3"/>
      <c r="OU26" s="3"/>
      <c r="OV26" s="3"/>
      <c r="OW26" s="3"/>
      <c r="OX26" s="3"/>
      <c r="OY26" s="3"/>
      <c r="OZ26" s="3"/>
      <c r="PA26" s="3"/>
      <c r="PB26" s="3"/>
      <c r="PC26" s="3"/>
      <c r="PD26" s="3"/>
      <c r="PE26" s="3"/>
      <c r="PF26" s="3"/>
      <c r="PG26" s="3"/>
      <c r="PH26" s="3"/>
      <c r="PI26" s="3"/>
      <c r="PJ26" s="3"/>
      <c r="PK26" s="3"/>
      <c r="PL26" s="3"/>
      <c r="PM26" s="3"/>
      <c r="PN26" s="3"/>
      <c r="PO26" s="3"/>
      <c r="PP26" s="3"/>
      <c r="PQ26" s="3"/>
      <c r="PR26" s="3"/>
      <c r="PS26" s="3"/>
      <c r="PT26" s="3"/>
      <c r="PU26" s="3"/>
      <c r="PV26" s="3"/>
      <c r="PW26" s="3"/>
      <c r="PX26" s="3"/>
      <c r="PY26" s="3"/>
      <c r="PZ26" s="3"/>
      <c r="QA26" s="3"/>
      <c r="QB26" s="3"/>
      <c r="QC26" s="3"/>
      <c r="QD26" s="3"/>
      <c r="QE26" s="3"/>
      <c r="QF26" s="3"/>
      <c r="QG26" s="3"/>
      <c r="QH26" s="3"/>
      <c r="QI26" s="3"/>
      <c r="QJ26" s="3"/>
      <c r="QK26" s="3"/>
      <c r="QL26" s="3"/>
      <c r="QM26" s="3"/>
      <c r="QN26" s="3"/>
      <c r="QO26" s="3"/>
      <c r="QP26" s="3"/>
      <c r="QQ26" s="3"/>
      <c r="QR26" s="3"/>
      <c r="QS26" s="3"/>
      <c r="QT26" s="3"/>
      <c r="QU26" s="3"/>
      <c r="QV26" s="3"/>
      <c r="QW26" s="3"/>
      <c r="QX26" s="3"/>
      <c r="QY26" s="3"/>
      <c r="QZ26" s="3"/>
      <c r="RA26" s="3"/>
      <c r="RB26" s="3"/>
      <c r="RC26" s="3"/>
      <c r="RD26" s="3"/>
      <c r="RE26" s="3"/>
      <c r="RF26" s="3"/>
      <c r="RG26" s="3"/>
      <c r="RH26" s="3"/>
      <c r="RI26" s="3"/>
      <c r="RJ26" s="3"/>
      <c r="RK26" s="3"/>
      <c r="RL26" s="3"/>
      <c r="RM26" s="3"/>
      <c r="RN26" s="3"/>
      <c r="RO26" s="3"/>
      <c r="RP26" s="3"/>
      <c r="RQ26" s="3"/>
      <c r="RR26" s="3"/>
      <c r="RS26" s="3"/>
      <c r="RT26" s="3"/>
      <c r="RU26" s="3"/>
      <c r="RV26" s="3"/>
      <c r="RW26" s="3"/>
      <c r="RX26" s="3"/>
      <c r="RY26" s="3"/>
      <c r="RZ26" s="3"/>
      <c r="SA26" s="3"/>
      <c r="SB26" s="3"/>
      <c r="SC26" s="3"/>
      <c r="SD26" s="3"/>
      <c r="SE26" s="3"/>
      <c r="SF26" s="3"/>
      <c r="SG26" s="3"/>
      <c r="SH26" s="3"/>
      <c r="SI26" s="3"/>
      <c r="SJ26" s="3"/>
      <c r="SK26" s="3"/>
      <c r="SL26" s="3"/>
      <c r="SM26" s="3"/>
      <c r="SN26" s="3"/>
      <c r="SO26" s="3"/>
      <c r="SP26" s="3"/>
      <c r="SQ26" s="3"/>
      <c r="SR26" s="3"/>
      <c r="SS26" s="3"/>
      <c r="ST26" s="3"/>
      <c r="SU26" s="3"/>
      <c r="SV26" s="3"/>
      <c r="SW26" s="3"/>
      <c r="SX26" s="3"/>
      <c r="SY26" s="3"/>
      <c r="SZ26" s="3"/>
      <c r="TA26" s="3"/>
      <c r="TB26" s="3"/>
      <c r="TC26" s="3"/>
      <c r="TD26" s="3"/>
      <c r="TE26" s="3"/>
      <c r="TF26" s="3"/>
      <c r="TG26" s="3"/>
      <c r="TH26" s="3"/>
      <c r="TI26" s="3"/>
      <c r="TJ26" s="3"/>
      <c r="TK26" s="3"/>
      <c r="TL26" s="3"/>
      <c r="TM26" s="3"/>
      <c r="TN26" s="3"/>
      <c r="TO26" s="3"/>
      <c r="TP26" s="3"/>
      <c r="TQ26" s="3"/>
      <c r="TR26" s="3"/>
      <c r="TS26" s="3"/>
      <c r="TT26" s="3"/>
      <c r="TU26" s="3"/>
      <c r="TV26" s="3"/>
      <c r="TW26" s="3"/>
      <c r="TX26" s="3"/>
      <c r="TY26" s="3"/>
      <c r="TZ26" s="3"/>
      <c r="UA26" s="3"/>
      <c r="UB26" s="3"/>
      <c r="UC26" s="3"/>
      <c r="UD26" s="3"/>
      <c r="UE26" s="3"/>
      <c r="UF26" s="3"/>
      <c r="UG26" s="3"/>
      <c r="UH26" s="3"/>
      <c r="UI26" s="3"/>
      <c r="UJ26" s="3"/>
      <c r="UK26" s="3"/>
      <c r="UL26" s="3"/>
      <c r="UM26" s="3"/>
      <c r="UN26" s="3"/>
      <c r="UO26" s="3"/>
      <c r="UP26" s="3"/>
      <c r="UQ26" s="3"/>
      <c r="UR26" s="3"/>
      <c r="US26" s="3"/>
      <c r="UT26" s="3"/>
      <c r="UU26" s="3"/>
      <c r="UV26" s="3"/>
      <c r="UW26" s="3"/>
      <c r="UX26" s="3"/>
      <c r="UY26" s="3"/>
      <c r="UZ26" s="3"/>
      <c r="VA26" s="3"/>
      <c r="VB26" s="3"/>
      <c r="VC26" s="3"/>
      <c r="VD26" s="3"/>
      <c r="VE26" s="3"/>
      <c r="VF26" s="3"/>
      <c r="VG26" s="3"/>
      <c r="VH26" s="3"/>
      <c r="VI26" s="3"/>
      <c r="VJ26" s="3"/>
      <c r="VK26" s="3"/>
      <c r="VL26" s="3"/>
      <c r="VM26" s="3"/>
      <c r="VN26" s="3"/>
      <c r="VO26" s="3"/>
      <c r="VP26" s="3"/>
      <c r="VQ26" s="3"/>
      <c r="VR26" s="3"/>
      <c r="VS26" s="3"/>
      <c r="VT26" s="3"/>
      <c r="VU26" s="3"/>
      <c r="VV26" s="3"/>
      <c r="VW26" s="3"/>
      <c r="VX26" s="3"/>
      <c r="VY26" s="3"/>
      <c r="VZ26" s="3"/>
      <c r="WA26" s="3"/>
      <c r="WB26" s="3"/>
      <c r="WC26" s="3"/>
      <c r="WD26" s="3"/>
      <c r="WE26" s="3"/>
      <c r="WF26" s="3"/>
      <c r="WG26" s="3"/>
      <c r="WH26" s="3"/>
      <c r="WI26" s="3"/>
      <c r="WJ26" s="3"/>
      <c r="WK26" s="3"/>
      <c r="WL26" s="3"/>
      <c r="WM26" s="3"/>
      <c r="WN26" s="3"/>
      <c r="WO26" s="3"/>
      <c r="WP26" s="3"/>
      <c r="WQ26" s="3"/>
      <c r="WR26" s="3"/>
      <c r="WS26" s="3"/>
      <c r="WT26" s="3"/>
      <c r="WU26" s="3"/>
      <c r="WV26" s="3"/>
      <c r="WW26" s="3"/>
      <c r="WX26" s="3"/>
      <c r="WY26" s="3"/>
      <c r="WZ26" s="3"/>
      <c r="XA26" s="3"/>
      <c r="XB26" s="3"/>
      <c r="XC26" s="3"/>
      <c r="XD26" s="3"/>
      <c r="XE26" s="3"/>
      <c r="XF26" s="3"/>
      <c r="XG26" s="3"/>
      <c r="XH26" s="3"/>
      <c r="XI26" s="3"/>
      <c r="XJ26" s="3"/>
      <c r="XK26" s="3"/>
      <c r="XL26" s="3"/>
      <c r="XM26" s="3"/>
      <c r="XN26" s="3"/>
      <c r="XO26" s="3"/>
      <c r="XP26" s="3"/>
      <c r="XQ26" s="3"/>
      <c r="XR26" s="3"/>
      <c r="XS26" s="3"/>
      <c r="XT26" s="3"/>
      <c r="XU26" s="3"/>
      <c r="XV26" s="3"/>
      <c r="XW26" s="3"/>
      <c r="XX26" s="3"/>
      <c r="XY26" s="3"/>
      <c r="XZ26" s="3"/>
      <c r="YA26" s="3"/>
      <c r="YB26" s="3"/>
      <c r="YC26" s="3"/>
      <c r="YD26" s="3"/>
      <c r="YE26" s="3"/>
      <c r="YF26" s="3"/>
      <c r="YG26" s="3"/>
      <c r="YH26" s="3"/>
      <c r="YI26" s="3"/>
      <c r="YJ26" s="3"/>
      <c r="YK26" s="3"/>
      <c r="YL26" s="3"/>
      <c r="YM26" s="3"/>
      <c r="YN26" s="3"/>
      <c r="YO26" s="3"/>
      <c r="YP26" s="3"/>
      <c r="YQ26" s="3"/>
      <c r="YR26" s="3"/>
      <c r="YS26" s="3"/>
      <c r="YT26" s="3"/>
      <c r="YU26" s="3"/>
      <c r="YV26" s="3"/>
      <c r="YW26" s="3"/>
      <c r="YX26" s="3"/>
      <c r="YY26" s="3"/>
      <c r="YZ26" s="3"/>
      <c r="ZA26" s="3"/>
      <c r="ZB26" s="3"/>
      <c r="ZC26" s="3"/>
    </row>
    <row r="27" spans="1:679" s="2" customFormat="1" x14ac:dyDescent="0.45">
      <c r="A27" s="3" t="s">
        <v>11</v>
      </c>
      <c r="B27" s="4">
        <v>30130</v>
      </c>
      <c r="C27" s="7" t="s">
        <v>21</v>
      </c>
      <c r="D27" s="6" t="s">
        <v>41</v>
      </c>
      <c r="E27" s="3"/>
      <c r="F27" s="3">
        <v>10</v>
      </c>
      <c r="L27" s="3"/>
      <c r="M27" s="3"/>
      <c r="N27" s="48"/>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c r="ID27" s="3"/>
      <c r="IE27" s="3"/>
      <c r="IF27" s="3"/>
      <c r="IG27" s="3"/>
      <c r="IH27" s="3"/>
      <c r="II27" s="3"/>
      <c r="IJ27" s="3"/>
      <c r="IK27" s="3"/>
      <c r="IL27" s="3"/>
      <c r="IM27" s="3"/>
      <c r="IN27" s="3"/>
      <c r="IO27" s="3"/>
      <c r="IP27" s="3"/>
      <c r="IQ27" s="3"/>
      <c r="IR27" s="3"/>
      <c r="IS27" s="3"/>
      <c r="IT27" s="3"/>
      <c r="IU27" s="3"/>
      <c r="IV27" s="3"/>
      <c r="IW27" s="3"/>
      <c r="IX27" s="3"/>
      <c r="IY27" s="3"/>
      <c r="IZ27" s="3"/>
      <c r="JA27" s="3"/>
      <c r="JB27" s="3"/>
      <c r="JC27" s="3"/>
      <c r="JD27" s="3"/>
      <c r="JE27" s="3"/>
      <c r="JF27" s="3"/>
      <c r="JG27" s="3"/>
      <c r="JH27" s="3"/>
      <c r="JI27" s="3"/>
      <c r="JJ27" s="3"/>
      <c r="JK27" s="3"/>
      <c r="JL27" s="3"/>
      <c r="JM27" s="3"/>
      <c r="JN27" s="3"/>
      <c r="JO27" s="3"/>
      <c r="JP27" s="3"/>
      <c r="JQ27" s="3"/>
      <c r="JR27" s="3"/>
      <c r="JS27" s="3"/>
      <c r="JT27" s="3"/>
      <c r="JU27" s="3"/>
      <c r="JV27" s="3"/>
      <c r="JW27" s="3"/>
      <c r="JX27" s="3"/>
      <c r="JY27" s="3"/>
      <c r="JZ27" s="3"/>
      <c r="KA27" s="3"/>
      <c r="KB27" s="3"/>
      <c r="KC27" s="3"/>
      <c r="KD27" s="3"/>
      <c r="KE27" s="3"/>
      <c r="KF27" s="3"/>
      <c r="KG27" s="3"/>
      <c r="KH27" s="3"/>
      <c r="KI27" s="3"/>
      <c r="KJ27" s="3"/>
      <c r="KK27" s="3"/>
      <c r="KL27" s="3"/>
      <c r="KM27" s="3"/>
      <c r="KN27" s="3"/>
      <c r="KO27" s="3"/>
      <c r="KP27" s="3"/>
      <c r="KQ27" s="3"/>
      <c r="KR27" s="3"/>
      <c r="KS27" s="3"/>
      <c r="KT27" s="3"/>
      <c r="KU27" s="3"/>
      <c r="KV27" s="3"/>
      <c r="KW27" s="3"/>
      <c r="KX27" s="3"/>
      <c r="KY27" s="3"/>
      <c r="KZ27" s="3"/>
      <c r="LA27" s="3"/>
      <c r="LB27" s="3"/>
      <c r="LC27" s="3"/>
      <c r="LD27" s="3"/>
      <c r="LE27" s="3"/>
      <c r="LF27" s="3"/>
      <c r="LG27" s="3"/>
      <c r="LH27" s="3"/>
      <c r="LI27" s="3"/>
      <c r="LJ27" s="3"/>
      <c r="LK27" s="3"/>
      <c r="LL27" s="3"/>
      <c r="LM27" s="3"/>
      <c r="LN27" s="3"/>
      <c r="LO27" s="3"/>
      <c r="LP27" s="3"/>
      <c r="LQ27" s="3"/>
      <c r="LR27" s="3"/>
      <c r="LS27" s="3"/>
      <c r="LT27" s="3"/>
      <c r="LU27" s="3"/>
      <c r="LV27" s="3"/>
      <c r="LW27" s="3"/>
      <c r="LX27" s="3"/>
      <c r="LY27" s="3"/>
      <c r="LZ27" s="3"/>
      <c r="MA27" s="3"/>
      <c r="MB27" s="3"/>
      <c r="MC27" s="3"/>
      <c r="MD27" s="3"/>
      <c r="ME27" s="3"/>
      <c r="MF27" s="3"/>
      <c r="MG27" s="3"/>
      <c r="MH27" s="3"/>
      <c r="MI27" s="3"/>
      <c r="MJ27" s="3"/>
      <c r="MK27" s="3"/>
      <c r="ML27" s="3"/>
      <c r="MM27" s="3"/>
      <c r="MN27" s="3"/>
      <c r="MO27" s="3"/>
      <c r="MP27" s="3"/>
      <c r="MQ27" s="3"/>
      <c r="MR27" s="3"/>
      <c r="MS27" s="3"/>
      <c r="MT27" s="3"/>
      <c r="MU27" s="3"/>
      <c r="MV27" s="3"/>
      <c r="MW27" s="3"/>
      <c r="MX27" s="3"/>
      <c r="MY27" s="3"/>
      <c r="MZ27" s="3"/>
      <c r="NA27" s="3"/>
      <c r="NB27" s="3"/>
      <c r="NC27" s="3"/>
      <c r="ND27" s="3"/>
      <c r="NE27" s="3"/>
      <c r="NF27" s="3"/>
      <c r="NG27" s="3"/>
      <c r="NH27" s="3"/>
      <c r="NI27" s="3"/>
      <c r="NJ27" s="3"/>
      <c r="NK27" s="3"/>
      <c r="NL27" s="3"/>
      <c r="NM27" s="3"/>
      <c r="NN27" s="3"/>
      <c r="NO27" s="3"/>
      <c r="NP27" s="3"/>
      <c r="NQ27" s="3"/>
      <c r="NR27" s="3"/>
      <c r="NS27" s="3"/>
      <c r="NT27" s="3"/>
      <c r="NU27" s="3"/>
      <c r="NV27" s="3"/>
      <c r="NW27" s="3"/>
      <c r="NX27" s="3"/>
      <c r="NY27" s="3"/>
      <c r="NZ27" s="3"/>
      <c r="OA27" s="3"/>
      <c r="OB27" s="3"/>
      <c r="OC27" s="3"/>
      <c r="OD27" s="3"/>
      <c r="OE27" s="3"/>
      <c r="OF27" s="3"/>
      <c r="OG27" s="3"/>
      <c r="OH27" s="3"/>
      <c r="OI27" s="3"/>
      <c r="OJ27" s="3"/>
      <c r="OK27" s="3"/>
      <c r="OL27" s="3"/>
      <c r="OM27" s="3"/>
      <c r="ON27" s="3"/>
      <c r="OO27" s="3"/>
      <c r="OP27" s="3"/>
      <c r="OQ27" s="3"/>
      <c r="OR27" s="3"/>
      <c r="OS27" s="3"/>
      <c r="OT27" s="3"/>
      <c r="OU27" s="3"/>
      <c r="OV27" s="3"/>
      <c r="OW27" s="3"/>
      <c r="OX27" s="3"/>
      <c r="OY27" s="3"/>
      <c r="OZ27" s="3"/>
      <c r="PA27" s="3"/>
      <c r="PB27" s="3"/>
      <c r="PC27" s="3"/>
      <c r="PD27" s="3"/>
      <c r="PE27" s="3"/>
      <c r="PF27" s="3"/>
      <c r="PG27" s="3"/>
      <c r="PH27" s="3"/>
      <c r="PI27" s="3"/>
      <c r="PJ27" s="3"/>
      <c r="PK27" s="3"/>
      <c r="PL27" s="3"/>
      <c r="PM27" s="3"/>
      <c r="PN27" s="3"/>
      <c r="PO27" s="3"/>
      <c r="PP27" s="3"/>
      <c r="PQ27" s="3"/>
      <c r="PR27" s="3"/>
      <c r="PS27" s="3"/>
      <c r="PT27" s="3"/>
      <c r="PU27" s="3"/>
      <c r="PV27" s="3"/>
      <c r="PW27" s="3"/>
      <c r="PX27" s="3"/>
      <c r="PY27" s="3"/>
      <c r="PZ27" s="3"/>
      <c r="QA27" s="3"/>
      <c r="QB27" s="3"/>
      <c r="QC27" s="3"/>
      <c r="QD27" s="3"/>
      <c r="QE27" s="3"/>
      <c r="QF27" s="3"/>
      <c r="QG27" s="3"/>
      <c r="QH27" s="3"/>
      <c r="QI27" s="3"/>
      <c r="QJ27" s="3"/>
      <c r="QK27" s="3"/>
      <c r="QL27" s="3"/>
      <c r="QM27" s="3"/>
      <c r="QN27" s="3"/>
      <c r="QO27" s="3"/>
      <c r="QP27" s="3"/>
      <c r="QQ27" s="3"/>
      <c r="QR27" s="3"/>
      <c r="QS27" s="3"/>
      <c r="QT27" s="3"/>
      <c r="QU27" s="3"/>
      <c r="QV27" s="3"/>
      <c r="QW27" s="3"/>
      <c r="QX27" s="3"/>
      <c r="QY27" s="3"/>
      <c r="QZ27" s="3"/>
      <c r="RA27" s="3"/>
      <c r="RB27" s="3"/>
      <c r="RC27" s="3"/>
      <c r="RD27" s="3"/>
      <c r="RE27" s="3"/>
      <c r="RF27" s="3"/>
      <c r="RG27" s="3"/>
      <c r="RH27" s="3"/>
      <c r="RI27" s="3"/>
      <c r="RJ27" s="3"/>
      <c r="RK27" s="3"/>
      <c r="RL27" s="3"/>
      <c r="RM27" s="3"/>
      <c r="RN27" s="3"/>
      <c r="RO27" s="3"/>
      <c r="RP27" s="3"/>
      <c r="RQ27" s="3"/>
      <c r="RR27" s="3"/>
      <c r="RS27" s="3"/>
      <c r="RT27" s="3"/>
      <c r="RU27" s="3"/>
      <c r="RV27" s="3"/>
      <c r="RW27" s="3"/>
      <c r="RX27" s="3"/>
      <c r="RY27" s="3"/>
      <c r="RZ27" s="3"/>
      <c r="SA27" s="3"/>
      <c r="SB27" s="3"/>
      <c r="SC27" s="3"/>
      <c r="SD27" s="3"/>
      <c r="SE27" s="3"/>
      <c r="SF27" s="3"/>
      <c r="SG27" s="3"/>
      <c r="SH27" s="3"/>
      <c r="SI27" s="3"/>
      <c r="SJ27" s="3"/>
      <c r="SK27" s="3"/>
      <c r="SL27" s="3"/>
      <c r="SM27" s="3"/>
      <c r="SN27" s="3"/>
      <c r="SO27" s="3"/>
      <c r="SP27" s="3"/>
      <c r="SQ27" s="3"/>
      <c r="SR27" s="3"/>
      <c r="SS27" s="3"/>
      <c r="ST27" s="3"/>
      <c r="SU27" s="3"/>
      <c r="SV27" s="3"/>
      <c r="SW27" s="3"/>
      <c r="SX27" s="3"/>
      <c r="SY27" s="3"/>
      <c r="SZ27" s="3"/>
      <c r="TA27" s="3"/>
      <c r="TB27" s="3"/>
      <c r="TC27" s="3"/>
      <c r="TD27" s="3"/>
      <c r="TE27" s="3"/>
      <c r="TF27" s="3"/>
      <c r="TG27" s="3"/>
      <c r="TH27" s="3"/>
      <c r="TI27" s="3"/>
      <c r="TJ27" s="3"/>
      <c r="TK27" s="3"/>
      <c r="TL27" s="3"/>
      <c r="TM27" s="3"/>
      <c r="TN27" s="3"/>
      <c r="TO27" s="3"/>
      <c r="TP27" s="3"/>
      <c r="TQ27" s="3"/>
      <c r="TR27" s="3"/>
      <c r="TS27" s="3"/>
      <c r="TT27" s="3"/>
      <c r="TU27" s="3"/>
      <c r="TV27" s="3"/>
      <c r="TW27" s="3"/>
      <c r="TX27" s="3"/>
      <c r="TY27" s="3"/>
      <c r="TZ27" s="3"/>
      <c r="UA27" s="3"/>
      <c r="UB27" s="3"/>
      <c r="UC27" s="3"/>
      <c r="UD27" s="3"/>
      <c r="UE27" s="3"/>
      <c r="UF27" s="3"/>
      <c r="UG27" s="3"/>
      <c r="UH27" s="3"/>
      <c r="UI27" s="3"/>
      <c r="UJ27" s="3"/>
      <c r="UK27" s="3"/>
      <c r="UL27" s="3"/>
      <c r="UM27" s="3"/>
      <c r="UN27" s="3"/>
      <c r="UO27" s="3"/>
      <c r="UP27" s="3"/>
      <c r="UQ27" s="3"/>
      <c r="UR27" s="3"/>
      <c r="US27" s="3"/>
      <c r="UT27" s="3"/>
      <c r="UU27" s="3"/>
      <c r="UV27" s="3"/>
      <c r="UW27" s="3"/>
      <c r="UX27" s="3"/>
      <c r="UY27" s="3"/>
      <c r="UZ27" s="3"/>
      <c r="VA27" s="3"/>
      <c r="VB27" s="3"/>
      <c r="VC27" s="3"/>
      <c r="VD27" s="3"/>
      <c r="VE27" s="3"/>
      <c r="VF27" s="3"/>
      <c r="VG27" s="3"/>
      <c r="VH27" s="3"/>
      <c r="VI27" s="3"/>
      <c r="VJ27" s="3"/>
      <c r="VK27" s="3"/>
      <c r="VL27" s="3"/>
      <c r="VM27" s="3"/>
      <c r="VN27" s="3"/>
      <c r="VO27" s="3"/>
      <c r="VP27" s="3"/>
      <c r="VQ27" s="3"/>
      <c r="VR27" s="3"/>
      <c r="VS27" s="3"/>
      <c r="VT27" s="3"/>
      <c r="VU27" s="3"/>
      <c r="VV27" s="3"/>
      <c r="VW27" s="3"/>
      <c r="VX27" s="3"/>
      <c r="VY27" s="3"/>
      <c r="VZ27" s="3"/>
      <c r="WA27" s="3"/>
      <c r="WB27" s="3"/>
      <c r="WC27" s="3"/>
      <c r="WD27" s="3"/>
      <c r="WE27" s="3"/>
      <c r="WF27" s="3"/>
      <c r="WG27" s="3"/>
      <c r="WH27" s="3"/>
      <c r="WI27" s="3"/>
      <c r="WJ27" s="3"/>
      <c r="WK27" s="3"/>
      <c r="WL27" s="3"/>
      <c r="WM27" s="3"/>
      <c r="WN27" s="3"/>
      <c r="WO27" s="3"/>
      <c r="WP27" s="3"/>
      <c r="WQ27" s="3"/>
      <c r="WR27" s="3"/>
      <c r="WS27" s="3"/>
      <c r="WT27" s="3"/>
      <c r="WU27" s="3"/>
      <c r="WV27" s="3"/>
      <c r="WW27" s="3"/>
      <c r="WX27" s="3"/>
      <c r="WY27" s="3"/>
      <c r="WZ27" s="3"/>
      <c r="XA27" s="3"/>
      <c r="XB27" s="3"/>
      <c r="XC27" s="3"/>
      <c r="XD27" s="3"/>
      <c r="XE27" s="3"/>
      <c r="XF27" s="3"/>
      <c r="XG27" s="3"/>
      <c r="XH27" s="3"/>
      <c r="XI27" s="3"/>
      <c r="XJ27" s="3"/>
      <c r="XK27" s="3"/>
      <c r="XL27" s="3"/>
      <c r="XM27" s="3"/>
      <c r="XN27" s="3"/>
      <c r="XO27" s="3"/>
      <c r="XP27" s="3"/>
      <c r="XQ27" s="3"/>
      <c r="XR27" s="3"/>
      <c r="XS27" s="3"/>
      <c r="XT27" s="3"/>
      <c r="XU27" s="3"/>
      <c r="XV27" s="3"/>
      <c r="XW27" s="3"/>
      <c r="XX27" s="3"/>
      <c r="XY27" s="3"/>
      <c r="XZ27" s="3"/>
      <c r="YA27" s="3"/>
      <c r="YB27" s="3"/>
      <c r="YC27" s="3"/>
      <c r="YD27" s="3"/>
      <c r="YE27" s="3"/>
      <c r="YF27" s="3"/>
      <c r="YG27" s="3"/>
      <c r="YH27" s="3"/>
      <c r="YI27" s="3"/>
      <c r="YJ27" s="3"/>
      <c r="YK27" s="3"/>
      <c r="YL27" s="3"/>
      <c r="YM27" s="3"/>
      <c r="YN27" s="3"/>
      <c r="YO27" s="3"/>
      <c r="YP27" s="3"/>
      <c r="YQ27" s="3"/>
      <c r="YR27" s="3"/>
      <c r="YS27" s="3"/>
      <c r="YT27" s="3"/>
      <c r="YU27" s="3"/>
      <c r="YV27" s="3"/>
      <c r="YW27" s="3"/>
      <c r="YX27" s="3"/>
      <c r="YY27" s="3"/>
      <c r="YZ27" s="3"/>
      <c r="ZA27" s="3"/>
      <c r="ZB27" s="3"/>
      <c r="ZC27" s="3"/>
    </row>
    <row r="28" spans="1:679" s="2" customFormat="1" x14ac:dyDescent="0.45">
      <c r="A28" s="3" t="s">
        <v>11</v>
      </c>
      <c r="B28" s="4">
        <v>30414</v>
      </c>
      <c r="C28" s="7" t="s">
        <v>21</v>
      </c>
      <c r="D28" s="6" t="s">
        <v>42</v>
      </c>
      <c r="E28" s="3"/>
      <c r="F28" s="3">
        <v>6</v>
      </c>
      <c r="L28" s="3"/>
      <c r="M28" s="3"/>
      <c r="N28" s="48"/>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c r="GS28" s="3"/>
      <c r="GT28" s="3"/>
      <c r="GU28" s="3"/>
      <c r="GV28" s="3"/>
      <c r="GW28" s="3"/>
      <c r="GX28" s="3"/>
      <c r="GY28" s="3"/>
      <c r="GZ28" s="3"/>
      <c r="HA28" s="3"/>
      <c r="HB28" s="3"/>
      <c r="HC28" s="3"/>
      <c r="HD28" s="3"/>
      <c r="HE28" s="3"/>
      <c r="HF28" s="3"/>
      <c r="HG28" s="3"/>
      <c r="HH28" s="3"/>
      <c r="HI28" s="3"/>
      <c r="HJ28" s="3"/>
      <c r="HK28" s="3"/>
      <c r="HL28" s="3"/>
      <c r="HM28" s="3"/>
      <c r="HN28" s="3"/>
      <c r="HO28" s="3"/>
      <c r="HP28" s="3"/>
      <c r="HQ28" s="3"/>
      <c r="HR28" s="3"/>
      <c r="HS28" s="3"/>
      <c r="HT28" s="3"/>
      <c r="HU28" s="3"/>
      <c r="HV28" s="3"/>
      <c r="HW28" s="3"/>
      <c r="HX28" s="3"/>
      <c r="HY28" s="3"/>
      <c r="HZ28" s="3"/>
      <c r="IA28" s="3"/>
      <c r="IB28" s="3"/>
      <c r="IC28" s="3"/>
      <c r="ID28" s="3"/>
      <c r="IE28" s="3"/>
      <c r="IF28" s="3"/>
      <c r="IG28" s="3"/>
      <c r="IH28" s="3"/>
      <c r="II28" s="3"/>
      <c r="IJ28" s="3"/>
      <c r="IK28" s="3"/>
      <c r="IL28" s="3"/>
      <c r="IM28" s="3"/>
      <c r="IN28" s="3"/>
      <c r="IO28" s="3"/>
      <c r="IP28" s="3"/>
      <c r="IQ28" s="3"/>
      <c r="IR28" s="3"/>
      <c r="IS28" s="3"/>
      <c r="IT28" s="3"/>
      <c r="IU28" s="3"/>
      <c r="IV28" s="3"/>
      <c r="IW28" s="3"/>
      <c r="IX28" s="3"/>
      <c r="IY28" s="3"/>
      <c r="IZ28" s="3"/>
      <c r="JA28" s="3"/>
      <c r="JB28" s="3"/>
      <c r="JC28" s="3"/>
      <c r="JD28" s="3"/>
      <c r="JE28" s="3"/>
      <c r="JF28" s="3"/>
      <c r="JG28" s="3"/>
      <c r="JH28" s="3"/>
      <c r="JI28" s="3"/>
      <c r="JJ28" s="3"/>
      <c r="JK28" s="3"/>
      <c r="JL28" s="3"/>
      <c r="JM28" s="3"/>
      <c r="JN28" s="3"/>
      <c r="JO28" s="3"/>
      <c r="JP28" s="3"/>
      <c r="JQ28" s="3"/>
      <c r="JR28" s="3"/>
      <c r="JS28" s="3"/>
      <c r="JT28" s="3"/>
      <c r="JU28" s="3"/>
      <c r="JV28" s="3"/>
      <c r="JW28" s="3"/>
      <c r="JX28" s="3"/>
      <c r="JY28" s="3"/>
      <c r="JZ28" s="3"/>
      <c r="KA28" s="3"/>
      <c r="KB28" s="3"/>
      <c r="KC28" s="3"/>
      <c r="KD28" s="3"/>
      <c r="KE28" s="3"/>
      <c r="KF28" s="3"/>
      <c r="KG28" s="3"/>
      <c r="KH28" s="3"/>
      <c r="KI28" s="3"/>
      <c r="KJ28" s="3"/>
      <c r="KK28" s="3"/>
      <c r="KL28" s="3"/>
      <c r="KM28" s="3"/>
      <c r="KN28" s="3"/>
      <c r="KO28" s="3"/>
      <c r="KP28" s="3"/>
      <c r="KQ28" s="3"/>
      <c r="KR28" s="3"/>
      <c r="KS28" s="3"/>
      <c r="KT28" s="3"/>
      <c r="KU28" s="3"/>
      <c r="KV28" s="3"/>
      <c r="KW28" s="3"/>
      <c r="KX28" s="3"/>
      <c r="KY28" s="3"/>
      <c r="KZ28" s="3"/>
      <c r="LA28" s="3"/>
      <c r="LB28" s="3"/>
      <c r="LC28" s="3"/>
      <c r="LD28" s="3"/>
      <c r="LE28" s="3"/>
      <c r="LF28" s="3"/>
      <c r="LG28" s="3"/>
      <c r="LH28" s="3"/>
      <c r="LI28" s="3"/>
      <c r="LJ28" s="3"/>
      <c r="LK28" s="3"/>
      <c r="LL28" s="3"/>
      <c r="LM28" s="3"/>
      <c r="LN28" s="3"/>
      <c r="LO28" s="3"/>
      <c r="LP28" s="3"/>
      <c r="LQ28" s="3"/>
      <c r="LR28" s="3"/>
      <c r="LS28" s="3"/>
      <c r="LT28" s="3"/>
      <c r="LU28" s="3"/>
      <c r="LV28" s="3"/>
      <c r="LW28" s="3"/>
      <c r="LX28" s="3"/>
      <c r="LY28" s="3"/>
      <c r="LZ28" s="3"/>
      <c r="MA28" s="3"/>
      <c r="MB28" s="3"/>
      <c r="MC28" s="3"/>
      <c r="MD28" s="3"/>
      <c r="ME28" s="3"/>
      <c r="MF28" s="3"/>
      <c r="MG28" s="3"/>
      <c r="MH28" s="3"/>
      <c r="MI28" s="3"/>
      <c r="MJ28" s="3"/>
      <c r="MK28" s="3"/>
      <c r="ML28" s="3"/>
      <c r="MM28" s="3"/>
      <c r="MN28" s="3"/>
      <c r="MO28" s="3"/>
      <c r="MP28" s="3"/>
      <c r="MQ28" s="3"/>
      <c r="MR28" s="3"/>
      <c r="MS28" s="3"/>
      <c r="MT28" s="3"/>
      <c r="MU28" s="3"/>
      <c r="MV28" s="3"/>
      <c r="MW28" s="3"/>
      <c r="MX28" s="3"/>
      <c r="MY28" s="3"/>
      <c r="MZ28" s="3"/>
      <c r="NA28" s="3"/>
      <c r="NB28" s="3"/>
      <c r="NC28" s="3"/>
      <c r="ND28" s="3"/>
      <c r="NE28" s="3"/>
      <c r="NF28" s="3"/>
      <c r="NG28" s="3"/>
      <c r="NH28" s="3"/>
      <c r="NI28" s="3"/>
      <c r="NJ28" s="3"/>
      <c r="NK28" s="3"/>
      <c r="NL28" s="3"/>
      <c r="NM28" s="3"/>
      <c r="NN28" s="3"/>
      <c r="NO28" s="3"/>
      <c r="NP28" s="3"/>
      <c r="NQ28" s="3"/>
      <c r="NR28" s="3"/>
      <c r="NS28" s="3"/>
      <c r="NT28" s="3"/>
      <c r="NU28" s="3"/>
      <c r="NV28" s="3"/>
      <c r="NW28" s="3"/>
      <c r="NX28" s="3"/>
      <c r="NY28" s="3"/>
      <c r="NZ28" s="3"/>
      <c r="OA28" s="3"/>
      <c r="OB28" s="3"/>
      <c r="OC28" s="3"/>
      <c r="OD28" s="3"/>
      <c r="OE28" s="3"/>
      <c r="OF28" s="3"/>
      <c r="OG28" s="3"/>
      <c r="OH28" s="3"/>
      <c r="OI28" s="3"/>
      <c r="OJ28" s="3"/>
      <c r="OK28" s="3"/>
      <c r="OL28" s="3"/>
      <c r="OM28" s="3"/>
      <c r="ON28" s="3"/>
      <c r="OO28" s="3"/>
      <c r="OP28" s="3"/>
      <c r="OQ28" s="3"/>
      <c r="OR28" s="3"/>
      <c r="OS28" s="3"/>
      <c r="OT28" s="3"/>
      <c r="OU28" s="3"/>
      <c r="OV28" s="3"/>
      <c r="OW28" s="3"/>
      <c r="OX28" s="3"/>
      <c r="OY28" s="3"/>
      <c r="OZ28" s="3"/>
      <c r="PA28" s="3"/>
      <c r="PB28" s="3"/>
      <c r="PC28" s="3"/>
      <c r="PD28" s="3"/>
      <c r="PE28" s="3"/>
      <c r="PF28" s="3"/>
      <c r="PG28" s="3"/>
      <c r="PH28" s="3"/>
      <c r="PI28" s="3"/>
      <c r="PJ28" s="3"/>
      <c r="PK28" s="3"/>
      <c r="PL28" s="3"/>
      <c r="PM28" s="3"/>
      <c r="PN28" s="3"/>
      <c r="PO28" s="3"/>
      <c r="PP28" s="3"/>
      <c r="PQ28" s="3"/>
      <c r="PR28" s="3"/>
      <c r="PS28" s="3"/>
      <c r="PT28" s="3"/>
      <c r="PU28" s="3"/>
      <c r="PV28" s="3"/>
      <c r="PW28" s="3"/>
      <c r="PX28" s="3"/>
      <c r="PY28" s="3"/>
      <c r="PZ28" s="3"/>
      <c r="QA28" s="3"/>
      <c r="QB28" s="3"/>
      <c r="QC28" s="3"/>
      <c r="QD28" s="3"/>
      <c r="QE28" s="3"/>
      <c r="QF28" s="3"/>
      <c r="QG28" s="3"/>
      <c r="QH28" s="3"/>
      <c r="QI28" s="3"/>
      <c r="QJ28" s="3"/>
      <c r="QK28" s="3"/>
      <c r="QL28" s="3"/>
      <c r="QM28" s="3"/>
      <c r="QN28" s="3"/>
      <c r="QO28" s="3"/>
      <c r="QP28" s="3"/>
      <c r="QQ28" s="3"/>
      <c r="QR28" s="3"/>
      <c r="QS28" s="3"/>
      <c r="QT28" s="3"/>
      <c r="QU28" s="3"/>
      <c r="QV28" s="3"/>
      <c r="QW28" s="3"/>
      <c r="QX28" s="3"/>
      <c r="QY28" s="3"/>
      <c r="QZ28" s="3"/>
      <c r="RA28" s="3"/>
      <c r="RB28" s="3"/>
      <c r="RC28" s="3"/>
      <c r="RD28" s="3"/>
      <c r="RE28" s="3"/>
      <c r="RF28" s="3"/>
      <c r="RG28" s="3"/>
      <c r="RH28" s="3"/>
      <c r="RI28" s="3"/>
      <c r="RJ28" s="3"/>
      <c r="RK28" s="3"/>
      <c r="RL28" s="3"/>
      <c r="RM28" s="3"/>
      <c r="RN28" s="3"/>
      <c r="RO28" s="3"/>
      <c r="RP28" s="3"/>
      <c r="RQ28" s="3"/>
      <c r="RR28" s="3"/>
      <c r="RS28" s="3"/>
      <c r="RT28" s="3"/>
      <c r="RU28" s="3"/>
      <c r="RV28" s="3"/>
      <c r="RW28" s="3"/>
      <c r="RX28" s="3"/>
      <c r="RY28" s="3"/>
      <c r="RZ28" s="3"/>
      <c r="SA28" s="3"/>
      <c r="SB28" s="3"/>
      <c r="SC28" s="3"/>
      <c r="SD28" s="3"/>
      <c r="SE28" s="3"/>
      <c r="SF28" s="3"/>
      <c r="SG28" s="3"/>
      <c r="SH28" s="3"/>
      <c r="SI28" s="3"/>
      <c r="SJ28" s="3"/>
      <c r="SK28" s="3"/>
      <c r="SL28" s="3"/>
      <c r="SM28" s="3"/>
      <c r="SN28" s="3"/>
      <c r="SO28" s="3"/>
      <c r="SP28" s="3"/>
      <c r="SQ28" s="3"/>
      <c r="SR28" s="3"/>
      <c r="SS28" s="3"/>
      <c r="ST28" s="3"/>
      <c r="SU28" s="3"/>
      <c r="SV28" s="3"/>
      <c r="SW28" s="3"/>
      <c r="SX28" s="3"/>
      <c r="SY28" s="3"/>
      <c r="SZ28" s="3"/>
      <c r="TA28" s="3"/>
      <c r="TB28" s="3"/>
      <c r="TC28" s="3"/>
      <c r="TD28" s="3"/>
      <c r="TE28" s="3"/>
      <c r="TF28" s="3"/>
      <c r="TG28" s="3"/>
      <c r="TH28" s="3"/>
      <c r="TI28" s="3"/>
      <c r="TJ28" s="3"/>
      <c r="TK28" s="3"/>
      <c r="TL28" s="3"/>
      <c r="TM28" s="3"/>
      <c r="TN28" s="3"/>
      <c r="TO28" s="3"/>
      <c r="TP28" s="3"/>
      <c r="TQ28" s="3"/>
      <c r="TR28" s="3"/>
      <c r="TS28" s="3"/>
      <c r="TT28" s="3"/>
      <c r="TU28" s="3"/>
      <c r="TV28" s="3"/>
      <c r="TW28" s="3"/>
      <c r="TX28" s="3"/>
      <c r="TY28" s="3"/>
      <c r="TZ28" s="3"/>
      <c r="UA28" s="3"/>
      <c r="UB28" s="3"/>
      <c r="UC28" s="3"/>
      <c r="UD28" s="3"/>
      <c r="UE28" s="3"/>
      <c r="UF28" s="3"/>
      <c r="UG28" s="3"/>
      <c r="UH28" s="3"/>
      <c r="UI28" s="3"/>
      <c r="UJ28" s="3"/>
      <c r="UK28" s="3"/>
      <c r="UL28" s="3"/>
      <c r="UM28" s="3"/>
      <c r="UN28" s="3"/>
      <c r="UO28" s="3"/>
      <c r="UP28" s="3"/>
      <c r="UQ28" s="3"/>
      <c r="UR28" s="3"/>
      <c r="US28" s="3"/>
      <c r="UT28" s="3"/>
      <c r="UU28" s="3"/>
      <c r="UV28" s="3"/>
      <c r="UW28" s="3"/>
      <c r="UX28" s="3"/>
      <c r="UY28" s="3"/>
      <c r="UZ28" s="3"/>
      <c r="VA28" s="3"/>
      <c r="VB28" s="3"/>
      <c r="VC28" s="3"/>
      <c r="VD28" s="3"/>
      <c r="VE28" s="3"/>
      <c r="VF28" s="3"/>
      <c r="VG28" s="3"/>
      <c r="VH28" s="3"/>
      <c r="VI28" s="3"/>
      <c r="VJ28" s="3"/>
      <c r="VK28" s="3"/>
      <c r="VL28" s="3"/>
      <c r="VM28" s="3"/>
      <c r="VN28" s="3"/>
      <c r="VO28" s="3"/>
      <c r="VP28" s="3"/>
      <c r="VQ28" s="3"/>
      <c r="VR28" s="3"/>
      <c r="VS28" s="3"/>
      <c r="VT28" s="3"/>
      <c r="VU28" s="3"/>
      <c r="VV28" s="3"/>
      <c r="VW28" s="3"/>
      <c r="VX28" s="3"/>
      <c r="VY28" s="3"/>
      <c r="VZ28" s="3"/>
      <c r="WA28" s="3"/>
      <c r="WB28" s="3"/>
      <c r="WC28" s="3"/>
      <c r="WD28" s="3"/>
      <c r="WE28" s="3"/>
      <c r="WF28" s="3"/>
      <c r="WG28" s="3"/>
      <c r="WH28" s="3"/>
      <c r="WI28" s="3"/>
      <c r="WJ28" s="3"/>
      <c r="WK28" s="3"/>
      <c r="WL28" s="3"/>
      <c r="WM28" s="3"/>
      <c r="WN28" s="3"/>
      <c r="WO28" s="3"/>
      <c r="WP28" s="3"/>
      <c r="WQ28" s="3"/>
      <c r="WR28" s="3"/>
      <c r="WS28" s="3"/>
      <c r="WT28" s="3"/>
      <c r="WU28" s="3"/>
      <c r="WV28" s="3"/>
      <c r="WW28" s="3"/>
      <c r="WX28" s="3"/>
      <c r="WY28" s="3"/>
      <c r="WZ28" s="3"/>
      <c r="XA28" s="3"/>
      <c r="XB28" s="3"/>
      <c r="XC28" s="3"/>
      <c r="XD28" s="3"/>
      <c r="XE28" s="3"/>
      <c r="XF28" s="3"/>
      <c r="XG28" s="3"/>
      <c r="XH28" s="3"/>
      <c r="XI28" s="3"/>
      <c r="XJ28" s="3"/>
      <c r="XK28" s="3"/>
      <c r="XL28" s="3"/>
      <c r="XM28" s="3"/>
      <c r="XN28" s="3"/>
      <c r="XO28" s="3"/>
      <c r="XP28" s="3"/>
      <c r="XQ28" s="3"/>
      <c r="XR28" s="3"/>
      <c r="XS28" s="3"/>
      <c r="XT28" s="3"/>
      <c r="XU28" s="3"/>
      <c r="XV28" s="3"/>
      <c r="XW28" s="3"/>
      <c r="XX28" s="3"/>
      <c r="XY28" s="3"/>
      <c r="XZ28" s="3"/>
      <c r="YA28" s="3"/>
      <c r="YB28" s="3"/>
      <c r="YC28" s="3"/>
      <c r="YD28" s="3"/>
      <c r="YE28" s="3"/>
      <c r="YF28" s="3"/>
      <c r="YG28" s="3"/>
      <c r="YH28" s="3"/>
      <c r="YI28" s="3"/>
      <c r="YJ28" s="3"/>
      <c r="YK28" s="3"/>
      <c r="YL28" s="3"/>
      <c r="YM28" s="3"/>
      <c r="YN28" s="3"/>
      <c r="YO28" s="3"/>
      <c r="YP28" s="3"/>
      <c r="YQ28" s="3"/>
      <c r="YR28" s="3"/>
      <c r="YS28" s="3"/>
      <c r="YT28" s="3"/>
      <c r="YU28" s="3"/>
      <c r="YV28" s="3"/>
      <c r="YW28" s="3"/>
      <c r="YX28" s="3"/>
      <c r="YY28" s="3"/>
      <c r="YZ28" s="3"/>
      <c r="ZA28" s="3"/>
      <c r="ZB28" s="3"/>
      <c r="ZC28" s="3"/>
    </row>
    <row r="29" spans="1:679" s="2" customFormat="1" x14ac:dyDescent="0.45">
      <c r="A29" s="3" t="s">
        <v>11</v>
      </c>
      <c r="B29" s="4">
        <v>30441</v>
      </c>
      <c r="C29" s="7" t="s">
        <v>25</v>
      </c>
      <c r="D29" s="6" t="s">
        <v>43</v>
      </c>
      <c r="E29" s="3"/>
      <c r="F29" s="3">
        <v>3</v>
      </c>
      <c r="L29" s="3"/>
      <c r="M29" s="3"/>
      <c r="N29" s="48"/>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T29" s="3"/>
      <c r="GU29" s="3"/>
      <c r="GV29" s="3"/>
      <c r="GW29" s="3"/>
      <c r="GX29" s="3"/>
      <c r="GY29" s="3"/>
      <c r="GZ29" s="3"/>
      <c r="HA29" s="3"/>
      <c r="HB29" s="3"/>
      <c r="HC29" s="3"/>
      <c r="HD29" s="3"/>
      <c r="HE29" s="3"/>
      <c r="HF29" s="3"/>
      <c r="HG29" s="3"/>
      <c r="HH29" s="3"/>
      <c r="HI29" s="3"/>
      <c r="HJ29" s="3"/>
      <c r="HK29" s="3"/>
      <c r="HL29" s="3"/>
      <c r="HM29" s="3"/>
      <c r="HN29" s="3"/>
      <c r="HO29" s="3"/>
      <c r="HP29" s="3"/>
      <c r="HQ29" s="3"/>
      <c r="HR29" s="3"/>
      <c r="HS29" s="3"/>
      <c r="HT29" s="3"/>
      <c r="HU29" s="3"/>
      <c r="HV29" s="3"/>
      <c r="HW29" s="3"/>
      <c r="HX29" s="3"/>
      <c r="HY29" s="3"/>
      <c r="HZ29" s="3"/>
      <c r="IA29" s="3"/>
      <c r="IB29" s="3"/>
      <c r="IC29" s="3"/>
      <c r="ID29" s="3"/>
      <c r="IE29" s="3"/>
      <c r="IF29" s="3"/>
      <c r="IG29" s="3"/>
      <c r="IH29" s="3"/>
      <c r="II29" s="3"/>
      <c r="IJ29" s="3"/>
      <c r="IK29" s="3"/>
      <c r="IL29" s="3"/>
      <c r="IM29" s="3"/>
      <c r="IN29" s="3"/>
      <c r="IO29" s="3"/>
      <c r="IP29" s="3"/>
      <c r="IQ29" s="3"/>
      <c r="IR29" s="3"/>
      <c r="IS29" s="3"/>
      <c r="IT29" s="3"/>
      <c r="IU29" s="3"/>
      <c r="IV29" s="3"/>
      <c r="IW29" s="3"/>
      <c r="IX29" s="3"/>
      <c r="IY29" s="3"/>
      <c r="IZ29" s="3"/>
      <c r="JA29" s="3"/>
      <c r="JB29" s="3"/>
      <c r="JC29" s="3"/>
      <c r="JD29" s="3"/>
      <c r="JE29" s="3"/>
      <c r="JF29" s="3"/>
      <c r="JG29" s="3"/>
      <c r="JH29" s="3"/>
      <c r="JI29" s="3"/>
      <c r="JJ29" s="3"/>
      <c r="JK29" s="3"/>
      <c r="JL29" s="3"/>
      <c r="JM29" s="3"/>
      <c r="JN29" s="3"/>
      <c r="JO29" s="3"/>
      <c r="JP29" s="3"/>
      <c r="JQ29" s="3"/>
      <c r="JR29" s="3"/>
      <c r="JS29" s="3"/>
      <c r="JT29" s="3"/>
      <c r="JU29" s="3"/>
      <c r="JV29" s="3"/>
      <c r="JW29" s="3"/>
      <c r="JX29" s="3"/>
      <c r="JY29" s="3"/>
      <c r="JZ29" s="3"/>
      <c r="KA29" s="3"/>
      <c r="KB29" s="3"/>
      <c r="KC29" s="3"/>
      <c r="KD29" s="3"/>
      <c r="KE29" s="3"/>
      <c r="KF29" s="3"/>
      <c r="KG29" s="3"/>
      <c r="KH29" s="3"/>
      <c r="KI29" s="3"/>
      <c r="KJ29" s="3"/>
      <c r="KK29" s="3"/>
      <c r="KL29" s="3"/>
      <c r="KM29" s="3"/>
      <c r="KN29" s="3"/>
      <c r="KO29" s="3"/>
      <c r="KP29" s="3"/>
      <c r="KQ29" s="3"/>
      <c r="KR29" s="3"/>
      <c r="KS29" s="3"/>
      <c r="KT29" s="3"/>
      <c r="KU29" s="3"/>
      <c r="KV29" s="3"/>
      <c r="KW29" s="3"/>
      <c r="KX29" s="3"/>
      <c r="KY29" s="3"/>
      <c r="KZ29" s="3"/>
      <c r="LA29" s="3"/>
      <c r="LB29" s="3"/>
      <c r="LC29" s="3"/>
      <c r="LD29" s="3"/>
      <c r="LE29" s="3"/>
      <c r="LF29" s="3"/>
      <c r="LG29" s="3"/>
      <c r="LH29" s="3"/>
      <c r="LI29" s="3"/>
      <c r="LJ29" s="3"/>
      <c r="LK29" s="3"/>
      <c r="LL29" s="3"/>
      <c r="LM29" s="3"/>
      <c r="LN29" s="3"/>
      <c r="LO29" s="3"/>
      <c r="LP29" s="3"/>
      <c r="LQ29" s="3"/>
      <c r="LR29" s="3"/>
      <c r="LS29" s="3"/>
      <c r="LT29" s="3"/>
      <c r="LU29" s="3"/>
      <c r="LV29" s="3"/>
      <c r="LW29" s="3"/>
      <c r="LX29" s="3"/>
      <c r="LY29" s="3"/>
      <c r="LZ29" s="3"/>
      <c r="MA29" s="3"/>
      <c r="MB29" s="3"/>
      <c r="MC29" s="3"/>
      <c r="MD29" s="3"/>
      <c r="ME29" s="3"/>
      <c r="MF29" s="3"/>
      <c r="MG29" s="3"/>
      <c r="MH29" s="3"/>
      <c r="MI29" s="3"/>
      <c r="MJ29" s="3"/>
      <c r="MK29" s="3"/>
      <c r="ML29" s="3"/>
      <c r="MM29" s="3"/>
      <c r="MN29" s="3"/>
      <c r="MO29" s="3"/>
      <c r="MP29" s="3"/>
      <c r="MQ29" s="3"/>
      <c r="MR29" s="3"/>
      <c r="MS29" s="3"/>
      <c r="MT29" s="3"/>
      <c r="MU29" s="3"/>
      <c r="MV29" s="3"/>
      <c r="MW29" s="3"/>
      <c r="MX29" s="3"/>
      <c r="MY29" s="3"/>
      <c r="MZ29" s="3"/>
      <c r="NA29" s="3"/>
      <c r="NB29" s="3"/>
      <c r="NC29" s="3"/>
      <c r="ND29" s="3"/>
      <c r="NE29" s="3"/>
      <c r="NF29" s="3"/>
      <c r="NG29" s="3"/>
      <c r="NH29" s="3"/>
      <c r="NI29" s="3"/>
      <c r="NJ29" s="3"/>
      <c r="NK29" s="3"/>
      <c r="NL29" s="3"/>
      <c r="NM29" s="3"/>
      <c r="NN29" s="3"/>
      <c r="NO29" s="3"/>
      <c r="NP29" s="3"/>
      <c r="NQ29" s="3"/>
      <c r="NR29" s="3"/>
      <c r="NS29" s="3"/>
      <c r="NT29" s="3"/>
      <c r="NU29" s="3"/>
      <c r="NV29" s="3"/>
      <c r="NW29" s="3"/>
      <c r="NX29" s="3"/>
      <c r="NY29" s="3"/>
      <c r="NZ29" s="3"/>
      <c r="OA29" s="3"/>
      <c r="OB29" s="3"/>
      <c r="OC29" s="3"/>
      <c r="OD29" s="3"/>
      <c r="OE29" s="3"/>
      <c r="OF29" s="3"/>
      <c r="OG29" s="3"/>
      <c r="OH29" s="3"/>
      <c r="OI29" s="3"/>
      <c r="OJ29" s="3"/>
      <c r="OK29" s="3"/>
      <c r="OL29" s="3"/>
      <c r="OM29" s="3"/>
      <c r="ON29" s="3"/>
      <c r="OO29" s="3"/>
      <c r="OP29" s="3"/>
      <c r="OQ29" s="3"/>
      <c r="OR29" s="3"/>
      <c r="OS29" s="3"/>
      <c r="OT29" s="3"/>
      <c r="OU29" s="3"/>
      <c r="OV29" s="3"/>
      <c r="OW29" s="3"/>
      <c r="OX29" s="3"/>
      <c r="OY29" s="3"/>
      <c r="OZ29" s="3"/>
      <c r="PA29" s="3"/>
      <c r="PB29" s="3"/>
      <c r="PC29" s="3"/>
      <c r="PD29" s="3"/>
      <c r="PE29" s="3"/>
      <c r="PF29" s="3"/>
      <c r="PG29" s="3"/>
      <c r="PH29" s="3"/>
      <c r="PI29" s="3"/>
      <c r="PJ29" s="3"/>
      <c r="PK29" s="3"/>
      <c r="PL29" s="3"/>
      <c r="PM29" s="3"/>
      <c r="PN29" s="3"/>
      <c r="PO29" s="3"/>
      <c r="PP29" s="3"/>
      <c r="PQ29" s="3"/>
      <c r="PR29" s="3"/>
      <c r="PS29" s="3"/>
      <c r="PT29" s="3"/>
      <c r="PU29" s="3"/>
      <c r="PV29" s="3"/>
      <c r="PW29" s="3"/>
      <c r="PX29" s="3"/>
      <c r="PY29" s="3"/>
      <c r="PZ29" s="3"/>
      <c r="QA29" s="3"/>
      <c r="QB29" s="3"/>
      <c r="QC29" s="3"/>
      <c r="QD29" s="3"/>
      <c r="QE29" s="3"/>
      <c r="QF29" s="3"/>
      <c r="QG29" s="3"/>
      <c r="QH29" s="3"/>
      <c r="QI29" s="3"/>
      <c r="QJ29" s="3"/>
      <c r="QK29" s="3"/>
      <c r="QL29" s="3"/>
      <c r="QM29" s="3"/>
      <c r="QN29" s="3"/>
      <c r="QO29" s="3"/>
      <c r="QP29" s="3"/>
      <c r="QQ29" s="3"/>
      <c r="QR29" s="3"/>
      <c r="QS29" s="3"/>
      <c r="QT29" s="3"/>
      <c r="QU29" s="3"/>
      <c r="QV29" s="3"/>
      <c r="QW29" s="3"/>
      <c r="QX29" s="3"/>
      <c r="QY29" s="3"/>
      <c r="QZ29" s="3"/>
      <c r="RA29" s="3"/>
      <c r="RB29" s="3"/>
      <c r="RC29" s="3"/>
      <c r="RD29" s="3"/>
      <c r="RE29" s="3"/>
      <c r="RF29" s="3"/>
      <c r="RG29" s="3"/>
      <c r="RH29" s="3"/>
      <c r="RI29" s="3"/>
      <c r="RJ29" s="3"/>
      <c r="RK29" s="3"/>
      <c r="RL29" s="3"/>
      <c r="RM29" s="3"/>
      <c r="RN29" s="3"/>
      <c r="RO29" s="3"/>
      <c r="RP29" s="3"/>
      <c r="RQ29" s="3"/>
      <c r="RR29" s="3"/>
      <c r="RS29" s="3"/>
      <c r="RT29" s="3"/>
      <c r="RU29" s="3"/>
      <c r="RV29" s="3"/>
      <c r="RW29" s="3"/>
      <c r="RX29" s="3"/>
      <c r="RY29" s="3"/>
      <c r="RZ29" s="3"/>
      <c r="SA29" s="3"/>
      <c r="SB29" s="3"/>
      <c r="SC29" s="3"/>
      <c r="SD29" s="3"/>
      <c r="SE29" s="3"/>
      <c r="SF29" s="3"/>
      <c r="SG29" s="3"/>
      <c r="SH29" s="3"/>
      <c r="SI29" s="3"/>
      <c r="SJ29" s="3"/>
      <c r="SK29" s="3"/>
      <c r="SL29" s="3"/>
      <c r="SM29" s="3"/>
      <c r="SN29" s="3"/>
      <c r="SO29" s="3"/>
      <c r="SP29" s="3"/>
      <c r="SQ29" s="3"/>
      <c r="SR29" s="3"/>
      <c r="SS29" s="3"/>
      <c r="ST29" s="3"/>
      <c r="SU29" s="3"/>
      <c r="SV29" s="3"/>
      <c r="SW29" s="3"/>
      <c r="SX29" s="3"/>
      <c r="SY29" s="3"/>
      <c r="SZ29" s="3"/>
      <c r="TA29" s="3"/>
      <c r="TB29" s="3"/>
      <c r="TC29" s="3"/>
      <c r="TD29" s="3"/>
      <c r="TE29" s="3"/>
      <c r="TF29" s="3"/>
      <c r="TG29" s="3"/>
      <c r="TH29" s="3"/>
      <c r="TI29" s="3"/>
      <c r="TJ29" s="3"/>
      <c r="TK29" s="3"/>
      <c r="TL29" s="3"/>
      <c r="TM29" s="3"/>
      <c r="TN29" s="3"/>
      <c r="TO29" s="3"/>
      <c r="TP29" s="3"/>
      <c r="TQ29" s="3"/>
      <c r="TR29" s="3"/>
      <c r="TS29" s="3"/>
      <c r="TT29" s="3"/>
      <c r="TU29" s="3"/>
      <c r="TV29" s="3"/>
      <c r="TW29" s="3"/>
      <c r="TX29" s="3"/>
      <c r="TY29" s="3"/>
      <c r="TZ29" s="3"/>
      <c r="UA29" s="3"/>
      <c r="UB29" s="3"/>
      <c r="UC29" s="3"/>
      <c r="UD29" s="3"/>
      <c r="UE29" s="3"/>
      <c r="UF29" s="3"/>
      <c r="UG29" s="3"/>
      <c r="UH29" s="3"/>
      <c r="UI29" s="3"/>
      <c r="UJ29" s="3"/>
      <c r="UK29" s="3"/>
      <c r="UL29" s="3"/>
      <c r="UM29" s="3"/>
      <c r="UN29" s="3"/>
      <c r="UO29" s="3"/>
      <c r="UP29" s="3"/>
      <c r="UQ29" s="3"/>
      <c r="UR29" s="3"/>
      <c r="US29" s="3"/>
      <c r="UT29" s="3"/>
      <c r="UU29" s="3"/>
      <c r="UV29" s="3"/>
      <c r="UW29" s="3"/>
      <c r="UX29" s="3"/>
      <c r="UY29" s="3"/>
      <c r="UZ29" s="3"/>
      <c r="VA29" s="3"/>
      <c r="VB29" s="3"/>
      <c r="VC29" s="3"/>
      <c r="VD29" s="3"/>
      <c r="VE29" s="3"/>
      <c r="VF29" s="3"/>
      <c r="VG29" s="3"/>
      <c r="VH29" s="3"/>
      <c r="VI29" s="3"/>
      <c r="VJ29" s="3"/>
      <c r="VK29" s="3"/>
      <c r="VL29" s="3"/>
      <c r="VM29" s="3"/>
      <c r="VN29" s="3"/>
      <c r="VO29" s="3"/>
      <c r="VP29" s="3"/>
      <c r="VQ29" s="3"/>
      <c r="VR29" s="3"/>
      <c r="VS29" s="3"/>
      <c r="VT29" s="3"/>
      <c r="VU29" s="3"/>
      <c r="VV29" s="3"/>
      <c r="VW29" s="3"/>
      <c r="VX29" s="3"/>
      <c r="VY29" s="3"/>
      <c r="VZ29" s="3"/>
      <c r="WA29" s="3"/>
      <c r="WB29" s="3"/>
      <c r="WC29" s="3"/>
      <c r="WD29" s="3"/>
      <c r="WE29" s="3"/>
      <c r="WF29" s="3"/>
      <c r="WG29" s="3"/>
      <c r="WH29" s="3"/>
      <c r="WI29" s="3"/>
      <c r="WJ29" s="3"/>
      <c r="WK29" s="3"/>
      <c r="WL29" s="3"/>
      <c r="WM29" s="3"/>
      <c r="WN29" s="3"/>
      <c r="WO29" s="3"/>
      <c r="WP29" s="3"/>
      <c r="WQ29" s="3"/>
      <c r="WR29" s="3"/>
      <c r="WS29" s="3"/>
      <c r="WT29" s="3"/>
      <c r="WU29" s="3"/>
      <c r="WV29" s="3"/>
      <c r="WW29" s="3"/>
      <c r="WX29" s="3"/>
      <c r="WY29" s="3"/>
      <c r="WZ29" s="3"/>
      <c r="XA29" s="3"/>
      <c r="XB29" s="3"/>
      <c r="XC29" s="3"/>
      <c r="XD29" s="3"/>
      <c r="XE29" s="3"/>
      <c r="XF29" s="3"/>
      <c r="XG29" s="3"/>
      <c r="XH29" s="3"/>
      <c r="XI29" s="3"/>
      <c r="XJ29" s="3"/>
      <c r="XK29" s="3"/>
      <c r="XL29" s="3"/>
      <c r="XM29" s="3"/>
      <c r="XN29" s="3"/>
      <c r="XO29" s="3"/>
      <c r="XP29" s="3"/>
      <c r="XQ29" s="3"/>
      <c r="XR29" s="3"/>
      <c r="XS29" s="3"/>
      <c r="XT29" s="3"/>
      <c r="XU29" s="3"/>
      <c r="XV29" s="3"/>
      <c r="XW29" s="3"/>
      <c r="XX29" s="3"/>
      <c r="XY29" s="3"/>
      <c r="XZ29" s="3"/>
      <c r="YA29" s="3"/>
      <c r="YB29" s="3"/>
      <c r="YC29" s="3"/>
      <c r="YD29" s="3"/>
      <c r="YE29" s="3"/>
      <c r="YF29" s="3"/>
      <c r="YG29" s="3"/>
      <c r="YH29" s="3"/>
      <c r="YI29" s="3"/>
      <c r="YJ29" s="3"/>
      <c r="YK29" s="3"/>
      <c r="YL29" s="3"/>
      <c r="YM29" s="3"/>
      <c r="YN29" s="3"/>
      <c r="YO29" s="3"/>
      <c r="YP29" s="3"/>
      <c r="YQ29" s="3"/>
      <c r="YR29" s="3"/>
      <c r="YS29" s="3"/>
      <c r="YT29" s="3"/>
      <c r="YU29" s="3"/>
      <c r="YV29" s="3"/>
      <c r="YW29" s="3"/>
      <c r="YX29" s="3"/>
      <c r="YY29" s="3"/>
      <c r="YZ29" s="3"/>
      <c r="ZA29" s="3"/>
      <c r="ZB29" s="3"/>
      <c r="ZC29" s="3"/>
    </row>
    <row r="30" spans="1:679" s="2" customFormat="1" x14ac:dyDescent="0.45">
      <c r="A30" s="3" t="s">
        <v>11</v>
      </c>
      <c r="B30" s="4">
        <v>30441</v>
      </c>
      <c r="C30" s="7" t="s">
        <v>21</v>
      </c>
      <c r="D30" s="6" t="s">
        <v>44</v>
      </c>
      <c r="E30" s="3"/>
      <c r="F30" s="3">
        <v>11</v>
      </c>
      <c r="L30" s="3"/>
      <c r="M30" s="3"/>
      <c r="N30" s="48"/>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T30" s="3"/>
      <c r="GU30" s="3"/>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c r="HV30" s="3"/>
      <c r="HW30" s="3"/>
      <c r="HX30" s="3"/>
      <c r="HY30" s="3"/>
      <c r="HZ30" s="3"/>
      <c r="IA30" s="3"/>
      <c r="IB30" s="3"/>
      <c r="IC30" s="3"/>
      <c r="ID30" s="3"/>
      <c r="IE30" s="3"/>
      <c r="IF30" s="3"/>
      <c r="IG30" s="3"/>
      <c r="IH30" s="3"/>
      <c r="II30" s="3"/>
      <c r="IJ30" s="3"/>
      <c r="IK30" s="3"/>
      <c r="IL30" s="3"/>
      <c r="IM30" s="3"/>
      <c r="IN30" s="3"/>
      <c r="IO30" s="3"/>
      <c r="IP30" s="3"/>
      <c r="IQ30" s="3"/>
      <c r="IR30" s="3"/>
      <c r="IS30" s="3"/>
      <c r="IT30" s="3"/>
      <c r="IU30" s="3"/>
      <c r="IV30" s="3"/>
      <c r="IW30" s="3"/>
      <c r="IX30" s="3"/>
      <c r="IY30" s="3"/>
      <c r="IZ30" s="3"/>
      <c r="JA30" s="3"/>
      <c r="JB30" s="3"/>
      <c r="JC30" s="3"/>
      <c r="JD30" s="3"/>
      <c r="JE30" s="3"/>
      <c r="JF30" s="3"/>
      <c r="JG30" s="3"/>
      <c r="JH30" s="3"/>
      <c r="JI30" s="3"/>
      <c r="JJ30" s="3"/>
      <c r="JK30" s="3"/>
      <c r="JL30" s="3"/>
      <c r="JM30" s="3"/>
      <c r="JN30" s="3"/>
      <c r="JO30" s="3"/>
      <c r="JP30" s="3"/>
      <c r="JQ30" s="3"/>
      <c r="JR30" s="3"/>
      <c r="JS30" s="3"/>
      <c r="JT30" s="3"/>
      <c r="JU30" s="3"/>
      <c r="JV30" s="3"/>
      <c r="JW30" s="3"/>
      <c r="JX30" s="3"/>
      <c r="JY30" s="3"/>
      <c r="JZ30" s="3"/>
      <c r="KA30" s="3"/>
      <c r="KB30" s="3"/>
      <c r="KC30" s="3"/>
      <c r="KD30" s="3"/>
      <c r="KE30" s="3"/>
      <c r="KF30" s="3"/>
      <c r="KG30" s="3"/>
      <c r="KH30" s="3"/>
      <c r="KI30" s="3"/>
      <c r="KJ30" s="3"/>
      <c r="KK30" s="3"/>
      <c r="KL30" s="3"/>
      <c r="KM30" s="3"/>
      <c r="KN30" s="3"/>
      <c r="KO30" s="3"/>
      <c r="KP30" s="3"/>
      <c r="KQ30" s="3"/>
      <c r="KR30" s="3"/>
      <c r="KS30" s="3"/>
      <c r="KT30" s="3"/>
      <c r="KU30" s="3"/>
      <c r="KV30" s="3"/>
      <c r="KW30" s="3"/>
      <c r="KX30" s="3"/>
      <c r="KY30" s="3"/>
      <c r="KZ30" s="3"/>
      <c r="LA30" s="3"/>
      <c r="LB30" s="3"/>
      <c r="LC30" s="3"/>
      <c r="LD30" s="3"/>
      <c r="LE30" s="3"/>
      <c r="LF30" s="3"/>
      <c r="LG30" s="3"/>
      <c r="LH30" s="3"/>
      <c r="LI30" s="3"/>
      <c r="LJ30" s="3"/>
      <c r="LK30" s="3"/>
      <c r="LL30" s="3"/>
      <c r="LM30" s="3"/>
      <c r="LN30" s="3"/>
      <c r="LO30" s="3"/>
      <c r="LP30" s="3"/>
      <c r="LQ30" s="3"/>
      <c r="LR30" s="3"/>
      <c r="LS30" s="3"/>
      <c r="LT30" s="3"/>
      <c r="LU30" s="3"/>
      <c r="LV30" s="3"/>
      <c r="LW30" s="3"/>
      <c r="LX30" s="3"/>
      <c r="LY30" s="3"/>
      <c r="LZ30" s="3"/>
      <c r="MA30" s="3"/>
      <c r="MB30" s="3"/>
      <c r="MC30" s="3"/>
      <c r="MD30" s="3"/>
      <c r="ME30" s="3"/>
      <c r="MF30" s="3"/>
      <c r="MG30" s="3"/>
      <c r="MH30" s="3"/>
      <c r="MI30" s="3"/>
      <c r="MJ30" s="3"/>
      <c r="MK30" s="3"/>
      <c r="ML30" s="3"/>
      <c r="MM30" s="3"/>
      <c r="MN30" s="3"/>
      <c r="MO30" s="3"/>
      <c r="MP30" s="3"/>
      <c r="MQ30" s="3"/>
      <c r="MR30" s="3"/>
      <c r="MS30" s="3"/>
      <c r="MT30" s="3"/>
      <c r="MU30" s="3"/>
      <c r="MV30" s="3"/>
      <c r="MW30" s="3"/>
      <c r="MX30" s="3"/>
      <c r="MY30" s="3"/>
      <c r="MZ30" s="3"/>
      <c r="NA30" s="3"/>
      <c r="NB30" s="3"/>
      <c r="NC30" s="3"/>
      <c r="ND30" s="3"/>
      <c r="NE30" s="3"/>
      <c r="NF30" s="3"/>
      <c r="NG30" s="3"/>
      <c r="NH30" s="3"/>
      <c r="NI30" s="3"/>
      <c r="NJ30" s="3"/>
      <c r="NK30" s="3"/>
      <c r="NL30" s="3"/>
      <c r="NM30" s="3"/>
      <c r="NN30" s="3"/>
      <c r="NO30" s="3"/>
      <c r="NP30" s="3"/>
      <c r="NQ30" s="3"/>
      <c r="NR30" s="3"/>
      <c r="NS30" s="3"/>
      <c r="NT30" s="3"/>
      <c r="NU30" s="3"/>
      <c r="NV30" s="3"/>
      <c r="NW30" s="3"/>
      <c r="NX30" s="3"/>
      <c r="NY30" s="3"/>
      <c r="NZ30" s="3"/>
      <c r="OA30" s="3"/>
      <c r="OB30" s="3"/>
      <c r="OC30" s="3"/>
      <c r="OD30" s="3"/>
      <c r="OE30" s="3"/>
      <c r="OF30" s="3"/>
      <c r="OG30" s="3"/>
      <c r="OH30" s="3"/>
      <c r="OI30" s="3"/>
      <c r="OJ30" s="3"/>
      <c r="OK30" s="3"/>
      <c r="OL30" s="3"/>
      <c r="OM30" s="3"/>
      <c r="ON30" s="3"/>
      <c r="OO30" s="3"/>
      <c r="OP30" s="3"/>
      <c r="OQ30" s="3"/>
      <c r="OR30" s="3"/>
      <c r="OS30" s="3"/>
      <c r="OT30" s="3"/>
      <c r="OU30" s="3"/>
      <c r="OV30" s="3"/>
      <c r="OW30" s="3"/>
      <c r="OX30" s="3"/>
      <c r="OY30" s="3"/>
      <c r="OZ30" s="3"/>
      <c r="PA30" s="3"/>
      <c r="PB30" s="3"/>
      <c r="PC30" s="3"/>
      <c r="PD30" s="3"/>
      <c r="PE30" s="3"/>
      <c r="PF30" s="3"/>
      <c r="PG30" s="3"/>
      <c r="PH30" s="3"/>
      <c r="PI30" s="3"/>
      <c r="PJ30" s="3"/>
      <c r="PK30" s="3"/>
      <c r="PL30" s="3"/>
      <c r="PM30" s="3"/>
      <c r="PN30" s="3"/>
      <c r="PO30" s="3"/>
      <c r="PP30" s="3"/>
      <c r="PQ30" s="3"/>
      <c r="PR30" s="3"/>
      <c r="PS30" s="3"/>
      <c r="PT30" s="3"/>
      <c r="PU30" s="3"/>
      <c r="PV30" s="3"/>
      <c r="PW30" s="3"/>
      <c r="PX30" s="3"/>
      <c r="PY30" s="3"/>
      <c r="PZ30" s="3"/>
      <c r="QA30" s="3"/>
      <c r="QB30" s="3"/>
      <c r="QC30" s="3"/>
      <c r="QD30" s="3"/>
      <c r="QE30" s="3"/>
      <c r="QF30" s="3"/>
      <c r="QG30" s="3"/>
      <c r="QH30" s="3"/>
      <c r="QI30" s="3"/>
      <c r="QJ30" s="3"/>
      <c r="QK30" s="3"/>
      <c r="QL30" s="3"/>
      <c r="QM30" s="3"/>
      <c r="QN30" s="3"/>
      <c r="QO30" s="3"/>
      <c r="QP30" s="3"/>
      <c r="QQ30" s="3"/>
      <c r="QR30" s="3"/>
      <c r="QS30" s="3"/>
      <c r="QT30" s="3"/>
      <c r="QU30" s="3"/>
      <c r="QV30" s="3"/>
      <c r="QW30" s="3"/>
      <c r="QX30" s="3"/>
      <c r="QY30" s="3"/>
      <c r="QZ30" s="3"/>
      <c r="RA30" s="3"/>
      <c r="RB30" s="3"/>
      <c r="RC30" s="3"/>
      <c r="RD30" s="3"/>
      <c r="RE30" s="3"/>
      <c r="RF30" s="3"/>
      <c r="RG30" s="3"/>
      <c r="RH30" s="3"/>
      <c r="RI30" s="3"/>
      <c r="RJ30" s="3"/>
      <c r="RK30" s="3"/>
      <c r="RL30" s="3"/>
      <c r="RM30" s="3"/>
      <c r="RN30" s="3"/>
      <c r="RO30" s="3"/>
      <c r="RP30" s="3"/>
      <c r="RQ30" s="3"/>
      <c r="RR30" s="3"/>
      <c r="RS30" s="3"/>
      <c r="RT30" s="3"/>
      <c r="RU30" s="3"/>
      <c r="RV30" s="3"/>
      <c r="RW30" s="3"/>
      <c r="RX30" s="3"/>
      <c r="RY30" s="3"/>
      <c r="RZ30" s="3"/>
      <c r="SA30" s="3"/>
      <c r="SB30" s="3"/>
      <c r="SC30" s="3"/>
      <c r="SD30" s="3"/>
      <c r="SE30" s="3"/>
      <c r="SF30" s="3"/>
      <c r="SG30" s="3"/>
      <c r="SH30" s="3"/>
      <c r="SI30" s="3"/>
      <c r="SJ30" s="3"/>
      <c r="SK30" s="3"/>
      <c r="SL30" s="3"/>
      <c r="SM30" s="3"/>
      <c r="SN30" s="3"/>
      <c r="SO30" s="3"/>
      <c r="SP30" s="3"/>
      <c r="SQ30" s="3"/>
      <c r="SR30" s="3"/>
      <c r="SS30" s="3"/>
      <c r="ST30" s="3"/>
      <c r="SU30" s="3"/>
      <c r="SV30" s="3"/>
      <c r="SW30" s="3"/>
      <c r="SX30" s="3"/>
      <c r="SY30" s="3"/>
      <c r="SZ30" s="3"/>
      <c r="TA30" s="3"/>
      <c r="TB30" s="3"/>
      <c r="TC30" s="3"/>
      <c r="TD30" s="3"/>
      <c r="TE30" s="3"/>
      <c r="TF30" s="3"/>
      <c r="TG30" s="3"/>
      <c r="TH30" s="3"/>
      <c r="TI30" s="3"/>
      <c r="TJ30" s="3"/>
      <c r="TK30" s="3"/>
      <c r="TL30" s="3"/>
      <c r="TM30" s="3"/>
      <c r="TN30" s="3"/>
      <c r="TO30" s="3"/>
      <c r="TP30" s="3"/>
      <c r="TQ30" s="3"/>
      <c r="TR30" s="3"/>
      <c r="TS30" s="3"/>
      <c r="TT30" s="3"/>
      <c r="TU30" s="3"/>
      <c r="TV30" s="3"/>
      <c r="TW30" s="3"/>
      <c r="TX30" s="3"/>
      <c r="TY30" s="3"/>
      <c r="TZ30" s="3"/>
      <c r="UA30" s="3"/>
      <c r="UB30" s="3"/>
      <c r="UC30" s="3"/>
      <c r="UD30" s="3"/>
      <c r="UE30" s="3"/>
      <c r="UF30" s="3"/>
      <c r="UG30" s="3"/>
      <c r="UH30" s="3"/>
      <c r="UI30" s="3"/>
      <c r="UJ30" s="3"/>
      <c r="UK30" s="3"/>
      <c r="UL30" s="3"/>
      <c r="UM30" s="3"/>
      <c r="UN30" s="3"/>
      <c r="UO30" s="3"/>
      <c r="UP30" s="3"/>
      <c r="UQ30" s="3"/>
      <c r="UR30" s="3"/>
      <c r="US30" s="3"/>
      <c r="UT30" s="3"/>
      <c r="UU30" s="3"/>
      <c r="UV30" s="3"/>
      <c r="UW30" s="3"/>
      <c r="UX30" s="3"/>
      <c r="UY30" s="3"/>
      <c r="UZ30" s="3"/>
      <c r="VA30" s="3"/>
      <c r="VB30" s="3"/>
      <c r="VC30" s="3"/>
      <c r="VD30" s="3"/>
      <c r="VE30" s="3"/>
      <c r="VF30" s="3"/>
      <c r="VG30" s="3"/>
      <c r="VH30" s="3"/>
      <c r="VI30" s="3"/>
      <c r="VJ30" s="3"/>
      <c r="VK30" s="3"/>
      <c r="VL30" s="3"/>
      <c r="VM30" s="3"/>
      <c r="VN30" s="3"/>
      <c r="VO30" s="3"/>
      <c r="VP30" s="3"/>
      <c r="VQ30" s="3"/>
      <c r="VR30" s="3"/>
      <c r="VS30" s="3"/>
      <c r="VT30" s="3"/>
      <c r="VU30" s="3"/>
      <c r="VV30" s="3"/>
      <c r="VW30" s="3"/>
      <c r="VX30" s="3"/>
      <c r="VY30" s="3"/>
      <c r="VZ30" s="3"/>
      <c r="WA30" s="3"/>
      <c r="WB30" s="3"/>
      <c r="WC30" s="3"/>
      <c r="WD30" s="3"/>
      <c r="WE30" s="3"/>
      <c r="WF30" s="3"/>
      <c r="WG30" s="3"/>
      <c r="WH30" s="3"/>
      <c r="WI30" s="3"/>
      <c r="WJ30" s="3"/>
      <c r="WK30" s="3"/>
      <c r="WL30" s="3"/>
      <c r="WM30" s="3"/>
      <c r="WN30" s="3"/>
      <c r="WO30" s="3"/>
      <c r="WP30" s="3"/>
      <c r="WQ30" s="3"/>
      <c r="WR30" s="3"/>
      <c r="WS30" s="3"/>
      <c r="WT30" s="3"/>
      <c r="WU30" s="3"/>
      <c r="WV30" s="3"/>
      <c r="WW30" s="3"/>
      <c r="WX30" s="3"/>
      <c r="WY30" s="3"/>
      <c r="WZ30" s="3"/>
      <c r="XA30" s="3"/>
      <c r="XB30" s="3"/>
      <c r="XC30" s="3"/>
      <c r="XD30" s="3"/>
      <c r="XE30" s="3"/>
      <c r="XF30" s="3"/>
      <c r="XG30" s="3"/>
      <c r="XH30" s="3"/>
      <c r="XI30" s="3"/>
      <c r="XJ30" s="3"/>
      <c r="XK30" s="3"/>
      <c r="XL30" s="3"/>
      <c r="XM30" s="3"/>
      <c r="XN30" s="3"/>
      <c r="XO30" s="3"/>
      <c r="XP30" s="3"/>
      <c r="XQ30" s="3"/>
      <c r="XR30" s="3"/>
      <c r="XS30" s="3"/>
      <c r="XT30" s="3"/>
      <c r="XU30" s="3"/>
      <c r="XV30" s="3"/>
      <c r="XW30" s="3"/>
      <c r="XX30" s="3"/>
      <c r="XY30" s="3"/>
      <c r="XZ30" s="3"/>
      <c r="YA30" s="3"/>
      <c r="YB30" s="3"/>
      <c r="YC30" s="3"/>
      <c r="YD30" s="3"/>
      <c r="YE30" s="3"/>
      <c r="YF30" s="3"/>
      <c r="YG30" s="3"/>
      <c r="YH30" s="3"/>
      <c r="YI30" s="3"/>
      <c r="YJ30" s="3"/>
      <c r="YK30" s="3"/>
      <c r="YL30" s="3"/>
      <c r="YM30" s="3"/>
      <c r="YN30" s="3"/>
      <c r="YO30" s="3"/>
      <c r="YP30" s="3"/>
      <c r="YQ30" s="3"/>
      <c r="YR30" s="3"/>
      <c r="YS30" s="3"/>
      <c r="YT30" s="3"/>
      <c r="YU30" s="3"/>
      <c r="YV30" s="3"/>
      <c r="YW30" s="3"/>
      <c r="YX30" s="3"/>
      <c r="YY30" s="3"/>
      <c r="YZ30" s="3"/>
      <c r="ZA30" s="3"/>
      <c r="ZB30" s="3"/>
      <c r="ZC30" s="3"/>
    </row>
    <row r="31" spans="1:679" s="2" customFormat="1" x14ac:dyDescent="0.45">
      <c r="A31" s="3" t="s">
        <v>11</v>
      </c>
      <c r="B31" s="4">
        <v>30473</v>
      </c>
      <c r="C31" s="7" t="s">
        <v>25</v>
      </c>
      <c r="D31" s="6" t="s">
        <v>45</v>
      </c>
      <c r="E31" s="3"/>
      <c r="F31" s="3">
        <v>11</v>
      </c>
      <c r="L31" s="3"/>
      <c r="M31" s="3"/>
      <c r="N31" s="48"/>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T31" s="3"/>
      <c r="GU31" s="3"/>
      <c r="GV31" s="3"/>
      <c r="GW31" s="3"/>
      <c r="GX31" s="3"/>
      <c r="GY31" s="3"/>
      <c r="GZ31" s="3"/>
      <c r="HA31" s="3"/>
      <c r="HB31" s="3"/>
      <c r="HC31" s="3"/>
      <c r="HD31" s="3"/>
      <c r="HE31" s="3"/>
      <c r="HF31" s="3"/>
      <c r="HG31" s="3"/>
      <c r="HH31" s="3"/>
      <c r="HI31" s="3"/>
      <c r="HJ31" s="3"/>
      <c r="HK31" s="3"/>
      <c r="HL31" s="3"/>
      <c r="HM31" s="3"/>
      <c r="HN31" s="3"/>
      <c r="HO31" s="3"/>
      <c r="HP31" s="3"/>
      <c r="HQ31" s="3"/>
      <c r="HR31" s="3"/>
      <c r="HS31" s="3"/>
      <c r="HT31" s="3"/>
      <c r="HU31" s="3"/>
      <c r="HV31" s="3"/>
      <c r="HW31" s="3"/>
      <c r="HX31" s="3"/>
      <c r="HY31" s="3"/>
      <c r="HZ31" s="3"/>
      <c r="IA31" s="3"/>
      <c r="IB31" s="3"/>
      <c r="IC31" s="3"/>
      <c r="ID31" s="3"/>
      <c r="IE31" s="3"/>
      <c r="IF31" s="3"/>
      <c r="IG31" s="3"/>
      <c r="IH31" s="3"/>
      <c r="II31" s="3"/>
      <c r="IJ31" s="3"/>
      <c r="IK31" s="3"/>
      <c r="IL31" s="3"/>
      <c r="IM31" s="3"/>
      <c r="IN31" s="3"/>
      <c r="IO31" s="3"/>
      <c r="IP31" s="3"/>
      <c r="IQ31" s="3"/>
      <c r="IR31" s="3"/>
      <c r="IS31" s="3"/>
      <c r="IT31" s="3"/>
      <c r="IU31" s="3"/>
      <c r="IV31" s="3"/>
      <c r="IW31" s="3"/>
      <c r="IX31" s="3"/>
      <c r="IY31" s="3"/>
      <c r="IZ31" s="3"/>
      <c r="JA31" s="3"/>
      <c r="JB31" s="3"/>
      <c r="JC31" s="3"/>
      <c r="JD31" s="3"/>
      <c r="JE31" s="3"/>
      <c r="JF31" s="3"/>
      <c r="JG31" s="3"/>
      <c r="JH31" s="3"/>
      <c r="JI31" s="3"/>
      <c r="JJ31" s="3"/>
      <c r="JK31" s="3"/>
      <c r="JL31" s="3"/>
      <c r="JM31" s="3"/>
      <c r="JN31" s="3"/>
      <c r="JO31" s="3"/>
      <c r="JP31" s="3"/>
      <c r="JQ31" s="3"/>
      <c r="JR31" s="3"/>
      <c r="JS31" s="3"/>
      <c r="JT31" s="3"/>
      <c r="JU31" s="3"/>
      <c r="JV31" s="3"/>
      <c r="JW31" s="3"/>
      <c r="JX31" s="3"/>
      <c r="JY31" s="3"/>
      <c r="JZ31" s="3"/>
      <c r="KA31" s="3"/>
      <c r="KB31" s="3"/>
      <c r="KC31" s="3"/>
      <c r="KD31" s="3"/>
      <c r="KE31" s="3"/>
      <c r="KF31" s="3"/>
      <c r="KG31" s="3"/>
      <c r="KH31" s="3"/>
      <c r="KI31" s="3"/>
      <c r="KJ31" s="3"/>
      <c r="KK31" s="3"/>
      <c r="KL31" s="3"/>
      <c r="KM31" s="3"/>
      <c r="KN31" s="3"/>
      <c r="KO31" s="3"/>
      <c r="KP31" s="3"/>
      <c r="KQ31" s="3"/>
      <c r="KR31" s="3"/>
      <c r="KS31" s="3"/>
      <c r="KT31" s="3"/>
      <c r="KU31" s="3"/>
      <c r="KV31" s="3"/>
      <c r="KW31" s="3"/>
      <c r="KX31" s="3"/>
      <c r="KY31" s="3"/>
      <c r="KZ31" s="3"/>
      <c r="LA31" s="3"/>
      <c r="LB31" s="3"/>
      <c r="LC31" s="3"/>
      <c r="LD31" s="3"/>
      <c r="LE31" s="3"/>
      <c r="LF31" s="3"/>
      <c r="LG31" s="3"/>
      <c r="LH31" s="3"/>
      <c r="LI31" s="3"/>
      <c r="LJ31" s="3"/>
      <c r="LK31" s="3"/>
      <c r="LL31" s="3"/>
      <c r="LM31" s="3"/>
      <c r="LN31" s="3"/>
      <c r="LO31" s="3"/>
      <c r="LP31" s="3"/>
      <c r="LQ31" s="3"/>
      <c r="LR31" s="3"/>
      <c r="LS31" s="3"/>
      <c r="LT31" s="3"/>
      <c r="LU31" s="3"/>
      <c r="LV31" s="3"/>
      <c r="LW31" s="3"/>
      <c r="LX31" s="3"/>
      <c r="LY31" s="3"/>
      <c r="LZ31" s="3"/>
      <c r="MA31" s="3"/>
      <c r="MB31" s="3"/>
      <c r="MC31" s="3"/>
      <c r="MD31" s="3"/>
      <c r="ME31" s="3"/>
      <c r="MF31" s="3"/>
      <c r="MG31" s="3"/>
      <c r="MH31" s="3"/>
      <c r="MI31" s="3"/>
      <c r="MJ31" s="3"/>
      <c r="MK31" s="3"/>
      <c r="ML31" s="3"/>
      <c r="MM31" s="3"/>
      <c r="MN31" s="3"/>
      <c r="MO31" s="3"/>
      <c r="MP31" s="3"/>
      <c r="MQ31" s="3"/>
      <c r="MR31" s="3"/>
      <c r="MS31" s="3"/>
      <c r="MT31" s="3"/>
      <c r="MU31" s="3"/>
      <c r="MV31" s="3"/>
      <c r="MW31" s="3"/>
      <c r="MX31" s="3"/>
      <c r="MY31" s="3"/>
      <c r="MZ31" s="3"/>
      <c r="NA31" s="3"/>
      <c r="NB31" s="3"/>
      <c r="NC31" s="3"/>
      <c r="ND31" s="3"/>
      <c r="NE31" s="3"/>
      <c r="NF31" s="3"/>
      <c r="NG31" s="3"/>
      <c r="NH31" s="3"/>
      <c r="NI31" s="3"/>
      <c r="NJ31" s="3"/>
      <c r="NK31" s="3"/>
      <c r="NL31" s="3"/>
      <c r="NM31" s="3"/>
      <c r="NN31" s="3"/>
      <c r="NO31" s="3"/>
      <c r="NP31" s="3"/>
      <c r="NQ31" s="3"/>
      <c r="NR31" s="3"/>
      <c r="NS31" s="3"/>
      <c r="NT31" s="3"/>
      <c r="NU31" s="3"/>
      <c r="NV31" s="3"/>
      <c r="NW31" s="3"/>
      <c r="NX31" s="3"/>
      <c r="NY31" s="3"/>
      <c r="NZ31" s="3"/>
      <c r="OA31" s="3"/>
      <c r="OB31" s="3"/>
      <c r="OC31" s="3"/>
      <c r="OD31" s="3"/>
      <c r="OE31" s="3"/>
      <c r="OF31" s="3"/>
      <c r="OG31" s="3"/>
      <c r="OH31" s="3"/>
      <c r="OI31" s="3"/>
      <c r="OJ31" s="3"/>
      <c r="OK31" s="3"/>
      <c r="OL31" s="3"/>
      <c r="OM31" s="3"/>
      <c r="ON31" s="3"/>
      <c r="OO31" s="3"/>
      <c r="OP31" s="3"/>
      <c r="OQ31" s="3"/>
      <c r="OR31" s="3"/>
      <c r="OS31" s="3"/>
      <c r="OT31" s="3"/>
      <c r="OU31" s="3"/>
      <c r="OV31" s="3"/>
      <c r="OW31" s="3"/>
      <c r="OX31" s="3"/>
      <c r="OY31" s="3"/>
      <c r="OZ31" s="3"/>
      <c r="PA31" s="3"/>
      <c r="PB31" s="3"/>
      <c r="PC31" s="3"/>
      <c r="PD31" s="3"/>
      <c r="PE31" s="3"/>
      <c r="PF31" s="3"/>
      <c r="PG31" s="3"/>
      <c r="PH31" s="3"/>
      <c r="PI31" s="3"/>
      <c r="PJ31" s="3"/>
      <c r="PK31" s="3"/>
      <c r="PL31" s="3"/>
      <c r="PM31" s="3"/>
      <c r="PN31" s="3"/>
      <c r="PO31" s="3"/>
      <c r="PP31" s="3"/>
      <c r="PQ31" s="3"/>
      <c r="PR31" s="3"/>
      <c r="PS31" s="3"/>
      <c r="PT31" s="3"/>
      <c r="PU31" s="3"/>
      <c r="PV31" s="3"/>
      <c r="PW31" s="3"/>
      <c r="PX31" s="3"/>
      <c r="PY31" s="3"/>
      <c r="PZ31" s="3"/>
      <c r="QA31" s="3"/>
      <c r="QB31" s="3"/>
      <c r="QC31" s="3"/>
      <c r="QD31" s="3"/>
      <c r="QE31" s="3"/>
      <c r="QF31" s="3"/>
      <c r="QG31" s="3"/>
      <c r="QH31" s="3"/>
      <c r="QI31" s="3"/>
      <c r="QJ31" s="3"/>
      <c r="QK31" s="3"/>
      <c r="QL31" s="3"/>
      <c r="QM31" s="3"/>
      <c r="QN31" s="3"/>
      <c r="QO31" s="3"/>
      <c r="QP31" s="3"/>
      <c r="QQ31" s="3"/>
      <c r="QR31" s="3"/>
      <c r="QS31" s="3"/>
      <c r="QT31" s="3"/>
      <c r="QU31" s="3"/>
      <c r="QV31" s="3"/>
      <c r="QW31" s="3"/>
      <c r="QX31" s="3"/>
      <c r="QY31" s="3"/>
      <c r="QZ31" s="3"/>
      <c r="RA31" s="3"/>
      <c r="RB31" s="3"/>
      <c r="RC31" s="3"/>
      <c r="RD31" s="3"/>
      <c r="RE31" s="3"/>
      <c r="RF31" s="3"/>
      <c r="RG31" s="3"/>
      <c r="RH31" s="3"/>
      <c r="RI31" s="3"/>
      <c r="RJ31" s="3"/>
      <c r="RK31" s="3"/>
      <c r="RL31" s="3"/>
      <c r="RM31" s="3"/>
      <c r="RN31" s="3"/>
      <c r="RO31" s="3"/>
      <c r="RP31" s="3"/>
      <c r="RQ31" s="3"/>
      <c r="RR31" s="3"/>
      <c r="RS31" s="3"/>
      <c r="RT31" s="3"/>
      <c r="RU31" s="3"/>
      <c r="RV31" s="3"/>
      <c r="RW31" s="3"/>
      <c r="RX31" s="3"/>
      <c r="RY31" s="3"/>
      <c r="RZ31" s="3"/>
      <c r="SA31" s="3"/>
      <c r="SB31" s="3"/>
      <c r="SC31" s="3"/>
      <c r="SD31" s="3"/>
      <c r="SE31" s="3"/>
      <c r="SF31" s="3"/>
      <c r="SG31" s="3"/>
      <c r="SH31" s="3"/>
      <c r="SI31" s="3"/>
      <c r="SJ31" s="3"/>
      <c r="SK31" s="3"/>
      <c r="SL31" s="3"/>
      <c r="SM31" s="3"/>
      <c r="SN31" s="3"/>
      <c r="SO31" s="3"/>
      <c r="SP31" s="3"/>
      <c r="SQ31" s="3"/>
      <c r="SR31" s="3"/>
      <c r="SS31" s="3"/>
      <c r="ST31" s="3"/>
      <c r="SU31" s="3"/>
      <c r="SV31" s="3"/>
      <c r="SW31" s="3"/>
      <c r="SX31" s="3"/>
      <c r="SY31" s="3"/>
      <c r="SZ31" s="3"/>
      <c r="TA31" s="3"/>
      <c r="TB31" s="3"/>
      <c r="TC31" s="3"/>
      <c r="TD31" s="3"/>
      <c r="TE31" s="3"/>
      <c r="TF31" s="3"/>
      <c r="TG31" s="3"/>
      <c r="TH31" s="3"/>
      <c r="TI31" s="3"/>
      <c r="TJ31" s="3"/>
      <c r="TK31" s="3"/>
      <c r="TL31" s="3"/>
      <c r="TM31" s="3"/>
      <c r="TN31" s="3"/>
      <c r="TO31" s="3"/>
      <c r="TP31" s="3"/>
      <c r="TQ31" s="3"/>
      <c r="TR31" s="3"/>
      <c r="TS31" s="3"/>
      <c r="TT31" s="3"/>
      <c r="TU31" s="3"/>
      <c r="TV31" s="3"/>
      <c r="TW31" s="3"/>
      <c r="TX31" s="3"/>
      <c r="TY31" s="3"/>
      <c r="TZ31" s="3"/>
      <c r="UA31" s="3"/>
      <c r="UB31" s="3"/>
      <c r="UC31" s="3"/>
      <c r="UD31" s="3"/>
      <c r="UE31" s="3"/>
      <c r="UF31" s="3"/>
      <c r="UG31" s="3"/>
      <c r="UH31" s="3"/>
      <c r="UI31" s="3"/>
      <c r="UJ31" s="3"/>
      <c r="UK31" s="3"/>
      <c r="UL31" s="3"/>
      <c r="UM31" s="3"/>
      <c r="UN31" s="3"/>
      <c r="UO31" s="3"/>
      <c r="UP31" s="3"/>
      <c r="UQ31" s="3"/>
      <c r="UR31" s="3"/>
      <c r="US31" s="3"/>
      <c r="UT31" s="3"/>
      <c r="UU31" s="3"/>
      <c r="UV31" s="3"/>
      <c r="UW31" s="3"/>
      <c r="UX31" s="3"/>
      <c r="UY31" s="3"/>
      <c r="UZ31" s="3"/>
      <c r="VA31" s="3"/>
      <c r="VB31" s="3"/>
      <c r="VC31" s="3"/>
      <c r="VD31" s="3"/>
      <c r="VE31" s="3"/>
      <c r="VF31" s="3"/>
      <c r="VG31" s="3"/>
      <c r="VH31" s="3"/>
      <c r="VI31" s="3"/>
      <c r="VJ31" s="3"/>
      <c r="VK31" s="3"/>
      <c r="VL31" s="3"/>
      <c r="VM31" s="3"/>
      <c r="VN31" s="3"/>
      <c r="VO31" s="3"/>
      <c r="VP31" s="3"/>
      <c r="VQ31" s="3"/>
      <c r="VR31" s="3"/>
      <c r="VS31" s="3"/>
      <c r="VT31" s="3"/>
      <c r="VU31" s="3"/>
      <c r="VV31" s="3"/>
      <c r="VW31" s="3"/>
      <c r="VX31" s="3"/>
      <c r="VY31" s="3"/>
      <c r="VZ31" s="3"/>
      <c r="WA31" s="3"/>
      <c r="WB31" s="3"/>
      <c r="WC31" s="3"/>
      <c r="WD31" s="3"/>
      <c r="WE31" s="3"/>
      <c r="WF31" s="3"/>
      <c r="WG31" s="3"/>
      <c r="WH31" s="3"/>
      <c r="WI31" s="3"/>
      <c r="WJ31" s="3"/>
      <c r="WK31" s="3"/>
      <c r="WL31" s="3"/>
      <c r="WM31" s="3"/>
      <c r="WN31" s="3"/>
      <c r="WO31" s="3"/>
      <c r="WP31" s="3"/>
      <c r="WQ31" s="3"/>
      <c r="WR31" s="3"/>
      <c r="WS31" s="3"/>
      <c r="WT31" s="3"/>
      <c r="WU31" s="3"/>
      <c r="WV31" s="3"/>
      <c r="WW31" s="3"/>
      <c r="WX31" s="3"/>
      <c r="WY31" s="3"/>
      <c r="WZ31" s="3"/>
      <c r="XA31" s="3"/>
      <c r="XB31" s="3"/>
      <c r="XC31" s="3"/>
      <c r="XD31" s="3"/>
      <c r="XE31" s="3"/>
      <c r="XF31" s="3"/>
      <c r="XG31" s="3"/>
      <c r="XH31" s="3"/>
      <c r="XI31" s="3"/>
      <c r="XJ31" s="3"/>
      <c r="XK31" s="3"/>
      <c r="XL31" s="3"/>
      <c r="XM31" s="3"/>
      <c r="XN31" s="3"/>
      <c r="XO31" s="3"/>
      <c r="XP31" s="3"/>
      <c r="XQ31" s="3"/>
      <c r="XR31" s="3"/>
      <c r="XS31" s="3"/>
      <c r="XT31" s="3"/>
      <c r="XU31" s="3"/>
      <c r="XV31" s="3"/>
      <c r="XW31" s="3"/>
      <c r="XX31" s="3"/>
      <c r="XY31" s="3"/>
      <c r="XZ31" s="3"/>
      <c r="YA31" s="3"/>
      <c r="YB31" s="3"/>
      <c r="YC31" s="3"/>
      <c r="YD31" s="3"/>
      <c r="YE31" s="3"/>
      <c r="YF31" s="3"/>
      <c r="YG31" s="3"/>
      <c r="YH31" s="3"/>
      <c r="YI31" s="3"/>
      <c r="YJ31" s="3"/>
      <c r="YK31" s="3"/>
      <c r="YL31" s="3"/>
      <c r="YM31" s="3"/>
      <c r="YN31" s="3"/>
      <c r="YO31" s="3"/>
      <c r="YP31" s="3"/>
      <c r="YQ31" s="3"/>
      <c r="YR31" s="3"/>
      <c r="YS31" s="3"/>
      <c r="YT31" s="3"/>
      <c r="YU31" s="3"/>
      <c r="YV31" s="3"/>
      <c r="YW31" s="3"/>
      <c r="YX31" s="3"/>
      <c r="YY31" s="3"/>
      <c r="YZ31" s="3"/>
      <c r="ZA31" s="3"/>
      <c r="ZB31" s="3"/>
      <c r="ZC31" s="3"/>
    </row>
    <row r="32" spans="1:679" s="2" customFormat="1" x14ac:dyDescent="0.45">
      <c r="A32" s="3" t="s">
        <v>11</v>
      </c>
      <c r="B32" s="4">
        <v>30473</v>
      </c>
      <c r="C32" s="7" t="s">
        <v>21</v>
      </c>
      <c r="D32" s="6" t="s">
        <v>46</v>
      </c>
      <c r="E32" s="3"/>
      <c r="F32" s="3">
        <v>12</v>
      </c>
      <c r="L32" s="3"/>
      <c r="M32" s="3"/>
      <c r="N32" s="48"/>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c r="GS32" s="3"/>
      <c r="GT32" s="3"/>
      <c r="GU32" s="3"/>
      <c r="GV32" s="3"/>
      <c r="GW32" s="3"/>
      <c r="GX32" s="3"/>
      <c r="GY32" s="3"/>
      <c r="GZ32" s="3"/>
      <c r="HA32" s="3"/>
      <c r="HB32" s="3"/>
      <c r="HC32" s="3"/>
      <c r="HD32" s="3"/>
      <c r="HE32" s="3"/>
      <c r="HF32" s="3"/>
      <c r="HG32" s="3"/>
      <c r="HH32" s="3"/>
      <c r="HI32" s="3"/>
      <c r="HJ32" s="3"/>
      <c r="HK32" s="3"/>
      <c r="HL32" s="3"/>
      <c r="HM32" s="3"/>
      <c r="HN32" s="3"/>
      <c r="HO32" s="3"/>
      <c r="HP32" s="3"/>
      <c r="HQ32" s="3"/>
      <c r="HR32" s="3"/>
      <c r="HS32" s="3"/>
      <c r="HT32" s="3"/>
      <c r="HU32" s="3"/>
      <c r="HV32" s="3"/>
      <c r="HW32" s="3"/>
      <c r="HX32" s="3"/>
      <c r="HY32" s="3"/>
      <c r="HZ32" s="3"/>
      <c r="IA32" s="3"/>
      <c r="IB32" s="3"/>
      <c r="IC32" s="3"/>
      <c r="ID32" s="3"/>
      <c r="IE32" s="3"/>
      <c r="IF32" s="3"/>
      <c r="IG32" s="3"/>
      <c r="IH32" s="3"/>
      <c r="II32" s="3"/>
      <c r="IJ32" s="3"/>
      <c r="IK32" s="3"/>
      <c r="IL32" s="3"/>
      <c r="IM32" s="3"/>
      <c r="IN32" s="3"/>
      <c r="IO32" s="3"/>
      <c r="IP32" s="3"/>
      <c r="IQ32" s="3"/>
      <c r="IR32" s="3"/>
      <c r="IS32" s="3"/>
      <c r="IT32" s="3"/>
      <c r="IU32" s="3"/>
      <c r="IV32" s="3"/>
      <c r="IW32" s="3"/>
      <c r="IX32" s="3"/>
      <c r="IY32" s="3"/>
      <c r="IZ32" s="3"/>
      <c r="JA32" s="3"/>
      <c r="JB32" s="3"/>
      <c r="JC32" s="3"/>
      <c r="JD32" s="3"/>
      <c r="JE32" s="3"/>
      <c r="JF32" s="3"/>
      <c r="JG32" s="3"/>
      <c r="JH32" s="3"/>
      <c r="JI32" s="3"/>
      <c r="JJ32" s="3"/>
      <c r="JK32" s="3"/>
      <c r="JL32" s="3"/>
      <c r="JM32" s="3"/>
      <c r="JN32" s="3"/>
      <c r="JO32" s="3"/>
      <c r="JP32" s="3"/>
      <c r="JQ32" s="3"/>
      <c r="JR32" s="3"/>
      <c r="JS32" s="3"/>
      <c r="JT32" s="3"/>
      <c r="JU32" s="3"/>
      <c r="JV32" s="3"/>
      <c r="JW32" s="3"/>
      <c r="JX32" s="3"/>
      <c r="JY32" s="3"/>
      <c r="JZ32" s="3"/>
      <c r="KA32" s="3"/>
      <c r="KB32" s="3"/>
      <c r="KC32" s="3"/>
      <c r="KD32" s="3"/>
      <c r="KE32" s="3"/>
      <c r="KF32" s="3"/>
      <c r="KG32" s="3"/>
      <c r="KH32" s="3"/>
      <c r="KI32" s="3"/>
      <c r="KJ32" s="3"/>
      <c r="KK32" s="3"/>
      <c r="KL32" s="3"/>
      <c r="KM32" s="3"/>
      <c r="KN32" s="3"/>
      <c r="KO32" s="3"/>
      <c r="KP32" s="3"/>
      <c r="KQ32" s="3"/>
      <c r="KR32" s="3"/>
      <c r="KS32" s="3"/>
      <c r="KT32" s="3"/>
      <c r="KU32" s="3"/>
      <c r="KV32" s="3"/>
      <c r="KW32" s="3"/>
      <c r="KX32" s="3"/>
      <c r="KY32" s="3"/>
      <c r="KZ32" s="3"/>
      <c r="LA32" s="3"/>
      <c r="LB32" s="3"/>
      <c r="LC32" s="3"/>
      <c r="LD32" s="3"/>
      <c r="LE32" s="3"/>
      <c r="LF32" s="3"/>
      <c r="LG32" s="3"/>
      <c r="LH32" s="3"/>
      <c r="LI32" s="3"/>
      <c r="LJ32" s="3"/>
      <c r="LK32" s="3"/>
      <c r="LL32" s="3"/>
      <c r="LM32" s="3"/>
      <c r="LN32" s="3"/>
      <c r="LO32" s="3"/>
      <c r="LP32" s="3"/>
      <c r="LQ32" s="3"/>
      <c r="LR32" s="3"/>
      <c r="LS32" s="3"/>
      <c r="LT32" s="3"/>
      <c r="LU32" s="3"/>
      <c r="LV32" s="3"/>
      <c r="LW32" s="3"/>
      <c r="LX32" s="3"/>
      <c r="LY32" s="3"/>
      <c r="LZ32" s="3"/>
      <c r="MA32" s="3"/>
      <c r="MB32" s="3"/>
      <c r="MC32" s="3"/>
      <c r="MD32" s="3"/>
      <c r="ME32" s="3"/>
      <c r="MF32" s="3"/>
      <c r="MG32" s="3"/>
      <c r="MH32" s="3"/>
      <c r="MI32" s="3"/>
      <c r="MJ32" s="3"/>
      <c r="MK32" s="3"/>
      <c r="ML32" s="3"/>
      <c r="MM32" s="3"/>
      <c r="MN32" s="3"/>
      <c r="MO32" s="3"/>
      <c r="MP32" s="3"/>
      <c r="MQ32" s="3"/>
      <c r="MR32" s="3"/>
      <c r="MS32" s="3"/>
      <c r="MT32" s="3"/>
      <c r="MU32" s="3"/>
      <c r="MV32" s="3"/>
      <c r="MW32" s="3"/>
      <c r="MX32" s="3"/>
      <c r="MY32" s="3"/>
      <c r="MZ32" s="3"/>
      <c r="NA32" s="3"/>
      <c r="NB32" s="3"/>
      <c r="NC32" s="3"/>
      <c r="ND32" s="3"/>
      <c r="NE32" s="3"/>
      <c r="NF32" s="3"/>
      <c r="NG32" s="3"/>
      <c r="NH32" s="3"/>
      <c r="NI32" s="3"/>
      <c r="NJ32" s="3"/>
      <c r="NK32" s="3"/>
      <c r="NL32" s="3"/>
      <c r="NM32" s="3"/>
      <c r="NN32" s="3"/>
      <c r="NO32" s="3"/>
      <c r="NP32" s="3"/>
      <c r="NQ32" s="3"/>
      <c r="NR32" s="3"/>
      <c r="NS32" s="3"/>
      <c r="NT32" s="3"/>
      <c r="NU32" s="3"/>
      <c r="NV32" s="3"/>
      <c r="NW32" s="3"/>
      <c r="NX32" s="3"/>
      <c r="NY32" s="3"/>
      <c r="NZ32" s="3"/>
      <c r="OA32" s="3"/>
      <c r="OB32" s="3"/>
      <c r="OC32" s="3"/>
      <c r="OD32" s="3"/>
      <c r="OE32" s="3"/>
      <c r="OF32" s="3"/>
      <c r="OG32" s="3"/>
      <c r="OH32" s="3"/>
      <c r="OI32" s="3"/>
      <c r="OJ32" s="3"/>
      <c r="OK32" s="3"/>
      <c r="OL32" s="3"/>
      <c r="OM32" s="3"/>
      <c r="ON32" s="3"/>
      <c r="OO32" s="3"/>
      <c r="OP32" s="3"/>
      <c r="OQ32" s="3"/>
      <c r="OR32" s="3"/>
      <c r="OS32" s="3"/>
      <c r="OT32" s="3"/>
      <c r="OU32" s="3"/>
      <c r="OV32" s="3"/>
      <c r="OW32" s="3"/>
      <c r="OX32" s="3"/>
      <c r="OY32" s="3"/>
      <c r="OZ32" s="3"/>
      <c r="PA32" s="3"/>
      <c r="PB32" s="3"/>
      <c r="PC32" s="3"/>
      <c r="PD32" s="3"/>
      <c r="PE32" s="3"/>
      <c r="PF32" s="3"/>
      <c r="PG32" s="3"/>
      <c r="PH32" s="3"/>
      <c r="PI32" s="3"/>
      <c r="PJ32" s="3"/>
      <c r="PK32" s="3"/>
      <c r="PL32" s="3"/>
      <c r="PM32" s="3"/>
      <c r="PN32" s="3"/>
      <c r="PO32" s="3"/>
      <c r="PP32" s="3"/>
      <c r="PQ32" s="3"/>
      <c r="PR32" s="3"/>
      <c r="PS32" s="3"/>
      <c r="PT32" s="3"/>
      <c r="PU32" s="3"/>
      <c r="PV32" s="3"/>
      <c r="PW32" s="3"/>
      <c r="PX32" s="3"/>
      <c r="PY32" s="3"/>
      <c r="PZ32" s="3"/>
      <c r="QA32" s="3"/>
      <c r="QB32" s="3"/>
      <c r="QC32" s="3"/>
      <c r="QD32" s="3"/>
      <c r="QE32" s="3"/>
      <c r="QF32" s="3"/>
      <c r="QG32" s="3"/>
      <c r="QH32" s="3"/>
      <c r="QI32" s="3"/>
      <c r="QJ32" s="3"/>
      <c r="QK32" s="3"/>
      <c r="QL32" s="3"/>
      <c r="QM32" s="3"/>
      <c r="QN32" s="3"/>
      <c r="QO32" s="3"/>
      <c r="QP32" s="3"/>
      <c r="QQ32" s="3"/>
      <c r="QR32" s="3"/>
      <c r="QS32" s="3"/>
      <c r="QT32" s="3"/>
      <c r="QU32" s="3"/>
      <c r="QV32" s="3"/>
      <c r="QW32" s="3"/>
      <c r="QX32" s="3"/>
      <c r="QY32" s="3"/>
      <c r="QZ32" s="3"/>
      <c r="RA32" s="3"/>
      <c r="RB32" s="3"/>
      <c r="RC32" s="3"/>
      <c r="RD32" s="3"/>
      <c r="RE32" s="3"/>
      <c r="RF32" s="3"/>
      <c r="RG32" s="3"/>
      <c r="RH32" s="3"/>
      <c r="RI32" s="3"/>
      <c r="RJ32" s="3"/>
      <c r="RK32" s="3"/>
      <c r="RL32" s="3"/>
      <c r="RM32" s="3"/>
      <c r="RN32" s="3"/>
      <c r="RO32" s="3"/>
      <c r="RP32" s="3"/>
      <c r="RQ32" s="3"/>
      <c r="RR32" s="3"/>
      <c r="RS32" s="3"/>
      <c r="RT32" s="3"/>
      <c r="RU32" s="3"/>
      <c r="RV32" s="3"/>
      <c r="RW32" s="3"/>
      <c r="RX32" s="3"/>
      <c r="RY32" s="3"/>
      <c r="RZ32" s="3"/>
      <c r="SA32" s="3"/>
      <c r="SB32" s="3"/>
      <c r="SC32" s="3"/>
      <c r="SD32" s="3"/>
      <c r="SE32" s="3"/>
      <c r="SF32" s="3"/>
      <c r="SG32" s="3"/>
      <c r="SH32" s="3"/>
      <c r="SI32" s="3"/>
      <c r="SJ32" s="3"/>
      <c r="SK32" s="3"/>
      <c r="SL32" s="3"/>
      <c r="SM32" s="3"/>
      <c r="SN32" s="3"/>
      <c r="SO32" s="3"/>
      <c r="SP32" s="3"/>
      <c r="SQ32" s="3"/>
      <c r="SR32" s="3"/>
      <c r="SS32" s="3"/>
      <c r="ST32" s="3"/>
      <c r="SU32" s="3"/>
      <c r="SV32" s="3"/>
      <c r="SW32" s="3"/>
      <c r="SX32" s="3"/>
      <c r="SY32" s="3"/>
      <c r="SZ32" s="3"/>
      <c r="TA32" s="3"/>
      <c r="TB32" s="3"/>
      <c r="TC32" s="3"/>
      <c r="TD32" s="3"/>
      <c r="TE32" s="3"/>
      <c r="TF32" s="3"/>
      <c r="TG32" s="3"/>
      <c r="TH32" s="3"/>
      <c r="TI32" s="3"/>
      <c r="TJ32" s="3"/>
      <c r="TK32" s="3"/>
      <c r="TL32" s="3"/>
      <c r="TM32" s="3"/>
      <c r="TN32" s="3"/>
      <c r="TO32" s="3"/>
      <c r="TP32" s="3"/>
      <c r="TQ32" s="3"/>
      <c r="TR32" s="3"/>
      <c r="TS32" s="3"/>
      <c r="TT32" s="3"/>
      <c r="TU32" s="3"/>
      <c r="TV32" s="3"/>
      <c r="TW32" s="3"/>
      <c r="TX32" s="3"/>
      <c r="TY32" s="3"/>
      <c r="TZ32" s="3"/>
      <c r="UA32" s="3"/>
      <c r="UB32" s="3"/>
      <c r="UC32" s="3"/>
      <c r="UD32" s="3"/>
      <c r="UE32" s="3"/>
      <c r="UF32" s="3"/>
      <c r="UG32" s="3"/>
      <c r="UH32" s="3"/>
      <c r="UI32" s="3"/>
      <c r="UJ32" s="3"/>
      <c r="UK32" s="3"/>
      <c r="UL32" s="3"/>
      <c r="UM32" s="3"/>
      <c r="UN32" s="3"/>
      <c r="UO32" s="3"/>
      <c r="UP32" s="3"/>
      <c r="UQ32" s="3"/>
      <c r="UR32" s="3"/>
      <c r="US32" s="3"/>
      <c r="UT32" s="3"/>
      <c r="UU32" s="3"/>
      <c r="UV32" s="3"/>
      <c r="UW32" s="3"/>
      <c r="UX32" s="3"/>
      <c r="UY32" s="3"/>
      <c r="UZ32" s="3"/>
      <c r="VA32" s="3"/>
      <c r="VB32" s="3"/>
      <c r="VC32" s="3"/>
      <c r="VD32" s="3"/>
      <c r="VE32" s="3"/>
      <c r="VF32" s="3"/>
      <c r="VG32" s="3"/>
      <c r="VH32" s="3"/>
      <c r="VI32" s="3"/>
      <c r="VJ32" s="3"/>
      <c r="VK32" s="3"/>
      <c r="VL32" s="3"/>
      <c r="VM32" s="3"/>
      <c r="VN32" s="3"/>
      <c r="VO32" s="3"/>
      <c r="VP32" s="3"/>
      <c r="VQ32" s="3"/>
      <c r="VR32" s="3"/>
      <c r="VS32" s="3"/>
      <c r="VT32" s="3"/>
      <c r="VU32" s="3"/>
      <c r="VV32" s="3"/>
      <c r="VW32" s="3"/>
      <c r="VX32" s="3"/>
      <c r="VY32" s="3"/>
      <c r="VZ32" s="3"/>
      <c r="WA32" s="3"/>
      <c r="WB32" s="3"/>
      <c r="WC32" s="3"/>
      <c r="WD32" s="3"/>
      <c r="WE32" s="3"/>
      <c r="WF32" s="3"/>
      <c r="WG32" s="3"/>
      <c r="WH32" s="3"/>
      <c r="WI32" s="3"/>
      <c r="WJ32" s="3"/>
      <c r="WK32" s="3"/>
      <c r="WL32" s="3"/>
      <c r="WM32" s="3"/>
      <c r="WN32" s="3"/>
      <c r="WO32" s="3"/>
      <c r="WP32" s="3"/>
      <c r="WQ32" s="3"/>
      <c r="WR32" s="3"/>
      <c r="WS32" s="3"/>
      <c r="WT32" s="3"/>
      <c r="WU32" s="3"/>
      <c r="WV32" s="3"/>
      <c r="WW32" s="3"/>
      <c r="WX32" s="3"/>
      <c r="WY32" s="3"/>
      <c r="WZ32" s="3"/>
      <c r="XA32" s="3"/>
      <c r="XB32" s="3"/>
      <c r="XC32" s="3"/>
      <c r="XD32" s="3"/>
      <c r="XE32" s="3"/>
      <c r="XF32" s="3"/>
      <c r="XG32" s="3"/>
      <c r="XH32" s="3"/>
      <c r="XI32" s="3"/>
      <c r="XJ32" s="3"/>
      <c r="XK32" s="3"/>
      <c r="XL32" s="3"/>
      <c r="XM32" s="3"/>
      <c r="XN32" s="3"/>
      <c r="XO32" s="3"/>
      <c r="XP32" s="3"/>
      <c r="XQ32" s="3"/>
      <c r="XR32" s="3"/>
      <c r="XS32" s="3"/>
      <c r="XT32" s="3"/>
      <c r="XU32" s="3"/>
      <c r="XV32" s="3"/>
      <c r="XW32" s="3"/>
      <c r="XX32" s="3"/>
      <c r="XY32" s="3"/>
      <c r="XZ32" s="3"/>
      <c r="YA32" s="3"/>
      <c r="YB32" s="3"/>
      <c r="YC32" s="3"/>
      <c r="YD32" s="3"/>
      <c r="YE32" s="3"/>
      <c r="YF32" s="3"/>
      <c r="YG32" s="3"/>
      <c r="YH32" s="3"/>
      <c r="YI32" s="3"/>
      <c r="YJ32" s="3"/>
      <c r="YK32" s="3"/>
      <c r="YL32" s="3"/>
      <c r="YM32" s="3"/>
      <c r="YN32" s="3"/>
      <c r="YO32" s="3"/>
      <c r="YP32" s="3"/>
      <c r="YQ32" s="3"/>
      <c r="YR32" s="3"/>
      <c r="YS32" s="3"/>
      <c r="YT32" s="3"/>
      <c r="YU32" s="3"/>
      <c r="YV32" s="3"/>
      <c r="YW32" s="3"/>
      <c r="YX32" s="3"/>
      <c r="YY32" s="3"/>
      <c r="YZ32" s="3"/>
      <c r="ZA32" s="3"/>
      <c r="ZB32" s="3"/>
      <c r="ZC32" s="3"/>
    </row>
    <row r="33" spans="1:679" s="2" customFormat="1" x14ac:dyDescent="0.45">
      <c r="A33" s="3" t="s">
        <v>11</v>
      </c>
      <c r="B33" s="4">
        <v>30512</v>
      </c>
      <c r="C33" s="7" t="s">
        <v>25</v>
      </c>
      <c r="D33" s="6" t="s">
        <v>47</v>
      </c>
      <c r="E33" s="3"/>
      <c r="F33" s="3">
        <v>17</v>
      </c>
      <c r="L33" s="3"/>
      <c r="M33" s="3"/>
      <c r="N33" s="48"/>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c r="FZ33" s="3"/>
      <c r="GA33" s="3"/>
      <c r="GB33" s="3"/>
      <c r="GC33" s="3"/>
      <c r="GD33" s="3"/>
      <c r="GE33" s="3"/>
      <c r="GF33" s="3"/>
      <c r="GG33" s="3"/>
      <c r="GH33" s="3"/>
      <c r="GI33" s="3"/>
      <c r="GJ33" s="3"/>
      <c r="GK33" s="3"/>
      <c r="GL33" s="3"/>
      <c r="GM33" s="3"/>
      <c r="GN33" s="3"/>
      <c r="GO33" s="3"/>
      <c r="GP33" s="3"/>
      <c r="GQ33" s="3"/>
      <c r="GR33" s="3"/>
      <c r="GS33" s="3"/>
      <c r="GT33" s="3"/>
      <c r="GU33" s="3"/>
      <c r="GV33" s="3"/>
      <c r="GW33" s="3"/>
      <c r="GX33" s="3"/>
      <c r="GY33" s="3"/>
      <c r="GZ33" s="3"/>
      <c r="HA33" s="3"/>
      <c r="HB33" s="3"/>
      <c r="HC33" s="3"/>
      <c r="HD33" s="3"/>
      <c r="HE33" s="3"/>
      <c r="HF33" s="3"/>
      <c r="HG33" s="3"/>
      <c r="HH33" s="3"/>
      <c r="HI33" s="3"/>
      <c r="HJ33" s="3"/>
      <c r="HK33" s="3"/>
      <c r="HL33" s="3"/>
      <c r="HM33" s="3"/>
      <c r="HN33" s="3"/>
      <c r="HO33" s="3"/>
      <c r="HP33" s="3"/>
      <c r="HQ33" s="3"/>
      <c r="HR33" s="3"/>
      <c r="HS33" s="3"/>
      <c r="HT33" s="3"/>
      <c r="HU33" s="3"/>
      <c r="HV33" s="3"/>
      <c r="HW33" s="3"/>
      <c r="HX33" s="3"/>
      <c r="HY33" s="3"/>
      <c r="HZ33" s="3"/>
      <c r="IA33" s="3"/>
      <c r="IB33" s="3"/>
      <c r="IC33" s="3"/>
      <c r="ID33" s="3"/>
      <c r="IE33" s="3"/>
      <c r="IF33" s="3"/>
      <c r="IG33" s="3"/>
      <c r="IH33" s="3"/>
      <c r="II33" s="3"/>
      <c r="IJ33" s="3"/>
      <c r="IK33" s="3"/>
      <c r="IL33" s="3"/>
      <c r="IM33" s="3"/>
      <c r="IN33" s="3"/>
      <c r="IO33" s="3"/>
      <c r="IP33" s="3"/>
      <c r="IQ33" s="3"/>
      <c r="IR33" s="3"/>
      <c r="IS33" s="3"/>
      <c r="IT33" s="3"/>
      <c r="IU33" s="3"/>
      <c r="IV33" s="3"/>
      <c r="IW33" s="3"/>
      <c r="IX33" s="3"/>
      <c r="IY33" s="3"/>
      <c r="IZ33" s="3"/>
      <c r="JA33" s="3"/>
      <c r="JB33" s="3"/>
      <c r="JC33" s="3"/>
      <c r="JD33" s="3"/>
      <c r="JE33" s="3"/>
      <c r="JF33" s="3"/>
      <c r="JG33" s="3"/>
      <c r="JH33" s="3"/>
      <c r="JI33" s="3"/>
      <c r="JJ33" s="3"/>
      <c r="JK33" s="3"/>
      <c r="JL33" s="3"/>
      <c r="JM33" s="3"/>
      <c r="JN33" s="3"/>
      <c r="JO33" s="3"/>
      <c r="JP33" s="3"/>
      <c r="JQ33" s="3"/>
      <c r="JR33" s="3"/>
      <c r="JS33" s="3"/>
      <c r="JT33" s="3"/>
      <c r="JU33" s="3"/>
      <c r="JV33" s="3"/>
      <c r="JW33" s="3"/>
      <c r="JX33" s="3"/>
      <c r="JY33" s="3"/>
      <c r="JZ33" s="3"/>
      <c r="KA33" s="3"/>
      <c r="KB33" s="3"/>
      <c r="KC33" s="3"/>
      <c r="KD33" s="3"/>
      <c r="KE33" s="3"/>
      <c r="KF33" s="3"/>
      <c r="KG33" s="3"/>
      <c r="KH33" s="3"/>
      <c r="KI33" s="3"/>
      <c r="KJ33" s="3"/>
      <c r="KK33" s="3"/>
      <c r="KL33" s="3"/>
      <c r="KM33" s="3"/>
      <c r="KN33" s="3"/>
      <c r="KO33" s="3"/>
      <c r="KP33" s="3"/>
      <c r="KQ33" s="3"/>
      <c r="KR33" s="3"/>
      <c r="KS33" s="3"/>
      <c r="KT33" s="3"/>
      <c r="KU33" s="3"/>
      <c r="KV33" s="3"/>
      <c r="KW33" s="3"/>
      <c r="KX33" s="3"/>
      <c r="KY33" s="3"/>
      <c r="KZ33" s="3"/>
      <c r="LA33" s="3"/>
      <c r="LB33" s="3"/>
      <c r="LC33" s="3"/>
      <c r="LD33" s="3"/>
      <c r="LE33" s="3"/>
      <c r="LF33" s="3"/>
      <c r="LG33" s="3"/>
      <c r="LH33" s="3"/>
      <c r="LI33" s="3"/>
      <c r="LJ33" s="3"/>
      <c r="LK33" s="3"/>
      <c r="LL33" s="3"/>
      <c r="LM33" s="3"/>
      <c r="LN33" s="3"/>
      <c r="LO33" s="3"/>
      <c r="LP33" s="3"/>
      <c r="LQ33" s="3"/>
      <c r="LR33" s="3"/>
      <c r="LS33" s="3"/>
      <c r="LT33" s="3"/>
      <c r="LU33" s="3"/>
      <c r="LV33" s="3"/>
      <c r="LW33" s="3"/>
      <c r="LX33" s="3"/>
      <c r="LY33" s="3"/>
      <c r="LZ33" s="3"/>
      <c r="MA33" s="3"/>
      <c r="MB33" s="3"/>
      <c r="MC33" s="3"/>
      <c r="MD33" s="3"/>
      <c r="ME33" s="3"/>
      <c r="MF33" s="3"/>
      <c r="MG33" s="3"/>
      <c r="MH33" s="3"/>
      <c r="MI33" s="3"/>
      <c r="MJ33" s="3"/>
      <c r="MK33" s="3"/>
      <c r="ML33" s="3"/>
      <c r="MM33" s="3"/>
      <c r="MN33" s="3"/>
      <c r="MO33" s="3"/>
      <c r="MP33" s="3"/>
      <c r="MQ33" s="3"/>
      <c r="MR33" s="3"/>
      <c r="MS33" s="3"/>
      <c r="MT33" s="3"/>
      <c r="MU33" s="3"/>
      <c r="MV33" s="3"/>
      <c r="MW33" s="3"/>
      <c r="MX33" s="3"/>
      <c r="MY33" s="3"/>
      <c r="MZ33" s="3"/>
      <c r="NA33" s="3"/>
      <c r="NB33" s="3"/>
      <c r="NC33" s="3"/>
      <c r="ND33" s="3"/>
      <c r="NE33" s="3"/>
      <c r="NF33" s="3"/>
      <c r="NG33" s="3"/>
      <c r="NH33" s="3"/>
      <c r="NI33" s="3"/>
      <c r="NJ33" s="3"/>
      <c r="NK33" s="3"/>
      <c r="NL33" s="3"/>
      <c r="NM33" s="3"/>
      <c r="NN33" s="3"/>
      <c r="NO33" s="3"/>
      <c r="NP33" s="3"/>
      <c r="NQ33" s="3"/>
      <c r="NR33" s="3"/>
      <c r="NS33" s="3"/>
      <c r="NT33" s="3"/>
      <c r="NU33" s="3"/>
      <c r="NV33" s="3"/>
      <c r="NW33" s="3"/>
      <c r="NX33" s="3"/>
      <c r="NY33" s="3"/>
      <c r="NZ33" s="3"/>
      <c r="OA33" s="3"/>
      <c r="OB33" s="3"/>
      <c r="OC33" s="3"/>
      <c r="OD33" s="3"/>
      <c r="OE33" s="3"/>
      <c r="OF33" s="3"/>
      <c r="OG33" s="3"/>
      <c r="OH33" s="3"/>
      <c r="OI33" s="3"/>
      <c r="OJ33" s="3"/>
      <c r="OK33" s="3"/>
      <c r="OL33" s="3"/>
      <c r="OM33" s="3"/>
      <c r="ON33" s="3"/>
      <c r="OO33" s="3"/>
      <c r="OP33" s="3"/>
      <c r="OQ33" s="3"/>
      <c r="OR33" s="3"/>
      <c r="OS33" s="3"/>
      <c r="OT33" s="3"/>
      <c r="OU33" s="3"/>
      <c r="OV33" s="3"/>
      <c r="OW33" s="3"/>
      <c r="OX33" s="3"/>
      <c r="OY33" s="3"/>
      <c r="OZ33" s="3"/>
      <c r="PA33" s="3"/>
      <c r="PB33" s="3"/>
      <c r="PC33" s="3"/>
      <c r="PD33" s="3"/>
      <c r="PE33" s="3"/>
      <c r="PF33" s="3"/>
      <c r="PG33" s="3"/>
      <c r="PH33" s="3"/>
      <c r="PI33" s="3"/>
      <c r="PJ33" s="3"/>
      <c r="PK33" s="3"/>
      <c r="PL33" s="3"/>
      <c r="PM33" s="3"/>
      <c r="PN33" s="3"/>
      <c r="PO33" s="3"/>
      <c r="PP33" s="3"/>
      <c r="PQ33" s="3"/>
      <c r="PR33" s="3"/>
      <c r="PS33" s="3"/>
      <c r="PT33" s="3"/>
      <c r="PU33" s="3"/>
      <c r="PV33" s="3"/>
      <c r="PW33" s="3"/>
      <c r="PX33" s="3"/>
      <c r="PY33" s="3"/>
      <c r="PZ33" s="3"/>
      <c r="QA33" s="3"/>
      <c r="QB33" s="3"/>
      <c r="QC33" s="3"/>
      <c r="QD33" s="3"/>
      <c r="QE33" s="3"/>
      <c r="QF33" s="3"/>
      <c r="QG33" s="3"/>
      <c r="QH33" s="3"/>
      <c r="QI33" s="3"/>
      <c r="QJ33" s="3"/>
      <c r="QK33" s="3"/>
      <c r="QL33" s="3"/>
      <c r="QM33" s="3"/>
      <c r="QN33" s="3"/>
      <c r="QO33" s="3"/>
      <c r="QP33" s="3"/>
      <c r="QQ33" s="3"/>
      <c r="QR33" s="3"/>
      <c r="QS33" s="3"/>
      <c r="QT33" s="3"/>
      <c r="QU33" s="3"/>
      <c r="QV33" s="3"/>
      <c r="QW33" s="3"/>
      <c r="QX33" s="3"/>
      <c r="QY33" s="3"/>
      <c r="QZ33" s="3"/>
      <c r="RA33" s="3"/>
      <c r="RB33" s="3"/>
      <c r="RC33" s="3"/>
      <c r="RD33" s="3"/>
      <c r="RE33" s="3"/>
      <c r="RF33" s="3"/>
      <c r="RG33" s="3"/>
      <c r="RH33" s="3"/>
      <c r="RI33" s="3"/>
      <c r="RJ33" s="3"/>
      <c r="RK33" s="3"/>
      <c r="RL33" s="3"/>
      <c r="RM33" s="3"/>
      <c r="RN33" s="3"/>
      <c r="RO33" s="3"/>
      <c r="RP33" s="3"/>
      <c r="RQ33" s="3"/>
      <c r="RR33" s="3"/>
      <c r="RS33" s="3"/>
      <c r="RT33" s="3"/>
      <c r="RU33" s="3"/>
      <c r="RV33" s="3"/>
      <c r="RW33" s="3"/>
      <c r="RX33" s="3"/>
      <c r="RY33" s="3"/>
      <c r="RZ33" s="3"/>
      <c r="SA33" s="3"/>
      <c r="SB33" s="3"/>
      <c r="SC33" s="3"/>
      <c r="SD33" s="3"/>
      <c r="SE33" s="3"/>
      <c r="SF33" s="3"/>
      <c r="SG33" s="3"/>
      <c r="SH33" s="3"/>
      <c r="SI33" s="3"/>
      <c r="SJ33" s="3"/>
      <c r="SK33" s="3"/>
      <c r="SL33" s="3"/>
      <c r="SM33" s="3"/>
      <c r="SN33" s="3"/>
      <c r="SO33" s="3"/>
      <c r="SP33" s="3"/>
      <c r="SQ33" s="3"/>
      <c r="SR33" s="3"/>
      <c r="SS33" s="3"/>
      <c r="ST33" s="3"/>
      <c r="SU33" s="3"/>
      <c r="SV33" s="3"/>
      <c r="SW33" s="3"/>
      <c r="SX33" s="3"/>
      <c r="SY33" s="3"/>
      <c r="SZ33" s="3"/>
      <c r="TA33" s="3"/>
      <c r="TB33" s="3"/>
      <c r="TC33" s="3"/>
      <c r="TD33" s="3"/>
      <c r="TE33" s="3"/>
      <c r="TF33" s="3"/>
      <c r="TG33" s="3"/>
      <c r="TH33" s="3"/>
      <c r="TI33" s="3"/>
      <c r="TJ33" s="3"/>
      <c r="TK33" s="3"/>
      <c r="TL33" s="3"/>
      <c r="TM33" s="3"/>
      <c r="TN33" s="3"/>
      <c r="TO33" s="3"/>
      <c r="TP33" s="3"/>
      <c r="TQ33" s="3"/>
      <c r="TR33" s="3"/>
      <c r="TS33" s="3"/>
      <c r="TT33" s="3"/>
      <c r="TU33" s="3"/>
      <c r="TV33" s="3"/>
      <c r="TW33" s="3"/>
      <c r="TX33" s="3"/>
      <c r="TY33" s="3"/>
      <c r="TZ33" s="3"/>
      <c r="UA33" s="3"/>
      <c r="UB33" s="3"/>
      <c r="UC33" s="3"/>
      <c r="UD33" s="3"/>
      <c r="UE33" s="3"/>
      <c r="UF33" s="3"/>
      <c r="UG33" s="3"/>
      <c r="UH33" s="3"/>
      <c r="UI33" s="3"/>
      <c r="UJ33" s="3"/>
      <c r="UK33" s="3"/>
      <c r="UL33" s="3"/>
      <c r="UM33" s="3"/>
      <c r="UN33" s="3"/>
      <c r="UO33" s="3"/>
      <c r="UP33" s="3"/>
      <c r="UQ33" s="3"/>
      <c r="UR33" s="3"/>
      <c r="US33" s="3"/>
      <c r="UT33" s="3"/>
      <c r="UU33" s="3"/>
      <c r="UV33" s="3"/>
      <c r="UW33" s="3"/>
      <c r="UX33" s="3"/>
      <c r="UY33" s="3"/>
      <c r="UZ33" s="3"/>
      <c r="VA33" s="3"/>
      <c r="VB33" s="3"/>
      <c r="VC33" s="3"/>
      <c r="VD33" s="3"/>
      <c r="VE33" s="3"/>
      <c r="VF33" s="3"/>
      <c r="VG33" s="3"/>
      <c r="VH33" s="3"/>
      <c r="VI33" s="3"/>
      <c r="VJ33" s="3"/>
      <c r="VK33" s="3"/>
      <c r="VL33" s="3"/>
      <c r="VM33" s="3"/>
      <c r="VN33" s="3"/>
      <c r="VO33" s="3"/>
      <c r="VP33" s="3"/>
      <c r="VQ33" s="3"/>
      <c r="VR33" s="3"/>
      <c r="VS33" s="3"/>
      <c r="VT33" s="3"/>
      <c r="VU33" s="3"/>
      <c r="VV33" s="3"/>
      <c r="VW33" s="3"/>
      <c r="VX33" s="3"/>
      <c r="VY33" s="3"/>
      <c r="VZ33" s="3"/>
      <c r="WA33" s="3"/>
      <c r="WB33" s="3"/>
      <c r="WC33" s="3"/>
      <c r="WD33" s="3"/>
      <c r="WE33" s="3"/>
      <c r="WF33" s="3"/>
      <c r="WG33" s="3"/>
      <c r="WH33" s="3"/>
      <c r="WI33" s="3"/>
      <c r="WJ33" s="3"/>
      <c r="WK33" s="3"/>
      <c r="WL33" s="3"/>
      <c r="WM33" s="3"/>
      <c r="WN33" s="3"/>
      <c r="WO33" s="3"/>
      <c r="WP33" s="3"/>
      <c r="WQ33" s="3"/>
      <c r="WR33" s="3"/>
      <c r="WS33" s="3"/>
      <c r="WT33" s="3"/>
      <c r="WU33" s="3"/>
      <c r="WV33" s="3"/>
      <c r="WW33" s="3"/>
      <c r="WX33" s="3"/>
      <c r="WY33" s="3"/>
      <c r="WZ33" s="3"/>
      <c r="XA33" s="3"/>
      <c r="XB33" s="3"/>
      <c r="XC33" s="3"/>
      <c r="XD33" s="3"/>
      <c r="XE33" s="3"/>
      <c r="XF33" s="3"/>
      <c r="XG33" s="3"/>
      <c r="XH33" s="3"/>
      <c r="XI33" s="3"/>
      <c r="XJ33" s="3"/>
      <c r="XK33" s="3"/>
      <c r="XL33" s="3"/>
      <c r="XM33" s="3"/>
      <c r="XN33" s="3"/>
      <c r="XO33" s="3"/>
      <c r="XP33" s="3"/>
      <c r="XQ33" s="3"/>
      <c r="XR33" s="3"/>
      <c r="XS33" s="3"/>
      <c r="XT33" s="3"/>
      <c r="XU33" s="3"/>
      <c r="XV33" s="3"/>
      <c r="XW33" s="3"/>
      <c r="XX33" s="3"/>
      <c r="XY33" s="3"/>
      <c r="XZ33" s="3"/>
      <c r="YA33" s="3"/>
      <c r="YB33" s="3"/>
      <c r="YC33" s="3"/>
      <c r="YD33" s="3"/>
      <c r="YE33" s="3"/>
      <c r="YF33" s="3"/>
      <c r="YG33" s="3"/>
      <c r="YH33" s="3"/>
      <c r="YI33" s="3"/>
      <c r="YJ33" s="3"/>
      <c r="YK33" s="3"/>
      <c r="YL33" s="3"/>
      <c r="YM33" s="3"/>
      <c r="YN33" s="3"/>
      <c r="YO33" s="3"/>
      <c r="YP33" s="3"/>
      <c r="YQ33" s="3"/>
      <c r="YR33" s="3"/>
      <c r="YS33" s="3"/>
      <c r="YT33" s="3"/>
      <c r="YU33" s="3"/>
      <c r="YV33" s="3"/>
      <c r="YW33" s="3"/>
      <c r="YX33" s="3"/>
      <c r="YY33" s="3"/>
      <c r="YZ33" s="3"/>
      <c r="ZA33" s="3"/>
      <c r="ZB33" s="3"/>
      <c r="ZC33" s="3"/>
    </row>
    <row r="34" spans="1:679" s="2" customFormat="1" x14ac:dyDescent="0.45">
      <c r="A34" s="3" t="s">
        <v>11</v>
      </c>
      <c r="B34" s="4">
        <v>30517</v>
      </c>
      <c r="C34" s="7" t="s">
        <v>21</v>
      </c>
      <c r="D34" s="6" t="s">
        <v>48</v>
      </c>
      <c r="E34" s="3"/>
      <c r="F34" s="3">
        <v>3</v>
      </c>
      <c r="L34" s="3"/>
      <c r="M34" s="3"/>
      <c r="N34" s="48"/>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c r="FZ34" s="3"/>
      <c r="GA34" s="3"/>
      <c r="GB34" s="3"/>
      <c r="GC34" s="3"/>
      <c r="GD34" s="3"/>
      <c r="GE34" s="3"/>
      <c r="GF34" s="3"/>
      <c r="GG34" s="3"/>
      <c r="GH34" s="3"/>
      <c r="GI34" s="3"/>
      <c r="GJ34" s="3"/>
      <c r="GK34" s="3"/>
      <c r="GL34" s="3"/>
      <c r="GM34" s="3"/>
      <c r="GN34" s="3"/>
      <c r="GO34" s="3"/>
      <c r="GP34" s="3"/>
      <c r="GQ34" s="3"/>
      <c r="GR34" s="3"/>
      <c r="GS34" s="3"/>
      <c r="GT34" s="3"/>
      <c r="GU34" s="3"/>
      <c r="GV34" s="3"/>
      <c r="GW34" s="3"/>
      <c r="GX34" s="3"/>
      <c r="GY34" s="3"/>
      <c r="GZ34" s="3"/>
      <c r="HA34" s="3"/>
      <c r="HB34" s="3"/>
      <c r="HC34" s="3"/>
      <c r="HD34" s="3"/>
      <c r="HE34" s="3"/>
      <c r="HF34" s="3"/>
      <c r="HG34" s="3"/>
      <c r="HH34" s="3"/>
      <c r="HI34" s="3"/>
      <c r="HJ34" s="3"/>
      <c r="HK34" s="3"/>
      <c r="HL34" s="3"/>
      <c r="HM34" s="3"/>
      <c r="HN34" s="3"/>
      <c r="HO34" s="3"/>
      <c r="HP34" s="3"/>
      <c r="HQ34" s="3"/>
      <c r="HR34" s="3"/>
      <c r="HS34" s="3"/>
      <c r="HT34" s="3"/>
      <c r="HU34" s="3"/>
      <c r="HV34" s="3"/>
      <c r="HW34" s="3"/>
      <c r="HX34" s="3"/>
      <c r="HY34" s="3"/>
      <c r="HZ34" s="3"/>
      <c r="IA34" s="3"/>
      <c r="IB34" s="3"/>
      <c r="IC34" s="3"/>
      <c r="ID34" s="3"/>
      <c r="IE34" s="3"/>
      <c r="IF34" s="3"/>
      <c r="IG34" s="3"/>
      <c r="IH34" s="3"/>
      <c r="II34" s="3"/>
      <c r="IJ34" s="3"/>
      <c r="IK34" s="3"/>
      <c r="IL34" s="3"/>
      <c r="IM34" s="3"/>
      <c r="IN34" s="3"/>
      <c r="IO34" s="3"/>
      <c r="IP34" s="3"/>
      <c r="IQ34" s="3"/>
      <c r="IR34" s="3"/>
      <c r="IS34" s="3"/>
      <c r="IT34" s="3"/>
      <c r="IU34" s="3"/>
      <c r="IV34" s="3"/>
      <c r="IW34" s="3"/>
      <c r="IX34" s="3"/>
      <c r="IY34" s="3"/>
      <c r="IZ34" s="3"/>
      <c r="JA34" s="3"/>
      <c r="JB34" s="3"/>
      <c r="JC34" s="3"/>
      <c r="JD34" s="3"/>
      <c r="JE34" s="3"/>
      <c r="JF34" s="3"/>
      <c r="JG34" s="3"/>
      <c r="JH34" s="3"/>
      <c r="JI34" s="3"/>
      <c r="JJ34" s="3"/>
      <c r="JK34" s="3"/>
      <c r="JL34" s="3"/>
      <c r="JM34" s="3"/>
      <c r="JN34" s="3"/>
      <c r="JO34" s="3"/>
      <c r="JP34" s="3"/>
      <c r="JQ34" s="3"/>
      <c r="JR34" s="3"/>
      <c r="JS34" s="3"/>
      <c r="JT34" s="3"/>
      <c r="JU34" s="3"/>
      <c r="JV34" s="3"/>
      <c r="JW34" s="3"/>
      <c r="JX34" s="3"/>
      <c r="JY34" s="3"/>
      <c r="JZ34" s="3"/>
      <c r="KA34" s="3"/>
      <c r="KB34" s="3"/>
      <c r="KC34" s="3"/>
      <c r="KD34" s="3"/>
      <c r="KE34" s="3"/>
      <c r="KF34" s="3"/>
      <c r="KG34" s="3"/>
      <c r="KH34" s="3"/>
      <c r="KI34" s="3"/>
      <c r="KJ34" s="3"/>
      <c r="KK34" s="3"/>
      <c r="KL34" s="3"/>
      <c r="KM34" s="3"/>
      <c r="KN34" s="3"/>
      <c r="KO34" s="3"/>
      <c r="KP34" s="3"/>
      <c r="KQ34" s="3"/>
      <c r="KR34" s="3"/>
      <c r="KS34" s="3"/>
      <c r="KT34" s="3"/>
      <c r="KU34" s="3"/>
      <c r="KV34" s="3"/>
      <c r="KW34" s="3"/>
      <c r="KX34" s="3"/>
      <c r="KY34" s="3"/>
      <c r="KZ34" s="3"/>
      <c r="LA34" s="3"/>
      <c r="LB34" s="3"/>
      <c r="LC34" s="3"/>
      <c r="LD34" s="3"/>
      <c r="LE34" s="3"/>
      <c r="LF34" s="3"/>
      <c r="LG34" s="3"/>
      <c r="LH34" s="3"/>
      <c r="LI34" s="3"/>
      <c r="LJ34" s="3"/>
      <c r="LK34" s="3"/>
      <c r="LL34" s="3"/>
      <c r="LM34" s="3"/>
      <c r="LN34" s="3"/>
      <c r="LO34" s="3"/>
      <c r="LP34" s="3"/>
      <c r="LQ34" s="3"/>
      <c r="LR34" s="3"/>
      <c r="LS34" s="3"/>
      <c r="LT34" s="3"/>
      <c r="LU34" s="3"/>
      <c r="LV34" s="3"/>
      <c r="LW34" s="3"/>
      <c r="LX34" s="3"/>
      <c r="LY34" s="3"/>
      <c r="LZ34" s="3"/>
      <c r="MA34" s="3"/>
      <c r="MB34" s="3"/>
      <c r="MC34" s="3"/>
      <c r="MD34" s="3"/>
      <c r="ME34" s="3"/>
      <c r="MF34" s="3"/>
      <c r="MG34" s="3"/>
      <c r="MH34" s="3"/>
      <c r="MI34" s="3"/>
      <c r="MJ34" s="3"/>
      <c r="MK34" s="3"/>
      <c r="ML34" s="3"/>
      <c r="MM34" s="3"/>
      <c r="MN34" s="3"/>
      <c r="MO34" s="3"/>
      <c r="MP34" s="3"/>
      <c r="MQ34" s="3"/>
      <c r="MR34" s="3"/>
      <c r="MS34" s="3"/>
      <c r="MT34" s="3"/>
      <c r="MU34" s="3"/>
      <c r="MV34" s="3"/>
      <c r="MW34" s="3"/>
      <c r="MX34" s="3"/>
      <c r="MY34" s="3"/>
      <c r="MZ34" s="3"/>
      <c r="NA34" s="3"/>
      <c r="NB34" s="3"/>
      <c r="NC34" s="3"/>
      <c r="ND34" s="3"/>
      <c r="NE34" s="3"/>
      <c r="NF34" s="3"/>
      <c r="NG34" s="3"/>
      <c r="NH34" s="3"/>
      <c r="NI34" s="3"/>
      <c r="NJ34" s="3"/>
      <c r="NK34" s="3"/>
      <c r="NL34" s="3"/>
      <c r="NM34" s="3"/>
      <c r="NN34" s="3"/>
      <c r="NO34" s="3"/>
      <c r="NP34" s="3"/>
      <c r="NQ34" s="3"/>
      <c r="NR34" s="3"/>
      <c r="NS34" s="3"/>
      <c r="NT34" s="3"/>
      <c r="NU34" s="3"/>
      <c r="NV34" s="3"/>
      <c r="NW34" s="3"/>
      <c r="NX34" s="3"/>
      <c r="NY34" s="3"/>
      <c r="NZ34" s="3"/>
      <c r="OA34" s="3"/>
      <c r="OB34" s="3"/>
      <c r="OC34" s="3"/>
      <c r="OD34" s="3"/>
      <c r="OE34" s="3"/>
      <c r="OF34" s="3"/>
      <c r="OG34" s="3"/>
      <c r="OH34" s="3"/>
      <c r="OI34" s="3"/>
      <c r="OJ34" s="3"/>
      <c r="OK34" s="3"/>
      <c r="OL34" s="3"/>
      <c r="OM34" s="3"/>
      <c r="ON34" s="3"/>
      <c r="OO34" s="3"/>
      <c r="OP34" s="3"/>
      <c r="OQ34" s="3"/>
      <c r="OR34" s="3"/>
      <c r="OS34" s="3"/>
      <c r="OT34" s="3"/>
      <c r="OU34" s="3"/>
      <c r="OV34" s="3"/>
      <c r="OW34" s="3"/>
      <c r="OX34" s="3"/>
      <c r="OY34" s="3"/>
      <c r="OZ34" s="3"/>
      <c r="PA34" s="3"/>
      <c r="PB34" s="3"/>
      <c r="PC34" s="3"/>
      <c r="PD34" s="3"/>
      <c r="PE34" s="3"/>
      <c r="PF34" s="3"/>
      <c r="PG34" s="3"/>
      <c r="PH34" s="3"/>
      <c r="PI34" s="3"/>
      <c r="PJ34" s="3"/>
      <c r="PK34" s="3"/>
      <c r="PL34" s="3"/>
      <c r="PM34" s="3"/>
      <c r="PN34" s="3"/>
      <c r="PO34" s="3"/>
      <c r="PP34" s="3"/>
      <c r="PQ34" s="3"/>
      <c r="PR34" s="3"/>
      <c r="PS34" s="3"/>
      <c r="PT34" s="3"/>
      <c r="PU34" s="3"/>
      <c r="PV34" s="3"/>
      <c r="PW34" s="3"/>
      <c r="PX34" s="3"/>
      <c r="PY34" s="3"/>
      <c r="PZ34" s="3"/>
      <c r="QA34" s="3"/>
      <c r="QB34" s="3"/>
      <c r="QC34" s="3"/>
      <c r="QD34" s="3"/>
      <c r="QE34" s="3"/>
      <c r="QF34" s="3"/>
      <c r="QG34" s="3"/>
      <c r="QH34" s="3"/>
      <c r="QI34" s="3"/>
      <c r="QJ34" s="3"/>
      <c r="QK34" s="3"/>
      <c r="QL34" s="3"/>
      <c r="QM34" s="3"/>
      <c r="QN34" s="3"/>
      <c r="QO34" s="3"/>
      <c r="QP34" s="3"/>
      <c r="QQ34" s="3"/>
      <c r="QR34" s="3"/>
      <c r="QS34" s="3"/>
      <c r="QT34" s="3"/>
      <c r="QU34" s="3"/>
      <c r="QV34" s="3"/>
      <c r="QW34" s="3"/>
      <c r="QX34" s="3"/>
      <c r="QY34" s="3"/>
      <c r="QZ34" s="3"/>
      <c r="RA34" s="3"/>
      <c r="RB34" s="3"/>
      <c r="RC34" s="3"/>
      <c r="RD34" s="3"/>
      <c r="RE34" s="3"/>
      <c r="RF34" s="3"/>
      <c r="RG34" s="3"/>
      <c r="RH34" s="3"/>
      <c r="RI34" s="3"/>
      <c r="RJ34" s="3"/>
      <c r="RK34" s="3"/>
      <c r="RL34" s="3"/>
      <c r="RM34" s="3"/>
      <c r="RN34" s="3"/>
      <c r="RO34" s="3"/>
      <c r="RP34" s="3"/>
      <c r="RQ34" s="3"/>
      <c r="RR34" s="3"/>
      <c r="RS34" s="3"/>
      <c r="RT34" s="3"/>
      <c r="RU34" s="3"/>
      <c r="RV34" s="3"/>
      <c r="RW34" s="3"/>
      <c r="RX34" s="3"/>
      <c r="RY34" s="3"/>
      <c r="RZ34" s="3"/>
      <c r="SA34" s="3"/>
      <c r="SB34" s="3"/>
      <c r="SC34" s="3"/>
      <c r="SD34" s="3"/>
      <c r="SE34" s="3"/>
      <c r="SF34" s="3"/>
      <c r="SG34" s="3"/>
      <c r="SH34" s="3"/>
      <c r="SI34" s="3"/>
      <c r="SJ34" s="3"/>
      <c r="SK34" s="3"/>
      <c r="SL34" s="3"/>
      <c r="SM34" s="3"/>
      <c r="SN34" s="3"/>
      <c r="SO34" s="3"/>
      <c r="SP34" s="3"/>
      <c r="SQ34" s="3"/>
      <c r="SR34" s="3"/>
      <c r="SS34" s="3"/>
      <c r="ST34" s="3"/>
      <c r="SU34" s="3"/>
      <c r="SV34" s="3"/>
      <c r="SW34" s="3"/>
      <c r="SX34" s="3"/>
      <c r="SY34" s="3"/>
      <c r="SZ34" s="3"/>
      <c r="TA34" s="3"/>
      <c r="TB34" s="3"/>
      <c r="TC34" s="3"/>
      <c r="TD34" s="3"/>
      <c r="TE34" s="3"/>
      <c r="TF34" s="3"/>
      <c r="TG34" s="3"/>
      <c r="TH34" s="3"/>
      <c r="TI34" s="3"/>
      <c r="TJ34" s="3"/>
      <c r="TK34" s="3"/>
      <c r="TL34" s="3"/>
      <c r="TM34" s="3"/>
      <c r="TN34" s="3"/>
      <c r="TO34" s="3"/>
      <c r="TP34" s="3"/>
      <c r="TQ34" s="3"/>
      <c r="TR34" s="3"/>
      <c r="TS34" s="3"/>
      <c r="TT34" s="3"/>
      <c r="TU34" s="3"/>
      <c r="TV34" s="3"/>
      <c r="TW34" s="3"/>
      <c r="TX34" s="3"/>
      <c r="TY34" s="3"/>
      <c r="TZ34" s="3"/>
      <c r="UA34" s="3"/>
      <c r="UB34" s="3"/>
      <c r="UC34" s="3"/>
      <c r="UD34" s="3"/>
      <c r="UE34" s="3"/>
      <c r="UF34" s="3"/>
      <c r="UG34" s="3"/>
      <c r="UH34" s="3"/>
      <c r="UI34" s="3"/>
      <c r="UJ34" s="3"/>
      <c r="UK34" s="3"/>
      <c r="UL34" s="3"/>
      <c r="UM34" s="3"/>
      <c r="UN34" s="3"/>
      <c r="UO34" s="3"/>
      <c r="UP34" s="3"/>
      <c r="UQ34" s="3"/>
      <c r="UR34" s="3"/>
      <c r="US34" s="3"/>
      <c r="UT34" s="3"/>
      <c r="UU34" s="3"/>
      <c r="UV34" s="3"/>
      <c r="UW34" s="3"/>
      <c r="UX34" s="3"/>
      <c r="UY34" s="3"/>
      <c r="UZ34" s="3"/>
      <c r="VA34" s="3"/>
      <c r="VB34" s="3"/>
      <c r="VC34" s="3"/>
      <c r="VD34" s="3"/>
      <c r="VE34" s="3"/>
      <c r="VF34" s="3"/>
      <c r="VG34" s="3"/>
      <c r="VH34" s="3"/>
      <c r="VI34" s="3"/>
      <c r="VJ34" s="3"/>
      <c r="VK34" s="3"/>
      <c r="VL34" s="3"/>
      <c r="VM34" s="3"/>
      <c r="VN34" s="3"/>
      <c r="VO34" s="3"/>
      <c r="VP34" s="3"/>
      <c r="VQ34" s="3"/>
      <c r="VR34" s="3"/>
      <c r="VS34" s="3"/>
      <c r="VT34" s="3"/>
      <c r="VU34" s="3"/>
      <c r="VV34" s="3"/>
      <c r="VW34" s="3"/>
      <c r="VX34" s="3"/>
      <c r="VY34" s="3"/>
      <c r="VZ34" s="3"/>
      <c r="WA34" s="3"/>
      <c r="WB34" s="3"/>
      <c r="WC34" s="3"/>
      <c r="WD34" s="3"/>
      <c r="WE34" s="3"/>
      <c r="WF34" s="3"/>
      <c r="WG34" s="3"/>
      <c r="WH34" s="3"/>
      <c r="WI34" s="3"/>
      <c r="WJ34" s="3"/>
      <c r="WK34" s="3"/>
      <c r="WL34" s="3"/>
      <c r="WM34" s="3"/>
      <c r="WN34" s="3"/>
      <c r="WO34" s="3"/>
      <c r="WP34" s="3"/>
      <c r="WQ34" s="3"/>
      <c r="WR34" s="3"/>
      <c r="WS34" s="3"/>
      <c r="WT34" s="3"/>
      <c r="WU34" s="3"/>
      <c r="WV34" s="3"/>
      <c r="WW34" s="3"/>
      <c r="WX34" s="3"/>
      <c r="WY34" s="3"/>
      <c r="WZ34" s="3"/>
      <c r="XA34" s="3"/>
      <c r="XB34" s="3"/>
      <c r="XC34" s="3"/>
      <c r="XD34" s="3"/>
      <c r="XE34" s="3"/>
      <c r="XF34" s="3"/>
      <c r="XG34" s="3"/>
      <c r="XH34" s="3"/>
      <c r="XI34" s="3"/>
      <c r="XJ34" s="3"/>
      <c r="XK34" s="3"/>
      <c r="XL34" s="3"/>
      <c r="XM34" s="3"/>
      <c r="XN34" s="3"/>
      <c r="XO34" s="3"/>
      <c r="XP34" s="3"/>
      <c r="XQ34" s="3"/>
      <c r="XR34" s="3"/>
      <c r="XS34" s="3"/>
      <c r="XT34" s="3"/>
      <c r="XU34" s="3"/>
      <c r="XV34" s="3"/>
      <c r="XW34" s="3"/>
      <c r="XX34" s="3"/>
      <c r="XY34" s="3"/>
      <c r="XZ34" s="3"/>
      <c r="YA34" s="3"/>
      <c r="YB34" s="3"/>
      <c r="YC34" s="3"/>
      <c r="YD34" s="3"/>
      <c r="YE34" s="3"/>
      <c r="YF34" s="3"/>
      <c r="YG34" s="3"/>
      <c r="YH34" s="3"/>
      <c r="YI34" s="3"/>
      <c r="YJ34" s="3"/>
      <c r="YK34" s="3"/>
      <c r="YL34" s="3"/>
      <c r="YM34" s="3"/>
      <c r="YN34" s="3"/>
      <c r="YO34" s="3"/>
      <c r="YP34" s="3"/>
      <c r="YQ34" s="3"/>
      <c r="YR34" s="3"/>
      <c r="YS34" s="3"/>
      <c r="YT34" s="3"/>
      <c r="YU34" s="3"/>
      <c r="YV34" s="3"/>
      <c r="YW34" s="3"/>
      <c r="YX34" s="3"/>
      <c r="YY34" s="3"/>
      <c r="YZ34" s="3"/>
      <c r="ZA34" s="3"/>
      <c r="ZB34" s="3"/>
      <c r="ZC34" s="3"/>
    </row>
    <row r="35" spans="1:679" s="2" customFormat="1" x14ac:dyDescent="0.45">
      <c r="A35" s="3" t="s">
        <v>11</v>
      </c>
      <c r="B35" s="4">
        <v>30522</v>
      </c>
      <c r="C35" s="7" t="s">
        <v>21</v>
      </c>
      <c r="D35" s="6" t="s">
        <v>49</v>
      </c>
      <c r="E35" s="3"/>
      <c r="F35" s="3">
        <v>10</v>
      </c>
      <c r="L35" s="3"/>
      <c r="M35" s="3"/>
      <c r="N35" s="48"/>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c r="FZ35" s="3"/>
      <c r="GA35" s="3"/>
      <c r="GB35" s="3"/>
      <c r="GC35" s="3"/>
      <c r="GD35" s="3"/>
      <c r="GE35" s="3"/>
      <c r="GF35" s="3"/>
      <c r="GG35" s="3"/>
      <c r="GH35" s="3"/>
      <c r="GI35" s="3"/>
      <c r="GJ35" s="3"/>
      <c r="GK35" s="3"/>
      <c r="GL35" s="3"/>
      <c r="GM35" s="3"/>
      <c r="GN35" s="3"/>
      <c r="GO35" s="3"/>
      <c r="GP35" s="3"/>
      <c r="GQ35" s="3"/>
      <c r="GR35" s="3"/>
      <c r="GS35" s="3"/>
      <c r="GT35" s="3"/>
      <c r="GU35" s="3"/>
      <c r="GV35" s="3"/>
      <c r="GW35" s="3"/>
      <c r="GX35" s="3"/>
      <c r="GY35" s="3"/>
      <c r="GZ35" s="3"/>
      <c r="HA35" s="3"/>
      <c r="HB35" s="3"/>
      <c r="HC35" s="3"/>
      <c r="HD35" s="3"/>
      <c r="HE35" s="3"/>
      <c r="HF35" s="3"/>
      <c r="HG35" s="3"/>
      <c r="HH35" s="3"/>
      <c r="HI35" s="3"/>
      <c r="HJ35" s="3"/>
      <c r="HK35" s="3"/>
      <c r="HL35" s="3"/>
      <c r="HM35" s="3"/>
      <c r="HN35" s="3"/>
      <c r="HO35" s="3"/>
      <c r="HP35" s="3"/>
      <c r="HQ35" s="3"/>
      <c r="HR35" s="3"/>
      <c r="HS35" s="3"/>
      <c r="HT35" s="3"/>
      <c r="HU35" s="3"/>
      <c r="HV35" s="3"/>
      <c r="HW35" s="3"/>
      <c r="HX35" s="3"/>
      <c r="HY35" s="3"/>
      <c r="HZ35" s="3"/>
      <c r="IA35" s="3"/>
      <c r="IB35" s="3"/>
      <c r="IC35" s="3"/>
      <c r="ID35" s="3"/>
      <c r="IE35" s="3"/>
      <c r="IF35" s="3"/>
      <c r="IG35" s="3"/>
      <c r="IH35" s="3"/>
      <c r="II35" s="3"/>
      <c r="IJ35" s="3"/>
      <c r="IK35" s="3"/>
      <c r="IL35" s="3"/>
      <c r="IM35" s="3"/>
      <c r="IN35" s="3"/>
      <c r="IO35" s="3"/>
      <c r="IP35" s="3"/>
      <c r="IQ35" s="3"/>
      <c r="IR35" s="3"/>
      <c r="IS35" s="3"/>
      <c r="IT35" s="3"/>
      <c r="IU35" s="3"/>
      <c r="IV35" s="3"/>
      <c r="IW35" s="3"/>
      <c r="IX35" s="3"/>
      <c r="IY35" s="3"/>
      <c r="IZ35" s="3"/>
      <c r="JA35" s="3"/>
      <c r="JB35" s="3"/>
      <c r="JC35" s="3"/>
      <c r="JD35" s="3"/>
      <c r="JE35" s="3"/>
      <c r="JF35" s="3"/>
      <c r="JG35" s="3"/>
      <c r="JH35" s="3"/>
      <c r="JI35" s="3"/>
      <c r="JJ35" s="3"/>
      <c r="JK35" s="3"/>
      <c r="JL35" s="3"/>
      <c r="JM35" s="3"/>
      <c r="JN35" s="3"/>
      <c r="JO35" s="3"/>
      <c r="JP35" s="3"/>
      <c r="JQ35" s="3"/>
      <c r="JR35" s="3"/>
      <c r="JS35" s="3"/>
      <c r="JT35" s="3"/>
      <c r="JU35" s="3"/>
      <c r="JV35" s="3"/>
      <c r="JW35" s="3"/>
      <c r="JX35" s="3"/>
      <c r="JY35" s="3"/>
      <c r="JZ35" s="3"/>
      <c r="KA35" s="3"/>
      <c r="KB35" s="3"/>
      <c r="KC35" s="3"/>
      <c r="KD35" s="3"/>
      <c r="KE35" s="3"/>
      <c r="KF35" s="3"/>
      <c r="KG35" s="3"/>
      <c r="KH35" s="3"/>
      <c r="KI35" s="3"/>
      <c r="KJ35" s="3"/>
      <c r="KK35" s="3"/>
      <c r="KL35" s="3"/>
      <c r="KM35" s="3"/>
      <c r="KN35" s="3"/>
      <c r="KO35" s="3"/>
      <c r="KP35" s="3"/>
      <c r="KQ35" s="3"/>
      <c r="KR35" s="3"/>
      <c r="KS35" s="3"/>
      <c r="KT35" s="3"/>
      <c r="KU35" s="3"/>
      <c r="KV35" s="3"/>
      <c r="KW35" s="3"/>
      <c r="KX35" s="3"/>
      <c r="KY35" s="3"/>
      <c r="KZ35" s="3"/>
      <c r="LA35" s="3"/>
      <c r="LB35" s="3"/>
      <c r="LC35" s="3"/>
      <c r="LD35" s="3"/>
      <c r="LE35" s="3"/>
      <c r="LF35" s="3"/>
      <c r="LG35" s="3"/>
      <c r="LH35" s="3"/>
      <c r="LI35" s="3"/>
      <c r="LJ35" s="3"/>
      <c r="LK35" s="3"/>
      <c r="LL35" s="3"/>
      <c r="LM35" s="3"/>
      <c r="LN35" s="3"/>
      <c r="LO35" s="3"/>
      <c r="LP35" s="3"/>
      <c r="LQ35" s="3"/>
      <c r="LR35" s="3"/>
      <c r="LS35" s="3"/>
      <c r="LT35" s="3"/>
      <c r="LU35" s="3"/>
      <c r="LV35" s="3"/>
      <c r="LW35" s="3"/>
      <c r="LX35" s="3"/>
      <c r="LY35" s="3"/>
      <c r="LZ35" s="3"/>
      <c r="MA35" s="3"/>
      <c r="MB35" s="3"/>
      <c r="MC35" s="3"/>
      <c r="MD35" s="3"/>
      <c r="ME35" s="3"/>
      <c r="MF35" s="3"/>
      <c r="MG35" s="3"/>
      <c r="MH35" s="3"/>
      <c r="MI35" s="3"/>
      <c r="MJ35" s="3"/>
      <c r="MK35" s="3"/>
      <c r="ML35" s="3"/>
      <c r="MM35" s="3"/>
      <c r="MN35" s="3"/>
      <c r="MO35" s="3"/>
      <c r="MP35" s="3"/>
      <c r="MQ35" s="3"/>
      <c r="MR35" s="3"/>
      <c r="MS35" s="3"/>
      <c r="MT35" s="3"/>
      <c r="MU35" s="3"/>
      <c r="MV35" s="3"/>
      <c r="MW35" s="3"/>
      <c r="MX35" s="3"/>
      <c r="MY35" s="3"/>
      <c r="MZ35" s="3"/>
      <c r="NA35" s="3"/>
      <c r="NB35" s="3"/>
      <c r="NC35" s="3"/>
      <c r="ND35" s="3"/>
      <c r="NE35" s="3"/>
      <c r="NF35" s="3"/>
      <c r="NG35" s="3"/>
      <c r="NH35" s="3"/>
      <c r="NI35" s="3"/>
      <c r="NJ35" s="3"/>
      <c r="NK35" s="3"/>
      <c r="NL35" s="3"/>
      <c r="NM35" s="3"/>
      <c r="NN35" s="3"/>
      <c r="NO35" s="3"/>
      <c r="NP35" s="3"/>
      <c r="NQ35" s="3"/>
      <c r="NR35" s="3"/>
      <c r="NS35" s="3"/>
      <c r="NT35" s="3"/>
      <c r="NU35" s="3"/>
      <c r="NV35" s="3"/>
      <c r="NW35" s="3"/>
      <c r="NX35" s="3"/>
      <c r="NY35" s="3"/>
      <c r="NZ35" s="3"/>
      <c r="OA35" s="3"/>
      <c r="OB35" s="3"/>
      <c r="OC35" s="3"/>
      <c r="OD35" s="3"/>
      <c r="OE35" s="3"/>
      <c r="OF35" s="3"/>
      <c r="OG35" s="3"/>
      <c r="OH35" s="3"/>
      <c r="OI35" s="3"/>
      <c r="OJ35" s="3"/>
      <c r="OK35" s="3"/>
      <c r="OL35" s="3"/>
      <c r="OM35" s="3"/>
      <c r="ON35" s="3"/>
      <c r="OO35" s="3"/>
      <c r="OP35" s="3"/>
      <c r="OQ35" s="3"/>
      <c r="OR35" s="3"/>
      <c r="OS35" s="3"/>
      <c r="OT35" s="3"/>
      <c r="OU35" s="3"/>
      <c r="OV35" s="3"/>
      <c r="OW35" s="3"/>
      <c r="OX35" s="3"/>
      <c r="OY35" s="3"/>
      <c r="OZ35" s="3"/>
      <c r="PA35" s="3"/>
      <c r="PB35" s="3"/>
      <c r="PC35" s="3"/>
      <c r="PD35" s="3"/>
      <c r="PE35" s="3"/>
      <c r="PF35" s="3"/>
      <c r="PG35" s="3"/>
      <c r="PH35" s="3"/>
      <c r="PI35" s="3"/>
      <c r="PJ35" s="3"/>
      <c r="PK35" s="3"/>
      <c r="PL35" s="3"/>
      <c r="PM35" s="3"/>
      <c r="PN35" s="3"/>
      <c r="PO35" s="3"/>
      <c r="PP35" s="3"/>
      <c r="PQ35" s="3"/>
      <c r="PR35" s="3"/>
      <c r="PS35" s="3"/>
      <c r="PT35" s="3"/>
      <c r="PU35" s="3"/>
      <c r="PV35" s="3"/>
      <c r="PW35" s="3"/>
      <c r="PX35" s="3"/>
      <c r="PY35" s="3"/>
      <c r="PZ35" s="3"/>
      <c r="QA35" s="3"/>
      <c r="QB35" s="3"/>
      <c r="QC35" s="3"/>
      <c r="QD35" s="3"/>
      <c r="QE35" s="3"/>
      <c r="QF35" s="3"/>
      <c r="QG35" s="3"/>
      <c r="QH35" s="3"/>
      <c r="QI35" s="3"/>
      <c r="QJ35" s="3"/>
      <c r="QK35" s="3"/>
      <c r="QL35" s="3"/>
      <c r="QM35" s="3"/>
      <c r="QN35" s="3"/>
      <c r="QO35" s="3"/>
      <c r="QP35" s="3"/>
      <c r="QQ35" s="3"/>
      <c r="QR35" s="3"/>
      <c r="QS35" s="3"/>
      <c r="QT35" s="3"/>
      <c r="QU35" s="3"/>
      <c r="QV35" s="3"/>
      <c r="QW35" s="3"/>
      <c r="QX35" s="3"/>
      <c r="QY35" s="3"/>
      <c r="QZ35" s="3"/>
      <c r="RA35" s="3"/>
      <c r="RB35" s="3"/>
      <c r="RC35" s="3"/>
      <c r="RD35" s="3"/>
      <c r="RE35" s="3"/>
      <c r="RF35" s="3"/>
      <c r="RG35" s="3"/>
      <c r="RH35" s="3"/>
      <c r="RI35" s="3"/>
      <c r="RJ35" s="3"/>
      <c r="RK35" s="3"/>
      <c r="RL35" s="3"/>
      <c r="RM35" s="3"/>
      <c r="RN35" s="3"/>
      <c r="RO35" s="3"/>
      <c r="RP35" s="3"/>
      <c r="RQ35" s="3"/>
      <c r="RR35" s="3"/>
      <c r="RS35" s="3"/>
      <c r="RT35" s="3"/>
      <c r="RU35" s="3"/>
      <c r="RV35" s="3"/>
      <c r="RW35" s="3"/>
      <c r="RX35" s="3"/>
      <c r="RY35" s="3"/>
      <c r="RZ35" s="3"/>
      <c r="SA35" s="3"/>
      <c r="SB35" s="3"/>
      <c r="SC35" s="3"/>
      <c r="SD35" s="3"/>
      <c r="SE35" s="3"/>
      <c r="SF35" s="3"/>
      <c r="SG35" s="3"/>
      <c r="SH35" s="3"/>
      <c r="SI35" s="3"/>
      <c r="SJ35" s="3"/>
      <c r="SK35" s="3"/>
      <c r="SL35" s="3"/>
      <c r="SM35" s="3"/>
      <c r="SN35" s="3"/>
      <c r="SO35" s="3"/>
      <c r="SP35" s="3"/>
      <c r="SQ35" s="3"/>
      <c r="SR35" s="3"/>
      <c r="SS35" s="3"/>
      <c r="ST35" s="3"/>
      <c r="SU35" s="3"/>
      <c r="SV35" s="3"/>
      <c r="SW35" s="3"/>
      <c r="SX35" s="3"/>
      <c r="SY35" s="3"/>
      <c r="SZ35" s="3"/>
      <c r="TA35" s="3"/>
      <c r="TB35" s="3"/>
      <c r="TC35" s="3"/>
      <c r="TD35" s="3"/>
      <c r="TE35" s="3"/>
      <c r="TF35" s="3"/>
      <c r="TG35" s="3"/>
      <c r="TH35" s="3"/>
      <c r="TI35" s="3"/>
      <c r="TJ35" s="3"/>
      <c r="TK35" s="3"/>
      <c r="TL35" s="3"/>
      <c r="TM35" s="3"/>
      <c r="TN35" s="3"/>
      <c r="TO35" s="3"/>
      <c r="TP35" s="3"/>
      <c r="TQ35" s="3"/>
      <c r="TR35" s="3"/>
      <c r="TS35" s="3"/>
      <c r="TT35" s="3"/>
      <c r="TU35" s="3"/>
      <c r="TV35" s="3"/>
      <c r="TW35" s="3"/>
      <c r="TX35" s="3"/>
      <c r="TY35" s="3"/>
      <c r="TZ35" s="3"/>
      <c r="UA35" s="3"/>
      <c r="UB35" s="3"/>
      <c r="UC35" s="3"/>
      <c r="UD35" s="3"/>
      <c r="UE35" s="3"/>
      <c r="UF35" s="3"/>
      <c r="UG35" s="3"/>
      <c r="UH35" s="3"/>
      <c r="UI35" s="3"/>
      <c r="UJ35" s="3"/>
      <c r="UK35" s="3"/>
      <c r="UL35" s="3"/>
      <c r="UM35" s="3"/>
      <c r="UN35" s="3"/>
      <c r="UO35" s="3"/>
      <c r="UP35" s="3"/>
      <c r="UQ35" s="3"/>
      <c r="UR35" s="3"/>
      <c r="US35" s="3"/>
      <c r="UT35" s="3"/>
      <c r="UU35" s="3"/>
      <c r="UV35" s="3"/>
      <c r="UW35" s="3"/>
      <c r="UX35" s="3"/>
      <c r="UY35" s="3"/>
      <c r="UZ35" s="3"/>
      <c r="VA35" s="3"/>
      <c r="VB35" s="3"/>
      <c r="VC35" s="3"/>
      <c r="VD35" s="3"/>
      <c r="VE35" s="3"/>
      <c r="VF35" s="3"/>
      <c r="VG35" s="3"/>
      <c r="VH35" s="3"/>
      <c r="VI35" s="3"/>
      <c r="VJ35" s="3"/>
      <c r="VK35" s="3"/>
      <c r="VL35" s="3"/>
      <c r="VM35" s="3"/>
      <c r="VN35" s="3"/>
      <c r="VO35" s="3"/>
      <c r="VP35" s="3"/>
      <c r="VQ35" s="3"/>
      <c r="VR35" s="3"/>
      <c r="VS35" s="3"/>
      <c r="VT35" s="3"/>
      <c r="VU35" s="3"/>
      <c r="VV35" s="3"/>
      <c r="VW35" s="3"/>
      <c r="VX35" s="3"/>
      <c r="VY35" s="3"/>
      <c r="VZ35" s="3"/>
      <c r="WA35" s="3"/>
      <c r="WB35" s="3"/>
      <c r="WC35" s="3"/>
      <c r="WD35" s="3"/>
      <c r="WE35" s="3"/>
      <c r="WF35" s="3"/>
      <c r="WG35" s="3"/>
      <c r="WH35" s="3"/>
      <c r="WI35" s="3"/>
      <c r="WJ35" s="3"/>
      <c r="WK35" s="3"/>
      <c r="WL35" s="3"/>
      <c r="WM35" s="3"/>
      <c r="WN35" s="3"/>
      <c r="WO35" s="3"/>
      <c r="WP35" s="3"/>
      <c r="WQ35" s="3"/>
      <c r="WR35" s="3"/>
      <c r="WS35" s="3"/>
      <c r="WT35" s="3"/>
      <c r="WU35" s="3"/>
      <c r="WV35" s="3"/>
      <c r="WW35" s="3"/>
      <c r="WX35" s="3"/>
      <c r="WY35" s="3"/>
      <c r="WZ35" s="3"/>
      <c r="XA35" s="3"/>
      <c r="XB35" s="3"/>
      <c r="XC35" s="3"/>
      <c r="XD35" s="3"/>
      <c r="XE35" s="3"/>
      <c r="XF35" s="3"/>
      <c r="XG35" s="3"/>
      <c r="XH35" s="3"/>
      <c r="XI35" s="3"/>
      <c r="XJ35" s="3"/>
      <c r="XK35" s="3"/>
      <c r="XL35" s="3"/>
      <c r="XM35" s="3"/>
      <c r="XN35" s="3"/>
      <c r="XO35" s="3"/>
      <c r="XP35" s="3"/>
      <c r="XQ35" s="3"/>
      <c r="XR35" s="3"/>
      <c r="XS35" s="3"/>
      <c r="XT35" s="3"/>
      <c r="XU35" s="3"/>
      <c r="XV35" s="3"/>
      <c r="XW35" s="3"/>
      <c r="XX35" s="3"/>
      <c r="XY35" s="3"/>
      <c r="XZ35" s="3"/>
      <c r="YA35" s="3"/>
      <c r="YB35" s="3"/>
      <c r="YC35" s="3"/>
      <c r="YD35" s="3"/>
      <c r="YE35" s="3"/>
      <c r="YF35" s="3"/>
      <c r="YG35" s="3"/>
      <c r="YH35" s="3"/>
      <c r="YI35" s="3"/>
      <c r="YJ35" s="3"/>
      <c r="YK35" s="3"/>
      <c r="YL35" s="3"/>
      <c r="YM35" s="3"/>
      <c r="YN35" s="3"/>
      <c r="YO35" s="3"/>
      <c r="YP35" s="3"/>
      <c r="YQ35" s="3"/>
      <c r="YR35" s="3"/>
      <c r="YS35" s="3"/>
      <c r="YT35" s="3"/>
      <c r="YU35" s="3"/>
      <c r="YV35" s="3"/>
      <c r="YW35" s="3"/>
      <c r="YX35" s="3"/>
      <c r="YY35" s="3"/>
      <c r="YZ35" s="3"/>
      <c r="ZA35" s="3"/>
      <c r="ZB35" s="3"/>
      <c r="ZC35" s="3"/>
    </row>
    <row r="36" spans="1:679" s="2" customFormat="1" x14ac:dyDescent="0.45">
      <c r="A36" s="3" t="s">
        <v>11</v>
      </c>
      <c r="B36" s="4">
        <v>30538</v>
      </c>
      <c r="C36" s="7" t="s">
        <v>21</v>
      </c>
      <c r="D36" s="6" t="s">
        <v>50</v>
      </c>
      <c r="E36" s="3"/>
      <c r="F36" s="3">
        <v>2</v>
      </c>
      <c r="L36" s="3"/>
      <c r="M36" s="3"/>
      <c r="N36" s="48"/>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c r="FZ36" s="3"/>
      <c r="GA36" s="3"/>
      <c r="GB36" s="3"/>
      <c r="GC36" s="3"/>
      <c r="GD36" s="3"/>
      <c r="GE36" s="3"/>
      <c r="GF36" s="3"/>
      <c r="GG36" s="3"/>
      <c r="GH36" s="3"/>
      <c r="GI36" s="3"/>
      <c r="GJ36" s="3"/>
      <c r="GK36" s="3"/>
      <c r="GL36" s="3"/>
      <c r="GM36" s="3"/>
      <c r="GN36" s="3"/>
      <c r="GO36" s="3"/>
      <c r="GP36" s="3"/>
      <c r="GQ36" s="3"/>
      <c r="GR36" s="3"/>
      <c r="GS36" s="3"/>
      <c r="GT36" s="3"/>
      <c r="GU36" s="3"/>
      <c r="GV36" s="3"/>
      <c r="GW36" s="3"/>
      <c r="GX36" s="3"/>
      <c r="GY36" s="3"/>
      <c r="GZ36" s="3"/>
      <c r="HA36" s="3"/>
      <c r="HB36" s="3"/>
      <c r="HC36" s="3"/>
      <c r="HD36" s="3"/>
      <c r="HE36" s="3"/>
      <c r="HF36" s="3"/>
      <c r="HG36" s="3"/>
      <c r="HH36" s="3"/>
      <c r="HI36" s="3"/>
      <c r="HJ36" s="3"/>
      <c r="HK36" s="3"/>
      <c r="HL36" s="3"/>
      <c r="HM36" s="3"/>
      <c r="HN36" s="3"/>
      <c r="HO36" s="3"/>
      <c r="HP36" s="3"/>
      <c r="HQ36" s="3"/>
      <c r="HR36" s="3"/>
      <c r="HS36" s="3"/>
      <c r="HT36" s="3"/>
      <c r="HU36" s="3"/>
      <c r="HV36" s="3"/>
      <c r="HW36" s="3"/>
      <c r="HX36" s="3"/>
      <c r="HY36" s="3"/>
      <c r="HZ36" s="3"/>
      <c r="IA36" s="3"/>
      <c r="IB36" s="3"/>
      <c r="IC36" s="3"/>
      <c r="ID36" s="3"/>
      <c r="IE36" s="3"/>
      <c r="IF36" s="3"/>
      <c r="IG36" s="3"/>
      <c r="IH36" s="3"/>
      <c r="II36" s="3"/>
      <c r="IJ36" s="3"/>
      <c r="IK36" s="3"/>
      <c r="IL36" s="3"/>
      <c r="IM36" s="3"/>
      <c r="IN36" s="3"/>
      <c r="IO36" s="3"/>
      <c r="IP36" s="3"/>
      <c r="IQ36" s="3"/>
      <c r="IR36" s="3"/>
      <c r="IS36" s="3"/>
      <c r="IT36" s="3"/>
      <c r="IU36" s="3"/>
      <c r="IV36" s="3"/>
      <c r="IW36" s="3"/>
      <c r="IX36" s="3"/>
      <c r="IY36" s="3"/>
      <c r="IZ36" s="3"/>
      <c r="JA36" s="3"/>
      <c r="JB36" s="3"/>
      <c r="JC36" s="3"/>
      <c r="JD36" s="3"/>
      <c r="JE36" s="3"/>
      <c r="JF36" s="3"/>
      <c r="JG36" s="3"/>
      <c r="JH36" s="3"/>
      <c r="JI36" s="3"/>
      <c r="JJ36" s="3"/>
      <c r="JK36" s="3"/>
      <c r="JL36" s="3"/>
      <c r="JM36" s="3"/>
      <c r="JN36" s="3"/>
      <c r="JO36" s="3"/>
      <c r="JP36" s="3"/>
      <c r="JQ36" s="3"/>
      <c r="JR36" s="3"/>
      <c r="JS36" s="3"/>
      <c r="JT36" s="3"/>
      <c r="JU36" s="3"/>
      <c r="JV36" s="3"/>
      <c r="JW36" s="3"/>
      <c r="JX36" s="3"/>
      <c r="JY36" s="3"/>
      <c r="JZ36" s="3"/>
      <c r="KA36" s="3"/>
      <c r="KB36" s="3"/>
      <c r="KC36" s="3"/>
      <c r="KD36" s="3"/>
      <c r="KE36" s="3"/>
      <c r="KF36" s="3"/>
      <c r="KG36" s="3"/>
      <c r="KH36" s="3"/>
      <c r="KI36" s="3"/>
      <c r="KJ36" s="3"/>
      <c r="KK36" s="3"/>
      <c r="KL36" s="3"/>
      <c r="KM36" s="3"/>
      <c r="KN36" s="3"/>
      <c r="KO36" s="3"/>
      <c r="KP36" s="3"/>
      <c r="KQ36" s="3"/>
      <c r="KR36" s="3"/>
      <c r="KS36" s="3"/>
      <c r="KT36" s="3"/>
      <c r="KU36" s="3"/>
      <c r="KV36" s="3"/>
      <c r="KW36" s="3"/>
      <c r="KX36" s="3"/>
      <c r="KY36" s="3"/>
      <c r="KZ36" s="3"/>
      <c r="LA36" s="3"/>
      <c r="LB36" s="3"/>
      <c r="LC36" s="3"/>
      <c r="LD36" s="3"/>
      <c r="LE36" s="3"/>
      <c r="LF36" s="3"/>
      <c r="LG36" s="3"/>
      <c r="LH36" s="3"/>
      <c r="LI36" s="3"/>
      <c r="LJ36" s="3"/>
      <c r="LK36" s="3"/>
      <c r="LL36" s="3"/>
      <c r="LM36" s="3"/>
      <c r="LN36" s="3"/>
      <c r="LO36" s="3"/>
      <c r="LP36" s="3"/>
      <c r="LQ36" s="3"/>
      <c r="LR36" s="3"/>
      <c r="LS36" s="3"/>
      <c r="LT36" s="3"/>
      <c r="LU36" s="3"/>
      <c r="LV36" s="3"/>
      <c r="LW36" s="3"/>
      <c r="LX36" s="3"/>
      <c r="LY36" s="3"/>
      <c r="LZ36" s="3"/>
      <c r="MA36" s="3"/>
      <c r="MB36" s="3"/>
      <c r="MC36" s="3"/>
      <c r="MD36" s="3"/>
      <c r="ME36" s="3"/>
      <c r="MF36" s="3"/>
      <c r="MG36" s="3"/>
      <c r="MH36" s="3"/>
      <c r="MI36" s="3"/>
      <c r="MJ36" s="3"/>
      <c r="MK36" s="3"/>
      <c r="ML36" s="3"/>
      <c r="MM36" s="3"/>
      <c r="MN36" s="3"/>
      <c r="MO36" s="3"/>
      <c r="MP36" s="3"/>
      <c r="MQ36" s="3"/>
      <c r="MR36" s="3"/>
      <c r="MS36" s="3"/>
      <c r="MT36" s="3"/>
      <c r="MU36" s="3"/>
      <c r="MV36" s="3"/>
      <c r="MW36" s="3"/>
      <c r="MX36" s="3"/>
      <c r="MY36" s="3"/>
      <c r="MZ36" s="3"/>
      <c r="NA36" s="3"/>
      <c r="NB36" s="3"/>
      <c r="NC36" s="3"/>
      <c r="ND36" s="3"/>
      <c r="NE36" s="3"/>
      <c r="NF36" s="3"/>
      <c r="NG36" s="3"/>
      <c r="NH36" s="3"/>
      <c r="NI36" s="3"/>
      <c r="NJ36" s="3"/>
      <c r="NK36" s="3"/>
      <c r="NL36" s="3"/>
      <c r="NM36" s="3"/>
      <c r="NN36" s="3"/>
      <c r="NO36" s="3"/>
      <c r="NP36" s="3"/>
      <c r="NQ36" s="3"/>
      <c r="NR36" s="3"/>
      <c r="NS36" s="3"/>
      <c r="NT36" s="3"/>
      <c r="NU36" s="3"/>
      <c r="NV36" s="3"/>
      <c r="NW36" s="3"/>
      <c r="NX36" s="3"/>
      <c r="NY36" s="3"/>
      <c r="NZ36" s="3"/>
      <c r="OA36" s="3"/>
      <c r="OB36" s="3"/>
      <c r="OC36" s="3"/>
      <c r="OD36" s="3"/>
      <c r="OE36" s="3"/>
      <c r="OF36" s="3"/>
      <c r="OG36" s="3"/>
      <c r="OH36" s="3"/>
      <c r="OI36" s="3"/>
      <c r="OJ36" s="3"/>
      <c r="OK36" s="3"/>
      <c r="OL36" s="3"/>
      <c r="OM36" s="3"/>
      <c r="ON36" s="3"/>
      <c r="OO36" s="3"/>
      <c r="OP36" s="3"/>
      <c r="OQ36" s="3"/>
      <c r="OR36" s="3"/>
      <c r="OS36" s="3"/>
      <c r="OT36" s="3"/>
      <c r="OU36" s="3"/>
      <c r="OV36" s="3"/>
      <c r="OW36" s="3"/>
      <c r="OX36" s="3"/>
      <c r="OY36" s="3"/>
      <c r="OZ36" s="3"/>
      <c r="PA36" s="3"/>
      <c r="PB36" s="3"/>
      <c r="PC36" s="3"/>
      <c r="PD36" s="3"/>
      <c r="PE36" s="3"/>
      <c r="PF36" s="3"/>
      <c r="PG36" s="3"/>
      <c r="PH36" s="3"/>
      <c r="PI36" s="3"/>
      <c r="PJ36" s="3"/>
      <c r="PK36" s="3"/>
      <c r="PL36" s="3"/>
      <c r="PM36" s="3"/>
      <c r="PN36" s="3"/>
      <c r="PO36" s="3"/>
      <c r="PP36" s="3"/>
      <c r="PQ36" s="3"/>
      <c r="PR36" s="3"/>
      <c r="PS36" s="3"/>
      <c r="PT36" s="3"/>
      <c r="PU36" s="3"/>
      <c r="PV36" s="3"/>
      <c r="PW36" s="3"/>
      <c r="PX36" s="3"/>
      <c r="PY36" s="3"/>
      <c r="PZ36" s="3"/>
      <c r="QA36" s="3"/>
      <c r="QB36" s="3"/>
      <c r="QC36" s="3"/>
      <c r="QD36" s="3"/>
      <c r="QE36" s="3"/>
      <c r="QF36" s="3"/>
      <c r="QG36" s="3"/>
      <c r="QH36" s="3"/>
      <c r="QI36" s="3"/>
      <c r="QJ36" s="3"/>
      <c r="QK36" s="3"/>
      <c r="QL36" s="3"/>
      <c r="QM36" s="3"/>
      <c r="QN36" s="3"/>
      <c r="QO36" s="3"/>
      <c r="QP36" s="3"/>
      <c r="QQ36" s="3"/>
      <c r="QR36" s="3"/>
      <c r="QS36" s="3"/>
      <c r="QT36" s="3"/>
      <c r="QU36" s="3"/>
      <c r="QV36" s="3"/>
      <c r="QW36" s="3"/>
      <c r="QX36" s="3"/>
      <c r="QY36" s="3"/>
      <c r="QZ36" s="3"/>
      <c r="RA36" s="3"/>
      <c r="RB36" s="3"/>
      <c r="RC36" s="3"/>
      <c r="RD36" s="3"/>
      <c r="RE36" s="3"/>
      <c r="RF36" s="3"/>
      <c r="RG36" s="3"/>
      <c r="RH36" s="3"/>
      <c r="RI36" s="3"/>
      <c r="RJ36" s="3"/>
      <c r="RK36" s="3"/>
      <c r="RL36" s="3"/>
      <c r="RM36" s="3"/>
      <c r="RN36" s="3"/>
      <c r="RO36" s="3"/>
      <c r="RP36" s="3"/>
      <c r="RQ36" s="3"/>
      <c r="RR36" s="3"/>
      <c r="RS36" s="3"/>
      <c r="RT36" s="3"/>
      <c r="RU36" s="3"/>
      <c r="RV36" s="3"/>
      <c r="RW36" s="3"/>
      <c r="RX36" s="3"/>
      <c r="RY36" s="3"/>
      <c r="RZ36" s="3"/>
      <c r="SA36" s="3"/>
      <c r="SB36" s="3"/>
      <c r="SC36" s="3"/>
      <c r="SD36" s="3"/>
      <c r="SE36" s="3"/>
      <c r="SF36" s="3"/>
      <c r="SG36" s="3"/>
      <c r="SH36" s="3"/>
      <c r="SI36" s="3"/>
      <c r="SJ36" s="3"/>
      <c r="SK36" s="3"/>
      <c r="SL36" s="3"/>
      <c r="SM36" s="3"/>
      <c r="SN36" s="3"/>
      <c r="SO36" s="3"/>
      <c r="SP36" s="3"/>
      <c r="SQ36" s="3"/>
      <c r="SR36" s="3"/>
      <c r="SS36" s="3"/>
      <c r="ST36" s="3"/>
      <c r="SU36" s="3"/>
      <c r="SV36" s="3"/>
      <c r="SW36" s="3"/>
      <c r="SX36" s="3"/>
      <c r="SY36" s="3"/>
      <c r="SZ36" s="3"/>
      <c r="TA36" s="3"/>
      <c r="TB36" s="3"/>
      <c r="TC36" s="3"/>
      <c r="TD36" s="3"/>
      <c r="TE36" s="3"/>
      <c r="TF36" s="3"/>
      <c r="TG36" s="3"/>
      <c r="TH36" s="3"/>
      <c r="TI36" s="3"/>
      <c r="TJ36" s="3"/>
      <c r="TK36" s="3"/>
      <c r="TL36" s="3"/>
      <c r="TM36" s="3"/>
      <c r="TN36" s="3"/>
      <c r="TO36" s="3"/>
      <c r="TP36" s="3"/>
      <c r="TQ36" s="3"/>
      <c r="TR36" s="3"/>
      <c r="TS36" s="3"/>
      <c r="TT36" s="3"/>
      <c r="TU36" s="3"/>
      <c r="TV36" s="3"/>
      <c r="TW36" s="3"/>
      <c r="TX36" s="3"/>
      <c r="TY36" s="3"/>
      <c r="TZ36" s="3"/>
      <c r="UA36" s="3"/>
      <c r="UB36" s="3"/>
      <c r="UC36" s="3"/>
      <c r="UD36" s="3"/>
      <c r="UE36" s="3"/>
      <c r="UF36" s="3"/>
      <c r="UG36" s="3"/>
      <c r="UH36" s="3"/>
      <c r="UI36" s="3"/>
      <c r="UJ36" s="3"/>
      <c r="UK36" s="3"/>
      <c r="UL36" s="3"/>
      <c r="UM36" s="3"/>
      <c r="UN36" s="3"/>
      <c r="UO36" s="3"/>
      <c r="UP36" s="3"/>
      <c r="UQ36" s="3"/>
      <c r="UR36" s="3"/>
      <c r="US36" s="3"/>
      <c r="UT36" s="3"/>
      <c r="UU36" s="3"/>
      <c r="UV36" s="3"/>
      <c r="UW36" s="3"/>
      <c r="UX36" s="3"/>
      <c r="UY36" s="3"/>
      <c r="UZ36" s="3"/>
      <c r="VA36" s="3"/>
      <c r="VB36" s="3"/>
      <c r="VC36" s="3"/>
      <c r="VD36" s="3"/>
      <c r="VE36" s="3"/>
      <c r="VF36" s="3"/>
      <c r="VG36" s="3"/>
      <c r="VH36" s="3"/>
      <c r="VI36" s="3"/>
      <c r="VJ36" s="3"/>
      <c r="VK36" s="3"/>
      <c r="VL36" s="3"/>
      <c r="VM36" s="3"/>
      <c r="VN36" s="3"/>
      <c r="VO36" s="3"/>
      <c r="VP36" s="3"/>
      <c r="VQ36" s="3"/>
      <c r="VR36" s="3"/>
      <c r="VS36" s="3"/>
      <c r="VT36" s="3"/>
      <c r="VU36" s="3"/>
      <c r="VV36" s="3"/>
      <c r="VW36" s="3"/>
      <c r="VX36" s="3"/>
      <c r="VY36" s="3"/>
      <c r="VZ36" s="3"/>
      <c r="WA36" s="3"/>
      <c r="WB36" s="3"/>
      <c r="WC36" s="3"/>
      <c r="WD36" s="3"/>
      <c r="WE36" s="3"/>
      <c r="WF36" s="3"/>
      <c r="WG36" s="3"/>
      <c r="WH36" s="3"/>
      <c r="WI36" s="3"/>
      <c r="WJ36" s="3"/>
      <c r="WK36" s="3"/>
      <c r="WL36" s="3"/>
      <c r="WM36" s="3"/>
      <c r="WN36" s="3"/>
      <c r="WO36" s="3"/>
      <c r="WP36" s="3"/>
      <c r="WQ36" s="3"/>
      <c r="WR36" s="3"/>
      <c r="WS36" s="3"/>
      <c r="WT36" s="3"/>
      <c r="WU36" s="3"/>
      <c r="WV36" s="3"/>
      <c r="WW36" s="3"/>
      <c r="WX36" s="3"/>
      <c r="WY36" s="3"/>
      <c r="WZ36" s="3"/>
      <c r="XA36" s="3"/>
      <c r="XB36" s="3"/>
      <c r="XC36" s="3"/>
      <c r="XD36" s="3"/>
      <c r="XE36" s="3"/>
      <c r="XF36" s="3"/>
      <c r="XG36" s="3"/>
      <c r="XH36" s="3"/>
      <c r="XI36" s="3"/>
      <c r="XJ36" s="3"/>
      <c r="XK36" s="3"/>
      <c r="XL36" s="3"/>
      <c r="XM36" s="3"/>
      <c r="XN36" s="3"/>
      <c r="XO36" s="3"/>
      <c r="XP36" s="3"/>
      <c r="XQ36" s="3"/>
      <c r="XR36" s="3"/>
      <c r="XS36" s="3"/>
      <c r="XT36" s="3"/>
      <c r="XU36" s="3"/>
      <c r="XV36" s="3"/>
      <c r="XW36" s="3"/>
      <c r="XX36" s="3"/>
      <c r="XY36" s="3"/>
      <c r="XZ36" s="3"/>
      <c r="YA36" s="3"/>
      <c r="YB36" s="3"/>
      <c r="YC36" s="3"/>
      <c r="YD36" s="3"/>
      <c r="YE36" s="3"/>
      <c r="YF36" s="3"/>
      <c r="YG36" s="3"/>
      <c r="YH36" s="3"/>
      <c r="YI36" s="3"/>
      <c r="YJ36" s="3"/>
      <c r="YK36" s="3"/>
      <c r="YL36" s="3"/>
      <c r="YM36" s="3"/>
      <c r="YN36" s="3"/>
      <c r="YO36" s="3"/>
      <c r="YP36" s="3"/>
      <c r="YQ36" s="3"/>
      <c r="YR36" s="3"/>
      <c r="YS36" s="3"/>
      <c r="YT36" s="3"/>
      <c r="YU36" s="3"/>
      <c r="YV36" s="3"/>
      <c r="YW36" s="3"/>
      <c r="YX36" s="3"/>
      <c r="YY36" s="3"/>
      <c r="YZ36" s="3"/>
      <c r="ZA36" s="3"/>
      <c r="ZB36" s="3"/>
      <c r="ZC36" s="3"/>
    </row>
    <row r="37" spans="1:679" s="2" customFormat="1" x14ac:dyDescent="0.45">
      <c r="A37" s="3" t="s">
        <v>11</v>
      </c>
      <c r="B37" s="4">
        <v>30692</v>
      </c>
      <c r="C37" s="7" t="s">
        <v>21</v>
      </c>
      <c r="D37" s="6" t="s">
        <v>51</v>
      </c>
      <c r="E37" s="3"/>
      <c r="F37" s="3">
        <v>2</v>
      </c>
      <c r="L37" s="3"/>
      <c r="M37" s="3"/>
      <c r="N37" s="48"/>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c r="FZ37" s="3"/>
      <c r="GA37" s="3"/>
      <c r="GB37" s="3"/>
      <c r="GC37" s="3"/>
      <c r="GD37" s="3"/>
      <c r="GE37" s="3"/>
      <c r="GF37" s="3"/>
      <c r="GG37" s="3"/>
      <c r="GH37" s="3"/>
      <c r="GI37" s="3"/>
      <c r="GJ37" s="3"/>
      <c r="GK37" s="3"/>
      <c r="GL37" s="3"/>
      <c r="GM37" s="3"/>
      <c r="GN37" s="3"/>
      <c r="GO37" s="3"/>
      <c r="GP37" s="3"/>
      <c r="GQ37" s="3"/>
      <c r="GR37" s="3"/>
      <c r="GS37" s="3"/>
      <c r="GT37" s="3"/>
      <c r="GU37" s="3"/>
      <c r="GV37" s="3"/>
      <c r="GW37" s="3"/>
      <c r="GX37" s="3"/>
      <c r="GY37" s="3"/>
      <c r="GZ37" s="3"/>
      <c r="HA37" s="3"/>
      <c r="HB37" s="3"/>
      <c r="HC37" s="3"/>
      <c r="HD37" s="3"/>
      <c r="HE37" s="3"/>
      <c r="HF37" s="3"/>
      <c r="HG37" s="3"/>
      <c r="HH37" s="3"/>
      <c r="HI37" s="3"/>
      <c r="HJ37" s="3"/>
      <c r="HK37" s="3"/>
      <c r="HL37" s="3"/>
      <c r="HM37" s="3"/>
      <c r="HN37" s="3"/>
      <c r="HO37" s="3"/>
      <c r="HP37" s="3"/>
      <c r="HQ37" s="3"/>
      <c r="HR37" s="3"/>
      <c r="HS37" s="3"/>
      <c r="HT37" s="3"/>
      <c r="HU37" s="3"/>
      <c r="HV37" s="3"/>
      <c r="HW37" s="3"/>
      <c r="HX37" s="3"/>
      <c r="HY37" s="3"/>
      <c r="HZ37" s="3"/>
      <c r="IA37" s="3"/>
      <c r="IB37" s="3"/>
      <c r="IC37" s="3"/>
      <c r="ID37" s="3"/>
      <c r="IE37" s="3"/>
      <c r="IF37" s="3"/>
      <c r="IG37" s="3"/>
      <c r="IH37" s="3"/>
      <c r="II37" s="3"/>
      <c r="IJ37" s="3"/>
      <c r="IK37" s="3"/>
      <c r="IL37" s="3"/>
      <c r="IM37" s="3"/>
      <c r="IN37" s="3"/>
      <c r="IO37" s="3"/>
      <c r="IP37" s="3"/>
      <c r="IQ37" s="3"/>
      <c r="IR37" s="3"/>
      <c r="IS37" s="3"/>
      <c r="IT37" s="3"/>
      <c r="IU37" s="3"/>
      <c r="IV37" s="3"/>
      <c r="IW37" s="3"/>
      <c r="IX37" s="3"/>
      <c r="IY37" s="3"/>
      <c r="IZ37" s="3"/>
      <c r="JA37" s="3"/>
      <c r="JB37" s="3"/>
      <c r="JC37" s="3"/>
      <c r="JD37" s="3"/>
      <c r="JE37" s="3"/>
      <c r="JF37" s="3"/>
      <c r="JG37" s="3"/>
      <c r="JH37" s="3"/>
      <c r="JI37" s="3"/>
      <c r="JJ37" s="3"/>
      <c r="JK37" s="3"/>
      <c r="JL37" s="3"/>
      <c r="JM37" s="3"/>
      <c r="JN37" s="3"/>
      <c r="JO37" s="3"/>
      <c r="JP37" s="3"/>
      <c r="JQ37" s="3"/>
      <c r="JR37" s="3"/>
      <c r="JS37" s="3"/>
      <c r="JT37" s="3"/>
      <c r="JU37" s="3"/>
      <c r="JV37" s="3"/>
      <c r="JW37" s="3"/>
      <c r="JX37" s="3"/>
      <c r="JY37" s="3"/>
      <c r="JZ37" s="3"/>
      <c r="KA37" s="3"/>
      <c r="KB37" s="3"/>
      <c r="KC37" s="3"/>
      <c r="KD37" s="3"/>
      <c r="KE37" s="3"/>
      <c r="KF37" s="3"/>
      <c r="KG37" s="3"/>
      <c r="KH37" s="3"/>
      <c r="KI37" s="3"/>
      <c r="KJ37" s="3"/>
      <c r="KK37" s="3"/>
      <c r="KL37" s="3"/>
      <c r="KM37" s="3"/>
      <c r="KN37" s="3"/>
      <c r="KO37" s="3"/>
      <c r="KP37" s="3"/>
      <c r="KQ37" s="3"/>
      <c r="KR37" s="3"/>
      <c r="KS37" s="3"/>
      <c r="KT37" s="3"/>
      <c r="KU37" s="3"/>
      <c r="KV37" s="3"/>
      <c r="KW37" s="3"/>
      <c r="KX37" s="3"/>
      <c r="KY37" s="3"/>
      <c r="KZ37" s="3"/>
      <c r="LA37" s="3"/>
      <c r="LB37" s="3"/>
      <c r="LC37" s="3"/>
      <c r="LD37" s="3"/>
      <c r="LE37" s="3"/>
      <c r="LF37" s="3"/>
      <c r="LG37" s="3"/>
      <c r="LH37" s="3"/>
      <c r="LI37" s="3"/>
      <c r="LJ37" s="3"/>
      <c r="LK37" s="3"/>
      <c r="LL37" s="3"/>
      <c r="LM37" s="3"/>
      <c r="LN37" s="3"/>
      <c r="LO37" s="3"/>
      <c r="LP37" s="3"/>
      <c r="LQ37" s="3"/>
      <c r="LR37" s="3"/>
      <c r="LS37" s="3"/>
      <c r="LT37" s="3"/>
      <c r="LU37" s="3"/>
      <c r="LV37" s="3"/>
      <c r="LW37" s="3"/>
      <c r="LX37" s="3"/>
      <c r="LY37" s="3"/>
      <c r="LZ37" s="3"/>
      <c r="MA37" s="3"/>
      <c r="MB37" s="3"/>
      <c r="MC37" s="3"/>
      <c r="MD37" s="3"/>
      <c r="ME37" s="3"/>
      <c r="MF37" s="3"/>
      <c r="MG37" s="3"/>
      <c r="MH37" s="3"/>
      <c r="MI37" s="3"/>
      <c r="MJ37" s="3"/>
      <c r="MK37" s="3"/>
      <c r="ML37" s="3"/>
      <c r="MM37" s="3"/>
      <c r="MN37" s="3"/>
      <c r="MO37" s="3"/>
      <c r="MP37" s="3"/>
      <c r="MQ37" s="3"/>
      <c r="MR37" s="3"/>
      <c r="MS37" s="3"/>
      <c r="MT37" s="3"/>
      <c r="MU37" s="3"/>
      <c r="MV37" s="3"/>
      <c r="MW37" s="3"/>
      <c r="MX37" s="3"/>
      <c r="MY37" s="3"/>
      <c r="MZ37" s="3"/>
      <c r="NA37" s="3"/>
      <c r="NB37" s="3"/>
      <c r="NC37" s="3"/>
      <c r="ND37" s="3"/>
      <c r="NE37" s="3"/>
      <c r="NF37" s="3"/>
      <c r="NG37" s="3"/>
      <c r="NH37" s="3"/>
      <c r="NI37" s="3"/>
      <c r="NJ37" s="3"/>
      <c r="NK37" s="3"/>
      <c r="NL37" s="3"/>
      <c r="NM37" s="3"/>
      <c r="NN37" s="3"/>
      <c r="NO37" s="3"/>
      <c r="NP37" s="3"/>
      <c r="NQ37" s="3"/>
      <c r="NR37" s="3"/>
      <c r="NS37" s="3"/>
      <c r="NT37" s="3"/>
      <c r="NU37" s="3"/>
      <c r="NV37" s="3"/>
      <c r="NW37" s="3"/>
      <c r="NX37" s="3"/>
      <c r="NY37" s="3"/>
      <c r="NZ37" s="3"/>
      <c r="OA37" s="3"/>
      <c r="OB37" s="3"/>
      <c r="OC37" s="3"/>
      <c r="OD37" s="3"/>
      <c r="OE37" s="3"/>
      <c r="OF37" s="3"/>
      <c r="OG37" s="3"/>
      <c r="OH37" s="3"/>
      <c r="OI37" s="3"/>
      <c r="OJ37" s="3"/>
      <c r="OK37" s="3"/>
      <c r="OL37" s="3"/>
      <c r="OM37" s="3"/>
      <c r="ON37" s="3"/>
      <c r="OO37" s="3"/>
      <c r="OP37" s="3"/>
      <c r="OQ37" s="3"/>
      <c r="OR37" s="3"/>
      <c r="OS37" s="3"/>
      <c r="OT37" s="3"/>
      <c r="OU37" s="3"/>
      <c r="OV37" s="3"/>
      <c r="OW37" s="3"/>
      <c r="OX37" s="3"/>
      <c r="OY37" s="3"/>
      <c r="OZ37" s="3"/>
      <c r="PA37" s="3"/>
      <c r="PB37" s="3"/>
      <c r="PC37" s="3"/>
      <c r="PD37" s="3"/>
      <c r="PE37" s="3"/>
      <c r="PF37" s="3"/>
      <c r="PG37" s="3"/>
      <c r="PH37" s="3"/>
      <c r="PI37" s="3"/>
      <c r="PJ37" s="3"/>
      <c r="PK37" s="3"/>
      <c r="PL37" s="3"/>
      <c r="PM37" s="3"/>
      <c r="PN37" s="3"/>
      <c r="PO37" s="3"/>
      <c r="PP37" s="3"/>
      <c r="PQ37" s="3"/>
      <c r="PR37" s="3"/>
      <c r="PS37" s="3"/>
      <c r="PT37" s="3"/>
      <c r="PU37" s="3"/>
      <c r="PV37" s="3"/>
      <c r="PW37" s="3"/>
      <c r="PX37" s="3"/>
      <c r="PY37" s="3"/>
      <c r="PZ37" s="3"/>
      <c r="QA37" s="3"/>
      <c r="QB37" s="3"/>
      <c r="QC37" s="3"/>
      <c r="QD37" s="3"/>
      <c r="QE37" s="3"/>
      <c r="QF37" s="3"/>
      <c r="QG37" s="3"/>
      <c r="QH37" s="3"/>
      <c r="QI37" s="3"/>
      <c r="QJ37" s="3"/>
      <c r="QK37" s="3"/>
      <c r="QL37" s="3"/>
      <c r="QM37" s="3"/>
      <c r="QN37" s="3"/>
      <c r="QO37" s="3"/>
      <c r="QP37" s="3"/>
      <c r="QQ37" s="3"/>
      <c r="QR37" s="3"/>
      <c r="QS37" s="3"/>
      <c r="QT37" s="3"/>
      <c r="QU37" s="3"/>
      <c r="QV37" s="3"/>
      <c r="QW37" s="3"/>
      <c r="QX37" s="3"/>
      <c r="QY37" s="3"/>
      <c r="QZ37" s="3"/>
      <c r="RA37" s="3"/>
      <c r="RB37" s="3"/>
      <c r="RC37" s="3"/>
      <c r="RD37" s="3"/>
      <c r="RE37" s="3"/>
      <c r="RF37" s="3"/>
      <c r="RG37" s="3"/>
      <c r="RH37" s="3"/>
      <c r="RI37" s="3"/>
      <c r="RJ37" s="3"/>
      <c r="RK37" s="3"/>
      <c r="RL37" s="3"/>
      <c r="RM37" s="3"/>
      <c r="RN37" s="3"/>
      <c r="RO37" s="3"/>
      <c r="RP37" s="3"/>
      <c r="RQ37" s="3"/>
      <c r="RR37" s="3"/>
      <c r="RS37" s="3"/>
      <c r="RT37" s="3"/>
      <c r="RU37" s="3"/>
      <c r="RV37" s="3"/>
      <c r="RW37" s="3"/>
      <c r="RX37" s="3"/>
      <c r="RY37" s="3"/>
      <c r="RZ37" s="3"/>
      <c r="SA37" s="3"/>
      <c r="SB37" s="3"/>
      <c r="SC37" s="3"/>
      <c r="SD37" s="3"/>
      <c r="SE37" s="3"/>
      <c r="SF37" s="3"/>
      <c r="SG37" s="3"/>
      <c r="SH37" s="3"/>
      <c r="SI37" s="3"/>
      <c r="SJ37" s="3"/>
      <c r="SK37" s="3"/>
      <c r="SL37" s="3"/>
      <c r="SM37" s="3"/>
      <c r="SN37" s="3"/>
      <c r="SO37" s="3"/>
      <c r="SP37" s="3"/>
      <c r="SQ37" s="3"/>
      <c r="SR37" s="3"/>
      <c r="SS37" s="3"/>
      <c r="ST37" s="3"/>
      <c r="SU37" s="3"/>
      <c r="SV37" s="3"/>
      <c r="SW37" s="3"/>
      <c r="SX37" s="3"/>
      <c r="SY37" s="3"/>
      <c r="SZ37" s="3"/>
      <c r="TA37" s="3"/>
      <c r="TB37" s="3"/>
      <c r="TC37" s="3"/>
      <c r="TD37" s="3"/>
      <c r="TE37" s="3"/>
      <c r="TF37" s="3"/>
      <c r="TG37" s="3"/>
      <c r="TH37" s="3"/>
      <c r="TI37" s="3"/>
      <c r="TJ37" s="3"/>
      <c r="TK37" s="3"/>
      <c r="TL37" s="3"/>
      <c r="TM37" s="3"/>
      <c r="TN37" s="3"/>
      <c r="TO37" s="3"/>
      <c r="TP37" s="3"/>
      <c r="TQ37" s="3"/>
      <c r="TR37" s="3"/>
      <c r="TS37" s="3"/>
      <c r="TT37" s="3"/>
      <c r="TU37" s="3"/>
      <c r="TV37" s="3"/>
      <c r="TW37" s="3"/>
      <c r="TX37" s="3"/>
      <c r="TY37" s="3"/>
      <c r="TZ37" s="3"/>
      <c r="UA37" s="3"/>
      <c r="UB37" s="3"/>
      <c r="UC37" s="3"/>
      <c r="UD37" s="3"/>
      <c r="UE37" s="3"/>
      <c r="UF37" s="3"/>
      <c r="UG37" s="3"/>
      <c r="UH37" s="3"/>
      <c r="UI37" s="3"/>
      <c r="UJ37" s="3"/>
      <c r="UK37" s="3"/>
      <c r="UL37" s="3"/>
      <c r="UM37" s="3"/>
      <c r="UN37" s="3"/>
      <c r="UO37" s="3"/>
      <c r="UP37" s="3"/>
      <c r="UQ37" s="3"/>
      <c r="UR37" s="3"/>
      <c r="US37" s="3"/>
      <c r="UT37" s="3"/>
      <c r="UU37" s="3"/>
      <c r="UV37" s="3"/>
      <c r="UW37" s="3"/>
      <c r="UX37" s="3"/>
      <c r="UY37" s="3"/>
      <c r="UZ37" s="3"/>
      <c r="VA37" s="3"/>
      <c r="VB37" s="3"/>
      <c r="VC37" s="3"/>
      <c r="VD37" s="3"/>
      <c r="VE37" s="3"/>
      <c r="VF37" s="3"/>
      <c r="VG37" s="3"/>
      <c r="VH37" s="3"/>
      <c r="VI37" s="3"/>
      <c r="VJ37" s="3"/>
      <c r="VK37" s="3"/>
      <c r="VL37" s="3"/>
      <c r="VM37" s="3"/>
      <c r="VN37" s="3"/>
      <c r="VO37" s="3"/>
      <c r="VP37" s="3"/>
      <c r="VQ37" s="3"/>
      <c r="VR37" s="3"/>
      <c r="VS37" s="3"/>
      <c r="VT37" s="3"/>
      <c r="VU37" s="3"/>
      <c r="VV37" s="3"/>
      <c r="VW37" s="3"/>
      <c r="VX37" s="3"/>
      <c r="VY37" s="3"/>
      <c r="VZ37" s="3"/>
      <c r="WA37" s="3"/>
      <c r="WB37" s="3"/>
      <c r="WC37" s="3"/>
      <c r="WD37" s="3"/>
      <c r="WE37" s="3"/>
      <c r="WF37" s="3"/>
      <c r="WG37" s="3"/>
      <c r="WH37" s="3"/>
      <c r="WI37" s="3"/>
      <c r="WJ37" s="3"/>
      <c r="WK37" s="3"/>
      <c r="WL37" s="3"/>
      <c r="WM37" s="3"/>
      <c r="WN37" s="3"/>
      <c r="WO37" s="3"/>
      <c r="WP37" s="3"/>
      <c r="WQ37" s="3"/>
      <c r="WR37" s="3"/>
      <c r="WS37" s="3"/>
      <c r="WT37" s="3"/>
      <c r="WU37" s="3"/>
      <c r="WV37" s="3"/>
      <c r="WW37" s="3"/>
      <c r="WX37" s="3"/>
      <c r="WY37" s="3"/>
      <c r="WZ37" s="3"/>
      <c r="XA37" s="3"/>
      <c r="XB37" s="3"/>
      <c r="XC37" s="3"/>
      <c r="XD37" s="3"/>
      <c r="XE37" s="3"/>
      <c r="XF37" s="3"/>
      <c r="XG37" s="3"/>
      <c r="XH37" s="3"/>
      <c r="XI37" s="3"/>
      <c r="XJ37" s="3"/>
      <c r="XK37" s="3"/>
      <c r="XL37" s="3"/>
      <c r="XM37" s="3"/>
      <c r="XN37" s="3"/>
      <c r="XO37" s="3"/>
      <c r="XP37" s="3"/>
      <c r="XQ37" s="3"/>
      <c r="XR37" s="3"/>
      <c r="XS37" s="3"/>
      <c r="XT37" s="3"/>
      <c r="XU37" s="3"/>
      <c r="XV37" s="3"/>
      <c r="XW37" s="3"/>
      <c r="XX37" s="3"/>
      <c r="XY37" s="3"/>
      <c r="XZ37" s="3"/>
      <c r="YA37" s="3"/>
      <c r="YB37" s="3"/>
      <c r="YC37" s="3"/>
      <c r="YD37" s="3"/>
      <c r="YE37" s="3"/>
      <c r="YF37" s="3"/>
      <c r="YG37" s="3"/>
      <c r="YH37" s="3"/>
      <c r="YI37" s="3"/>
      <c r="YJ37" s="3"/>
      <c r="YK37" s="3"/>
      <c r="YL37" s="3"/>
      <c r="YM37" s="3"/>
      <c r="YN37" s="3"/>
      <c r="YO37" s="3"/>
      <c r="YP37" s="3"/>
      <c r="YQ37" s="3"/>
      <c r="YR37" s="3"/>
      <c r="YS37" s="3"/>
      <c r="YT37" s="3"/>
      <c r="YU37" s="3"/>
      <c r="YV37" s="3"/>
      <c r="YW37" s="3"/>
      <c r="YX37" s="3"/>
      <c r="YY37" s="3"/>
      <c r="YZ37" s="3"/>
      <c r="ZA37" s="3"/>
      <c r="ZB37" s="3"/>
      <c r="ZC37" s="3"/>
    </row>
    <row r="38" spans="1:679" s="2" customFormat="1" x14ac:dyDescent="0.45">
      <c r="A38" s="3" t="s">
        <v>11</v>
      </c>
      <c r="B38" s="4">
        <v>30713</v>
      </c>
      <c r="C38" s="7" t="s">
        <v>25</v>
      </c>
      <c r="D38" s="6" t="s">
        <v>52</v>
      </c>
      <c r="E38" s="3"/>
      <c r="F38" s="3">
        <v>9</v>
      </c>
      <c r="L38" s="3"/>
      <c r="M38" s="3"/>
      <c r="N38" s="48"/>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c r="EX38" s="3"/>
      <c r="EY38" s="3"/>
      <c r="EZ38" s="3"/>
      <c r="FA38" s="3"/>
      <c r="FB38" s="3"/>
      <c r="FC38" s="3"/>
      <c r="FD38" s="3"/>
      <c r="FE38" s="3"/>
      <c r="FF38" s="3"/>
      <c r="FG38" s="3"/>
      <c r="FH38" s="3"/>
      <c r="FI38" s="3"/>
      <c r="FJ38" s="3"/>
      <c r="FK38" s="3"/>
      <c r="FL38" s="3"/>
      <c r="FM38" s="3"/>
      <c r="FN38" s="3"/>
      <c r="FO38" s="3"/>
      <c r="FP38" s="3"/>
      <c r="FQ38" s="3"/>
      <c r="FR38" s="3"/>
      <c r="FS38" s="3"/>
      <c r="FT38" s="3"/>
      <c r="FU38" s="3"/>
      <c r="FV38" s="3"/>
      <c r="FW38" s="3"/>
      <c r="FX38" s="3"/>
      <c r="FY38" s="3"/>
      <c r="FZ38" s="3"/>
      <c r="GA38" s="3"/>
      <c r="GB38" s="3"/>
      <c r="GC38" s="3"/>
      <c r="GD38" s="3"/>
      <c r="GE38" s="3"/>
      <c r="GF38" s="3"/>
      <c r="GG38" s="3"/>
      <c r="GH38" s="3"/>
      <c r="GI38" s="3"/>
      <c r="GJ38" s="3"/>
      <c r="GK38" s="3"/>
      <c r="GL38" s="3"/>
      <c r="GM38" s="3"/>
      <c r="GN38" s="3"/>
      <c r="GO38" s="3"/>
      <c r="GP38" s="3"/>
      <c r="GQ38" s="3"/>
      <c r="GR38" s="3"/>
      <c r="GS38" s="3"/>
      <c r="GT38" s="3"/>
      <c r="GU38" s="3"/>
      <c r="GV38" s="3"/>
      <c r="GW38" s="3"/>
      <c r="GX38" s="3"/>
      <c r="GY38" s="3"/>
      <c r="GZ38" s="3"/>
      <c r="HA38" s="3"/>
      <c r="HB38" s="3"/>
      <c r="HC38" s="3"/>
      <c r="HD38" s="3"/>
      <c r="HE38" s="3"/>
      <c r="HF38" s="3"/>
      <c r="HG38" s="3"/>
      <c r="HH38" s="3"/>
      <c r="HI38" s="3"/>
      <c r="HJ38" s="3"/>
      <c r="HK38" s="3"/>
      <c r="HL38" s="3"/>
      <c r="HM38" s="3"/>
      <c r="HN38" s="3"/>
      <c r="HO38" s="3"/>
      <c r="HP38" s="3"/>
      <c r="HQ38" s="3"/>
      <c r="HR38" s="3"/>
      <c r="HS38" s="3"/>
      <c r="HT38" s="3"/>
      <c r="HU38" s="3"/>
      <c r="HV38" s="3"/>
      <c r="HW38" s="3"/>
      <c r="HX38" s="3"/>
      <c r="HY38" s="3"/>
      <c r="HZ38" s="3"/>
      <c r="IA38" s="3"/>
      <c r="IB38" s="3"/>
      <c r="IC38" s="3"/>
      <c r="ID38" s="3"/>
      <c r="IE38" s="3"/>
      <c r="IF38" s="3"/>
      <c r="IG38" s="3"/>
      <c r="IH38" s="3"/>
      <c r="II38" s="3"/>
      <c r="IJ38" s="3"/>
      <c r="IK38" s="3"/>
      <c r="IL38" s="3"/>
      <c r="IM38" s="3"/>
      <c r="IN38" s="3"/>
      <c r="IO38" s="3"/>
      <c r="IP38" s="3"/>
      <c r="IQ38" s="3"/>
      <c r="IR38" s="3"/>
      <c r="IS38" s="3"/>
      <c r="IT38" s="3"/>
      <c r="IU38" s="3"/>
      <c r="IV38" s="3"/>
      <c r="IW38" s="3"/>
      <c r="IX38" s="3"/>
      <c r="IY38" s="3"/>
      <c r="IZ38" s="3"/>
      <c r="JA38" s="3"/>
      <c r="JB38" s="3"/>
      <c r="JC38" s="3"/>
      <c r="JD38" s="3"/>
      <c r="JE38" s="3"/>
      <c r="JF38" s="3"/>
      <c r="JG38" s="3"/>
      <c r="JH38" s="3"/>
      <c r="JI38" s="3"/>
      <c r="JJ38" s="3"/>
      <c r="JK38" s="3"/>
      <c r="JL38" s="3"/>
      <c r="JM38" s="3"/>
      <c r="JN38" s="3"/>
      <c r="JO38" s="3"/>
      <c r="JP38" s="3"/>
      <c r="JQ38" s="3"/>
      <c r="JR38" s="3"/>
      <c r="JS38" s="3"/>
      <c r="JT38" s="3"/>
      <c r="JU38" s="3"/>
      <c r="JV38" s="3"/>
      <c r="JW38" s="3"/>
      <c r="JX38" s="3"/>
      <c r="JY38" s="3"/>
      <c r="JZ38" s="3"/>
      <c r="KA38" s="3"/>
      <c r="KB38" s="3"/>
      <c r="KC38" s="3"/>
      <c r="KD38" s="3"/>
      <c r="KE38" s="3"/>
      <c r="KF38" s="3"/>
      <c r="KG38" s="3"/>
      <c r="KH38" s="3"/>
      <c r="KI38" s="3"/>
      <c r="KJ38" s="3"/>
      <c r="KK38" s="3"/>
      <c r="KL38" s="3"/>
      <c r="KM38" s="3"/>
      <c r="KN38" s="3"/>
      <c r="KO38" s="3"/>
      <c r="KP38" s="3"/>
      <c r="KQ38" s="3"/>
      <c r="KR38" s="3"/>
      <c r="KS38" s="3"/>
      <c r="KT38" s="3"/>
      <c r="KU38" s="3"/>
      <c r="KV38" s="3"/>
      <c r="KW38" s="3"/>
      <c r="KX38" s="3"/>
      <c r="KY38" s="3"/>
      <c r="KZ38" s="3"/>
      <c r="LA38" s="3"/>
      <c r="LB38" s="3"/>
      <c r="LC38" s="3"/>
      <c r="LD38" s="3"/>
      <c r="LE38" s="3"/>
      <c r="LF38" s="3"/>
      <c r="LG38" s="3"/>
      <c r="LH38" s="3"/>
      <c r="LI38" s="3"/>
      <c r="LJ38" s="3"/>
      <c r="LK38" s="3"/>
      <c r="LL38" s="3"/>
      <c r="LM38" s="3"/>
      <c r="LN38" s="3"/>
      <c r="LO38" s="3"/>
      <c r="LP38" s="3"/>
      <c r="LQ38" s="3"/>
      <c r="LR38" s="3"/>
      <c r="LS38" s="3"/>
      <c r="LT38" s="3"/>
      <c r="LU38" s="3"/>
      <c r="LV38" s="3"/>
      <c r="LW38" s="3"/>
      <c r="LX38" s="3"/>
      <c r="LY38" s="3"/>
      <c r="LZ38" s="3"/>
      <c r="MA38" s="3"/>
      <c r="MB38" s="3"/>
      <c r="MC38" s="3"/>
      <c r="MD38" s="3"/>
      <c r="ME38" s="3"/>
      <c r="MF38" s="3"/>
      <c r="MG38" s="3"/>
      <c r="MH38" s="3"/>
      <c r="MI38" s="3"/>
      <c r="MJ38" s="3"/>
      <c r="MK38" s="3"/>
      <c r="ML38" s="3"/>
      <c r="MM38" s="3"/>
      <c r="MN38" s="3"/>
      <c r="MO38" s="3"/>
      <c r="MP38" s="3"/>
      <c r="MQ38" s="3"/>
      <c r="MR38" s="3"/>
      <c r="MS38" s="3"/>
      <c r="MT38" s="3"/>
      <c r="MU38" s="3"/>
      <c r="MV38" s="3"/>
      <c r="MW38" s="3"/>
      <c r="MX38" s="3"/>
      <c r="MY38" s="3"/>
      <c r="MZ38" s="3"/>
      <c r="NA38" s="3"/>
      <c r="NB38" s="3"/>
      <c r="NC38" s="3"/>
      <c r="ND38" s="3"/>
      <c r="NE38" s="3"/>
      <c r="NF38" s="3"/>
      <c r="NG38" s="3"/>
      <c r="NH38" s="3"/>
      <c r="NI38" s="3"/>
      <c r="NJ38" s="3"/>
      <c r="NK38" s="3"/>
      <c r="NL38" s="3"/>
      <c r="NM38" s="3"/>
      <c r="NN38" s="3"/>
      <c r="NO38" s="3"/>
      <c r="NP38" s="3"/>
      <c r="NQ38" s="3"/>
      <c r="NR38" s="3"/>
      <c r="NS38" s="3"/>
      <c r="NT38" s="3"/>
      <c r="NU38" s="3"/>
      <c r="NV38" s="3"/>
      <c r="NW38" s="3"/>
      <c r="NX38" s="3"/>
      <c r="NY38" s="3"/>
      <c r="NZ38" s="3"/>
      <c r="OA38" s="3"/>
      <c r="OB38" s="3"/>
      <c r="OC38" s="3"/>
      <c r="OD38" s="3"/>
      <c r="OE38" s="3"/>
      <c r="OF38" s="3"/>
      <c r="OG38" s="3"/>
      <c r="OH38" s="3"/>
      <c r="OI38" s="3"/>
      <c r="OJ38" s="3"/>
      <c r="OK38" s="3"/>
      <c r="OL38" s="3"/>
      <c r="OM38" s="3"/>
      <c r="ON38" s="3"/>
      <c r="OO38" s="3"/>
      <c r="OP38" s="3"/>
      <c r="OQ38" s="3"/>
      <c r="OR38" s="3"/>
      <c r="OS38" s="3"/>
      <c r="OT38" s="3"/>
      <c r="OU38" s="3"/>
      <c r="OV38" s="3"/>
      <c r="OW38" s="3"/>
      <c r="OX38" s="3"/>
      <c r="OY38" s="3"/>
      <c r="OZ38" s="3"/>
      <c r="PA38" s="3"/>
      <c r="PB38" s="3"/>
      <c r="PC38" s="3"/>
      <c r="PD38" s="3"/>
      <c r="PE38" s="3"/>
      <c r="PF38" s="3"/>
      <c r="PG38" s="3"/>
      <c r="PH38" s="3"/>
      <c r="PI38" s="3"/>
      <c r="PJ38" s="3"/>
      <c r="PK38" s="3"/>
      <c r="PL38" s="3"/>
      <c r="PM38" s="3"/>
      <c r="PN38" s="3"/>
      <c r="PO38" s="3"/>
      <c r="PP38" s="3"/>
      <c r="PQ38" s="3"/>
      <c r="PR38" s="3"/>
      <c r="PS38" s="3"/>
      <c r="PT38" s="3"/>
      <c r="PU38" s="3"/>
      <c r="PV38" s="3"/>
      <c r="PW38" s="3"/>
      <c r="PX38" s="3"/>
      <c r="PY38" s="3"/>
      <c r="PZ38" s="3"/>
      <c r="QA38" s="3"/>
      <c r="QB38" s="3"/>
      <c r="QC38" s="3"/>
      <c r="QD38" s="3"/>
      <c r="QE38" s="3"/>
      <c r="QF38" s="3"/>
      <c r="QG38" s="3"/>
      <c r="QH38" s="3"/>
      <c r="QI38" s="3"/>
      <c r="QJ38" s="3"/>
      <c r="QK38" s="3"/>
      <c r="QL38" s="3"/>
      <c r="QM38" s="3"/>
      <c r="QN38" s="3"/>
      <c r="QO38" s="3"/>
      <c r="QP38" s="3"/>
      <c r="QQ38" s="3"/>
      <c r="QR38" s="3"/>
      <c r="QS38" s="3"/>
      <c r="QT38" s="3"/>
      <c r="QU38" s="3"/>
      <c r="QV38" s="3"/>
      <c r="QW38" s="3"/>
      <c r="QX38" s="3"/>
      <c r="QY38" s="3"/>
      <c r="QZ38" s="3"/>
      <c r="RA38" s="3"/>
      <c r="RB38" s="3"/>
      <c r="RC38" s="3"/>
      <c r="RD38" s="3"/>
      <c r="RE38" s="3"/>
      <c r="RF38" s="3"/>
      <c r="RG38" s="3"/>
      <c r="RH38" s="3"/>
      <c r="RI38" s="3"/>
      <c r="RJ38" s="3"/>
      <c r="RK38" s="3"/>
      <c r="RL38" s="3"/>
      <c r="RM38" s="3"/>
      <c r="RN38" s="3"/>
      <c r="RO38" s="3"/>
      <c r="RP38" s="3"/>
      <c r="RQ38" s="3"/>
      <c r="RR38" s="3"/>
      <c r="RS38" s="3"/>
      <c r="RT38" s="3"/>
      <c r="RU38" s="3"/>
      <c r="RV38" s="3"/>
      <c r="RW38" s="3"/>
      <c r="RX38" s="3"/>
      <c r="RY38" s="3"/>
      <c r="RZ38" s="3"/>
      <c r="SA38" s="3"/>
      <c r="SB38" s="3"/>
      <c r="SC38" s="3"/>
      <c r="SD38" s="3"/>
      <c r="SE38" s="3"/>
      <c r="SF38" s="3"/>
      <c r="SG38" s="3"/>
      <c r="SH38" s="3"/>
      <c r="SI38" s="3"/>
      <c r="SJ38" s="3"/>
      <c r="SK38" s="3"/>
      <c r="SL38" s="3"/>
      <c r="SM38" s="3"/>
      <c r="SN38" s="3"/>
      <c r="SO38" s="3"/>
      <c r="SP38" s="3"/>
      <c r="SQ38" s="3"/>
      <c r="SR38" s="3"/>
      <c r="SS38" s="3"/>
      <c r="ST38" s="3"/>
      <c r="SU38" s="3"/>
      <c r="SV38" s="3"/>
      <c r="SW38" s="3"/>
      <c r="SX38" s="3"/>
      <c r="SY38" s="3"/>
      <c r="SZ38" s="3"/>
      <c r="TA38" s="3"/>
      <c r="TB38" s="3"/>
      <c r="TC38" s="3"/>
      <c r="TD38" s="3"/>
      <c r="TE38" s="3"/>
      <c r="TF38" s="3"/>
      <c r="TG38" s="3"/>
      <c r="TH38" s="3"/>
      <c r="TI38" s="3"/>
      <c r="TJ38" s="3"/>
      <c r="TK38" s="3"/>
      <c r="TL38" s="3"/>
      <c r="TM38" s="3"/>
      <c r="TN38" s="3"/>
      <c r="TO38" s="3"/>
      <c r="TP38" s="3"/>
      <c r="TQ38" s="3"/>
      <c r="TR38" s="3"/>
      <c r="TS38" s="3"/>
      <c r="TT38" s="3"/>
      <c r="TU38" s="3"/>
      <c r="TV38" s="3"/>
      <c r="TW38" s="3"/>
      <c r="TX38" s="3"/>
      <c r="TY38" s="3"/>
      <c r="TZ38" s="3"/>
      <c r="UA38" s="3"/>
      <c r="UB38" s="3"/>
      <c r="UC38" s="3"/>
      <c r="UD38" s="3"/>
      <c r="UE38" s="3"/>
      <c r="UF38" s="3"/>
      <c r="UG38" s="3"/>
      <c r="UH38" s="3"/>
      <c r="UI38" s="3"/>
      <c r="UJ38" s="3"/>
      <c r="UK38" s="3"/>
      <c r="UL38" s="3"/>
      <c r="UM38" s="3"/>
      <c r="UN38" s="3"/>
      <c r="UO38" s="3"/>
      <c r="UP38" s="3"/>
      <c r="UQ38" s="3"/>
      <c r="UR38" s="3"/>
      <c r="US38" s="3"/>
      <c r="UT38" s="3"/>
      <c r="UU38" s="3"/>
      <c r="UV38" s="3"/>
      <c r="UW38" s="3"/>
      <c r="UX38" s="3"/>
      <c r="UY38" s="3"/>
      <c r="UZ38" s="3"/>
      <c r="VA38" s="3"/>
      <c r="VB38" s="3"/>
      <c r="VC38" s="3"/>
      <c r="VD38" s="3"/>
      <c r="VE38" s="3"/>
      <c r="VF38" s="3"/>
      <c r="VG38" s="3"/>
      <c r="VH38" s="3"/>
      <c r="VI38" s="3"/>
      <c r="VJ38" s="3"/>
      <c r="VK38" s="3"/>
      <c r="VL38" s="3"/>
      <c r="VM38" s="3"/>
      <c r="VN38" s="3"/>
      <c r="VO38" s="3"/>
      <c r="VP38" s="3"/>
      <c r="VQ38" s="3"/>
      <c r="VR38" s="3"/>
      <c r="VS38" s="3"/>
      <c r="VT38" s="3"/>
      <c r="VU38" s="3"/>
      <c r="VV38" s="3"/>
      <c r="VW38" s="3"/>
      <c r="VX38" s="3"/>
      <c r="VY38" s="3"/>
      <c r="VZ38" s="3"/>
      <c r="WA38" s="3"/>
      <c r="WB38" s="3"/>
      <c r="WC38" s="3"/>
      <c r="WD38" s="3"/>
      <c r="WE38" s="3"/>
      <c r="WF38" s="3"/>
      <c r="WG38" s="3"/>
      <c r="WH38" s="3"/>
      <c r="WI38" s="3"/>
      <c r="WJ38" s="3"/>
      <c r="WK38" s="3"/>
      <c r="WL38" s="3"/>
      <c r="WM38" s="3"/>
      <c r="WN38" s="3"/>
      <c r="WO38" s="3"/>
      <c r="WP38" s="3"/>
      <c r="WQ38" s="3"/>
      <c r="WR38" s="3"/>
      <c r="WS38" s="3"/>
      <c r="WT38" s="3"/>
      <c r="WU38" s="3"/>
      <c r="WV38" s="3"/>
      <c r="WW38" s="3"/>
      <c r="WX38" s="3"/>
      <c r="WY38" s="3"/>
      <c r="WZ38" s="3"/>
      <c r="XA38" s="3"/>
      <c r="XB38" s="3"/>
      <c r="XC38" s="3"/>
      <c r="XD38" s="3"/>
      <c r="XE38" s="3"/>
      <c r="XF38" s="3"/>
      <c r="XG38" s="3"/>
      <c r="XH38" s="3"/>
      <c r="XI38" s="3"/>
      <c r="XJ38" s="3"/>
      <c r="XK38" s="3"/>
      <c r="XL38" s="3"/>
      <c r="XM38" s="3"/>
      <c r="XN38" s="3"/>
      <c r="XO38" s="3"/>
      <c r="XP38" s="3"/>
      <c r="XQ38" s="3"/>
      <c r="XR38" s="3"/>
      <c r="XS38" s="3"/>
      <c r="XT38" s="3"/>
      <c r="XU38" s="3"/>
      <c r="XV38" s="3"/>
      <c r="XW38" s="3"/>
      <c r="XX38" s="3"/>
      <c r="XY38" s="3"/>
      <c r="XZ38" s="3"/>
      <c r="YA38" s="3"/>
      <c r="YB38" s="3"/>
      <c r="YC38" s="3"/>
      <c r="YD38" s="3"/>
      <c r="YE38" s="3"/>
      <c r="YF38" s="3"/>
      <c r="YG38" s="3"/>
      <c r="YH38" s="3"/>
      <c r="YI38" s="3"/>
      <c r="YJ38" s="3"/>
      <c r="YK38" s="3"/>
      <c r="YL38" s="3"/>
      <c r="YM38" s="3"/>
      <c r="YN38" s="3"/>
      <c r="YO38" s="3"/>
      <c r="YP38" s="3"/>
      <c r="YQ38" s="3"/>
      <c r="YR38" s="3"/>
      <c r="YS38" s="3"/>
      <c r="YT38" s="3"/>
      <c r="YU38" s="3"/>
      <c r="YV38" s="3"/>
      <c r="YW38" s="3"/>
      <c r="YX38" s="3"/>
      <c r="YY38" s="3"/>
      <c r="YZ38" s="3"/>
      <c r="ZA38" s="3"/>
      <c r="ZB38" s="3"/>
      <c r="ZC38" s="3"/>
    </row>
    <row r="39" spans="1:679" s="2" customFormat="1" x14ac:dyDescent="0.45">
      <c r="A39" s="3" t="s">
        <v>11</v>
      </c>
      <c r="B39" s="4">
        <v>30799</v>
      </c>
      <c r="C39" s="7" t="s">
        <v>21</v>
      </c>
      <c r="D39" s="6" t="s">
        <v>53</v>
      </c>
      <c r="E39" s="3"/>
      <c r="F39" s="3">
        <v>2</v>
      </c>
      <c r="L39" s="3"/>
      <c r="M39" s="3"/>
      <c r="N39" s="48"/>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c r="EG39" s="3"/>
      <c r="EH39" s="3"/>
      <c r="EI39" s="3"/>
      <c r="EJ39" s="3"/>
      <c r="EK39" s="3"/>
      <c r="EL39" s="3"/>
      <c r="EM39" s="3"/>
      <c r="EN39" s="3"/>
      <c r="EO39" s="3"/>
      <c r="EP39" s="3"/>
      <c r="EQ39" s="3"/>
      <c r="ER39" s="3"/>
      <c r="ES39" s="3"/>
      <c r="ET39" s="3"/>
      <c r="EU39" s="3"/>
      <c r="EV39" s="3"/>
      <c r="EW39" s="3"/>
      <c r="EX39" s="3"/>
      <c r="EY39" s="3"/>
      <c r="EZ39" s="3"/>
      <c r="FA39" s="3"/>
      <c r="FB39" s="3"/>
      <c r="FC39" s="3"/>
      <c r="FD39" s="3"/>
      <c r="FE39" s="3"/>
      <c r="FF39" s="3"/>
      <c r="FG39" s="3"/>
      <c r="FH39" s="3"/>
      <c r="FI39" s="3"/>
      <c r="FJ39" s="3"/>
      <c r="FK39" s="3"/>
      <c r="FL39" s="3"/>
      <c r="FM39" s="3"/>
      <c r="FN39" s="3"/>
      <c r="FO39" s="3"/>
      <c r="FP39" s="3"/>
      <c r="FQ39" s="3"/>
      <c r="FR39" s="3"/>
      <c r="FS39" s="3"/>
      <c r="FT39" s="3"/>
      <c r="FU39" s="3"/>
      <c r="FV39" s="3"/>
      <c r="FW39" s="3"/>
      <c r="FX39" s="3"/>
      <c r="FY39" s="3"/>
      <c r="FZ39" s="3"/>
      <c r="GA39" s="3"/>
      <c r="GB39" s="3"/>
      <c r="GC39" s="3"/>
      <c r="GD39" s="3"/>
      <c r="GE39" s="3"/>
      <c r="GF39" s="3"/>
      <c r="GG39" s="3"/>
      <c r="GH39" s="3"/>
      <c r="GI39" s="3"/>
      <c r="GJ39" s="3"/>
      <c r="GK39" s="3"/>
      <c r="GL39" s="3"/>
      <c r="GM39" s="3"/>
      <c r="GN39" s="3"/>
      <c r="GO39" s="3"/>
      <c r="GP39" s="3"/>
      <c r="GQ39" s="3"/>
      <c r="GR39" s="3"/>
      <c r="GS39" s="3"/>
      <c r="GT39" s="3"/>
      <c r="GU39" s="3"/>
      <c r="GV39" s="3"/>
      <c r="GW39" s="3"/>
      <c r="GX39" s="3"/>
      <c r="GY39" s="3"/>
      <c r="GZ39" s="3"/>
      <c r="HA39" s="3"/>
      <c r="HB39" s="3"/>
      <c r="HC39" s="3"/>
      <c r="HD39" s="3"/>
      <c r="HE39" s="3"/>
      <c r="HF39" s="3"/>
      <c r="HG39" s="3"/>
      <c r="HH39" s="3"/>
      <c r="HI39" s="3"/>
      <c r="HJ39" s="3"/>
      <c r="HK39" s="3"/>
      <c r="HL39" s="3"/>
      <c r="HM39" s="3"/>
      <c r="HN39" s="3"/>
      <c r="HO39" s="3"/>
      <c r="HP39" s="3"/>
      <c r="HQ39" s="3"/>
      <c r="HR39" s="3"/>
      <c r="HS39" s="3"/>
      <c r="HT39" s="3"/>
      <c r="HU39" s="3"/>
      <c r="HV39" s="3"/>
      <c r="HW39" s="3"/>
      <c r="HX39" s="3"/>
      <c r="HY39" s="3"/>
      <c r="HZ39" s="3"/>
      <c r="IA39" s="3"/>
      <c r="IB39" s="3"/>
      <c r="IC39" s="3"/>
      <c r="ID39" s="3"/>
      <c r="IE39" s="3"/>
      <c r="IF39" s="3"/>
      <c r="IG39" s="3"/>
      <c r="IH39" s="3"/>
      <c r="II39" s="3"/>
      <c r="IJ39" s="3"/>
      <c r="IK39" s="3"/>
      <c r="IL39" s="3"/>
      <c r="IM39" s="3"/>
      <c r="IN39" s="3"/>
      <c r="IO39" s="3"/>
      <c r="IP39" s="3"/>
      <c r="IQ39" s="3"/>
      <c r="IR39" s="3"/>
      <c r="IS39" s="3"/>
      <c r="IT39" s="3"/>
      <c r="IU39" s="3"/>
      <c r="IV39" s="3"/>
      <c r="IW39" s="3"/>
      <c r="IX39" s="3"/>
      <c r="IY39" s="3"/>
      <c r="IZ39" s="3"/>
      <c r="JA39" s="3"/>
      <c r="JB39" s="3"/>
      <c r="JC39" s="3"/>
      <c r="JD39" s="3"/>
      <c r="JE39" s="3"/>
      <c r="JF39" s="3"/>
      <c r="JG39" s="3"/>
      <c r="JH39" s="3"/>
      <c r="JI39" s="3"/>
      <c r="JJ39" s="3"/>
      <c r="JK39" s="3"/>
      <c r="JL39" s="3"/>
      <c r="JM39" s="3"/>
      <c r="JN39" s="3"/>
      <c r="JO39" s="3"/>
      <c r="JP39" s="3"/>
      <c r="JQ39" s="3"/>
      <c r="JR39" s="3"/>
      <c r="JS39" s="3"/>
      <c r="JT39" s="3"/>
      <c r="JU39" s="3"/>
      <c r="JV39" s="3"/>
      <c r="JW39" s="3"/>
      <c r="JX39" s="3"/>
      <c r="JY39" s="3"/>
      <c r="JZ39" s="3"/>
      <c r="KA39" s="3"/>
      <c r="KB39" s="3"/>
      <c r="KC39" s="3"/>
      <c r="KD39" s="3"/>
      <c r="KE39" s="3"/>
      <c r="KF39" s="3"/>
      <c r="KG39" s="3"/>
      <c r="KH39" s="3"/>
      <c r="KI39" s="3"/>
      <c r="KJ39" s="3"/>
      <c r="KK39" s="3"/>
      <c r="KL39" s="3"/>
      <c r="KM39" s="3"/>
      <c r="KN39" s="3"/>
      <c r="KO39" s="3"/>
      <c r="KP39" s="3"/>
      <c r="KQ39" s="3"/>
      <c r="KR39" s="3"/>
      <c r="KS39" s="3"/>
      <c r="KT39" s="3"/>
      <c r="KU39" s="3"/>
      <c r="KV39" s="3"/>
      <c r="KW39" s="3"/>
      <c r="KX39" s="3"/>
      <c r="KY39" s="3"/>
      <c r="KZ39" s="3"/>
      <c r="LA39" s="3"/>
      <c r="LB39" s="3"/>
      <c r="LC39" s="3"/>
      <c r="LD39" s="3"/>
      <c r="LE39" s="3"/>
      <c r="LF39" s="3"/>
      <c r="LG39" s="3"/>
      <c r="LH39" s="3"/>
      <c r="LI39" s="3"/>
      <c r="LJ39" s="3"/>
      <c r="LK39" s="3"/>
      <c r="LL39" s="3"/>
      <c r="LM39" s="3"/>
      <c r="LN39" s="3"/>
      <c r="LO39" s="3"/>
      <c r="LP39" s="3"/>
      <c r="LQ39" s="3"/>
      <c r="LR39" s="3"/>
      <c r="LS39" s="3"/>
      <c r="LT39" s="3"/>
      <c r="LU39" s="3"/>
      <c r="LV39" s="3"/>
      <c r="LW39" s="3"/>
      <c r="LX39" s="3"/>
      <c r="LY39" s="3"/>
      <c r="LZ39" s="3"/>
      <c r="MA39" s="3"/>
      <c r="MB39" s="3"/>
      <c r="MC39" s="3"/>
      <c r="MD39" s="3"/>
      <c r="ME39" s="3"/>
      <c r="MF39" s="3"/>
      <c r="MG39" s="3"/>
      <c r="MH39" s="3"/>
      <c r="MI39" s="3"/>
      <c r="MJ39" s="3"/>
      <c r="MK39" s="3"/>
      <c r="ML39" s="3"/>
      <c r="MM39" s="3"/>
      <c r="MN39" s="3"/>
      <c r="MO39" s="3"/>
      <c r="MP39" s="3"/>
      <c r="MQ39" s="3"/>
      <c r="MR39" s="3"/>
      <c r="MS39" s="3"/>
      <c r="MT39" s="3"/>
      <c r="MU39" s="3"/>
      <c r="MV39" s="3"/>
      <c r="MW39" s="3"/>
      <c r="MX39" s="3"/>
      <c r="MY39" s="3"/>
      <c r="MZ39" s="3"/>
      <c r="NA39" s="3"/>
      <c r="NB39" s="3"/>
      <c r="NC39" s="3"/>
      <c r="ND39" s="3"/>
      <c r="NE39" s="3"/>
      <c r="NF39" s="3"/>
      <c r="NG39" s="3"/>
      <c r="NH39" s="3"/>
      <c r="NI39" s="3"/>
      <c r="NJ39" s="3"/>
      <c r="NK39" s="3"/>
      <c r="NL39" s="3"/>
      <c r="NM39" s="3"/>
      <c r="NN39" s="3"/>
      <c r="NO39" s="3"/>
      <c r="NP39" s="3"/>
      <c r="NQ39" s="3"/>
      <c r="NR39" s="3"/>
      <c r="NS39" s="3"/>
      <c r="NT39" s="3"/>
      <c r="NU39" s="3"/>
      <c r="NV39" s="3"/>
      <c r="NW39" s="3"/>
      <c r="NX39" s="3"/>
      <c r="NY39" s="3"/>
      <c r="NZ39" s="3"/>
      <c r="OA39" s="3"/>
      <c r="OB39" s="3"/>
      <c r="OC39" s="3"/>
      <c r="OD39" s="3"/>
      <c r="OE39" s="3"/>
      <c r="OF39" s="3"/>
      <c r="OG39" s="3"/>
      <c r="OH39" s="3"/>
      <c r="OI39" s="3"/>
      <c r="OJ39" s="3"/>
      <c r="OK39" s="3"/>
      <c r="OL39" s="3"/>
      <c r="OM39" s="3"/>
      <c r="ON39" s="3"/>
      <c r="OO39" s="3"/>
      <c r="OP39" s="3"/>
      <c r="OQ39" s="3"/>
      <c r="OR39" s="3"/>
      <c r="OS39" s="3"/>
      <c r="OT39" s="3"/>
      <c r="OU39" s="3"/>
      <c r="OV39" s="3"/>
      <c r="OW39" s="3"/>
      <c r="OX39" s="3"/>
      <c r="OY39" s="3"/>
      <c r="OZ39" s="3"/>
      <c r="PA39" s="3"/>
      <c r="PB39" s="3"/>
      <c r="PC39" s="3"/>
      <c r="PD39" s="3"/>
      <c r="PE39" s="3"/>
      <c r="PF39" s="3"/>
      <c r="PG39" s="3"/>
      <c r="PH39" s="3"/>
      <c r="PI39" s="3"/>
      <c r="PJ39" s="3"/>
      <c r="PK39" s="3"/>
      <c r="PL39" s="3"/>
      <c r="PM39" s="3"/>
      <c r="PN39" s="3"/>
      <c r="PO39" s="3"/>
      <c r="PP39" s="3"/>
      <c r="PQ39" s="3"/>
      <c r="PR39" s="3"/>
      <c r="PS39" s="3"/>
      <c r="PT39" s="3"/>
      <c r="PU39" s="3"/>
      <c r="PV39" s="3"/>
      <c r="PW39" s="3"/>
      <c r="PX39" s="3"/>
      <c r="PY39" s="3"/>
      <c r="PZ39" s="3"/>
      <c r="QA39" s="3"/>
      <c r="QB39" s="3"/>
      <c r="QC39" s="3"/>
      <c r="QD39" s="3"/>
      <c r="QE39" s="3"/>
      <c r="QF39" s="3"/>
      <c r="QG39" s="3"/>
      <c r="QH39" s="3"/>
      <c r="QI39" s="3"/>
      <c r="QJ39" s="3"/>
      <c r="QK39" s="3"/>
      <c r="QL39" s="3"/>
      <c r="QM39" s="3"/>
      <c r="QN39" s="3"/>
      <c r="QO39" s="3"/>
      <c r="QP39" s="3"/>
      <c r="QQ39" s="3"/>
      <c r="QR39" s="3"/>
      <c r="QS39" s="3"/>
      <c r="QT39" s="3"/>
      <c r="QU39" s="3"/>
      <c r="QV39" s="3"/>
      <c r="QW39" s="3"/>
      <c r="QX39" s="3"/>
      <c r="QY39" s="3"/>
      <c r="QZ39" s="3"/>
      <c r="RA39" s="3"/>
      <c r="RB39" s="3"/>
      <c r="RC39" s="3"/>
      <c r="RD39" s="3"/>
      <c r="RE39" s="3"/>
      <c r="RF39" s="3"/>
      <c r="RG39" s="3"/>
      <c r="RH39" s="3"/>
      <c r="RI39" s="3"/>
      <c r="RJ39" s="3"/>
      <c r="RK39" s="3"/>
      <c r="RL39" s="3"/>
      <c r="RM39" s="3"/>
      <c r="RN39" s="3"/>
      <c r="RO39" s="3"/>
      <c r="RP39" s="3"/>
      <c r="RQ39" s="3"/>
      <c r="RR39" s="3"/>
      <c r="RS39" s="3"/>
      <c r="RT39" s="3"/>
      <c r="RU39" s="3"/>
      <c r="RV39" s="3"/>
      <c r="RW39" s="3"/>
      <c r="RX39" s="3"/>
      <c r="RY39" s="3"/>
      <c r="RZ39" s="3"/>
      <c r="SA39" s="3"/>
      <c r="SB39" s="3"/>
      <c r="SC39" s="3"/>
      <c r="SD39" s="3"/>
      <c r="SE39" s="3"/>
      <c r="SF39" s="3"/>
      <c r="SG39" s="3"/>
      <c r="SH39" s="3"/>
      <c r="SI39" s="3"/>
      <c r="SJ39" s="3"/>
      <c r="SK39" s="3"/>
      <c r="SL39" s="3"/>
      <c r="SM39" s="3"/>
      <c r="SN39" s="3"/>
      <c r="SO39" s="3"/>
      <c r="SP39" s="3"/>
      <c r="SQ39" s="3"/>
      <c r="SR39" s="3"/>
      <c r="SS39" s="3"/>
      <c r="ST39" s="3"/>
      <c r="SU39" s="3"/>
      <c r="SV39" s="3"/>
      <c r="SW39" s="3"/>
      <c r="SX39" s="3"/>
      <c r="SY39" s="3"/>
      <c r="SZ39" s="3"/>
      <c r="TA39" s="3"/>
      <c r="TB39" s="3"/>
      <c r="TC39" s="3"/>
      <c r="TD39" s="3"/>
      <c r="TE39" s="3"/>
      <c r="TF39" s="3"/>
      <c r="TG39" s="3"/>
      <c r="TH39" s="3"/>
      <c r="TI39" s="3"/>
      <c r="TJ39" s="3"/>
      <c r="TK39" s="3"/>
      <c r="TL39" s="3"/>
      <c r="TM39" s="3"/>
      <c r="TN39" s="3"/>
      <c r="TO39" s="3"/>
      <c r="TP39" s="3"/>
      <c r="TQ39" s="3"/>
      <c r="TR39" s="3"/>
      <c r="TS39" s="3"/>
      <c r="TT39" s="3"/>
      <c r="TU39" s="3"/>
      <c r="TV39" s="3"/>
      <c r="TW39" s="3"/>
      <c r="TX39" s="3"/>
      <c r="TY39" s="3"/>
      <c r="TZ39" s="3"/>
      <c r="UA39" s="3"/>
      <c r="UB39" s="3"/>
      <c r="UC39" s="3"/>
      <c r="UD39" s="3"/>
      <c r="UE39" s="3"/>
      <c r="UF39" s="3"/>
      <c r="UG39" s="3"/>
      <c r="UH39" s="3"/>
      <c r="UI39" s="3"/>
      <c r="UJ39" s="3"/>
      <c r="UK39" s="3"/>
      <c r="UL39" s="3"/>
      <c r="UM39" s="3"/>
      <c r="UN39" s="3"/>
      <c r="UO39" s="3"/>
      <c r="UP39" s="3"/>
      <c r="UQ39" s="3"/>
      <c r="UR39" s="3"/>
      <c r="US39" s="3"/>
      <c r="UT39" s="3"/>
      <c r="UU39" s="3"/>
      <c r="UV39" s="3"/>
      <c r="UW39" s="3"/>
      <c r="UX39" s="3"/>
      <c r="UY39" s="3"/>
      <c r="UZ39" s="3"/>
      <c r="VA39" s="3"/>
      <c r="VB39" s="3"/>
      <c r="VC39" s="3"/>
      <c r="VD39" s="3"/>
      <c r="VE39" s="3"/>
      <c r="VF39" s="3"/>
      <c r="VG39" s="3"/>
      <c r="VH39" s="3"/>
      <c r="VI39" s="3"/>
      <c r="VJ39" s="3"/>
      <c r="VK39" s="3"/>
      <c r="VL39" s="3"/>
      <c r="VM39" s="3"/>
      <c r="VN39" s="3"/>
      <c r="VO39" s="3"/>
      <c r="VP39" s="3"/>
      <c r="VQ39" s="3"/>
      <c r="VR39" s="3"/>
      <c r="VS39" s="3"/>
      <c r="VT39" s="3"/>
      <c r="VU39" s="3"/>
      <c r="VV39" s="3"/>
      <c r="VW39" s="3"/>
      <c r="VX39" s="3"/>
      <c r="VY39" s="3"/>
      <c r="VZ39" s="3"/>
      <c r="WA39" s="3"/>
      <c r="WB39" s="3"/>
      <c r="WC39" s="3"/>
      <c r="WD39" s="3"/>
      <c r="WE39" s="3"/>
      <c r="WF39" s="3"/>
      <c r="WG39" s="3"/>
      <c r="WH39" s="3"/>
      <c r="WI39" s="3"/>
      <c r="WJ39" s="3"/>
      <c r="WK39" s="3"/>
      <c r="WL39" s="3"/>
      <c r="WM39" s="3"/>
      <c r="WN39" s="3"/>
      <c r="WO39" s="3"/>
      <c r="WP39" s="3"/>
      <c r="WQ39" s="3"/>
      <c r="WR39" s="3"/>
      <c r="WS39" s="3"/>
      <c r="WT39" s="3"/>
      <c r="WU39" s="3"/>
      <c r="WV39" s="3"/>
      <c r="WW39" s="3"/>
      <c r="WX39" s="3"/>
      <c r="WY39" s="3"/>
      <c r="WZ39" s="3"/>
      <c r="XA39" s="3"/>
      <c r="XB39" s="3"/>
      <c r="XC39" s="3"/>
      <c r="XD39" s="3"/>
      <c r="XE39" s="3"/>
      <c r="XF39" s="3"/>
      <c r="XG39" s="3"/>
      <c r="XH39" s="3"/>
      <c r="XI39" s="3"/>
      <c r="XJ39" s="3"/>
      <c r="XK39" s="3"/>
      <c r="XL39" s="3"/>
      <c r="XM39" s="3"/>
      <c r="XN39" s="3"/>
      <c r="XO39" s="3"/>
      <c r="XP39" s="3"/>
      <c r="XQ39" s="3"/>
      <c r="XR39" s="3"/>
      <c r="XS39" s="3"/>
      <c r="XT39" s="3"/>
      <c r="XU39" s="3"/>
      <c r="XV39" s="3"/>
      <c r="XW39" s="3"/>
      <c r="XX39" s="3"/>
      <c r="XY39" s="3"/>
      <c r="XZ39" s="3"/>
      <c r="YA39" s="3"/>
      <c r="YB39" s="3"/>
      <c r="YC39" s="3"/>
      <c r="YD39" s="3"/>
      <c r="YE39" s="3"/>
      <c r="YF39" s="3"/>
      <c r="YG39" s="3"/>
      <c r="YH39" s="3"/>
      <c r="YI39" s="3"/>
      <c r="YJ39" s="3"/>
      <c r="YK39" s="3"/>
      <c r="YL39" s="3"/>
      <c r="YM39" s="3"/>
      <c r="YN39" s="3"/>
      <c r="YO39" s="3"/>
      <c r="YP39" s="3"/>
      <c r="YQ39" s="3"/>
      <c r="YR39" s="3"/>
      <c r="YS39" s="3"/>
      <c r="YT39" s="3"/>
      <c r="YU39" s="3"/>
      <c r="YV39" s="3"/>
      <c r="YW39" s="3"/>
      <c r="YX39" s="3"/>
      <c r="YY39" s="3"/>
      <c r="YZ39" s="3"/>
      <c r="ZA39" s="3"/>
      <c r="ZB39" s="3"/>
      <c r="ZC39" s="3"/>
    </row>
    <row r="40" spans="1:679" s="2" customFormat="1" x14ac:dyDescent="0.45">
      <c r="A40" s="3" t="s">
        <v>11</v>
      </c>
      <c r="B40" s="4">
        <v>30825</v>
      </c>
      <c r="C40" s="7" t="s">
        <v>25</v>
      </c>
      <c r="D40" s="6" t="s">
        <v>54</v>
      </c>
      <c r="E40" s="3"/>
      <c r="F40" s="3">
        <v>15</v>
      </c>
      <c r="L40" s="3"/>
      <c r="M40" s="3"/>
      <c r="N40" s="48"/>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c r="EU40" s="3"/>
      <c r="EV40" s="3"/>
      <c r="EW40" s="3"/>
      <c r="EX40" s="3"/>
      <c r="EY40" s="3"/>
      <c r="EZ40" s="3"/>
      <c r="FA40" s="3"/>
      <c r="FB40" s="3"/>
      <c r="FC40" s="3"/>
      <c r="FD40" s="3"/>
      <c r="FE40" s="3"/>
      <c r="FF40" s="3"/>
      <c r="FG40" s="3"/>
      <c r="FH40" s="3"/>
      <c r="FI40" s="3"/>
      <c r="FJ40" s="3"/>
      <c r="FK40" s="3"/>
      <c r="FL40" s="3"/>
      <c r="FM40" s="3"/>
      <c r="FN40" s="3"/>
      <c r="FO40" s="3"/>
      <c r="FP40" s="3"/>
      <c r="FQ40" s="3"/>
      <c r="FR40" s="3"/>
      <c r="FS40" s="3"/>
      <c r="FT40" s="3"/>
      <c r="FU40" s="3"/>
      <c r="FV40" s="3"/>
      <c r="FW40" s="3"/>
      <c r="FX40" s="3"/>
      <c r="FY40" s="3"/>
      <c r="FZ40" s="3"/>
      <c r="GA40" s="3"/>
      <c r="GB40" s="3"/>
      <c r="GC40" s="3"/>
      <c r="GD40" s="3"/>
      <c r="GE40" s="3"/>
      <c r="GF40" s="3"/>
      <c r="GG40" s="3"/>
      <c r="GH40" s="3"/>
      <c r="GI40" s="3"/>
      <c r="GJ40" s="3"/>
      <c r="GK40" s="3"/>
      <c r="GL40" s="3"/>
      <c r="GM40" s="3"/>
      <c r="GN40" s="3"/>
      <c r="GO40" s="3"/>
      <c r="GP40" s="3"/>
      <c r="GQ40" s="3"/>
      <c r="GR40" s="3"/>
      <c r="GS40" s="3"/>
      <c r="GT40" s="3"/>
      <c r="GU40" s="3"/>
      <c r="GV40" s="3"/>
      <c r="GW40" s="3"/>
      <c r="GX40" s="3"/>
      <c r="GY40" s="3"/>
      <c r="GZ40" s="3"/>
      <c r="HA40" s="3"/>
      <c r="HB40" s="3"/>
      <c r="HC40" s="3"/>
      <c r="HD40" s="3"/>
      <c r="HE40" s="3"/>
      <c r="HF40" s="3"/>
      <c r="HG40" s="3"/>
      <c r="HH40" s="3"/>
      <c r="HI40" s="3"/>
      <c r="HJ40" s="3"/>
      <c r="HK40" s="3"/>
      <c r="HL40" s="3"/>
      <c r="HM40" s="3"/>
      <c r="HN40" s="3"/>
      <c r="HO40" s="3"/>
      <c r="HP40" s="3"/>
      <c r="HQ40" s="3"/>
      <c r="HR40" s="3"/>
      <c r="HS40" s="3"/>
      <c r="HT40" s="3"/>
      <c r="HU40" s="3"/>
      <c r="HV40" s="3"/>
      <c r="HW40" s="3"/>
      <c r="HX40" s="3"/>
      <c r="HY40" s="3"/>
      <c r="HZ40" s="3"/>
      <c r="IA40" s="3"/>
      <c r="IB40" s="3"/>
      <c r="IC40" s="3"/>
      <c r="ID40" s="3"/>
      <c r="IE40" s="3"/>
      <c r="IF40" s="3"/>
      <c r="IG40" s="3"/>
      <c r="IH40" s="3"/>
      <c r="II40" s="3"/>
      <c r="IJ40" s="3"/>
      <c r="IK40" s="3"/>
      <c r="IL40" s="3"/>
      <c r="IM40" s="3"/>
      <c r="IN40" s="3"/>
      <c r="IO40" s="3"/>
      <c r="IP40" s="3"/>
      <c r="IQ40" s="3"/>
      <c r="IR40" s="3"/>
      <c r="IS40" s="3"/>
      <c r="IT40" s="3"/>
      <c r="IU40" s="3"/>
      <c r="IV40" s="3"/>
      <c r="IW40" s="3"/>
      <c r="IX40" s="3"/>
      <c r="IY40" s="3"/>
      <c r="IZ40" s="3"/>
      <c r="JA40" s="3"/>
      <c r="JB40" s="3"/>
      <c r="JC40" s="3"/>
      <c r="JD40" s="3"/>
      <c r="JE40" s="3"/>
      <c r="JF40" s="3"/>
      <c r="JG40" s="3"/>
      <c r="JH40" s="3"/>
      <c r="JI40" s="3"/>
      <c r="JJ40" s="3"/>
      <c r="JK40" s="3"/>
      <c r="JL40" s="3"/>
      <c r="JM40" s="3"/>
      <c r="JN40" s="3"/>
      <c r="JO40" s="3"/>
      <c r="JP40" s="3"/>
      <c r="JQ40" s="3"/>
      <c r="JR40" s="3"/>
      <c r="JS40" s="3"/>
      <c r="JT40" s="3"/>
      <c r="JU40" s="3"/>
      <c r="JV40" s="3"/>
      <c r="JW40" s="3"/>
      <c r="JX40" s="3"/>
      <c r="JY40" s="3"/>
      <c r="JZ40" s="3"/>
      <c r="KA40" s="3"/>
      <c r="KB40" s="3"/>
      <c r="KC40" s="3"/>
      <c r="KD40" s="3"/>
      <c r="KE40" s="3"/>
      <c r="KF40" s="3"/>
      <c r="KG40" s="3"/>
      <c r="KH40" s="3"/>
      <c r="KI40" s="3"/>
      <c r="KJ40" s="3"/>
      <c r="KK40" s="3"/>
      <c r="KL40" s="3"/>
      <c r="KM40" s="3"/>
      <c r="KN40" s="3"/>
      <c r="KO40" s="3"/>
      <c r="KP40" s="3"/>
      <c r="KQ40" s="3"/>
      <c r="KR40" s="3"/>
      <c r="KS40" s="3"/>
      <c r="KT40" s="3"/>
      <c r="KU40" s="3"/>
      <c r="KV40" s="3"/>
      <c r="KW40" s="3"/>
      <c r="KX40" s="3"/>
      <c r="KY40" s="3"/>
      <c r="KZ40" s="3"/>
      <c r="LA40" s="3"/>
      <c r="LB40" s="3"/>
      <c r="LC40" s="3"/>
      <c r="LD40" s="3"/>
      <c r="LE40" s="3"/>
      <c r="LF40" s="3"/>
      <c r="LG40" s="3"/>
      <c r="LH40" s="3"/>
      <c r="LI40" s="3"/>
      <c r="LJ40" s="3"/>
      <c r="LK40" s="3"/>
      <c r="LL40" s="3"/>
      <c r="LM40" s="3"/>
      <c r="LN40" s="3"/>
      <c r="LO40" s="3"/>
      <c r="LP40" s="3"/>
      <c r="LQ40" s="3"/>
      <c r="LR40" s="3"/>
      <c r="LS40" s="3"/>
      <c r="LT40" s="3"/>
      <c r="LU40" s="3"/>
      <c r="LV40" s="3"/>
      <c r="LW40" s="3"/>
      <c r="LX40" s="3"/>
      <c r="LY40" s="3"/>
      <c r="LZ40" s="3"/>
      <c r="MA40" s="3"/>
      <c r="MB40" s="3"/>
      <c r="MC40" s="3"/>
      <c r="MD40" s="3"/>
      <c r="ME40" s="3"/>
      <c r="MF40" s="3"/>
      <c r="MG40" s="3"/>
      <c r="MH40" s="3"/>
      <c r="MI40" s="3"/>
      <c r="MJ40" s="3"/>
      <c r="MK40" s="3"/>
      <c r="ML40" s="3"/>
      <c r="MM40" s="3"/>
      <c r="MN40" s="3"/>
      <c r="MO40" s="3"/>
      <c r="MP40" s="3"/>
      <c r="MQ40" s="3"/>
      <c r="MR40" s="3"/>
      <c r="MS40" s="3"/>
      <c r="MT40" s="3"/>
      <c r="MU40" s="3"/>
      <c r="MV40" s="3"/>
      <c r="MW40" s="3"/>
      <c r="MX40" s="3"/>
      <c r="MY40" s="3"/>
      <c r="MZ40" s="3"/>
      <c r="NA40" s="3"/>
      <c r="NB40" s="3"/>
      <c r="NC40" s="3"/>
      <c r="ND40" s="3"/>
      <c r="NE40" s="3"/>
      <c r="NF40" s="3"/>
      <c r="NG40" s="3"/>
      <c r="NH40" s="3"/>
      <c r="NI40" s="3"/>
      <c r="NJ40" s="3"/>
      <c r="NK40" s="3"/>
      <c r="NL40" s="3"/>
      <c r="NM40" s="3"/>
      <c r="NN40" s="3"/>
      <c r="NO40" s="3"/>
      <c r="NP40" s="3"/>
      <c r="NQ40" s="3"/>
      <c r="NR40" s="3"/>
      <c r="NS40" s="3"/>
      <c r="NT40" s="3"/>
      <c r="NU40" s="3"/>
      <c r="NV40" s="3"/>
      <c r="NW40" s="3"/>
      <c r="NX40" s="3"/>
      <c r="NY40" s="3"/>
      <c r="NZ40" s="3"/>
      <c r="OA40" s="3"/>
      <c r="OB40" s="3"/>
      <c r="OC40" s="3"/>
      <c r="OD40" s="3"/>
      <c r="OE40" s="3"/>
      <c r="OF40" s="3"/>
      <c r="OG40" s="3"/>
      <c r="OH40" s="3"/>
      <c r="OI40" s="3"/>
      <c r="OJ40" s="3"/>
      <c r="OK40" s="3"/>
      <c r="OL40" s="3"/>
      <c r="OM40" s="3"/>
      <c r="ON40" s="3"/>
      <c r="OO40" s="3"/>
      <c r="OP40" s="3"/>
      <c r="OQ40" s="3"/>
      <c r="OR40" s="3"/>
      <c r="OS40" s="3"/>
      <c r="OT40" s="3"/>
      <c r="OU40" s="3"/>
      <c r="OV40" s="3"/>
      <c r="OW40" s="3"/>
      <c r="OX40" s="3"/>
      <c r="OY40" s="3"/>
      <c r="OZ40" s="3"/>
      <c r="PA40" s="3"/>
      <c r="PB40" s="3"/>
      <c r="PC40" s="3"/>
      <c r="PD40" s="3"/>
      <c r="PE40" s="3"/>
      <c r="PF40" s="3"/>
      <c r="PG40" s="3"/>
      <c r="PH40" s="3"/>
      <c r="PI40" s="3"/>
      <c r="PJ40" s="3"/>
      <c r="PK40" s="3"/>
      <c r="PL40" s="3"/>
      <c r="PM40" s="3"/>
      <c r="PN40" s="3"/>
      <c r="PO40" s="3"/>
      <c r="PP40" s="3"/>
      <c r="PQ40" s="3"/>
      <c r="PR40" s="3"/>
      <c r="PS40" s="3"/>
      <c r="PT40" s="3"/>
      <c r="PU40" s="3"/>
      <c r="PV40" s="3"/>
      <c r="PW40" s="3"/>
      <c r="PX40" s="3"/>
      <c r="PY40" s="3"/>
      <c r="PZ40" s="3"/>
      <c r="QA40" s="3"/>
      <c r="QB40" s="3"/>
      <c r="QC40" s="3"/>
      <c r="QD40" s="3"/>
      <c r="QE40" s="3"/>
      <c r="QF40" s="3"/>
      <c r="QG40" s="3"/>
      <c r="QH40" s="3"/>
      <c r="QI40" s="3"/>
      <c r="QJ40" s="3"/>
      <c r="QK40" s="3"/>
      <c r="QL40" s="3"/>
      <c r="QM40" s="3"/>
      <c r="QN40" s="3"/>
      <c r="QO40" s="3"/>
      <c r="QP40" s="3"/>
      <c r="QQ40" s="3"/>
      <c r="QR40" s="3"/>
      <c r="QS40" s="3"/>
      <c r="QT40" s="3"/>
      <c r="QU40" s="3"/>
      <c r="QV40" s="3"/>
      <c r="QW40" s="3"/>
      <c r="QX40" s="3"/>
      <c r="QY40" s="3"/>
      <c r="QZ40" s="3"/>
      <c r="RA40" s="3"/>
      <c r="RB40" s="3"/>
      <c r="RC40" s="3"/>
      <c r="RD40" s="3"/>
      <c r="RE40" s="3"/>
      <c r="RF40" s="3"/>
      <c r="RG40" s="3"/>
      <c r="RH40" s="3"/>
      <c r="RI40" s="3"/>
      <c r="RJ40" s="3"/>
      <c r="RK40" s="3"/>
      <c r="RL40" s="3"/>
      <c r="RM40" s="3"/>
      <c r="RN40" s="3"/>
      <c r="RO40" s="3"/>
      <c r="RP40" s="3"/>
      <c r="RQ40" s="3"/>
      <c r="RR40" s="3"/>
      <c r="RS40" s="3"/>
      <c r="RT40" s="3"/>
      <c r="RU40" s="3"/>
      <c r="RV40" s="3"/>
      <c r="RW40" s="3"/>
      <c r="RX40" s="3"/>
      <c r="RY40" s="3"/>
      <c r="RZ40" s="3"/>
      <c r="SA40" s="3"/>
      <c r="SB40" s="3"/>
      <c r="SC40" s="3"/>
      <c r="SD40" s="3"/>
      <c r="SE40" s="3"/>
      <c r="SF40" s="3"/>
      <c r="SG40" s="3"/>
      <c r="SH40" s="3"/>
      <c r="SI40" s="3"/>
      <c r="SJ40" s="3"/>
      <c r="SK40" s="3"/>
      <c r="SL40" s="3"/>
      <c r="SM40" s="3"/>
      <c r="SN40" s="3"/>
      <c r="SO40" s="3"/>
      <c r="SP40" s="3"/>
      <c r="SQ40" s="3"/>
      <c r="SR40" s="3"/>
      <c r="SS40" s="3"/>
      <c r="ST40" s="3"/>
      <c r="SU40" s="3"/>
      <c r="SV40" s="3"/>
      <c r="SW40" s="3"/>
      <c r="SX40" s="3"/>
      <c r="SY40" s="3"/>
      <c r="SZ40" s="3"/>
      <c r="TA40" s="3"/>
      <c r="TB40" s="3"/>
      <c r="TC40" s="3"/>
      <c r="TD40" s="3"/>
      <c r="TE40" s="3"/>
      <c r="TF40" s="3"/>
      <c r="TG40" s="3"/>
      <c r="TH40" s="3"/>
      <c r="TI40" s="3"/>
      <c r="TJ40" s="3"/>
      <c r="TK40" s="3"/>
      <c r="TL40" s="3"/>
      <c r="TM40" s="3"/>
      <c r="TN40" s="3"/>
      <c r="TO40" s="3"/>
      <c r="TP40" s="3"/>
      <c r="TQ40" s="3"/>
      <c r="TR40" s="3"/>
      <c r="TS40" s="3"/>
      <c r="TT40" s="3"/>
      <c r="TU40" s="3"/>
      <c r="TV40" s="3"/>
      <c r="TW40" s="3"/>
      <c r="TX40" s="3"/>
      <c r="TY40" s="3"/>
      <c r="TZ40" s="3"/>
      <c r="UA40" s="3"/>
      <c r="UB40" s="3"/>
      <c r="UC40" s="3"/>
      <c r="UD40" s="3"/>
      <c r="UE40" s="3"/>
      <c r="UF40" s="3"/>
      <c r="UG40" s="3"/>
      <c r="UH40" s="3"/>
      <c r="UI40" s="3"/>
      <c r="UJ40" s="3"/>
      <c r="UK40" s="3"/>
      <c r="UL40" s="3"/>
      <c r="UM40" s="3"/>
      <c r="UN40" s="3"/>
      <c r="UO40" s="3"/>
      <c r="UP40" s="3"/>
      <c r="UQ40" s="3"/>
      <c r="UR40" s="3"/>
      <c r="US40" s="3"/>
      <c r="UT40" s="3"/>
      <c r="UU40" s="3"/>
      <c r="UV40" s="3"/>
      <c r="UW40" s="3"/>
      <c r="UX40" s="3"/>
      <c r="UY40" s="3"/>
      <c r="UZ40" s="3"/>
      <c r="VA40" s="3"/>
      <c r="VB40" s="3"/>
      <c r="VC40" s="3"/>
      <c r="VD40" s="3"/>
      <c r="VE40" s="3"/>
      <c r="VF40" s="3"/>
      <c r="VG40" s="3"/>
      <c r="VH40" s="3"/>
      <c r="VI40" s="3"/>
      <c r="VJ40" s="3"/>
      <c r="VK40" s="3"/>
      <c r="VL40" s="3"/>
      <c r="VM40" s="3"/>
      <c r="VN40" s="3"/>
      <c r="VO40" s="3"/>
      <c r="VP40" s="3"/>
      <c r="VQ40" s="3"/>
      <c r="VR40" s="3"/>
      <c r="VS40" s="3"/>
      <c r="VT40" s="3"/>
      <c r="VU40" s="3"/>
      <c r="VV40" s="3"/>
      <c r="VW40" s="3"/>
      <c r="VX40" s="3"/>
      <c r="VY40" s="3"/>
      <c r="VZ40" s="3"/>
      <c r="WA40" s="3"/>
      <c r="WB40" s="3"/>
      <c r="WC40" s="3"/>
      <c r="WD40" s="3"/>
      <c r="WE40" s="3"/>
      <c r="WF40" s="3"/>
      <c r="WG40" s="3"/>
      <c r="WH40" s="3"/>
      <c r="WI40" s="3"/>
      <c r="WJ40" s="3"/>
      <c r="WK40" s="3"/>
      <c r="WL40" s="3"/>
      <c r="WM40" s="3"/>
      <c r="WN40" s="3"/>
      <c r="WO40" s="3"/>
      <c r="WP40" s="3"/>
      <c r="WQ40" s="3"/>
      <c r="WR40" s="3"/>
      <c r="WS40" s="3"/>
      <c r="WT40" s="3"/>
      <c r="WU40" s="3"/>
      <c r="WV40" s="3"/>
      <c r="WW40" s="3"/>
      <c r="WX40" s="3"/>
      <c r="WY40" s="3"/>
      <c r="WZ40" s="3"/>
      <c r="XA40" s="3"/>
      <c r="XB40" s="3"/>
      <c r="XC40" s="3"/>
      <c r="XD40" s="3"/>
      <c r="XE40" s="3"/>
      <c r="XF40" s="3"/>
      <c r="XG40" s="3"/>
      <c r="XH40" s="3"/>
      <c r="XI40" s="3"/>
      <c r="XJ40" s="3"/>
      <c r="XK40" s="3"/>
      <c r="XL40" s="3"/>
      <c r="XM40" s="3"/>
      <c r="XN40" s="3"/>
      <c r="XO40" s="3"/>
      <c r="XP40" s="3"/>
      <c r="XQ40" s="3"/>
      <c r="XR40" s="3"/>
      <c r="XS40" s="3"/>
      <c r="XT40" s="3"/>
      <c r="XU40" s="3"/>
      <c r="XV40" s="3"/>
      <c r="XW40" s="3"/>
      <c r="XX40" s="3"/>
      <c r="XY40" s="3"/>
      <c r="XZ40" s="3"/>
      <c r="YA40" s="3"/>
      <c r="YB40" s="3"/>
      <c r="YC40" s="3"/>
      <c r="YD40" s="3"/>
      <c r="YE40" s="3"/>
      <c r="YF40" s="3"/>
      <c r="YG40" s="3"/>
      <c r="YH40" s="3"/>
      <c r="YI40" s="3"/>
      <c r="YJ40" s="3"/>
      <c r="YK40" s="3"/>
      <c r="YL40" s="3"/>
      <c r="YM40" s="3"/>
      <c r="YN40" s="3"/>
      <c r="YO40" s="3"/>
      <c r="YP40" s="3"/>
      <c r="YQ40" s="3"/>
      <c r="YR40" s="3"/>
      <c r="YS40" s="3"/>
      <c r="YT40" s="3"/>
      <c r="YU40" s="3"/>
      <c r="YV40" s="3"/>
      <c r="YW40" s="3"/>
      <c r="YX40" s="3"/>
      <c r="YY40" s="3"/>
      <c r="YZ40" s="3"/>
      <c r="ZA40" s="3"/>
      <c r="ZB40" s="3"/>
      <c r="ZC40" s="3"/>
    </row>
    <row r="41" spans="1:679" s="2" customFormat="1" x14ac:dyDescent="0.45">
      <c r="A41" s="3" t="s">
        <v>11</v>
      </c>
      <c r="B41" s="4">
        <v>30832</v>
      </c>
      <c r="C41" s="7" t="s">
        <v>21</v>
      </c>
      <c r="D41" s="6" t="s">
        <v>55</v>
      </c>
      <c r="E41" s="3"/>
      <c r="F41" s="3">
        <v>5</v>
      </c>
      <c r="L41" s="3"/>
      <c r="M41" s="3"/>
      <c r="N41" s="48"/>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
      <c r="EH41" s="3"/>
      <c r="EI41" s="3"/>
      <c r="EJ41" s="3"/>
      <c r="EK41" s="3"/>
      <c r="EL41" s="3"/>
      <c r="EM41" s="3"/>
      <c r="EN41" s="3"/>
      <c r="EO41" s="3"/>
      <c r="EP41" s="3"/>
      <c r="EQ41" s="3"/>
      <c r="ER41" s="3"/>
      <c r="ES41" s="3"/>
      <c r="ET41" s="3"/>
      <c r="EU41" s="3"/>
      <c r="EV41" s="3"/>
      <c r="EW41" s="3"/>
      <c r="EX41" s="3"/>
      <c r="EY41" s="3"/>
      <c r="EZ41" s="3"/>
      <c r="FA41" s="3"/>
      <c r="FB41" s="3"/>
      <c r="FC41" s="3"/>
      <c r="FD41" s="3"/>
      <c r="FE41" s="3"/>
      <c r="FF41" s="3"/>
      <c r="FG41" s="3"/>
      <c r="FH41" s="3"/>
      <c r="FI41" s="3"/>
      <c r="FJ41" s="3"/>
      <c r="FK41" s="3"/>
      <c r="FL41" s="3"/>
      <c r="FM41" s="3"/>
      <c r="FN41" s="3"/>
      <c r="FO41" s="3"/>
      <c r="FP41" s="3"/>
      <c r="FQ41" s="3"/>
      <c r="FR41" s="3"/>
      <c r="FS41" s="3"/>
      <c r="FT41" s="3"/>
      <c r="FU41" s="3"/>
      <c r="FV41" s="3"/>
      <c r="FW41" s="3"/>
      <c r="FX41" s="3"/>
      <c r="FY41" s="3"/>
      <c r="FZ41" s="3"/>
      <c r="GA41" s="3"/>
      <c r="GB41" s="3"/>
      <c r="GC41" s="3"/>
      <c r="GD41" s="3"/>
      <c r="GE41" s="3"/>
      <c r="GF41" s="3"/>
      <c r="GG41" s="3"/>
      <c r="GH41" s="3"/>
      <c r="GI41" s="3"/>
      <c r="GJ41" s="3"/>
      <c r="GK41" s="3"/>
      <c r="GL41" s="3"/>
      <c r="GM41" s="3"/>
      <c r="GN41" s="3"/>
      <c r="GO41" s="3"/>
      <c r="GP41" s="3"/>
      <c r="GQ41" s="3"/>
      <c r="GR41" s="3"/>
      <c r="GS41" s="3"/>
      <c r="GT41" s="3"/>
      <c r="GU41" s="3"/>
      <c r="GV41" s="3"/>
      <c r="GW41" s="3"/>
      <c r="GX41" s="3"/>
      <c r="GY41" s="3"/>
      <c r="GZ41" s="3"/>
      <c r="HA41" s="3"/>
      <c r="HB41" s="3"/>
      <c r="HC41" s="3"/>
      <c r="HD41" s="3"/>
      <c r="HE41" s="3"/>
      <c r="HF41" s="3"/>
      <c r="HG41" s="3"/>
      <c r="HH41" s="3"/>
      <c r="HI41" s="3"/>
      <c r="HJ41" s="3"/>
      <c r="HK41" s="3"/>
      <c r="HL41" s="3"/>
      <c r="HM41" s="3"/>
      <c r="HN41" s="3"/>
      <c r="HO41" s="3"/>
      <c r="HP41" s="3"/>
      <c r="HQ41" s="3"/>
      <c r="HR41" s="3"/>
      <c r="HS41" s="3"/>
      <c r="HT41" s="3"/>
      <c r="HU41" s="3"/>
      <c r="HV41" s="3"/>
      <c r="HW41" s="3"/>
      <c r="HX41" s="3"/>
      <c r="HY41" s="3"/>
      <c r="HZ41" s="3"/>
      <c r="IA41" s="3"/>
      <c r="IB41" s="3"/>
      <c r="IC41" s="3"/>
      <c r="ID41" s="3"/>
      <c r="IE41" s="3"/>
      <c r="IF41" s="3"/>
      <c r="IG41" s="3"/>
      <c r="IH41" s="3"/>
      <c r="II41" s="3"/>
      <c r="IJ41" s="3"/>
      <c r="IK41" s="3"/>
      <c r="IL41" s="3"/>
      <c r="IM41" s="3"/>
      <c r="IN41" s="3"/>
      <c r="IO41" s="3"/>
      <c r="IP41" s="3"/>
      <c r="IQ41" s="3"/>
      <c r="IR41" s="3"/>
      <c r="IS41" s="3"/>
      <c r="IT41" s="3"/>
      <c r="IU41" s="3"/>
      <c r="IV41" s="3"/>
      <c r="IW41" s="3"/>
      <c r="IX41" s="3"/>
      <c r="IY41" s="3"/>
      <c r="IZ41" s="3"/>
      <c r="JA41" s="3"/>
      <c r="JB41" s="3"/>
      <c r="JC41" s="3"/>
      <c r="JD41" s="3"/>
      <c r="JE41" s="3"/>
      <c r="JF41" s="3"/>
      <c r="JG41" s="3"/>
      <c r="JH41" s="3"/>
      <c r="JI41" s="3"/>
      <c r="JJ41" s="3"/>
      <c r="JK41" s="3"/>
      <c r="JL41" s="3"/>
      <c r="JM41" s="3"/>
      <c r="JN41" s="3"/>
      <c r="JO41" s="3"/>
      <c r="JP41" s="3"/>
      <c r="JQ41" s="3"/>
      <c r="JR41" s="3"/>
      <c r="JS41" s="3"/>
      <c r="JT41" s="3"/>
      <c r="JU41" s="3"/>
      <c r="JV41" s="3"/>
      <c r="JW41" s="3"/>
      <c r="JX41" s="3"/>
      <c r="JY41" s="3"/>
      <c r="JZ41" s="3"/>
      <c r="KA41" s="3"/>
      <c r="KB41" s="3"/>
      <c r="KC41" s="3"/>
      <c r="KD41" s="3"/>
      <c r="KE41" s="3"/>
      <c r="KF41" s="3"/>
      <c r="KG41" s="3"/>
      <c r="KH41" s="3"/>
      <c r="KI41" s="3"/>
      <c r="KJ41" s="3"/>
      <c r="KK41" s="3"/>
      <c r="KL41" s="3"/>
      <c r="KM41" s="3"/>
      <c r="KN41" s="3"/>
      <c r="KO41" s="3"/>
      <c r="KP41" s="3"/>
      <c r="KQ41" s="3"/>
      <c r="KR41" s="3"/>
      <c r="KS41" s="3"/>
      <c r="KT41" s="3"/>
      <c r="KU41" s="3"/>
      <c r="KV41" s="3"/>
      <c r="KW41" s="3"/>
      <c r="KX41" s="3"/>
      <c r="KY41" s="3"/>
      <c r="KZ41" s="3"/>
      <c r="LA41" s="3"/>
      <c r="LB41" s="3"/>
      <c r="LC41" s="3"/>
      <c r="LD41" s="3"/>
      <c r="LE41" s="3"/>
      <c r="LF41" s="3"/>
      <c r="LG41" s="3"/>
      <c r="LH41" s="3"/>
      <c r="LI41" s="3"/>
      <c r="LJ41" s="3"/>
      <c r="LK41" s="3"/>
      <c r="LL41" s="3"/>
      <c r="LM41" s="3"/>
      <c r="LN41" s="3"/>
      <c r="LO41" s="3"/>
      <c r="LP41" s="3"/>
      <c r="LQ41" s="3"/>
      <c r="LR41" s="3"/>
      <c r="LS41" s="3"/>
      <c r="LT41" s="3"/>
      <c r="LU41" s="3"/>
      <c r="LV41" s="3"/>
      <c r="LW41" s="3"/>
      <c r="LX41" s="3"/>
      <c r="LY41" s="3"/>
      <c r="LZ41" s="3"/>
      <c r="MA41" s="3"/>
      <c r="MB41" s="3"/>
      <c r="MC41" s="3"/>
      <c r="MD41" s="3"/>
      <c r="ME41" s="3"/>
      <c r="MF41" s="3"/>
      <c r="MG41" s="3"/>
      <c r="MH41" s="3"/>
      <c r="MI41" s="3"/>
      <c r="MJ41" s="3"/>
      <c r="MK41" s="3"/>
      <c r="ML41" s="3"/>
      <c r="MM41" s="3"/>
      <c r="MN41" s="3"/>
      <c r="MO41" s="3"/>
      <c r="MP41" s="3"/>
      <c r="MQ41" s="3"/>
      <c r="MR41" s="3"/>
      <c r="MS41" s="3"/>
      <c r="MT41" s="3"/>
      <c r="MU41" s="3"/>
      <c r="MV41" s="3"/>
      <c r="MW41" s="3"/>
      <c r="MX41" s="3"/>
      <c r="MY41" s="3"/>
      <c r="MZ41" s="3"/>
      <c r="NA41" s="3"/>
      <c r="NB41" s="3"/>
      <c r="NC41" s="3"/>
      <c r="ND41" s="3"/>
      <c r="NE41" s="3"/>
      <c r="NF41" s="3"/>
      <c r="NG41" s="3"/>
      <c r="NH41" s="3"/>
      <c r="NI41" s="3"/>
      <c r="NJ41" s="3"/>
      <c r="NK41" s="3"/>
      <c r="NL41" s="3"/>
      <c r="NM41" s="3"/>
      <c r="NN41" s="3"/>
      <c r="NO41" s="3"/>
      <c r="NP41" s="3"/>
      <c r="NQ41" s="3"/>
      <c r="NR41" s="3"/>
      <c r="NS41" s="3"/>
      <c r="NT41" s="3"/>
      <c r="NU41" s="3"/>
      <c r="NV41" s="3"/>
      <c r="NW41" s="3"/>
      <c r="NX41" s="3"/>
      <c r="NY41" s="3"/>
      <c r="NZ41" s="3"/>
      <c r="OA41" s="3"/>
      <c r="OB41" s="3"/>
      <c r="OC41" s="3"/>
      <c r="OD41" s="3"/>
      <c r="OE41" s="3"/>
      <c r="OF41" s="3"/>
      <c r="OG41" s="3"/>
      <c r="OH41" s="3"/>
      <c r="OI41" s="3"/>
      <c r="OJ41" s="3"/>
      <c r="OK41" s="3"/>
      <c r="OL41" s="3"/>
      <c r="OM41" s="3"/>
      <c r="ON41" s="3"/>
      <c r="OO41" s="3"/>
      <c r="OP41" s="3"/>
      <c r="OQ41" s="3"/>
      <c r="OR41" s="3"/>
      <c r="OS41" s="3"/>
      <c r="OT41" s="3"/>
      <c r="OU41" s="3"/>
      <c r="OV41" s="3"/>
      <c r="OW41" s="3"/>
      <c r="OX41" s="3"/>
      <c r="OY41" s="3"/>
      <c r="OZ41" s="3"/>
      <c r="PA41" s="3"/>
      <c r="PB41" s="3"/>
      <c r="PC41" s="3"/>
      <c r="PD41" s="3"/>
      <c r="PE41" s="3"/>
      <c r="PF41" s="3"/>
      <c r="PG41" s="3"/>
      <c r="PH41" s="3"/>
      <c r="PI41" s="3"/>
      <c r="PJ41" s="3"/>
      <c r="PK41" s="3"/>
      <c r="PL41" s="3"/>
      <c r="PM41" s="3"/>
      <c r="PN41" s="3"/>
      <c r="PO41" s="3"/>
      <c r="PP41" s="3"/>
      <c r="PQ41" s="3"/>
      <c r="PR41" s="3"/>
      <c r="PS41" s="3"/>
      <c r="PT41" s="3"/>
      <c r="PU41" s="3"/>
      <c r="PV41" s="3"/>
      <c r="PW41" s="3"/>
      <c r="PX41" s="3"/>
      <c r="PY41" s="3"/>
      <c r="PZ41" s="3"/>
      <c r="QA41" s="3"/>
      <c r="QB41" s="3"/>
      <c r="QC41" s="3"/>
      <c r="QD41" s="3"/>
      <c r="QE41" s="3"/>
      <c r="QF41" s="3"/>
      <c r="QG41" s="3"/>
      <c r="QH41" s="3"/>
      <c r="QI41" s="3"/>
      <c r="QJ41" s="3"/>
      <c r="QK41" s="3"/>
      <c r="QL41" s="3"/>
      <c r="QM41" s="3"/>
      <c r="QN41" s="3"/>
      <c r="QO41" s="3"/>
      <c r="QP41" s="3"/>
      <c r="QQ41" s="3"/>
      <c r="QR41" s="3"/>
      <c r="QS41" s="3"/>
      <c r="QT41" s="3"/>
      <c r="QU41" s="3"/>
      <c r="QV41" s="3"/>
      <c r="QW41" s="3"/>
      <c r="QX41" s="3"/>
      <c r="QY41" s="3"/>
      <c r="QZ41" s="3"/>
      <c r="RA41" s="3"/>
      <c r="RB41" s="3"/>
      <c r="RC41" s="3"/>
      <c r="RD41" s="3"/>
      <c r="RE41" s="3"/>
      <c r="RF41" s="3"/>
      <c r="RG41" s="3"/>
      <c r="RH41" s="3"/>
      <c r="RI41" s="3"/>
      <c r="RJ41" s="3"/>
      <c r="RK41" s="3"/>
      <c r="RL41" s="3"/>
      <c r="RM41" s="3"/>
      <c r="RN41" s="3"/>
      <c r="RO41" s="3"/>
      <c r="RP41" s="3"/>
      <c r="RQ41" s="3"/>
      <c r="RR41" s="3"/>
      <c r="RS41" s="3"/>
      <c r="RT41" s="3"/>
      <c r="RU41" s="3"/>
      <c r="RV41" s="3"/>
      <c r="RW41" s="3"/>
      <c r="RX41" s="3"/>
      <c r="RY41" s="3"/>
      <c r="RZ41" s="3"/>
      <c r="SA41" s="3"/>
      <c r="SB41" s="3"/>
      <c r="SC41" s="3"/>
      <c r="SD41" s="3"/>
      <c r="SE41" s="3"/>
      <c r="SF41" s="3"/>
      <c r="SG41" s="3"/>
      <c r="SH41" s="3"/>
      <c r="SI41" s="3"/>
      <c r="SJ41" s="3"/>
      <c r="SK41" s="3"/>
      <c r="SL41" s="3"/>
      <c r="SM41" s="3"/>
      <c r="SN41" s="3"/>
      <c r="SO41" s="3"/>
      <c r="SP41" s="3"/>
      <c r="SQ41" s="3"/>
      <c r="SR41" s="3"/>
      <c r="SS41" s="3"/>
      <c r="ST41" s="3"/>
      <c r="SU41" s="3"/>
      <c r="SV41" s="3"/>
      <c r="SW41" s="3"/>
      <c r="SX41" s="3"/>
      <c r="SY41" s="3"/>
      <c r="SZ41" s="3"/>
      <c r="TA41" s="3"/>
      <c r="TB41" s="3"/>
      <c r="TC41" s="3"/>
      <c r="TD41" s="3"/>
      <c r="TE41" s="3"/>
      <c r="TF41" s="3"/>
      <c r="TG41" s="3"/>
      <c r="TH41" s="3"/>
      <c r="TI41" s="3"/>
      <c r="TJ41" s="3"/>
      <c r="TK41" s="3"/>
      <c r="TL41" s="3"/>
      <c r="TM41" s="3"/>
      <c r="TN41" s="3"/>
      <c r="TO41" s="3"/>
      <c r="TP41" s="3"/>
      <c r="TQ41" s="3"/>
      <c r="TR41" s="3"/>
      <c r="TS41" s="3"/>
      <c r="TT41" s="3"/>
      <c r="TU41" s="3"/>
      <c r="TV41" s="3"/>
      <c r="TW41" s="3"/>
      <c r="TX41" s="3"/>
      <c r="TY41" s="3"/>
      <c r="TZ41" s="3"/>
      <c r="UA41" s="3"/>
      <c r="UB41" s="3"/>
      <c r="UC41" s="3"/>
      <c r="UD41" s="3"/>
      <c r="UE41" s="3"/>
      <c r="UF41" s="3"/>
      <c r="UG41" s="3"/>
      <c r="UH41" s="3"/>
      <c r="UI41" s="3"/>
      <c r="UJ41" s="3"/>
      <c r="UK41" s="3"/>
      <c r="UL41" s="3"/>
      <c r="UM41" s="3"/>
      <c r="UN41" s="3"/>
      <c r="UO41" s="3"/>
      <c r="UP41" s="3"/>
      <c r="UQ41" s="3"/>
      <c r="UR41" s="3"/>
      <c r="US41" s="3"/>
      <c r="UT41" s="3"/>
      <c r="UU41" s="3"/>
      <c r="UV41" s="3"/>
      <c r="UW41" s="3"/>
      <c r="UX41" s="3"/>
      <c r="UY41" s="3"/>
      <c r="UZ41" s="3"/>
      <c r="VA41" s="3"/>
      <c r="VB41" s="3"/>
      <c r="VC41" s="3"/>
      <c r="VD41" s="3"/>
      <c r="VE41" s="3"/>
      <c r="VF41" s="3"/>
      <c r="VG41" s="3"/>
      <c r="VH41" s="3"/>
      <c r="VI41" s="3"/>
      <c r="VJ41" s="3"/>
      <c r="VK41" s="3"/>
      <c r="VL41" s="3"/>
      <c r="VM41" s="3"/>
      <c r="VN41" s="3"/>
      <c r="VO41" s="3"/>
      <c r="VP41" s="3"/>
      <c r="VQ41" s="3"/>
      <c r="VR41" s="3"/>
      <c r="VS41" s="3"/>
      <c r="VT41" s="3"/>
      <c r="VU41" s="3"/>
      <c r="VV41" s="3"/>
      <c r="VW41" s="3"/>
      <c r="VX41" s="3"/>
      <c r="VY41" s="3"/>
      <c r="VZ41" s="3"/>
      <c r="WA41" s="3"/>
      <c r="WB41" s="3"/>
      <c r="WC41" s="3"/>
      <c r="WD41" s="3"/>
      <c r="WE41" s="3"/>
      <c r="WF41" s="3"/>
      <c r="WG41" s="3"/>
      <c r="WH41" s="3"/>
      <c r="WI41" s="3"/>
      <c r="WJ41" s="3"/>
      <c r="WK41" s="3"/>
      <c r="WL41" s="3"/>
      <c r="WM41" s="3"/>
      <c r="WN41" s="3"/>
      <c r="WO41" s="3"/>
      <c r="WP41" s="3"/>
      <c r="WQ41" s="3"/>
      <c r="WR41" s="3"/>
      <c r="WS41" s="3"/>
      <c r="WT41" s="3"/>
      <c r="WU41" s="3"/>
      <c r="WV41" s="3"/>
      <c r="WW41" s="3"/>
      <c r="WX41" s="3"/>
      <c r="WY41" s="3"/>
      <c r="WZ41" s="3"/>
      <c r="XA41" s="3"/>
      <c r="XB41" s="3"/>
      <c r="XC41" s="3"/>
      <c r="XD41" s="3"/>
      <c r="XE41" s="3"/>
      <c r="XF41" s="3"/>
      <c r="XG41" s="3"/>
      <c r="XH41" s="3"/>
      <c r="XI41" s="3"/>
      <c r="XJ41" s="3"/>
      <c r="XK41" s="3"/>
      <c r="XL41" s="3"/>
      <c r="XM41" s="3"/>
      <c r="XN41" s="3"/>
      <c r="XO41" s="3"/>
      <c r="XP41" s="3"/>
      <c r="XQ41" s="3"/>
      <c r="XR41" s="3"/>
      <c r="XS41" s="3"/>
      <c r="XT41" s="3"/>
      <c r="XU41" s="3"/>
      <c r="XV41" s="3"/>
      <c r="XW41" s="3"/>
      <c r="XX41" s="3"/>
      <c r="XY41" s="3"/>
      <c r="XZ41" s="3"/>
      <c r="YA41" s="3"/>
      <c r="YB41" s="3"/>
      <c r="YC41" s="3"/>
      <c r="YD41" s="3"/>
      <c r="YE41" s="3"/>
      <c r="YF41" s="3"/>
      <c r="YG41" s="3"/>
      <c r="YH41" s="3"/>
      <c r="YI41" s="3"/>
      <c r="YJ41" s="3"/>
      <c r="YK41" s="3"/>
      <c r="YL41" s="3"/>
      <c r="YM41" s="3"/>
      <c r="YN41" s="3"/>
      <c r="YO41" s="3"/>
      <c r="YP41" s="3"/>
      <c r="YQ41" s="3"/>
      <c r="YR41" s="3"/>
      <c r="YS41" s="3"/>
      <c r="YT41" s="3"/>
      <c r="YU41" s="3"/>
      <c r="YV41" s="3"/>
      <c r="YW41" s="3"/>
      <c r="YX41" s="3"/>
      <c r="YY41" s="3"/>
      <c r="YZ41" s="3"/>
      <c r="ZA41" s="3"/>
      <c r="ZB41" s="3"/>
      <c r="ZC41" s="3"/>
    </row>
    <row r="42" spans="1:679" s="2" customFormat="1" x14ac:dyDescent="0.45">
      <c r="A42" s="3" t="s">
        <v>11</v>
      </c>
      <c r="B42" s="4">
        <v>30834</v>
      </c>
      <c r="C42" s="7" t="s">
        <v>21</v>
      </c>
      <c r="D42" s="6" t="s">
        <v>56</v>
      </c>
      <c r="E42" s="3"/>
      <c r="F42" s="3">
        <v>5</v>
      </c>
      <c r="L42" s="3"/>
      <c r="M42" s="3"/>
      <c r="N42" s="48"/>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c r="DW42" s="3"/>
      <c r="DX42" s="3"/>
      <c r="DY42" s="3"/>
      <c r="DZ42" s="3"/>
      <c r="EA42" s="3"/>
      <c r="EB42" s="3"/>
      <c r="EC42" s="3"/>
      <c r="ED42" s="3"/>
      <c r="EE42" s="3"/>
      <c r="EF42" s="3"/>
      <c r="EG42" s="3"/>
      <c r="EH42" s="3"/>
      <c r="EI42" s="3"/>
      <c r="EJ42" s="3"/>
      <c r="EK42" s="3"/>
      <c r="EL42" s="3"/>
      <c r="EM42" s="3"/>
      <c r="EN42" s="3"/>
      <c r="EO42" s="3"/>
      <c r="EP42" s="3"/>
      <c r="EQ42" s="3"/>
      <c r="ER42" s="3"/>
      <c r="ES42" s="3"/>
      <c r="ET42" s="3"/>
      <c r="EU42" s="3"/>
      <c r="EV42" s="3"/>
      <c r="EW42" s="3"/>
      <c r="EX42" s="3"/>
      <c r="EY42" s="3"/>
      <c r="EZ42" s="3"/>
      <c r="FA42" s="3"/>
      <c r="FB42" s="3"/>
      <c r="FC42" s="3"/>
      <c r="FD42" s="3"/>
      <c r="FE42" s="3"/>
      <c r="FF42" s="3"/>
      <c r="FG42" s="3"/>
      <c r="FH42" s="3"/>
      <c r="FI42" s="3"/>
      <c r="FJ42" s="3"/>
      <c r="FK42" s="3"/>
      <c r="FL42" s="3"/>
      <c r="FM42" s="3"/>
      <c r="FN42" s="3"/>
      <c r="FO42" s="3"/>
      <c r="FP42" s="3"/>
      <c r="FQ42" s="3"/>
      <c r="FR42" s="3"/>
      <c r="FS42" s="3"/>
      <c r="FT42" s="3"/>
      <c r="FU42" s="3"/>
      <c r="FV42" s="3"/>
      <c r="FW42" s="3"/>
      <c r="FX42" s="3"/>
      <c r="FY42" s="3"/>
      <c r="FZ42" s="3"/>
      <c r="GA42" s="3"/>
      <c r="GB42" s="3"/>
      <c r="GC42" s="3"/>
      <c r="GD42" s="3"/>
      <c r="GE42" s="3"/>
      <c r="GF42" s="3"/>
      <c r="GG42" s="3"/>
      <c r="GH42" s="3"/>
      <c r="GI42" s="3"/>
      <c r="GJ42" s="3"/>
      <c r="GK42" s="3"/>
      <c r="GL42" s="3"/>
      <c r="GM42" s="3"/>
      <c r="GN42" s="3"/>
      <c r="GO42" s="3"/>
      <c r="GP42" s="3"/>
      <c r="GQ42" s="3"/>
      <c r="GR42" s="3"/>
      <c r="GS42" s="3"/>
      <c r="GT42" s="3"/>
      <c r="GU42" s="3"/>
      <c r="GV42" s="3"/>
      <c r="GW42" s="3"/>
      <c r="GX42" s="3"/>
      <c r="GY42" s="3"/>
      <c r="GZ42" s="3"/>
      <c r="HA42" s="3"/>
      <c r="HB42" s="3"/>
      <c r="HC42" s="3"/>
      <c r="HD42" s="3"/>
      <c r="HE42" s="3"/>
      <c r="HF42" s="3"/>
      <c r="HG42" s="3"/>
      <c r="HH42" s="3"/>
      <c r="HI42" s="3"/>
      <c r="HJ42" s="3"/>
      <c r="HK42" s="3"/>
      <c r="HL42" s="3"/>
      <c r="HM42" s="3"/>
      <c r="HN42" s="3"/>
      <c r="HO42" s="3"/>
      <c r="HP42" s="3"/>
      <c r="HQ42" s="3"/>
      <c r="HR42" s="3"/>
      <c r="HS42" s="3"/>
      <c r="HT42" s="3"/>
      <c r="HU42" s="3"/>
      <c r="HV42" s="3"/>
      <c r="HW42" s="3"/>
      <c r="HX42" s="3"/>
      <c r="HY42" s="3"/>
      <c r="HZ42" s="3"/>
      <c r="IA42" s="3"/>
      <c r="IB42" s="3"/>
      <c r="IC42" s="3"/>
      <c r="ID42" s="3"/>
      <c r="IE42" s="3"/>
      <c r="IF42" s="3"/>
      <c r="IG42" s="3"/>
      <c r="IH42" s="3"/>
      <c r="II42" s="3"/>
      <c r="IJ42" s="3"/>
      <c r="IK42" s="3"/>
      <c r="IL42" s="3"/>
      <c r="IM42" s="3"/>
      <c r="IN42" s="3"/>
      <c r="IO42" s="3"/>
      <c r="IP42" s="3"/>
      <c r="IQ42" s="3"/>
      <c r="IR42" s="3"/>
      <c r="IS42" s="3"/>
      <c r="IT42" s="3"/>
      <c r="IU42" s="3"/>
      <c r="IV42" s="3"/>
      <c r="IW42" s="3"/>
      <c r="IX42" s="3"/>
      <c r="IY42" s="3"/>
      <c r="IZ42" s="3"/>
      <c r="JA42" s="3"/>
      <c r="JB42" s="3"/>
      <c r="JC42" s="3"/>
      <c r="JD42" s="3"/>
      <c r="JE42" s="3"/>
      <c r="JF42" s="3"/>
      <c r="JG42" s="3"/>
      <c r="JH42" s="3"/>
      <c r="JI42" s="3"/>
      <c r="JJ42" s="3"/>
      <c r="JK42" s="3"/>
      <c r="JL42" s="3"/>
      <c r="JM42" s="3"/>
      <c r="JN42" s="3"/>
      <c r="JO42" s="3"/>
      <c r="JP42" s="3"/>
      <c r="JQ42" s="3"/>
      <c r="JR42" s="3"/>
      <c r="JS42" s="3"/>
      <c r="JT42" s="3"/>
      <c r="JU42" s="3"/>
      <c r="JV42" s="3"/>
      <c r="JW42" s="3"/>
      <c r="JX42" s="3"/>
      <c r="JY42" s="3"/>
      <c r="JZ42" s="3"/>
      <c r="KA42" s="3"/>
      <c r="KB42" s="3"/>
      <c r="KC42" s="3"/>
      <c r="KD42" s="3"/>
      <c r="KE42" s="3"/>
      <c r="KF42" s="3"/>
      <c r="KG42" s="3"/>
      <c r="KH42" s="3"/>
      <c r="KI42" s="3"/>
      <c r="KJ42" s="3"/>
      <c r="KK42" s="3"/>
      <c r="KL42" s="3"/>
      <c r="KM42" s="3"/>
      <c r="KN42" s="3"/>
      <c r="KO42" s="3"/>
      <c r="KP42" s="3"/>
      <c r="KQ42" s="3"/>
      <c r="KR42" s="3"/>
      <c r="KS42" s="3"/>
      <c r="KT42" s="3"/>
      <c r="KU42" s="3"/>
      <c r="KV42" s="3"/>
      <c r="KW42" s="3"/>
      <c r="KX42" s="3"/>
      <c r="KY42" s="3"/>
      <c r="KZ42" s="3"/>
      <c r="LA42" s="3"/>
      <c r="LB42" s="3"/>
      <c r="LC42" s="3"/>
      <c r="LD42" s="3"/>
      <c r="LE42" s="3"/>
      <c r="LF42" s="3"/>
      <c r="LG42" s="3"/>
      <c r="LH42" s="3"/>
      <c r="LI42" s="3"/>
      <c r="LJ42" s="3"/>
      <c r="LK42" s="3"/>
      <c r="LL42" s="3"/>
      <c r="LM42" s="3"/>
      <c r="LN42" s="3"/>
      <c r="LO42" s="3"/>
      <c r="LP42" s="3"/>
      <c r="LQ42" s="3"/>
      <c r="LR42" s="3"/>
      <c r="LS42" s="3"/>
      <c r="LT42" s="3"/>
      <c r="LU42" s="3"/>
      <c r="LV42" s="3"/>
      <c r="LW42" s="3"/>
      <c r="LX42" s="3"/>
      <c r="LY42" s="3"/>
      <c r="LZ42" s="3"/>
      <c r="MA42" s="3"/>
      <c r="MB42" s="3"/>
      <c r="MC42" s="3"/>
      <c r="MD42" s="3"/>
      <c r="ME42" s="3"/>
      <c r="MF42" s="3"/>
      <c r="MG42" s="3"/>
      <c r="MH42" s="3"/>
      <c r="MI42" s="3"/>
      <c r="MJ42" s="3"/>
      <c r="MK42" s="3"/>
      <c r="ML42" s="3"/>
      <c r="MM42" s="3"/>
      <c r="MN42" s="3"/>
      <c r="MO42" s="3"/>
      <c r="MP42" s="3"/>
      <c r="MQ42" s="3"/>
      <c r="MR42" s="3"/>
      <c r="MS42" s="3"/>
      <c r="MT42" s="3"/>
      <c r="MU42" s="3"/>
      <c r="MV42" s="3"/>
      <c r="MW42" s="3"/>
      <c r="MX42" s="3"/>
      <c r="MY42" s="3"/>
      <c r="MZ42" s="3"/>
      <c r="NA42" s="3"/>
      <c r="NB42" s="3"/>
      <c r="NC42" s="3"/>
      <c r="ND42" s="3"/>
      <c r="NE42" s="3"/>
      <c r="NF42" s="3"/>
      <c r="NG42" s="3"/>
      <c r="NH42" s="3"/>
      <c r="NI42" s="3"/>
      <c r="NJ42" s="3"/>
      <c r="NK42" s="3"/>
      <c r="NL42" s="3"/>
      <c r="NM42" s="3"/>
      <c r="NN42" s="3"/>
      <c r="NO42" s="3"/>
      <c r="NP42" s="3"/>
      <c r="NQ42" s="3"/>
      <c r="NR42" s="3"/>
      <c r="NS42" s="3"/>
      <c r="NT42" s="3"/>
      <c r="NU42" s="3"/>
      <c r="NV42" s="3"/>
      <c r="NW42" s="3"/>
      <c r="NX42" s="3"/>
      <c r="NY42" s="3"/>
      <c r="NZ42" s="3"/>
      <c r="OA42" s="3"/>
      <c r="OB42" s="3"/>
      <c r="OC42" s="3"/>
      <c r="OD42" s="3"/>
      <c r="OE42" s="3"/>
      <c r="OF42" s="3"/>
      <c r="OG42" s="3"/>
      <c r="OH42" s="3"/>
      <c r="OI42" s="3"/>
      <c r="OJ42" s="3"/>
      <c r="OK42" s="3"/>
      <c r="OL42" s="3"/>
      <c r="OM42" s="3"/>
      <c r="ON42" s="3"/>
      <c r="OO42" s="3"/>
      <c r="OP42" s="3"/>
      <c r="OQ42" s="3"/>
      <c r="OR42" s="3"/>
      <c r="OS42" s="3"/>
      <c r="OT42" s="3"/>
      <c r="OU42" s="3"/>
      <c r="OV42" s="3"/>
      <c r="OW42" s="3"/>
      <c r="OX42" s="3"/>
      <c r="OY42" s="3"/>
      <c r="OZ42" s="3"/>
      <c r="PA42" s="3"/>
      <c r="PB42" s="3"/>
      <c r="PC42" s="3"/>
      <c r="PD42" s="3"/>
      <c r="PE42" s="3"/>
      <c r="PF42" s="3"/>
      <c r="PG42" s="3"/>
      <c r="PH42" s="3"/>
      <c r="PI42" s="3"/>
      <c r="PJ42" s="3"/>
      <c r="PK42" s="3"/>
      <c r="PL42" s="3"/>
      <c r="PM42" s="3"/>
      <c r="PN42" s="3"/>
      <c r="PO42" s="3"/>
      <c r="PP42" s="3"/>
      <c r="PQ42" s="3"/>
      <c r="PR42" s="3"/>
      <c r="PS42" s="3"/>
      <c r="PT42" s="3"/>
      <c r="PU42" s="3"/>
      <c r="PV42" s="3"/>
      <c r="PW42" s="3"/>
      <c r="PX42" s="3"/>
      <c r="PY42" s="3"/>
      <c r="PZ42" s="3"/>
      <c r="QA42" s="3"/>
      <c r="QB42" s="3"/>
      <c r="QC42" s="3"/>
      <c r="QD42" s="3"/>
      <c r="QE42" s="3"/>
      <c r="QF42" s="3"/>
      <c r="QG42" s="3"/>
      <c r="QH42" s="3"/>
      <c r="QI42" s="3"/>
      <c r="QJ42" s="3"/>
      <c r="QK42" s="3"/>
      <c r="QL42" s="3"/>
      <c r="QM42" s="3"/>
      <c r="QN42" s="3"/>
      <c r="QO42" s="3"/>
      <c r="QP42" s="3"/>
      <c r="QQ42" s="3"/>
      <c r="QR42" s="3"/>
      <c r="QS42" s="3"/>
      <c r="QT42" s="3"/>
      <c r="QU42" s="3"/>
      <c r="QV42" s="3"/>
      <c r="QW42" s="3"/>
      <c r="QX42" s="3"/>
      <c r="QY42" s="3"/>
      <c r="QZ42" s="3"/>
      <c r="RA42" s="3"/>
      <c r="RB42" s="3"/>
      <c r="RC42" s="3"/>
      <c r="RD42" s="3"/>
      <c r="RE42" s="3"/>
      <c r="RF42" s="3"/>
      <c r="RG42" s="3"/>
      <c r="RH42" s="3"/>
      <c r="RI42" s="3"/>
      <c r="RJ42" s="3"/>
      <c r="RK42" s="3"/>
      <c r="RL42" s="3"/>
      <c r="RM42" s="3"/>
      <c r="RN42" s="3"/>
      <c r="RO42" s="3"/>
      <c r="RP42" s="3"/>
      <c r="RQ42" s="3"/>
      <c r="RR42" s="3"/>
      <c r="RS42" s="3"/>
      <c r="RT42" s="3"/>
      <c r="RU42" s="3"/>
      <c r="RV42" s="3"/>
      <c r="RW42" s="3"/>
      <c r="RX42" s="3"/>
      <c r="RY42" s="3"/>
      <c r="RZ42" s="3"/>
      <c r="SA42" s="3"/>
      <c r="SB42" s="3"/>
      <c r="SC42" s="3"/>
      <c r="SD42" s="3"/>
      <c r="SE42" s="3"/>
      <c r="SF42" s="3"/>
      <c r="SG42" s="3"/>
      <c r="SH42" s="3"/>
      <c r="SI42" s="3"/>
      <c r="SJ42" s="3"/>
      <c r="SK42" s="3"/>
      <c r="SL42" s="3"/>
      <c r="SM42" s="3"/>
      <c r="SN42" s="3"/>
      <c r="SO42" s="3"/>
      <c r="SP42" s="3"/>
      <c r="SQ42" s="3"/>
      <c r="SR42" s="3"/>
      <c r="SS42" s="3"/>
      <c r="ST42" s="3"/>
      <c r="SU42" s="3"/>
      <c r="SV42" s="3"/>
      <c r="SW42" s="3"/>
      <c r="SX42" s="3"/>
      <c r="SY42" s="3"/>
      <c r="SZ42" s="3"/>
      <c r="TA42" s="3"/>
      <c r="TB42" s="3"/>
      <c r="TC42" s="3"/>
      <c r="TD42" s="3"/>
      <c r="TE42" s="3"/>
      <c r="TF42" s="3"/>
      <c r="TG42" s="3"/>
      <c r="TH42" s="3"/>
      <c r="TI42" s="3"/>
      <c r="TJ42" s="3"/>
      <c r="TK42" s="3"/>
      <c r="TL42" s="3"/>
      <c r="TM42" s="3"/>
      <c r="TN42" s="3"/>
      <c r="TO42" s="3"/>
      <c r="TP42" s="3"/>
      <c r="TQ42" s="3"/>
      <c r="TR42" s="3"/>
      <c r="TS42" s="3"/>
      <c r="TT42" s="3"/>
      <c r="TU42" s="3"/>
      <c r="TV42" s="3"/>
      <c r="TW42" s="3"/>
      <c r="TX42" s="3"/>
      <c r="TY42" s="3"/>
      <c r="TZ42" s="3"/>
      <c r="UA42" s="3"/>
      <c r="UB42" s="3"/>
      <c r="UC42" s="3"/>
      <c r="UD42" s="3"/>
      <c r="UE42" s="3"/>
      <c r="UF42" s="3"/>
      <c r="UG42" s="3"/>
      <c r="UH42" s="3"/>
      <c r="UI42" s="3"/>
      <c r="UJ42" s="3"/>
      <c r="UK42" s="3"/>
      <c r="UL42" s="3"/>
      <c r="UM42" s="3"/>
      <c r="UN42" s="3"/>
      <c r="UO42" s="3"/>
      <c r="UP42" s="3"/>
      <c r="UQ42" s="3"/>
      <c r="UR42" s="3"/>
      <c r="US42" s="3"/>
      <c r="UT42" s="3"/>
      <c r="UU42" s="3"/>
      <c r="UV42" s="3"/>
      <c r="UW42" s="3"/>
      <c r="UX42" s="3"/>
      <c r="UY42" s="3"/>
      <c r="UZ42" s="3"/>
      <c r="VA42" s="3"/>
      <c r="VB42" s="3"/>
      <c r="VC42" s="3"/>
      <c r="VD42" s="3"/>
      <c r="VE42" s="3"/>
      <c r="VF42" s="3"/>
      <c r="VG42" s="3"/>
      <c r="VH42" s="3"/>
      <c r="VI42" s="3"/>
      <c r="VJ42" s="3"/>
      <c r="VK42" s="3"/>
      <c r="VL42" s="3"/>
      <c r="VM42" s="3"/>
      <c r="VN42" s="3"/>
      <c r="VO42" s="3"/>
      <c r="VP42" s="3"/>
      <c r="VQ42" s="3"/>
      <c r="VR42" s="3"/>
      <c r="VS42" s="3"/>
      <c r="VT42" s="3"/>
      <c r="VU42" s="3"/>
      <c r="VV42" s="3"/>
      <c r="VW42" s="3"/>
      <c r="VX42" s="3"/>
      <c r="VY42" s="3"/>
      <c r="VZ42" s="3"/>
      <c r="WA42" s="3"/>
      <c r="WB42" s="3"/>
      <c r="WC42" s="3"/>
      <c r="WD42" s="3"/>
      <c r="WE42" s="3"/>
      <c r="WF42" s="3"/>
      <c r="WG42" s="3"/>
      <c r="WH42" s="3"/>
      <c r="WI42" s="3"/>
      <c r="WJ42" s="3"/>
      <c r="WK42" s="3"/>
      <c r="WL42" s="3"/>
      <c r="WM42" s="3"/>
      <c r="WN42" s="3"/>
      <c r="WO42" s="3"/>
      <c r="WP42" s="3"/>
      <c r="WQ42" s="3"/>
      <c r="WR42" s="3"/>
      <c r="WS42" s="3"/>
      <c r="WT42" s="3"/>
      <c r="WU42" s="3"/>
      <c r="WV42" s="3"/>
      <c r="WW42" s="3"/>
      <c r="WX42" s="3"/>
      <c r="WY42" s="3"/>
      <c r="WZ42" s="3"/>
      <c r="XA42" s="3"/>
      <c r="XB42" s="3"/>
      <c r="XC42" s="3"/>
      <c r="XD42" s="3"/>
      <c r="XE42" s="3"/>
      <c r="XF42" s="3"/>
      <c r="XG42" s="3"/>
      <c r="XH42" s="3"/>
      <c r="XI42" s="3"/>
      <c r="XJ42" s="3"/>
      <c r="XK42" s="3"/>
      <c r="XL42" s="3"/>
      <c r="XM42" s="3"/>
      <c r="XN42" s="3"/>
      <c r="XO42" s="3"/>
      <c r="XP42" s="3"/>
      <c r="XQ42" s="3"/>
      <c r="XR42" s="3"/>
      <c r="XS42" s="3"/>
      <c r="XT42" s="3"/>
      <c r="XU42" s="3"/>
      <c r="XV42" s="3"/>
      <c r="XW42" s="3"/>
      <c r="XX42" s="3"/>
      <c r="XY42" s="3"/>
      <c r="XZ42" s="3"/>
      <c r="YA42" s="3"/>
      <c r="YB42" s="3"/>
      <c r="YC42" s="3"/>
      <c r="YD42" s="3"/>
      <c r="YE42" s="3"/>
      <c r="YF42" s="3"/>
      <c r="YG42" s="3"/>
      <c r="YH42" s="3"/>
      <c r="YI42" s="3"/>
      <c r="YJ42" s="3"/>
      <c r="YK42" s="3"/>
      <c r="YL42" s="3"/>
      <c r="YM42" s="3"/>
      <c r="YN42" s="3"/>
      <c r="YO42" s="3"/>
      <c r="YP42" s="3"/>
      <c r="YQ42" s="3"/>
      <c r="YR42" s="3"/>
      <c r="YS42" s="3"/>
      <c r="YT42" s="3"/>
      <c r="YU42" s="3"/>
      <c r="YV42" s="3"/>
      <c r="YW42" s="3"/>
      <c r="YX42" s="3"/>
      <c r="YY42" s="3"/>
      <c r="YZ42" s="3"/>
      <c r="ZA42" s="3"/>
      <c r="ZB42" s="3"/>
      <c r="ZC42" s="3"/>
    </row>
    <row r="43" spans="1:679" s="2" customFormat="1" x14ac:dyDescent="0.45">
      <c r="A43" s="3" t="s">
        <v>11</v>
      </c>
      <c r="B43" s="4">
        <v>30986</v>
      </c>
      <c r="C43" s="7" t="s">
        <v>25</v>
      </c>
      <c r="D43" s="6" t="s">
        <v>57</v>
      </c>
      <c r="E43" s="3"/>
      <c r="F43" s="3">
        <v>4</v>
      </c>
      <c r="L43" s="3"/>
      <c r="M43" s="3"/>
      <c r="N43" s="48"/>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c r="EU43" s="3"/>
      <c r="EV43" s="3"/>
      <c r="EW43" s="3"/>
      <c r="EX43" s="3"/>
      <c r="EY43" s="3"/>
      <c r="EZ43" s="3"/>
      <c r="FA43" s="3"/>
      <c r="FB43" s="3"/>
      <c r="FC43" s="3"/>
      <c r="FD43" s="3"/>
      <c r="FE43" s="3"/>
      <c r="FF43" s="3"/>
      <c r="FG43" s="3"/>
      <c r="FH43" s="3"/>
      <c r="FI43" s="3"/>
      <c r="FJ43" s="3"/>
      <c r="FK43" s="3"/>
      <c r="FL43" s="3"/>
      <c r="FM43" s="3"/>
      <c r="FN43" s="3"/>
      <c r="FO43" s="3"/>
      <c r="FP43" s="3"/>
      <c r="FQ43" s="3"/>
      <c r="FR43" s="3"/>
      <c r="FS43" s="3"/>
      <c r="FT43" s="3"/>
      <c r="FU43" s="3"/>
      <c r="FV43" s="3"/>
      <c r="FW43" s="3"/>
      <c r="FX43" s="3"/>
      <c r="FY43" s="3"/>
      <c r="FZ43" s="3"/>
      <c r="GA43" s="3"/>
      <c r="GB43" s="3"/>
      <c r="GC43" s="3"/>
      <c r="GD43" s="3"/>
      <c r="GE43" s="3"/>
      <c r="GF43" s="3"/>
      <c r="GG43" s="3"/>
      <c r="GH43" s="3"/>
      <c r="GI43" s="3"/>
      <c r="GJ43" s="3"/>
      <c r="GK43" s="3"/>
      <c r="GL43" s="3"/>
      <c r="GM43" s="3"/>
      <c r="GN43" s="3"/>
      <c r="GO43" s="3"/>
      <c r="GP43" s="3"/>
      <c r="GQ43" s="3"/>
      <c r="GR43" s="3"/>
      <c r="GS43" s="3"/>
      <c r="GT43" s="3"/>
      <c r="GU43" s="3"/>
      <c r="GV43" s="3"/>
      <c r="GW43" s="3"/>
      <c r="GX43" s="3"/>
      <c r="GY43" s="3"/>
      <c r="GZ43" s="3"/>
      <c r="HA43" s="3"/>
      <c r="HB43" s="3"/>
      <c r="HC43" s="3"/>
      <c r="HD43" s="3"/>
      <c r="HE43" s="3"/>
      <c r="HF43" s="3"/>
      <c r="HG43" s="3"/>
      <c r="HH43" s="3"/>
      <c r="HI43" s="3"/>
      <c r="HJ43" s="3"/>
      <c r="HK43" s="3"/>
      <c r="HL43" s="3"/>
      <c r="HM43" s="3"/>
      <c r="HN43" s="3"/>
      <c r="HO43" s="3"/>
      <c r="HP43" s="3"/>
      <c r="HQ43" s="3"/>
      <c r="HR43" s="3"/>
      <c r="HS43" s="3"/>
      <c r="HT43" s="3"/>
      <c r="HU43" s="3"/>
      <c r="HV43" s="3"/>
      <c r="HW43" s="3"/>
      <c r="HX43" s="3"/>
      <c r="HY43" s="3"/>
      <c r="HZ43" s="3"/>
      <c r="IA43" s="3"/>
      <c r="IB43" s="3"/>
      <c r="IC43" s="3"/>
      <c r="ID43" s="3"/>
      <c r="IE43" s="3"/>
      <c r="IF43" s="3"/>
      <c r="IG43" s="3"/>
      <c r="IH43" s="3"/>
      <c r="II43" s="3"/>
      <c r="IJ43" s="3"/>
      <c r="IK43" s="3"/>
      <c r="IL43" s="3"/>
      <c r="IM43" s="3"/>
      <c r="IN43" s="3"/>
      <c r="IO43" s="3"/>
      <c r="IP43" s="3"/>
      <c r="IQ43" s="3"/>
      <c r="IR43" s="3"/>
      <c r="IS43" s="3"/>
      <c r="IT43" s="3"/>
      <c r="IU43" s="3"/>
      <c r="IV43" s="3"/>
      <c r="IW43" s="3"/>
      <c r="IX43" s="3"/>
      <c r="IY43" s="3"/>
      <c r="IZ43" s="3"/>
      <c r="JA43" s="3"/>
      <c r="JB43" s="3"/>
      <c r="JC43" s="3"/>
      <c r="JD43" s="3"/>
      <c r="JE43" s="3"/>
      <c r="JF43" s="3"/>
      <c r="JG43" s="3"/>
      <c r="JH43" s="3"/>
      <c r="JI43" s="3"/>
      <c r="JJ43" s="3"/>
      <c r="JK43" s="3"/>
      <c r="JL43" s="3"/>
      <c r="JM43" s="3"/>
      <c r="JN43" s="3"/>
      <c r="JO43" s="3"/>
      <c r="JP43" s="3"/>
      <c r="JQ43" s="3"/>
      <c r="JR43" s="3"/>
      <c r="JS43" s="3"/>
      <c r="JT43" s="3"/>
      <c r="JU43" s="3"/>
      <c r="JV43" s="3"/>
      <c r="JW43" s="3"/>
      <c r="JX43" s="3"/>
      <c r="JY43" s="3"/>
      <c r="JZ43" s="3"/>
      <c r="KA43" s="3"/>
      <c r="KB43" s="3"/>
      <c r="KC43" s="3"/>
      <c r="KD43" s="3"/>
      <c r="KE43" s="3"/>
      <c r="KF43" s="3"/>
      <c r="KG43" s="3"/>
      <c r="KH43" s="3"/>
      <c r="KI43" s="3"/>
      <c r="KJ43" s="3"/>
      <c r="KK43" s="3"/>
      <c r="KL43" s="3"/>
      <c r="KM43" s="3"/>
      <c r="KN43" s="3"/>
      <c r="KO43" s="3"/>
      <c r="KP43" s="3"/>
      <c r="KQ43" s="3"/>
      <c r="KR43" s="3"/>
      <c r="KS43" s="3"/>
      <c r="KT43" s="3"/>
      <c r="KU43" s="3"/>
      <c r="KV43" s="3"/>
      <c r="KW43" s="3"/>
      <c r="KX43" s="3"/>
      <c r="KY43" s="3"/>
      <c r="KZ43" s="3"/>
      <c r="LA43" s="3"/>
      <c r="LB43" s="3"/>
      <c r="LC43" s="3"/>
      <c r="LD43" s="3"/>
      <c r="LE43" s="3"/>
      <c r="LF43" s="3"/>
      <c r="LG43" s="3"/>
      <c r="LH43" s="3"/>
      <c r="LI43" s="3"/>
      <c r="LJ43" s="3"/>
      <c r="LK43" s="3"/>
      <c r="LL43" s="3"/>
      <c r="LM43" s="3"/>
      <c r="LN43" s="3"/>
      <c r="LO43" s="3"/>
      <c r="LP43" s="3"/>
      <c r="LQ43" s="3"/>
      <c r="LR43" s="3"/>
      <c r="LS43" s="3"/>
      <c r="LT43" s="3"/>
      <c r="LU43" s="3"/>
      <c r="LV43" s="3"/>
      <c r="LW43" s="3"/>
      <c r="LX43" s="3"/>
      <c r="LY43" s="3"/>
      <c r="LZ43" s="3"/>
      <c r="MA43" s="3"/>
      <c r="MB43" s="3"/>
      <c r="MC43" s="3"/>
      <c r="MD43" s="3"/>
      <c r="ME43" s="3"/>
      <c r="MF43" s="3"/>
      <c r="MG43" s="3"/>
      <c r="MH43" s="3"/>
      <c r="MI43" s="3"/>
      <c r="MJ43" s="3"/>
      <c r="MK43" s="3"/>
      <c r="ML43" s="3"/>
      <c r="MM43" s="3"/>
      <c r="MN43" s="3"/>
      <c r="MO43" s="3"/>
      <c r="MP43" s="3"/>
      <c r="MQ43" s="3"/>
      <c r="MR43" s="3"/>
      <c r="MS43" s="3"/>
      <c r="MT43" s="3"/>
      <c r="MU43" s="3"/>
      <c r="MV43" s="3"/>
      <c r="MW43" s="3"/>
      <c r="MX43" s="3"/>
      <c r="MY43" s="3"/>
      <c r="MZ43" s="3"/>
      <c r="NA43" s="3"/>
      <c r="NB43" s="3"/>
      <c r="NC43" s="3"/>
      <c r="ND43" s="3"/>
      <c r="NE43" s="3"/>
      <c r="NF43" s="3"/>
      <c r="NG43" s="3"/>
      <c r="NH43" s="3"/>
      <c r="NI43" s="3"/>
      <c r="NJ43" s="3"/>
      <c r="NK43" s="3"/>
      <c r="NL43" s="3"/>
      <c r="NM43" s="3"/>
      <c r="NN43" s="3"/>
      <c r="NO43" s="3"/>
      <c r="NP43" s="3"/>
      <c r="NQ43" s="3"/>
      <c r="NR43" s="3"/>
      <c r="NS43" s="3"/>
      <c r="NT43" s="3"/>
      <c r="NU43" s="3"/>
      <c r="NV43" s="3"/>
      <c r="NW43" s="3"/>
      <c r="NX43" s="3"/>
      <c r="NY43" s="3"/>
      <c r="NZ43" s="3"/>
      <c r="OA43" s="3"/>
      <c r="OB43" s="3"/>
      <c r="OC43" s="3"/>
      <c r="OD43" s="3"/>
      <c r="OE43" s="3"/>
      <c r="OF43" s="3"/>
      <c r="OG43" s="3"/>
      <c r="OH43" s="3"/>
      <c r="OI43" s="3"/>
      <c r="OJ43" s="3"/>
      <c r="OK43" s="3"/>
      <c r="OL43" s="3"/>
      <c r="OM43" s="3"/>
      <c r="ON43" s="3"/>
      <c r="OO43" s="3"/>
      <c r="OP43" s="3"/>
      <c r="OQ43" s="3"/>
      <c r="OR43" s="3"/>
      <c r="OS43" s="3"/>
      <c r="OT43" s="3"/>
      <c r="OU43" s="3"/>
      <c r="OV43" s="3"/>
      <c r="OW43" s="3"/>
      <c r="OX43" s="3"/>
      <c r="OY43" s="3"/>
      <c r="OZ43" s="3"/>
      <c r="PA43" s="3"/>
      <c r="PB43" s="3"/>
      <c r="PC43" s="3"/>
      <c r="PD43" s="3"/>
      <c r="PE43" s="3"/>
      <c r="PF43" s="3"/>
      <c r="PG43" s="3"/>
      <c r="PH43" s="3"/>
      <c r="PI43" s="3"/>
      <c r="PJ43" s="3"/>
      <c r="PK43" s="3"/>
      <c r="PL43" s="3"/>
      <c r="PM43" s="3"/>
      <c r="PN43" s="3"/>
      <c r="PO43" s="3"/>
      <c r="PP43" s="3"/>
      <c r="PQ43" s="3"/>
      <c r="PR43" s="3"/>
      <c r="PS43" s="3"/>
      <c r="PT43" s="3"/>
      <c r="PU43" s="3"/>
      <c r="PV43" s="3"/>
      <c r="PW43" s="3"/>
      <c r="PX43" s="3"/>
      <c r="PY43" s="3"/>
      <c r="PZ43" s="3"/>
      <c r="QA43" s="3"/>
      <c r="QB43" s="3"/>
      <c r="QC43" s="3"/>
      <c r="QD43" s="3"/>
      <c r="QE43" s="3"/>
      <c r="QF43" s="3"/>
      <c r="QG43" s="3"/>
      <c r="QH43" s="3"/>
      <c r="QI43" s="3"/>
      <c r="QJ43" s="3"/>
      <c r="QK43" s="3"/>
      <c r="QL43" s="3"/>
      <c r="QM43" s="3"/>
      <c r="QN43" s="3"/>
      <c r="QO43" s="3"/>
      <c r="QP43" s="3"/>
      <c r="QQ43" s="3"/>
      <c r="QR43" s="3"/>
      <c r="QS43" s="3"/>
      <c r="QT43" s="3"/>
      <c r="QU43" s="3"/>
      <c r="QV43" s="3"/>
      <c r="QW43" s="3"/>
      <c r="QX43" s="3"/>
      <c r="QY43" s="3"/>
      <c r="QZ43" s="3"/>
      <c r="RA43" s="3"/>
      <c r="RB43" s="3"/>
      <c r="RC43" s="3"/>
      <c r="RD43" s="3"/>
      <c r="RE43" s="3"/>
      <c r="RF43" s="3"/>
      <c r="RG43" s="3"/>
      <c r="RH43" s="3"/>
      <c r="RI43" s="3"/>
      <c r="RJ43" s="3"/>
      <c r="RK43" s="3"/>
      <c r="RL43" s="3"/>
      <c r="RM43" s="3"/>
      <c r="RN43" s="3"/>
      <c r="RO43" s="3"/>
      <c r="RP43" s="3"/>
      <c r="RQ43" s="3"/>
      <c r="RR43" s="3"/>
      <c r="RS43" s="3"/>
      <c r="RT43" s="3"/>
      <c r="RU43" s="3"/>
      <c r="RV43" s="3"/>
      <c r="RW43" s="3"/>
      <c r="RX43" s="3"/>
      <c r="RY43" s="3"/>
      <c r="RZ43" s="3"/>
      <c r="SA43" s="3"/>
      <c r="SB43" s="3"/>
      <c r="SC43" s="3"/>
      <c r="SD43" s="3"/>
      <c r="SE43" s="3"/>
      <c r="SF43" s="3"/>
      <c r="SG43" s="3"/>
      <c r="SH43" s="3"/>
      <c r="SI43" s="3"/>
      <c r="SJ43" s="3"/>
      <c r="SK43" s="3"/>
      <c r="SL43" s="3"/>
      <c r="SM43" s="3"/>
      <c r="SN43" s="3"/>
      <c r="SO43" s="3"/>
      <c r="SP43" s="3"/>
      <c r="SQ43" s="3"/>
      <c r="SR43" s="3"/>
      <c r="SS43" s="3"/>
      <c r="ST43" s="3"/>
      <c r="SU43" s="3"/>
      <c r="SV43" s="3"/>
      <c r="SW43" s="3"/>
      <c r="SX43" s="3"/>
      <c r="SY43" s="3"/>
      <c r="SZ43" s="3"/>
      <c r="TA43" s="3"/>
      <c r="TB43" s="3"/>
      <c r="TC43" s="3"/>
      <c r="TD43" s="3"/>
      <c r="TE43" s="3"/>
      <c r="TF43" s="3"/>
      <c r="TG43" s="3"/>
      <c r="TH43" s="3"/>
      <c r="TI43" s="3"/>
      <c r="TJ43" s="3"/>
      <c r="TK43" s="3"/>
      <c r="TL43" s="3"/>
      <c r="TM43" s="3"/>
      <c r="TN43" s="3"/>
      <c r="TO43" s="3"/>
      <c r="TP43" s="3"/>
      <c r="TQ43" s="3"/>
      <c r="TR43" s="3"/>
      <c r="TS43" s="3"/>
      <c r="TT43" s="3"/>
      <c r="TU43" s="3"/>
      <c r="TV43" s="3"/>
      <c r="TW43" s="3"/>
      <c r="TX43" s="3"/>
      <c r="TY43" s="3"/>
      <c r="TZ43" s="3"/>
      <c r="UA43" s="3"/>
      <c r="UB43" s="3"/>
      <c r="UC43" s="3"/>
      <c r="UD43" s="3"/>
      <c r="UE43" s="3"/>
      <c r="UF43" s="3"/>
      <c r="UG43" s="3"/>
      <c r="UH43" s="3"/>
      <c r="UI43" s="3"/>
      <c r="UJ43" s="3"/>
      <c r="UK43" s="3"/>
      <c r="UL43" s="3"/>
      <c r="UM43" s="3"/>
      <c r="UN43" s="3"/>
      <c r="UO43" s="3"/>
      <c r="UP43" s="3"/>
      <c r="UQ43" s="3"/>
      <c r="UR43" s="3"/>
      <c r="US43" s="3"/>
      <c r="UT43" s="3"/>
      <c r="UU43" s="3"/>
      <c r="UV43" s="3"/>
      <c r="UW43" s="3"/>
      <c r="UX43" s="3"/>
      <c r="UY43" s="3"/>
      <c r="UZ43" s="3"/>
      <c r="VA43" s="3"/>
      <c r="VB43" s="3"/>
      <c r="VC43" s="3"/>
      <c r="VD43" s="3"/>
      <c r="VE43" s="3"/>
      <c r="VF43" s="3"/>
      <c r="VG43" s="3"/>
      <c r="VH43" s="3"/>
      <c r="VI43" s="3"/>
      <c r="VJ43" s="3"/>
      <c r="VK43" s="3"/>
      <c r="VL43" s="3"/>
      <c r="VM43" s="3"/>
      <c r="VN43" s="3"/>
      <c r="VO43" s="3"/>
      <c r="VP43" s="3"/>
      <c r="VQ43" s="3"/>
      <c r="VR43" s="3"/>
      <c r="VS43" s="3"/>
      <c r="VT43" s="3"/>
      <c r="VU43" s="3"/>
      <c r="VV43" s="3"/>
      <c r="VW43" s="3"/>
      <c r="VX43" s="3"/>
      <c r="VY43" s="3"/>
      <c r="VZ43" s="3"/>
      <c r="WA43" s="3"/>
      <c r="WB43" s="3"/>
      <c r="WC43" s="3"/>
      <c r="WD43" s="3"/>
      <c r="WE43" s="3"/>
      <c r="WF43" s="3"/>
      <c r="WG43" s="3"/>
      <c r="WH43" s="3"/>
      <c r="WI43" s="3"/>
      <c r="WJ43" s="3"/>
      <c r="WK43" s="3"/>
      <c r="WL43" s="3"/>
      <c r="WM43" s="3"/>
      <c r="WN43" s="3"/>
      <c r="WO43" s="3"/>
      <c r="WP43" s="3"/>
      <c r="WQ43" s="3"/>
      <c r="WR43" s="3"/>
      <c r="WS43" s="3"/>
      <c r="WT43" s="3"/>
      <c r="WU43" s="3"/>
      <c r="WV43" s="3"/>
      <c r="WW43" s="3"/>
      <c r="WX43" s="3"/>
      <c r="WY43" s="3"/>
      <c r="WZ43" s="3"/>
      <c r="XA43" s="3"/>
      <c r="XB43" s="3"/>
      <c r="XC43" s="3"/>
      <c r="XD43" s="3"/>
      <c r="XE43" s="3"/>
      <c r="XF43" s="3"/>
      <c r="XG43" s="3"/>
      <c r="XH43" s="3"/>
      <c r="XI43" s="3"/>
      <c r="XJ43" s="3"/>
      <c r="XK43" s="3"/>
      <c r="XL43" s="3"/>
      <c r="XM43" s="3"/>
      <c r="XN43" s="3"/>
      <c r="XO43" s="3"/>
      <c r="XP43" s="3"/>
      <c r="XQ43" s="3"/>
      <c r="XR43" s="3"/>
      <c r="XS43" s="3"/>
      <c r="XT43" s="3"/>
      <c r="XU43" s="3"/>
      <c r="XV43" s="3"/>
      <c r="XW43" s="3"/>
      <c r="XX43" s="3"/>
      <c r="XY43" s="3"/>
      <c r="XZ43" s="3"/>
      <c r="YA43" s="3"/>
      <c r="YB43" s="3"/>
      <c r="YC43" s="3"/>
      <c r="YD43" s="3"/>
      <c r="YE43" s="3"/>
      <c r="YF43" s="3"/>
      <c r="YG43" s="3"/>
      <c r="YH43" s="3"/>
      <c r="YI43" s="3"/>
      <c r="YJ43" s="3"/>
      <c r="YK43" s="3"/>
      <c r="YL43" s="3"/>
      <c r="YM43" s="3"/>
      <c r="YN43" s="3"/>
      <c r="YO43" s="3"/>
      <c r="YP43" s="3"/>
      <c r="YQ43" s="3"/>
      <c r="YR43" s="3"/>
      <c r="YS43" s="3"/>
      <c r="YT43" s="3"/>
      <c r="YU43" s="3"/>
      <c r="YV43" s="3"/>
      <c r="YW43" s="3"/>
      <c r="YX43" s="3"/>
      <c r="YY43" s="3"/>
      <c r="YZ43" s="3"/>
      <c r="ZA43" s="3"/>
      <c r="ZB43" s="3"/>
      <c r="ZC43" s="3"/>
    </row>
    <row r="44" spans="1:679" s="2" customFormat="1" x14ac:dyDescent="0.45">
      <c r="A44" s="3" t="s">
        <v>11</v>
      </c>
      <c r="B44" s="4">
        <v>31002</v>
      </c>
      <c r="C44" s="7" t="s">
        <v>25</v>
      </c>
      <c r="D44" s="6" t="s">
        <v>58</v>
      </c>
      <c r="E44" s="3"/>
      <c r="F44" s="3">
        <v>9</v>
      </c>
      <c r="L44" s="3"/>
      <c r="M44" s="3"/>
      <c r="N44" s="48"/>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c r="DR44" s="3"/>
      <c r="DS44" s="3"/>
      <c r="DT44" s="3"/>
      <c r="DU44" s="3"/>
      <c r="DV44" s="3"/>
      <c r="DW44" s="3"/>
      <c r="DX44" s="3"/>
      <c r="DY44" s="3"/>
      <c r="DZ44" s="3"/>
      <c r="EA44" s="3"/>
      <c r="EB44" s="3"/>
      <c r="EC44" s="3"/>
      <c r="ED44" s="3"/>
      <c r="EE44" s="3"/>
      <c r="EF44" s="3"/>
      <c r="EG44" s="3"/>
      <c r="EH44" s="3"/>
      <c r="EI44" s="3"/>
      <c r="EJ44" s="3"/>
      <c r="EK44" s="3"/>
      <c r="EL44" s="3"/>
      <c r="EM44" s="3"/>
      <c r="EN44" s="3"/>
      <c r="EO44" s="3"/>
      <c r="EP44" s="3"/>
      <c r="EQ44" s="3"/>
      <c r="ER44" s="3"/>
      <c r="ES44" s="3"/>
      <c r="ET44" s="3"/>
      <c r="EU44" s="3"/>
      <c r="EV44" s="3"/>
      <c r="EW44" s="3"/>
      <c r="EX44" s="3"/>
      <c r="EY44" s="3"/>
      <c r="EZ44" s="3"/>
      <c r="FA44" s="3"/>
      <c r="FB44" s="3"/>
      <c r="FC44" s="3"/>
      <c r="FD44" s="3"/>
      <c r="FE44" s="3"/>
      <c r="FF44" s="3"/>
      <c r="FG44" s="3"/>
      <c r="FH44" s="3"/>
      <c r="FI44" s="3"/>
      <c r="FJ44" s="3"/>
      <c r="FK44" s="3"/>
      <c r="FL44" s="3"/>
      <c r="FM44" s="3"/>
      <c r="FN44" s="3"/>
      <c r="FO44" s="3"/>
      <c r="FP44" s="3"/>
      <c r="FQ44" s="3"/>
      <c r="FR44" s="3"/>
      <c r="FS44" s="3"/>
      <c r="FT44" s="3"/>
      <c r="FU44" s="3"/>
      <c r="FV44" s="3"/>
      <c r="FW44" s="3"/>
      <c r="FX44" s="3"/>
      <c r="FY44" s="3"/>
      <c r="FZ44" s="3"/>
      <c r="GA44" s="3"/>
      <c r="GB44" s="3"/>
      <c r="GC44" s="3"/>
      <c r="GD44" s="3"/>
      <c r="GE44" s="3"/>
      <c r="GF44" s="3"/>
      <c r="GG44" s="3"/>
      <c r="GH44" s="3"/>
      <c r="GI44" s="3"/>
      <c r="GJ44" s="3"/>
      <c r="GK44" s="3"/>
      <c r="GL44" s="3"/>
      <c r="GM44" s="3"/>
      <c r="GN44" s="3"/>
      <c r="GO44" s="3"/>
      <c r="GP44" s="3"/>
      <c r="GQ44" s="3"/>
      <c r="GR44" s="3"/>
      <c r="GS44" s="3"/>
      <c r="GT44" s="3"/>
      <c r="GU44" s="3"/>
      <c r="GV44" s="3"/>
      <c r="GW44" s="3"/>
      <c r="GX44" s="3"/>
      <c r="GY44" s="3"/>
      <c r="GZ44" s="3"/>
      <c r="HA44" s="3"/>
      <c r="HB44" s="3"/>
      <c r="HC44" s="3"/>
      <c r="HD44" s="3"/>
      <c r="HE44" s="3"/>
      <c r="HF44" s="3"/>
      <c r="HG44" s="3"/>
      <c r="HH44" s="3"/>
      <c r="HI44" s="3"/>
      <c r="HJ44" s="3"/>
      <c r="HK44" s="3"/>
      <c r="HL44" s="3"/>
      <c r="HM44" s="3"/>
      <c r="HN44" s="3"/>
      <c r="HO44" s="3"/>
      <c r="HP44" s="3"/>
      <c r="HQ44" s="3"/>
      <c r="HR44" s="3"/>
      <c r="HS44" s="3"/>
      <c r="HT44" s="3"/>
      <c r="HU44" s="3"/>
      <c r="HV44" s="3"/>
      <c r="HW44" s="3"/>
      <c r="HX44" s="3"/>
      <c r="HY44" s="3"/>
      <c r="HZ44" s="3"/>
      <c r="IA44" s="3"/>
      <c r="IB44" s="3"/>
      <c r="IC44" s="3"/>
      <c r="ID44" s="3"/>
      <c r="IE44" s="3"/>
      <c r="IF44" s="3"/>
      <c r="IG44" s="3"/>
      <c r="IH44" s="3"/>
      <c r="II44" s="3"/>
      <c r="IJ44" s="3"/>
      <c r="IK44" s="3"/>
      <c r="IL44" s="3"/>
      <c r="IM44" s="3"/>
      <c r="IN44" s="3"/>
      <c r="IO44" s="3"/>
      <c r="IP44" s="3"/>
      <c r="IQ44" s="3"/>
      <c r="IR44" s="3"/>
      <c r="IS44" s="3"/>
      <c r="IT44" s="3"/>
      <c r="IU44" s="3"/>
      <c r="IV44" s="3"/>
      <c r="IW44" s="3"/>
      <c r="IX44" s="3"/>
      <c r="IY44" s="3"/>
      <c r="IZ44" s="3"/>
      <c r="JA44" s="3"/>
      <c r="JB44" s="3"/>
      <c r="JC44" s="3"/>
      <c r="JD44" s="3"/>
      <c r="JE44" s="3"/>
      <c r="JF44" s="3"/>
      <c r="JG44" s="3"/>
      <c r="JH44" s="3"/>
      <c r="JI44" s="3"/>
      <c r="JJ44" s="3"/>
      <c r="JK44" s="3"/>
      <c r="JL44" s="3"/>
      <c r="JM44" s="3"/>
      <c r="JN44" s="3"/>
      <c r="JO44" s="3"/>
      <c r="JP44" s="3"/>
      <c r="JQ44" s="3"/>
      <c r="JR44" s="3"/>
      <c r="JS44" s="3"/>
      <c r="JT44" s="3"/>
      <c r="JU44" s="3"/>
      <c r="JV44" s="3"/>
      <c r="JW44" s="3"/>
      <c r="JX44" s="3"/>
      <c r="JY44" s="3"/>
      <c r="JZ44" s="3"/>
      <c r="KA44" s="3"/>
      <c r="KB44" s="3"/>
      <c r="KC44" s="3"/>
      <c r="KD44" s="3"/>
      <c r="KE44" s="3"/>
      <c r="KF44" s="3"/>
      <c r="KG44" s="3"/>
      <c r="KH44" s="3"/>
      <c r="KI44" s="3"/>
      <c r="KJ44" s="3"/>
      <c r="KK44" s="3"/>
      <c r="KL44" s="3"/>
      <c r="KM44" s="3"/>
      <c r="KN44" s="3"/>
      <c r="KO44" s="3"/>
      <c r="KP44" s="3"/>
      <c r="KQ44" s="3"/>
      <c r="KR44" s="3"/>
      <c r="KS44" s="3"/>
      <c r="KT44" s="3"/>
      <c r="KU44" s="3"/>
      <c r="KV44" s="3"/>
      <c r="KW44" s="3"/>
      <c r="KX44" s="3"/>
      <c r="KY44" s="3"/>
      <c r="KZ44" s="3"/>
      <c r="LA44" s="3"/>
      <c r="LB44" s="3"/>
      <c r="LC44" s="3"/>
      <c r="LD44" s="3"/>
      <c r="LE44" s="3"/>
      <c r="LF44" s="3"/>
      <c r="LG44" s="3"/>
      <c r="LH44" s="3"/>
      <c r="LI44" s="3"/>
      <c r="LJ44" s="3"/>
      <c r="LK44" s="3"/>
      <c r="LL44" s="3"/>
      <c r="LM44" s="3"/>
      <c r="LN44" s="3"/>
      <c r="LO44" s="3"/>
      <c r="LP44" s="3"/>
      <c r="LQ44" s="3"/>
      <c r="LR44" s="3"/>
      <c r="LS44" s="3"/>
      <c r="LT44" s="3"/>
      <c r="LU44" s="3"/>
      <c r="LV44" s="3"/>
      <c r="LW44" s="3"/>
      <c r="LX44" s="3"/>
      <c r="LY44" s="3"/>
      <c r="LZ44" s="3"/>
      <c r="MA44" s="3"/>
      <c r="MB44" s="3"/>
      <c r="MC44" s="3"/>
      <c r="MD44" s="3"/>
      <c r="ME44" s="3"/>
      <c r="MF44" s="3"/>
      <c r="MG44" s="3"/>
      <c r="MH44" s="3"/>
      <c r="MI44" s="3"/>
      <c r="MJ44" s="3"/>
      <c r="MK44" s="3"/>
      <c r="ML44" s="3"/>
      <c r="MM44" s="3"/>
      <c r="MN44" s="3"/>
      <c r="MO44" s="3"/>
      <c r="MP44" s="3"/>
      <c r="MQ44" s="3"/>
      <c r="MR44" s="3"/>
      <c r="MS44" s="3"/>
      <c r="MT44" s="3"/>
      <c r="MU44" s="3"/>
      <c r="MV44" s="3"/>
      <c r="MW44" s="3"/>
      <c r="MX44" s="3"/>
      <c r="MY44" s="3"/>
      <c r="MZ44" s="3"/>
      <c r="NA44" s="3"/>
      <c r="NB44" s="3"/>
      <c r="NC44" s="3"/>
      <c r="ND44" s="3"/>
      <c r="NE44" s="3"/>
      <c r="NF44" s="3"/>
      <c r="NG44" s="3"/>
      <c r="NH44" s="3"/>
      <c r="NI44" s="3"/>
      <c r="NJ44" s="3"/>
      <c r="NK44" s="3"/>
      <c r="NL44" s="3"/>
      <c r="NM44" s="3"/>
      <c r="NN44" s="3"/>
      <c r="NO44" s="3"/>
      <c r="NP44" s="3"/>
      <c r="NQ44" s="3"/>
      <c r="NR44" s="3"/>
      <c r="NS44" s="3"/>
      <c r="NT44" s="3"/>
      <c r="NU44" s="3"/>
      <c r="NV44" s="3"/>
      <c r="NW44" s="3"/>
      <c r="NX44" s="3"/>
      <c r="NY44" s="3"/>
      <c r="NZ44" s="3"/>
      <c r="OA44" s="3"/>
      <c r="OB44" s="3"/>
      <c r="OC44" s="3"/>
      <c r="OD44" s="3"/>
      <c r="OE44" s="3"/>
      <c r="OF44" s="3"/>
      <c r="OG44" s="3"/>
      <c r="OH44" s="3"/>
      <c r="OI44" s="3"/>
      <c r="OJ44" s="3"/>
      <c r="OK44" s="3"/>
      <c r="OL44" s="3"/>
      <c r="OM44" s="3"/>
      <c r="ON44" s="3"/>
      <c r="OO44" s="3"/>
      <c r="OP44" s="3"/>
      <c r="OQ44" s="3"/>
      <c r="OR44" s="3"/>
      <c r="OS44" s="3"/>
      <c r="OT44" s="3"/>
      <c r="OU44" s="3"/>
      <c r="OV44" s="3"/>
      <c r="OW44" s="3"/>
      <c r="OX44" s="3"/>
      <c r="OY44" s="3"/>
      <c r="OZ44" s="3"/>
      <c r="PA44" s="3"/>
      <c r="PB44" s="3"/>
      <c r="PC44" s="3"/>
      <c r="PD44" s="3"/>
      <c r="PE44" s="3"/>
      <c r="PF44" s="3"/>
      <c r="PG44" s="3"/>
      <c r="PH44" s="3"/>
      <c r="PI44" s="3"/>
      <c r="PJ44" s="3"/>
      <c r="PK44" s="3"/>
      <c r="PL44" s="3"/>
      <c r="PM44" s="3"/>
      <c r="PN44" s="3"/>
      <c r="PO44" s="3"/>
      <c r="PP44" s="3"/>
      <c r="PQ44" s="3"/>
      <c r="PR44" s="3"/>
      <c r="PS44" s="3"/>
      <c r="PT44" s="3"/>
      <c r="PU44" s="3"/>
      <c r="PV44" s="3"/>
      <c r="PW44" s="3"/>
      <c r="PX44" s="3"/>
      <c r="PY44" s="3"/>
      <c r="PZ44" s="3"/>
      <c r="QA44" s="3"/>
      <c r="QB44" s="3"/>
      <c r="QC44" s="3"/>
      <c r="QD44" s="3"/>
      <c r="QE44" s="3"/>
      <c r="QF44" s="3"/>
      <c r="QG44" s="3"/>
      <c r="QH44" s="3"/>
      <c r="QI44" s="3"/>
      <c r="QJ44" s="3"/>
      <c r="QK44" s="3"/>
      <c r="QL44" s="3"/>
      <c r="QM44" s="3"/>
      <c r="QN44" s="3"/>
      <c r="QO44" s="3"/>
      <c r="QP44" s="3"/>
      <c r="QQ44" s="3"/>
      <c r="QR44" s="3"/>
      <c r="QS44" s="3"/>
      <c r="QT44" s="3"/>
      <c r="QU44" s="3"/>
      <c r="QV44" s="3"/>
      <c r="QW44" s="3"/>
      <c r="QX44" s="3"/>
      <c r="QY44" s="3"/>
      <c r="QZ44" s="3"/>
      <c r="RA44" s="3"/>
      <c r="RB44" s="3"/>
      <c r="RC44" s="3"/>
      <c r="RD44" s="3"/>
      <c r="RE44" s="3"/>
      <c r="RF44" s="3"/>
      <c r="RG44" s="3"/>
      <c r="RH44" s="3"/>
      <c r="RI44" s="3"/>
      <c r="RJ44" s="3"/>
      <c r="RK44" s="3"/>
      <c r="RL44" s="3"/>
      <c r="RM44" s="3"/>
      <c r="RN44" s="3"/>
      <c r="RO44" s="3"/>
      <c r="RP44" s="3"/>
      <c r="RQ44" s="3"/>
      <c r="RR44" s="3"/>
      <c r="RS44" s="3"/>
      <c r="RT44" s="3"/>
      <c r="RU44" s="3"/>
      <c r="RV44" s="3"/>
      <c r="RW44" s="3"/>
      <c r="RX44" s="3"/>
      <c r="RY44" s="3"/>
      <c r="RZ44" s="3"/>
      <c r="SA44" s="3"/>
      <c r="SB44" s="3"/>
      <c r="SC44" s="3"/>
      <c r="SD44" s="3"/>
      <c r="SE44" s="3"/>
      <c r="SF44" s="3"/>
      <c r="SG44" s="3"/>
      <c r="SH44" s="3"/>
      <c r="SI44" s="3"/>
      <c r="SJ44" s="3"/>
      <c r="SK44" s="3"/>
      <c r="SL44" s="3"/>
      <c r="SM44" s="3"/>
      <c r="SN44" s="3"/>
      <c r="SO44" s="3"/>
      <c r="SP44" s="3"/>
      <c r="SQ44" s="3"/>
      <c r="SR44" s="3"/>
      <c r="SS44" s="3"/>
      <c r="ST44" s="3"/>
      <c r="SU44" s="3"/>
      <c r="SV44" s="3"/>
      <c r="SW44" s="3"/>
      <c r="SX44" s="3"/>
      <c r="SY44" s="3"/>
      <c r="SZ44" s="3"/>
      <c r="TA44" s="3"/>
      <c r="TB44" s="3"/>
      <c r="TC44" s="3"/>
      <c r="TD44" s="3"/>
      <c r="TE44" s="3"/>
      <c r="TF44" s="3"/>
      <c r="TG44" s="3"/>
      <c r="TH44" s="3"/>
      <c r="TI44" s="3"/>
      <c r="TJ44" s="3"/>
      <c r="TK44" s="3"/>
      <c r="TL44" s="3"/>
      <c r="TM44" s="3"/>
      <c r="TN44" s="3"/>
      <c r="TO44" s="3"/>
      <c r="TP44" s="3"/>
      <c r="TQ44" s="3"/>
      <c r="TR44" s="3"/>
      <c r="TS44" s="3"/>
      <c r="TT44" s="3"/>
      <c r="TU44" s="3"/>
      <c r="TV44" s="3"/>
      <c r="TW44" s="3"/>
      <c r="TX44" s="3"/>
      <c r="TY44" s="3"/>
      <c r="TZ44" s="3"/>
      <c r="UA44" s="3"/>
      <c r="UB44" s="3"/>
      <c r="UC44" s="3"/>
      <c r="UD44" s="3"/>
      <c r="UE44" s="3"/>
      <c r="UF44" s="3"/>
      <c r="UG44" s="3"/>
      <c r="UH44" s="3"/>
      <c r="UI44" s="3"/>
      <c r="UJ44" s="3"/>
      <c r="UK44" s="3"/>
      <c r="UL44" s="3"/>
      <c r="UM44" s="3"/>
      <c r="UN44" s="3"/>
      <c r="UO44" s="3"/>
      <c r="UP44" s="3"/>
      <c r="UQ44" s="3"/>
      <c r="UR44" s="3"/>
      <c r="US44" s="3"/>
      <c r="UT44" s="3"/>
      <c r="UU44" s="3"/>
      <c r="UV44" s="3"/>
      <c r="UW44" s="3"/>
      <c r="UX44" s="3"/>
      <c r="UY44" s="3"/>
      <c r="UZ44" s="3"/>
      <c r="VA44" s="3"/>
      <c r="VB44" s="3"/>
      <c r="VC44" s="3"/>
      <c r="VD44" s="3"/>
      <c r="VE44" s="3"/>
      <c r="VF44" s="3"/>
      <c r="VG44" s="3"/>
      <c r="VH44" s="3"/>
      <c r="VI44" s="3"/>
      <c r="VJ44" s="3"/>
      <c r="VK44" s="3"/>
      <c r="VL44" s="3"/>
      <c r="VM44" s="3"/>
      <c r="VN44" s="3"/>
      <c r="VO44" s="3"/>
      <c r="VP44" s="3"/>
      <c r="VQ44" s="3"/>
      <c r="VR44" s="3"/>
      <c r="VS44" s="3"/>
      <c r="VT44" s="3"/>
      <c r="VU44" s="3"/>
      <c r="VV44" s="3"/>
      <c r="VW44" s="3"/>
      <c r="VX44" s="3"/>
      <c r="VY44" s="3"/>
      <c r="VZ44" s="3"/>
      <c r="WA44" s="3"/>
      <c r="WB44" s="3"/>
      <c r="WC44" s="3"/>
      <c r="WD44" s="3"/>
      <c r="WE44" s="3"/>
      <c r="WF44" s="3"/>
      <c r="WG44" s="3"/>
      <c r="WH44" s="3"/>
      <c r="WI44" s="3"/>
      <c r="WJ44" s="3"/>
      <c r="WK44" s="3"/>
      <c r="WL44" s="3"/>
      <c r="WM44" s="3"/>
      <c r="WN44" s="3"/>
      <c r="WO44" s="3"/>
      <c r="WP44" s="3"/>
      <c r="WQ44" s="3"/>
      <c r="WR44" s="3"/>
      <c r="WS44" s="3"/>
      <c r="WT44" s="3"/>
      <c r="WU44" s="3"/>
      <c r="WV44" s="3"/>
      <c r="WW44" s="3"/>
      <c r="WX44" s="3"/>
      <c r="WY44" s="3"/>
      <c r="WZ44" s="3"/>
      <c r="XA44" s="3"/>
      <c r="XB44" s="3"/>
      <c r="XC44" s="3"/>
      <c r="XD44" s="3"/>
      <c r="XE44" s="3"/>
      <c r="XF44" s="3"/>
      <c r="XG44" s="3"/>
      <c r="XH44" s="3"/>
      <c r="XI44" s="3"/>
      <c r="XJ44" s="3"/>
      <c r="XK44" s="3"/>
      <c r="XL44" s="3"/>
      <c r="XM44" s="3"/>
      <c r="XN44" s="3"/>
      <c r="XO44" s="3"/>
      <c r="XP44" s="3"/>
      <c r="XQ44" s="3"/>
      <c r="XR44" s="3"/>
      <c r="XS44" s="3"/>
      <c r="XT44" s="3"/>
      <c r="XU44" s="3"/>
      <c r="XV44" s="3"/>
      <c r="XW44" s="3"/>
      <c r="XX44" s="3"/>
      <c r="XY44" s="3"/>
      <c r="XZ44" s="3"/>
      <c r="YA44" s="3"/>
      <c r="YB44" s="3"/>
      <c r="YC44" s="3"/>
      <c r="YD44" s="3"/>
      <c r="YE44" s="3"/>
      <c r="YF44" s="3"/>
      <c r="YG44" s="3"/>
      <c r="YH44" s="3"/>
      <c r="YI44" s="3"/>
      <c r="YJ44" s="3"/>
      <c r="YK44" s="3"/>
      <c r="YL44" s="3"/>
      <c r="YM44" s="3"/>
      <c r="YN44" s="3"/>
      <c r="YO44" s="3"/>
      <c r="YP44" s="3"/>
      <c r="YQ44" s="3"/>
      <c r="YR44" s="3"/>
      <c r="YS44" s="3"/>
      <c r="YT44" s="3"/>
      <c r="YU44" s="3"/>
      <c r="YV44" s="3"/>
      <c r="YW44" s="3"/>
      <c r="YX44" s="3"/>
      <c r="YY44" s="3"/>
      <c r="YZ44" s="3"/>
      <c r="ZA44" s="3"/>
      <c r="ZB44" s="3"/>
      <c r="ZC44" s="3"/>
    </row>
    <row r="45" spans="1:679" s="2" customFormat="1" x14ac:dyDescent="0.45">
      <c r="A45" s="3" t="s">
        <v>11</v>
      </c>
      <c r="B45" s="4">
        <v>31028</v>
      </c>
      <c r="C45" s="7" t="s">
        <v>25</v>
      </c>
      <c r="D45" s="6" t="s">
        <v>59</v>
      </c>
      <c r="E45" s="3"/>
      <c r="F45" s="3">
        <v>22</v>
      </c>
      <c r="L45" s="3"/>
      <c r="M45" s="3"/>
      <c r="N45" s="48"/>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c r="DO45" s="3"/>
      <c r="DP45" s="3"/>
      <c r="DQ45" s="3"/>
      <c r="DR45" s="3"/>
      <c r="DS45" s="3"/>
      <c r="DT45" s="3"/>
      <c r="DU45" s="3"/>
      <c r="DV45" s="3"/>
      <c r="DW45" s="3"/>
      <c r="DX45" s="3"/>
      <c r="DY45" s="3"/>
      <c r="DZ45" s="3"/>
      <c r="EA45" s="3"/>
      <c r="EB45" s="3"/>
      <c r="EC45" s="3"/>
      <c r="ED45" s="3"/>
      <c r="EE45" s="3"/>
      <c r="EF45" s="3"/>
      <c r="EG45" s="3"/>
      <c r="EH45" s="3"/>
      <c r="EI45" s="3"/>
      <c r="EJ45" s="3"/>
      <c r="EK45" s="3"/>
      <c r="EL45" s="3"/>
      <c r="EM45" s="3"/>
      <c r="EN45" s="3"/>
      <c r="EO45" s="3"/>
      <c r="EP45" s="3"/>
      <c r="EQ45" s="3"/>
      <c r="ER45" s="3"/>
      <c r="ES45" s="3"/>
      <c r="ET45" s="3"/>
      <c r="EU45" s="3"/>
      <c r="EV45" s="3"/>
      <c r="EW45" s="3"/>
      <c r="EX45" s="3"/>
      <c r="EY45" s="3"/>
      <c r="EZ45" s="3"/>
      <c r="FA45" s="3"/>
      <c r="FB45" s="3"/>
      <c r="FC45" s="3"/>
      <c r="FD45" s="3"/>
      <c r="FE45" s="3"/>
      <c r="FF45" s="3"/>
      <c r="FG45" s="3"/>
      <c r="FH45" s="3"/>
      <c r="FI45" s="3"/>
      <c r="FJ45" s="3"/>
      <c r="FK45" s="3"/>
      <c r="FL45" s="3"/>
      <c r="FM45" s="3"/>
      <c r="FN45" s="3"/>
      <c r="FO45" s="3"/>
      <c r="FP45" s="3"/>
      <c r="FQ45" s="3"/>
      <c r="FR45" s="3"/>
      <c r="FS45" s="3"/>
      <c r="FT45" s="3"/>
      <c r="FU45" s="3"/>
      <c r="FV45" s="3"/>
      <c r="FW45" s="3"/>
      <c r="FX45" s="3"/>
      <c r="FY45" s="3"/>
      <c r="FZ45" s="3"/>
      <c r="GA45" s="3"/>
      <c r="GB45" s="3"/>
      <c r="GC45" s="3"/>
      <c r="GD45" s="3"/>
      <c r="GE45" s="3"/>
      <c r="GF45" s="3"/>
      <c r="GG45" s="3"/>
      <c r="GH45" s="3"/>
      <c r="GI45" s="3"/>
      <c r="GJ45" s="3"/>
      <c r="GK45" s="3"/>
      <c r="GL45" s="3"/>
      <c r="GM45" s="3"/>
      <c r="GN45" s="3"/>
      <c r="GO45" s="3"/>
      <c r="GP45" s="3"/>
      <c r="GQ45" s="3"/>
      <c r="GR45" s="3"/>
      <c r="GS45" s="3"/>
      <c r="GT45" s="3"/>
      <c r="GU45" s="3"/>
      <c r="GV45" s="3"/>
      <c r="GW45" s="3"/>
      <c r="GX45" s="3"/>
      <c r="GY45" s="3"/>
      <c r="GZ45" s="3"/>
      <c r="HA45" s="3"/>
      <c r="HB45" s="3"/>
      <c r="HC45" s="3"/>
      <c r="HD45" s="3"/>
      <c r="HE45" s="3"/>
      <c r="HF45" s="3"/>
      <c r="HG45" s="3"/>
      <c r="HH45" s="3"/>
      <c r="HI45" s="3"/>
      <c r="HJ45" s="3"/>
      <c r="HK45" s="3"/>
      <c r="HL45" s="3"/>
      <c r="HM45" s="3"/>
      <c r="HN45" s="3"/>
      <c r="HO45" s="3"/>
      <c r="HP45" s="3"/>
      <c r="HQ45" s="3"/>
      <c r="HR45" s="3"/>
      <c r="HS45" s="3"/>
      <c r="HT45" s="3"/>
      <c r="HU45" s="3"/>
      <c r="HV45" s="3"/>
      <c r="HW45" s="3"/>
      <c r="HX45" s="3"/>
      <c r="HY45" s="3"/>
      <c r="HZ45" s="3"/>
      <c r="IA45" s="3"/>
      <c r="IB45" s="3"/>
      <c r="IC45" s="3"/>
      <c r="ID45" s="3"/>
      <c r="IE45" s="3"/>
      <c r="IF45" s="3"/>
      <c r="IG45" s="3"/>
      <c r="IH45" s="3"/>
      <c r="II45" s="3"/>
      <c r="IJ45" s="3"/>
      <c r="IK45" s="3"/>
      <c r="IL45" s="3"/>
      <c r="IM45" s="3"/>
      <c r="IN45" s="3"/>
      <c r="IO45" s="3"/>
      <c r="IP45" s="3"/>
      <c r="IQ45" s="3"/>
      <c r="IR45" s="3"/>
      <c r="IS45" s="3"/>
      <c r="IT45" s="3"/>
      <c r="IU45" s="3"/>
      <c r="IV45" s="3"/>
      <c r="IW45" s="3"/>
      <c r="IX45" s="3"/>
      <c r="IY45" s="3"/>
      <c r="IZ45" s="3"/>
      <c r="JA45" s="3"/>
      <c r="JB45" s="3"/>
      <c r="JC45" s="3"/>
      <c r="JD45" s="3"/>
      <c r="JE45" s="3"/>
      <c r="JF45" s="3"/>
      <c r="JG45" s="3"/>
      <c r="JH45" s="3"/>
      <c r="JI45" s="3"/>
      <c r="JJ45" s="3"/>
      <c r="JK45" s="3"/>
      <c r="JL45" s="3"/>
      <c r="JM45" s="3"/>
      <c r="JN45" s="3"/>
      <c r="JO45" s="3"/>
      <c r="JP45" s="3"/>
      <c r="JQ45" s="3"/>
      <c r="JR45" s="3"/>
      <c r="JS45" s="3"/>
      <c r="JT45" s="3"/>
      <c r="JU45" s="3"/>
      <c r="JV45" s="3"/>
      <c r="JW45" s="3"/>
      <c r="JX45" s="3"/>
      <c r="JY45" s="3"/>
      <c r="JZ45" s="3"/>
      <c r="KA45" s="3"/>
      <c r="KB45" s="3"/>
      <c r="KC45" s="3"/>
      <c r="KD45" s="3"/>
      <c r="KE45" s="3"/>
      <c r="KF45" s="3"/>
      <c r="KG45" s="3"/>
      <c r="KH45" s="3"/>
      <c r="KI45" s="3"/>
      <c r="KJ45" s="3"/>
      <c r="KK45" s="3"/>
      <c r="KL45" s="3"/>
      <c r="KM45" s="3"/>
      <c r="KN45" s="3"/>
      <c r="KO45" s="3"/>
      <c r="KP45" s="3"/>
      <c r="KQ45" s="3"/>
      <c r="KR45" s="3"/>
      <c r="KS45" s="3"/>
      <c r="KT45" s="3"/>
      <c r="KU45" s="3"/>
      <c r="KV45" s="3"/>
      <c r="KW45" s="3"/>
      <c r="KX45" s="3"/>
      <c r="KY45" s="3"/>
      <c r="KZ45" s="3"/>
      <c r="LA45" s="3"/>
      <c r="LB45" s="3"/>
      <c r="LC45" s="3"/>
      <c r="LD45" s="3"/>
      <c r="LE45" s="3"/>
      <c r="LF45" s="3"/>
      <c r="LG45" s="3"/>
      <c r="LH45" s="3"/>
      <c r="LI45" s="3"/>
      <c r="LJ45" s="3"/>
      <c r="LK45" s="3"/>
      <c r="LL45" s="3"/>
      <c r="LM45" s="3"/>
      <c r="LN45" s="3"/>
      <c r="LO45" s="3"/>
      <c r="LP45" s="3"/>
      <c r="LQ45" s="3"/>
      <c r="LR45" s="3"/>
      <c r="LS45" s="3"/>
      <c r="LT45" s="3"/>
      <c r="LU45" s="3"/>
      <c r="LV45" s="3"/>
      <c r="LW45" s="3"/>
      <c r="LX45" s="3"/>
      <c r="LY45" s="3"/>
      <c r="LZ45" s="3"/>
      <c r="MA45" s="3"/>
      <c r="MB45" s="3"/>
      <c r="MC45" s="3"/>
      <c r="MD45" s="3"/>
      <c r="ME45" s="3"/>
      <c r="MF45" s="3"/>
      <c r="MG45" s="3"/>
      <c r="MH45" s="3"/>
      <c r="MI45" s="3"/>
      <c r="MJ45" s="3"/>
      <c r="MK45" s="3"/>
      <c r="ML45" s="3"/>
      <c r="MM45" s="3"/>
      <c r="MN45" s="3"/>
      <c r="MO45" s="3"/>
      <c r="MP45" s="3"/>
      <c r="MQ45" s="3"/>
      <c r="MR45" s="3"/>
      <c r="MS45" s="3"/>
      <c r="MT45" s="3"/>
      <c r="MU45" s="3"/>
      <c r="MV45" s="3"/>
      <c r="MW45" s="3"/>
      <c r="MX45" s="3"/>
      <c r="MY45" s="3"/>
      <c r="MZ45" s="3"/>
      <c r="NA45" s="3"/>
      <c r="NB45" s="3"/>
      <c r="NC45" s="3"/>
      <c r="ND45" s="3"/>
      <c r="NE45" s="3"/>
      <c r="NF45" s="3"/>
      <c r="NG45" s="3"/>
      <c r="NH45" s="3"/>
      <c r="NI45" s="3"/>
      <c r="NJ45" s="3"/>
      <c r="NK45" s="3"/>
      <c r="NL45" s="3"/>
      <c r="NM45" s="3"/>
      <c r="NN45" s="3"/>
      <c r="NO45" s="3"/>
      <c r="NP45" s="3"/>
      <c r="NQ45" s="3"/>
      <c r="NR45" s="3"/>
      <c r="NS45" s="3"/>
      <c r="NT45" s="3"/>
      <c r="NU45" s="3"/>
      <c r="NV45" s="3"/>
      <c r="NW45" s="3"/>
      <c r="NX45" s="3"/>
      <c r="NY45" s="3"/>
      <c r="NZ45" s="3"/>
      <c r="OA45" s="3"/>
      <c r="OB45" s="3"/>
      <c r="OC45" s="3"/>
      <c r="OD45" s="3"/>
      <c r="OE45" s="3"/>
      <c r="OF45" s="3"/>
      <c r="OG45" s="3"/>
      <c r="OH45" s="3"/>
      <c r="OI45" s="3"/>
      <c r="OJ45" s="3"/>
      <c r="OK45" s="3"/>
      <c r="OL45" s="3"/>
      <c r="OM45" s="3"/>
      <c r="ON45" s="3"/>
      <c r="OO45" s="3"/>
      <c r="OP45" s="3"/>
      <c r="OQ45" s="3"/>
      <c r="OR45" s="3"/>
      <c r="OS45" s="3"/>
      <c r="OT45" s="3"/>
      <c r="OU45" s="3"/>
      <c r="OV45" s="3"/>
      <c r="OW45" s="3"/>
      <c r="OX45" s="3"/>
      <c r="OY45" s="3"/>
      <c r="OZ45" s="3"/>
      <c r="PA45" s="3"/>
      <c r="PB45" s="3"/>
      <c r="PC45" s="3"/>
      <c r="PD45" s="3"/>
      <c r="PE45" s="3"/>
      <c r="PF45" s="3"/>
      <c r="PG45" s="3"/>
      <c r="PH45" s="3"/>
      <c r="PI45" s="3"/>
      <c r="PJ45" s="3"/>
      <c r="PK45" s="3"/>
      <c r="PL45" s="3"/>
      <c r="PM45" s="3"/>
      <c r="PN45" s="3"/>
      <c r="PO45" s="3"/>
      <c r="PP45" s="3"/>
      <c r="PQ45" s="3"/>
      <c r="PR45" s="3"/>
      <c r="PS45" s="3"/>
      <c r="PT45" s="3"/>
      <c r="PU45" s="3"/>
      <c r="PV45" s="3"/>
      <c r="PW45" s="3"/>
      <c r="PX45" s="3"/>
      <c r="PY45" s="3"/>
      <c r="PZ45" s="3"/>
      <c r="QA45" s="3"/>
      <c r="QB45" s="3"/>
      <c r="QC45" s="3"/>
      <c r="QD45" s="3"/>
      <c r="QE45" s="3"/>
      <c r="QF45" s="3"/>
      <c r="QG45" s="3"/>
      <c r="QH45" s="3"/>
      <c r="QI45" s="3"/>
      <c r="QJ45" s="3"/>
      <c r="QK45" s="3"/>
      <c r="QL45" s="3"/>
      <c r="QM45" s="3"/>
      <c r="QN45" s="3"/>
      <c r="QO45" s="3"/>
      <c r="QP45" s="3"/>
      <c r="QQ45" s="3"/>
      <c r="QR45" s="3"/>
      <c r="QS45" s="3"/>
      <c r="QT45" s="3"/>
      <c r="QU45" s="3"/>
      <c r="QV45" s="3"/>
      <c r="QW45" s="3"/>
      <c r="QX45" s="3"/>
      <c r="QY45" s="3"/>
      <c r="QZ45" s="3"/>
      <c r="RA45" s="3"/>
      <c r="RB45" s="3"/>
      <c r="RC45" s="3"/>
      <c r="RD45" s="3"/>
      <c r="RE45" s="3"/>
      <c r="RF45" s="3"/>
      <c r="RG45" s="3"/>
      <c r="RH45" s="3"/>
      <c r="RI45" s="3"/>
      <c r="RJ45" s="3"/>
      <c r="RK45" s="3"/>
      <c r="RL45" s="3"/>
      <c r="RM45" s="3"/>
      <c r="RN45" s="3"/>
      <c r="RO45" s="3"/>
      <c r="RP45" s="3"/>
      <c r="RQ45" s="3"/>
      <c r="RR45" s="3"/>
      <c r="RS45" s="3"/>
      <c r="RT45" s="3"/>
      <c r="RU45" s="3"/>
      <c r="RV45" s="3"/>
      <c r="RW45" s="3"/>
      <c r="RX45" s="3"/>
      <c r="RY45" s="3"/>
      <c r="RZ45" s="3"/>
      <c r="SA45" s="3"/>
      <c r="SB45" s="3"/>
      <c r="SC45" s="3"/>
      <c r="SD45" s="3"/>
      <c r="SE45" s="3"/>
      <c r="SF45" s="3"/>
      <c r="SG45" s="3"/>
      <c r="SH45" s="3"/>
      <c r="SI45" s="3"/>
      <c r="SJ45" s="3"/>
      <c r="SK45" s="3"/>
      <c r="SL45" s="3"/>
      <c r="SM45" s="3"/>
      <c r="SN45" s="3"/>
      <c r="SO45" s="3"/>
      <c r="SP45" s="3"/>
      <c r="SQ45" s="3"/>
      <c r="SR45" s="3"/>
      <c r="SS45" s="3"/>
      <c r="ST45" s="3"/>
      <c r="SU45" s="3"/>
      <c r="SV45" s="3"/>
      <c r="SW45" s="3"/>
      <c r="SX45" s="3"/>
      <c r="SY45" s="3"/>
      <c r="SZ45" s="3"/>
      <c r="TA45" s="3"/>
      <c r="TB45" s="3"/>
      <c r="TC45" s="3"/>
      <c r="TD45" s="3"/>
      <c r="TE45" s="3"/>
      <c r="TF45" s="3"/>
      <c r="TG45" s="3"/>
      <c r="TH45" s="3"/>
      <c r="TI45" s="3"/>
      <c r="TJ45" s="3"/>
      <c r="TK45" s="3"/>
      <c r="TL45" s="3"/>
      <c r="TM45" s="3"/>
      <c r="TN45" s="3"/>
      <c r="TO45" s="3"/>
      <c r="TP45" s="3"/>
      <c r="TQ45" s="3"/>
      <c r="TR45" s="3"/>
      <c r="TS45" s="3"/>
      <c r="TT45" s="3"/>
      <c r="TU45" s="3"/>
      <c r="TV45" s="3"/>
      <c r="TW45" s="3"/>
      <c r="TX45" s="3"/>
      <c r="TY45" s="3"/>
      <c r="TZ45" s="3"/>
      <c r="UA45" s="3"/>
      <c r="UB45" s="3"/>
      <c r="UC45" s="3"/>
      <c r="UD45" s="3"/>
      <c r="UE45" s="3"/>
      <c r="UF45" s="3"/>
      <c r="UG45" s="3"/>
      <c r="UH45" s="3"/>
      <c r="UI45" s="3"/>
      <c r="UJ45" s="3"/>
      <c r="UK45" s="3"/>
      <c r="UL45" s="3"/>
      <c r="UM45" s="3"/>
      <c r="UN45" s="3"/>
      <c r="UO45" s="3"/>
      <c r="UP45" s="3"/>
      <c r="UQ45" s="3"/>
      <c r="UR45" s="3"/>
      <c r="US45" s="3"/>
      <c r="UT45" s="3"/>
      <c r="UU45" s="3"/>
      <c r="UV45" s="3"/>
      <c r="UW45" s="3"/>
      <c r="UX45" s="3"/>
      <c r="UY45" s="3"/>
      <c r="UZ45" s="3"/>
      <c r="VA45" s="3"/>
      <c r="VB45" s="3"/>
      <c r="VC45" s="3"/>
      <c r="VD45" s="3"/>
      <c r="VE45" s="3"/>
      <c r="VF45" s="3"/>
      <c r="VG45" s="3"/>
      <c r="VH45" s="3"/>
      <c r="VI45" s="3"/>
      <c r="VJ45" s="3"/>
      <c r="VK45" s="3"/>
      <c r="VL45" s="3"/>
      <c r="VM45" s="3"/>
      <c r="VN45" s="3"/>
      <c r="VO45" s="3"/>
      <c r="VP45" s="3"/>
      <c r="VQ45" s="3"/>
      <c r="VR45" s="3"/>
      <c r="VS45" s="3"/>
      <c r="VT45" s="3"/>
      <c r="VU45" s="3"/>
      <c r="VV45" s="3"/>
      <c r="VW45" s="3"/>
      <c r="VX45" s="3"/>
      <c r="VY45" s="3"/>
      <c r="VZ45" s="3"/>
      <c r="WA45" s="3"/>
      <c r="WB45" s="3"/>
      <c r="WC45" s="3"/>
      <c r="WD45" s="3"/>
      <c r="WE45" s="3"/>
      <c r="WF45" s="3"/>
      <c r="WG45" s="3"/>
      <c r="WH45" s="3"/>
      <c r="WI45" s="3"/>
      <c r="WJ45" s="3"/>
      <c r="WK45" s="3"/>
      <c r="WL45" s="3"/>
      <c r="WM45" s="3"/>
      <c r="WN45" s="3"/>
      <c r="WO45" s="3"/>
      <c r="WP45" s="3"/>
      <c r="WQ45" s="3"/>
      <c r="WR45" s="3"/>
      <c r="WS45" s="3"/>
      <c r="WT45" s="3"/>
      <c r="WU45" s="3"/>
      <c r="WV45" s="3"/>
      <c r="WW45" s="3"/>
      <c r="WX45" s="3"/>
      <c r="WY45" s="3"/>
      <c r="WZ45" s="3"/>
      <c r="XA45" s="3"/>
      <c r="XB45" s="3"/>
      <c r="XC45" s="3"/>
      <c r="XD45" s="3"/>
      <c r="XE45" s="3"/>
      <c r="XF45" s="3"/>
      <c r="XG45" s="3"/>
      <c r="XH45" s="3"/>
      <c r="XI45" s="3"/>
      <c r="XJ45" s="3"/>
      <c r="XK45" s="3"/>
      <c r="XL45" s="3"/>
      <c r="XM45" s="3"/>
      <c r="XN45" s="3"/>
      <c r="XO45" s="3"/>
      <c r="XP45" s="3"/>
      <c r="XQ45" s="3"/>
      <c r="XR45" s="3"/>
      <c r="XS45" s="3"/>
      <c r="XT45" s="3"/>
      <c r="XU45" s="3"/>
      <c r="XV45" s="3"/>
      <c r="XW45" s="3"/>
      <c r="XX45" s="3"/>
      <c r="XY45" s="3"/>
      <c r="XZ45" s="3"/>
      <c r="YA45" s="3"/>
      <c r="YB45" s="3"/>
      <c r="YC45" s="3"/>
      <c r="YD45" s="3"/>
      <c r="YE45" s="3"/>
      <c r="YF45" s="3"/>
      <c r="YG45" s="3"/>
      <c r="YH45" s="3"/>
      <c r="YI45" s="3"/>
      <c r="YJ45" s="3"/>
      <c r="YK45" s="3"/>
      <c r="YL45" s="3"/>
      <c r="YM45" s="3"/>
      <c r="YN45" s="3"/>
      <c r="YO45" s="3"/>
      <c r="YP45" s="3"/>
      <c r="YQ45" s="3"/>
      <c r="YR45" s="3"/>
      <c r="YS45" s="3"/>
      <c r="YT45" s="3"/>
      <c r="YU45" s="3"/>
      <c r="YV45" s="3"/>
      <c r="YW45" s="3"/>
      <c r="YX45" s="3"/>
      <c r="YY45" s="3"/>
      <c r="YZ45" s="3"/>
      <c r="ZA45" s="3"/>
      <c r="ZB45" s="3"/>
      <c r="ZC45" s="3"/>
    </row>
    <row r="46" spans="1:679" s="2" customFormat="1" x14ac:dyDescent="0.45">
      <c r="A46" s="3" t="s">
        <v>11</v>
      </c>
      <c r="B46" s="4">
        <v>31034</v>
      </c>
      <c r="C46" s="7" t="s">
        <v>25</v>
      </c>
      <c r="D46" s="6" t="s">
        <v>60</v>
      </c>
      <c r="E46" s="3"/>
      <c r="F46" s="3">
        <v>2</v>
      </c>
      <c r="L46" s="3"/>
      <c r="M46" s="3"/>
      <c r="N46" s="48"/>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c r="EU46" s="3"/>
      <c r="EV46" s="3"/>
      <c r="EW46" s="3"/>
      <c r="EX46" s="3"/>
      <c r="EY46" s="3"/>
      <c r="EZ46" s="3"/>
      <c r="FA46" s="3"/>
      <c r="FB46" s="3"/>
      <c r="FC46" s="3"/>
      <c r="FD46" s="3"/>
      <c r="FE46" s="3"/>
      <c r="FF46" s="3"/>
      <c r="FG46" s="3"/>
      <c r="FH46" s="3"/>
      <c r="FI46" s="3"/>
      <c r="FJ46" s="3"/>
      <c r="FK46" s="3"/>
      <c r="FL46" s="3"/>
      <c r="FM46" s="3"/>
      <c r="FN46" s="3"/>
      <c r="FO46" s="3"/>
      <c r="FP46" s="3"/>
      <c r="FQ46" s="3"/>
      <c r="FR46" s="3"/>
      <c r="FS46" s="3"/>
      <c r="FT46" s="3"/>
      <c r="FU46" s="3"/>
      <c r="FV46" s="3"/>
      <c r="FW46" s="3"/>
      <c r="FX46" s="3"/>
      <c r="FY46" s="3"/>
      <c r="FZ46" s="3"/>
      <c r="GA46" s="3"/>
      <c r="GB46" s="3"/>
      <c r="GC46" s="3"/>
      <c r="GD46" s="3"/>
      <c r="GE46" s="3"/>
      <c r="GF46" s="3"/>
      <c r="GG46" s="3"/>
      <c r="GH46" s="3"/>
      <c r="GI46" s="3"/>
      <c r="GJ46" s="3"/>
      <c r="GK46" s="3"/>
      <c r="GL46" s="3"/>
      <c r="GM46" s="3"/>
      <c r="GN46" s="3"/>
      <c r="GO46" s="3"/>
      <c r="GP46" s="3"/>
      <c r="GQ46" s="3"/>
      <c r="GR46" s="3"/>
      <c r="GS46" s="3"/>
      <c r="GT46" s="3"/>
      <c r="GU46" s="3"/>
      <c r="GV46" s="3"/>
      <c r="GW46" s="3"/>
      <c r="GX46" s="3"/>
      <c r="GY46" s="3"/>
      <c r="GZ46" s="3"/>
      <c r="HA46" s="3"/>
      <c r="HB46" s="3"/>
      <c r="HC46" s="3"/>
      <c r="HD46" s="3"/>
      <c r="HE46" s="3"/>
      <c r="HF46" s="3"/>
      <c r="HG46" s="3"/>
      <c r="HH46" s="3"/>
      <c r="HI46" s="3"/>
      <c r="HJ46" s="3"/>
      <c r="HK46" s="3"/>
      <c r="HL46" s="3"/>
      <c r="HM46" s="3"/>
      <c r="HN46" s="3"/>
      <c r="HO46" s="3"/>
      <c r="HP46" s="3"/>
      <c r="HQ46" s="3"/>
      <c r="HR46" s="3"/>
      <c r="HS46" s="3"/>
      <c r="HT46" s="3"/>
      <c r="HU46" s="3"/>
      <c r="HV46" s="3"/>
      <c r="HW46" s="3"/>
      <c r="HX46" s="3"/>
      <c r="HY46" s="3"/>
      <c r="HZ46" s="3"/>
      <c r="IA46" s="3"/>
      <c r="IB46" s="3"/>
      <c r="IC46" s="3"/>
      <c r="ID46" s="3"/>
      <c r="IE46" s="3"/>
      <c r="IF46" s="3"/>
      <c r="IG46" s="3"/>
      <c r="IH46" s="3"/>
      <c r="II46" s="3"/>
      <c r="IJ46" s="3"/>
      <c r="IK46" s="3"/>
      <c r="IL46" s="3"/>
      <c r="IM46" s="3"/>
      <c r="IN46" s="3"/>
      <c r="IO46" s="3"/>
      <c r="IP46" s="3"/>
      <c r="IQ46" s="3"/>
      <c r="IR46" s="3"/>
      <c r="IS46" s="3"/>
      <c r="IT46" s="3"/>
      <c r="IU46" s="3"/>
      <c r="IV46" s="3"/>
      <c r="IW46" s="3"/>
      <c r="IX46" s="3"/>
      <c r="IY46" s="3"/>
      <c r="IZ46" s="3"/>
      <c r="JA46" s="3"/>
      <c r="JB46" s="3"/>
      <c r="JC46" s="3"/>
      <c r="JD46" s="3"/>
      <c r="JE46" s="3"/>
      <c r="JF46" s="3"/>
      <c r="JG46" s="3"/>
      <c r="JH46" s="3"/>
      <c r="JI46" s="3"/>
      <c r="JJ46" s="3"/>
      <c r="JK46" s="3"/>
      <c r="JL46" s="3"/>
      <c r="JM46" s="3"/>
      <c r="JN46" s="3"/>
      <c r="JO46" s="3"/>
      <c r="JP46" s="3"/>
      <c r="JQ46" s="3"/>
      <c r="JR46" s="3"/>
      <c r="JS46" s="3"/>
      <c r="JT46" s="3"/>
      <c r="JU46" s="3"/>
      <c r="JV46" s="3"/>
      <c r="JW46" s="3"/>
      <c r="JX46" s="3"/>
      <c r="JY46" s="3"/>
      <c r="JZ46" s="3"/>
      <c r="KA46" s="3"/>
      <c r="KB46" s="3"/>
      <c r="KC46" s="3"/>
      <c r="KD46" s="3"/>
      <c r="KE46" s="3"/>
      <c r="KF46" s="3"/>
      <c r="KG46" s="3"/>
      <c r="KH46" s="3"/>
      <c r="KI46" s="3"/>
      <c r="KJ46" s="3"/>
      <c r="KK46" s="3"/>
      <c r="KL46" s="3"/>
      <c r="KM46" s="3"/>
      <c r="KN46" s="3"/>
      <c r="KO46" s="3"/>
      <c r="KP46" s="3"/>
      <c r="KQ46" s="3"/>
      <c r="KR46" s="3"/>
      <c r="KS46" s="3"/>
      <c r="KT46" s="3"/>
      <c r="KU46" s="3"/>
      <c r="KV46" s="3"/>
      <c r="KW46" s="3"/>
      <c r="KX46" s="3"/>
      <c r="KY46" s="3"/>
      <c r="KZ46" s="3"/>
      <c r="LA46" s="3"/>
      <c r="LB46" s="3"/>
      <c r="LC46" s="3"/>
      <c r="LD46" s="3"/>
      <c r="LE46" s="3"/>
      <c r="LF46" s="3"/>
      <c r="LG46" s="3"/>
      <c r="LH46" s="3"/>
      <c r="LI46" s="3"/>
      <c r="LJ46" s="3"/>
      <c r="LK46" s="3"/>
      <c r="LL46" s="3"/>
      <c r="LM46" s="3"/>
      <c r="LN46" s="3"/>
      <c r="LO46" s="3"/>
      <c r="LP46" s="3"/>
      <c r="LQ46" s="3"/>
      <c r="LR46" s="3"/>
      <c r="LS46" s="3"/>
      <c r="LT46" s="3"/>
      <c r="LU46" s="3"/>
      <c r="LV46" s="3"/>
      <c r="LW46" s="3"/>
      <c r="LX46" s="3"/>
      <c r="LY46" s="3"/>
      <c r="LZ46" s="3"/>
      <c r="MA46" s="3"/>
      <c r="MB46" s="3"/>
      <c r="MC46" s="3"/>
      <c r="MD46" s="3"/>
      <c r="ME46" s="3"/>
      <c r="MF46" s="3"/>
      <c r="MG46" s="3"/>
      <c r="MH46" s="3"/>
      <c r="MI46" s="3"/>
      <c r="MJ46" s="3"/>
      <c r="MK46" s="3"/>
      <c r="ML46" s="3"/>
      <c r="MM46" s="3"/>
      <c r="MN46" s="3"/>
      <c r="MO46" s="3"/>
      <c r="MP46" s="3"/>
      <c r="MQ46" s="3"/>
      <c r="MR46" s="3"/>
      <c r="MS46" s="3"/>
      <c r="MT46" s="3"/>
      <c r="MU46" s="3"/>
      <c r="MV46" s="3"/>
      <c r="MW46" s="3"/>
      <c r="MX46" s="3"/>
      <c r="MY46" s="3"/>
      <c r="MZ46" s="3"/>
      <c r="NA46" s="3"/>
      <c r="NB46" s="3"/>
      <c r="NC46" s="3"/>
      <c r="ND46" s="3"/>
      <c r="NE46" s="3"/>
      <c r="NF46" s="3"/>
      <c r="NG46" s="3"/>
      <c r="NH46" s="3"/>
      <c r="NI46" s="3"/>
      <c r="NJ46" s="3"/>
      <c r="NK46" s="3"/>
      <c r="NL46" s="3"/>
      <c r="NM46" s="3"/>
      <c r="NN46" s="3"/>
      <c r="NO46" s="3"/>
      <c r="NP46" s="3"/>
      <c r="NQ46" s="3"/>
      <c r="NR46" s="3"/>
      <c r="NS46" s="3"/>
      <c r="NT46" s="3"/>
      <c r="NU46" s="3"/>
      <c r="NV46" s="3"/>
      <c r="NW46" s="3"/>
      <c r="NX46" s="3"/>
      <c r="NY46" s="3"/>
      <c r="NZ46" s="3"/>
      <c r="OA46" s="3"/>
      <c r="OB46" s="3"/>
      <c r="OC46" s="3"/>
      <c r="OD46" s="3"/>
      <c r="OE46" s="3"/>
      <c r="OF46" s="3"/>
      <c r="OG46" s="3"/>
      <c r="OH46" s="3"/>
      <c r="OI46" s="3"/>
      <c r="OJ46" s="3"/>
      <c r="OK46" s="3"/>
      <c r="OL46" s="3"/>
      <c r="OM46" s="3"/>
      <c r="ON46" s="3"/>
      <c r="OO46" s="3"/>
      <c r="OP46" s="3"/>
      <c r="OQ46" s="3"/>
      <c r="OR46" s="3"/>
      <c r="OS46" s="3"/>
      <c r="OT46" s="3"/>
      <c r="OU46" s="3"/>
      <c r="OV46" s="3"/>
      <c r="OW46" s="3"/>
      <c r="OX46" s="3"/>
      <c r="OY46" s="3"/>
      <c r="OZ46" s="3"/>
      <c r="PA46" s="3"/>
      <c r="PB46" s="3"/>
      <c r="PC46" s="3"/>
      <c r="PD46" s="3"/>
      <c r="PE46" s="3"/>
      <c r="PF46" s="3"/>
      <c r="PG46" s="3"/>
      <c r="PH46" s="3"/>
      <c r="PI46" s="3"/>
      <c r="PJ46" s="3"/>
      <c r="PK46" s="3"/>
      <c r="PL46" s="3"/>
      <c r="PM46" s="3"/>
      <c r="PN46" s="3"/>
      <c r="PO46" s="3"/>
      <c r="PP46" s="3"/>
      <c r="PQ46" s="3"/>
      <c r="PR46" s="3"/>
      <c r="PS46" s="3"/>
      <c r="PT46" s="3"/>
      <c r="PU46" s="3"/>
      <c r="PV46" s="3"/>
      <c r="PW46" s="3"/>
      <c r="PX46" s="3"/>
      <c r="PY46" s="3"/>
      <c r="PZ46" s="3"/>
      <c r="QA46" s="3"/>
      <c r="QB46" s="3"/>
      <c r="QC46" s="3"/>
      <c r="QD46" s="3"/>
      <c r="QE46" s="3"/>
      <c r="QF46" s="3"/>
      <c r="QG46" s="3"/>
      <c r="QH46" s="3"/>
      <c r="QI46" s="3"/>
      <c r="QJ46" s="3"/>
      <c r="QK46" s="3"/>
      <c r="QL46" s="3"/>
      <c r="QM46" s="3"/>
      <c r="QN46" s="3"/>
      <c r="QO46" s="3"/>
      <c r="QP46" s="3"/>
      <c r="QQ46" s="3"/>
      <c r="QR46" s="3"/>
      <c r="QS46" s="3"/>
      <c r="QT46" s="3"/>
      <c r="QU46" s="3"/>
      <c r="QV46" s="3"/>
      <c r="QW46" s="3"/>
      <c r="QX46" s="3"/>
      <c r="QY46" s="3"/>
      <c r="QZ46" s="3"/>
      <c r="RA46" s="3"/>
      <c r="RB46" s="3"/>
      <c r="RC46" s="3"/>
      <c r="RD46" s="3"/>
      <c r="RE46" s="3"/>
      <c r="RF46" s="3"/>
      <c r="RG46" s="3"/>
      <c r="RH46" s="3"/>
      <c r="RI46" s="3"/>
      <c r="RJ46" s="3"/>
      <c r="RK46" s="3"/>
      <c r="RL46" s="3"/>
      <c r="RM46" s="3"/>
      <c r="RN46" s="3"/>
      <c r="RO46" s="3"/>
      <c r="RP46" s="3"/>
      <c r="RQ46" s="3"/>
      <c r="RR46" s="3"/>
      <c r="RS46" s="3"/>
      <c r="RT46" s="3"/>
      <c r="RU46" s="3"/>
      <c r="RV46" s="3"/>
      <c r="RW46" s="3"/>
      <c r="RX46" s="3"/>
      <c r="RY46" s="3"/>
      <c r="RZ46" s="3"/>
      <c r="SA46" s="3"/>
      <c r="SB46" s="3"/>
      <c r="SC46" s="3"/>
      <c r="SD46" s="3"/>
      <c r="SE46" s="3"/>
      <c r="SF46" s="3"/>
      <c r="SG46" s="3"/>
      <c r="SH46" s="3"/>
      <c r="SI46" s="3"/>
      <c r="SJ46" s="3"/>
      <c r="SK46" s="3"/>
      <c r="SL46" s="3"/>
      <c r="SM46" s="3"/>
      <c r="SN46" s="3"/>
      <c r="SO46" s="3"/>
      <c r="SP46" s="3"/>
      <c r="SQ46" s="3"/>
      <c r="SR46" s="3"/>
      <c r="SS46" s="3"/>
      <c r="ST46" s="3"/>
      <c r="SU46" s="3"/>
      <c r="SV46" s="3"/>
      <c r="SW46" s="3"/>
      <c r="SX46" s="3"/>
      <c r="SY46" s="3"/>
      <c r="SZ46" s="3"/>
      <c r="TA46" s="3"/>
      <c r="TB46" s="3"/>
      <c r="TC46" s="3"/>
      <c r="TD46" s="3"/>
      <c r="TE46" s="3"/>
      <c r="TF46" s="3"/>
      <c r="TG46" s="3"/>
      <c r="TH46" s="3"/>
      <c r="TI46" s="3"/>
      <c r="TJ46" s="3"/>
      <c r="TK46" s="3"/>
      <c r="TL46" s="3"/>
      <c r="TM46" s="3"/>
      <c r="TN46" s="3"/>
      <c r="TO46" s="3"/>
      <c r="TP46" s="3"/>
      <c r="TQ46" s="3"/>
      <c r="TR46" s="3"/>
      <c r="TS46" s="3"/>
      <c r="TT46" s="3"/>
      <c r="TU46" s="3"/>
      <c r="TV46" s="3"/>
      <c r="TW46" s="3"/>
      <c r="TX46" s="3"/>
      <c r="TY46" s="3"/>
      <c r="TZ46" s="3"/>
      <c r="UA46" s="3"/>
      <c r="UB46" s="3"/>
      <c r="UC46" s="3"/>
      <c r="UD46" s="3"/>
      <c r="UE46" s="3"/>
      <c r="UF46" s="3"/>
      <c r="UG46" s="3"/>
      <c r="UH46" s="3"/>
      <c r="UI46" s="3"/>
      <c r="UJ46" s="3"/>
      <c r="UK46" s="3"/>
      <c r="UL46" s="3"/>
      <c r="UM46" s="3"/>
      <c r="UN46" s="3"/>
      <c r="UO46" s="3"/>
      <c r="UP46" s="3"/>
      <c r="UQ46" s="3"/>
      <c r="UR46" s="3"/>
      <c r="US46" s="3"/>
      <c r="UT46" s="3"/>
      <c r="UU46" s="3"/>
      <c r="UV46" s="3"/>
      <c r="UW46" s="3"/>
      <c r="UX46" s="3"/>
      <c r="UY46" s="3"/>
      <c r="UZ46" s="3"/>
      <c r="VA46" s="3"/>
      <c r="VB46" s="3"/>
      <c r="VC46" s="3"/>
      <c r="VD46" s="3"/>
      <c r="VE46" s="3"/>
      <c r="VF46" s="3"/>
      <c r="VG46" s="3"/>
      <c r="VH46" s="3"/>
      <c r="VI46" s="3"/>
      <c r="VJ46" s="3"/>
      <c r="VK46" s="3"/>
      <c r="VL46" s="3"/>
      <c r="VM46" s="3"/>
      <c r="VN46" s="3"/>
      <c r="VO46" s="3"/>
      <c r="VP46" s="3"/>
      <c r="VQ46" s="3"/>
      <c r="VR46" s="3"/>
      <c r="VS46" s="3"/>
      <c r="VT46" s="3"/>
      <c r="VU46" s="3"/>
      <c r="VV46" s="3"/>
      <c r="VW46" s="3"/>
      <c r="VX46" s="3"/>
      <c r="VY46" s="3"/>
      <c r="VZ46" s="3"/>
      <c r="WA46" s="3"/>
      <c r="WB46" s="3"/>
      <c r="WC46" s="3"/>
      <c r="WD46" s="3"/>
      <c r="WE46" s="3"/>
      <c r="WF46" s="3"/>
      <c r="WG46" s="3"/>
      <c r="WH46" s="3"/>
      <c r="WI46" s="3"/>
      <c r="WJ46" s="3"/>
      <c r="WK46" s="3"/>
      <c r="WL46" s="3"/>
      <c r="WM46" s="3"/>
      <c r="WN46" s="3"/>
      <c r="WO46" s="3"/>
      <c r="WP46" s="3"/>
      <c r="WQ46" s="3"/>
      <c r="WR46" s="3"/>
      <c r="WS46" s="3"/>
      <c r="WT46" s="3"/>
      <c r="WU46" s="3"/>
      <c r="WV46" s="3"/>
      <c r="WW46" s="3"/>
      <c r="WX46" s="3"/>
      <c r="WY46" s="3"/>
      <c r="WZ46" s="3"/>
      <c r="XA46" s="3"/>
      <c r="XB46" s="3"/>
      <c r="XC46" s="3"/>
      <c r="XD46" s="3"/>
      <c r="XE46" s="3"/>
      <c r="XF46" s="3"/>
      <c r="XG46" s="3"/>
      <c r="XH46" s="3"/>
      <c r="XI46" s="3"/>
      <c r="XJ46" s="3"/>
      <c r="XK46" s="3"/>
      <c r="XL46" s="3"/>
      <c r="XM46" s="3"/>
      <c r="XN46" s="3"/>
      <c r="XO46" s="3"/>
      <c r="XP46" s="3"/>
      <c r="XQ46" s="3"/>
      <c r="XR46" s="3"/>
      <c r="XS46" s="3"/>
      <c r="XT46" s="3"/>
      <c r="XU46" s="3"/>
      <c r="XV46" s="3"/>
      <c r="XW46" s="3"/>
      <c r="XX46" s="3"/>
      <c r="XY46" s="3"/>
      <c r="XZ46" s="3"/>
      <c r="YA46" s="3"/>
      <c r="YB46" s="3"/>
      <c r="YC46" s="3"/>
      <c r="YD46" s="3"/>
      <c r="YE46" s="3"/>
      <c r="YF46" s="3"/>
      <c r="YG46" s="3"/>
      <c r="YH46" s="3"/>
      <c r="YI46" s="3"/>
      <c r="YJ46" s="3"/>
      <c r="YK46" s="3"/>
      <c r="YL46" s="3"/>
      <c r="YM46" s="3"/>
      <c r="YN46" s="3"/>
      <c r="YO46" s="3"/>
      <c r="YP46" s="3"/>
      <c r="YQ46" s="3"/>
      <c r="YR46" s="3"/>
      <c r="YS46" s="3"/>
      <c r="YT46" s="3"/>
      <c r="YU46" s="3"/>
      <c r="YV46" s="3"/>
      <c r="YW46" s="3"/>
      <c r="YX46" s="3"/>
      <c r="YY46" s="3"/>
      <c r="YZ46" s="3"/>
      <c r="ZA46" s="3"/>
      <c r="ZB46" s="3"/>
      <c r="ZC46" s="3"/>
    </row>
    <row r="47" spans="1:679" s="2" customFormat="1" x14ac:dyDescent="0.45">
      <c r="A47" s="3" t="s">
        <v>11</v>
      </c>
      <c r="B47" s="4">
        <v>31043</v>
      </c>
      <c r="C47" s="7" t="s">
        <v>25</v>
      </c>
      <c r="D47" s="6" t="s">
        <v>61</v>
      </c>
      <c r="E47" s="3"/>
      <c r="F47" s="3">
        <v>2</v>
      </c>
      <c r="L47" s="3"/>
      <c r="M47" s="3"/>
      <c r="N47" s="48"/>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c r="DK47" s="3"/>
      <c r="DL47" s="3"/>
      <c r="DM47" s="3"/>
      <c r="DN47" s="3"/>
      <c r="DO47" s="3"/>
      <c r="DP47" s="3"/>
      <c r="DQ47" s="3"/>
      <c r="DR47" s="3"/>
      <c r="DS47" s="3"/>
      <c r="DT47" s="3"/>
      <c r="DU47" s="3"/>
      <c r="DV47" s="3"/>
      <c r="DW47" s="3"/>
      <c r="DX47" s="3"/>
      <c r="DY47" s="3"/>
      <c r="DZ47" s="3"/>
      <c r="EA47" s="3"/>
      <c r="EB47" s="3"/>
      <c r="EC47" s="3"/>
      <c r="ED47" s="3"/>
      <c r="EE47" s="3"/>
      <c r="EF47" s="3"/>
      <c r="EG47" s="3"/>
      <c r="EH47" s="3"/>
      <c r="EI47" s="3"/>
      <c r="EJ47" s="3"/>
      <c r="EK47" s="3"/>
      <c r="EL47" s="3"/>
      <c r="EM47" s="3"/>
      <c r="EN47" s="3"/>
      <c r="EO47" s="3"/>
      <c r="EP47" s="3"/>
      <c r="EQ47" s="3"/>
      <c r="ER47" s="3"/>
      <c r="ES47" s="3"/>
      <c r="ET47" s="3"/>
      <c r="EU47" s="3"/>
      <c r="EV47" s="3"/>
      <c r="EW47" s="3"/>
      <c r="EX47" s="3"/>
      <c r="EY47" s="3"/>
      <c r="EZ47" s="3"/>
      <c r="FA47" s="3"/>
      <c r="FB47" s="3"/>
      <c r="FC47" s="3"/>
      <c r="FD47" s="3"/>
      <c r="FE47" s="3"/>
      <c r="FF47" s="3"/>
      <c r="FG47" s="3"/>
      <c r="FH47" s="3"/>
      <c r="FI47" s="3"/>
      <c r="FJ47" s="3"/>
      <c r="FK47" s="3"/>
      <c r="FL47" s="3"/>
      <c r="FM47" s="3"/>
      <c r="FN47" s="3"/>
      <c r="FO47" s="3"/>
      <c r="FP47" s="3"/>
      <c r="FQ47" s="3"/>
      <c r="FR47" s="3"/>
      <c r="FS47" s="3"/>
      <c r="FT47" s="3"/>
      <c r="FU47" s="3"/>
      <c r="FV47" s="3"/>
      <c r="FW47" s="3"/>
      <c r="FX47" s="3"/>
      <c r="FY47" s="3"/>
      <c r="FZ47" s="3"/>
      <c r="GA47" s="3"/>
      <c r="GB47" s="3"/>
      <c r="GC47" s="3"/>
      <c r="GD47" s="3"/>
      <c r="GE47" s="3"/>
      <c r="GF47" s="3"/>
      <c r="GG47" s="3"/>
      <c r="GH47" s="3"/>
      <c r="GI47" s="3"/>
      <c r="GJ47" s="3"/>
      <c r="GK47" s="3"/>
      <c r="GL47" s="3"/>
      <c r="GM47" s="3"/>
      <c r="GN47" s="3"/>
      <c r="GO47" s="3"/>
      <c r="GP47" s="3"/>
      <c r="GQ47" s="3"/>
      <c r="GR47" s="3"/>
      <c r="GS47" s="3"/>
      <c r="GT47" s="3"/>
      <c r="GU47" s="3"/>
      <c r="GV47" s="3"/>
      <c r="GW47" s="3"/>
      <c r="GX47" s="3"/>
      <c r="GY47" s="3"/>
      <c r="GZ47" s="3"/>
      <c r="HA47" s="3"/>
      <c r="HB47" s="3"/>
      <c r="HC47" s="3"/>
      <c r="HD47" s="3"/>
      <c r="HE47" s="3"/>
      <c r="HF47" s="3"/>
      <c r="HG47" s="3"/>
      <c r="HH47" s="3"/>
      <c r="HI47" s="3"/>
      <c r="HJ47" s="3"/>
      <c r="HK47" s="3"/>
      <c r="HL47" s="3"/>
      <c r="HM47" s="3"/>
      <c r="HN47" s="3"/>
      <c r="HO47" s="3"/>
      <c r="HP47" s="3"/>
      <c r="HQ47" s="3"/>
      <c r="HR47" s="3"/>
      <c r="HS47" s="3"/>
      <c r="HT47" s="3"/>
      <c r="HU47" s="3"/>
      <c r="HV47" s="3"/>
      <c r="HW47" s="3"/>
      <c r="HX47" s="3"/>
      <c r="HY47" s="3"/>
      <c r="HZ47" s="3"/>
      <c r="IA47" s="3"/>
      <c r="IB47" s="3"/>
      <c r="IC47" s="3"/>
      <c r="ID47" s="3"/>
      <c r="IE47" s="3"/>
      <c r="IF47" s="3"/>
      <c r="IG47" s="3"/>
      <c r="IH47" s="3"/>
      <c r="II47" s="3"/>
      <c r="IJ47" s="3"/>
      <c r="IK47" s="3"/>
      <c r="IL47" s="3"/>
      <c r="IM47" s="3"/>
      <c r="IN47" s="3"/>
      <c r="IO47" s="3"/>
      <c r="IP47" s="3"/>
      <c r="IQ47" s="3"/>
      <c r="IR47" s="3"/>
      <c r="IS47" s="3"/>
      <c r="IT47" s="3"/>
      <c r="IU47" s="3"/>
      <c r="IV47" s="3"/>
      <c r="IW47" s="3"/>
      <c r="IX47" s="3"/>
      <c r="IY47" s="3"/>
      <c r="IZ47" s="3"/>
      <c r="JA47" s="3"/>
      <c r="JB47" s="3"/>
      <c r="JC47" s="3"/>
      <c r="JD47" s="3"/>
      <c r="JE47" s="3"/>
      <c r="JF47" s="3"/>
      <c r="JG47" s="3"/>
      <c r="JH47" s="3"/>
      <c r="JI47" s="3"/>
      <c r="JJ47" s="3"/>
      <c r="JK47" s="3"/>
      <c r="JL47" s="3"/>
      <c r="JM47" s="3"/>
      <c r="JN47" s="3"/>
      <c r="JO47" s="3"/>
      <c r="JP47" s="3"/>
      <c r="JQ47" s="3"/>
      <c r="JR47" s="3"/>
      <c r="JS47" s="3"/>
      <c r="JT47" s="3"/>
      <c r="JU47" s="3"/>
      <c r="JV47" s="3"/>
      <c r="JW47" s="3"/>
      <c r="JX47" s="3"/>
      <c r="JY47" s="3"/>
      <c r="JZ47" s="3"/>
      <c r="KA47" s="3"/>
      <c r="KB47" s="3"/>
      <c r="KC47" s="3"/>
      <c r="KD47" s="3"/>
      <c r="KE47" s="3"/>
      <c r="KF47" s="3"/>
      <c r="KG47" s="3"/>
      <c r="KH47" s="3"/>
      <c r="KI47" s="3"/>
      <c r="KJ47" s="3"/>
      <c r="KK47" s="3"/>
      <c r="KL47" s="3"/>
      <c r="KM47" s="3"/>
      <c r="KN47" s="3"/>
      <c r="KO47" s="3"/>
      <c r="KP47" s="3"/>
      <c r="KQ47" s="3"/>
      <c r="KR47" s="3"/>
      <c r="KS47" s="3"/>
      <c r="KT47" s="3"/>
      <c r="KU47" s="3"/>
      <c r="KV47" s="3"/>
      <c r="KW47" s="3"/>
      <c r="KX47" s="3"/>
      <c r="KY47" s="3"/>
      <c r="KZ47" s="3"/>
      <c r="LA47" s="3"/>
      <c r="LB47" s="3"/>
      <c r="LC47" s="3"/>
      <c r="LD47" s="3"/>
      <c r="LE47" s="3"/>
      <c r="LF47" s="3"/>
      <c r="LG47" s="3"/>
      <c r="LH47" s="3"/>
      <c r="LI47" s="3"/>
      <c r="LJ47" s="3"/>
      <c r="LK47" s="3"/>
      <c r="LL47" s="3"/>
      <c r="LM47" s="3"/>
      <c r="LN47" s="3"/>
      <c r="LO47" s="3"/>
      <c r="LP47" s="3"/>
      <c r="LQ47" s="3"/>
      <c r="LR47" s="3"/>
      <c r="LS47" s="3"/>
      <c r="LT47" s="3"/>
      <c r="LU47" s="3"/>
      <c r="LV47" s="3"/>
      <c r="LW47" s="3"/>
      <c r="LX47" s="3"/>
      <c r="LY47" s="3"/>
      <c r="LZ47" s="3"/>
      <c r="MA47" s="3"/>
      <c r="MB47" s="3"/>
      <c r="MC47" s="3"/>
      <c r="MD47" s="3"/>
      <c r="ME47" s="3"/>
      <c r="MF47" s="3"/>
      <c r="MG47" s="3"/>
      <c r="MH47" s="3"/>
      <c r="MI47" s="3"/>
      <c r="MJ47" s="3"/>
      <c r="MK47" s="3"/>
      <c r="ML47" s="3"/>
      <c r="MM47" s="3"/>
      <c r="MN47" s="3"/>
      <c r="MO47" s="3"/>
      <c r="MP47" s="3"/>
      <c r="MQ47" s="3"/>
      <c r="MR47" s="3"/>
      <c r="MS47" s="3"/>
      <c r="MT47" s="3"/>
      <c r="MU47" s="3"/>
      <c r="MV47" s="3"/>
      <c r="MW47" s="3"/>
      <c r="MX47" s="3"/>
      <c r="MY47" s="3"/>
      <c r="MZ47" s="3"/>
      <c r="NA47" s="3"/>
      <c r="NB47" s="3"/>
      <c r="NC47" s="3"/>
      <c r="ND47" s="3"/>
      <c r="NE47" s="3"/>
      <c r="NF47" s="3"/>
      <c r="NG47" s="3"/>
      <c r="NH47" s="3"/>
      <c r="NI47" s="3"/>
      <c r="NJ47" s="3"/>
      <c r="NK47" s="3"/>
      <c r="NL47" s="3"/>
      <c r="NM47" s="3"/>
      <c r="NN47" s="3"/>
      <c r="NO47" s="3"/>
      <c r="NP47" s="3"/>
      <c r="NQ47" s="3"/>
      <c r="NR47" s="3"/>
      <c r="NS47" s="3"/>
      <c r="NT47" s="3"/>
      <c r="NU47" s="3"/>
      <c r="NV47" s="3"/>
      <c r="NW47" s="3"/>
      <c r="NX47" s="3"/>
      <c r="NY47" s="3"/>
      <c r="NZ47" s="3"/>
      <c r="OA47" s="3"/>
      <c r="OB47" s="3"/>
      <c r="OC47" s="3"/>
      <c r="OD47" s="3"/>
      <c r="OE47" s="3"/>
      <c r="OF47" s="3"/>
      <c r="OG47" s="3"/>
      <c r="OH47" s="3"/>
      <c r="OI47" s="3"/>
      <c r="OJ47" s="3"/>
      <c r="OK47" s="3"/>
      <c r="OL47" s="3"/>
      <c r="OM47" s="3"/>
      <c r="ON47" s="3"/>
      <c r="OO47" s="3"/>
      <c r="OP47" s="3"/>
      <c r="OQ47" s="3"/>
      <c r="OR47" s="3"/>
      <c r="OS47" s="3"/>
      <c r="OT47" s="3"/>
      <c r="OU47" s="3"/>
      <c r="OV47" s="3"/>
      <c r="OW47" s="3"/>
      <c r="OX47" s="3"/>
      <c r="OY47" s="3"/>
      <c r="OZ47" s="3"/>
      <c r="PA47" s="3"/>
      <c r="PB47" s="3"/>
      <c r="PC47" s="3"/>
      <c r="PD47" s="3"/>
      <c r="PE47" s="3"/>
      <c r="PF47" s="3"/>
      <c r="PG47" s="3"/>
      <c r="PH47" s="3"/>
      <c r="PI47" s="3"/>
      <c r="PJ47" s="3"/>
      <c r="PK47" s="3"/>
      <c r="PL47" s="3"/>
      <c r="PM47" s="3"/>
      <c r="PN47" s="3"/>
      <c r="PO47" s="3"/>
      <c r="PP47" s="3"/>
      <c r="PQ47" s="3"/>
      <c r="PR47" s="3"/>
      <c r="PS47" s="3"/>
      <c r="PT47" s="3"/>
      <c r="PU47" s="3"/>
      <c r="PV47" s="3"/>
      <c r="PW47" s="3"/>
      <c r="PX47" s="3"/>
      <c r="PY47" s="3"/>
      <c r="PZ47" s="3"/>
      <c r="QA47" s="3"/>
      <c r="QB47" s="3"/>
      <c r="QC47" s="3"/>
      <c r="QD47" s="3"/>
      <c r="QE47" s="3"/>
      <c r="QF47" s="3"/>
      <c r="QG47" s="3"/>
      <c r="QH47" s="3"/>
      <c r="QI47" s="3"/>
      <c r="QJ47" s="3"/>
      <c r="QK47" s="3"/>
      <c r="QL47" s="3"/>
      <c r="QM47" s="3"/>
      <c r="QN47" s="3"/>
      <c r="QO47" s="3"/>
      <c r="QP47" s="3"/>
      <c r="QQ47" s="3"/>
      <c r="QR47" s="3"/>
      <c r="QS47" s="3"/>
      <c r="QT47" s="3"/>
      <c r="QU47" s="3"/>
      <c r="QV47" s="3"/>
      <c r="QW47" s="3"/>
      <c r="QX47" s="3"/>
      <c r="QY47" s="3"/>
      <c r="QZ47" s="3"/>
      <c r="RA47" s="3"/>
      <c r="RB47" s="3"/>
      <c r="RC47" s="3"/>
      <c r="RD47" s="3"/>
      <c r="RE47" s="3"/>
      <c r="RF47" s="3"/>
      <c r="RG47" s="3"/>
      <c r="RH47" s="3"/>
      <c r="RI47" s="3"/>
      <c r="RJ47" s="3"/>
      <c r="RK47" s="3"/>
      <c r="RL47" s="3"/>
      <c r="RM47" s="3"/>
      <c r="RN47" s="3"/>
      <c r="RO47" s="3"/>
      <c r="RP47" s="3"/>
      <c r="RQ47" s="3"/>
      <c r="RR47" s="3"/>
      <c r="RS47" s="3"/>
      <c r="RT47" s="3"/>
      <c r="RU47" s="3"/>
      <c r="RV47" s="3"/>
      <c r="RW47" s="3"/>
      <c r="RX47" s="3"/>
      <c r="RY47" s="3"/>
      <c r="RZ47" s="3"/>
      <c r="SA47" s="3"/>
      <c r="SB47" s="3"/>
      <c r="SC47" s="3"/>
      <c r="SD47" s="3"/>
      <c r="SE47" s="3"/>
      <c r="SF47" s="3"/>
      <c r="SG47" s="3"/>
      <c r="SH47" s="3"/>
      <c r="SI47" s="3"/>
      <c r="SJ47" s="3"/>
      <c r="SK47" s="3"/>
      <c r="SL47" s="3"/>
      <c r="SM47" s="3"/>
      <c r="SN47" s="3"/>
      <c r="SO47" s="3"/>
      <c r="SP47" s="3"/>
      <c r="SQ47" s="3"/>
      <c r="SR47" s="3"/>
      <c r="SS47" s="3"/>
      <c r="ST47" s="3"/>
      <c r="SU47" s="3"/>
      <c r="SV47" s="3"/>
      <c r="SW47" s="3"/>
      <c r="SX47" s="3"/>
      <c r="SY47" s="3"/>
      <c r="SZ47" s="3"/>
      <c r="TA47" s="3"/>
      <c r="TB47" s="3"/>
      <c r="TC47" s="3"/>
      <c r="TD47" s="3"/>
      <c r="TE47" s="3"/>
      <c r="TF47" s="3"/>
      <c r="TG47" s="3"/>
      <c r="TH47" s="3"/>
      <c r="TI47" s="3"/>
      <c r="TJ47" s="3"/>
      <c r="TK47" s="3"/>
      <c r="TL47" s="3"/>
      <c r="TM47" s="3"/>
      <c r="TN47" s="3"/>
      <c r="TO47" s="3"/>
      <c r="TP47" s="3"/>
      <c r="TQ47" s="3"/>
      <c r="TR47" s="3"/>
      <c r="TS47" s="3"/>
      <c r="TT47" s="3"/>
      <c r="TU47" s="3"/>
      <c r="TV47" s="3"/>
      <c r="TW47" s="3"/>
      <c r="TX47" s="3"/>
      <c r="TY47" s="3"/>
      <c r="TZ47" s="3"/>
      <c r="UA47" s="3"/>
      <c r="UB47" s="3"/>
      <c r="UC47" s="3"/>
      <c r="UD47" s="3"/>
      <c r="UE47" s="3"/>
      <c r="UF47" s="3"/>
      <c r="UG47" s="3"/>
      <c r="UH47" s="3"/>
      <c r="UI47" s="3"/>
      <c r="UJ47" s="3"/>
      <c r="UK47" s="3"/>
      <c r="UL47" s="3"/>
      <c r="UM47" s="3"/>
      <c r="UN47" s="3"/>
      <c r="UO47" s="3"/>
      <c r="UP47" s="3"/>
      <c r="UQ47" s="3"/>
      <c r="UR47" s="3"/>
      <c r="US47" s="3"/>
      <c r="UT47" s="3"/>
      <c r="UU47" s="3"/>
      <c r="UV47" s="3"/>
      <c r="UW47" s="3"/>
      <c r="UX47" s="3"/>
      <c r="UY47" s="3"/>
      <c r="UZ47" s="3"/>
      <c r="VA47" s="3"/>
      <c r="VB47" s="3"/>
      <c r="VC47" s="3"/>
      <c r="VD47" s="3"/>
      <c r="VE47" s="3"/>
      <c r="VF47" s="3"/>
      <c r="VG47" s="3"/>
      <c r="VH47" s="3"/>
      <c r="VI47" s="3"/>
      <c r="VJ47" s="3"/>
      <c r="VK47" s="3"/>
      <c r="VL47" s="3"/>
      <c r="VM47" s="3"/>
      <c r="VN47" s="3"/>
      <c r="VO47" s="3"/>
      <c r="VP47" s="3"/>
      <c r="VQ47" s="3"/>
      <c r="VR47" s="3"/>
      <c r="VS47" s="3"/>
      <c r="VT47" s="3"/>
      <c r="VU47" s="3"/>
      <c r="VV47" s="3"/>
      <c r="VW47" s="3"/>
      <c r="VX47" s="3"/>
      <c r="VY47" s="3"/>
      <c r="VZ47" s="3"/>
      <c r="WA47" s="3"/>
      <c r="WB47" s="3"/>
      <c r="WC47" s="3"/>
      <c r="WD47" s="3"/>
      <c r="WE47" s="3"/>
      <c r="WF47" s="3"/>
      <c r="WG47" s="3"/>
      <c r="WH47" s="3"/>
      <c r="WI47" s="3"/>
      <c r="WJ47" s="3"/>
      <c r="WK47" s="3"/>
      <c r="WL47" s="3"/>
      <c r="WM47" s="3"/>
      <c r="WN47" s="3"/>
      <c r="WO47" s="3"/>
      <c r="WP47" s="3"/>
      <c r="WQ47" s="3"/>
      <c r="WR47" s="3"/>
      <c r="WS47" s="3"/>
      <c r="WT47" s="3"/>
      <c r="WU47" s="3"/>
      <c r="WV47" s="3"/>
      <c r="WW47" s="3"/>
      <c r="WX47" s="3"/>
      <c r="WY47" s="3"/>
      <c r="WZ47" s="3"/>
      <c r="XA47" s="3"/>
      <c r="XB47" s="3"/>
      <c r="XC47" s="3"/>
      <c r="XD47" s="3"/>
      <c r="XE47" s="3"/>
      <c r="XF47" s="3"/>
      <c r="XG47" s="3"/>
      <c r="XH47" s="3"/>
      <c r="XI47" s="3"/>
      <c r="XJ47" s="3"/>
      <c r="XK47" s="3"/>
      <c r="XL47" s="3"/>
      <c r="XM47" s="3"/>
      <c r="XN47" s="3"/>
      <c r="XO47" s="3"/>
      <c r="XP47" s="3"/>
      <c r="XQ47" s="3"/>
      <c r="XR47" s="3"/>
      <c r="XS47" s="3"/>
      <c r="XT47" s="3"/>
      <c r="XU47" s="3"/>
      <c r="XV47" s="3"/>
      <c r="XW47" s="3"/>
      <c r="XX47" s="3"/>
      <c r="XY47" s="3"/>
      <c r="XZ47" s="3"/>
      <c r="YA47" s="3"/>
      <c r="YB47" s="3"/>
      <c r="YC47" s="3"/>
      <c r="YD47" s="3"/>
      <c r="YE47" s="3"/>
      <c r="YF47" s="3"/>
      <c r="YG47" s="3"/>
      <c r="YH47" s="3"/>
      <c r="YI47" s="3"/>
      <c r="YJ47" s="3"/>
      <c r="YK47" s="3"/>
      <c r="YL47" s="3"/>
      <c r="YM47" s="3"/>
      <c r="YN47" s="3"/>
      <c r="YO47" s="3"/>
      <c r="YP47" s="3"/>
      <c r="YQ47" s="3"/>
      <c r="YR47" s="3"/>
      <c r="YS47" s="3"/>
      <c r="YT47" s="3"/>
      <c r="YU47" s="3"/>
      <c r="YV47" s="3"/>
      <c r="YW47" s="3"/>
      <c r="YX47" s="3"/>
      <c r="YY47" s="3"/>
      <c r="YZ47" s="3"/>
      <c r="ZA47" s="3"/>
      <c r="ZB47" s="3"/>
      <c r="ZC47" s="3"/>
    </row>
    <row r="48" spans="1:679" s="2" customFormat="1" x14ac:dyDescent="0.45">
      <c r="A48" s="3" t="s">
        <v>11</v>
      </c>
      <c r="B48" s="4">
        <v>31048</v>
      </c>
      <c r="C48" s="7" t="s">
        <v>21</v>
      </c>
      <c r="D48" s="6" t="s">
        <v>62</v>
      </c>
      <c r="E48" s="3"/>
      <c r="F48" s="3">
        <v>3</v>
      </c>
      <c r="L48" s="3"/>
      <c r="M48" s="3"/>
      <c r="N48" s="48"/>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c r="EC48" s="3"/>
      <c r="ED48" s="3"/>
      <c r="EE48" s="3"/>
      <c r="EF48" s="3"/>
      <c r="EG48" s="3"/>
      <c r="EH48" s="3"/>
      <c r="EI48" s="3"/>
      <c r="EJ48" s="3"/>
      <c r="EK48" s="3"/>
      <c r="EL48" s="3"/>
      <c r="EM48" s="3"/>
      <c r="EN48" s="3"/>
      <c r="EO48" s="3"/>
      <c r="EP48" s="3"/>
      <c r="EQ48" s="3"/>
      <c r="ER48" s="3"/>
      <c r="ES48" s="3"/>
      <c r="ET48" s="3"/>
      <c r="EU48" s="3"/>
      <c r="EV48" s="3"/>
      <c r="EW48" s="3"/>
      <c r="EX48" s="3"/>
      <c r="EY48" s="3"/>
      <c r="EZ48" s="3"/>
      <c r="FA48" s="3"/>
      <c r="FB48" s="3"/>
      <c r="FC48" s="3"/>
      <c r="FD48" s="3"/>
      <c r="FE48" s="3"/>
      <c r="FF48" s="3"/>
      <c r="FG48" s="3"/>
      <c r="FH48" s="3"/>
      <c r="FI48" s="3"/>
      <c r="FJ48" s="3"/>
      <c r="FK48" s="3"/>
      <c r="FL48" s="3"/>
      <c r="FM48" s="3"/>
      <c r="FN48" s="3"/>
      <c r="FO48" s="3"/>
      <c r="FP48" s="3"/>
      <c r="FQ48" s="3"/>
      <c r="FR48" s="3"/>
      <c r="FS48" s="3"/>
      <c r="FT48" s="3"/>
      <c r="FU48" s="3"/>
      <c r="FV48" s="3"/>
      <c r="FW48" s="3"/>
      <c r="FX48" s="3"/>
      <c r="FY48" s="3"/>
      <c r="FZ48" s="3"/>
      <c r="GA48" s="3"/>
      <c r="GB48" s="3"/>
      <c r="GC48" s="3"/>
      <c r="GD48" s="3"/>
      <c r="GE48" s="3"/>
      <c r="GF48" s="3"/>
      <c r="GG48" s="3"/>
      <c r="GH48" s="3"/>
      <c r="GI48" s="3"/>
      <c r="GJ48" s="3"/>
      <c r="GK48" s="3"/>
      <c r="GL48" s="3"/>
      <c r="GM48" s="3"/>
      <c r="GN48" s="3"/>
      <c r="GO48" s="3"/>
      <c r="GP48" s="3"/>
      <c r="GQ48" s="3"/>
      <c r="GR48" s="3"/>
      <c r="GS48" s="3"/>
      <c r="GT48" s="3"/>
      <c r="GU48" s="3"/>
      <c r="GV48" s="3"/>
      <c r="GW48" s="3"/>
      <c r="GX48" s="3"/>
      <c r="GY48" s="3"/>
      <c r="GZ48" s="3"/>
      <c r="HA48" s="3"/>
      <c r="HB48" s="3"/>
      <c r="HC48" s="3"/>
      <c r="HD48" s="3"/>
      <c r="HE48" s="3"/>
      <c r="HF48" s="3"/>
      <c r="HG48" s="3"/>
      <c r="HH48" s="3"/>
      <c r="HI48" s="3"/>
      <c r="HJ48" s="3"/>
      <c r="HK48" s="3"/>
      <c r="HL48" s="3"/>
      <c r="HM48" s="3"/>
      <c r="HN48" s="3"/>
      <c r="HO48" s="3"/>
      <c r="HP48" s="3"/>
      <c r="HQ48" s="3"/>
      <c r="HR48" s="3"/>
      <c r="HS48" s="3"/>
      <c r="HT48" s="3"/>
      <c r="HU48" s="3"/>
      <c r="HV48" s="3"/>
      <c r="HW48" s="3"/>
      <c r="HX48" s="3"/>
      <c r="HY48" s="3"/>
      <c r="HZ48" s="3"/>
      <c r="IA48" s="3"/>
      <c r="IB48" s="3"/>
      <c r="IC48" s="3"/>
      <c r="ID48" s="3"/>
      <c r="IE48" s="3"/>
      <c r="IF48" s="3"/>
      <c r="IG48" s="3"/>
      <c r="IH48" s="3"/>
      <c r="II48" s="3"/>
      <c r="IJ48" s="3"/>
      <c r="IK48" s="3"/>
      <c r="IL48" s="3"/>
      <c r="IM48" s="3"/>
      <c r="IN48" s="3"/>
      <c r="IO48" s="3"/>
      <c r="IP48" s="3"/>
      <c r="IQ48" s="3"/>
      <c r="IR48" s="3"/>
      <c r="IS48" s="3"/>
      <c r="IT48" s="3"/>
      <c r="IU48" s="3"/>
      <c r="IV48" s="3"/>
      <c r="IW48" s="3"/>
      <c r="IX48" s="3"/>
      <c r="IY48" s="3"/>
      <c r="IZ48" s="3"/>
      <c r="JA48" s="3"/>
      <c r="JB48" s="3"/>
      <c r="JC48" s="3"/>
      <c r="JD48" s="3"/>
      <c r="JE48" s="3"/>
      <c r="JF48" s="3"/>
      <c r="JG48" s="3"/>
      <c r="JH48" s="3"/>
      <c r="JI48" s="3"/>
      <c r="JJ48" s="3"/>
      <c r="JK48" s="3"/>
      <c r="JL48" s="3"/>
      <c r="JM48" s="3"/>
      <c r="JN48" s="3"/>
      <c r="JO48" s="3"/>
      <c r="JP48" s="3"/>
      <c r="JQ48" s="3"/>
      <c r="JR48" s="3"/>
      <c r="JS48" s="3"/>
      <c r="JT48" s="3"/>
      <c r="JU48" s="3"/>
      <c r="JV48" s="3"/>
      <c r="JW48" s="3"/>
      <c r="JX48" s="3"/>
      <c r="JY48" s="3"/>
      <c r="JZ48" s="3"/>
      <c r="KA48" s="3"/>
      <c r="KB48" s="3"/>
      <c r="KC48" s="3"/>
      <c r="KD48" s="3"/>
      <c r="KE48" s="3"/>
      <c r="KF48" s="3"/>
      <c r="KG48" s="3"/>
      <c r="KH48" s="3"/>
      <c r="KI48" s="3"/>
      <c r="KJ48" s="3"/>
      <c r="KK48" s="3"/>
      <c r="KL48" s="3"/>
      <c r="KM48" s="3"/>
      <c r="KN48" s="3"/>
      <c r="KO48" s="3"/>
      <c r="KP48" s="3"/>
      <c r="KQ48" s="3"/>
      <c r="KR48" s="3"/>
      <c r="KS48" s="3"/>
      <c r="KT48" s="3"/>
      <c r="KU48" s="3"/>
      <c r="KV48" s="3"/>
      <c r="KW48" s="3"/>
      <c r="KX48" s="3"/>
      <c r="KY48" s="3"/>
      <c r="KZ48" s="3"/>
      <c r="LA48" s="3"/>
      <c r="LB48" s="3"/>
      <c r="LC48" s="3"/>
      <c r="LD48" s="3"/>
      <c r="LE48" s="3"/>
      <c r="LF48" s="3"/>
      <c r="LG48" s="3"/>
      <c r="LH48" s="3"/>
      <c r="LI48" s="3"/>
      <c r="LJ48" s="3"/>
      <c r="LK48" s="3"/>
      <c r="LL48" s="3"/>
      <c r="LM48" s="3"/>
      <c r="LN48" s="3"/>
      <c r="LO48" s="3"/>
      <c r="LP48" s="3"/>
      <c r="LQ48" s="3"/>
      <c r="LR48" s="3"/>
      <c r="LS48" s="3"/>
      <c r="LT48" s="3"/>
      <c r="LU48" s="3"/>
      <c r="LV48" s="3"/>
      <c r="LW48" s="3"/>
      <c r="LX48" s="3"/>
      <c r="LY48" s="3"/>
      <c r="LZ48" s="3"/>
      <c r="MA48" s="3"/>
      <c r="MB48" s="3"/>
      <c r="MC48" s="3"/>
      <c r="MD48" s="3"/>
      <c r="ME48" s="3"/>
      <c r="MF48" s="3"/>
      <c r="MG48" s="3"/>
      <c r="MH48" s="3"/>
      <c r="MI48" s="3"/>
      <c r="MJ48" s="3"/>
      <c r="MK48" s="3"/>
      <c r="ML48" s="3"/>
      <c r="MM48" s="3"/>
      <c r="MN48" s="3"/>
      <c r="MO48" s="3"/>
      <c r="MP48" s="3"/>
      <c r="MQ48" s="3"/>
      <c r="MR48" s="3"/>
      <c r="MS48" s="3"/>
      <c r="MT48" s="3"/>
      <c r="MU48" s="3"/>
      <c r="MV48" s="3"/>
      <c r="MW48" s="3"/>
      <c r="MX48" s="3"/>
      <c r="MY48" s="3"/>
      <c r="MZ48" s="3"/>
      <c r="NA48" s="3"/>
      <c r="NB48" s="3"/>
      <c r="NC48" s="3"/>
      <c r="ND48" s="3"/>
      <c r="NE48" s="3"/>
      <c r="NF48" s="3"/>
      <c r="NG48" s="3"/>
      <c r="NH48" s="3"/>
      <c r="NI48" s="3"/>
      <c r="NJ48" s="3"/>
      <c r="NK48" s="3"/>
      <c r="NL48" s="3"/>
      <c r="NM48" s="3"/>
      <c r="NN48" s="3"/>
      <c r="NO48" s="3"/>
      <c r="NP48" s="3"/>
      <c r="NQ48" s="3"/>
      <c r="NR48" s="3"/>
      <c r="NS48" s="3"/>
      <c r="NT48" s="3"/>
      <c r="NU48" s="3"/>
      <c r="NV48" s="3"/>
      <c r="NW48" s="3"/>
      <c r="NX48" s="3"/>
      <c r="NY48" s="3"/>
      <c r="NZ48" s="3"/>
      <c r="OA48" s="3"/>
      <c r="OB48" s="3"/>
      <c r="OC48" s="3"/>
      <c r="OD48" s="3"/>
      <c r="OE48" s="3"/>
      <c r="OF48" s="3"/>
      <c r="OG48" s="3"/>
      <c r="OH48" s="3"/>
      <c r="OI48" s="3"/>
      <c r="OJ48" s="3"/>
      <c r="OK48" s="3"/>
      <c r="OL48" s="3"/>
      <c r="OM48" s="3"/>
      <c r="ON48" s="3"/>
      <c r="OO48" s="3"/>
      <c r="OP48" s="3"/>
      <c r="OQ48" s="3"/>
      <c r="OR48" s="3"/>
      <c r="OS48" s="3"/>
      <c r="OT48" s="3"/>
      <c r="OU48" s="3"/>
      <c r="OV48" s="3"/>
      <c r="OW48" s="3"/>
      <c r="OX48" s="3"/>
      <c r="OY48" s="3"/>
      <c r="OZ48" s="3"/>
      <c r="PA48" s="3"/>
      <c r="PB48" s="3"/>
      <c r="PC48" s="3"/>
      <c r="PD48" s="3"/>
      <c r="PE48" s="3"/>
      <c r="PF48" s="3"/>
      <c r="PG48" s="3"/>
      <c r="PH48" s="3"/>
      <c r="PI48" s="3"/>
      <c r="PJ48" s="3"/>
      <c r="PK48" s="3"/>
      <c r="PL48" s="3"/>
      <c r="PM48" s="3"/>
      <c r="PN48" s="3"/>
      <c r="PO48" s="3"/>
      <c r="PP48" s="3"/>
      <c r="PQ48" s="3"/>
      <c r="PR48" s="3"/>
      <c r="PS48" s="3"/>
      <c r="PT48" s="3"/>
      <c r="PU48" s="3"/>
      <c r="PV48" s="3"/>
      <c r="PW48" s="3"/>
      <c r="PX48" s="3"/>
      <c r="PY48" s="3"/>
      <c r="PZ48" s="3"/>
      <c r="QA48" s="3"/>
      <c r="QB48" s="3"/>
      <c r="QC48" s="3"/>
      <c r="QD48" s="3"/>
      <c r="QE48" s="3"/>
      <c r="QF48" s="3"/>
      <c r="QG48" s="3"/>
      <c r="QH48" s="3"/>
      <c r="QI48" s="3"/>
      <c r="QJ48" s="3"/>
      <c r="QK48" s="3"/>
      <c r="QL48" s="3"/>
      <c r="QM48" s="3"/>
      <c r="QN48" s="3"/>
      <c r="QO48" s="3"/>
      <c r="QP48" s="3"/>
      <c r="QQ48" s="3"/>
      <c r="QR48" s="3"/>
      <c r="QS48" s="3"/>
      <c r="QT48" s="3"/>
      <c r="QU48" s="3"/>
      <c r="QV48" s="3"/>
      <c r="QW48" s="3"/>
      <c r="QX48" s="3"/>
      <c r="QY48" s="3"/>
      <c r="QZ48" s="3"/>
      <c r="RA48" s="3"/>
      <c r="RB48" s="3"/>
      <c r="RC48" s="3"/>
      <c r="RD48" s="3"/>
      <c r="RE48" s="3"/>
      <c r="RF48" s="3"/>
      <c r="RG48" s="3"/>
      <c r="RH48" s="3"/>
      <c r="RI48" s="3"/>
      <c r="RJ48" s="3"/>
      <c r="RK48" s="3"/>
      <c r="RL48" s="3"/>
      <c r="RM48" s="3"/>
      <c r="RN48" s="3"/>
      <c r="RO48" s="3"/>
      <c r="RP48" s="3"/>
      <c r="RQ48" s="3"/>
      <c r="RR48" s="3"/>
      <c r="RS48" s="3"/>
      <c r="RT48" s="3"/>
      <c r="RU48" s="3"/>
      <c r="RV48" s="3"/>
      <c r="RW48" s="3"/>
      <c r="RX48" s="3"/>
      <c r="RY48" s="3"/>
      <c r="RZ48" s="3"/>
      <c r="SA48" s="3"/>
      <c r="SB48" s="3"/>
      <c r="SC48" s="3"/>
      <c r="SD48" s="3"/>
      <c r="SE48" s="3"/>
      <c r="SF48" s="3"/>
      <c r="SG48" s="3"/>
      <c r="SH48" s="3"/>
      <c r="SI48" s="3"/>
      <c r="SJ48" s="3"/>
      <c r="SK48" s="3"/>
      <c r="SL48" s="3"/>
      <c r="SM48" s="3"/>
      <c r="SN48" s="3"/>
      <c r="SO48" s="3"/>
      <c r="SP48" s="3"/>
      <c r="SQ48" s="3"/>
      <c r="SR48" s="3"/>
      <c r="SS48" s="3"/>
      <c r="ST48" s="3"/>
      <c r="SU48" s="3"/>
      <c r="SV48" s="3"/>
      <c r="SW48" s="3"/>
      <c r="SX48" s="3"/>
      <c r="SY48" s="3"/>
      <c r="SZ48" s="3"/>
      <c r="TA48" s="3"/>
      <c r="TB48" s="3"/>
      <c r="TC48" s="3"/>
      <c r="TD48" s="3"/>
      <c r="TE48" s="3"/>
      <c r="TF48" s="3"/>
      <c r="TG48" s="3"/>
      <c r="TH48" s="3"/>
      <c r="TI48" s="3"/>
      <c r="TJ48" s="3"/>
      <c r="TK48" s="3"/>
      <c r="TL48" s="3"/>
      <c r="TM48" s="3"/>
      <c r="TN48" s="3"/>
      <c r="TO48" s="3"/>
      <c r="TP48" s="3"/>
      <c r="TQ48" s="3"/>
      <c r="TR48" s="3"/>
      <c r="TS48" s="3"/>
      <c r="TT48" s="3"/>
      <c r="TU48" s="3"/>
      <c r="TV48" s="3"/>
      <c r="TW48" s="3"/>
      <c r="TX48" s="3"/>
      <c r="TY48" s="3"/>
      <c r="TZ48" s="3"/>
      <c r="UA48" s="3"/>
      <c r="UB48" s="3"/>
      <c r="UC48" s="3"/>
      <c r="UD48" s="3"/>
      <c r="UE48" s="3"/>
      <c r="UF48" s="3"/>
      <c r="UG48" s="3"/>
      <c r="UH48" s="3"/>
      <c r="UI48" s="3"/>
      <c r="UJ48" s="3"/>
      <c r="UK48" s="3"/>
      <c r="UL48" s="3"/>
      <c r="UM48" s="3"/>
      <c r="UN48" s="3"/>
      <c r="UO48" s="3"/>
      <c r="UP48" s="3"/>
      <c r="UQ48" s="3"/>
      <c r="UR48" s="3"/>
      <c r="US48" s="3"/>
      <c r="UT48" s="3"/>
      <c r="UU48" s="3"/>
      <c r="UV48" s="3"/>
      <c r="UW48" s="3"/>
      <c r="UX48" s="3"/>
      <c r="UY48" s="3"/>
      <c r="UZ48" s="3"/>
      <c r="VA48" s="3"/>
      <c r="VB48" s="3"/>
      <c r="VC48" s="3"/>
      <c r="VD48" s="3"/>
      <c r="VE48" s="3"/>
      <c r="VF48" s="3"/>
      <c r="VG48" s="3"/>
      <c r="VH48" s="3"/>
      <c r="VI48" s="3"/>
      <c r="VJ48" s="3"/>
      <c r="VK48" s="3"/>
      <c r="VL48" s="3"/>
      <c r="VM48" s="3"/>
      <c r="VN48" s="3"/>
      <c r="VO48" s="3"/>
      <c r="VP48" s="3"/>
      <c r="VQ48" s="3"/>
      <c r="VR48" s="3"/>
      <c r="VS48" s="3"/>
      <c r="VT48" s="3"/>
      <c r="VU48" s="3"/>
      <c r="VV48" s="3"/>
      <c r="VW48" s="3"/>
      <c r="VX48" s="3"/>
      <c r="VY48" s="3"/>
      <c r="VZ48" s="3"/>
      <c r="WA48" s="3"/>
      <c r="WB48" s="3"/>
      <c r="WC48" s="3"/>
      <c r="WD48" s="3"/>
      <c r="WE48" s="3"/>
      <c r="WF48" s="3"/>
      <c r="WG48" s="3"/>
      <c r="WH48" s="3"/>
      <c r="WI48" s="3"/>
      <c r="WJ48" s="3"/>
      <c r="WK48" s="3"/>
      <c r="WL48" s="3"/>
      <c r="WM48" s="3"/>
      <c r="WN48" s="3"/>
      <c r="WO48" s="3"/>
      <c r="WP48" s="3"/>
      <c r="WQ48" s="3"/>
      <c r="WR48" s="3"/>
      <c r="WS48" s="3"/>
      <c r="WT48" s="3"/>
      <c r="WU48" s="3"/>
      <c r="WV48" s="3"/>
      <c r="WW48" s="3"/>
      <c r="WX48" s="3"/>
      <c r="WY48" s="3"/>
      <c r="WZ48" s="3"/>
      <c r="XA48" s="3"/>
      <c r="XB48" s="3"/>
      <c r="XC48" s="3"/>
      <c r="XD48" s="3"/>
      <c r="XE48" s="3"/>
      <c r="XF48" s="3"/>
      <c r="XG48" s="3"/>
      <c r="XH48" s="3"/>
      <c r="XI48" s="3"/>
      <c r="XJ48" s="3"/>
      <c r="XK48" s="3"/>
      <c r="XL48" s="3"/>
      <c r="XM48" s="3"/>
      <c r="XN48" s="3"/>
      <c r="XO48" s="3"/>
      <c r="XP48" s="3"/>
      <c r="XQ48" s="3"/>
      <c r="XR48" s="3"/>
      <c r="XS48" s="3"/>
      <c r="XT48" s="3"/>
      <c r="XU48" s="3"/>
      <c r="XV48" s="3"/>
      <c r="XW48" s="3"/>
      <c r="XX48" s="3"/>
      <c r="XY48" s="3"/>
      <c r="XZ48" s="3"/>
      <c r="YA48" s="3"/>
      <c r="YB48" s="3"/>
      <c r="YC48" s="3"/>
      <c r="YD48" s="3"/>
      <c r="YE48" s="3"/>
      <c r="YF48" s="3"/>
      <c r="YG48" s="3"/>
      <c r="YH48" s="3"/>
      <c r="YI48" s="3"/>
      <c r="YJ48" s="3"/>
      <c r="YK48" s="3"/>
      <c r="YL48" s="3"/>
      <c r="YM48" s="3"/>
      <c r="YN48" s="3"/>
      <c r="YO48" s="3"/>
      <c r="YP48" s="3"/>
      <c r="YQ48" s="3"/>
      <c r="YR48" s="3"/>
      <c r="YS48" s="3"/>
      <c r="YT48" s="3"/>
      <c r="YU48" s="3"/>
      <c r="YV48" s="3"/>
      <c r="YW48" s="3"/>
      <c r="YX48" s="3"/>
      <c r="YY48" s="3"/>
      <c r="YZ48" s="3"/>
      <c r="ZA48" s="3"/>
      <c r="ZB48" s="3"/>
      <c r="ZC48" s="3"/>
    </row>
    <row r="49" spans="1:679" s="2" customFormat="1" x14ac:dyDescent="0.45">
      <c r="A49" s="3" t="s">
        <v>11</v>
      </c>
      <c r="B49" s="4">
        <v>31056</v>
      </c>
      <c r="C49" s="7" t="s">
        <v>25</v>
      </c>
      <c r="D49" s="6" t="s">
        <v>63</v>
      </c>
      <c r="E49" s="3"/>
      <c r="F49" s="3">
        <v>2</v>
      </c>
      <c r="L49" s="3"/>
      <c r="M49" s="3"/>
      <c r="N49" s="48"/>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c r="EU49" s="3"/>
      <c r="EV49" s="3"/>
      <c r="EW49" s="3"/>
      <c r="EX49" s="3"/>
      <c r="EY49" s="3"/>
      <c r="EZ49" s="3"/>
      <c r="FA49" s="3"/>
      <c r="FB49" s="3"/>
      <c r="FC49" s="3"/>
      <c r="FD49" s="3"/>
      <c r="FE49" s="3"/>
      <c r="FF49" s="3"/>
      <c r="FG49" s="3"/>
      <c r="FH49" s="3"/>
      <c r="FI49" s="3"/>
      <c r="FJ49" s="3"/>
      <c r="FK49" s="3"/>
      <c r="FL49" s="3"/>
      <c r="FM49" s="3"/>
      <c r="FN49" s="3"/>
      <c r="FO49" s="3"/>
      <c r="FP49" s="3"/>
      <c r="FQ49" s="3"/>
      <c r="FR49" s="3"/>
      <c r="FS49" s="3"/>
      <c r="FT49" s="3"/>
      <c r="FU49" s="3"/>
      <c r="FV49" s="3"/>
      <c r="FW49" s="3"/>
      <c r="FX49" s="3"/>
      <c r="FY49" s="3"/>
      <c r="FZ49" s="3"/>
      <c r="GA49" s="3"/>
      <c r="GB49" s="3"/>
      <c r="GC49" s="3"/>
      <c r="GD49" s="3"/>
      <c r="GE49" s="3"/>
      <c r="GF49" s="3"/>
      <c r="GG49" s="3"/>
      <c r="GH49" s="3"/>
      <c r="GI49" s="3"/>
      <c r="GJ49" s="3"/>
      <c r="GK49" s="3"/>
      <c r="GL49" s="3"/>
      <c r="GM49" s="3"/>
      <c r="GN49" s="3"/>
      <c r="GO49" s="3"/>
      <c r="GP49" s="3"/>
      <c r="GQ49" s="3"/>
      <c r="GR49" s="3"/>
      <c r="GS49" s="3"/>
      <c r="GT49" s="3"/>
      <c r="GU49" s="3"/>
      <c r="GV49" s="3"/>
      <c r="GW49" s="3"/>
      <c r="GX49" s="3"/>
      <c r="GY49" s="3"/>
      <c r="GZ49" s="3"/>
      <c r="HA49" s="3"/>
      <c r="HB49" s="3"/>
      <c r="HC49" s="3"/>
      <c r="HD49" s="3"/>
      <c r="HE49" s="3"/>
      <c r="HF49" s="3"/>
      <c r="HG49" s="3"/>
      <c r="HH49" s="3"/>
      <c r="HI49" s="3"/>
      <c r="HJ49" s="3"/>
      <c r="HK49" s="3"/>
      <c r="HL49" s="3"/>
      <c r="HM49" s="3"/>
      <c r="HN49" s="3"/>
      <c r="HO49" s="3"/>
      <c r="HP49" s="3"/>
      <c r="HQ49" s="3"/>
      <c r="HR49" s="3"/>
      <c r="HS49" s="3"/>
      <c r="HT49" s="3"/>
      <c r="HU49" s="3"/>
      <c r="HV49" s="3"/>
      <c r="HW49" s="3"/>
      <c r="HX49" s="3"/>
      <c r="HY49" s="3"/>
      <c r="HZ49" s="3"/>
      <c r="IA49" s="3"/>
      <c r="IB49" s="3"/>
      <c r="IC49" s="3"/>
      <c r="ID49" s="3"/>
      <c r="IE49" s="3"/>
      <c r="IF49" s="3"/>
      <c r="IG49" s="3"/>
      <c r="IH49" s="3"/>
      <c r="II49" s="3"/>
      <c r="IJ49" s="3"/>
      <c r="IK49" s="3"/>
      <c r="IL49" s="3"/>
      <c r="IM49" s="3"/>
      <c r="IN49" s="3"/>
      <c r="IO49" s="3"/>
      <c r="IP49" s="3"/>
      <c r="IQ49" s="3"/>
      <c r="IR49" s="3"/>
      <c r="IS49" s="3"/>
      <c r="IT49" s="3"/>
      <c r="IU49" s="3"/>
      <c r="IV49" s="3"/>
      <c r="IW49" s="3"/>
      <c r="IX49" s="3"/>
      <c r="IY49" s="3"/>
      <c r="IZ49" s="3"/>
      <c r="JA49" s="3"/>
      <c r="JB49" s="3"/>
      <c r="JC49" s="3"/>
      <c r="JD49" s="3"/>
      <c r="JE49" s="3"/>
      <c r="JF49" s="3"/>
      <c r="JG49" s="3"/>
      <c r="JH49" s="3"/>
      <c r="JI49" s="3"/>
      <c r="JJ49" s="3"/>
      <c r="JK49" s="3"/>
      <c r="JL49" s="3"/>
      <c r="JM49" s="3"/>
      <c r="JN49" s="3"/>
      <c r="JO49" s="3"/>
      <c r="JP49" s="3"/>
      <c r="JQ49" s="3"/>
      <c r="JR49" s="3"/>
      <c r="JS49" s="3"/>
      <c r="JT49" s="3"/>
      <c r="JU49" s="3"/>
      <c r="JV49" s="3"/>
      <c r="JW49" s="3"/>
      <c r="JX49" s="3"/>
      <c r="JY49" s="3"/>
      <c r="JZ49" s="3"/>
      <c r="KA49" s="3"/>
      <c r="KB49" s="3"/>
      <c r="KC49" s="3"/>
      <c r="KD49" s="3"/>
      <c r="KE49" s="3"/>
      <c r="KF49" s="3"/>
      <c r="KG49" s="3"/>
      <c r="KH49" s="3"/>
      <c r="KI49" s="3"/>
      <c r="KJ49" s="3"/>
      <c r="KK49" s="3"/>
      <c r="KL49" s="3"/>
      <c r="KM49" s="3"/>
      <c r="KN49" s="3"/>
      <c r="KO49" s="3"/>
      <c r="KP49" s="3"/>
      <c r="KQ49" s="3"/>
      <c r="KR49" s="3"/>
      <c r="KS49" s="3"/>
      <c r="KT49" s="3"/>
      <c r="KU49" s="3"/>
      <c r="KV49" s="3"/>
      <c r="KW49" s="3"/>
      <c r="KX49" s="3"/>
      <c r="KY49" s="3"/>
      <c r="KZ49" s="3"/>
      <c r="LA49" s="3"/>
      <c r="LB49" s="3"/>
      <c r="LC49" s="3"/>
      <c r="LD49" s="3"/>
      <c r="LE49" s="3"/>
      <c r="LF49" s="3"/>
      <c r="LG49" s="3"/>
      <c r="LH49" s="3"/>
      <c r="LI49" s="3"/>
      <c r="LJ49" s="3"/>
      <c r="LK49" s="3"/>
      <c r="LL49" s="3"/>
      <c r="LM49" s="3"/>
      <c r="LN49" s="3"/>
      <c r="LO49" s="3"/>
      <c r="LP49" s="3"/>
      <c r="LQ49" s="3"/>
      <c r="LR49" s="3"/>
      <c r="LS49" s="3"/>
      <c r="LT49" s="3"/>
      <c r="LU49" s="3"/>
      <c r="LV49" s="3"/>
      <c r="LW49" s="3"/>
      <c r="LX49" s="3"/>
      <c r="LY49" s="3"/>
      <c r="LZ49" s="3"/>
      <c r="MA49" s="3"/>
      <c r="MB49" s="3"/>
      <c r="MC49" s="3"/>
      <c r="MD49" s="3"/>
      <c r="ME49" s="3"/>
      <c r="MF49" s="3"/>
      <c r="MG49" s="3"/>
      <c r="MH49" s="3"/>
      <c r="MI49" s="3"/>
      <c r="MJ49" s="3"/>
      <c r="MK49" s="3"/>
      <c r="ML49" s="3"/>
      <c r="MM49" s="3"/>
      <c r="MN49" s="3"/>
      <c r="MO49" s="3"/>
      <c r="MP49" s="3"/>
      <c r="MQ49" s="3"/>
      <c r="MR49" s="3"/>
      <c r="MS49" s="3"/>
      <c r="MT49" s="3"/>
      <c r="MU49" s="3"/>
      <c r="MV49" s="3"/>
      <c r="MW49" s="3"/>
      <c r="MX49" s="3"/>
      <c r="MY49" s="3"/>
      <c r="MZ49" s="3"/>
      <c r="NA49" s="3"/>
      <c r="NB49" s="3"/>
      <c r="NC49" s="3"/>
      <c r="ND49" s="3"/>
      <c r="NE49" s="3"/>
      <c r="NF49" s="3"/>
      <c r="NG49" s="3"/>
      <c r="NH49" s="3"/>
      <c r="NI49" s="3"/>
      <c r="NJ49" s="3"/>
      <c r="NK49" s="3"/>
      <c r="NL49" s="3"/>
      <c r="NM49" s="3"/>
      <c r="NN49" s="3"/>
      <c r="NO49" s="3"/>
      <c r="NP49" s="3"/>
      <c r="NQ49" s="3"/>
      <c r="NR49" s="3"/>
      <c r="NS49" s="3"/>
      <c r="NT49" s="3"/>
      <c r="NU49" s="3"/>
      <c r="NV49" s="3"/>
      <c r="NW49" s="3"/>
      <c r="NX49" s="3"/>
      <c r="NY49" s="3"/>
      <c r="NZ49" s="3"/>
      <c r="OA49" s="3"/>
      <c r="OB49" s="3"/>
      <c r="OC49" s="3"/>
      <c r="OD49" s="3"/>
      <c r="OE49" s="3"/>
      <c r="OF49" s="3"/>
      <c r="OG49" s="3"/>
      <c r="OH49" s="3"/>
      <c r="OI49" s="3"/>
      <c r="OJ49" s="3"/>
      <c r="OK49" s="3"/>
      <c r="OL49" s="3"/>
      <c r="OM49" s="3"/>
      <c r="ON49" s="3"/>
      <c r="OO49" s="3"/>
      <c r="OP49" s="3"/>
      <c r="OQ49" s="3"/>
      <c r="OR49" s="3"/>
      <c r="OS49" s="3"/>
      <c r="OT49" s="3"/>
      <c r="OU49" s="3"/>
      <c r="OV49" s="3"/>
      <c r="OW49" s="3"/>
      <c r="OX49" s="3"/>
      <c r="OY49" s="3"/>
      <c r="OZ49" s="3"/>
      <c r="PA49" s="3"/>
      <c r="PB49" s="3"/>
      <c r="PC49" s="3"/>
      <c r="PD49" s="3"/>
      <c r="PE49" s="3"/>
      <c r="PF49" s="3"/>
      <c r="PG49" s="3"/>
      <c r="PH49" s="3"/>
      <c r="PI49" s="3"/>
      <c r="PJ49" s="3"/>
      <c r="PK49" s="3"/>
      <c r="PL49" s="3"/>
      <c r="PM49" s="3"/>
      <c r="PN49" s="3"/>
      <c r="PO49" s="3"/>
      <c r="PP49" s="3"/>
      <c r="PQ49" s="3"/>
      <c r="PR49" s="3"/>
      <c r="PS49" s="3"/>
      <c r="PT49" s="3"/>
      <c r="PU49" s="3"/>
      <c r="PV49" s="3"/>
      <c r="PW49" s="3"/>
      <c r="PX49" s="3"/>
      <c r="PY49" s="3"/>
      <c r="PZ49" s="3"/>
      <c r="QA49" s="3"/>
      <c r="QB49" s="3"/>
      <c r="QC49" s="3"/>
      <c r="QD49" s="3"/>
      <c r="QE49" s="3"/>
      <c r="QF49" s="3"/>
      <c r="QG49" s="3"/>
      <c r="QH49" s="3"/>
      <c r="QI49" s="3"/>
      <c r="QJ49" s="3"/>
      <c r="QK49" s="3"/>
      <c r="QL49" s="3"/>
      <c r="QM49" s="3"/>
      <c r="QN49" s="3"/>
      <c r="QO49" s="3"/>
      <c r="QP49" s="3"/>
      <c r="QQ49" s="3"/>
      <c r="QR49" s="3"/>
      <c r="QS49" s="3"/>
      <c r="QT49" s="3"/>
      <c r="QU49" s="3"/>
      <c r="QV49" s="3"/>
      <c r="QW49" s="3"/>
      <c r="QX49" s="3"/>
      <c r="QY49" s="3"/>
      <c r="QZ49" s="3"/>
      <c r="RA49" s="3"/>
      <c r="RB49" s="3"/>
      <c r="RC49" s="3"/>
      <c r="RD49" s="3"/>
      <c r="RE49" s="3"/>
      <c r="RF49" s="3"/>
      <c r="RG49" s="3"/>
      <c r="RH49" s="3"/>
      <c r="RI49" s="3"/>
      <c r="RJ49" s="3"/>
      <c r="RK49" s="3"/>
      <c r="RL49" s="3"/>
      <c r="RM49" s="3"/>
      <c r="RN49" s="3"/>
      <c r="RO49" s="3"/>
      <c r="RP49" s="3"/>
      <c r="RQ49" s="3"/>
      <c r="RR49" s="3"/>
      <c r="RS49" s="3"/>
      <c r="RT49" s="3"/>
      <c r="RU49" s="3"/>
      <c r="RV49" s="3"/>
      <c r="RW49" s="3"/>
      <c r="RX49" s="3"/>
      <c r="RY49" s="3"/>
      <c r="RZ49" s="3"/>
      <c r="SA49" s="3"/>
      <c r="SB49" s="3"/>
      <c r="SC49" s="3"/>
      <c r="SD49" s="3"/>
      <c r="SE49" s="3"/>
      <c r="SF49" s="3"/>
      <c r="SG49" s="3"/>
      <c r="SH49" s="3"/>
      <c r="SI49" s="3"/>
      <c r="SJ49" s="3"/>
      <c r="SK49" s="3"/>
      <c r="SL49" s="3"/>
      <c r="SM49" s="3"/>
      <c r="SN49" s="3"/>
      <c r="SO49" s="3"/>
      <c r="SP49" s="3"/>
      <c r="SQ49" s="3"/>
      <c r="SR49" s="3"/>
      <c r="SS49" s="3"/>
      <c r="ST49" s="3"/>
      <c r="SU49" s="3"/>
      <c r="SV49" s="3"/>
      <c r="SW49" s="3"/>
      <c r="SX49" s="3"/>
      <c r="SY49" s="3"/>
      <c r="SZ49" s="3"/>
      <c r="TA49" s="3"/>
      <c r="TB49" s="3"/>
      <c r="TC49" s="3"/>
      <c r="TD49" s="3"/>
      <c r="TE49" s="3"/>
      <c r="TF49" s="3"/>
      <c r="TG49" s="3"/>
      <c r="TH49" s="3"/>
      <c r="TI49" s="3"/>
      <c r="TJ49" s="3"/>
      <c r="TK49" s="3"/>
      <c r="TL49" s="3"/>
      <c r="TM49" s="3"/>
      <c r="TN49" s="3"/>
      <c r="TO49" s="3"/>
      <c r="TP49" s="3"/>
      <c r="TQ49" s="3"/>
      <c r="TR49" s="3"/>
      <c r="TS49" s="3"/>
      <c r="TT49" s="3"/>
      <c r="TU49" s="3"/>
      <c r="TV49" s="3"/>
      <c r="TW49" s="3"/>
      <c r="TX49" s="3"/>
      <c r="TY49" s="3"/>
      <c r="TZ49" s="3"/>
      <c r="UA49" s="3"/>
      <c r="UB49" s="3"/>
      <c r="UC49" s="3"/>
      <c r="UD49" s="3"/>
      <c r="UE49" s="3"/>
      <c r="UF49" s="3"/>
      <c r="UG49" s="3"/>
      <c r="UH49" s="3"/>
      <c r="UI49" s="3"/>
      <c r="UJ49" s="3"/>
      <c r="UK49" s="3"/>
      <c r="UL49" s="3"/>
      <c r="UM49" s="3"/>
      <c r="UN49" s="3"/>
      <c r="UO49" s="3"/>
      <c r="UP49" s="3"/>
      <c r="UQ49" s="3"/>
      <c r="UR49" s="3"/>
      <c r="US49" s="3"/>
      <c r="UT49" s="3"/>
      <c r="UU49" s="3"/>
      <c r="UV49" s="3"/>
      <c r="UW49" s="3"/>
      <c r="UX49" s="3"/>
      <c r="UY49" s="3"/>
      <c r="UZ49" s="3"/>
      <c r="VA49" s="3"/>
      <c r="VB49" s="3"/>
      <c r="VC49" s="3"/>
      <c r="VD49" s="3"/>
      <c r="VE49" s="3"/>
      <c r="VF49" s="3"/>
      <c r="VG49" s="3"/>
      <c r="VH49" s="3"/>
      <c r="VI49" s="3"/>
      <c r="VJ49" s="3"/>
      <c r="VK49" s="3"/>
      <c r="VL49" s="3"/>
      <c r="VM49" s="3"/>
      <c r="VN49" s="3"/>
      <c r="VO49" s="3"/>
      <c r="VP49" s="3"/>
      <c r="VQ49" s="3"/>
      <c r="VR49" s="3"/>
      <c r="VS49" s="3"/>
      <c r="VT49" s="3"/>
      <c r="VU49" s="3"/>
      <c r="VV49" s="3"/>
      <c r="VW49" s="3"/>
      <c r="VX49" s="3"/>
      <c r="VY49" s="3"/>
      <c r="VZ49" s="3"/>
      <c r="WA49" s="3"/>
      <c r="WB49" s="3"/>
      <c r="WC49" s="3"/>
      <c r="WD49" s="3"/>
      <c r="WE49" s="3"/>
      <c r="WF49" s="3"/>
      <c r="WG49" s="3"/>
      <c r="WH49" s="3"/>
      <c r="WI49" s="3"/>
      <c r="WJ49" s="3"/>
      <c r="WK49" s="3"/>
      <c r="WL49" s="3"/>
      <c r="WM49" s="3"/>
      <c r="WN49" s="3"/>
      <c r="WO49" s="3"/>
      <c r="WP49" s="3"/>
      <c r="WQ49" s="3"/>
      <c r="WR49" s="3"/>
      <c r="WS49" s="3"/>
      <c r="WT49" s="3"/>
      <c r="WU49" s="3"/>
      <c r="WV49" s="3"/>
      <c r="WW49" s="3"/>
      <c r="WX49" s="3"/>
      <c r="WY49" s="3"/>
      <c r="WZ49" s="3"/>
      <c r="XA49" s="3"/>
      <c r="XB49" s="3"/>
      <c r="XC49" s="3"/>
      <c r="XD49" s="3"/>
      <c r="XE49" s="3"/>
      <c r="XF49" s="3"/>
      <c r="XG49" s="3"/>
      <c r="XH49" s="3"/>
      <c r="XI49" s="3"/>
      <c r="XJ49" s="3"/>
      <c r="XK49" s="3"/>
      <c r="XL49" s="3"/>
      <c r="XM49" s="3"/>
      <c r="XN49" s="3"/>
      <c r="XO49" s="3"/>
      <c r="XP49" s="3"/>
      <c r="XQ49" s="3"/>
      <c r="XR49" s="3"/>
      <c r="XS49" s="3"/>
      <c r="XT49" s="3"/>
      <c r="XU49" s="3"/>
      <c r="XV49" s="3"/>
      <c r="XW49" s="3"/>
      <c r="XX49" s="3"/>
      <c r="XY49" s="3"/>
      <c r="XZ49" s="3"/>
      <c r="YA49" s="3"/>
      <c r="YB49" s="3"/>
      <c r="YC49" s="3"/>
      <c r="YD49" s="3"/>
      <c r="YE49" s="3"/>
      <c r="YF49" s="3"/>
      <c r="YG49" s="3"/>
      <c r="YH49" s="3"/>
      <c r="YI49" s="3"/>
      <c r="YJ49" s="3"/>
      <c r="YK49" s="3"/>
      <c r="YL49" s="3"/>
      <c r="YM49" s="3"/>
      <c r="YN49" s="3"/>
      <c r="YO49" s="3"/>
      <c r="YP49" s="3"/>
      <c r="YQ49" s="3"/>
      <c r="YR49" s="3"/>
      <c r="YS49" s="3"/>
      <c r="YT49" s="3"/>
      <c r="YU49" s="3"/>
      <c r="YV49" s="3"/>
      <c r="YW49" s="3"/>
      <c r="YX49" s="3"/>
      <c r="YY49" s="3"/>
      <c r="YZ49" s="3"/>
      <c r="ZA49" s="3"/>
      <c r="ZB49" s="3"/>
      <c r="ZC49" s="3"/>
    </row>
    <row r="50" spans="1:679" s="2" customFormat="1" x14ac:dyDescent="0.45">
      <c r="A50" s="3" t="s">
        <v>11</v>
      </c>
      <c r="B50" s="4">
        <v>31072</v>
      </c>
      <c r="C50" s="7" t="s">
        <v>25</v>
      </c>
      <c r="D50" s="6" t="s">
        <v>64</v>
      </c>
      <c r="E50" s="3"/>
      <c r="F50" s="3">
        <v>3</v>
      </c>
      <c r="L50" s="3"/>
      <c r="M50" s="3"/>
      <c r="N50" s="48"/>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c r="EB50" s="3"/>
      <c r="EC50" s="3"/>
      <c r="ED50" s="3"/>
      <c r="EE50" s="3"/>
      <c r="EF50" s="3"/>
      <c r="EG50" s="3"/>
      <c r="EH50" s="3"/>
      <c r="EI50" s="3"/>
      <c r="EJ50" s="3"/>
      <c r="EK50" s="3"/>
      <c r="EL50" s="3"/>
      <c r="EM50" s="3"/>
      <c r="EN50" s="3"/>
      <c r="EO50" s="3"/>
      <c r="EP50" s="3"/>
      <c r="EQ50" s="3"/>
      <c r="ER50" s="3"/>
      <c r="ES50" s="3"/>
      <c r="ET50" s="3"/>
      <c r="EU50" s="3"/>
      <c r="EV50" s="3"/>
      <c r="EW50" s="3"/>
      <c r="EX50" s="3"/>
      <c r="EY50" s="3"/>
      <c r="EZ50" s="3"/>
      <c r="FA50" s="3"/>
      <c r="FB50" s="3"/>
      <c r="FC50" s="3"/>
      <c r="FD50" s="3"/>
      <c r="FE50" s="3"/>
      <c r="FF50" s="3"/>
      <c r="FG50" s="3"/>
      <c r="FH50" s="3"/>
      <c r="FI50" s="3"/>
      <c r="FJ50" s="3"/>
      <c r="FK50" s="3"/>
      <c r="FL50" s="3"/>
      <c r="FM50" s="3"/>
      <c r="FN50" s="3"/>
      <c r="FO50" s="3"/>
      <c r="FP50" s="3"/>
      <c r="FQ50" s="3"/>
      <c r="FR50" s="3"/>
      <c r="FS50" s="3"/>
      <c r="FT50" s="3"/>
      <c r="FU50" s="3"/>
      <c r="FV50" s="3"/>
      <c r="FW50" s="3"/>
      <c r="FX50" s="3"/>
      <c r="FY50" s="3"/>
      <c r="FZ50" s="3"/>
      <c r="GA50" s="3"/>
      <c r="GB50" s="3"/>
      <c r="GC50" s="3"/>
      <c r="GD50" s="3"/>
      <c r="GE50" s="3"/>
      <c r="GF50" s="3"/>
      <c r="GG50" s="3"/>
      <c r="GH50" s="3"/>
      <c r="GI50" s="3"/>
      <c r="GJ50" s="3"/>
      <c r="GK50" s="3"/>
      <c r="GL50" s="3"/>
      <c r="GM50" s="3"/>
      <c r="GN50" s="3"/>
      <c r="GO50" s="3"/>
      <c r="GP50" s="3"/>
      <c r="GQ50" s="3"/>
      <c r="GR50" s="3"/>
      <c r="GS50" s="3"/>
      <c r="GT50" s="3"/>
      <c r="GU50" s="3"/>
      <c r="GV50" s="3"/>
      <c r="GW50" s="3"/>
      <c r="GX50" s="3"/>
      <c r="GY50" s="3"/>
      <c r="GZ50" s="3"/>
      <c r="HA50" s="3"/>
      <c r="HB50" s="3"/>
      <c r="HC50" s="3"/>
      <c r="HD50" s="3"/>
      <c r="HE50" s="3"/>
      <c r="HF50" s="3"/>
      <c r="HG50" s="3"/>
      <c r="HH50" s="3"/>
      <c r="HI50" s="3"/>
      <c r="HJ50" s="3"/>
      <c r="HK50" s="3"/>
      <c r="HL50" s="3"/>
      <c r="HM50" s="3"/>
      <c r="HN50" s="3"/>
      <c r="HO50" s="3"/>
      <c r="HP50" s="3"/>
      <c r="HQ50" s="3"/>
      <c r="HR50" s="3"/>
      <c r="HS50" s="3"/>
      <c r="HT50" s="3"/>
      <c r="HU50" s="3"/>
      <c r="HV50" s="3"/>
      <c r="HW50" s="3"/>
      <c r="HX50" s="3"/>
      <c r="HY50" s="3"/>
      <c r="HZ50" s="3"/>
      <c r="IA50" s="3"/>
      <c r="IB50" s="3"/>
      <c r="IC50" s="3"/>
      <c r="ID50" s="3"/>
      <c r="IE50" s="3"/>
      <c r="IF50" s="3"/>
      <c r="IG50" s="3"/>
      <c r="IH50" s="3"/>
      <c r="II50" s="3"/>
      <c r="IJ50" s="3"/>
      <c r="IK50" s="3"/>
      <c r="IL50" s="3"/>
      <c r="IM50" s="3"/>
      <c r="IN50" s="3"/>
      <c r="IO50" s="3"/>
      <c r="IP50" s="3"/>
      <c r="IQ50" s="3"/>
      <c r="IR50" s="3"/>
      <c r="IS50" s="3"/>
      <c r="IT50" s="3"/>
      <c r="IU50" s="3"/>
      <c r="IV50" s="3"/>
      <c r="IW50" s="3"/>
      <c r="IX50" s="3"/>
      <c r="IY50" s="3"/>
      <c r="IZ50" s="3"/>
      <c r="JA50" s="3"/>
      <c r="JB50" s="3"/>
      <c r="JC50" s="3"/>
      <c r="JD50" s="3"/>
      <c r="JE50" s="3"/>
      <c r="JF50" s="3"/>
      <c r="JG50" s="3"/>
      <c r="JH50" s="3"/>
      <c r="JI50" s="3"/>
      <c r="JJ50" s="3"/>
      <c r="JK50" s="3"/>
      <c r="JL50" s="3"/>
      <c r="JM50" s="3"/>
      <c r="JN50" s="3"/>
      <c r="JO50" s="3"/>
      <c r="JP50" s="3"/>
      <c r="JQ50" s="3"/>
      <c r="JR50" s="3"/>
      <c r="JS50" s="3"/>
      <c r="JT50" s="3"/>
      <c r="JU50" s="3"/>
      <c r="JV50" s="3"/>
      <c r="JW50" s="3"/>
      <c r="JX50" s="3"/>
      <c r="JY50" s="3"/>
      <c r="JZ50" s="3"/>
      <c r="KA50" s="3"/>
      <c r="KB50" s="3"/>
      <c r="KC50" s="3"/>
      <c r="KD50" s="3"/>
      <c r="KE50" s="3"/>
      <c r="KF50" s="3"/>
      <c r="KG50" s="3"/>
      <c r="KH50" s="3"/>
      <c r="KI50" s="3"/>
      <c r="KJ50" s="3"/>
      <c r="KK50" s="3"/>
      <c r="KL50" s="3"/>
      <c r="KM50" s="3"/>
      <c r="KN50" s="3"/>
      <c r="KO50" s="3"/>
      <c r="KP50" s="3"/>
      <c r="KQ50" s="3"/>
      <c r="KR50" s="3"/>
      <c r="KS50" s="3"/>
      <c r="KT50" s="3"/>
      <c r="KU50" s="3"/>
      <c r="KV50" s="3"/>
      <c r="KW50" s="3"/>
      <c r="KX50" s="3"/>
      <c r="KY50" s="3"/>
      <c r="KZ50" s="3"/>
      <c r="LA50" s="3"/>
      <c r="LB50" s="3"/>
      <c r="LC50" s="3"/>
      <c r="LD50" s="3"/>
      <c r="LE50" s="3"/>
      <c r="LF50" s="3"/>
      <c r="LG50" s="3"/>
      <c r="LH50" s="3"/>
      <c r="LI50" s="3"/>
      <c r="LJ50" s="3"/>
      <c r="LK50" s="3"/>
      <c r="LL50" s="3"/>
      <c r="LM50" s="3"/>
      <c r="LN50" s="3"/>
      <c r="LO50" s="3"/>
      <c r="LP50" s="3"/>
      <c r="LQ50" s="3"/>
      <c r="LR50" s="3"/>
      <c r="LS50" s="3"/>
      <c r="LT50" s="3"/>
      <c r="LU50" s="3"/>
      <c r="LV50" s="3"/>
      <c r="LW50" s="3"/>
      <c r="LX50" s="3"/>
      <c r="LY50" s="3"/>
      <c r="LZ50" s="3"/>
      <c r="MA50" s="3"/>
      <c r="MB50" s="3"/>
      <c r="MC50" s="3"/>
      <c r="MD50" s="3"/>
      <c r="ME50" s="3"/>
      <c r="MF50" s="3"/>
      <c r="MG50" s="3"/>
      <c r="MH50" s="3"/>
      <c r="MI50" s="3"/>
      <c r="MJ50" s="3"/>
      <c r="MK50" s="3"/>
      <c r="ML50" s="3"/>
      <c r="MM50" s="3"/>
      <c r="MN50" s="3"/>
      <c r="MO50" s="3"/>
      <c r="MP50" s="3"/>
      <c r="MQ50" s="3"/>
      <c r="MR50" s="3"/>
      <c r="MS50" s="3"/>
      <c r="MT50" s="3"/>
      <c r="MU50" s="3"/>
      <c r="MV50" s="3"/>
      <c r="MW50" s="3"/>
      <c r="MX50" s="3"/>
      <c r="MY50" s="3"/>
      <c r="MZ50" s="3"/>
      <c r="NA50" s="3"/>
      <c r="NB50" s="3"/>
      <c r="NC50" s="3"/>
      <c r="ND50" s="3"/>
      <c r="NE50" s="3"/>
      <c r="NF50" s="3"/>
      <c r="NG50" s="3"/>
      <c r="NH50" s="3"/>
      <c r="NI50" s="3"/>
      <c r="NJ50" s="3"/>
      <c r="NK50" s="3"/>
      <c r="NL50" s="3"/>
      <c r="NM50" s="3"/>
      <c r="NN50" s="3"/>
      <c r="NO50" s="3"/>
      <c r="NP50" s="3"/>
      <c r="NQ50" s="3"/>
      <c r="NR50" s="3"/>
      <c r="NS50" s="3"/>
      <c r="NT50" s="3"/>
      <c r="NU50" s="3"/>
      <c r="NV50" s="3"/>
      <c r="NW50" s="3"/>
      <c r="NX50" s="3"/>
      <c r="NY50" s="3"/>
      <c r="NZ50" s="3"/>
      <c r="OA50" s="3"/>
      <c r="OB50" s="3"/>
      <c r="OC50" s="3"/>
      <c r="OD50" s="3"/>
      <c r="OE50" s="3"/>
      <c r="OF50" s="3"/>
      <c r="OG50" s="3"/>
      <c r="OH50" s="3"/>
      <c r="OI50" s="3"/>
      <c r="OJ50" s="3"/>
      <c r="OK50" s="3"/>
      <c r="OL50" s="3"/>
      <c r="OM50" s="3"/>
      <c r="ON50" s="3"/>
      <c r="OO50" s="3"/>
      <c r="OP50" s="3"/>
      <c r="OQ50" s="3"/>
      <c r="OR50" s="3"/>
      <c r="OS50" s="3"/>
      <c r="OT50" s="3"/>
      <c r="OU50" s="3"/>
      <c r="OV50" s="3"/>
      <c r="OW50" s="3"/>
      <c r="OX50" s="3"/>
      <c r="OY50" s="3"/>
      <c r="OZ50" s="3"/>
      <c r="PA50" s="3"/>
      <c r="PB50" s="3"/>
      <c r="PC50" s="3"/>
      <c r="PD50" s="3"/>
      <c r="PE50" s="3"/>
      <c r="PF50" s="3"/>
      <c r="PG50" s="3"/>
      <c r="PH50" s="3"/>
      <c r="PI50" s="3"/>
      <c r="PJ50" s="3"/>
      <c r="PK50" s="3"/>
      <c r="PL50" s="3"/>
      <c r="PM50" s="3"/>
      <c r="PN50" s="3"/>
      <c r="PO50" s="3"/>
      <c r="PP50" s="3"/>
      <c r="PQ50" s="3"/>
      <c r="PR50" s="3"/>
      <c r="PS50" s="3"/>
      <c r="PT50" s="3"/>
      <c r="PU50" s="3"/>
      <c r="PV50" s="3"/>
      <c r="PW50" s="3"/>
      <c r="PX50" s="3"/>
      <c r="PY50" s="3"/>
      <c r="PZ50" s="3"/>
      <c r="QA50" s="3"/>
      <c r="QB50" s="3"/>
      <c r="QC50" s="3"/>
      <c r="QD50" s="3"/>
      <c r="QE50" s="3"/>
      <c r="QF50" s="3"/>
      <c r="QG50" s="3"/>
      <c r="QH50" s="3"/>
      <c r="QI50" s="3"/>
      <c r="QJ50" s="3"/>
      <c r="QK50" s="3"/>
      <c r="QL50" s="3"/>
      <c r="QM50" s="3"/>
      <c r="QN50" s="3"/>
      <c r="QO50" s="3"/>
      <c r="QP50" s="3"/>
      <c r="QQ50" s="3"/>
      <c r="QR50" s="3"/>
      <c r="QS50" s="3"/>
      <c r="QT50" s="3"/>
      <c r="QU50" s="3"/>
      <c r="QV50" s="3"/>
      <c r="QW50" s="3"/>
      <c r="QX50" s="3"/>
      <c r="QY50" s="3"/>
      <c r="QZ50" s="3"/>
      <c r="RA50" s="3"/>
      <c r="RB50" s="3"/>
      <c r="RC50" s="3"/>
      <c r="RD50" s="3"/>
      <c r="RE50" s="3"/>
      <c r="RF50" s="3"/>
      <c r="RG50" s="3"/>
      <c r="RH50" s="3"/>
      <c r="RI50" s="3"/>
      <c r="RJ50" s="3"/>
      <c r="RK50" s="3"/>
      <c r="RL50" s="3"/>
      <c r="RM50" s="3"/>
      <c r="RN50" s="3"/>
      <c r="RO50" s="3"/>
      <c r="RP50" s="3"/>
      <c r="RQ50" s="3"/>
      <c r="RR50" s="3"/>
      <c r="RS50" s="3"/>
      <c r="RT50" s="3"/>
      <c r="RU50" s="3"/>
      <c r="RV50" s="3"/>
      <c r="RW50" s="3"/>
      <c r="RX50" s="3"/>
      <c r="RY50" s="3"/>
      <c r="RZ50" s="3"/>
      <c r="SA50" s="3"/>
      <c r="SB50" s="3"/>
      <c r="SC50" s="3"/>
      <c r="SD50" s="3"/>
      <c r="SE50" s="3"/>
      <c r="SF50" s="3"/>
      <c r="SG50" s="3"/>
      <c r="SH50" s="3"/>
      <c r="SI50" s="3"/>
      <c r="SJ50" s="3"/>
      <c r="SK50" s="3"/>
      <c r="SL50" s="3"/>
      <c r="SM50" s="3"/>
      <c r="SN50" s="3"/>
      <c r="SO50" s="3"/>
      <c r="SP50" s="3"/>
      <c r="SQ50" s="3"/>
      <c r="SR50" s="3"/>
      <c r="SS50" s="3"/>
      <c r="ST50" s="3"/>
      <c r="SU50" s="3"/>
      <c r="SV50" s="3"/>
      <c r="SW50" s="3"/>
      <c r="SX50" s="3"/>
      <c r="SY50" s="3"/>
      <c r="SZ50" s="3"/>
      <c r="TA50" s="3"/>
      <c r="TB50" s="3"/>
      <c r="TC50" s="3"/>
      <c r="TD50" s="3"/>
      <c r="TE50" s="3"/>
      <c r="TF50" s="3"/>
      <c r="TG50" s="3"/>
      <c r="TH50" s="3"/>
      <c r="TI50" s="3"/>
      <c r="TJ50" s="3"/>
      <c r="TK50" s="3"/>
      <c r="TL50" s="3"/>
      <c r="TM50" s="3"/>
      <c r="TN50" s="3"/>
      <c r="TO50" s="3"/>
      <c r="TP50" s="3"/>
      <c r="TQ50" s="3"/>
      <c r="TR50" s="3"/>
      <c r="TS50" s="3"/>
      <c r="TT50" s="3"/>
      <c r="TU50" s="3"/>
      <c r="TV50" s="3"/>
      <c r="TW50" s="3"/>
      <c r="TX50" s="3"/>
      <c r="TY50" s="3"/>
      <c r="TZ50" s="3"/>
      <c r="UA50" s="3"/>
      <c r="UB50" s="3"/>
      <c r="UC50" s="3"/>
      <c r="UD50" s="3"/>
      <c r="UE50" s="3"/>
      <c r="UF50" s="3"/>
      <c r="UG50" s="3"/>
      <c r="UH50" s="3"/>
      <c r="UI50" s="3"/>
      <c r="UJ50" s="3"/>
      <c r="UK50" s="3"/>
      <c r="UL50" s="3"/>
      <c r="UM50" s="3"/>
      <c r="UN50" s="3"/>
      <c r="UO50" s="3"/>
      <c r="UP50" s="3"/>
      <c r="UQ50" s="3"/>
      <c r="UR50" s="3"/>
      <c r="US50" s="3"/>
      <c r="UT50" s="3"/>
      <c r="UU50" s="3"/>
      <c r="UV50" s="3"/>
      <c r="UW50" s="3"/>
      <c r="UX50" s="3"/>
      <c r="UY50" s="3"/>
      <c r="UZ50" s="3"/>
      <c r="VA50" s="3"/>
      <c r="VB50" s="3"/>
      <c r="VC50" s="3"/>
      <c r="VD50" s="3"/>
      <c r="VE50" s="3"/>
      <c r="VF50" s="3"/>
      <c r="VG50" s="3"/>
      <c r="VH50" s="3"/>
      <c r="VI50" s="3"/>
      <c r="VJ50" s="3"/>
      <c r="VK50" s="3"/>
      <c r="VL50" s="3"/>
      <c r="VM50" s="3"/>
      <c r="VN50" s="3"/>
      <c r="VO50" s="3"/>
      <c r="VP50" s="3"/>
      <c r="VQ50" s="3"/>
      <c r="VR50" s="3"/>
      <c r="VS50" s="3"/>
      <c r="VT50" s="3"/>
      <c r="VU50" s="3"/>
      <c r="VV50" s="3"/>
      <c r="VW50" s="3"/>
      <c r="VX50" s="3"/>
      <c r="VY50" s="3"/>
      <c r="VZ50" s="3"/>
      <c r="WA50" s="3"/>
      <c r="WB50" s="3"/>
      <c r="WC50" s="3"/>
      <c r="WD50" s="3"/>
      <c r="WE50" s="3"/>
      <c r="WF50" s="3"/>
      <c r="WG50" s="3"/>
      <c r="WH50" s="3"/>
      <c r="WI50" s="3"/>
      <c r="WJ50" s="3"/>
      <c r="WK50" s="3"/>
      <c r="WL50" s="3"/>
      <c r="WM50" s="3"/>
      <c r="WN50" s="3"/>
      <c r="WO50" s="3"/>
      <c r="WP50" s="3"/>
      <c r="WQ50" s="3"/>
      <c r="WR50" s="3"/>
      <c r="WS50" s="3"/>
      <c r="WT50" s="3"/>
      <c r="WU50" s="3"/>
      <c r="WV50" s="3"/>
      <c r="WW50" s="3"/>
      <c r="WX50" s="3"/>
      <c r="WY50" s="3"/>
      <c r="WZ50" s="3"/>
      <c r="XA50" s="3"/>
      <c r="XB50" s="3"/>
      <c r="XC50" s="3"/>
      <c r="XD50" s="3"/>
      <c r="XE50" s="3"/>
      <c r="XF50" s="3"/>
      <c r="XG50" s="3"/>
      <c r="XH50" s="3"/>
      <c r="XI50" s="3"/>
      <c r="XJ50" s="3"/>
      <c r="XK50" s="3"/>
      <c r="XL50" s="3"/>
      <c r="XM50" s="3"/>
      <c r="XN50" s="3"/>
      <c r="XO50" s="3"/>
      <c r="XP50" s="3"/>
      <c r="XQ50" s="3"/>
      <c r="XR50" s="3"/>
      <c r="XS50" s="3"/>
      <c r="XT50" s="3"/>
      <c r="XU50" s="3"/>
      <c r="XV50" s="3"/>
      <c r="XW50" s="3"/>
      <c r="XX50" s="3"/>
      <c r="XY50" s="3"/>
      <c r="XZ50" s="3"/>
      <c r="YA50" s="3"/>
      <c r="YB50" s="3"/>
      <c r="YC50" s="3"/>
      <c r="YD50" s="3"/>
      <c r="YE50" s="3"/>
      <c r="YF50" s="3"/>
      <c r="YG50" s="3"/>
      <c r="YH50" s="3"/>
      <c r="YI50" s="3"/>
      <c r="YJ50" s="3"/>
      <c r="YK50" s="3"/>
      <c r="YL50" s="3"/>
      <c r="YM50" s="3"/>
      <c r="YN50" s="3"/>
      <c r="YO50" s="3"/>
      <c r="YP50" s="3"/>
      <c r="YQ50" s="3"/>
      <c r="YR50" s="3"/>
      <c r="YS50" s="3"/>
      <c r="YT50" s="3"/>
      <c r="YU50" s="3"/>
      <c r="YV50" s="3"/>
      <c r="YW50" s="3"/>
      <c r="YX50" s="3"/>
      <c r="YY50" s="3"/>
      <c r="YZ50" s="3"/>
      <c r="ZA50" s="3"/>
      <c r="ZB50" s="3"/>
      <c r="ZC50" s="3"/>
    </row>
    <row r="51" spans="1:679" s="2" customFormat="1" x14ac:dyDescent="0.45">
      <c r="A51" s="3" t="s">
        <v>11</v>
      </c>
      <c r="B51" s="4">
        <v>31076</v>
      </c>
      <c r="C51" s="7" t="s">
        <v>21</v>
      </c>
      <c r="D51" s="6" t="s">
        <v>65</v>
      </c>
      <c r="E51" s="3"/>
      <c r="F51" s="3">
        <v>18</v>
      </c>
      <c r="L51" s="3"/>
      <c r="M51" s="3"/>
      <c r="N51" s="48"/>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c r="EB51" s="3"/>
      <c r="EC51" s="3"/>
      <c r="ED51" s="3"/>
      <c r="EE51" s="3"/>
      <c r="EF51" s="3"/>
      <c r="EG51" s="3"/>
      <c r="EH51" s="3"/>
      <c r="EI51" s="3"/>
      <c r="EJ51" s="3"/>
      <c r="EK51" s="3"/>
      <c r="EL51" s="3"/>
      <c r="EM51" s="3"/>
      <c r="EN51" s="3"/>
      <c r="EO51" s="3"/>
      <c r="EP51" s="3"/>
      <c r="EQ51" s="3"/>
      <c r="ER51" s="3"/>
      <c r="ES51" s="3"/>
      <c r="ET51" s="3"/>
      <c r="EU51" s="3"/>
      <c r="EV51" s="3"/>
      <c r="EW51" s="3"/>
      <c r="EX51" s="3"/>
      <c r="EY51" s="3"/>
      <c r="EZ51" s="3"/>
      <c r="FA51" s="3"/>
      <c r="FB51" s="3"/>
      <c r="FC51" s="3"/>
      <c r="FD51" s="3"/>
      <c r="FE51" s="3"/>
      <c r="FF51" s="3"/>
      <c r="FG51" s="3"/>
      <c r="FH51" s="3"/>
      <c r="FI51" s="3"/>
      <c r="FJ51" s="3"/>
      <c r="FK51" s="3"/>
      <c r="FL51" s="3"/>
      <c r="FM51" s="3"/>
      <c r="FN51" s="3"/>
      <c r="FO51" s="3"/>
      <c r="FP51" s="3"/>
      <c r="FQ51" s="3"/>
      <c r="FR51" s="3"/>
      <c r="FS51" s="3"/>
      <c r="FT51" s="3"/>
      <c r="FU51" s="3"/>
      <c r="FV51" s="3"/>
      <c r="FW51" s="3"/>
      <c r="FX51" s="3"/>
      <c r="FY51" s="3"/>
      <c r="FZ51" s="3"/>
      <c r="GA51" s="3"/>
      <c r="GB51" s="3"/>
      <c r="GC51" s="3"/>
      <c r="GD51" s="3"/>
      <c r="GE51" s="3"/>
      <c r="GF51" s="3"/>
      <c r="GG51" s="3"/>
      <c r="GH51" s="3"/>
      <c r="GI51" s="3"/>
      <c r="GJ51" s="3"/>
      <c r="GK51" s="3"/>
      <c r="GL51" s="3"/>
      <c r="GM51" s="3"/>
      <c r="GN51" s="3"/>
      <c r="GO51" s="3"/>
      <c r="GP51" s="3"/>
      <c r="GQ51" s="3"/>
      <c r="GR51" s="3"/>
      <c r="GS51" s="3"/>
      <c r="GT51" s="3"/>
      <c r="GU51" s="3"/>
      <c r="GV51" s="3"/>
      <c r="GW51" s="3"/>
      <c r="GX51" s="3"/>
      <c r="GY51" s="3"/>
      <c r="GZ51" s="3"/>
      <c r="HA51" s="3"/>
      <c r="HB51" s="3"/>
      <c r="HC51" s="3"/>
      <c r="HD51" s="3"/>
      <c r="HE51" s="3"/>
      <c r="HF51" s="3"/>
      <c r="HG51" s="3"/>
      <c r="HH51" s="3"/>
      <c r="HI51" s="3"/>
      <c r="HJ51" s="3"/>
      <c r="HK51" s="3"/>
      <c r="HL51" s="3"/>
      <c r="HM51" s="3"/>
      <c r="HN51" s="3"/>
      <c r="HO51" s="3"/>
      <c r="HP51" s="3"/>
      <c r="HQ51" s="3"/>
      <c r="HR51" s="3"/>
      <c r="HS51" s="3"/>
      <c r="HT51" s="3"/>
      <c r="HU51" s="3"/>
      <c r="HV51" s="3"/>
      <c r="HW51" s="3"/>
      <c r="HX51" s="3"/>
      <c r="HY51" s="3"/>
      <c r="HZ51" s="3"/>
      <c r="IA51" s="3"/>
      <c r="IB51" s="3"/>
      <c r="IC51" s="3"/>
      <c r="ID51" s="3"/>
      <c r="IE51" s="3"/>
      <c r="IF51" s="3"/>
      <c r="IG51" s="3"/>
      <c r="IH51" s="3"/>
      <c r="II51" s="3"/>
      <c r="IJ51" s="3"/>
      <c r="IK51" s="3"/>
      <c r="IL51" s="3"/>
      <c r="IM51" s="3"/>
      <c r="IN51" s="3"/>
      <c r="IO51" s="3"/>
      <c r="IP51" s="3"/>
      <c r="IQ51" s="3"/>
      <c r="IR51" s="3"/>
      <c r="IS51" s="3"/>
      <c r="IT51" s="3"/>
      <c r="IU51" s="3"/>
      <c r="IV51" s="3"/>
      <c r="IW51" s="3"/>
      <c r="IX51" s="3"/>
      <c r="IY51" s="3"/>
      <c r="IZ51" s="3"/>
      <c r="JA51" s="3"/>
      <c r="JB51" s="3"/>
      <c r="JC51" s="3"/>
      <c r="JD51" s="3"/>
      <c r="JE51" s="3"/>
      <c r="JF51" s="3"/>
      <c r="JG51" s="3"/>
      <c r="JH51" s="3"/>
      <c r="JI51" s="3"/>
      <c r="JJ51" s="3"/>
      <c r="JK51" s="3"/>
      <c r="JL51" s="3"/>
      <c r="JM51" s="3"/>
      <c r="JN51" s="3"/>
      <c r="JO51" s="3"/>
      <c r="JP51" s="3"/>
      <c r="JQ51" s="3"/>
      <c r="JR51" s="3"/>
      <c r="JS51" s="3"/>
      <c r="JT51" s="3"/>
      <c r="JU51" s="3"/>
      <c r="JV51" s="3"/>
      <c r="JW51" s="3"/>
      <c r="JX51" s="3"/>
      <c r="JY51" s="3"/>
      <c r="JZ51" s="3"/>
      <c r="KA51" s="3"/>
      <c r="KB51" s="3"/>
      <c r="KC51" s="3"/>
      <c r="KD51" s="3"/>
      <c r="KE51" s="3"/>
      <c r="KF51" s="3"/>
      <c r="KG51" s="3"/>
      <c r="KH51" s="3"/>
      <c r="KI51" s="3"/>
      <c r="KJ51" s="3"/>
      <c r="KK51" s="3"/>
      <c r="KL51" s="3"/>
      <c r="KM51" s="3"/>
      <c r="KN51" s="3"/>
      <c r="KO51" s="3"/>
      <c r="KP51" s="3"/>
      <c r="KQ51" s="3"/>
      <c r="KR51" s="3"/>
      <c r="KS51" s="3"/>
      <c r="KT51" s="3"/>
      <c r="KU51" s="3"/>
      <c r="KV51" s="3"/>
      <c r="KW51" s="3"/>
      <c r="KX51" s="3"/>
      <c r="KY51" s="3"/>
      <c r="KZ51" s="3"/>
      <c r="LA51" s="3"/>
      <c r="LB51" s="3"/>
      <c r="LC51" s="3"/>
      <c r="LD51" s="3"/>
      <c r="LE51" s="3"/>
      <c r="LF51" s="3"/>
      <c r="LG51" s="3"/>
      <c r="LH51" s="3"/>
      <c r="LI51" s="3"/>
      <c r="LJ51" s="3"/>
      <c r="LK51" s="3"/>
      <c r="LL51" s="3"/>
      <c r="LM51" s="3"/>
      <c r="LN51" s="3"/>
      <c r="LO51" s="3"/>
      <c r="LP51" s="3"/>
      <c r="LQ51" s="3"/>
      <c r="LR51" s="3"/>
      <c r="LS51" s="3"/>
      <c r="LT51" s="3"/>
      <c r="LU51" s="3"/>
      <c r="LV51" s="3"/>
      <c r="LW51" s="3"/>
      <c r="LX51" s="3"/>
      <c r="LY51" s="3"/>
      <c r="LZ51" s="3"/>
      <c r="MA51" s="3"/>
      <c r="MB51" s="3"/>
      <c r="MC51" s="3"/>
      <c r="MD51" s="3"/>
      <c r="ME51" s="3"/>
      <c r="MF51" s="3"/>
      <c r="MG51" s="3"/>
      <c r="MH51" s="3"/>
      <c r="MI51" s="3"/>
      <c r="MJ51" s="3"/>
      <c r="MK51" s="3"/>
      <c r="ML51" s="3"/>
      <c r="MM51" s="3"/>
      <c r="MN51" s="3"/>
      <c r="MO51" s="3"/>
      <c r="MP51" s="3"/>
      <c r="MQ51" s="3"/>
      <c r="MR51" s="3"/>
      <c r="MS51" s="3"/>
      <c r="MT51" s="3"/>
      <c r="MU51" s="3"/>
      <c r="MV51" s="3"/>
      <c r="MW51" s="3"/>
      <c r="MX51" s="3"/>
      <c r="MY51" s="3"/>
      <c r="MZ51" s="3"/>
      <c r="NA51" s="3"/>
      <c r="NB51" s="3"/>
      <c r="NC51" s="3"/>
      <c r="ND51" s="3"/>
      <c r="NE51" s="3"/>
      <c r="NF51" s="3"/>
      <c r="NG51" s="3"/>
      <c r="NH51" s="3"/>
      <c r="NI51" s="3"/>
      <c r="NJ51" s="3"/>
      <c r="NK51" s="3"/>
      <c r="NL51" s="3"/>
      <c r="NM51" s="3"/>
      <c r="NN51" s="3"/>
      <c r="NO51" s="3"/>
      <c r="NP51" s="3"/>
      <c r="NQ51" s="3"/>
      <c r="NR51" s="3"/>
      <c r="NS51" s="3"/>
      <c r="NT51" s="3"/>
      <c r="NU51" s="3"/>
      <c r="NV51" s="3"/>
      <c r="NW51" s="3"/>
      <c r="NX51" s="3"/>
      <c r="NY51" s="3"/>
      <c r="NZ51" s="3"/>
      <c r="OA51" s="3"/>
      <c r="OB51" s="3"/>
      <c r="OC51" s="3"/>
      <c r="OD51" s="3"/>
      <c r="OE51" s="3"/>
      <c r="OF51" s="3"/>
      <c r="OG51" s="3"/>
      <c r="OH51" s="3"/>
      <c r="OI51" s="3"/>
      <c r="OJ51" s="3"/>
      <c r="OK51" s="3"/>
      <c r="OL51" s="3"/>
      <c r="OM51" s="3"/>
      <c r="ON51" s="3"/>
      <c r="OO51" s="3"/>
      <c r="OP51" s="3"/>
      <c r="OQ51" s="3"/>
      <c r="OR51" s="3"/>
      <c r="OS51" s="3"/>
      <c r="OT51" s="3"/>
      <c r="OU51" s="3"/>
      <c r="OV51" s="3"/>
      <c r="OW51" s="3"/>
      <c r="OX51" s="3"/>
      <c r="OY51" s="3"/>
      <c r="OZ51" s="3"/>
      <c r="PA51" s="3"/>
      <c r="PB51" s="3"/>
      <c r="PC51" s="3"/>
      <c r="PD51" s="3"/>
      <c r="PE51" s="3"/>
      <c r="PF51" s="3"/>
      <c r="PG51" s="3"/>
      <c r="PH51" s="3"/>
      <c r="PI51" s="3"/>
      <c r="PJ51" s="3"/>
      <c r="PK51" s="3"/>
      <c r="PL51" s="3"/>
      <c r="PM51" s="3"/>
      <c r="PN51" s="3"/>
      <c r="PO51" s="3"/>
      <c r="PP51" s="3"/>
      <c r="PQ51" s="3"/>
      <c r="PR51" s="3"/>
      <c r="PS51" s="3"/>
      <c r="PT51" s="3"/>
      <c r="PU51" s="3"/>
      <c r="PV51" s="3"/>
      <c r="PW51" s="3"/>
      <c r="PX51" s="3"/>
      <c r="PY51" s="3"/>
      <c r="PZ51" s="3"/>
      <c r="QA51" s="3"/>
      <c r="QB51" s="3"/>
      <c r="QC51" s="3"/>
      <c r="QD51" s="3"/>
      <c r="QE51" s="3"/>
      <c r="QF51" s="3"/>
      <c r="QG51" s="3"/>
      <c r="QH51" s="3"/>
      <c r="QI51" s="3"/>
      <c r="QJ51" s="3"/>
      <c r="QK51" s="3"/>
      <c r="QL51" s="3"/>
      <c r="QM51" s="3"/>
      <c r="QN51" s="3"/>
      <c r="QO51" s="3"/>
      <c r="QP51" s="3"/>
      <c r="QQ51" s="3"/>
      <c r="QR51" s="3"/>
      <c r="QS51" s="3"/>
      <c r="QT51" s="3"/>
      <c r="QU51" s="3"/>
      <c r="QV51" s="3"/>
      <c r="QW51" s="3"/>
      <c r="QX51" s="3"/>
      <c r="QY51" s="3"/>
      <c r="QZ51" s="3"/>
      <c r="RA51" s="3"/>
      <c r="RB51" s="3"/>
      <c r="RC51" s="3"/>
      <c r="RD51" s="3"/>
      <c r="RE51" s="3"/>
      <c r="RF51" s="3"/>
      <c r="RG51" s="3"/>
      <c r="RH51" s="3"/>
      <c r="RI51" s="3"/>
      <c r="RJ51" s="3"/>
      <c r="RK51" s="3"/>
      <c r="RL51" s="3"/>
      <c r="RM51" s="3"/>
      <c r="RN51" s="3"/>
      <c r="RO51" s="3"/>
      <c r="RP51" s="3"/>
      <c r="RQ51" s="3"/>
      <c r="RR51" s="3"/>
      <c r="RS51" s="3"/>
      <c r="RT51" s="3"/>
      <c r="RU51" s="3"/>
      <c r="RV51" s="3"/>
      <c r="RW51" s="3"/>
      <c r="RX51" s="3"/>
      <c r="RY51" s="3"/>
      <c r="RZ51" s="3"/>
      <c r="SA51" s="3"/>
      <c r="SB51" s="3"/>
      <c r="SC51" s="3"/>
      <c r="SD51" s="3"/>
      <c r="SE51" s="3"/>
      <c r="SF51" s="3"/>
      <c r="SG51" s="3"/>
      <c r="SH51" s="3"/>
      <c r="SI51" s="3"/>
      <c r="SJ51" s="3"/>
      <c r="SK51" s="3"/>
      <c r="SL51" s="3"/>
      <c r="SM51" s="3"/>
      <c r="SN51" s="3"/>
      <c r="SO51" s="3"/>
      <c r="SP51" s="3"/>
      <c r="SQ51" s="3"/>
      <c r="SR51" s="3"/>
      <c r="SS51" s="3"/>
      <c r="ST51" s="3"/>
      <c r="SU51" s="3"/>
      <c r="SV51" s="3"/>
      <c r="SW51" s="3"/>
      <c r="SX51" s="3"/>
      <c r="SY51" s="3"/>
      <c r="SZ51" s="3"/>
      <c r="TA51" s="3"/>
      <c r="TB51" s="3"/>
      <c r="TC51" s="3"/>
      <c r="TD51" s="3"/>
      <c r="TE51" s="3"/>
      <c r="TF51" s="3"/>
      <c r="TG51" s="3"/>
      <c r="TH51" s="3"/>
      <c r="TI51" s="3"/>
      <c r="TJ51" s="3"/>
      <c r="TK51" s="3"/>
      <c r="TL51" s="3"/>
      <c r="TM51" s="3"/>
      <c r="TN51" s="3"/>
      <c r="TO51" s="3"/>
      <c r="TP51" s="3"/>
      <c r="TQ51" s="3"/>
      <c r="TR51" s="3"/>
      <c r="TS51" s="3"/>
      <c r="TT51" s="3"/>
      <c r="TU51" s="3"/>
      <c r="TV51" s="3"/>
      <c r="TW51" s="3"/>
      <c r="TX51" s="3"/>
      <c r="TY51" s="3"/>
      <c r="TZ51" s="3"/>
      <c r="UA51" s="3"/>
      <c r="UB51" s="3"/>
      <c r="UC51" s="3"/>
      <c r="UD51" s="3"/>
      <c r="UE51" s="3"/>
      <c r="UF51" s="3"/>
      <c r="UG51" s="3"/>
      <c r="UH51" s="3"/>
      <c r="UI51" s="3"/>
      <c r="UJ51" s="3"/>
      <c r="UK51" s="3"/>
      <c r="UL51" s="3"/>
      <c r="UM51" s="3"/>
      <c r="UN51" s="3"/>
      <c r="UO51" s="3"/>
      <c r="UP51" s="3"/>
      <c r="UQ51" s="3"/>
      <c r="UR51" s="3"/>
      <c r="US51" s="3"/>
      <c r="UT51" s="3"/>
      <c r="UU51" s="3"/>
      <c r="UV51" s="3"/>
      <c r="UW51" s="3"/>
      <c r="UX51" s="3"/>
      <c r="UY51" s="3"/>
      <c r="UZ51" s="3"/>
      <c r="VA51" s="3"/>
      <c r="VB51" s="3"/>
      <c r="VC51" s="3"/>
      <c r="VD51" s="3"/>
      <c r="VE51" s="3"/>
      <c r="VF51" s="3"/>
      <c r="VG51" s="3"/>
      <c r="VH51" s="3"/>
      <c r="VI51" s="3"/>
      <c r="VJ51" s="3"/>
      <c r="VK51" s="3"/>
      <c r="VL51" s="3"/>
      <c r="VM51" s="3"/>
      <c r="VN51" s="3"/>
      <c r="VO51" s="3"/>
      <c r="VP51" s="3"/>
      <c r="VQ51" s="3"/>
      <c r="VR51" s="3"/>
      <c r="VS51" s="3"/>
      <c r="VT51" s="3"/>
      <c r="VU51" s="3"/>
      <c r="VV51" s="3"/>
      <c r="VW51" s="3"/>
      <c r="VX51" s="3"/>
      <c r="VY51" s="3"/>
      <c r="VZ51" s="3"/>
      <c r="WA51" s="3"/>
      <c r="WB51" s="3"/>
      <c r="WC51" s="3"/>
      <c r="WD51" s="3"/>
      <c r="WE51" s="3"/>
      <c r="WF51" s="3"/>
      <c r="WG51" s="3"/>
      <c r="WH51" s="3"/>
      <c r="WI51" s="3"/>
      <c r="WJ51" s="3"/>
      <c r="WK51" s="3"/>
      <c r="WL51" s="3"/>
      <c r="WM51" s="3"/>
      <c r="WN51" s="3"/>
      <c r="WO51" s="3"/>
      <c r="WP51" s="3"/>
      <c r="WQ51" s="3"/>
      <c r="WR51" s="3"/>
      <c r="WS51" s="3"/>
      <c r="WT51" s="3"/>
      <c r="WU51" s="3"/>
      <c r="WV51" s="3"/>
      <c r="WW51" s="3"/>
      <c r="WX51" s="3"/>
      <c r="WY51" s="3"/>
      <c r="WZ51" s="3"/>
      <c r="XA51" s="3"/>
      <c r="XB51" s="3"/>
      <c r="XC51" s="3"/>
      <c r="XD51" s="3"/>
      <c r="XE51" s="3"/>
      <c r="XF51" s="3"/>
      <c r="XG51" s="3"/>
      <c r="XH51" s="3"/>
      <c r="XI51" s="3"/>
      <c r="XJ51" s="3"/>
      <c r="XK51" s="3"/>
      <c r="XL51" s="3"/>
      <c r="XM51" s="3"/>
      <c r="XN51" s="3"/>
      <c r="XO51" s="3"/>
      <c r="XP51" s="3"/>
      <c r="XQ51" s="3"/>
      <c r="XR51" s="3"/>
      <c r="XS51" s="3"/>
      <c r="XT51" s="3"/>
      <c r="XU51" s="3"/>
      <c r="XV51" s="3"/>
      <c r="XW51" s="3"/>
      <c r="XX51" s="3"/>
      <c r="XY51" s="3"/>
      <c r="XZ51" s="3"/>
      <c r="YA51" s="3"/>
      <c r="YB51" s="3"/>
      <c r="YC51" s="3"/>
      <c r="YD51" s="3"/>
      <c r="YE51" s="3"/>
      <c r="YF51" s="3"/>
      <c r="YG51" s="3"/>
      <c r="YH51" s="3"/>
      <c r="YI51" s="3"/>
      <c r="YJ51" s="3"/>
      <c r="YK51" s="3"/>
      <c r="YL51" s="3"/>
      <c r="YM51" s="3"/>
      <c r="YN51" s="3"/>
      <c r="YO51" s="3"/>
      <c r="YP51" s="3"/>
      <c r="YQ51" s="3"/>
      <c r="YR51" s="3"/>
      <c r="YS51" s="3"/>
      <c r="YT51" s="3"/>
      <c r="YU51" s="3"/>
      <c r="YV51" s="3"/>
      <c r="YW51" s="3"/>
      <c r="YX51" s="3"/>
      <c r="YY51" s="3"/>
      <c r="YZ51" s="3"/>
      <c r="ZA51" s="3"/>
      <c r="ZB51" s="3"/>
      <c r="ZC51" s="3"/>
    </row>
    <row r="52" spans="1:679" s="2" customFormat="1" x14ac:dyDescent="0.45">
      <c r="A52" s="3" t="s">
        <v>11</v>
      </c>
      <c r="B52" s="4">
        <v>31117</v>
      </c>
      <c r="C52" s="7" t="s">
        <v>25</v>
      </c>
      <c r="D52" s="6" t="s">
        <v>66</v>
      </c>
      <c r="E52" s="3"/>
      <c r="F52" s="3">
        <v>11</v>
      </c>
      <c r="L52" s="3"/>
      <c r="M52" s="3"/>
      <c r="N52" s="48"/>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c r="EU52" s="3"/>
      <c r="EV52" s="3"/>
      <c r="EW52" s="3"/>
      <c r="EX52" s="3"/>
      <c r="EY52" s="3"/>
      <c r="EZ52" s="3"/>
      <c r="FA52" s="3"/>
      <c r="FB52" s="3"/>
      <c r="FC52" s="3"/>
      <c r="FD52" s="3"/>
      <c r="FE52" s="3"/>
      <c r="FF52" s="3"/>
      <c r="FG52" s="3"/>
      <c r="FH52" s="3"/>
      <c r="FI52" s="3"/>
      <c r="FJ52" s="3"/>
      <c r="FK52" s="3"/>
      <c r="FL52" s="3"/>
      <c r="FM52" s="3"/>
      <c r="FN52" s="3"/>
      <c r="FO52" s="3"/>
      <c r="FP52" s="3"/>
      <c r="FQ52" s="3"/>
      <c r="FR52" s="3"/>
      <c r="FS52" s="3"/>
      <c r="FT52" s="3"/>
      <c r="FU52" s="3"/>
      <c r="FV52" s="3"/>
      <c r="FW52" s="3"/>
      <c r="FX52" s="3"/>
      <c r="FY52" s="3"/>
      <c r="FZ52" s="3"/>
      <c r="GA52" s="3"/>
      <c r="GB52" s="3"/>
      <c r="GC52" s="3"/>
      <c r="GD52" s="3"/>
      <c r="GE52" s="3"/>
      <c r="GF52" s="3"/>
      <c r="GG52" s="3"/>
      <c r="GH52" s="3"/>
      <c r="GI52" s="3"/>
      <c r="GJ52" s="3"/>
      <c r="GK52" s="3"/>
      <c r="GL52" s="3"/>
      <c r="GM52" s="3"/>
      <c r="GN52" s="3"/>
      <c r="GO52" s="3"/>
      <c r="GP52" s="3"/>
      <c r="GQ52" s="3"/>
      <c r="GR52" s="3"/>
      <c r="GS52" s="3"/>
      <c r="GT52" s="3"/>
      <c r="GU52" s="3"/>
      <c r="GV52" s="3"/>
      <c r="GW52" s="3"/>
      <c r="GX52" s="3"/>
      <c r="GY52" s="3"/>
      <c r="GZ52" s="3"/>
      <c r="HA52" s="3"/>
      <c r="HB52" s="3"/>
      <c r="HC52" s="3"/>
      <c r="HD52" s="3"/>
      <c r="HE52" s="3"/>
      <c r="HF52" s="3"/>
      <c r="HG52" s="3"/>
      <c r="HH52" s="3"/>
      <c r="HI52" s="3"/>
      <c r="HJ52" s="3"/>
      <c r="HK52" s="3"/>
      <c r="HL52" s="3"/>
      <c r="HM52" s="3"/>
      <c r="HN52" s="3"/>
      <c r="HO52" s="3"/>
      <c r="HP52" s="3"/>
      <c r="HQ52" s="3"/>
      <c r="HR52" s="3"/>
      <c r="HS52" s="3"/>
      <c r="HT52" s="3"/>
      <c r="HU52" s="3"/>
      <c r="HV52" s="3"/>
      <c r="HW52" s="3"/>
      <c r="HX52" s="3"/>
      <c r="HY52" s="3"/>
      <c r="HZ52" s="3"/>
      <c r="IA52" s="3"/>
      <c r="IB52" s="3"/>
      <c r="IC52" s="3"/>
      <c r="ID52" s="3"/>
      <c r="IE52" s="3"/>
      <c r="IF52" s="3"/>
      <c r="IG52" s="3"/>
      <c r="IH52" s="3"/>
      <c r="II52" s="3"/>
      <c r="IJ52" s="3"/>
      <c r="IK52" s="3"/>
      <c r="IL52" s="3"/>
      <c r="IM52" s="3"/>
      <c r="IN52" s="3"/>
      <c r="IO52" s="3"/>
      <c r="IP52" s="3"/>
      <c r="IQ52" s="3"/>
      <c r="IR52" s="3"/>
      <c r="IS52" s="3"/>
      <c r="IT52" s="3"/>
      <c r="IU52" s="3"/>
      <c r="IV52" s="3"/>
      <c r="IW52" s="3"/>
      <c r="IX52" s="3"/>
      <c r="IY52" s="3"/>
      <c r="IZ52" s="3"/>
      <c r="JA52" s="3"/>
      <c r="JB52" s="3"/>
      <c r="JC52" s="3"/>
      <c r="JD52" s="3"/>
      <c r="JE52" s="3"/>
      <c r="JF52" s="3"/>
      <c r="JG52" s="3"/>
      <c r="JH52" s="3"/>
      <c r="JI52" s="3"/>
      <c r="JJ52" s="3"/>
      <c r="JK52" s="3"/>
      <c r="JL52" s="3"/>
      <c r="JM52" s="3"/>
      <c r="JN52" s="3"/>
      <c r="JO52" s="3"/>
      <c r="JP52" s="3"/>
      <c r="JQ52" s="3"/>
      <c r="JR52" s="3"/>
      <c r="JS52" s="3"/>
      <c r="JT52" s="3"/>
      <c r="JU52" s="3"/>
      <c r="JV52" s="3"/>
      <c r="JW52" s="3"/>
      <c r="JX52" s="3"/>
      <c r="JY52" s="3"/>
      <c r="JZ52" s="3"/>
      <c r="KA52" s="3"/>
      <c r="KB52" s="3"/>
      <c r="KC52" s="3"/>
      <c r="KD52" s="3"/>
      <c r="KE52" s="3"/>
      <c r="KF52" s="3"/>
      <c r="KG52" s="3"/>
      <c r="KH52" s="3"/>
      <c r="KI52" s="3"/>
      <c r="KJ52" s="3"/>
      <c r="KK52" s="3"/>
      <c r="KL52" s="3"/>
      <c r="KM52" s="3"/>
      <c r="KN52" s="3"/>
      <c r="KO52" s="3"/>
      <c r="KP52" s="3"/>
      <c r="KQ52" s="3"/>
      <c r="KR52" s="3"/>
      <c r="KS52" s="3"/>
      <c r="KT52" s="3"/>
      <c r="KU52" s="3"/>
      <c r="KV52" s="3"/>
      <c r="KW52" s="3"/>
      <c r="KX52" s="3"/>
      <c r="KY52" s="3"/>
      <c r="KZ52" s="3"/>
      <c r="LA52" s="3"/>
      <c r="LB52" s="3"/>
      <c r="LC52" s="3"/>
      <c r="LD52" s="3"/>
      <c r="LE52" s="3"/>
      <c r="LF52" s="3"/>
      <c r="LG52" s="3"/>
      <c r="LH52" s="3"/>
      <c r="LI52" s="3"/>
      <c r="LJ52" s="3"/>
      <c r="LK52" s="3"/>
      <c r="LL52" s="3"/>
      <c r="LM52" s="3"/>
      <c r="LN52" s="3"/>
      <c r="LO52" s="3"/>
      <c r="LP52" s="3"/>
      <c r="LQ52" s="3"/>
      <c r="LR52" s="3"/>
      <c r="LS52" s="3"/>
      <c r="LT52" s="3"/>
      <c r="LU52" s="3"/>
      <c r="LV52" s="3"/>
      <c r="LW52" s="3"/>
      <c r="LX52" s="3"/>
      <c r="LY52" s="3"/>
      <c r="LZ52" s="3"/>
      <c r="MA52" s="3"/>
      <c r="MB52" s="3"/>
      <c r="MC52" s="3"/>
      <c r="MD52" s="3"/>
      <c r="ME52" s="3"/>
      <c r="MF52" s="3"/>
      <c r="MG52" s="3"/>
      <c r="MH52" s="3"/>
      <c r="MI52" s="3"/>
      <c r="MJ52" s="3"/>
      <c r="MK52" s="3"/>
      <c r="ML52" s="3"/>
      <c r="MM52" s="3"/>
      <c r="MN52" s="3"/>
      <c r="MO52" s="3"/>
      <c r="MP52" s="3"/>
      <c r="MQ52" s="3"/>
      <c r="MR52" s="3"/>
      <c r="MS52" s="3"/>
      <c r="MT52" s="3"/>
      <c r="MU52" s="3"/>
      <c r="MV52" s="3"/>
      <c r="MW52" s="3"/>
      <c r="MX52" s="3"/>
      <c r="MY52" s="3"/>
      <c r="MZ52" s="3"/>
      <c r="NA52" s="3"/>
      <c r="NB52" s="3"/>
      <c r="NC52" s="3"/>
      <c r="ND52" s="3"/>
      <c r="NE52" s="3"/>
      <c r="NF52" s="3"/>
      <c r="NG52" s="3"/>
      <c r="NH52" s="3"/>
      <c r="NI52" s="3"/>
      <c r="NJ52" s="3"/>
      <c r="NK52" s="3"/>
      <c r="NL52" s="3"/>
      <c r="NM52" s="3"/>
      <c r="NN52" s="3"/>
      <c r="NO52" s="3"/>
      <c r="NP52" s="3"/>
      <c r="NQ52" s="3"/>
      <c r="NR52" s="3"/>
      <c r="NS52" s="3"/>
      <c r="NT52" s="3"/>
      <c r="NU52" s="3"/>
      <c r="NV52" s="3"/>
      <c r="NW52" s="3"/>
      <c r="NX52" s="3"/>
      <c r="NY52" s="3"/>
      <c r="NZ52" s="3"/>
      <c r="OA52" s="3"/>
      <c r="OB52" s="3"/>
      <c r="OC52" s="3"/>
      <c r="OD52" s="3"/>
      <c r="OE52" s="3"/>
      <c r="OF52" s="3"/>
      <c r="OG52" s="3"/>
      <c r="OH52" s="3"/>
      <c r="OI52" s="3"/>
      <c r="OJ52" s="3"/>
      <c r="OK52" s="3"/>
      <c r="OL52" s="3"/>
      <c r="OM52" s="3"/>
      <c r="ON52" s="3"/>
      <c r="OO52" s="3"/>
      <c r="OP52" s="3"/>
      <c r="OQ52" s="3"/>
      <c r="OR52" s="3"/>
      <c r="OS52" s="3"/>
      <c r="OT52" s="3"/>
      <c r="OU52" s="3"/>
      <c r="OV52" s="3"/>
      <c r="OW52" s="3"/>
      <c r="OX52" s="3"/>
      <c r="OY52" s="3"/>
      <c r="OZ52" s="3"/>
      <c r="PA52" s="3"/>
      <c r="PB52" s="3"/>
      <c r="PC52" s="3"/>
      <c r="PD52" s="3"/>
      <c r="PE52" s="3"/>
      <c r="PF52" s="3"/>
      <c r="PG52" s="3"/>
      <c r="PH52" s="3"/>
      <c r="PI52" s="3"/>
      <c r="PJ52" s="3"/>
      <c r="PK52" s="3"/>
      <c r="PL52" s="3"/>
      <c r="PM52" s="3"/>
      <c r="PN52" s="3"/>
      <c r="PO52" s="3"/>
      <c r="PP52" s="3"/>
      <c r="PQ52" s="3"/>
      <c r="PR52" s="3"/>
      <c r="PS52" s="3"/>
      <c r="PT52" s="3"/>
      <c r="PU52" s="3"/>
      <c r="PV52" s="3"/>
      <c r="PW52" s="3"/>
      <c r="PX52" s="3"/>
      <c r="PY52" s="3"/>
      <c r="PZ52" s="3"/>
      <c r="QA52" s="3"/>
      <c r="QB52" s="3"/>
      <c r="QC52" s="3"/>
      <c r="QD52" s="3"/>
      <c r="QE52" s="3"/>
      <c r="QF52" s="3"/>
      <c r="QG52" s="3"/>
      <c r="QH52" s="3"/>
      <c r="QI52" s="3"/>
      <c r="QJ52" s="3"/>
      <c r="QK52" s="3"/>
      <c r="QL52" s="3"/>
      <c r="QM52" s="3"/>
      <c r="QN52" s="3"/>
      <c r="QO52" s="3"/>
      <c r="QP52" s="3"/>
      <c r="QQ52" s="3"/>
      <c r="QR52" s="3"/>
      <c r="QS52" s="3"/>
      <c r="QT52" s="3"/>
      <c r="QU52" s="3"/>
      <c r="QV52" s="3"/>
      <c r="QW52" s="3"/>
      <c r="QX52" s="3"/>
      <c r="QY52" s="3"/>
      <c r="QZ52" s="3"/>
      <c r="RA52" s="3"/>
      <c r="RB52" s="3"/>
      <c r="RC52" s="3"/>
      <c r="RD52" s="3"/>
      <c r="RE52" s="3"/>
      <c r="RF52" s="3"/>
      <c r="RG52" s="3"/>
      <c r="RH52" s="3"/>
      <c r="RI52" s="3"/>
      <c r="RJ52" s="3"/>
      <c r="RK52" s="3"/>
      <c r="RL52" s="3"/>
      <c r="RM52" s="3"/>
      <c r="RN52" s="3"/>
      <c r="RO52" s="3"/>
      <c r="RP52" s="3"/>
      <c r="RQ52" s="3"/>
      <c r="RR52" s="3"/>
      <c r="RS52" s="3"/>
      <c r="RT52" s="3"/>
      <c r="RU52" s="3"/>
      <c r="RV52" s="3"/>
      <c r="RW52" s="3"/>
      <c r="RX52" s="3"/>
      <c r="RY52" s="3"/>
      <c r="RZ52" s="3"/>
      <c r="SA52" s="3"/>
      <c r="SB52" s="3"/>
      <c r="SC52" s="3"/>
      <c r="SD52" s="3"/>
      <c r="SE52" s="3"/>
      <c r="SF52" s="3"/>
      <c r="SG52" s="3"/>
      <c r="SH52" s="3"/>
      <c r="SI52" s="3"/>
      <c r="SJ52" s="3"/>
      <c r="SK52" s="3"/>
      <c r="SL52" s="3"/>
      <c r="SM52" s="3"/>
      <c r="SN52" s="3"/>
      <c r="SO52" s="3"/>
      <c r="SP52" s="3"/>
      <c r="SQ52" s="3"/>
      <c r="SR52" s="3"/>
      <c r="SS52" s="3"/>
      <c r="ST52" s="3"/>
      <c r="SU52" s="3"/>
      <c r="SV52" s="3"/>
      <c r="SW52" s="3"/>
      <c r="SX52" s="3"/>
      <c r="SY52" s="3"/>
      <c r="SZ52" s="3"/>
      <c r="TA52" s="3"/>
      <c r="TB52" s="3"/>
      <c r="TC52" s="3"/>
      <c r="TD52" s="3"/>
      <c r="TE52" s="3"/>
      <c r="TF52" s="3"/>
      <c r="TG52" s="3"/>
      <c r="TH52" s="3"/>
      <c r="TI52" s="3"/>
      <c r="TJ52" s="3"/>
      <c r="TK52" s="3"/>
      <c r="TL52" s="3"/>
      <c r="TM52" s="3"/>
      <c r="TN52" s="3"/>
      <c r="TO52" s="3"/>
      <c r="TP52" s="3"/>
      <c r="TQ52" s="3"/>
      <c r="TR52" s="3"/>
      <c r="TS52" s="3"/>
      <c r="TT52" s="3"/>
      <c r="TU52" s="3"/>
      <c r="TV52" s="3"/>
      <c r="TW52" s="3"/>
      <c r="TX52" s="3"/>
      <c r="TY52" s="3"/>
      <c r="TZ52" s="3"/>
      <c r="UA52" s="3"/>
      <c r="UB52" s="3"/>
      <c r="UC52" s="3"/>
      <c r="UD52" s="3"/>
      <c r="UE52" s="3"/>
      <c r="UF52" s="3"/>
      <c r="UG52" s="3"/>
      <c r="UH52" s="3"/>
      <c r="UI52" s="3"/>
      <c r="UJ52" s="3"/>
      <c r="UK52" s="3"/>
      <c r="UL52" s="3"/>
      <c r="UM52" s="3"/>
      <c r="UN52" s="3"/>
      <c r="UO52" s="3"/>
      <c r="UP52" s="3"/>
      <c r="UQ52" s="3"/>
      <c r="UR52" s="3"/>
      <c r="US52" s="3"/>
      <c r="UT52" s="3"/>
      <c r="UU52" s="3"/>
      <c r="UV52" s="3"/>
      <c r="UW52" s="3"/>
      <c r="UX52" s="3"/>
      <c r="UY52" s="3"/>
      <c r="UZ52" s="3"/>
      <c r="VA52" s="3"/>
      <c r="VB52" s="3"/>
      <c r="VC52" s="3"/>
      <c r="VD52" s="3"/>
      <c r="VE52" s="3"/>
      <c r="VF52" s="3"/>
      <c r="VG52" s="3"/>
      <c r="VH52" s="3"/>
      <c r="VI52" s="3"/>
      <c r="VJ52" s="3"/>
      <c r="VK52" s="3"/>
      <c r="VL52" s="3"/>
      <c r="VM52" s="3"/>
      <c r="VN52" s="3"/>
      <c r="VO52" s="3"/>
      <c r="VP52" s="3"/>
      <c r="VQ52" s="3"/>
      <c r="VR52" s="3"/>
      <c r="VS52" s="3"/>
      <c r="VT52" s="3"/>
      <c r="VU52" s="3"/>
      <c r="VV52" s="3"/>
      <c r="VW52" s="3"/>
      <c r="VX52" s="3"/>
      <c r="VY52" s="3"/>
      <c r="VZ52" s="3"/>
      <c r="WA52" s="3"/>
      <c r="WB52" s="3"/>
      <c r="WC52" s="3"/>
      <c r="WD52" s="3"/>
      <c r="WE52" s="3"/>
      <c r="WF52" s="3"/>
      <c r="WG52" s="3"/>
      <c r="WH52" s="3"/>
      <c r="WI52" s="3"/>
      <c r="WJ52" s="3"/>
      <c r="WK52" s="3"/>
      <c r="WL52" s="3"/>
      <c r="WM52" s="3"/>
      <c r="WN52" s="3"/>
      <c r="WO52" s="3"/>
      <c r="WP52" s="3"/>
      <c r="WQ52" s="3"/>
      <c r="WR52" s="3"/>
      <c r="WS52" s="3"/>
      <c r="WT52" s="3"/>
      <c r="WU52" s="3"/>
      <c r="WV52" s="3"/>
      <c r="WW52" s="3"/>
      <c r="WX52" s="3"/>
      <c r="WY52" s="3"/>
      <c r="WZ52" s="3"/>
      <c r="XA52" s="3"/>
      <c r="XB52" s="3"/>
      <c r="XC52" s="3"/>
      <c r="XD52" s="3"/>
      <c r="XE52" s="3"/>
      <c r="XF52" s="3"/>
      <c r="XG52" s="3"/>
      <c r="XH52" s="3"/>
      <c r="XI52" s="3"/>
      <c r="XJ52" s="3"/>
      <c r="XK52" s="3"/>
      <c r="XL52" s="3"/>
      <c r="XM52" s="3"/>
      <c r="XN52" s="3"/>
      <c r="XO52" s="3"/>
      <c r="XP52" s="3"/>
      <c r="XQ52" s="3"/>
      <c r="XR52" s="3"/>
      <c r="XS52" s="3"/>
      <c r="XT52" s="3"/>
      <c r="XU52" s="3"/>
      <c r="XV52" s="3"/>
      <c r="XW52" s="3"/>
      <c r="XX52" s="3"/>
      <c r="XY52" s="3"/>
      <c r="XZ52" s="3"/>
      <c r="YA52" s="3"/>
      <c r="YB52" s="3"/>
      <c r="YC52" s="3"/>
      <c r="YD52" s="3"/>
      <c r="YE52" s="3"/>
      <c r="YF52" s="3"/>
      <c r="YG52" s="3"/>
      <c r="YH52" s="3"/>
      <c r="YI52" s="3"/>
      <c r="YJ52" s="3"/>
      <c r="YK52" s="3"/>
      <c r="YL52" s="3"/>
      <c r="YM52" s="3"/>
      <c r="YN52" s="3"/>
      <c r="YO52" s="3"/>
      <c r="YP52" s="3"/>
      <c r="YQ52" s="3"/>
      <c r="YR52" s="3"/>
      <c r="YS52" s="3"/>
      <c r="YT52" s="3"/>
      <c r="YU52" s="3"/>
      <c r="YV52" s="3"/>
      <c r="YW52" s="3"/>
      <c r="YX52" s="3"/>
      <c r="YY52" s="3"/>
      <c r="YZ52" s="3"/>
      <c r="ZA52" s="3"/>
      <c r="ZB52" s="3"/>
      <c r="ZC52" s="3"/>
    </row>
    <row r="53" spans="1:679" s="2" customFormat="1" x14ac:dyDescent="0.45">
      <c r="A53" s="3" t="s">
        <v>11</v>
      </c>
      <c r="B53" s="4">
        <v>31120</v>
      </c>
      <c r="C53" s="7" t="s">
        <v>21</v>
      </c>
      <c r="D53" s="6" t="s">
        <v>67</v>
      </c>
      <c r="E53" s="3"/>
      <c r="F53" s="3">
        <v>14</v>
      </c>
      <c r="L53" s="3"/>
      <c r="M53" s="3"/>
      <c r="N53" s="48"/>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c r="ER53" s="3"/>
      <c r="ES53" s="3"/>
      <c r="ET53" s="3"/>
      <c r="EU53" s="3"/>
      <c r="EV53" s="3"/>
      <c r="EW53" s="3"/>
      <c r="EX53" s="3"/>
      <c r="EY53" s="3"/>
      <c r="EZ53" s="3"/>
      <c r="FA53" s="3"/>
      <c r="FB53" s="3"/>
      <c r="FC53" s="3"/>
      <c r="FD53" s="3"/>
      <c r="FE53" s="3"/>
      <c r="FF53" s="3"/>
      <c r="FG53" s="3"/>
      <c r="FH53" s="3"/>
      <c r="FI53" s="3"/>
      <c r="FJ53" s="3"/>
      <c r="FK53" s="3"/>
      <c r="FL53" s="3"/>
      <c r="FM53" s="3"/>
      <c r="FN53" s="3"/>
      <c r="FO53" s="3"/>
      <c r="FP53" s="3"/>
      <c r="FQ53" s="3"/>
      <c r="FR53" s="3"/>
      <c r="FS53" s="3"/>
      <c r="FT53" s="3"/>
      <c r="FU53" s="3"/>
      <c r="FV53" s="3"/>
      <c r="FW53" s="3"/>
      <c r="FX53" s="3"/>
      <c r="FY53" s="3"/>
      <c r="FZ53" s="3"/>
      <c r="GA53" s="3"/>
      <c r="GB53" s="3"/>
      <c r="GC53" s="3"/>
      <c r="GD53" s="3"/>
      <c r="GE53" s="3"/>
      <c r="GF53" s="3"/>
      <c r="GG53" s="3"/>
      <c r="GH53" s="3"/>
      <c r="GI53" s="3"/>
      <c r="GJ53" s="3"/>
      <c r="GK53" s="3"/>
      <c r="GL53" s="3"/>
      <c r="GM53" s="3"/>
      <c r="GN53" s="3"/>
      <c r="GO53" s="3"/>
      <c r="GP53" s="3"/>
      <c r="GQ53" s="3"/>
      <c r="GR53" s="3"/>
      <c r="GS53" s="3"/>
      <c r="GT53" s="3"/>
      <c r="GU53" s="3"/>
      <c r="GV53" s="3"/>
      <c r="GW53" s="3"/>
      <c r="GX53" s="3"/>
      <c r="GY53" s="3"/>
      <c r="GZ53" s="3"/>
      <c r="HA53" s="3"/>
      <c r="HB53" s="3"/>
      <c r="HC53" s="3"/>
      <c r="HD53" s="3"/>
      <c r="HE53" s="3"/>
      <c r="HF53" s="3"/>
      <c r="HG53" s="3"/>
      <c r="HH53" s="3"/>
      <c r="HI53" s="3"/>
      <c r="HJ53" s="3"/>
      <c r="HK53" s="3"/>
      <c r="HL53" s="3"/>
      <c r="HM53" s="3"/>
      <c r="HN53" s="3"/>
      <c r="HO53" s="3"/>
      <c r="HP53" s="3"/>
      <c r="HQ53" s="3"/>
      <c r="HR53" s="3"/>
      <c r="HS53" s="3"/>
      <c r="HT53" s="3"/>
      <c r="HU53" s="3"/>
      <c r="HV53" s="3"/>
      <c r="HW53" s="3"/>
      <c r="HX53" s="3"/>
      <c r="HY53" s="3"/>
      <c r="HZ53" s="3"/>
      <c r="IA53" s="3"/>
      <c r="IB53" s="3"/>
      <c r="IC53" s="3"/>
      <c r="ID53" s="3"/>
      <c r="IE53" s="3"/>
      <c r="IF53" s="3"/>
      <c r="IG53" s="3"/>
      <c r="IH53" s="3"/>
      <c r="II53" s="3"/>
      <c r="IJ53" s="3"/>
      <c r="IK53" s="3"/>
      <c r="IL53" s="3"/>
      <c r="IM53" s="3"/>
      <c r="IN53" s="3"/>
      <c r="IO53" s="3"/>
      <c r="IP53" s="3"/>
      <c r="IQ53" s="3"/>
      <c r="IR53" s="3"/>
      <c r="IS53" s="3"/>
      <c r="IT53" s="3"/>
      <c r="IU53" s="3"/>
      <c r="IV53" s="3"/>
      <c r="IW53" s="3"/>
      <c r="IX53" s="3"/>
      <c r="IY53" s="3"/>
      <c r="IZ53" s="3"/>
      <c r="JA53" s="3"/>
      <c r="JB53" s="3"/>
      <c r="JC53" s="3"/>
      <c r="JD53" s="3"/>
      <c r="JE53" s="3"/>
      <c r="JF53" s="3"/>
      <c r="JG53" s="3"/>
      <c r="JH53" s="3"/>
      <c r="JI53" s="3"/>
      <c r="JJ53" s="3"/>
      <c r="JK53" s="3"/>
      <c r="JL53" s="3"/>
      <c r="JM53" s="3"/>
      <c r="JN53" s="3"/>
      <c r="JO53" s="3"/>
      <c r="JP53" s="3"/>
      <c r="JQ53" s="3"/>
      <c r="JR53" s="3"/>
      <c r="JS53" s="3"/>
      <c r="JT53" s="3"/>
      <c r="JU53" s="3"/>
      <c r="JV53" s="3"/>
      <c r="JW53" s="3"/>
      <c r="JX53" s="3"/>
      <c r="JY53" s="3"/>
      <c r="JZ53" s="3"/>
      <c r="KA53" s="3"/>
      <c r="KB53" s="3"/>
      <c r="KC53" s="3"/>
      <c r="KD53" s="3"/>
      <c r="KE53" s="3"/>
      <c r="KF53" s="3"/>
      <c r="KG53" s="3"/>
      <c r="KH53" s="3"/>
      <c r="KI53" s="3"/>
      <c r="KJ53" s="3"/>
      <c r="KK53" s="3"/>
      <c r="KL53" s="3"/>
      <c r="KM53" s="3"/>
      <c r="KN53" s="3"/>
      <c r="KO53" s="3"/>
      <c r="KP53" s="3"/>
      <c r="KQ53" s="3"/>
      <c r="KR53" s="3"/>
      <c r="KS53" s="3"/>
      <c r="KT53" s="3"/>
      <c r="KU53" s="3"/>
      <c r="KV53" s="3"/>
      <c r="KW53" s="3"/>
      <c r="KX53" s="3"/>
      <c r="KY53" s="3"/>
      <c r="KZ53" s="3"/>
      <c r="LA53" s="3"/>
      <c r="LB53" s="3"/>
      <c r="LC53" s="3"/>
      <c r="LD53" s="3"/>
      <c r="LE53" s="3"/>
      <c r="LF53" s="3"/>
      <c r="LG53" s="3"/>
      <c r="LH53" s="3"/>
      <c r="LI53" s="3"/>
      <c r="LJ53" s="3"/>
      <c r="LK53" s="3"/>
      <c r="LL53" s="3"/>
      <c r="LM53" s="3"/>
      <c r="LN53" s="3"/>
      <c r="LO53" s="3"/>
      <c r="LP53" s="3"/>
      <c r="LQ53" s="3"/>
      <c r="LR53" s="3"/>
      <c r="LS53" s="3"/>
      <c r="LT53" s="3"/>
      <c r="LU53" s="3"/>
      <c r="LV53" s="3"/>
      <c r="LW53" s="3"/>
      <c r="LX53" s="3"/>
      <c r="LY53" s="3"/>
      <c r="LZ53" s="3"/>
      <c r="MA53" s="3"/>
      <c r="MB53" s="3"/>
      <c r="MC53" s="3"/>
      <c r="MD53" s="3"/>
      <c r="ME53" s="3"/>
      <c r="MF53" s="3"/>
      <c r="MG53" s="3"/>
      <c r="MH53" s="3"/>
      <c r="MI53" s="3"/>
      <c r="MJ53" s="3"/>
      <c r="MK53" s="3"/>
      <c r="ML53" s="3"/>
      <c r="MM53" s="3"/>
      <c r="MN53" s="3"/>
      <c r="MO53" s="3"/>
      <c r="MP53" s="3"/>
      <c r="MQ53" s="3"/>
      <c r="MR53" s="3"/>
      <c r="MS53" s="3"/>
      <c r="MT53" s="3"/>
      <c r="MU53" s="3"/>
      <c r="MV53" s="3"/>
      <c r="MW53" s="3"/>
      <c r="MX53" s="3"/>
      <c r="MY53" s="3"/>
      <c r="MZ53" s="3"/>
      <c r="NA53" s="3"/>
      <c r="NB53" s="3"/>
      <c r="NC53" s="3"/>
      <c r="ND53" s="3"/>
      <c r="NE53" s="3"/>
      <c r="NF53" s="3"/>
      <c r="NG53" s="3"/>
      <c r="NH53" s="3"/>
      <c r="NI53" s="3"/>
      <c r="NJ53" s="3"/>
      <c r="NK53" s="3"/>
      <c r="NL53" s="3"/>
      <c r="NM53" s="3"/>
      <c r="NN53" s="3"/>
      <c r="NO53" s="3"/>
      <c r="NP53" s="3"/>
      <c r="NQ53" s="3"/>
      <c r="NR53" s="3"/>
      <c r="NS53" s="3"/>
      <c r="NT53" s="3"/>
      <c r="NU53" s="3"/>
      <c r="NV53" s="3"/>
      <c r="NW53" s="3"/>
      <c r="NX53" s="3"/>
      <c r="NY53" s="3"/>
      <c r="NZ53" s="3"/>
      <c r="OA53" s="3"/>
      <c r="OB53" s="3"/>
      <c r="OC53" s="3"/>
      <c r="OD53" s="3"/>
      <c r="OE53" s="3"/>
      <c r="OF53" s="3"/>
      <c r="OG53" s="3"/>
      <c r="OH53" s="3"/>
      <c r="OI53" s="3"/>
      <c r="OJ53" s="3"/>
      <c r="OK53" s="3"/>
      <c r="OL53" s="3"/>
      <c r="OM53" s="3"/>
      <c r="ON53" s="3"/>
      <c r="OO53" s="3"/>
      <c r="OP53" s="3"/>
      <c r="OQ53" s="3"/>
      <c r="OR53" s="3"/>
      <c r="OS53" s="3"/>
      <c r="OT53" s="3"/>
      <c r="OU53" s="3"/>
      <c r="OV53" s="3"/>
      <c r="OW53" s="3"/>
      <c r="OX53" s="3"/>
      <c r="OY53" s="3"/>
      <c r="OZ53" s="3"/>
      <c r="PA53" s="3"/>
      <c r="PB53" s="3"/>
      <c r="PC53" s="3"/>
      <c r="PD53" s="3"/>
      <c r="PE53" s="3"/>
      <c r="PF53" s="3"/>
      <c r="PG53" s="3"/>
      <c r="PH53" s="3"/>
      <c r="PI53" s="3"/>
      <c r="PJ53" s="3"/>
      <c r="PK53" s="3"/>
      <c r="PL53" s="3"/>
      <c r="PM53" s="3"/>
      <c r="PN53" s="3"/>
      <c r="PO53" s="3"/>
      <c r="PP53" s="3"/>
      <c r="PQ53" s="3"/>
      <c r="PR53" s="3"/>
      <c r="PS53" s="3"/>
      <c r="PT53" s="3"/>
      <c r="PU53" s="3"/>
      <c r="PV53" s="3"/>
      <c r="PW53" s="3"/>
      <c r="PX53" s="3"/>
      <c r="PY53" s="3"/>
      <c r="PZ53" s="3"/>
      <c r="QA53" s="3"/>
      <c r="QB53" s="3"/>
      <c r="QC53" s="3"/>
      <c r="QD53" s="3"/>
      <c r="QE53" s="3"/>
      <c r="QF53" s="3"/>
      <c r="QG53" s="3"/>
      <c r="QH53" s="3"/>
      <c r="QI53" s="3"/>
      <c r="QJ53" s="3"/>
      <c r="QK53" s="3"/>
      <c r="QL53" s="3"/>
      <c r="QM53" s="3"/>
      <c r="QN53" s="3"/>
      <c r="QO53" s="3"/>
      <c r="QP53" s="3"/>
      <c r="QQ53" s="3"/>
      <c r="QR53" s="3"/>
      <c r="QS53" s="3"/>
      <c r="QT53" s="3"/>
      <c r="QU53" s="3"/>
      <c r="QV53" s="3"/>
      <c r="QW53" s="3"/>
      <c r="QX53" s="3"/>
      <c r="QY53" s="3"/>
      <c r="QZ53" s="3"/>
      <c r="RA53" s="3"/>
      <c r="RB53" s="3"/>
      <c r="RC53" s="3"/>
      <c r="RD53" s="3"/>
      <c r="RE53" s="3"/>
      <c r="RF53" s="3"/>
      <c r="RG53" s="3"/>
      <c r="RH53" s="3"/>
      <c r="RI53" s="3"/>
      <c r="RJ53" s="3"/>
      <c r="RK53" s="3"/>
      <c r="RL53" s="3"/>
      <c r="RM53" s="3"/>
      <c r="RN53" s="3"/>
      <c r="RO53" s="3"/>
      <c r="RP53" s="3"/>
      <c r="RQ53" s="3"/>
      <c r="RR53" s="3"/>
      <c r="RS53" s="3"/>
      <c r="RT53" s="3"/>
      <c r="RU53" s="3"/>
      <c r="RV53" s="3"/>
      <c r="RW53" s="3"/>
      <c r="RX53" s="3"/>
      <c r="RY53" s="3"/>
      <c r="RZ53" s="3"/>
      <c r="SA53" s="3"/>
      <c r="SB53" s="3"/>
      <c r="SC53" s="3"/>
      <c r="SD53" s="3"/>
      <c r="SE53" s="3"/>
      <c r="SF53" s="3"/>
      <c r="SG53" s="3"/>
      <c r="SH53" s="3"/>
      <c r="SI53" s="3"/>
      <c r="SJ53" s="3"/>
      <c r="SK53" s="3"/>
      <c r="SL53" s="3"/>
      <c r="SM53" s="3"/>
      <c r="SN53" s="3"/>
      <c r="SO53" s="3"/>
      <c r="SP53" s="3"/>
      <c r="SQ53" s="3"/>
      <c r="SR53" s="3"/>
      <c r="SS53" s="3"/>
      <c r="ST53" s="3"/>
      <c r="SU53" s="3"/>
      <c r="SV53" s="3"/>
      <c r="SW53" s="3"/>
      <c r="SX53" s="3"/>
      <c r="SY53" s="3"/>
      <c r="SZ53" s="3"/>
      <c r="TA53" s="3"/>
      <c r="TB53" s="3"/>
      <c r="TC53" s="3"/>
      <c r="TD53" s="3"/>
      <c r="TE53" s="3"/>
      <c r="TF53" s="3"/>
      <c r="TG53" s="3"/>
      <c r="TH53" s="3"/>
      <c r="TI53" s="3"/>
      <c r="TJ53" s="3"/>
      <c r="TK53" s="3"/>
      <c r="TL53" s="3"/>
      <c r="TM53" s="3"/>
      <c r="TN53" s="3"/>
      <c r="TO53" s="3"/>
      <c r="TP53" s="3"/>
      <c r="TQ53" s="3"/>
      <c r="TR53" s="3"/>
      <c r="TS53" s="3"/>
      <c r="TT53" s="3"/>
      <c r="TU53" s="3"/>
      <c r="TV53" s="3"/>
      <c r="TW53" s="3"/>
      <c r="TX53" s="3"/>
      <c r="TY53" s="3"/>
      <c r="TZ53" s="3"/>
      <c r="UA53" s="3"/>
      <c r="UB53" s="3"/>
      <c r="UC53" s="3"/>
      <c r="UD53" s="3"/>
      <c r="UE53" s="3"/>
      <c r="UF53" s="3"/>
      <c r="UG53" s="3"/>
      <c r="UH53" s="3"/>
      <c r="UI53" s="3"/>
      <c r="UJ53" s="3"/>
      <c r="UK53" s="3"/>
      <c r="UL53" s="3"/>
      <c r="UM53" s="3"/>
      <c r="UN53" s="3"/>
      <c r="UO53" s="3"/>
      <c r="UP53" s="3"/>
      <c r="UQ53" s="3"/>
      <c r="UR53" s="3"/>
      <c r="US53" s="3"/>
      <c r="UT53" s="3"/>
      <c r="UU53" s="3"/>
      <c r="UV53" s="3"/>
      <c r="UW53" s="3"/>
      <c r="UX53" s="3"/>
      <c r="UY53" s="3"/>
      <c r="UZ53" s="3"/>
      <c r="VA53" s="3"/>
      <c r="VB53" s="3"/>
      <c r="VC53" s="3"/>
      <c r="VD53" s="3"/>
      <c r="VE53" s="3"/>
      <c r="VF53" s="3"/>
      <c r="VG53" s="3"/>
      <c r="VH53" s="3"/>
      <c r="VI53" s="3"/>
      <c r="VJ53" s="3"/>
      <c r="VK53" s="3"/>
      <c r="VL53" s="3"/>
      <c r="VM53" s="3"/>
      <c r="VN53" s="3"/>
      <c r="VO53" s="3"/>
      <c r="VP53" s="3"/>
      <c r="VQ53" s="3"/>
      <c r="VR53" s="3"/>
      <c r="VS53" s="3"/>
      <c r="VT53" s="3"/>
      <c r="VU53" s="3"/>
      <c r="VV53" s="3"/>
      <c r="VW53" s="3"/>
      <c r="VX53" s="3"/>
      <c r="VY53" s="3"/>
      <c r="VZ53" s="3"/>
      <c r="WA53" s="3"/>
      <c r="WB53" s="3"/>
      <c r="WC53" s="3"/>
      <c r="WD53" s="3"/>
      <c r="WE53" s="3"/>
      <c r="WF53" s="3"/>
      <c r="WG53" s="3"/>
      <c r="WH53" s="3"/>
      <c r="WI53" s="3"/>
      <c r="WJ53" s="3"/>
      <c r="WK53" s="3"/>
      <c r="WL53" s="3"/>
      <c r="WM53" s="3"/>
      <c r="WN53" s="3"/>
      <c r="WO53" s="3"/>
      <c r="WP53" s="3"/>
      <c r="WQ53" s="3"/>
      <c r="WR53" s="3"/>
      <c r="WS53" s="3"/>
      <c r="WT53" s="3"/>
      <c r="WU53" s="3"/>
      <c r="WV53" s="3"/>
      <c r="WW53" s="3"/>
      <c r="WX53" s="3"/>
      <c r="WY53" s="3"/>
      <c r="WZ53" s="3"/>
      <c r="XA53" s="3"/>
      <c r="XB53" s="3"/>
      <c r="XC53" s="3"/>
      <c r="XD53" s="3"/>
      <c r="XE53" s="3"/>
      <c r="XF53" s="3"/>
      <c r="XG53" s="3"/>
      <c r="XH53" s="3"/>
      <c r="XI53" s="3"/>
      <c r="XJ53" s="3"/>
      <c r="XK53" s="3"/>
      <c r="XL53" s="3"/>
      <c r="XM53" s="3"/>
      <c r="XN53" s="3"/>
      <c r="XO53" s="3"/>
      <c r="XP53" s="3"/>
      <c r="XQ53" s="3"/>
      <c r="XR53" s="3"/>
      <c r="XS53" s="3"/>
      <c r="XT53" s="3"/>
      <c r="XU53" s="3"/>
      <c r="XV53" s="3"/>
      <c r="XW53" s="3"/>
      <c r="XX53" s="3"/>
      <c r="XY53" s="3"/>
      <c r="XZ53" s="3"/>
      <c r="YA53" s="3"/>
      <c r="YB53" s="3"/>
      <c r="YC53" s="3"/>
      <c r="YD53" s="3"/>
      <c r="YE53" s="3"/>
      <c r="YF53" s="3"/>
      <c r="YG53" s="3"/>
      <c r="YH53" s="3"/>
      <c r="YI53" s="3"/>
      <c r="YJ53" s="3"/>
      <c r="YK53" s="3"/>
      <c r="YL53" s="3"/>
      <c r="YM53" s="3"/>
      <c r="YN53" s="3"/>
      <c r="YO53" s="3"/>
      <c r="YP53" s="3"/>
      <c r="YQ53" s="3"/>
      <c r="YR53" s="3"/>
      <c r="YS53" s="3"/>
      <c r="YT53" s="3"/>
      <c r="YU53" s="3"/>
      <c r="YV53" s="3"/>
      <c r="YW53" s="3"/>
      <c r="YX53" s="3"/>
      <c r="YY53" s="3"/>
      <c r="YZ53" s="3"/>
      <c r="ZA53" s="3"/>
      <c r="ZB53" s="3"/>
      <c r="ZC53" s="3"/>
    </row>
    <row r="54" spans="1:679" s="2" customFormat="1" x14ac:dyDescent="0.45">
      <c r="A54" s="3" t="s">
        <v>11</v>
      </c>
      <c r="B54" s="4">
        <v>31124</v>
      </c>
      <c r="C54" s="7" t="s">
        <v>25</v>
      </c>
      <c r="D54" s="6" t="s">
        <v>68</v>
      </c>
      <c r="E54" s="3"/>
      <c r="F54" s="3">
        <v>6</v>
      </c>
      <c r="L54" s="3"/>
      <c r="M54" s="3"/>
      <c r="N54" s="48"/>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N54" s="3"/>
      <c r="DO54" s="3"/>
      <c r="DP54" s="3"/>
      <c r="DQ54" s="3"/>
      <c r="DR54" s="3"/>
      <c r="DS54" s="3"/>
      <c r="DT54" s="3"/>
      <c r="DU54" s="3"/>
      <c r="DV54" s="3"/>
      <c r="DW54" s="3"/>
      <c r="DX54" s="3"/>
      <c r="DY54" s="3"/>
      <c r="DZ54" s="3"/>
      <c r="EA54" s="3"/>
      <c r="EB54" s="3"/>
      <c r="EC54" s="3"/>
      <c r="ED54" s="3"/>
      <c r="EE54" s="3"/>
      <c r="EF54" s="3"/>
      <c r="EG54" s="3"/>
      <c r="EH54" s="3"/>
      <c r="EI54" s="3"/>
      <c r="EJ54" s="3"/>
      <c r="EK54" s="3"/>
      <c r="EL54" s="3"/>
      <c r="EM54" s="3"/>
      <c r="EN54" s="3"/>
      <c r="EO54" s="3"/>
      <c r="EP54" s="3"/>
      <c r="EQ54" s="3"/>
      <c r="ER54" s="3"/>
      <c r="ES54" s="3"/>
      <c r="ET54" s="3"/>
      <c r="EU54" s="3"/>
      <c r="EV54" s="3"/>
      <c r="EW54" s="3"/>
      <c r="EX54" s="3"/>
      <c r="EY54" s="3"/>
      <c r="EZ54" s="3"/>
      <c r="FA54" s="3"/>
      <c r="FB54" s="3"/>
      <c r="FC54" s="3"/>
      <c r="FD54" s="3"/>
      <c r="FE54" s="3"/>
      <c r="FF54" s="3"/>
      <c r="FG54" s="3"/>
      <c r="FH54" s="3"/>
      <c r="FI54" s="3"/>
      <c r="FJ54" s="3"/>
      <c r="FK54" s="3"/>
      <c r="FL54" s="3"/>
      <c r="FM54" s="3"/>
      <c r="FN54" s="3"/>
      <c r="FO54" s="3"/>
      <c r="FP54" s="3"/>
      <c r="FQ54" s="3"/>
      <c r="FR54" s="3"/>
      <c r="FS54" s="3"/>
      <c r="FT54" s="3"/>
      <c r="FU54" s="3"/>
      <c r="FV54" s="3"/>
      <c r="FW54" s="3"/>
      <c r="FX54" s="3"/>
      <c r="FY54" s="3"/>
      <c r="FZ54" s="3"/>
      <c r="GA54" s="3"/>
      <c r="GB54" s="3"/>
      <c r="GC54" s="3"/>
      <c r="GD54" s="3"/>
      <c r="GE54" s="3"/>
      <c r="GF54" s="3"/>
      <c r="GG54" s="3"/>
      <c r="GH54" s="3"/>
      <c r="GI54" s="3"/>
      <c r="GJ54" s="3"/>
      <c r="GK54" s="3"/>
      <c r="GL54" s="3"/>
      <c r="GM54" s="3"/>
      <c r="GN54" s="3"/>
      <c r="GO54" s="3"/>
      <c r="GP54" s="3"/>
      <c r="GQ54" s="3"/>
      <c r="GR54" s="3"/>
      <c r="GS54" s="3"/>
      <c r="GT54" s="3"/>
      <c r="GU54" s="3"/>
      <c r="GV54" s="3"/>
      <c r="GW54" s="3"/>
      <c r="GX54" s="3"/>
      <c r="GY54" s="3"/>
      <c r="GZ54" s="3"/>
      <c r="HA54" s="3"/>
      <c r="HB54" s="3"/>
      <c r="HC54" s="3"/>
      <c r="HD54" s="3"/>
      <c r="HE54" s="3"/>
      <c r="HF54" s="3"/>
      <c r="HG54" s="3"/>
      <c r="HH54" s="3"/>
      <c r="HI54" s="3"/>
      <c r="HJ54" s="3"/>
      <c r="HK54" s="3"/>
      <c r="HL54" s="3"/>
      <c r="HM54" s="3"/>
      <c r="HN54" s="3"/>
      <c r="HO54" s="3"/>
      <c r="HP54" s="3"/>
      <c r="HQ54" s="3"/>
      <c r="HR54" s="3"/>
      <c r="HS54" s="3"/>
      <c r="HT54" s="3"/>
      <c r="HU54" s="3"/>
      <c r="HV54" s="3"/>
      <c r="HW54" s="3"/>
      <c r="HX54" s="3"/>
      <c r="HY54" s="3"/>
      <c r="HZ54" s="3"/>
      <c r="IA54" s="3"/>
      <c r="IB54" s="3"/>
      <c r="IC54" s="3"/>
      <c r="ID54" s="3"/>
      <c r="IE54" s="3"/>
      <c r="IF54" s="3"/>
      <c r="IG54" s="3"/>
      <c r="IH54" s="3"/>
      <c r="II54" s="3"/>
      <c r="IJ54" s="3"/>
      <c r="IK54" s="3"/>
      <c r="IL54" s="3"/>
      <c r="IM54" s="3"/>
      <c r="IN54" s="3"/>
      <c r="IO54" s="3"/>
      <c r="IP54" s="3"/>
      <c r="IQ54" s="3"/>
      <c r="IR54" s="3"/>
      <c r="IS54" s="3"/>
      <c r="IT54" s="3"/>
      <c r="IU54" s="3"/>
      <c r="IV54" s="3"/>
      <c r="IW54" s="3"/>
      <c r="IX54" s="3"/>
      <c r="IY54" s="3"/>
      <c r="IZ54" s="3"/>
      <c r="JA54" s="3"/>
      <c r="JB54" s="3"/>
      <c r="JC54" s="3"/>
      <c r="JD54" s="3"/>
      <c r="JE54" s="3"/>
      <c r="JF54" s="3"/>
      <c r="JG54" s="3"/>
      <c r="JH54" s="3"/>
      <c r="JI54" s="3"/>
      <c r="JJ54" s="3"/>
      <c r="JK54" s="3"/>
      <c r="JL54" s="3"/>
      <c r="JM54" s="3"/>
      <c r="JN54" s="3"/>
      <c r="JO54" s="3"/>
      <c r="JP54" s="3"/>
      <c r="JQ54" s="3"/>
      <c r="JR54" s="3"/>
      <c r="JS54" s="3"/>
      <c r="JT54" s="3"/>
      <c r="JU54" s="3"/>
      <c r="JV54" s="3"/>
      <c r="JW54" s="3"/>
      <c r="JX54" s="3"/>
      <c r="JY54" s="3"/>
      <c r="JZ54" s="3"/>
      <c r="KA54" s="3"/>
      <c r="KB54" s="3"/>
      <c r="KC54" s="3"/>
      <c r="KD54" s="3"/>
      <c r="KE54" s="3"/>
      <c r="KF54" s="3"/>
      <c r="KG54" s="3"/>
      <c r="KH54" s="3"/>
      <c r="KI54" s="3"/>
      <c r="KJ54" s="3"/>
      <c r="KK54" s="3"/>
      <c r="KL54" s="3"/>
      <c r="KM54" s="3"/>
      <c r="KN54" s="3"/>
      <c r="KO54" s="3"/>
      <c r="KP54" s="3"/>
      <c r="KQ54" s="3"/>
      <c r="KR54" s="3"/>
      <c r="KS54" s="3"/>
      <c r="KT54" s="3"/>
      <c r="KU54" s="3"/>
      <c r="KV54" s="3"/>
      <c r="KW54" s="3"/>
      <c r="KX54" s="3"/>
      <c r="KY54" s="3"/>
      <c r="KZ54" s="3"/>
      <c r="LA54" s="3"/>
      <c r="LB54" s="3"/>
      <c r="LC54" s="3"/>
      <c r="LD54" s="3"/>
      <c r="LE54" s="3"/>
      <c r="LF54" s="3"/>
      <c r="LG54" s="3"/>
      <c r="LH54" s="3"/>
      <c r="LI54" s="3"/>
      <c r="LJ54" s="3"/>
      <c r="LK54" s="3"/>
      <c r="LL54" s="3"/>
      <c r="LM54" s="3"/>
      <c r="LN54" s="3"/>
      <c r="LO54" s="3"/>
      <c r="LP54" s="3"/>
      <c r="LQ54" s="3"/>
      <c r="LR54" s="3"/>
      <c r="LS54" s="3"/>
      <c r="LT54" s="3"/>
      <c r="LU54" s="3"/>
      <c r="LV54" s="3"/>
      <c r="LW54" s="3"/>
      <c r="LX54" s="3"/>
      <c r="LY54" s="3"/>
      <c r="LZ54" s="3"/>
      <c r="MA54" s="3"/>
      <c r="MB54" s="3"/>
      <c r="MC54" s="3"/>
      <c r="MD54" s="3"/>
      <c r="ME54" s="3"/>
      <c r="MF54" s="3"/>
      <c r="MG54" s="3"/>
      <c r="MH54" s="3"/>
      <c r="MI54" s="3"/>
      <c r="MJ54" s="3"/>
      <c r="MK54" s="3"/>
      <c r="ML54" s="3"/>
      <c r="MM54" s="3"/>
      <c r="MN54" s="3"/>
      <c r="MO54" s="3"/>
      <c r="MP54" s="3"/>
      <c r="MQ54" s="3"/>
      <c r="MR54" s="3"/>
      <c r="MS54" s="3"/>
      <c r="MT54" s="3"/>
      <c r="MU54" s="3"/>
      <c r="MV54" s="3"/>
      <c r="MW54" s="3"/>
      <c r="MX54" s="3"/>
      <c r="MY54" s="3"/>
      <c r="MZ54" s="3"/>
      <c r="NA54" s="3"/>
      <c r="NB54" s="3"/>
      <c r="NC54" s="3"/>
      <c r="ND54" s="3"/>
      <c r="NE54" s="3"/>
      <c r="NF54" s="3"/>
      <c r="NG54" s="3"/>
      <c r="NH54" s="3"/>
      <c r="NI54" s="3"/>
      <c r="NJ54" s="3"/>
      <c r="NK54" s="3"/>
      <c r="NL54" s="3"/>
      <c r="NM54" s="3"/>
      <c r="NN54" s="3"/>
      <c r="NO54" s="3"/>
      <c r="NP54" s="3"/>
      <c r="NQ54" s="3"/>
      <c r="NR54" s="3"/>
      <c r="NS54" s="3"/>
      <c r="NT54" s="3"/>
      <c r="NU54" s="3"/>
      <c r="NV54" s="3"/>
      <c r="NW54" s="3"/>
      <c r="NX54" s="3"/>
      <c r="NY54" s="3"/>
      <c r="NZ54" s="3"/>
      <c r="OA54" s="3"/>
      <c r="OB54" s="3"/>
      <c r="OC54" s="3"/>
      <c r="OD54" s="3"/>
      <c r="OE54" s="3"/>
      <c r="OF54" s="3"/>
      <c r="OG54" s="3"/>
      <c r="OH54" s="3"/>
      <c r="OI54" s="3"/>
      <c r="OJ54" s="3"/>
      <c r="OK54" s="3"/>
      <c r="OL54" s="3"/>
      <c r="OM54" s="3"/>
      <c r="ON54" s="3"/>
      <c r="OO54" s="3"/>
      <c r="OP54" s="3"/>
      <c r="OQ54" s="3"/>
      <c r="OR54" s="3"/>
      <c r="OS54" s="3"/>
      <c r="OT54" s="3"/>
      <c r="OU54" s="3"/>
      <c r="OV54" s="3"/>
      <c r="OW54" s="3"/>
      <c r="OX54" s="3"/>
      <c r="OY54" s="3"/>
      <c r="OZ54" s="3"/>
      <c r="PA54" s="3"/>
      <c r="PB54" s="3"/>
      <c r="PC54" s="3"/>
      <c r="PD54" s="3"/>
      <c r="PE54" s="3"/>
      <c r="PF54" s="3"/>
      <c r="PG54" s="3"/>
      <c r="PH54" s="3"/>
      <c r="PI54" s="3"/>
      <c r="PJ54" s="3"/>
      <c r="PK54" s="3"/>
      <c r="PL54" s="3"/>
      <c r="PM54" s="3"/>
      <c r="PN54" s="3"/>
      <c r="PO54" s="3"/>
      <c r="PP54" s="3"/>
      <c r="PQ54" s="3"/>
      <c r="PR54" s="3"/>
      <c r="PS54" s="3"/>
      <c r="PT54" s="3"/>
      <c r="PU54" s="3"/>
      <c r="PV54" s="3"/>
      <c r="PW54" s="3"/>
      <c r="PX54" s="3"/>
      <c r="PY54" s="3"/>
      <c r="PZ54" s="3"/>
      <c r="QA54" s="3"/>
      <c r="QB54" s="3"/>
      <c r="QC54" s="3"/>
      <c r="QD54" s="3"/>
      <c r="QE54" s="3"/>
      <c r="QF54" s="3"/>
      <c r="QG54" s="3"/>
      <c r="QH54" s="3"/>
      <c r="QI54" s="3"/>
      <c r="QJ54" s="3"/>
      <c r="QK54" s="3"/>
      <c r="QL54" s="3"/>
      <c r="QM54" s="3"/>
      <c r="QN54" s="3"/>
      <c r="QO54" s="3"/>
      <c r="QP54" s="3"/>
      <c r="QQ54" s="3"/>
      <c r="QR54" s="3"/>
      <c r="QS54" s="3"/>
      <c r="QT54" s="3"/>
      <c r="QU54" s="3"/>
      <c r="QV54" s="3"/>
      <c r="QW54" s="3"/>
      <c r="QX54" s="3"/>
      <c r="QY54" s="3"/>
      <c r="QZ54" s="3"/>
      <c r="RA54" s="3"/>
      <c r="RB54" s="3"/>
      <c r="RC54" s="3"/>
      <c r="RD54" s="3"/>
      <c r="RE54" s="3"/>
      <c r="RF54" s="3"/>
      <c r="RG54" s="3"/>
      <c r="RH54" s="3"/>
      <c r="RI54" s="3"/>
      <c r="RJ54" s="3"/>
      <c r="RK54" s="3"/>
      <c r="RL54" s="3"/>
      <c r="RM54" s="3"/>
      <c r="RN54" s="3"/>
      <c r="RO54" s="3"/>
      <c r="RP54" s="3"/>
      <c r="RQ54" s="3"/>
      <c r="RR54" s="3"/>
      <c r="RS54" s="3"/>
      <c r="RT54" s="3"/>
      <c r="RU54" s="3"/>
      <c r="RV54" s="3"/>
      <c r="RW54" s="3"/>
      <c r="RX54" s="3"/>
      <c r="RY54" s="3"/>
      <c r="RZ54" s="3"/>
      <c r="SA54" s="3"/>
      <c r="SB54" s="3"/>
      <c r="SC54" s="3"/>
      <c r="SD54" s="3"/>
      <c r="SE54" s="3"/>
      <c r="SF54" s="3"/>
      <c r="SG54" s="3"/>
      <c r="SH54" s="3"/>
      <c r="SI54" s="3"/>
      <c r="SJ54" s="3"/>
      <c r="SK54" s="3"/>
      <c r="SL54" s="3"/>
      <c r="SM54" s="3"/>
      <c r="SN54" s="3"/>
      <c r="SO54" s="3"/>
      <c r="SP54" s="3"/>
      <c r="SQ54" s="3"/>
      <c r="SR54" s="3"/>
      <c r="SS54" s="3"/>
      <c r="ST54" s="3"/>
      <c r="SU54" s="3"/>
      <c r="SV54" s="3"/>
      <c r="SW54" s="3"/>
      <c r="SX54" s="3"/>
      <c r="SY54" s="3"/>
      <c r="SZ54" s="3"/>
      <c r="TA54" s="3"/>
      <c r="TB54" s="3"/>
      <c r="TC54" s="3"/>
      <c r="TD54" s="3"/>
      <c r="TE54" s="3"/>
      <c r="TF54" s="3"/>
      <c r="TG54" s="3"/>
      <c r="TH54" s="3"/>
      <c r="TI54" s="3"/>
      <c r="TJ54" s="3"/>
      <c r="TK54" s="3"/>
      <c r="TL54" s="3"/>
      <c r="TM54" s="3"/>
      <c r="TN54" s="3"/>
      <c r="TO54" s="3"/>
      <c r="TP54" s="3"/>
      <c r="TQ54" s="3"/>
      <c r="TR54" s="3"/>
      <c r="TS54" s="3"/>
      <c r="TT54" s="3"/>
      <c r="TU54" s="3"/>
      <c r="TV54" s="3"/>
      <c r="TW54" s="3"/>
      <c r="TX54" s="3"/>
      <c r="TY54" s="3"/>
      <c r="TZ54" s="3"/>
      <c r="UA54" s="3"/>
      <c r="UB54" s="3"/>
      <c r="UC54" s="3"/>
      <c r="UD54" s="3"/>
      <c r="UE54" s="3"/>
      <c r="UF54" s="3"/>
      <c r="UG54" s="3"/>
      <c r="UH54" s="3"/>
      <c r="UI54" s="3"/>
      <c r="UJ54" s="3"/>
      <c r="UK54" s="3"/>
      <c r="UL54" s="3"/>
      <c r="UM54" s="3"/>
      <c r="UN54" s="3"/>
      <c r="UO54" s="3"/>
      <c r="UP54" s="3"/>
      <c r="UQ54" s="3"/>
      <c r="UR54" s="3"/>
      <c r="US54" s="3"/>
      <c r="UT54" s="3"/>
      <c r="UU54" s="3"/>
      <c r="UV54" s="3"/>
      <c r="UW54" s="3"/>
      <c r="UX54" s="3"/>
      <c r="UY54" s="3"/>
      <c r="UZ54" s="3"/>
      <c r="VA54" s="3"/>
      <c r="VB54" s="3"/>
      <c r="VC54" s="3"/>
      <c r="VD54" s="3"/>
      <c r="VE54" s="3"/>
      <c r="VF54" s="3"/>
      <c r="VG54" s="3"/>
      <c r="VH54" s="3"/>
      <c r="VI54" s="3"/>
      <c r="VJ54" s="3"/>
      <c r="VK54" s="3"/>
      <c r="VL54" s="3"/>
      <c r="VM54" s="3"/>
      <c r="VN54" s="3"/>
      <c r="VO54" s="3"/>
      <c r="VP54" s="3"/>
      <c r="VQ54" s="3"/>
      <c r="VR54" s="3"/>
      <c r="VS54" s="3"/>
      <c r="VT54" s="3"/>
      <c r="VU54" s="3"/>
      <c r="VV54" s="3"/>
      <c r="VW54" s="3"/>
      <c r="VX54" s="3"/>
      <c r="VY54" s="3"/>
      <c r="VZ54" s="3"/>
      <c r="WA54" s="3"/>
      <c r="WB54" s="3"/>
      <c r="WC54" s="3"/>
      <c r="WD54" s="3"/>
      <c r="WE54" s="3"/>
      <c r="WF54" s="3"/>
      <c r="WG54" s="3"/>
      <c r="WH54" s="3"/>
      <c r="WI54" s="3"/>
      <c r="WJ54" s="3"/>
      <c r="WK54" s="3"/>
      <c r="WL54" s="3"/>
      <c r="WM54" s="3"/>
      <c r="WN54" s="3"/>
      <c r="WO54" s="3"/>
      <c r="WP54" s="3"/>
      <c r="WQ54" s="3"/>
      <c r="WR54" s="3"/>
      <c r="WS54" s="3"/>
      <c r="WT54" s="3"/>
      <c r="WU54" s="3"/>
      <c r="WV54" s="3"/>
      <c r="WW54" s="3"/>
      <c r="WX54" s="3"/>
      <c r="WY54" s="3"/>
      <c r="WZ54" s="3"/>
      <c r="XA54" s="3"/>
      <c r="XB54" s="3"/>
      <c r="XC54" s="3"/>
      <c r="XD54" s="3"/>
      <c r="XE54" s="3"/>
      <c r="XF54" s="3"/>
      <c r="XG54" s="3"/>
      <c r="XH54" s="3"/>
      <c r="XI54" s="3"/>
      <c r="XJ54" s="3"/>
      <c r="XK54" s="3"/>
      <c r="XL54" s="3"/>
      <c r="XM54" s="3"/>
      <c r="XN54" s="3"/>
      <c r="XO54" s="3"/>
      <c r="XP54" s="3"/>
      <c r="XQ54" s="3"/>
      <c r="XR54" s="3"/>
      <c r="XS54" s="3"/>
      <c r="XT54" s="3"/>
      <c r="XU54" s="3"/>
      <c r="XV54" s="3"/>
      <c r="XW54" s="3"/>
      <c r="XX54" s="3"/>
      <c r="XY54" s="3"/>
      <c r="XZ54" s="3"/>
      <c r="YA54" s="3"/>
      <c r="YB54" s="3"/>
      <c r="YC54" s="3"/>
      <c r="YD54" s="3"/>
      <c r="YE54" s="3"/>
      <c r="YF54" s="3"/>
      <c r="YG54" s="3"/>
      <c r="YH54" s="3"/>
      <c r="YI54" s="3"/>
      <c r="YJ54" s="3"/>
      <c r="YK54" s="3"/>
      <c r="YL54" s="3"/>
      <c r="YM54" s="3"/>
      <c r="YN54" s="3"/>
      <c r="YO54" s="3"/>
      <c r="YP54" s="3"/>
      <c r="YQ54" s="3"/>
      <c r="YR54" s="3"/>
      <c r="YS54" s="3"/>
      <c r="YT54" s="3"/>
      <c r="YU54" s="3"/>
      <c r="YV54" s="3"/>
      <c r="YW54" s="3"/>
      <c r="YX54" s="3"/>
      <c r="YY54" s="3"/>
      <c r="YZ54" s="3"/>
      <c r="ZA54" s="3"/>
      <c r="ZB54" s="3"/>
      <c r="ZC54" s="3"/>
    </row>
    <row r="55" spans="1:679" s="2" customFormat="1" x14ac:dyDescent="0.45">
      <c r="A55" s="3" t="s">
        <v>11</v>
      </c>
      <c r="B55" s="4">
        <v>31142</v>
      </c>
      <c r="C55" s="5" t="s">
        <v>12</v>
      </c>
      <c r="D55" s="6" t="s">
        <v>69</v>
      </c>
      <c r="E55" s="3"/>
      <c r="F55" s="3">
        <v>4</v>
      </c>
      <c r="L55" s="3"/>
      <c r="M55" s="3"/>
      <c r="N55" s="48"/>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c r="EU55" s="3"/>
      <c r="EV55" s="3"/>
      <c r="EW55" s="3"/>
      <c r="EX55" s="3"/>
      <c r="EY55" s="3"/>
      <c r="EZ55" s="3"/>
      <c r="FA55" s="3"/>
      <c r="FB55" s="3"/>
      <c r="FC55" s="3"/>
      <c r="FD55" s="3"/>
      <c r="FE55" s="3"/>
      <c r="FF55" s="3"/>
      <c r="FG55" s="3"/>
      <c r="FH55" s="3"/>
      <c r="FI55" s="3"/>
      <c r="FJ55" s="3"/>
      <c r="FK55" s="3"/>
      <c r="FL55" s="3"/>
      <c r="FM55" s="3"/>
      <c r="FN55" s="3"/>
      <c r="FO55" s="3"/>
      <c r="FP55" s="3"/>
      <c r="FQ55" s="3"/>
      <c r="FR55" s="3"/>
      <c r="FS55" s="3"/>
      <c r="FT55" s="3"/>
      <c r="FU55" s="3"/>
      <c r="FV55" s="3"/>
      <c r="FW55" s="3"/>
      <c r="FX55" s="3"/>
      <c r="FY55" s="3"/>
      <c r="FZ55" s="3"/>
      <c r="GA55" s="3"/>
      <c r="GB55" s="3"/>
      <c r="GC55" s="3"/>
      <c r="GD55" s="3"/>
      <c r="GE55" s="3"/>
      <c r="GF55" s="3"/>
      <c r="GG55" s="3"/>
      <c r="GH55" s="3"/>
      <c r="GI55" s="3"/>
      <c r="GJ55" s="3"/>
      <c r="GK55" s="3"/>
      <c r="GL55" s="3"/>
      <c r="GM55" s="3"/>
      <c r="GN55" s="3"/>
      <c r="GO55" s="3"/>
      <c r="GP55" s="3"/>
      <c r="GQ55" s="3"/>
      <c r="GR55" s="3"/>
      <c r="GS55" s="3"/>
      <c r="GT55" s="3"/>
      <c r="GU55" s="3"/>
      <c r="GV55" s="3"/>
      <c r="GW55" s="3"/>
      <c r="GX55" s="3"/>
      <c r="GY55" s="3"/>
      <c r="GZ55" s="3"/>
      <c r="HA55" s="3"/>
      <c r="HB55" s="3"/>
      <c r="HC55" s="3"/>
      <c r="HD55" s="3"/>
      <c r="HE55" s="3"/>
      <c r="HF55" s="3"/>
      <c r="HG55" s="3"/>
      <c r="HH55" s="3"/>
      <c r="HI55" s="3"/>
      <c r="HJ55" s="3"/>
      <c r="HK55" s="3"/>
      <c r="HL55" s="3"/>
      <c r="HM55" s="3"/>
      <c r="HN55" s="3"/>
      <c r="HO55" s="3"/>
      <c r="HP55" s="3"/>
      <c r="HQ55" s="3"/>
      <c r="HR55" s="3"/>
      <c r="HS55" s="3"/>
      <c r="HT55" s="3"/>
      <c r="HU55" s="3"/>
      <c r="HV55" s="3"/>
      <c r="HW55" s="3"/>
      <c r="HX55" s="3"/>
      <c r="HY55" s="3"/>
      <c r="HZ55" s="3"/>
      <c r="IA55" s="3"/>
      <c r="IB55" s="3"/>
      <c r="IC55" s="3"/>
      <c r="ID55" s="3"/>
      <c r="IE55" s="3"/>
      <c r="IF55" s="3"/>
      <c r="IG55" s="3"/>
      <c r="IH55" s="3"/>
      <c r="II55" s="3"/>
      <c r="IJ55" s="3"/>
      <c r="IK55" s="3"/>
      <c r="IL55" s="3"/>
      <c r="IM55" s="3"/>
      <c r="IN55" s="3"/>
      <c r="IO55" s="3"/>
      <c r="IP55" s="3"/>
      <c r="IQ55" s="3"/>
      <c r="IR55" s="3"/>
      <c r="IS55" s="3"/>
      <c r="IT55" s="3"/>
      <c r="IU55" s="3"/>
      <c r="IV55" s="3"/>
      <c r="IW55" s="3"/>
      <c r="IX55" s="3"/>
      <c r="IY55" s="3"/>
      <c r="IZ55" s="3"/>
      <c r="JA55" s="3"/>
      <c r="JB55" s="3"/>
      <c r="JC55" s="3"/>
      <c r="JD55" s="3"/>
      <c r="JE55" s="3"/>
      <c r="JF55" s="3"/>
      <c r="JG55" s="3"/>
      <c r="JH55" s="3"/>
      <c r="JI55" s="3"/>
      <c r="JJ55" s="3"/>
      <c r="JK55" s="3"/>
      <c r="JL55" s="3"/>
      <c r="JM55" s="3"/>
      <c r="JN55" s="3"/>
      <c r="JO55" s="3"/>
      <c r="JP55" s="3"/>
      <c r="JQ55" s="3"/>
      <c r="JR55" s="3"/>
      <c r="JS55" s="3"/>
      <c r="JT55" s="3"/>
      <c r="JU55" s="3"/>
      <c r="JV55" s="3"/>
      <c r="JW55" s="3"/>
      <c r="JX55" s="3"/>
      <c r="JY55" s="3"/>
      <c r="JZ55" s="3"/>
      <c r="KA55" s="3"/>
      <c r="KB55" s="3"/>
      <c r="KC55" s="3"/>
      <c r="KD55" s="3"/>
      <c r="KE55" s="3"/>
      <c r="KF55" s="3"/>
      <c r="KG55" s="3"/>
      <c r="KH55" s="3"/>
      <c r="KI55" s="3"/>
      <c r="KJ55" s="3"/>
      <c r="KK55" s="3"/>
      <c r="KL55" s="3"/>
      <c r="KM55" s="3"/>
      <c r="KN55" s="3"/>
      <c r="KO55" s="3"/>
      <c r="KP55" s="3"/>
      <c r="KQ55" s="3"/>
      <c r="KR55" s="3"/>
      <c r="KS55" s="3"/>
      <c r="KT55" s="3"/>
      <c r="KU55" s="3"/>
      <c r="KV55" s="3"/>
      <c r="KW55" s="3"/>
      <c r="KX55" s="3"/>
      <c r="KY55" s="3"/>
      <c r="KZ55" s="3"/>
      <c r="LA55" s="3"/>
      <c r="LB55" s="3"/>
      <c r="LC55" s="3"/>
      <c r="LD55" s="3"/>
      <c r="LE55" s="3"/>
      <c r="LF55" s="3"/>
      <c r="LG55" s="3"/>
      <c r="LH55" s="3"/>
      <c r="LI55" s="3"/>
      <c r="LJ55" s="3"/>
      <c r="LK55" s="3"/>
      <c r="LL55" s="3"/>
      <c r="LM55" s="3"/>
      <c r="LN55" s="3"/>
      <c r="LO55" s="3"/>
      <c r="LP55" s="3"/>
      <c r="LQ55" s="3"/>
      <c r="LR55" s="3"/>
      <c r="LS55" s="3"/>
      <c r="LT55" s="3"/>
      <c r="LU55" s="3"/>
      <c r="LV55" s="3"/>
      <c r="LW55" s="3"/>
      <c r="LX55" s="3"/>
      <c r="LY55" s="3"/>
      <c r="LZ55" s="3"/>
      <c r="MA55" s="3"/>
      <c r="MB55" s="3"/>
      <c r="MC55" s="3"/>
      <c r="MD55" s="3"/>
      <c r="ME55" s="3"/>
      <c r="MF55" s="3"/>
      <c r="MG55" s="3"/>
      <c r="MH55" s="3"/>
      <c r="MI55" s="3"/>
      <c r="MJ55" s="3"/>
      <c r="MK55" s="3"/>
      <c r="ML55" s="3"/>
      <c r="MM55" s="3"/>
      <c r="MN55" s="3"/>
      <c r="MO55" s="3"/>
      <c r="MP55" s="3"/>
      <c r="MQ55" s="3"/>
      <c r="MR55" s="3"/>
      <c r="MS55" s="3"/>
      <c r="MT55" s="3"/>
      <c r="MU55" s="3"/>
      <c r="MV55" s="3"/>
      <c r="MW55" s="3"/>
      <c r="MX55" s="3"/>
      <c r="MY55" s="3"/>
      <c r="MZ55" s="3"/>
      <c r="NA55" s="3"/>
      <c r="NB55" s="3"/>
      <c r="NC55" s="3"/>
      <c r="ND55" s="3"/>
      <c r="NE55" s="3"/>
      <c r="NF55" s="3"/>
      <c r="NG55" s="3"/>
      <c r="NH55" s="3"/>
      <c r="NI55" s="3"/>
      <c r="NJ55" s="3"/>
      <c r="NK55" s="3"/>
      <c r="NL55" s="3"/>
      <c r="NM55" s="3"/>
      <c r="NN55" s="3"/>
      <c r="NO55" s="3"/>
      <c r="NP55" s="3"/>
      <c r="NQ55" s="3"/>
      <c r="NR55" s="3"/>
      <c r="NS55" s="3"/>
      <c r="NT55" s="3"/>
      <c r="NU55" s="3"/>
      <c r="NV55" s="3"/>
      <c r="NW55" s="3"/>
      <c r="NX55" s="3"/>
      <c r="NY55" s="3"/>
      <c r="NZ55" s="3"/>
      <c r="OA55" s="3"/>
      <c r="OB55" s="3"/>
      <c r="OC55" s="3"/>
      <c r="OD55" s="3"/>
      <c r="OE55" s="3"/>
      <c r="OF55" s="3"/>
      <c r="OG55" s="3"/>
      <c r="OH55" s="3"/>
      <c r="OI55" s="3"/>
      <c r="OJ55" s="3"/>
      <c r="OK55" s="3"/>
      <c r="OL55" s="3"/>
      <c r="OM55" s="3"/>
      <c r="ON55" s="3"/>
      <c r="OO55" s="3"/>
      <c r="OP55" s="3"/>
      <c r="OQ55" s="3"/>
      <c r="OR55" s="3"/>
      <c r="OS55" s="3"/>
      <c r="OT55" s="3"/>
      <c r="OU55" s="3"/>
      <c r="OV55" s="3"/>
      <c r="OW55" s="3"/>
      <c r="OX55" s="3"/>
      <c r="OY55" s="3"/>
      <c r="OZ55" s="3"/>
      <c r="PA55" s="3"/>
      <c r="PB55" s="3"/>
      <c r="PC55" s="3"/>
      <c r="PD55" s="3"/>
      <c r="PE55" s="3"/>
      <c r="PF55" s="3"/>
      <c r="PG55" s="3"/>
      <c r="PH55" s="3"/>
      <c r="PI55" s="3"/>
      <c r="PJ55" s="3"/>
      <c r="PK55" s="3"/>
      <c r="PL55" s="3"/>
      <c r="PM55" s="3"/>
      <c r="PN55" s="3"/>
      <c r="PO55" s="3"/>
      <c r="PP55" s="3"/>
      <c r="PQ55" s="3"/>
      <c r="PR55" s="3"/>
      <c r="PS55" s="3"/>
      <c r="PT55" s="3"/>
      <c r="PU55" s="3"/>
      <c r="PV55" s="3"/>
      <c r="PW55" s="3"/>
      <c r="PX55" s="3"/>
      <c r="PY55" s="3"/>
      <c r="PZ55" s="3"/>
      <c r="QA55" s="3"/>
      <c r="QB55" s="3"/>
      <c r="QC55" s="3"/>
      <c r="QD55" s="3"/>
      <c r="QE55" s="3"/>
      <c r="QF55" s="3"/>
      <c r="QG55" s="3"/>
      <c r="QH55" s="3"/>
      <c r="QI55" s="3"/>
      <c r="QJ55" s="3"/>
      <c r="QK55" s="3"/>
      <c r="QL55" s="3"/>
      <c r="QM55" s="3"/>
      <c r="QN55" s="3"/>
      <c r="QO55" s="3"/>
      <c r="QP55" s="3"/>
      <c r="QQ55" s="3"/>
      <c r="QR55" s="3"/>
      <c r="QS55" s="3"/>
      <c r="QT55" s="3"/>
      <c r="QU55" s="3"/>
      <c r="QV55" s="3"/>
      <c r="QW55" s="3"/>
      <c r="QX55" s="3"/>
      <c r="QY55" s="3"/>
      <c r="QZ55" s="3"/>
      <c r="RA55" s="3"/>
      <c r="RB55" s="3"/>
      <c r="RC55" s="3"/>
      <c r="RD55" s="3"/>
      <c r="RE55" s="3"/>
      <c r="RF55" s="3"/>
      <c r="RG55" s="3"/>
      <c r="RH55" s="3"/>
      <c r="RI55" s="3"/>
      <c r="RJ55" s="3"/>
      <c r="RK55" s="3"/>
      <c r="RL55" s="3"/>
      <c r="RM55" s="3"/>
      <c r="RN55" s="3"/>
      <c r="RO55" s="3"/>
      <c r="RP55" s="3"/>
      <c r="RQ55" s="3"/>
      <c r="RR55" s="3"/>
      <c r="RS55" s="3"/>
      <c r="RT55" s="3"/>
      <c r="RU55" s="3"/>
      <c r="RV55" s="3"/>
      <c r="RW55" s="3"/>
      <c r="RX55" s="3"/>
      <c r="RY55" s="3"/>
      <c r="RZ55" s="3"/>
      <c r="SA55" s="3"/>
      <c r="SB55" s="3"/>
      <c r="SC55" s="3"/>
      <c r="SD55" s="3"/>
      <c r="SE55" s="3"/>
      <c r="SF55" s="3"/>
      <c r="SG55" s="3"/>
      <c r="SH55" s="3"/>
      <c r="SI55" s="3"/>
      <c r="SJ55" s="3"/>
      <c r="SK55" s="3"/>
      <c r="SL55" s="3"/>
      <c r="SM55" s="3"/>
      <c r="SN55" s="3"/>
      <c r="SO55" s="3"/>
      <c r="SP55" s="3"/>
      <c r="SQ55" s="3"/>
      <c r="SR55" s="3"/>
      <c r="SS55" s="3"/>
      <c r="ST55" s="3"/>
      <c r="SU55" s="3"/>
      <c r="SV55" s="3"/>
      <c r="SW55" s="3"/>
      <c r="SX55" s="3"/>
      <c r="SY55" s="3"/>
      <c r="SZ55" s="3"/>
      <c r="TA55" s="3"/>
      <c r="TB55" s="3"/>
      <c r="TC55" s="3"/>
      <c r="TD55" s="3"/>
      <c r="TE55" s="3"/>
      <c r="TF55" s="3"/>
      <c r="TG55" s="3"/>
      <c r="TH55" s="3"/>
      <c r="TI55" s="3"/>
      <c r="TJ55" s="3"/>
      <c r="TK55" s="3"/>
      <c r="TL55" s="3"/>
      <c r="TM55" s="3"/>
      <c r="TN55" s="3"/>
      <c r="TO55" s="3"/>
      <c r="TP55" s="3"/>
      <c r="TQ55" s="3"/>
      <c r="TR55" s="3"/>
      <c r="TS55" s="3"/>
      <c r="TT55" s="3"/>
      <c r="TU55" s="3"/>
      <c r="TV55" s="3"/>
      <c r="TW55" s="3"/>
      <c r="TX55" s="3"/>
      <c r="TY55" s="3"/>
      <c r="TZ55" s="3"/>
      <c r="UA55" s="3"/>
      <c r="UB55" s="3"/>
      <c r="UC55" s="3"/>
      <c r="UD55" s="3"/>
      <c r="UE55" s="3"/>
      <c r="UF55" s="3"/>
      <c r="UG55" s="3"/>
      <c r="UH55" s="3"/>
      <c r="UI55" s="3"/>
      <c r="UJ55" s="3"/>
      <c r="UK55" s="3"/>
      <c r="UL55" s="3"/>
      <c r="UM55" s="3"/>
      <c r="UN55" s="3"/>
      <c r="UO55" s="3"/>
      <c r="UP55" s="3"/>
      <c r="UQ55" s="3"/>
      <c r="UR55" s="3"/>
      <c r="US55" s="3"/>
      <c r="UT55" s="3"/>
      <c r="UU55" s="3"/>
      <c r="UV55" s="3"/>
      <c r="UW55" s="3"/>
      <c r="UX55" s="3"/>
      <c r="UY55" s="3"/>
      <c r="UZ55" s="3"/>
      <c r="VA55" s="3"/>
      <c r="VB55" s="3"/>
      <c r="VC55" s="3"/>
      <c r="VD55" s="3"/>
      <c r="VE55" s="3"/>
      <c r="VF55" s="3"/>
      <c r="VG55" s="3"/>
      <c r="VH55" s="3"/>
      <c r="VI55" s="3"/>
      <c r="VJ55" s="3"/>
      <c r="VK55" s="3"/>
      <c r="VL55" s="3"/>
      <c r="VM55" s="3"/>
      <c r="VN55" s="3"/>
      <c r="VO55" s="3"/>
      <c r="VP55" s="3"/>
      <c r="VQ55" s="3"/>
      <c r="VR55" s="3"/>
      <c r="VS55" s="3"/>
      <c r="VT55" s="3"/>
      <c r="VU55" s="3"/>
      <c r="VV55" s="3"/>
      <c r="VW55" s="3"/>
      <c r="VX55" s="3"/>
      <c r="VY55" s="3"/>
      <c r="VZ55" s="3"/>
      <c r="WA55" s="3"/>
      <c r="WB55" s="3"/>
      <c r="WC55" s="3"/>
      <c r="WD55" s="3"/>
      <c r="WE55" s="3"/>
      <c r="WF55" s="3"/>
      <c r="WG55" s="3"/>
      <c r="WH55" s="3"/>
      <c r="WI55" s="3"/>
      <c r="WJ55" s="3"/>
      <c r="WK55" s="3"/>
      <c r="WL55" s="3"/>
      <c r="WM55" s="3"/>
      <c r="WN55" s="3"/>
      <c r="WO55" s="3"/>
      <c r="WP55" s="3"/>
      <c r="WQ55" s="3"/>
      <c r="WR55" s="3"/>
      <c r="WS55" s="3"/>
      <c r="WT55" s="3"/>
      <c r="WU55" s="3"/>
      <c r="WV55" s="3"/>
      <c r="WW55" s="3"/>
      <c r="WX55" s="3"/>
      <c r="WY55" s="3"/>
      <c r="WZ55" s="3"/>
      <c r="XA55" s="3"/>
      <c r="XB55" s="3"/>
      <c r="XC55" s="3"/>
      <c r="XD55" s="3"/>
      <c r="XE55" s="3"/>
      <c r="XF55" s="3"/>
      <c r="XG55" s="3"/>
      <c r="XH55" s="3"/>
      <c r="XI55" s="3"/>
      <c r="XJ55" s="3"/>
      <c r="XK55" s="3"/>
      <c r="XL55" s="3"/>
      <c r="XM55" s="3"/>
      <c r="XN55" s="3"/>
      <c r="XO55" s="3"/>
      <c r="XP55" s="3"/>
      <c r="XQ55" s="3"/>
      <c r="XR55" s="3"/>
      <c r="XS55" s="3"/>
      <c r="XT55" s="3"/>
      <c r="XU55" s="3"/>
      <c r="XV55" s="3"/>
      <c r="XW55" s="3"/>
      <c r="XX55" s="3"/>
      <c r="XY55" s="3"/>
      <c r="XZ55" s="3"/>
      <c r="YA55" s="3"/>
      <c r="YB55" s="3"/>
      <c r="YC55" s="3"/>
      <c r="YD55" s="3"/>
      <c r="YE55" s="3"/>
      <c r="YF55" s="3"/>
      <c r="YG55" s="3"/>
      <c r="YH55" s="3"/>
      <c r="YI55" s="3"/>
      <c r="YJ55" s="3"/>
      <c r="YK55" s="3"/>
      <c r="YL55" s="3"/>
      <c r="YM55" s="3"/>
      <c r="YN55" s="3"/>
      <c r="YO55" s="3"/>
      <c r="YP55" s="3"/>
      <c r="YQ55" s="3"/>
      <c r="YR55" s="3"/>
      <c r="YS55" s="3"/>
      <c r="YT55" s="3"/>
      <c r="YU55" s="3"/>
      <c r="YV55" s="3"/>
      <c r="YW55" s="3"/>
      <c r="YX55" s="3"/>
      <c r="YY55" s="3"/>
      <c r="YZ55" s="3"/>
      <c r="ZA55" s="3"/>
      <c r="ZB55" s="3"/>
      <c r="ZC55" s="3"/>
    </row>
    <row r="56" spans="1:679" s="2" customFormat="1" x14ac:dyDescent="0.45">
      <c r="A56" s="3" t="s">
        <v>11</v>
      </c>
      <c r="B56" s="4">
        <v>31168</v>
      </c>
      <c r="C56" s="7" t="s">
        <v>25</v>
      </c>
      <c r="D56" s="6" t="s">
        <v>70</v>
      </c>
      <c r="E56" s="3"/>
      <c r="F56" s="3">
        <v>12</v>
      </c>
      <c r="L56" s="3"/>
      <c r="M56" s="3"/>
      <c r="N56" s="48"/>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c r="DM56" s="3"/>
      <c r="DN56" s="3"/>
      <c r="DO56" s="3"/>
      <c r="DP56" s="3"/>
      <c r="DQ56" s="3"/>
      <c r="DR56" s="3"/>
      <c r="DS56" s="3"/>
      <c r="DT56" s="3"/>
      <c r="DU56" s="3"/>
      <c r="DV56" s="3"/>
      <c r="DW56" s="3"/>
      <c r="DX56" s="3"/>
      <c r="DY56" s="3"/>
      <c r="DZ56" s="3"/>
      <c r="EA56" s="3"/>
      <c r="EB56" s="3"/>
      <c r="EC56" s="3"/>
      <c r="ED56" s="3"/>
      <c r="EE56" s="3"/>
      <c r="EF56" s="3"/>
      <c r="EG56" s="3"/>
      <c r="EH56" s="3"/>
      <c r="EI56" s="3"/>
      <c r="EJ56" s="3"/>
      <c r="EK56" s="3"/>
      <c r="EL56" s="3"/>
      <c r="EM56" s="3"/>
      <c r="EN56" s="3"/>
      <c r="EO56" s="3"/>
      <c r="EP56" s="3"/>
      <c r="EQ56" s="3"/>
      <c r="ER56" s="3"/>
      <c r="ES56" s="3"/>
      <c r="ET56" s="3"/>
      <c r="EU56" s="3"/>
      <c r="EV56" s="3"/>
      <c r="EW56" s="3"/>
      <c r="EX56" s="3"/>
      <c r="EY56" s="3"/>
      <c r="EZ56" s="3"/>
      <c r="FA56" s="3"/>
      <c r="FB56" s="3"/>
      <c r="FC56" s="3"/>
      <c r="FD56" s="3"/>
      <c r="FE56" s="3"/>
      <c r="FF56" s="3"/>
      <c r="FG56" s="3"/>
      <c r="FH56" s="3"/>
      <c r="FI56" s="3"/>
      <c r="FJ56" s="3"/>
      <c r="FK56" s="3"/>
      <c r="FL56" s="3"/>
      <c r="FM56" s="3"/>
      <c r="FN56" s="3"/>
      <c r="FO56" s="3"/>
      <c r="FP56" s="3"/>
      <c r="FQ56" s="3"/>
      <c r="FR56" s="3"/>
      <c r="FS56" s="3"/>
      <c r="FT56" s="3"/>
      <c r="FU56" s="3"/>
      <c r="FV56" s="3"/>
      <c r="FW56" s="3"/>
      <c r="FX56" s="3"/>
      <c r="FY56" s="3"/>
      <c r="FZ56" s="3"/>
      <c r="GA56" s="3"/>
      <c r="GB56" s="3"/>
      <c r="GC56" s="3"/>
      <c r="GD56" s="3"/>
      <c r="GE56" s="3"/>
      <c r="GF56" s="3"/>
      <c r="GG56" s="3"/>
      <c r="GH56" s="3"/>
      <c r="GI56" s="3"/>
      <c r="GJ56" s="3"/>
      <c r="GK56" s="3"/>
      <c r="GL56" s="3"/>
      <c r="GM56" s="3"/>
      <c r="GN56" s="3"/>
      <c r="GO56" s="3"/>
      <c r="GP56" s="3"/>
      <c r="GQ56" s="3"/>
      <c r="GR56" s="3"/>
      <c r="GS56" s="3"/>
      <c r="GT56" s="3"/>
      <c r="GU56" s="3"/>
      <c r="GV56" s="3"/>
      <c r="GW56" s="3"/>
      <c r="GX56" s="3"/>
      <c r="GY56" s="3"/>
      <c r="GZ56" s="3"/>
      <c r="HA56" s="3"/>
      <c r="HB56" s="3"/>
      <c r="HC56" s="3"/>
      <c r="HD56" s="3"/>
      <c r="HE56" s="3"/>
      <c r="HF56" s="3"/>
      <c r="HG56" s="3"/>
      <c r="HH56" s="3"/>
      <c r="HI56" s="3"/>
      <c r="HJ56" s="3"/>
      <c r="HK56" s="3"/>
      <c r="HL56" s="3"/>
      <c r="HM56" s="3"/>
      <c r="HN56" s="3"/>
      <c r="HO56" s="3"/>
      <c r="HP56" s="3"/>
      <c r="HQ56" s="3"/>
      <c r="HR56" s="3"/>
      <c r="HS56" s="3"/>
      <c r="HT56" s="3"/>
      <c r="HU56" s="3"/>
      <c r="HV56" s="3"/>
      <c r="HW56" s="3"/>
      <c r="HX56" s="3"/>
      <c r="HY56" s="3"/>
      <c r="HZ56" s="3"/>
      <c r="IA56" s="3"/>
      <c r="IB56" s="3"/>
      <c r="IC56" s="3"/>
      <c r="ID56" s="3"/>
      <c r="IE56" s="3"/>
      <c r="IF56" s="3"/>
      <c r="IG56" s="3"/>
      <c r="IH56" s="3"/>
      <c r="II56" s="3"/>
      <c r="IJ56" s="3"/>
      <c r="IK56" s="3"/>
      <c r="IL56" s="3"/>
      <c r="IM56" s="3"/>
      <c r="IN56" s="3"/>
      <c r="IO56" s="3"/>
      <c r="IP56" s="3"/>
      <c r="IQ56" s="3"/>
      <c r="IR56" s="3"/>
      <c r="IS56" s="3"/>
      <c r="IT56" s="3"/>
      <c r="IU56" s="3"/>
      <c r="IV56" s="3"/>
      <c r="IW56" s="3"/>
      <c r="IX56" s="3"/>
      <c r="IY56" s="3"/>
      <c r="IZ56" s="3"/>
      <c r="JA56" s="3"/>
      <c r="JB56" s="3"/>
      <c r="JC56" s="3"/>
      <c r="JD56" s="3"/>
      <c r="JE56" s="3"/>
      <c r="JF56" s="3"/>
      <c r="JG56" s="3"/>
      <c r="JH56" s="3"/>
      <c r="JI56" s="3"/>
      <c r="JJ56" s="3"/>
      <c r="JK56" s="3"/>
      <c r="JL56" s="3"/>
      <c r="JM56" s="3"/>
      <c r="JN56" s="3"/>
      <c r="JO56" s="3"/>
      <c r="JP56" s="3"/>
      <c r="JQ56" s="3"/>
      <c r="JR56" s="3"/>
      <c r="JS56" s="3"/>
      <c r="JT56" s="3"/>
      <c r="JU56" s="3"/>
      <c r="JV56" s="3"/>
      <c r="JW56" s="3"/>
      <c r="JX56" s="3"/>
      <c r="JY56" s="3"/>
      <c r="JZ56" s="3"/>
      <c r="KA56" s="3"/>
      <c r="KB56" s="3"/>
      <c r="KC56" s="3"/>
      <c r="KD56" s="3"/>
      <c r="KE56" s="3"/>
      <c r="KF56" s="3"/>
      <c r="KG56" s="3"/>
      <c r="KH56" s="3"/>
      <c r="KI56" s="3"/>
      <c r="KJ56" s="3"/>
      <c r="KK56" s="3"/>
      <c r="KL56" s="3"/>
      <c r="KM56" s="3"/>
      <c r="KN56" s="3"/>
      <c r="KO56" s="3"/>
      <c r="KP56" s="3"/>
      <c r="KQ56" s="3"/>
      <c r="KR56" s="3"/>
      <c r="KS56" s="3"/>
      <c r="KT56" s="3"/>
      <c r="KU56" s="3"/>
      <c r="KV56" s="3"/>
      <c r="KW56" s="3"/>
      <c r="KX56" s="3"/>
      <c r="KY56" s="3"/>
      <c r="KZ56" s="3"/>
      <c r="LA56" s="3"/>
      <c r="LB56" s="3"/>
      <c r="LC56" s="3"/>
      <c r="LD56" s="3"/>
      <c r="LE56" s="3"/>
      <c r="LF56" s="3"/>
      <c r="LG56" s="3"/>
      <c r="LH56" s="3"/>
      <c r="LI56" s="3"/>
      <c r="LJ56" s="3"/>
      <c r="LK56" s="3"/>
      <c r="LL56" s="3"/>
      <c r="LM56" s="3"/>
      <c r="LN56" s="3"/>
      <c r="LO56" s="3"/>
      <c r="LP56" s="3"/>
      <c r="LQ56" s="3"/>
      <c r="LR56" s="3"/>
      <c r="LS56" s="3"/>
      <c r="LT56" s="3"/>
      <c r="LU56" s="3"/>
      <c r="LV56" s="3"/>
      <c r="LW56" s="3"/>
      <c r="LX56" s="3"/>
      <c r="LY56" s="3"/>
      <c r="LZ56" s="3"/>
      <c r="MA56" s="3"/>
      <c r="MB56" s="3"/>
      <c r="MC56" s="3"/>
      <c r="MD56" s="3"/>
      <c r="ME56" s="3"/>
      <c r="MF56" s="3"/>
      <c r="MG56" s="3"/>
      <c r="MH56" s="3"/>
      <c r="MI56" s="3"/>
      <c r="MJ56" s="3"/>
      <c r="MK56" s="3"/>
      <c r="ML56" s="3"/>
      <c r="MM56" s="3"/>
      <c r="MN56" s="3"/>
      <c r="MO56" s="3"/>
      <c r="MP56" s="3"/>
      <c r="MQ56" s="3"/>
      <c r="MR56" s="3"/>
      <c r="MS56" s="3"/>
      <c r="MT56" s="3"/>
      <c r="MU56" s="3"/>
      <c r="MV56" s="3"/>
      <c r="MW56" s="3"/>
      <c r="MX56" s="3"/>
      <c r="MY56" s="3"/>
      <c r="MZ56" s="3"/>
      <c r="NA56" s="3"/>
      <c r="NB56" s="3"/>
      <c r="NC56" s="3"/>
      <c r="ND56" s="3"/>
      <c r="NE56" s="3"/>
      <c r="NF56" s="3"/>
      <c r="NG56" s="3"/>
      <c r="NH56" s="3"/>
      <c r="NI56" s="3"/>
      <c r="NJ56" s="3"/>
      <c r="NK56" s="3"/>
      <c r="NL56" s="3"/>
      <c r="NM56" s="3"/>
      <c r="NN56" s="3"/>
      <c r="NO56" s="3"/>
      <c r="NP56" s="3"/>
      <c r="NQ56" s="3"/>
      <c r="NR56" s="3"/>
      <c r="NS56" s="3"/>
      <c r="NT56" s="3"/>
      <c r="NU56" s="3"/>
      <c r="NV56" s="3"/>
      <c r="NW56" s="3"/>
      <c r="NX56" s="3"/>
      <c r="NY56" s="3"/>
      <c r="NZ56" s="3"/>
      <c r="OA56" s="3"/>
      <c r="OB56" s="3"/>
      <c r="OC56" s="3"/>
      <c r="OD56" s="3"/>
      <c r="OE56" s="3"/>
      <c r="OF56" s="3"/>
      <c r="OG56" s="3"/>
      <c r="OH56" s="3"/>
      <c r="OI56" s="3"/>
      <c r="OJ56" s="3"/>
      <c r="OK56" s="3"/>
      <c r="OL56" s="3"/>
      <c r="OM56" s="3"/>
      <c r="ON56" s="3"/>
      <c r="OO56" s="3"/>
      <c r="OP56" s="3"/>
      <c r="OQ56" s="3"/>
      <c r="OR56" s="3"/>
      <c r="OS56" s="3"/>
      <c r="OT56" s="3"/>
      <c r="OU56" s="3"/>
      <c r="OV56" s="3"/>
      <c r="OW56" s="3"/>
      <c r="OX56" s="3"/>
      <c r="OY56" s="3"/>
      <c r="OZ56" s="3"/>
      <c r="PA56" s="3"/>
      <c r="PB56" s="3"/>
      <c r="PC56" s="3"/>
      <c r="PD56" s="3"/>
      <c r="PE56" s="3"/>
      <c r="PF56" s="3"/>
      <c r="PG56" s="3"/>
      <c r="PH56" s="3"/>
      <c r="PI56" s="3"/>
      <c r="PJ56" s="3"/>
      <c r="PK56" s="3"/>
      <c r="PL56" s="3"/>
      <c r="PM56" s="3"/>
      <c r="PN56" s="3"/>
      <c r="PO56" s="3"/>
      <c r="PP56" s="3"/>
      <c r="PQ56" s="3"/>
      <c r="PR56" s="3"/>
      <c r="PS56" s="3"/>
      <c r="PT56" s="3"/>
      <c r="PU56" s="3"/>
      <c r="PV56" s="3"/>
      <c r="PW56" s="3"/>
      <c r="PX56" s="3"/>
      <c r="PY56" s="3"/>
      <c r="PZ56" s="3"/>
      <c r="QA56" s="3"/>
      <c r="QB56" s="3"/>
      <c r="QC56" s="3"/>
      <c r="QD56" s="3"/>
      <c r="QE56" s="3"/>
      <c r="QF56" s="3"/>
      <c r="QG56" s="3"/>
      <c r="QH56" s="3"/>
      <c r="QI56" s="3"/>
      <c r="QJ56" s="3"/>
      <c r="QK56" s="3"/>
      <c r="QL56" s="3"/>
      <c r="QM56" s="3"/>
      <c r="QN56" s="3"/>
      <c r="QO56" s="3"/>
      <c r="QP56" s="3"/>
      <c r="QQ56" s="3"/>
      <c r="QR56" s="3"/>
      <c r="QS56" s="3"/>
      <c r="QT56" s="3"/>
      <c r="QU56" s="3"/>
      <c r="QV56" s="3"/>
      <c r="QW56" s="3"/>
      <c r="QX56" s="3"/>
      <c r="QY56" s="3"/>
      <c r="QZ56" s="3"/>
      <c r="RA56" s="3"/>
      <c r="RB56" s="3"/>
      <c r="RC56" s="3"/>
      <c r="RD56" s="3"/>
      <c r="RE56" s="3"/>
      <c r="RF56" s="3"/>
      <c r="RG56" s="3"/>
      <c r="RH56" s="3"/>
      <c r="RI56" s="3"/>
      <c r="RJ56" s="3"/>
      <c r="RK56" s="3"/>
      <c r="RL56" s="3"/>
      <c r="RM56" s="3"/>
      <c r="RN56" s="3"/>
      <c r="RO56" s="3"/>
      <c r="RP56" s="3"/>
      <c r="RQ56" s="3"/>
      <c r="RR56" s="3"/>
      <c r="RS56" s="3"/>
      <c r="RT56" s="3"/>
      <c r="RU56" s="3"/>
      <c r="RV56" s="3"/>
      <c r="RW56" s="3"/>
      <c r="RX56" s="3"/>
      <c r="RY56" s="3"/>
      <c r="RZ56" s="3"/>
      <c r="SA56" s="3"/>
      <c r="SB56" s="3"/>
      <c r="SC56" s="3"/>
      <c r="SD56" s="3"/>
      <c r="SE56" s="3"/>
      <c r="SF56" s="3"/>
      <c r="SG56" s="3"/>
      <c r="SH56" s="3"/>
      <c r="SI56" s="3"/>
      <c r="SJ56" s="3"/>
      <c r="SK56" s="3"/>
      <c r="SL56" s="3"/>
      <c r="SM56" s="3"/>
      <c r="SN56" s="3"/>
      <c r="SO56" s="3"/>
      <c r="SP56" s="3"/>
      <c r="SQ56" s="3"/>
      <c r="SR56" s="3"/>
      <c r="SS56" s="3"/>
      <c r="ST56" s="3"/>
      <c r="SU56" s="3"/>
      <c r="SV56" s="3"/>
      <c r="SW56" s="3"/>
      <c r="SX56" s="3"/>
      <c r="SY56" s="3"/>
      <c r="SZ56" s="3"/>
      <c r="TA56" s="3"/>
      <c r="TB56" s="3"/>
      <c r="TC56" s="3"/>
      <c r="TD56" s="3"/>
      <c r="TE56" s="3"/>
      <c r="TF56" s="3"/>
      <c r="TG56" s="3"/>
      <c r="TH56" s="3"/>
      <c r="TI56" s="3"/>
      <c r="TJ56" s="3"/>
      <c r="TK56" s="3"/>
      <c r="TL56" s="3"/>
      <c r="TM56" s="3"/>
      <c r="TN56" s="3"/>
      <c r="TO56" s="3"/>
      <c r="TP56" s="3"/>
      <c r="TQ56" s="3"/>
      <c r="TR56" s="3"/>
      <c r="TS56" s="3"/>
      <c r="TT56" s="3"/>
      <c r="TU56" s="3"/>
      <c r="TV56" s="3"/>
      <c r="TW56" s="3"/>
      <c r="TX56" s="3"/>
      <c r="TY56" s="3"/>
      <c r="TZ56" s="3"/>
      <c r="UA56" s="3"/>
      <c r="UB56" s="3"/>
      <c r="UC56" s="3"/>
      <c r="UD56" s="3"/>
      <c r="UE56" s="3"/>
      <c r="UF56" s="3"/>
      <c r="UG56" s="3"/>
      <c r="UH56" s="3"/>
      <c r="UI56" s="3"/>
      <c r="UJ56" s="3"/>
      <c r="UK56" s="3"/>
      <c r="UL56" s="3"/>
      <c r="UM56" s="3"/>
      <c r="UN56" s="3"/>
      <c r="UO56" s="3"/>
      <c r="UP56" s="3"/>
      <c r="UQ56" s="3"/>
      <c r="UR56" s="3"/>
      <c r="US56" s="3"/>
      <c r="UT56" s="3"/>
      <c r="UU56" s="3"/>
      <c r="UV56" s="3"/>
      <c r="UW56" s="3"/>
      <c r="UX56" s="3"/>
      <c r="UY56" s="3"/>
      <c r="UZ56" s="3"/>
      <c r="VA56" s="3"/>
      <c r="VB56" s="3"/>
      <c r="VC56" s="3"/>
      <c r="VD56" s="3"/>
      <c r="VE56" s="3"/>
      <c r="VF56" s="3"/>
      <c r="VG56" s="3"/>
      <c r="VH56" s="3"/>
      <c r="VI56" s="3"/>
      <c r="VJ56" s="3"/>
      <c r="VK56" s="3"/>
      <c r="VL56" s="3"/>
      <c r="VM56" s="3"/>
      <c r="VN56" s="3"/>
      <c r="VO56" s="3"/>
      <c r="VP56" s="3"/>
      <c r="VQ56" s="3"/>
      <c r="VR56" s="3"/>
      <c r="VS56" s="3"/>
      <c r="VT56" s="3"/>
      <c r="VU56" s="3"/>
      <c r="VV56" s="3"/>
      <c r="VW56" s="3"/>
      <c r="VX56" s="3"/>
      <c r="VY56" s="3"/>
      <c r="VZ56" s="3"/>
      <c r="WA56" s="3"/>
      <c r="WB56" s="3"/>
      <c r="WC56" s="3"/>
      <c r="WD56" s="3"/>
      <c r="WE56" s="3"/>
      <c r="WF56" s="3"/>
      <c r="WG56" s="3"/>
      <c r="WH56" s="3"/>
      <c r="WI56" s="3"/>
      <c r="WJ56" s="3"/>
      <c r="WK56" s="3"/>
      <c r="WL56" s="3"/>
      <c r="WM56" s="3"/>
      <c r="WN56" s="3"/>
      <c r="WO56" s="3"/>
      <c r="WP56" s="3"/>
      <c r="WQ56" s="3"/>
      <c r="WR56" s="3"/>
      <c r="WS56" s="3"/>
      <c r="WT56" s="3"/>
      <c r="WU56" s="3"/>
      <c r="WV56" s="3"/>
      <c r="WW56" s="3"/>
      <c r="WX56" s="3"/>
      <c r="WY56" s="3"/>
      <c r="WZ56" s="3"/>
      <c r="XA56" s="3"/>
      <c r="XB56" s="3"/>
      <c r="XC56" s="3"/>
      <c r="XD56" s="3"/>
      <c r="XE56" s="3"/>
      <c r="XF56" s="3"/>
      <c r="XG56" s="3"/>
      <c r="XH56" s="3"/>
      <c r="XI56" s="3"/>
      <c r="XJ56" s="3"/>
      <c r="XK56" s="3"/>
      <c r="XL56" s="3"/>
      <c r="XM56" s="3"/>
      <c r="XN56" s="3"/>
      <c r="XO56" s="3"/>
      <c r="XP56" s="3"/>
      <c r="XQ56" s="3"/>
      <c r="XR56" s="3"/>
      <c r="XS56" s="3"/>
      <c r="XT56" s="3"/>
      <c r="XU56" s="3"/>
      <c r="XV56" s="3"/>
      <c r="XW56" s="3"/>
      <c r="XX56" s="3"/>
      <c r="XY56" s="3"/>
      <c r="XZ56" s="3"/>
      <c r="YA56" s="3"/>
      <c r="YB56" s="3"/>
      <c r="YC56" s="3"/>
      <c r="YD56" s="3"/>
      <c r="YE56" s="3"/>
      <c r="YF56" s="3"/>
      <c r="YG56" s="3"/>
      <c r="YH56" s="3"/>
      <c r="YI56" s="3"/>
      <c r="YJ56" s="3"/>
      <c r="YK56" s="3"/>
      <c r="YL56" s="3"/>
      <c r="YM56" s="3"/>
      <c r="YN56" s="3"/>
      <c r="YO56" s="3"/>
      <c r="YP56" s="3"/>
      <c r="YQ56" s="3"/>
      <c r="YR56" s="3"/>
      <c r="YS56" s="3"/>
      <c r="YT56" s="3"/>
      <c r="YU56" s="3"/>
      <c r="YV56" s="3"/>
      <c r="YW56" s="3"/>
      <c r="YX56" s="3"/>
      <c r="YY56" s="3"/>
      <c r="YZ56" s="3"/>
      <c r="ZA56" s="3"/>
      <c r="ZB56" s="3"/>
      <c r="ZC56" s="3"/>
    </row>
    <row r="57" spans="1:679" s="2" customFormat="1" x14ac:dyDescent="0.45">
      <c r="A57" s="3" t="s">
        <v>11</v>
      </c>
      <c r="B57" s="4">
        <v>31240</v>
      </c>
      <c r="C57" s="7" t="s">
        <v>21</v>
      </c>
      <c r="D57" s="6" t="s">
        <v>71</v>
      </c>
      <c r="E57" s="3"/>
      <c r="F57" s="3">
        <v>15</v>
      </c>
      <c r="L57" s="3"/>
      <c r="M57" s="3"/>
      <c r="N57" s="48"/>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c r="DL57" s="3"/>
      <c r="DM57" s="3"/>
      <c r="DN57" s="3"/>
      <c r="DO57" s="3"/>
      <c r="DP57" s="3"/>
      <c r="DQ57" s="3"/>
      <c r="DR57" s="3"/>
      <c r="DS57" s="3"/>
      <c r="DT57" s="3"/>
      <c r="DU57" s="3"/>
      <c r="DV57" s="3"/>
      <c r="DW57" s="3"/>
      <c r="DX57" s="3"/>
      <c r="DY57" s="3"/>
      <c r="DZ57" s="3"/>
      <c r="EA57" s="3"/>
      <c r="EB57" s="3"/>
      <c r="EC57" s="3"/>
      <c r="ED57" s="3"/>
      <c r="EE57" s="3"/>
      <c r="EF57" s="3"/>
      <c r="EG57" s="3"/>
      <c r="EH57" s="3"/>
      <c r="EI57" s="3"/>
      <c r="EJ57" s="3"/>
      <c r="EK57" s="3"/>
      <c r="EL57" s="3"/>
      <c r="EM57" s="3"/>
      <c r="EN57" s="3"/>
      <c r="EO57" s="3"/>
      <c r="EP57" s="3"/>
      <c r="EQ57" s="3"/>
      <c r="ER57" s="3"/>
      <c r="ES57" s="3"/>
      <c r="ET57" s="3"/>
      <c r="EU57" s="3"/>
      <c r="EV57" s="3"/>
      <c r="EW57" s="3"/>
      <c r="EX57" s="3"/>
      <c r="EY57" s="3"/>
      <c r="EZ57" s="3"/>
      <c r="FA57" s="3"/>
      <c r="FB57" s="3"/>
      <c r="FC57" s="3"/>
      <c r="FD57" s="3"/>
      <c r="FE57" s="3"/>
      <c r="FF57" s="3"/>
      <c r="FG57" s="3"/>
      <c r="FH57" s="3"/>
      <c r="FI57" s="3"/>
      <c r="FJ57" s="3"/>
      <c r="FK57" s="3"/>
      <c r="FL57" s="3"/>
      <c r="FM57" s="3"/>
      <c r="FN57" s="3"/>
      <c r="FO57" s="3"/>
      <c r="FP57" s="3"/>
      <c r="FQ57" s="3"/>
      <c r="FR57" s="3"/>
      <c r="FS57" s="3"/>
      <c r="FT57" s="3"/>
      <c r="FU57" s="3"/>
      <c r="FV57" s="3"/>
      <c r="FW57" s="3"/>
      <c r="FX57" s="3"/>
      <c r="FY57" s="3"/>
      <c r="FZ57" s="3"/>
      <c r="GA57" s="3"/>
      <c r="GB57" s="3"/>
      <c r="GC57" s="3"/>
      <c r="GD57" s="3"/>
      <c r="GE57" s="3"/>
      <c r="GF57" s="3"/>
      <c r="GG57" s="3"/>
      <c r="GH57" s="3"/>
      <c r="GI57" s="3"/>
      <c r="GJ57" s="3"/>
      <c r="GK57" s="3"/>
      <c r="GL57" s="3"/>
      <c r="GM57" s="3"/>
      <c r="GN57" s="3"/>
      <c r="GO57" s="3"/>
      <c r="GP57" s="3"/>
      <c r="GQ57" s="3"/>
      <c r="GR57" s="3"/>
      <c r="GS57" s="3"/>
      <c r="GT57" s="3"/>
      <c r="GU57" s="3"/>
      <c r="GV57" s="3"/>
      <c r="GW57" s="3"/>
      <c r="GX57" s="3"/>
      <c r="GY57" s="3"/>
      <c r="GZ57" s="3"/>
      <c r="HA57" s="3"/>
      <c r="HB57" s="3"/>
      <c r="HC57" s="3"/>
      <c r="HD57" s="3"/>
      <c r="HE57" s="3"/>
      <c r="HF57" s="3"/>
      <c r="HG57" s="3"/>
      <c r="HH57" s="3"/>
      <c r="HI57" s="3"/>
      <c r="HJ57" s="3"/>
      <c r="HK57" s="3"/>
      <c r="HL57" s="3"/>
      <c r="HM57" s="3"/>
      <c r="HN57" s="3"/>
      <c r="HO57" s="3"/>
      <c r="HP57" s="3"/>
      <c r="HQ57" s="3"/>
      <c r="HR57" s="3"/>
      <c r="HS57" s="3"/>
      <c r="HT57" s="3"/>
      <c r="HU57" s="3"/>
      <c r="HV57" s="3"/>
      <c r="HW57" s="3"/>
      <c r="HX57" s="3"/>
      <c r="HY57" s="3"/>
      <c r="HZ57" s="3"/>
      <c r="IA57" s="3"/>
      <c r="IB57" s="3"/>
      <c r="IC57" s="3"/>
      <c r="ID57" s="3"/>
      <c r="IE57" s="3"/>
      <c r="IF57" s="3"/>
      <c r="IG57" s="3"/>
      <c r="IH57" s="3"/>
      <c r="II57" s="3"/>
      <c r="IJ57" s="3"/>
      <c r="IK57" s="3"/>
      <c r="IL57" s="3"/>
      <c r="IM57" s="3"/>
      <c r="IN57" s="3"/>
      <c r="IO57" s="3"/>
      <c r="IP57" s="3"/>
      <c r="IQ57" s="3"/>
      <c r="IR57" s="3"/>
      <c r="IS57" s="3"/>
      <c r="IT57" s="3"/>
      <c r="IU57" s="3"/>
      <c r="IV57" s="3"/>
      <c r="IW57" s="3"/>
      <c r="IX57" s="3"/>
      <c r="IY57" s="3"/>
      <c r="IZ57" s="3"/>
      <c r="JA57" s="3"/>
      <c r="JB57" s="3"/>
      <c r="JC57" s="3"/>
      <c r="JD57" s="3"/>
      <c r="JE57" s="3"/>
      <c r="JF57" s="3"/>
      <c r="JG57" s="3"/>
      <c r="JH57" s="3"/>
      <c r="JI57" s="3"/>
      <c r="JJ57" s="3"/>
      <c r="JK57" s="3"/>
      <c r="JL57" s="3"/>
      <c r="JM57" s="3"/>
      <c r="JN57" s="3"/>
      <c r="JO57" s="3"/>
      <c r="JP57" s="3"/>
      <c r="JQ57" s="3"/>
      <c r="JR57" s="3"/>
      <c r="JS57" s="3"/>
      <c r="JT57" s="3"/>
      <c r="JU57" s="3"/>
      <c r="JV57" s="3"/>
      <c r="JW57" s="3"/>
      <c r="JX57" s="3"/>
      <c r="JY57" s="3"/>
      <c r="JZ57" s="3"/>
      <c r="KA57" s="3"/>
      <c r="KB57" s="3"/>
      <c r="KC57" s="3"/>
      <c r="KD57" s="3"/>
      <c r="KE57" s="3"/>
      <c r="KF57" s="3"/>
      <c r="KG57" s="3"/>
      <c r="KH57" s="3"/>
      <c r="KI57" s="3"/>
      <c r="KJ57" s="3"/>
      <c r="KK57" s="3"/>
      <c r="KL57" s="3"/>
      <c r="KM57" s="3"/>
      <c r="KN57" s="3"/>
      <c r="KO57" s="3"/>
      <c r="KP57" s="3"/>
      <c r="KQ57" s="3"/>
      <c r="KR57" s="3"/>
      <c r="KS57" s="3"/>
      <c r="KT57" s="3"/>
      <c r="KU57" s="3"/>
      <c r="KV57" s="3"/>
      <c r="KW57" s="3"/>
      <c r="KX57" s="3"/>
      <c r="KY57" s="3"/>
      <c r="KZ57" s="3"/>
      <c r="LA57" s="3"/>
      <c r="LB57" s="3"/>
      <c r="LC57" s="3"/>
      <c r="LD57" s="3"/>
      <c r="LE57" s="3"/>
      <c r="LF57" s="3"/>
      <c r="LG57" s="3"/>
      <c r="LH57" s="3"/>
      <c r="LI57" s="3"/>
      <c r="LJ57" s="3"/>
      <c r="LK57" s="3"/>
      <c r="LL57" s="3"/>
      <c r="LM57" s="3"/>
      <c r="LN57" s="3"/>
      <c r="LO57" s="3"/>
      <c r="LP57" s="3"/>
      <c r="LQ57" s="3"/>
      <c r="LR57" s="3"/>
      <c r="LS57" s="3"/>
      <c r="LT57" s="3"/>
      <c r="LU57" s="3"/>
      <c r="LV57" s="3"/>
      <c r="LW57" s="3"/>
      <c r="LX57" s="3"/>
      <c r="LY57" s="3"/>
      <c r="LZ57" s="3"/>
      <c r="MA57" s="3"/>
      <c r="MB57" s="3"/>
      <c r="MC57" s="3"/>
      <c r="MD57" s="3"/>
      <c r="ME57" s="3"/>
      <c r="MF57" s="3"/>
      <c r="MG57" s="3"/>
      <c r="MH57" s="3"/>
      <c r="MI57" s="3"/>
      <c r="MJ57" s="3"/>
      <c r="MK57" s="3"/>
      <c r="ML57" s="3"/>
      <c r="MM57" s="3"/>
      <c r="MN57" s="3"/>
      <c r="MO57" s="3"/>
      <c r="MP57" s="3"/>
      <c r="MQ57" s="3"/>
      <c r="MR57" s="3"/>
      <c r="MS57" s="3"/>
      <c r="MT57" s="3"/>
      <c r="MU57" s="3"/>
      <c r="MV57" s="3"/>
      <c r="MW57" s="3"/>
      <c r="MX57" s="3"/>
      <c r="MY57" s="3"/>
      <c r="MZ57" s="3"/>
      <c r="NA57" s="3"/>
      <c r="NB57" s="3"/>
      <c r="NC57" s="3"/>
      <c r="ND57" s="3"/>
      <c r="NE57" s="3"/>
      <c r="NF57" s="3"/>
      <c r="NG57" s="3"/>
      <c r="NH57" s="3"/>
      <c r="NI57" s="3"/>
      <c r="NJ57" s="3"/>
      <c r="NK57" s="3"/>
      <c r="NL57" s="3"/>
      <c r="NM57" s="3"/>
      <c r="NN57" s="3"/>
      <c r="NO57" s="3"/>
      <c r="NP57" s="3"/>
      <c r="NQ57" s="3"/>
      <c r="NR57" s="3"/>
      <c r="NS57" s="3"/>
      <c r="NT57" s="3"/>
      <c r="NU57" s="3"/>
      <c r="NV57" s="3"/>
      <c r="NW57" s="3"/>
      <c r="NX57" s="3"/>
      <c r="NY57" s="3"/>
      <c r="NZ57" s="3"/>
      <c r="OA57" s="3"/>
      <c r="OB57" s="3"/>
      <c r="OC57" s="3"/>
      <c r="OD57" s="3"/>
      <c r="OE57" s="3"/>
      <c r="OF57" s="3"/>
      <c r="OG57" s="3"/>
      <c r="OH57" s="3"/>
      <c r="OI57" s="3"/>
      <c r="OJ57" s="3"/>
      <c r="OK57" s="3"/>
      <c r="OL57" s="3"/>
      <c r="OM57" s="3"/>
      <c r="ON57" s="3"/>
      <c r="OO57" s="3"/>
      <c r="OP57" s="3"/>
      <c r="OQ57" s="3"/>
      <c r="OR57" s="3"/>
      <c r="OS57" s="3"/>
      <c r="OT57" s="3"/>
      <c r="OU57" s="3"/>
      <c r="OV57" s="3"/>
      <c r="OW57" s="3"/>
      <c r="OX57" s="3"/>
      <c r="OY57" s="3"/>
      <c r="OZ57" s="3"/>
      <c r="PA57" s="3"/>
      <c r="PB57" s="3"/>
      <c r="PC57" s="3"/>
      <c r="PD57" s="3"/>
      <c r="PE57" s="3"/>
      <c r="PF57" s="3"/>
      <c r="PG57" s="3"/>
      <c r="PH57" s="3"/>
      <c r="PI57" s="3"/>
      <c r="PJ57" s="3"/>
      <c r="PK57" s="3"/>
      <c r="PL57" s="3"/>
      <c r="PM57" s="3"/>
      <c r="PN57" s="3"/>
      <c r="PO57" s="3"/>
      <c r="PP57" s="3"/>
      <c r="PQ57" s="3"/>
      <c r="PR57" s="3"/>
      <c r="PS57" s="3"/>
      <c r="PT57" s="3"/>
      <c r="PU57" s="3"/>
      <c r="PV57" s="3"/>
      <c r="PW57" s="3"/>
      <c r="PX57" s="3"/>
      <c r="PY57" s="3"/>
      <c r="PZ57" s="3"/>
      <c r="QA57" s="3"/>
      <c r="QB57" s="3"/>
      <c r="QC57" s="3"/>
      <c r="QD57" s="3"/>
      <c r="QE57" s="3"/>
      <c r="QF57" s="3"/>
      <c r="QG57" s="3"/>
      <c r="QH57" s="3"/>
      <c r="QI57" s="3"/>
      <c r="QJ57" s="3"/>
      <c r="QK57" s="3"/>
      <c r="QL57" s="3"/>
      <c r="QM57" s="3"/>
      <c r="QN57" s="3"/>
      <c r="QO57" s="3"/>
      <c r="QP57" s="3"/>
      <c r="QQ57" s="3"/>
      <c r="QR57" s="3"/>
      <c r="QS57" s="3"/>
      <c r="QT57" s="3"/>
      <c r="QU57" s="3"/>
      <c r="QV57" s="3"/>
      <c r="QW57" s="3"/>
      <c r="QX57" s="3"/>
      <c r="QY57" s="3"/>
      <c r="QZ57" s="3"/>
      <c r="RA57" s="3"/>
      <c r="RB57" s="3"/>
      <c r="RC57" s="3"/>
      <c r="RD57" s="3"/>
      <c r="RE57" s="3"/>
      <c r="RF57" s="3"/>
      <c r="RG57" s="3"/>
      <c r="RH57" s="3"/>
      <c r="RI57" s="3"/>
      <c r="RJ57" s="3"/>
      <c r="RK57" s="3"/>
      <c r="RL57" s="3"/>
      <c r="RM57" s="3"/>
      <c r="RN57" s="3"/>
      <c r="RO57" s="3"/>
      <c r="RP57" s="3"/>
      <c r="RQ57" s="3"/>
      <c r="RR57" s="3"/>
      <c r="RS57" s="3"/>
      <c r="RT57" s="3"/>
      <c r="RU57" s="3"/>
      <c r="RV57" s="3"/>
      <c r="RW57" s="3"/>
      <c r="RX57" s="3"/>
      <c r="RY57" s="3"/>
      <c r="RZ57" s="3"/>
      <c r="SA57" s="3"/>
      <c r="SB57" s="3"/>
      <c r="SC57" s="3"/>
      <c r="SD57" s="3"/>
      <c r="SE57" s="3"/>
      <c r="SF57" s="3"/>
      <c r="SG57" s="3"/>
      <c r="SH57" s="3"/>
      <c r="SI57" s="3"/>
      <c r="SJ57" s="3"/>
      <c r="SK57" s="3"/>
      <c r="SL57" s="3"/>
      <c r="SM57" s="3"/>
      <c r="SN57" s="3"/>
      <c r="SO57" s="3"/>
      <c r="SP57" s="3"/>
      <c r="SQ57" s="3"/>
      <c r="SR57" s="3"/>
      <c r="SS57" s="3"/>
      <c r="ST57" s="3"/>
      <c r="SU57" s="3"/>
      <c r="SV57" s="3"/>
      <c r="SW57" s="3"/>
      <c r="SX57" s="3"/>
      <c r="SY57" s="3"/>
      <c r="SZ57" s="3"/>
      <c r="TA57" s="3"/>
      <c r="TB57" s="3"/>
      <c r="TC57" s="3"/>
      <c r="TD57" s="3"/>
      <c r="TE57" s="3"/>
      <c r="TF57" s="3"/>
      <c r="TG57" s="3"/>
      <c r="TH57" s="3"/>
      <c r="TI57" s="3"/>
      <c r="TJ57" s="3"/>
      <c r="TK57" s="3"/>
      <c r="TL57" s="3"/>
      <c r="TM57" s="3"/>
      <c r="TN57" s="3"/>
      <c r="TO57" s="3"/>
      <c r="TP57" s="3"/>
      <c r="TQ57" s="3"/>
      <c r="TR57" s="3"/>
      <c r="TS57" s="3"/>
      <c r="TT57" s="3"/>
      <c r="TU57" s="3"/>
      <c r="TV57" s="3"/>
      <c r="TW57" s="3"/>
      <c r="TX57" s="3"/>
      <c r="TY57" s="3"/>
      <c r="TZ57" s="3"/>
      <c r="UA57" s="3"/>
      <c r="UB57" s="3"/>
      <c r="UC57" s="3"/>
      <c r="UD57" s="3"/>
      <c r="UE57" s="3"/>
      <c r="UF57" s="3"/>
      <c r="UG57" s="3"/>
      <c r="UH57" s="3"/>
      <c r="UI57" s="3"/>
      <c r="UJ57" s="3"/>
      <c r="UK57" s="3"/>
      <c r="UL57" s="3"/>
      <c r="UM57" s="3"/>
      <c r="UN57" s="3"/>
      <c r="UO57" s="3"/>
      <c r="UP57" s="3"/>
      <c r="UQ57" s="3"/>
      <c r="UR57" s="3"/>
      <c r="US57" s="3"/>
      <c r="UT57" s="3"/>
      <c r="UU57" s="3"/>
      <c r="UV57" s="3"/>
      <c r="UW57" s="3"/>
      <c r="UX57" s="3"/>
      <c r="UY57" s="3"/>
      <c r="UZ57" s="3"/>
      <c r="VA57" s="3"/>
      <c r="VB57" s="3"/>
      <c r="VC57" s="3"/>
      <c r="VD57" s="3"/>
      <c r="VE57" s="3"/>
      <c r="VF57" s="3"/>
      <c r="VG57" s="3"/>
      <c r="VH57" s="3"/>
      <c r="VI57" s="3"/>
      <c r="VJ57" s="3"/>
      <c r="VK57" s="3"/>
      <c r="VL57" s="3"/>
      <c r="VM57" s="3"/>
      <c r="VN57" s="3"/>
      <c r="VO57" s="3"/>
      <c r="VP57" s="3"/>
      <c r="VQ57" s="3"/>
      <c r="VR57" s="3"/>
      <c r="VS57" s="3"/>
      <c r="VT57" s="3"/>
      <c r="VU57" s="3"/>
      <c r="VV57" s="3"/>
      <c r="VW57" s="3"/>
      <c r="VX57" s="3"/>
      <c r="VY57" s="3"/>
      <c r="VZ57" s="3"/>
      <c r="WA57" s="3"/>
      <c r="WB57" s="3"/>
      <c r="WC57" s="3"/>
      <c r="WD57" s="3"/>
      <c r="WE57" s="3"/>
      <c r="WF57" s="3"/>
      <c r="WG57" s="3"/>
      <c r="WH57" s="3"/>
      <c r="WI57" s="3"/>
      <c r="WJ57" s="3"/>
      <c r="WK57" s="3"/>
      <c r="WL57" s="3"/>
      <c r="WM57" s="3"/>
      <c r="WN57" s="3"/>
      <c r="WO57" s="3"/>
      <c r="WP57" s="3"/>
      <c r="WQ57" s="3"/>
      <c r="WR57" s="3"/>
      <c r="WS57" s="3"/>
      <c r="WT57" s="3"/>
      <c r="WU57" s="3"/>
      <c r="WV57" s="3"/>
      <c r="WW57" s="3"/>
      <c r="WX57" s="3"/>
      <c r="WY57" s="3"/>
      <c r="WZ57" s="3"/>
      <c r="XA57" s="3"/>
      <c r="XB57" s="3"/>
      <c r="XC57" s="3"/>
      <c r="XD57" s="3"/>
      <c r="XE57" s="3"/>
      <c r="XF57" s="3"/>
      <c r="XG57" s="3"/>
      <c r="XH57" s="3"/>
      <c r="XI57" s="3"/>
      <c r="XJ57" s="3"/>
      <c r="XK57" s="3"/>
      <c r="XL57" s="3"/>
      <c r="XM57" s="3"/>
      <c r="XN57" s="3"/>
      <c r="XO57" s="3"/>
      <c r="XP57" s="3"/>
      <c r="XQ57" s="3"/>
      <c r="XR57" s="3"/>
      <c r="XS57" s="3"/>
      <c r="XT57" s="3"/>
      <c r="XU57" s="3"/>
      <c r="XV57" s="3"/>
      <c r="XW57" s="3"/>
      <c r="XX57" s="3"/>
      <c r="XY57" s="3"/>
      <c r="XZ57" s="3"/>
      <c r="YA57" s="3"/>
      <c r="YB57" s="3"/>
      <c r="YC57" s="3"/>
      <c r="YD57" s="3"/>
      <c r="YE57" s="3"/>
      <c r="YF57" s="3"/>
      <c r="YG57" s="3"/>
      <c r="YH57" s="3"/>
      <c r="YI57" s="3"/>
      <c r="YJ57" s="3"/>
      <c r="YK57" s="3"/>
      <c r="YL57" s="3"/>
      <c r="YM57" s="3"/>
      <c r="YN57" s="3"/>
      <c r="YO57" s="3"/>
      <c r="YP57" s="3"/>
      <c r="YQ57" s="3"/>
      <c r="YR57" s="3"/>
      <c r="YS57" s="3"/>
      <c r="YT57" s="3"/>
      <c r="YU57" s="3"/>
      <c r="YV57" s="3"/>
      <c r="YW57" s="3"/>
      <c r="YX57" s="3"/>
      <c r="YY57" s="3"/>
      <c r="YZ57" s="3"/>
      <c r="ZA57" s="3"/>
      <c r="ZB57" s="3"/>
      <c r="ZC57" s="3"/>
    </row>
    <row r="58" spans="1:679" s="2" customFormat="1" x14ac:dyDescent="0.45">
      <c r="A58" s="3" t="s">
        <v>11</v>
      </c>
      <c r="B58" s="4">
        <v>31260</v>
      </c>
      <c r="C58" s="7" t="s">
        <v>25</v>
      </c>
      <c r="D58" s="6" t="s">
        <v>72</v>
      </c>
      <c r="E58" s="3"/>
      <c r="F58" s="3">
        <v>2</v>
      </c>
      <c r="L58" s="3"/>
      <c r="M58" s="3"/>
      <c r="N58" s="48"/>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c r="EU58" s="3"/>
      <c r="EV58" s="3"/>
      <c r="EW58" s="3"/>
      <c r="EX58" s="3"/>
      <c r="EY58" s="3"/>
      <c r="EZ58" s="3"/>
      <c r="FA58" s="3"/>
      <c r="FB58" s="3"/>
      <c r="FC58" s="3"/>
      <c r="FD58" s="3"/>
      <c r="FE58" s="3"/>
      <c r="FF58" s="3"/>
      <c r="FG58" s="3"/>
      <c r="FH58" s="3"/>
      <c r="FI58" s="3"/>
      <c r="FJ58" s="3"/>
      <c r="FK58" s="3"/>
      <c r="FL58" s="3"/>
      <c r="FM58" s="3"/>
      <c r="FN58" s="3"/>
      <c r="FO58" s="3"/>
      <c r="FP58" s="3"/>
      <c r="FQ58" s="3"/>
      <c r="FR58" s="3"/>
      <c r="FS58" s="3"/>
      <c r="FT58" s="3"/>
      <c r="FU58" s="3"/>
      <c r="FV58" s="3"/>
      <c r="FW58" s="3"/>
      <c r="FX58" s="3"/>
      <c r="FY58" s="3"/>
      <c r="FZ58" s="3"/>
      <c r="GA58" s="3"/>
      <c r="GB58" s="3"/>
      <c r="GC58" s="3"/>
      <c r="GD58" s="3"/>
      <c r="GE58" s="3"/>
      <c r="GF58" s="3"/>
      <c r="GG58" s="3"/>
      <c r="GH58" s="3"/>
      <c r="GI58" s="3"/>
      <c r="GJ58" s="3"/>
      <c r="GK58" s="3"/>
      <c r="GL58" s="3"/>
      <c r="GM58" s="3"/>
      <c r="GN58" s="3"/>
      <c r="GO58" s="3"/>
      <c r="GP58" s="3"/>
      <c r="GQ58" s="3"/>
      <c r="GR58" s="3"/>
      <c r="GS58" s="3"/>
      <c r="GT58" s="3"/>
      <c r="GU58" s="3"/>
      <c r="GV58" s="3"/>
      <c r="GW58" s="3"/>
      <c r="GX58" s="3"/>
      <c r="GY58" s="3"/>
      <c r="GZ58" s="3"/>
      <c r="HA58" s="3"/>
      <c r="HB58" s="3"/>
      <c r="HC58" s="3"/>
      <c r="HD58" s="3"/>
      <c r="HE58" s="3"/>
      <c r="HF58" s="3"/>
      <c r="HG58" s="3"/>
      <c r="HH58" s="3"/>
      <c r="HI58" s="3"/>
      <c r="HJ58" s="3"/>
      <c r="HK58" s="3"/>
      <c r="HL58" s="3"/>
      <c r="HM58" s="3"/>
      <c r="HN58" s="3"/>
      <c r="HO58" s="3"/>
      <c r="HP58" s="3"/>
      <c r="HQ58" s="3"/>
      <c r="HR58" s="3"/>
      <c r="HS58" s="3"/>
      <c r="HT58" s="3"/>
      <c r="HU58" s="3"/>
      <c r="HV58" s="3"/>
      <c r="HW58" s="3"/>
      <c r="HX58" s="3"/>
      <c r="HY58" s="3"/>
      <c r="HZ58" s="3"/>
      <c r="IA58" s="3"/>
      <c r="IB58" s="3"/>
      <c r="IC58" s="3"/>
      <c r="ID58" s="3"/>
      <c r="IE58" s="3"/>
      <c r="IF58" s="3"/>
      <c r="IG58" s="3"/>
      <c r="IH58" s="3"/>
      <c r="II58" s="3"/>
      <c r="IJ58" s="3"/>
      <c r="IK58" s="3"/>
      <c r="IL58" s="3"/>
      <c r="IM58" s="3"/>
      <c r="IN58" s="3"/>
      <c r="IO58" s="3"/>
      <c r="IP58" s="3"/>
      <c r="IQ58" s="3"/>
      <c r="IR58" s="3"/>
      <c r="IS58" s="3"/>
      <c r="IT58" s="3"/>
      <c r="IU58" s="3"/>
      <c r="IV58" s="3"/>
      <c r="IW58" s="3"/>
      <c r="IX58" s="3"/>
      <c r="IY58" s="3"/>
      <c r="IZ58" s="3"/>
      <c r="JA58" s="3"/>
      <c r="JB58" s="3"/>
      <c r="JC58" s="3"/>
      <c r="JD58" s="3"/>
      <c r="JE58" s="3"/>
      <c r="JF58" s="3"/>
      <c r="JG58" s="3"/>
      <c r="JH58" s="3"/>
      <c r="JI58" s="3"/>
      <c r="JJ58" s="3"/>
      <c r="JK58" s="3"/>
      <c r="JL58" s="3"/>
      <c r="JM58" s="3"/>
      <c r="JN58" s="3"/>
      <c r="JO58" s="3"/>
      <c r="JP58" s="3"/>
      <c r="JQ58" s="3"/>
      <c r="JR58" s="3"/>
      <c r="JS58" s="3"/>
      <c r="JT58" s="3"/>
      <c r="JU58" s="3"/>
      <c r="JV58" s="3"/>
      <c r="JW58" s="3"/>
      <c r="JX58" s="3"/>
      <c r="JY58" s="3"/>
      <c r="JZ58" s="3"/>
      <c r="KA58" s="3"/>
      <c r="KB58" s="3"/>
      <c r="KC58" s="3"/>
      <c r="KD58" s="3"/>
      <c r="KE58" s="3"/>
      <c r="KF58" s="3"/>
      <c r="KG58" s="3"/>
      <c r="KH58" s="3"/>
      <c r="KI58" s="3"/>
      <c r="KJ58" s="3"/>
      <c r="KK58" s="3"/>
      <c r="KL58" s="3"/>
      <c r="KM58" s="3"/>
      <c r="KN58" s="3"/>
      <c r="KO58" s="3"/>
      <c r="KP58" s="3"/>
      <c r="KQ58" s="3"/>
      <c r="KR58" s="3"/>
      <c r="KS58" s="3"/>
      <c r="KT58" s="3"/>
      <c r="KU58" s="3"/>
      <c r="KV58" s="3"/>
      <c r="KW58" s="3"/>
      <c r="KX58" s="3"/>
      <c r="KY58" s="3"/>
      <c r="KZ58" s="3"/>
      <c r="LA58" s="3"/>
      <c r="LB58" s="3"/>
      <c r="LC58" s="3"/>
      <c r="LD58" s="3"/>
      <c r="LE58" s="3"/>
      <c r="LF58" s="3"/>
      <c r="LG58" s="3"/>
      <c r="LH58" s="3"/>
      <c r="LI58" s="3"/>
      <c r="LJ58" s="3"/>
      <c r="LK58" s="3"/>
      <c r="LL58" s="3"/>
      <c r="LM58" s="3"/>
      <c r="LN58" s="3"/>
      <c r="LO58" s="3"/>
      <c r="LP58" s="3"/>
      <c r="LQ58" s="3"/>
      <c r="LR58" s="3"/>
      <c r="LS58" s="3"/>
      <c r="LT58" s="3"/>
      <c r="LU58" s="3"/>
      <c r="LV58" s="3"/>
      <c r="LW58" s="3"/>
      <c r="LX58" s="3"/>
      <c r="LY58" s="3"/>
      <c r="LZ58" s="3"/>
      <c r="MA58" s="3"/>
      <c r="MB58" s="3"/>
      <c r="MC58" s="3"/>
      <c r="MD58" s="3"/>
      <c r="ME58" s="3"/>
      <c r="MF58" s="3"/>
      <c r="MG58" s="3"/>
      <c r="MH58" s="3"/>
      <c r="MI58" s="3"/>
      <c r="MJ58" s="3"/>
      <c r="MK58" s="3"/>
      <c r="ML58" s="3"/>
      <c r="MM58" s="3"/>
      <c r="MN58" s="3"/>
      <c r="MO58" s="3"/>
      <c r="MP58" s="3"/>
      <c r="MQ58" s="3"/>
      <c r="MR58" s="3"/>
      <c r="MS58" s="3"/>
      <c r="MT58" s="3"/>
      <c r="MU58" s="3"/>
      <c r="MV58" s="3"/>
      <c r="MW58" s="3"/>
      <c r="MX58" s="3"/>
      <c r="MY58" s="3"/>
      <c r="MZ58" s="3"/>
      <c r="NA58" s="3"/>
      <c r="NB58" s="3"/>
      <c r="NC58" s="3"/>
      <c r="ND58" s="3"/>
      <c r="NE58" s="3"/>
      <c r="NF58" s="3"/>
      <c r="NG58" s="3"/>
      <c r="NH58" s="3"/>
      <c r="NI58" s="3"/>
      <c r="NJ58" s="3"/>
      <c r="NK58" s="3"/>
      <c r="NL58" s="3"/>
      <c r="NM58" s="3"/>
      <c r="NN58" s="3"/>
      <c r="NO58" s="3"/>
      <c r="NP58" s="3"/>
      <c r="NQ58" s="3"/>
      <c r="NR58" s="3"/>
      <c r="NS58" s="3"/>
      <c r="NT58" s="3"/>
      <c r="NU58" s="3"/>
      <c r="NV58" s="3"/>
      <c r="NW58" s="3"/>
      <c r="NX58" s="3"/>
      <c r="NY58" s="3"/>
      <c r="NZ58" s="3"/>
      <c r="OA58" s="3"/>
      <c r="OB58" s="3"/>
      <c r="OC58" s="3"/>
      <c r="OD58" s="3"/>
      <c r="OE58" s="3"/>
      <c r="OF58" s="3"/>
      <c r="OG58" s="3"/>
      <c r="OH58" s="3"/>
      <c r="OI58" s="3"/>
      <c r="OJ58" s="3"/>
      <c r="OK58" s="3"/>
      <c r="OL58" s="3"/>
      <c r="OM58" s="3"/>
      <c r="ON58" s="3"/>
      <c r="OO58" s="3"/>
      <c r="OP58" s="3"/>
      <c r="OQ58" s="3"/>
      <c r="OR58" s="3"/>
      <c r="OS58" s="3"/>
      <c r="OT58" s="3"/>
      <c r="OU58" s="3"/>
      <c r="OV58" s="3"/>
      <c r="OW58" s="3"/>
      <c r="OX58" s="3"/>
      <c r="OY58" s="3"/>
      <c r="OZ58" s="3"/>
      <c r="PA58" s="3"/>
      <c r="PB58" s="3"/>
      <c r="PC58" s="3"/>
      <c r="PD58" s="3"/>
      <c r="PE58" s="3"/>
      <c r="PF58" s="3"/>
      <c r="PG58" s="3"/>
      <c r="PH58" s="3"/>
      <c r="PI58" s="3"/>
      <c r="PJ58" s="3"/>
      <c r="PK58" s="3"/>
      <c r="PL58" s="3"/>
      <c r="PM58" s="3"/>
      <c r="PN58" s="3"/>
      <c r="PO58" s="3"/>
      <c r="PP58" s="3"/>
      <c r="PQ58" s="3"/>
      <c r="PR58" s="3"/>
      <c r="PS58" s="3"/>
      <c r="PT58" s="3"/>
      <c r="PU58" s="3"/>
      <c r="PV58" s="3"/>
      <c r="PW58" s="3"/>
      <c r="PX58" s="3"/>
      <c r="PY58" s="3"/>
      <c r="PZ58" s="3"/>
      <c r="QA58" s="3"/>
      <c r="QB58" s="3"/>
      <c r="QC58" s="3"/>
      <c r="QD58" s="3"/>
      <c r="QE58" s="3"/>
      <c r="QF58" s="3"/>
      <c r="QG58" s="3"/>
      <c r="QH58" s="3"/>
      <c r="QI58" s="3"/>
      <c r="QJ58" s="3"/>
      <c r="QK58" s="3"/>
      <c r="QL58" s="3"/>
      <c r="QM58" s="3"/>
      <c r="QN58" s="3"/>
      <c r="QO58" s="3"/>
      <c r="QP58" s="3"/>
      <c r="QQ58" s="3"/>
      <c r="QR58" s="3"/>
      <c r="QS58" s="3"/>
      <c r="QT58" s="3"/>
      <c r="QU58" s="3"/>
      <c r="QV58" s="3"/>
      <c r="QW58" s="3"/>
      <c r="QX58" s="3"/>
      <c r="QY58" s="3"/>
      <c r="QZ58" s="3"/>
      <c r="RA58" s="3"/>
      <c r="RB58" s="3"/>
      <c r="RC58" s="3"/>
      <c r="RD58" s="3"/>
      <c r="RE58" s="3"/>
      <c r="RF58" s="3"/>
      <c r="RG58" s="3"/>
      <c r="RH58" s="3"/>
      <c r="RI58" s="3"/>
      <c r="RJ58" s="3"/>
      <c r="RK58" s="3"/>
      <c r="RL58" s="3"/>
      <c r="RM58" s="3"/>
      <c r="RN58" s="3"/>
      <c r="RO58" s="3"/>
      <c r="RP58" s="3"/>
      <c r="RQ58" s="3"/>
      <c r="RR58" s="3"/>
      <c r="RS58" s="3"/>
      <c r="RT58" s="3"/>
      <c r="RU58" s="3"/>
      <c r="RV58" s="3"/>
      <c r="RW58" s="3"/>
      <c r="RX58" s="3"/>
      <c r="RY58" s="3"/>
      <c r="RZ58" s="3"/>
      <c r="SA58" s="3"/>
      <c r="SB58" s="3"/>
      <c r="SC58" s="3"/>
      <c r="SD58" s="3"/>
      <c r="SE58" s="3"/>
      <c r="SF58" s="3"/>
      <c r="SG58" s="3"/>
      <c r="SH58" s="3"/>
      <c r="SI58" s="3"/>
      <c r="SJ58" s="3"/>
      <c r="SK58" s="3"/>
      <c r="SL58" s="3"/>
      <c r="SM58" s="3"/>
      <c r="SN58" s="3"/>
      <c r="SO58" s="3"/>
      <c r="SP58" s="3"/>
      <c r="SQ58" s="3"/>
      <c r="SR58" s="3"/>
      <c r="SS58" s="3"/>
      <c r="ST58" s="3"/>
      <c r="SU58" s="3"/>
      <c r="SV58" s="3"/>
      <c r="SW58" s="3"/>
      <c r="SX58" s="3"/>
      <c r="SY58" s="3"/>
      <c r="SZ58" s="3"/>
      <c r="TA58" s="3"/>
      <c r="TB58" s="3"/>
      <c r="TC58" s="3"/>
      <c r="TD58" s="3"/>
      <c r="TE58" s="3"/>
      <c r="TF58" s="3"/>
      <c r="TG58" s="3"/>
      <c r="TH58" s="3"/>
      <c r="TI58" s="3"/>
      <c r="TJ58" s="3"/>
      <c r="TK58" s="3"/>
      <c r="TL58" s="3"/>
      <c r="TM58" s="3"/>
      <c r="TN58" s="3"/>
      <c r="TO58" s="3"/>
      <c r="TP58" s="3"/>
      <c r="TQ58" s="3"/>
      <c r="TR58" s="3"/>
      <c r="TS58" s="3"/>
      <c r="TT58" s="3"/>
      <c r="TU58" s="3"/>
      <c r="TV58" s="3"/>
      <c r="TW58" s="3"/>
      <c r="TX58" s="3"/>
      <c r="TY58" s="3"/>
      <c r="TZ58" s="3"/>
      <c r="UA58" s="3"/>
      <c r="UB58" s="3"/>
      <c r="UC58" s="3"/>
      <c r="UD58" s="3"/>
      <c r="UE58" s="3"/>
      <c r="UF58" s="3"/>
      <c r="UG58" s="3"/>
      <c r="UH58" s="3"/>
      <c r="UI58" s="3"/>
      <c r="UJ58" s="3"/>
      <c r="UK58" s="3"/>
      <c r="UL58" s="3"/>
      <c r="UM58" s="3"/>
      <c r="UN58" s="3"/>
      <c r="UO58" s="3"/>
      <c r="UP58" s="3"/>
      <c r="UQ58" s="3"/>
      <c r="UR58" s="3"/>
      <c r="US58" s="3"/>
      <c r="UT58" s="3"/>
      <c r="UU58" s="3"/>
      <c r="UV58" s="3"/>
      <c r="UW58" s="3"/>
      <c r="UX58" s="3"/>
      <c r="UY58" s="3"/>
      <c r="UZ58" s="3"/>
      <c r="VA58" s="3"/>
      <c r="VB58" s="3"/>
      <c r="VC58" s="3"/>
      <c r="VD58" s="3"/>
      <c r="VE58" s="3"/>
      <c r="VF58" s="3"/>
      <c r="VG58" s="3"/>
      <c r="VH58" s="3"/>
      <c r="VI58" s="3"/>
      <c r="VJ58" s="3"/>
      <c r="VK58" s="3"/>
      <c r="VL58" s="3"/>
      <c r="VM58" s="3"/>
      <c r="VN58" s="3"/>
      <c r="VO58" s="3"/>
      <c r="VP58" s="3"/>
      <c r="VQ58" s="3"/>
      <c r="VR58" s="3"/>
      <c r="VS58" s="3"/>
      <c r="VT58" s="3"/>
      <c r="VU58" s="3"/>
      <c r="VV58" s="3"/>
      <c r="VW58" s="3"/>
      <c r="VX58" s="3"/>
      <c r="VY58" s="3"/>
      <c r="VZ58" s="3"/>
      <c r="WA58" s="3"/>
      <c r="WB58" s="3"/>
      <c r="WC58" s="3"/>
      <c r="WD58" s="3"/>
      <c r="WE58" s="3"/>
      <c r="WF58" s="3"/>
      <c r="WG58" s="3"/>
      <c r="WH58" s="3"/>
      <c r="WI58" s="3"/>
      <c r="WJ58" s="3"/>
      <c r="WK58" s="3"/>
      <c r="WL58" s="3"/>
      <c r="WM58" s="3"/>
      <c r="WN58" s="3"/>
      <c r="WO58" s="3"/>
      <c r="WP58" s="3"/>
      <c r="WQ58" s="3"/>
      <c r="WR58" s="3"/>
      <c r="WS58" s="3"/>
      <c r="WT58" s="3"/>
      <c r="WU58" s="3"/>
      <c r="WV58" s="3"/>
      <c r="WW58" s="3"/>
      <c r="WX58" s="3"/>
      <c r="WY58" s="3"/>
      <c r="WZ58" s="3"/>
      <c r="XA58" s="3"/>
      <c r="XB58" s="3"/>
      <c r="XC58" s="3"/>
      <c r="XD58" s="3"/>
      <c r="XE58" s="3"/>
      <c r="XF58" s="3"/>
      <c r="XG58" s="3"/>
      <c r="XH58" s="3"/>
      <c r="XI58" s="3"/>
      <c r="XJ58" s="3"/>
      <c r="XK58" s="3"/>
      <c r="XL58" s="3"/>
      <c r="XM58" s="3"/>
      <c r="XN58" s="3"/>
      <c r="XO58" s="3"/>
      <c r="XP58" s="3"/>
      <c r="XQ58" s="3"/>
      <c r="XR58" s="3"/>
      <c r="XS58" s="3"/>
      <c r="XT58" s="3"/>
      <c r="XU58" s="3"/>
      <c r="XV58" s="3"/>
      <c r="XW58" s="3"/>
      <c r="XX58" s="3"/>
      <c r="XY58" s="3"/>
      <c r="XZ58" s="3"/>
      <c r="YA58" s="3"/>
      <c r="YB58" s="3"/>
      <c r="YC58" s="3"/>
      <c r="YD58" s="3"/>
      <c r="YE58" s="3"/>
      <c r="YF58" s="3"/>
      <c r="YG58" s="3"/>
      <c r="YH58" s="3"/>
      <c r="YI58" s="3"/>
      <c r="YJ58" s="3"/>
      <c r="YK58" s="3"/>
      <c r="YL58" s="3"/>
      <c r="YM58" s="3"/>
      <c r="YN58" s="3"/>
      <c r="YO58" s="3"/>
      <c r="YP58" s="3"/>
      <c r="YQ58" s="3"/>
      <c r="YR58" s="3"/>
      <c r="YS58" s="3"/>
      <c r="YT58" s="3"/>
      <c r="YU58" s="3"/>
      <c r="YV58" s="3"/>
      <c r="YW58" s="3"/>
      <c r="YX58" s="3"/>
      <c r="YY58" s="3"/>
      <c r="YZ58" s="3"/>
      <c r="ZA58" s="3"/>
      <c r="ZB58" s="3"/>
      <c r="ZC58" s="3"/>
    </row>
    <row r="59" spans="1:679" s="2" customFormat="1" x14ac:dyDescent="0.45">
      <c r="A59" s="3" t="s">
        <v>11</v>
      </c>
      <c r="B59" s="4">
        <v>31273</v>
      </c>
      <c r="C59" s="7" t="s">
        <v>25</v>
      </c>
      <c r="D59" s="6" t="s">
        <v>73</v>
      </c>
      <c r="E59" s="3"/>
      <c r="F59" s="3">
        <v>28</v>
      </c>
      <c r="L59" s="3"/>
      <c r="M59" s="3"/>
      <c r="N59" s="48"/>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c r="DN59" s="3"/>
      <c r="DO59" s="3"/>
      <c r="DP59" s="3"/>
      <c r="DQ59" s="3"/>
      <c r="DR59" s="3"/>
      <c r="DS59" s="3"/>
      <c r="DT59" s="3"/>
      <c r="DU59" s="3"/>
      <c r="DV59" s="3"/>
      <c r="DW59" s="3"/>
      <c r="DX59" s="3"/>
      <c r="DY59" s="3"/>
      <c r="DZ59" s="3"/>
      <c r="EA59" s="3"/>
      <c r="EB59" s="3"/>
      <c r="EC59" s="3"/>
      <c r="ED59" s="3"/>
      <c r="EE59" s="3"/>
      <c r="EF59" s="3"/>
      <c r="EG59" s="3"/>
      <c r="EH59" s="3"/>
      <c r="EI59" s="3"/>
      <c r="EJ59" s="3"/>
      <c r="EK59" s="3"/>
      <c r="EL59" s="3"/>
      <c r="EM59" s="3"/>
      <c r="EN59" s="3"/>
      <c r="EO59" s="3"/>
      <c r="EP59" s="3"/>
      <c r="EQ59" s="3"/>
      <c r="ER59" s="3"/>
      <c r="ES59" s="3"/>
      <c r="ET59" s="3"/>
      <c r="EU59" s="3"/>
      <c r="EV59" s="3"/>
      <c r="EW59" s="3"/>
      <c r="EX59" s="3"/>
      <c r="EY59" s="3"/>
      <c r="EZ59" s="3"/>
      <c r="FA59" s="3"/>
      <c r="FB59" s="3"/>
      <c r="FC59" s="3"/>
      <c r="FD59" s="3"/>
      <c r="FE59" s="3"/>
      <c r="FF59" s="3"/>
      <c r="FG59" s="3"/>
      <c r="FH59" s="3"/>
      <c r="FI59" s="3"/>
      <c r="FJ59" s="3"/>
      <c r="FK59" s="3"/>
      <c r="FL59" s="3"/>
      <c r="FM59" s="3"/>
      <c r="FN59" s="3"/>
      <c r="FO59" s="3"/>
      <c r="FP59" s="3"/>
      <c r="FQ59" s="3"/>
      <c r="FR59" s="3"/>
      <c r="FS59" s="3"/>
      <c r="FT59" s="3"/>
      <c r="FU59" s="3"/>
      <c r="FV59" s="3"/>
      <c r="FW59" s="3"/>
      <c r="FX59" s="3"/>
      <c r="FY59" s="3"/>
      <c r="FZ59" s="3"/>
      <c r="GA59" s="3"/>
      <c r="GB59" s="3"/>
      <c r="GC59" s="3"/>
      <c r="GD59" s="3"/>
      <c r="GE59" s="3"/>
      <c r="GF59" s="3"/>
      <c r="GG59" s="3"/>
      <c r="GH59" s="3"/>
      <c r="GI59" s="3"/>
      <c r="GJ59" s="3"/>
      <c r="GK59" s="3"/>
      <c r="GL59" s="3"/>
      <c r="GM59" s="3"/>
      <c r="GN59" s="3"/>
      <c r="GO59" s="3"/>
      <c r="GP59" s="3"/>
      <c r="GQ59" s="3"/>
      <c r="GR59" s="3"/>
      <c r="GS59" s="3"/>
      <c r="GT59" s="3"/>
      <c r="GU59" s="3"/>
      <c r="GV59" s="3"/>
      <c r="GW59" s="3"/>
      <c r="GX59" s="3"/>
      <c r="GY59" s="3"/>
      <c r="GZ59" s="3"/>
      <c r="HA59" s="3"/>
      <c r="HB59" s="3"/>
      <c r="HC59" s="3"/>
      <c r="HD59" s="3"/>
      <c r="HE59" s="3"/>
      <c r="HF59" s="3"/>
      <c r="HG59" s="3"/>
      <c r="HH59" s="3"/>
      <c r="HI59" s="3"/>
      <c r="HJ59" s="3"/>
      <c r="HK59" s="3"/>
      <c r="HL59" s="3"/>
      <c r="HM59" s="3"/>
      <c r="HN59" s="3"/>
      <c r="HO59" s="3"/>
      <c r="HP59" s="3"/>
      <c r="HQ59" s="3"/>
      <c r="HR59" s="3"/>
      <c r="HS59" s="3"/>
      <c r="HT59" s="3"/>
      <c r="HU59" s="3"/>
      <c r="HV59" s="3"/>
      <c r="HW59" s="3"/>
      <c r="HX59" s="3"/>
      <c r="HY59" s="3"/>
      <c r="HZ59" s="3"/>
      <c r="IA59" s="3"/>
      <c r="IB59" s="3"/>
      <c r="IC59" s="3"/>
      <c r="ID59" s="3"/>
      <c r="IE59" s="3"/>
      <c r="IF59" s="3"/>
      <c r="IG59" s="3"/>
      <c r="IH59" s="3"/>
      <c r="II59" s="3"/>
      <c r="IJ59" s="3"/>
      <c r="IK59" s="3"/>
      <c r="IL59" s="3"/>
      <c r="IM59" s="3"/>
      <c r="IN59" s="3"/>
      <c r="IO59" s="3"/>
      <c r="IP59" s="3"/>
      <c r="IQ59" s="3"/>
      <c r="IR59" s="3"/>
      <c r="IS59" s="3"/>
      <c r="IT59" s="3"/>
      <c r="IU59" s="3"/>
      <c r="IV59" s="3"/>
      <c r="IW59" s="3"/>
      <c r="IX59" s="3"/>
      <c r="IY59" s="3"/>
      <c r="IZ59" s="3"/>
      <c r="JA59" s="3"/>
      <c r="JB59" s="3"/>
      <c r="JC59" s="3"/>
      <c r="JD59" s="3"/>
      <c r="JE59" s="3"/>
      <c r="JF59" s="3"/>
      <c r="JG59" s="3"/>
      <c r="JH59" s="3"/>
      <c r="JI59" s="3"/>
      <c r="JJ59" s="3"/>
      <c r="JK59" s="3"/>
      <c r="JL59" s="3"/>
      <c r="JM59" s="3"/>
      <c r="JN59" s="3"/>
      <c r="JO59" s="3"/>
      <c r="JP59" s="3"/>
      <c r="JQ59" s="3"/>
      <c r="JR59" s="3"/>
      <c r="JS59" s="3"/>
      <c r="JT59" s="3"/>
      <c r="JU59" s="3"/>
      <c r="JV59" s="3"/>
      <c r="JW59" s="3"/>
      <c r="JX59" s="3"/>
      <c r="JY59" s="3"/>
      <c r="JZ59" s="3"/>
      <c r="KA59" s="3"/>
      <c r="KB59" s="3"/>
      <c r="KC59" s="3"/>
      <c r="KD59" s="3"/>
      <c r="KE59" s="3"/>
      <c r="KF59" s="3"/>
      <c r="KG59" s="3"/>
      <c r="KH59" s="3"/>
      <c r="KI59" s="3"/>
      <c r="KJ59" s="3"/>
      <c r="KK59" s="3"/>
      <c r="KL59" s="3"/>
      <c r="KM59" s="3"/>
      <c r="KN59" s="3"/>
      <c r="KO59" s="3"/>
      <c r="KP59" s="3"/>
      <c r="KQ59" s="3"/>
      <c r="KR59" s="3"/>
      <c r="KS59" s="3"/>
      <c r="KT59" s="3"/>
      <c r="KU59" s="3"/>
      <c r="KV59" s="3"/>
      <c r="KW59" s="3"/>
      <c r="KX59" s="3"/>
      <c r="KY59" s="3"/>
      <c r="KZ59" s="3"/>
      <c r="LA59" s="3"/>
      <c r="LB59" s="3"/>
      <c r="LC59" s="3"/>
      <c r="LD59" s="3"/>
      <c r="LE59" s="3"/>
      <c r="LF59" s="3"/>
      <c r="LG59" s="3"/>
      <c r="LH59" s="3"/>
      <c r="LI59" s="3"/>
      <c r="LJ59" s="3"/>
      <c r="LK59" s="3"/>
      <c r="LL59" s="3"/>
      <c r="LM59" s="3"/>
      <c r="LN59" s="3"/>
      <c r="LO59" s="3"/>
      <c r="LP59" s="3"/>
      <c r="LQ59" s="3"/>
      <c r="LR59" s="3"/>
      <c r="LS59" s="3"/>
      <c r="LT59" s="3"/>
      <c r="LU59" s="3"/>
      <c r="LV59" s="3"/>
      <c r="LW59" s="3"/>
      <c r="LX59" s="3"/>
      <c r="LY59" s="3"/>
      <c r="LZ59" s="3"/>
      <c r="MA59" s="3"/>
      <c r="MB59" s="3"/>
      <c r="MC59" s="3"/>
      <c r="MD59" s="3"/>
      <c r="ME59" s="3"/>
      <c r="MF59" s="3"/>
      <c r="MG59" s="3"/>
      <c r="MH59" s="3"/>
      <c r="MI59" s="3"/>
      <c r="MJ59" s="3"/>
      <c r="MK59" s="3"/>
      <c r="ML59" s="3"/>
      <c r="MM59" s="3"/>
      <c r="MN59" s="3"/>
      <c r="MO59" s="3"/>
      <c r="MP59" s="3"/>
      <c r="MQ59" s="3"/>
      <c r="MR59" s="3"/>
      <c r="MS59" s="3"/>
      <c r="MT59" s="3"/>
      <c r="MU59" s="3"/>
      <c r="MV59" s="3"/>
      <c r="MW59" s="3"/>
      <c r="MX59" s="3"/>
      <c r="MY59" s="3"/>
      <c r="MZ59" s="3"/>
      <c r="NA59" s="3"/>
      <c r="NB59" s="3"/>
      <c r="NC59" s="3"/>
      <c r="ND59" s="3"/>
      <c r="NE59" s="3"/>
      <c r="NF59" s="3"/>
      <c r="NG59" s="3"/>
      <c r="NH59" s="3"/>
      <c r="NI59" s="3"/>
      <c r="NJ59" s="3"/>
      <c r="NK59" s="3"/>
      <c r="NL59" s="3"/>
      <c r="NM59" s="3"/>
      <c r="NN59" s="3"/>
      <c r="NO59" s="3"/>
      <c r="NP59" s="3"/>
      <c r="NQ59" s="3"/>
      <c r="NR59" s="3"/>
      <c r="NS59" s="3"/>
      <c r="NT59" s="3"/>
      <c r="NU59" s="3"/>
      <c r="NV59" s="3"/>
      <c r="NW59" s="3"/>
      <c r="NX59" s="3"/>
      <c r="NY59" s="3"/>
      <c r="NZ59" s="3"/>
      <c r="OA59" s="3"/>
      <c r="OB59" s="3"/>
      <c r="OC59" s="3"/>
      <c r="OD59" s="3"/>
      <c r="OE59" s="3"/>
      <c r="OF59" s="3"/>
      <c r="OG59" s="3"/>
      <c r="OH59" s="3"/>
      <c r="OI59" s="3"/>
      <c r="OJ59" s="3"/>
      <c r="OK59" s="3"/>
      <c r="OL59" s="3"/>
      <c r="OM59" s="3"/>
      <c r="ON59" s="3"/>
      <c r="OO59" s="3"/>
      <c r="OP59" s="3"/>
      <c r="OQ59" s="3"/>
      <c r="OR59" s="3"/>
      <c r="OS59" s="3"/>
      <c r="OT59" s="3"/>
      <c r="OU59" s="3"/>
      <c r="OV59" s="3"/>
      <c r="OW59" s="3"/>
      <c r="OX59" s="3"/>
      <c r="OY59" s="3"/>
      <c r="OZ59" s="3"/>
      <c r="PA59" s="3"/>
      <c r="PB59" s="3"/>
      <c r="PC59" s="3"/>
      <c r="PD59" s="3"/>
      <c r="PE59" s="3"/>
      <c r="PF59" s="3"/>
      <c r="PG59" s="3"/>
      <c r="PH59" s="3"/>
      <c r="PI59" s="3"/>
      <c r="PJ59" s="3"/>
      <c r="PK59" s="3"/>
      <c r="PL59" s="3"/>
      <c r="PM59" s="3"/>
      <c r="PN59" s="3"/>
      <c r="PO59" s="3"/>
      <c r="PP59" s="3"/>
      <c r="PQ59" s="3"/>
      <c r="PR59" s="3"/>
      <c r="PS59" s="3"/>
      <c r="PT59" s="3"/>
      <c r="PU59" s="3"/>
      <c r="PV59" s="3"/>
      <c r="PW59" s="3"/>
      <c r="PX59" s="3"/>
      <c r="PY59" s="3"/>
      <c r="PZ59" s="3"/>
      <c r="QA59" s="3"/>
      <c r="QB59" s="3"/>
      <c r="QC59" s="3"/>
      <c r="QD59" s="3"/>
      <c r="QE59" s="3"/>
      <c r="QF59" s="3"/>
      <c r="QG59" s="3"/>
      <c r="QH59" s="3"/>
      <c r="QI59" s="3"/>
      <c r="QJ59" s="3"/>
      <c r="QK59" s="3"/>
      <c r="QL59" s="3"/>
      <c r="QM59" s="3"/>
      <c r="QN59" s="3"/>
      <c r="QO59" s="3"/>
      <c r="QP59" s="3"/>
      <c r="QQ59" s="3"/>
      <c r="QR59" s="3"/>
      <c r="QS59" s="3"/>
      <c r="QT59" s="3"/>
      <c r="QU59" s="3"/>
      <c r="QV59" s="3"/>
      <c r="QW59" s="3"/>
      <c r="QX59" s="3"/>
      <c r="QY59" s="3"/>
      <c r="QZ59" s="3"/>
      <c r="RA59" s="3"/>
      <c r="RB59" s="3"/>
      <c r="RC59" s="3"/>
      <c r="RD59" s="3"/>
      <c r="RE59" s="3"/>
      <c r="RF59" s="3"/>
      <c r="RG59" s="3"/>
      <c r="RH59" s="3"/>
      <c r="RI59" s="3"/>
      <c r="RJ59" s="3"/>
      <c r="RK59" s="3"/>
      <c r="RL59" s="3"/>
      <c r="RM59" s="3"/>
      <c r="RN59" s="3"/>
      <c r="RO59" s="3"/>
      <c r="RP59" s="3"/>
      <c r="RQ59" s="3"/>
      <c r="RR59" s="3"/>
      <c r="RS59" s="3"/>
      <c r="RT59" s="3"/>
      <c r="RU59" s="3"/>
      <c r="RV59" s="3"/>
      <c r="RW59" s="3"/>
      <c r="RX59" s="3"/>
      <c r="RY59" s="3"/>
      <c r="RZ59" s="3"/>
      <c r="SA59" s="3"/>
      <c r="SB59" s="3"/>
      <c r="SC59" s="3"/>
      <c r="SD59" s="3"/>
      <c r="SE59" s="3"/>
      <c r="SF59" s="3"/>
      <c r="SG59" s="3"/>
      <c r="SH59" s="3"/>
      <c r="SI59" s="3"/>
      <c r="SJ59" s="3"/>
      <c r="SK59" s="3"/>
      <c r="SL59" s="3"/>
      <c r="SM59" s="3"/>
      <c r="SN59" s="3"/>
      <c r="SO59" s="3"/>
      <c r="SP59" s="3"/>
      <c r="SQ59" s="3"/>
      <c r="SR59" s="3"/>
      <c r="SS59" s="3"/>
      <c r="ST59" s="3"/>
      <c r="SU59" s="3"/>
      <c r="SV59" s="3"/>
      <c r="SW59" s="3"/>
      <c r="SX59" s="3"/>
      <c r="SY59" s="3"/>
      <c r="SZ59" s="3"/>
      <c r="TA59" s="3"/>
      <c r="TB59" s="3"/>
      <c r="TC59" s="3"/>
      <c r="TD59" s="3"/>
      <c r="TE59" s="3"/>
      <c r="TF59" s="3"/>
      <c r="TG59" s="3"/>
      <c r="TH59" s="3"/>
      <c r="TI59" s="3"/>
      <c r="TJ59" s="3"/>
      <c r="TK59" s="3"/>
      <c r="TL59" s="3"/>
      <c r="TM59" s="3"/>
      <c r="TN59" s="3"/>
      <c r="TO59" s="3"/>
      <c r="TP59" s="3"/>
      <c r="TQ59" s="3"/>
      <c r="TR59" s="3"/>
      <c r="TS59" s="3"/>
      <c r="TT59" s="3"/>
      <c r="TU59" s="3"/>
      <c r="TV59" s="3"/>
      <c r="TW59" s="3"/>
      <c r="TX59" s="3"/>
      <c r="TY59" s="3"/>
      <c r="TZ59" s="3"/>
      <c r="UA59" s="3"/>
      <c r="UB59" s="3"/>
      <c r="UC59" s="3"/>
      <c r="UD59" s="3"/>
      <c r="UE59" s="3"/>
      <c r="UF59" s="3"/>
      <c r="UG59" s="3"/>
      <c r="UH59" s="3"/>
      <c r="UI59" s="3"/>
      <c r="UJ59" s="3"/>
      <c r="UK59" s="3"/>
      <c r="UL59" s="3"/>
      <c r="UM59" s="3"/>
      <c r="UN59" s="3"/>
      <c r="UO59" s="3"/>
      <c r="UP59" s="3"/>
      <c r="UQ59" s="3"/>
      <c r="UR59" s="3"/>
      <c r="US59" s="3"/>
      <c r="UT59" s="3"/>
      <c r="UU59" s="3"/>
      <c r="UV59" s="3"/>
      <c r="UW59" s="3"/>
      <c r="UX59" s="3"/>
      <c r="UY59" s="3"/>
      <c r="UZ59" s="3"/>
      <c r="VA59" s="3"/>
      <c r="VB59" s="3"/>
      <c r="VC59" s="3"/>
      <c r="VD59" s="3"/>
      <c r="VE59" s="3"/>
      <c r="VF59" s="3"/>
      <c r="VG59" s="3"/>
      <c r="VH59" s="3"/>
      <c r="VI59" s="3"/>
      <c r="VJ59" s="3"/>
      <c r="VK59" s="3"/>
      <c r="VL59" s="3"/>
      <c r="VM59" s="3"/>
      <c r="VN59" s="3"/>
      <c r="VO59" s="3"/>
      <c r="VP59" s="3"/>
      <c r="VQ59" s="3"/>
      <c r="VR59" s="3"/>
      <c r="VS59" s="3"/>
      <c r="VT59" s="3"/>
      <c r="VU59" s="3"/>
      <c r="VV59" s="3"/>
      <c r="VW59" s="3"/>
      <c r="VX59" s="3"/>
      <c r="VY59" s="3"/>
      <c r="VZ59" s="3"/>
      <c r="WA59" s="3"/>
      <c r="WB59" s="3"/>
      <c r="WC59" s="3"/>
      <c r="WD59" s="3"/>
      <c r="WE59" s="3"/>
      <c r="WF59" s="3"/>
      <c r="WG59" s="3"/>
      <c r="WH59" s="3"/>
      <c r="WI59" s="3"/>
      <c r="WJ59" s="3"/>
      <c r="WK59" s="3"/>
      <c r="WL59" s="3"/>
      <c r="WM59" s="3"/>
      <c r="WN59" s="3"/>
      <c r="WO59" s="3"/>
      <c r="WP59" s="3"/>
      <c r="WQ59" s="3"/>
      <c r="WR59" s="3"/>
      <c r="WS59" s="3"/>
      <c r="WT59" s="3"/>
      <c r="WU59" s="3"/>
      <c r="WV59" s="3"/>
      <c r="WW59" s="3"/>
      <c r="WX59" s="3"/>
      <c r="WY59" s="3"/>
      <c r="WZ59" s="3"/>
      <c r="XA59" s="3"/>
      <c r="XB59" s="3"/>
      <c r="XC59" s="3"/>
      <c r="XD59" s="3"/>
      <c r="XE59" s="3"/>
      <c r="XF59" s="3"/>
      <c r="XG59" s="3"/>
      <c r="XH59" s="3"/>
      <c r="XI59" s="3"/>
      <c r="XJ59" s="3"/>
      <c r="XK59" s="3"/>
      <c r="XL59" s="3"/>
      <c r="XM59" s="3"/>
      <c r="XN59" s="3"/>
      <c r="XO59" s="3"/>
      <c r="XP59" s="3"/>
      <c r="XQ59" s="3"/>
      <c r="XR59" s="3"/>
      <c r="XS59" s="3"/>
      <c r="XT59" s="3"/>
      <c r="XU59" s="3"/>
      <c r="XV59" s="3"/>
      <c r="XW59" s="3"/>
      <c r="XX59" s="3"/>
      <c r="XY59" s="3"/>
      <c r="XZ59" s="3"/>
      <c r="YA59" s="3"/>
      <c r="YB59" s="3"/>
      <c r="YC59" s="3"/>
      <c r="YD59" s="3"/>
      <c r="YE59" s="3"/>
      <c r="YF59" s="3"/>
      <c r="YG59" s="3"/>
      <c r="YH59" s="3"/>
      <c r="YI59" s="3"/>
      <c r="YJ59" s="3"/>
      <c r="YK59" s="3"/>
      <c r="YL59" s="3"/>
      <c r="YM59" s="3"/>
      <c r="YN59" s="3"/>
      <c r="YO59" s="3"/>
      <c r="YP59" s="3"/>
      <c r="YQ59" s="3"/>
      <c r="YR59" s="3"/>
      <c r="YS59" s="3"/>
      <c r="YT59" s="3"/>
      <c r="YU59" s="3"/>
      <c r="YV59" s="3"/>
      <c r="YW59" s="3"/>
      <c r="YX59" s="3"/>
      <c r="YY59" s="3"/>
      <c r="YZ59" s="3"/>
      <c r="ZA59" s="3"/>
      <c r="ZB59" s="3"/>
      <c r="ZC59" s="3"/>
    </row>
    <row r="60" spans="1:679" s="2" customFormat="1" x14ac:dyDescent="0.45">
      <c r="A60" s="3" t="s">
        <v>11</v>
      </c>
      <c r="B60" s="4">
        <v>31344</v>
      </c>
      <c r="C60" s="7" t="s">
        <v>25</v>
      </c>
      <c r="D60" s="6" t="s">
        <v>74</v>
      </c>
      <c r="E60" s="3"/>
      <c r="F60" s="3">
        <v>10</v>
      </c>
      <c r="L60" s="3"/>
      <c r="M60" s="3"/>
      <c r="N60" s="48"/>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c r="ES60" s="3"/>
      <c r="ET60" s="3"/>
      <c r="EU60" s="3"/>
      <c r="EV60" s="3"/>
      <c r="EW60" s="3"/>
      <c r="EX60" s="3"/>
      <c r="EY60" s="3"/>
      <c r="EZ60" s="3"/>
      <c r="FA60" s="3"/>
      <c r="FB60" s="3"/>
      <c r="FC60" s="3"/>
      <c r="FD60" s="3"/>
      <c r="FE60" s="3"/>
      <c r="FF60" s="3"/>
      <c r="FG60" s="3"/>
      <c r="FH60" s="3"/>
      <c r="FI60" s="3"/>
      <c r="FJ60" s="3"/>
      <c r="FK60" s="3"/>
      <c r="FL60" s="3"/>
      <c r="FM60" s="3"/>
      <c r="FN60" s="3"/>
      <c r="FO60" s="3"/>
      <c r="FP60" s="3"/>
      <c r="FQ60" s="3"/>
      <c r="FR60" s="3"/>
      <c r="FS60" s="3"/>
      <c r="FT60" s="3"/>
      <c r="FU60" s="3"/>
      <c r="FV60" s="3"/>
      <c r="FW60" s="3"/>
      <c r="FX60" s="3"/>
      <c r="FY60" s="3"/>
      <c r="FZ60" s="3"/>
      <c r="GA60" s="3"/>
      <c r="GB60" s="3"/>
      <c r="GC60" s="3"/>
      <c r="GD60" s="3"/>
      <c r="GE60" s="3"/>
      <c r="GF60" s="3"/>
      <c r="GG60" s="3"/>
      <c r="GH60" s="3"/>
      <c r="GI60" s="3"/>
      <c r="GJ60" s="3"/>
      <c r="GK60" s="3"/>
      <c r="GL60" s="3"/>
      <c r="GM60" s="3"/>
      <c r="GN60" s="3"/>
      <c r="GO60" s="3"/>
      <c r="GP60" s="3"/>
      <c r="GQ60" s="3"/>
      <c r="GR60" s="3"/>
      <c r="GS60" s="3"/>
      <c r="GT60" s="3"/>
      <c r="GU60" s="3"/>
      <c r="GV60" s="3"/>
      <c r="GW60" s="3"/>
      <c r="GX60" s="3"/>
      <c r="GY60" s="3"/>
      <c r="GZ60" s="3"/>
      <c r="HA60" s="3"/>
      <c r="HB60" s="3"/>
      <c r="HC60" s="3"/>
      <c r="HD60" s="3"/>
      <c r="HE60" s="3"/>
      <c r="HF60" s="3"/>
      <c r="HG60" s="3"/>
      <c r="HH60" s="3"/>
      <c r="HI60" s="3"/>
      <c r="HJ60" s="3"/>
      <c r="HK60" s="3"/>
      <c r="HL60" s="3"/>
      <c r="HM60" s="3"/>
      <c r="HN60" s="3"/>
      <c r="HO60" s="3"/>
      <c r="HP60" s="3"/>
      <c r="HQ60" s="3"/>
      <c r="HR60" s="3"/>
      <c r="HS60" s="3"/>
      <c r="HT60" s="3"/>
      <c r="HU60" s="3"/>
      <c r="HV60" s="3"/>
      <c r="HW60" s="3"/>
      <c r="HX60" s="3"/>
      <c r="HY60" s="3"/>
      <c r="HZ60" s="3"/>
      <c r="IA60" s="3"/>
      <c r="IB60" s="3"/>
      <c r="IC60" s="3"/>
      <c r="ID60" s="3"/>
      <c r="IE60" s="3"/>
      <c r="IF60" s="3"/>
      <c r="IG60" s="3"/>
      <c r="IH60" s="3"/>
      <c r="II60" s="3"/>
      <c r="IJ60" s="3"/>
      <c r="IK60" s="3"/>
      <c r="IL60" s="3"/>
      <c r="IM60" s="3"/>
      <c r="IN60" s="3"/>
      <c r="IO60" s="3"/>
      <c r="IP60" s="3"/>
      <c r="IQ60" s="3"/>
      <c r="IR60" s="3"/>
      <c r="IS60" s="3"/>
      <c r="IT60" s="3"/>
      <c r="IU60" s="3"/>
      <c r="IV60" s="3"/>
      <c r="IW60" s="3"/>
      <c r="IX60" s="3"/>
      <c r="IY60" s="3"/>
      <c r="IZ60" s="3"/>
      <c r="JA60" s="3"/>
      <c r="JB60" s="3"/>
      <c r="JC60" s="3"/>
      <c r="JD60" s="3"/>
      <c r="JE60" s="3"/>
      <c r="JF60" s="3"/>
      <c r="JG60" s="3"/>
      <c r="JH60" s="3"/>
      <c r="JI60" s="3"/>
      <c r="JJ60" s="3"/>
      <c r="JK60" s="3"/>
      <c r="JL60" s="3"/>
      <c r="JM60" s="3"/>
      <c r="JN60" s="3"/>
      <c r="JO60" s="3"/>
      <c r="JP60" s="3"/>
      <c r="JQ60" s="3"/>
      <c r="JR60" s="3"/>
      <c r="JS60" s="3"/>
      <c r="JT60" s="3"/>
      <c r="JU60" s="3"/>
      <c r="JV60" s="3"/>
      <c r="JW60" s="3"/>
      <c r="JX60" s="3"/>
      <c r="JY60" s="3"/>
      <c r="JZ60" s="3"/>
      <c r="KA60" s="3"/>
      <c r="KB60" s="3"/>
      <c r="KC60" s="3"/>
      <c r="KD60" s="3"/>
      <c r="KE60" s="3"/>
      <c r="KF60" s="3"/>
      <c r="KG60" s="3"/>
      <c r="KH60" s="3"/>
      <c r="KI60" s="3"/>
      <c r="KJ60" s="3"/>
      <c r="KK60" s="3"/>
      <c r="KL60" s="3"/>
      <c r="KM60" s="3"/>
      <c r="KN60" s="3"/>
      <c r="KO60" s="3"/>
      <c r="KP60" s="3"/>
      <c r="KQ60" s="3"/>
      <c r="KR60" s="3"/>
      <c r="KS60" s="3"/>
      <c r="KT60" s="3"/>
      <c r="KU60" s="3"/>
      <c r="KV60" s="3"/>
      <c r="KW60" s="3"/>
      <c r="KX60" s="3"/>
      <c r="KY60" s="3"/>
      <c r="KZ60" s="3"/>
      <c r="LA60" s="3"/>
      <c r="LB60" s="3"/>
      <c r="LC60" s="3"/>
      <c r="LD60" s="3"/>
      <c r="LE60" s="3"/>
      <c r="LF60" s="3"/>
      <c r="LG60" s="3"/>
      <c r="LH60" s="3"/>
      <c r="LI60" s="3"/>
      <c r="LJ60" s="3"/>
      <c r="LK60" s="3"/>
      <c r="LL60" s="3"/>
      <c r="LM60" s="3"/>
      <c r="LN60" s="3"/>
      <c r="LO60" s="3"/>
      <c r="LP60" s="3"/>
      <c r="LQ60" s="3"/>
      <c r="LR60" s="3"/>
      <c r="LS60" s="3"/>
      <c r="LT60" s="3"/>
      <c r="LU60" s="3"/>
      <c r="LV60" s="3"/>
      <c r="LW60" s="3"/>
      <c r="LX60" s="3"/>
      <c r="LY60" s="3"/>
      <c r="LZ60" s="3"/>
      <c r="MA60" s="3"/>
      <c r="MB60" s="3"/>
      <c r="MC60" s="3"/>
      <c r="MD60" s="3"/>
      <c r="ME60" s="3"/>
      <c r="MF60" s="3"/>
      <c r="MG60" s="3"/>
      <c r="MH60" s="3"/>
      <c r="MI60" s="3"/>
      <c r="MJ60" s="3"/>
      <c r="MK60" s="3"/>
      <c r="ML60" s="3"/>
      <c r="MM60" s="3"/>
      <c r="MN60" s="3"/>
      <c r="MO60" s="3"/>
      <c r="MP60" s="3"/>
      <c r="MQ60" s="3"/>
      <c r="MR60" s="3"/>
      <c r="MS60" s="3"/>
      <c r="MT60" s="3"/>
      <c r="MU60" s="3"/>
      <c r="MV60" s="3"/>
      <c r="MW60" s="3"/>
      <c r="MX60" s="3"/>
      <c r="MY60" s="3"/>
      <c r="MZ60" s="3"/>
      <c r="NA60" s="3"/>
      <c r="NB60" s="3"/>
      <c r="NC60" s="3"/>
      <c r="ND60" s="3"/>
      <c r="NE60" s="3"/>
      <c r="NF60" s="3"/>
      <c r="NG60" s="3"/>
      <c r="NH60" s="3"/>
      <c r="NI60" s="3"/>
      <c r="NJ60" s="3"/>
      <c r="NK60" s="3"/>
      <c r="NL60" s="3"/>
      <c r="NM60" s="3"/>
      <c r="NN60" s="3"/>
      <c r="NO60" s="3"/>
      <c r="NP60" s="3"/>
      <c r="NQ60" s="3"/>
      <c r="NR60" s="3"/>
      <c r="NS60" s="3"/>
      <c r="NT60" s="3"/>
      <c r="NU60" s="3"/>
      <c r="NV60" s="3"/>
      <c r="NW60" s="3"/>
      <c r="NX60" s="3"/>
      <c r="NY60" s="3"/>
      <c r="NZ60" s="3"/>
      <c r="OA60" s="3"/>
      <c r="OB60" s="3"/>
      <c r="OC60" s="3"/>
      <c r="OD60" s="3"/>
      <c r="OE60" s="3"/>
      <c r="OF60" s="3"/>
      <c r="OG60" s="3"/>
      <c r="OH60" s="3"/>
      <c r="OI60" s="3"/>
      <c r="OJ60" s="3"/>
      <c r="OK60" s="3"/>
      <c r="OL60" s="3"/>
      <c r="OM60" s="3"/>
      <c r="ON60" s="3"/>
      <c r="OO60" s="3"/>
      <c r="OP60" s="3"/>
      <c r="OQ60" s="3"/>
      <c r="OR60" s="3"/>
      <c r="OS60" s="3"/>
      <c r="OT60" s="3"/>
      <c r="OU60" s="3"/>
      <c r="OV60" s="3"/>
      <c r="OW60" s="3"/>
      <c r="OX60" s="3"/>
      <c r="OY60" s="3"/>
      <c r="OZ60" s="3"/>
      <c r="PA60" s="3"/>
      <c r="PB60" s="3"/>
      <c r="PC60" s="3"/>
      <c r="PD60" s="3"/>
      <c r="PE60" s="3"/>
      <c r="PF60" s="3"/>
      <c r="PG60" s="3"/>
      <c r="PH60" s="3"/>
      <c r="PI60" s="3"/>
      <c r="PJ60" s="3"/>
      <c r="PK60" s="3"/>
      <c r="PL60" s="3"/>
      <c r="PM60" s="3"/>
      <c r="PN60" s="3"/>
      <c r="PO60" s="3"/>
      <c r="PP60" s="3"/>
      <c r="PQ60" s="3"/>
      <c r="PR60" s="3"/>
      <c r="PS60" s="3"/>
      <c r="PT60" s="3"/>
      <c r="PU60" s="3"/>
      <c r="PV60" s="3"/>
      <c r="PW60" s="3"/>
      <c r="PX60" s="3"/>
      <c r="PY60" s="3"/>
      <c r="PZ60" s="3"/>
      <c r="QA60" s="3"/>
      <c r="QB60" s="3"/>
      <c r="QC60" s="3"/>
      <c r="QD60" s="3"/>
      <c r="QE60" s="3"/>
      <c r="QF60" s="3"/>
      <c r="QG60" s="3"/>
      <c r="QH60" s="3"/>
      <c r="QI60" s="3"/>
      <c r="QJ60" s="3"/>
      <c r="QK60" s="3"/>
      <c r="QL60" s="3"/>
      <c r="QM60" s="3"/>
      <c r="QN60" s="3"/>
      <c r="QO60" s="3"/>
      <c r="QP60" s="3"/>
      <c r="QQ60" s="3"/>
      <c r="QR60" s="3"/>
      <c r="QS60" s="3"/>
      <c r="QT60" s="3"/>
      <c r="QU60" s="3"/>
      <c r="QV60" s="3"/>
      <c r="QW60" s="3"/>
      <c r="QX60" s="3"/>
      <c r="QY60" s="3"/>
      <c r="QZ60" s="3"/>
      <c r="RA60" s="3"/>
      <c r="RB60" s="3"/>
      <c r="RC60" s="3"/>
      <c r="RD60" s="3"/>
      <c r="RE60" s="3"/>
      <c r="RF60" s="3"/>
      <c r="RG60" s="3"/>
      <c r="RH60" s="3"/>
      <c r="RI60" s="3"/>
      <c r="RJ60" s="3"/>
      <c r="RK60" s="3"/>
      <c r="RL60" s="3"/>
      <c r="RM60" s="3"/>
      <c r="RN60" s="3"/>
      <c r="RO60" s="3"/>
      <c r="RP60" s="3"/>
      <c r="RQ60" s="3"/>
      <c r="RR60" s="3"/>
      <c r="RS60" s="3"/>
      <c r="RT60" s="3"/>
      <c r="RU60" s="3"/>
      <c r="RV60" s="3"/>
      <c r="RW60" s="3"/>
      <c r="RX60" s="3"/>
      <c r="RY60" s="3"/>
      <c r="RZ60" s="3"/>
      <c r="SA60" s="3"/>
      <c r="SB60" s="3"/>
      <c r="SC60" s="3"/>
      <c r="SD60" s="3"/>
      <c r="SE60" s="3"/>
      <c r="SF60" s="3"/>
      <c r="SG60" s="3"/>
      <c r="SH60" s="3"/>
      <c r="SI60" s="3"/>
      <c r="SJ60" s="3"/>
      <c r="SK60" s="3"/>
      <c r="SL60" s="3"/>
      <c r="SM60" s="3"/>
      <c r="SN60" s="3"/>
      <c r="SO60" s="3"/>
      <c r="SP60" s="3"/>
      <c r="SQ60" s="3"/>
      <c r="SR60" s="3"/>
      <c r="SS60" s="3"/>
      <c r="ST60" s="3"/>
      <c r="SU60" s="3"/>
      <c r="SV60" s="3"/>
      <c r="SW60" s="3"/>
      <c r="SX60" s="3"/>
      <c r="SY60" s="3"/>
      <c r="SZ60" s="3"/>
      <c r="TA60" s="3"/>
      <c r="TB60" s="3"/>
      <c r="TC60" s="3"/>
      <c r="TD60" s="3"/>
      <c r="TE60" s="3"/>
      <c r="TF60" s="3"/>
      <c r="TG60" s="3"/>
      <c r="TH60" s="3"/>
      <c r="TI60" s="3"/>
      <c r="TJ60" s="3"/>
      <c r="TK60" s="3"/>
      <c r="TL60" s="3"/>
      <c r="TM60" s="3"/>
      <c r="TN60" s="3"/>
      <c r="TO60" s="3"/>
      <c r="TP60" s="3"/>
      <c r="TQ60" s="3"/>
      <c r="TR60" s="3"/>
      <c r="TS60" s="3"/>
      <c r="TT60" s="3"/>
      <c r="TU60" s="3"/>
      <c r="TV60" s="3"/>
      <c r="TW60" s="3"/>
      <c r="TX60" s="3"/>
      <c r="TY60" s="3"/>
      <c r="TZ60" s="3"/>
      <c r="UA60" s="3"/>
      <c r="UB60" s="3"/>
      <c r="UC60" s="3"/>
      <c r="UD60" s="3"/>
      <c r="UE60" s="3"/>
      <c r="UF60" s="3"/>
      <c r="UG60" s="3"/>
      <c r="UH60" s="3"/>
      <c r="UI60" s="3"/>
      <c r="UJ60" s="3"/>
      <c r="UK60" s="3"/>
      <c r="UL60" s="3"/>
      <c r="UM60" s="3"/>
      <c r="UN60" s="3"/>
      <c r="UO60" s="3"/>
      <c r="UP60" s="3"/>
      <c r="UQ60" s="3"/>
      <c r="UR60" s="3"/>
      <c r="US60" s="3"/>
      <c r="UT60" s="3"/>
      <c r="UU60" s="3"/>
      <c r="UV60" s="3"/>
      <c r="UW60" s="3"/>
      <c r="UX60" s="3"/>
      <c r="UY60" s="3"/>
      <c r="UZ60" s="3"/>
      <c r="VA60" s="3"/>
      <c r="VB60" s="3"/>
      <c r="VC60" s="3"/>
      <c r="VD60" s="3"/>
      <c r="VE60" s="3"/>
      <c r="VF60" s="3"/>
      <c r="VG60" s="3"/>
      <c r="VH60" s="3"/>
      <c r="VI60" s="3"/>
      <c r="VJ60" s="3"/>
      <c r="VK60" s="3"/>
      <c r="VL60" s="3"/>
      <c r="VM60" s="3"/>
      <c r="VN60" s="3"/>
      <c r="VO60" s="3"/>
      <c r="VP60" s="3"/>
      <c r="VQ60" s="3"/>
      <c r="VR60" s="3"/>
      <c r="VS60" s="3"/>
      <c r="VT60" s="3"/>
      <c r="VU60" s="3"/>
      <c r="VV60" s="3"/>
      <c r="VW60" s="3"/>
      <c r="VX60" s="3"/>
      <c r="VY60" s="3"/>
      <c r="VZ60" s="3"/>
      <c r="WA60" s="3"/>
      <c r="WB60" s="3"/>
      <c r="WC60" s="3"/>
      <c r="WD60" s="3"/>
      <c r="WE60" s="3"/>
      <c r="WF60" s="3"/>
      <c r="WG60" s="3"/>
      <c r="WH60" s="3"/>
      <c r="WI60" s="3"/>
      <c r="WJ60" s="3"/>
      <c r="WK60" s="3"/>
      <c r="WL60" s="3"/>
      <c r="WM60" s="3"/>
      <c r="WN60" s="3"/>
      <c r="WO60" s="3"/>
      <c r="WP60" s="3"/>
      <c r="WQ60" s="3"/>
      <c r="WR60" s="3"/>
      <c r="WS60" s="3"/>
      <c r="WT60" s="3"/>
      <c r="WU60" s="3"/>
      <c r="WV60" s="3"/>
      <c r="WW60" s="3"/>
      <c r="WX60" s="3"/>
      <c r="WY60" s="3"/>
      <c r="WZ60" s="3"/>
      <c r="XA60" s="3"/>
      <c r="XB60" s="3"/>
      <c r="XC60" s="3"/>
      <c r="XD60" s="3"/>
      <c r="XE60" s="3"/>
      <c r="XF60" s="3"/>
      <c r="XG60" s="3"/>
      <c r="XH60" s="3"/>
      <c r="XI60" s="3"/>
      <c r="XJ60" s="3"/>
      <c r="XK60" s="3"/>
      <c r="XL60" s="3"/>
      <c r="XM60" s="3"/>
      <c r="XN60" s="3"/>
      <c r="XO60" s="3"/>
      <c r="XP60" s="3"/>
      <c r="XQ60" s="3"/>
      <c r="XR60" s="3"/>
      <c r="XS60" s="3"/>
      <c r="XT60" s="3"/>
      <c r="XU60" s="3"/>
      <c r="XV60" s="3"/>
      <c r="XW60" s="3"/>
      <c r="XX60" s="3"/>
      <c r="XY60" s="3"/>
      <c r="XZ60" s="3"/>
      <c r="YA60" s="3"/>
      <c r="YB60" s="3"/>
      <c r="YC60" s="3"/>
      <c r="YD60" s="3"/>
      <c r="YE60" s="3"/>
      <c r="YF60" s="3"/>
      <c r="YG60" s="3"/>
      <c r="YH60" s="3"/>
      <c r="YI60" s="3"/>
      <c r="YJ60" s="3"/>
      <c r="YK60" s="3"/>
      <c r="YL60" s="3"/>
      <c r="YM60" s="3"/>
      <c r="YN60" s="3"/>
      <c r="YO60" s="3"/>
      <c r="YP60" s="3"/>
      <c r="YQ60" s="3"/>
      <c r="YR60" s="3"/>
      <c r="YS60" s="3"/>
      <c r="YT60" s="3"/>
      <c r="YU60" s="3"/>
      <c r="YV60" s="3"/>
      <c r="YW60" s="3"/>
      <c r="YX60" s="3"/>
      <c r="YY60" s="3"/>
      <c r="YZ60" s="3"/>
      <c r="ZA60" s="3"/>
      <c r="ZB60" s="3"/>
      <c r="ZC60" s="3"/>
    </row>
    <row r="61" spans="1:679" s="2" customFormat="1" x14ac:dyDescent="0.45">
      <c r="A61" s="3" t="s">
        <v>11</v>
      </c>
      <c r="B61" s="4">
        <v>31378</v>
      </c>
      <c r="C61" s="7" t="s">
        <v>25</v>
      </c>
      <c r="D61" s="6" t="s">
        <v>75</v>
      </c>
      <c r="E61" s="3"/>
      <c r="F61" s="3">
        <v>11</v>
      </c>
      <c r="L61" s="3"/>
      <c r="M61" s="3"/>
      <c r="N61" s="48"/>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c r="EU61" s="3"/>
      <c r="EV61" s="3"/>
      <c r="EW61" s="3"/>
      <c r="EX61" s="3"/>
      <c r="EY61" s="3"/>
      <c r="EZ61" s="3"/>
      <c r="FA61" s="3"/>
      <c r="FB61" s="3"/>
      <c r="FC61" s="3"/>
      <c r="FD61" s="3"/>
      <c r="FE61" s="3"/>
      <c r="FF61" s="3"/>
      <c r="FG61" s="3"/>
      <c r="FH61" s="3"/>
      <c r="FI61" s="3"/>
      <c r="FJ61" s="3"/>
      <c r="FK61" s="3"/>
      <c r="FL61" s="3"/>
      <c r="FM61" s="3"/>
      <c r="FN61" s="3"/>
      <c r="FO61" s="3"/>
      <c r="FP61" s="3"/>
      <c r="FQ61" s="3"/>
      <c r="FR61" s="3"/>
      <c r="FS61" s="3"/>
      <c r="FT61" s="3"/>
      <c r="FU61" s="3"/>
      <c r="FV61" s="3"/>
      <c r="FW61" s="3"/>
      <c r="FX61" s="3"/>
      <c r="FY61" s="3"/>
      <c r="FZ61" s="3"/>
      <c r="GA61" s="3"/>
      <c r="GB61" s="3"/>
      <c r="GC61" s="3"/>
      <c r="GD61" s="3"/>
      <c r="GE61" s="3"/>
      <c r="GF61" s="3"/>
      <c r="GG61" s="3"/>
      <c r="GH61" s="3"/>
      <c r="GI61" s="3"/>
      <c r="GJ61" s="3"/>
      <c r="GK61" s="3"/>
      <c r="GL61" s="3"/>
      <c r="GM61" s="3"/>
      <c r="GN61" s="3"/>
      <c r="GO61" s="3"/>
      <c r="GP61" s="3"/>
      <c r="GQ61" s="3"/>
      <c r="GR61" s="3"/>
      <c r="GS61" s="3"/>
      <c r="GT61" s="3"/>
      <c r="GU61" s="3"/>
      <c r="GV61" s="3"/>
      <c r="GW61" s="3"/>
      <c r="GX61" s="3"/>
      <c r="GY61" s="3"/>
      <c r="GZ61" s="3"/>
      <c r="HA61" s="3"/>
      <c r="HB61" s="3"/>
      <c r="HC61" s="3"/>
      <c r="HD61" s="3"/>
      <c r="HE61" s="3"/>
      <c r="HF61" s="3"/>
      <c r="HG61" s="3"/>
      <c r="HH61" s="3"/>
      <c r="HI61" s="3"/>
      <c r="HJ61" s="3"/>
      <c r="HK61" s="3"/>
      <c r="HL61" s="3"/>
      <c r="HM61" s="3"/>
      <c r="HN61" s="3"/>
      <c r="HO61" s="3"/>
      <c r="HP61" s="3"/>
      <c r="HQ61" s="3"/>
      <c r="HR61" s="3"/>
      <c r="HS61" s="3"/>
      <c r="HT61" s="3"/>
      <c r="HU61" s="3"/>
      <c r="HV61" s="3"/>
      <c r="HW61" s="3"/>
      <c r="HX61" s="3"/>
      <c r="HY61" s="3"/>
      <c r="HZ61" s="3"/>
      <c r="IA61" s="3"/>
      <c r="IB61" s="3"/>
      <c r="IC61" s="3"/>
      <c r="ID61" s="3"/>
      <c r="IE61" s="3"/>
      <c r="IF61" s="3"/>
      <c r="IG61" s="3"/>
      <c r="IH61" s="3"/>
      <c r="II61" s="3"/>
      <c r="IJ61" s="3"/>
      <c r="IK61" s="3"/>
      <c r="IL61" s="3"/>
      <c r="IM61" s="3"/>
      <c r="IN61" s="3"/>
      <c r="IO61" s="3"/>
      <c r="IP61" s="3"/>
      <c r="IQ61" s="3"/>
      <c r="IR61" s="3"/>
      <c r="IS61" s="3"/>
      <c r="IT61" s="3"/>
      <c r="IU61" s="3"/>
      <c r="IV61" s="3"/>
      <c r="IW61" s="3"/>
      <c r="IX61" s="3"/>
      <c r="IY61" s="3"/>
      <c r="IZ61" s="3"/>
      <c r="JA61" s="3"/>
      <c r="JB61" s="3"/>
      <c r="JC61" s="3"/>
      <c r="JD61" s="3"/>
      <c r="JE61" s="3"/>
      <c r="JF61" s="3"/>
      <c r="JG61" s="3"/>
      <c r="JH61" s="3"/>
      <c r="JI61" s="3"/>
      <c r="JJ61" s="3"/>
      <c r="JK61" s="3"/>
      <c r="JL61" s="3"/>
      <c r="JM61" s="3"/>
      <c r="JN61" s="3"/>
      <c r="JO61" s="3"/>
      <c r="JP61" s="3"/>
      <c r="JQ61" s="3"/>
      <c r="JR61" s="3"/>
      <c r="JS61" s="3"/>
      <c r="JT61" s="3"/>
      <c r="JU61" s="3"/>
      <c r="JV61" s="3"/>
      <c r="JW61" s="3"/>
      <c r="JX61" s="3"/>
      <c r="JY61" s="3"/>
      <c r="JZ61" s="3"/>
      <c r="KA61" s="3"/>
      <c r="KB61" s="3"/>
      <c r="KC61" s="3"/>
      <c r="KD61" s="3"/>
      <c r="KE61" s="3"/>
      <c r="KF61" s="3"/>
      <c r="KG61" s="3"/>
      <c r="KH61" s="3"/>
      <c r="KI61" s="3"/>
      <c r="KJ61" s="3"/>
      <c r="KK61" s="3"/>
      <c r="KL61" s="3"/>
      <c r="KM61" s="3"/>
      <c r="KN61" s="3"/>
      <c r="KO61" s="3"/>
      <c r="KP61" s="3"/>
      <c r="KQ61" s="3"/>
      <c r="KR61" s="3"/>
      <c r="KS61" s="3"/>
      <c r="KT61" s="3"/>
      <c r="KU61" s="3"/>
      <c r="KV61" s="3"/>
      <c r="KW61" s="3"/>
      <c r="KX61" s="3"/>
      <c r="KY61" s="3"/>
      <c r="KZ61" s="3"/>
      <c r="LA61" s="3"/>
      <c r="LB61" s="3"/>
      <c r="LC61" s="3"/>
      <c r="LD61" s="3"/>
      <c r="LE61" s="3"/>
      <c r="LF61" s="3"/>
      <c r="LG61" s="3"/>
      <c r="LH61" s="3"/>
      <c r="LI61" s="3"/>
      <c r="LJ61" s="3"/>
      <c r="LK61" s="3"/>
      <c r="LL61" s="3"/>
      <c r="LM61" s="3"/>
      <c r="LN61" s="3"/>
      <c r="LO61" s="3"/>
      <c r="LP61" s="3"/>
      <c r="LQ61" s="3"/>
      <c r="LR61" s="3"/>
      <c r="LS61" s="3"/>
      <c r="LT61" s="3"/>
      <c r="LU61" s="3"/>
      <c r="LV61" s="3"/>
      <c r="LW61" s="3"/>
      <c r="LX61" s="3"/>
      <c r="LY61" s="3"/>
      <c r="LZ61" s="3"/>
      <c r="MA61" s="3"/>
      <c r="MB61" s="3"/>
      <c r="MC61" s="3"/>
      <c r="MD61" s="3"/>
      <c r="ME61" s="3"/>
      <c r="MF61" s="3"/>
      <c r="MG61" s="3"/>
      <c r="MH61" s="3"/>
      <c r="MI61" s="3"/>
      <c r="MJ61" s="3"/>
      <c r="MK61" s="3"/>
      <c r="ML61" s="3"/>
      <c r="MM61" s="3"/>
      <c r="MN61" s="3"/>
      <c r="MO61" s="3"/>
      <c r="MP61" s="3"/>
      <c r="MQ61" s="3"/>
      <c r="MR61" s="3"/>
      <c r="MS61" s="3"/>
      <c r="MT61" s="3"/>
      <c r="MU61" s="3"/>
      <c r="MV61" s="3"/>
      <c r="MW61" s="3"/>
      <c r="MX61" s="3"/>
      <c r="MY61" s="3"/>
      <c r="MZ61" s="3"/>
      <c r="NA61" s="3"/>
      <c r="NB61" s="3"/>
      <c r="NC61" s="3"/>
      <c r="ND61" s="3"/>
      <c r="NE61" s="3"/>
      <c r="NF61" s="3"/>
      <c r="NG61" s="3"/>
      <c r="NH61" s="3"/>
      <c r="NI61" s="3"/>
      <c r="NJ61" s="3"/>
      <c r="NK61" s="3"/>
      <c r="NL61" s="3"/>
      <c r="NM61" s="3"/>
      <c r="NN61" s="3"/>
      <c r="NO61" s="3"/>
      <c r="NP61" s="3"/>
      <c r="NQ61" s="3"/>
      <c r="NR61" s="3"/>
      <c r="NS61" s="3"/>
      <c r="NT61" s="3"/>
      <c r="NU61" s="3"/>
      <c r="NV61" s="3"/>
      <c r="NW61" s="3"/>
      <c r="NX61" s="3"/>
      <c r="NY61" s="3"/>
      <c r="NZ61" s="3"/>
      <c r="OA61" s="3"/>
      <c r="OB61" s="3"/>
      <c r="OC61" s="3"/>
      <c r="OD61" s="3"/>
      <c r="OE61" s="3"/>
      <c r="OF61" s="3"/>
      <c r="OG61" s="3"/>
      <c r="OH61" s="3"/>
      <c r="OI61" s="3"/>
      <c r="OJ61" s="3"/>
      <c r="OK61" s="3"/>
      <c r="OL61" s="3"/>
      <c r="OM61" s="3"/>
      <c r="ON61" s="3"/>
      <c r="OO61" s="3"/>
      <c r="OP61" s="3"/>
      <c r="OQ61" s="3"/>
      <c r="OR61" s="3"/>
      <c r="OS61" s="3"/>
      <c r="OT61" s="3"/>
      <c r="OU61" s="3"/>
      <c r="OV61" s="3"/>
      <c r="OW61" s="3"/>
      <c r="OX61" s="3"/>
      <c r="OY61" s="3"/>
      <c r="OZ61" s="3"/>
      <c r="PA61" s="3"/>
      <c r="PB61" s="3"/>
      <c r="PC61" s="3"/>
      <c r="PD61" s="3"/>
      <c r="PE61" s="3"/>
      <c r="PF61" s="3"/>
      <c r="PG61" s="3"/>
      <c r="PH61" s="3"/>
      <c r="PI61" s="3"/>
      <c r="PJ61" s="3"/>
      <c r="PK61" s="3"/>
      <c r="PL61" s="3"/>
      <c r="PM61" s="3"/>
      <c r="PN61" s="3"/>
      <c r="PO61" s="3"/>
      <c r="PP61" s="3"/>
      <c r="PQ61" s="3"/>
      <c r="PR61" s="3"/>
      <c r="PS61" s="3"/>
      <c r="PT61" s="3"/>
      <c r="PU61" s="3"/>
      <c r="PV61" s="3"/>
      <c r="PW61" s="3"/>
      <c r="PX61" s="3"/>
      <c r="PY61" s="3"/>
      <c r="PZ61" s="3"/>
      <c r="QA61" s="3"/>
      <c r="QB61" s="3"/>
      <c r="QC61" s="3"/>
      <c r="QD61" s="3"/>
      <c r="QE61" s="3"/>
      <c r="QF61" s="3"/>
      <c r="QG61" s="3"/>
      <c r="QH61" s="3"/>
      <c r="QI61" s="3"/>
      <c r="QJ61" s="3"/>
      <c r="QK61" s="3"/>
      <c r="QL61" s="3"/>
      <c r="QM61" s="3"/>
      <c r="QN61" s="3"/>
      <c r="QO61" s="3"/>
      <c r="QP61" s="3"/>
      <c r="QQ61" s="3"/>
      <c r="QR61" s="3"/>
      <c r="QS61" s="3"/>
      <c r="QT61" s="3"/>
      <c r="QU61" s="3"/>
      <c r="QV61" s="3"/>
      <c r="QW61" s="3"/>
      <c r="QX61" s="3"/>
      <c r="QY61" s="3"/>
      <c r="QZ61" s="3"/>
      <c r="RA61" s="3"/>
      <c r="RB61" s="3"/>
      <c r="RC61" s="3"/>
      <c r="RD61" s="3"/>
      <c r="RE61" s="3"/>
      <c r="RF61" s="3"/>
      <c r="RG61" s="3"/>
      <c r="RH61" s="3"/>
      <c r="RI61" s="3"/>
      <c r="RJ61" s="3"/>
      <c r="RK61" s="3"/>
      <c r="RL61" s="3"/>
      <c r="RM61" s="3"/>
      <c r="RN61" s="3"/>
      <c r="RO61" s="3"/>
      <c r="RP61" s="3"/>
      <c r="RQ61" s="3"/>
      <c r="RR61" s="3"/>
      <c r="RS61" s="3"/>
      <c r="RT61" s="3"/>
      <c r="RU61" s="3"/>
      <c r="RV61" s="3"/>
      <c r="RW61" s="3"/>
      <c r="RX61" s="3"/>
      <c r="RY61" s="3"/>
      <c r="RZ61" s="3"/>
      <c r="SA61" s="3"/>
      <c r="SB61" s="3"/>
      <c r="SC61" s="3"/>
      <c r="SD61" s="3"/>
      <c r="SE61" s="3"/>
      <c r="SF61" s="3"/>
      <c r="SG61" s="3"/>
      <c r="SH61" s="3"/>
      <c r="SI61" s="3"/>
      <c r="SJ61" s="3"/>
      <c r="SK61" s="3"/>
      <c r="SL61" s="3"/>
      <c r="SM61" s="3"/>
      <c r="SN61" s="3"/>
      <c r="SO61" s="3"/>
      <c r="SP61" s="3"/>
      <c r="SQ61" s="3"/>
      <c r="SR61" s="3"/>
      <c r="SS61" s="3"/>
      <c r="ST61" s="3"/>
      <c r="SU61" s="3"/>
      <c r="SV61" s="3"/>
      <c r="SW61" s="3"/>
      <c r="SX61" s="3"/>
      <c r="SY61" s="3"/>
      <c r="SZ61" s="3"/>
      <c r="TA61" s="3"/>
      <c r="TB61" s="3"/>
      <c r="TC61" s="3"/>
      <c r="TD61" s="3"/>
      <c r="TE61" s="3"/>
      <c r="TF61" s="3"/>
      <c r="TG61" s="3"/>
      <c r="TH61" s="3"/>
      <c r="TI61" s="3"/>
      <c r="TJ61" s="3"/>
      <c r="TK61" s="3"/>
      <c r="TL61" s="3"/>
      <c r="TM61" s="3"/>
      <c r="TN61" s="3"/>
      <c r="TO61" s="3"/>
      <c r="TP61" s="3"/>
      <c r="TQ61" s="3"/>
      <c r="TR61" s="3"/>
      <c r="TS61" s="3"/>
      <c r="TT61" s="3"/>
      <c r="TU61" s="3"/>
      <c r="TV61" s="3"/>
      <c r="TW61" s="3"/>
      <c r="TX61" s="3"/>
      <c r="TY61" s="3"/>
      <c r="TZ61" s="3"/>
      <c r="UA61" s="3"/>
      <c r="UB61" s="3"/>
      <c r="UC61" s="3"/>
      <c r="UD61" s="3"/>
      <c r="UE61" s="3"/>
      <c r="UF61" s="3"/>
      <c r="UG61" s="3"/>
      <c r="UH61" s="3"/>
      <c r="UI61" s="3"/>
      <c r="UJ61" s="3"/>
      <c r="UK61" s="3"/>
      <c r="UL61" s="3"/>
      <c r="UM61" s="3"/>
      <c r="UN61" s="3"/>
      <c r="UO61" s="3"/>
      <c r="UP61" s="3"/>
      <c r="UQ61" s="3"/>
      <c r="UR61" s="3"/>
      <c r="US61" s="3"/>
      <c r="UT61" s="3"/>
      <c r="UU61" s="3"/>
      <c r="UV61" s="3"/>
      <c r="UW61" s="3"/>
      <c r="UX61" s="3"/>
      <c r="UY61" s="3"/>
      <c r="UZ61" s="3"/>
      <c r="VA61" s="3"/>
      <c r="VB61" s="3"/>
      <c r="VC61" s="3"/>
      <c r="VD61" s="3"/>
      <c r="VE61" s="3"/>
      <c r="VF61" s="3"/>
      <c r="VG61" s="3"/>
      <c r="VH61" s="3"/>
      <c r="VI61" s="3"/>
      <c r="VJ61" s="3"/>
      <c r="VK61" s="3"/>
      <c r="VL61" s="3"/>
      <c r="VM61" s="3"/>
      <c r="VN61" s="3"/>
      <c r="VO61" s="3"/>
      <c r="VP61" s="3"/>
      <c r="VQ61" s="3"/>
      <c r="VR61" s="3"/>
      <c r="VS61" s="3"/>
      <c r="VT61" s="3"/>
      <c r="VU61" s="3"/>
      <c r="VV61" s="3"/>
      <c r="VW61" s="3"/>
      <c r="VX61" s="3"/>
      <c r="VY61" s="3"/>
      <c r="VZ61" s="3"/>
      <c r="WA61" s="3"/>
      <c r="WB61" s="3"/>
      <c r="WC61" s="3"/>
      <c r="WD61" s="3"/>
      <c r="WE61" s="3"/>
      <c r="WF61" s="3"/>
      <c r="WG61" s="3"/>
      <c r="WH61" s="3"/>
      <c r="WI61" s="3"/>
      <c r="WJ61" s="3"/>
      <c r="WK61" s="3"/>
      <c r="WL61" s="3"/>
      <c r="WM61" s="3"/>
      <c r="WN61" s="3"/>
      <c r="WO61" s="3"/>
      <c r="WP61" s="3"/>
      <c r="WQ61" s="3"/>
      <c r="WR61" s="3"/>
      <c r="WS61" s="3"/>
      <c r="WT61" s="3"/>
      <c r="WU61" s="3"/>
      <c r="WV61" s="3"/>
      <c r="WW61" s="3"/>
      <c r="WX61" s="3"/>
      <c r="WY61" s="3"/>
      <c r="WZ61" s="3"/>
      <c r="XA61" s="3"/>
      <c r="XB61" s="3"/>
      <c r="XC61" s="3"/>
      <c r="XD61" s="3"/>
      <c r="XE61" s="3"/>
      <c r="XF61" s="3"/>
      <c r="XG61" s="3"/>
      <c r="XH61" s="3"/>
      <c r="XI61" s="3"/>
      <c r="XJ61" s="3"/>
      <c r="XK61" s="3"/>
      <c r="XL61" s="3"/>
      <c r="XM61" s="3"/>
      <c r="XN61" s="3"/>
      <c r="XO61" s="3"/>
      <c r="XP61" s="3"/>
      <c r="XQ61" s="3"/>
      <c r="XR61" s="3"/>
      <c r="XS61" s="3"/>
      <c r="XT61" s="3"/>
      <c r="XU61" s="3"/>
      <c r="XV61" s="3"/>
      <c r="XW61" s="3"/>
      <c r="XX61" s="3"/>
      <c r="XY61" s="3"/>
      <c r="XZ61" s="3"/>
      <c r="YA61" s="3"/>
      <c r="YB61" s="3"/>
      <c r="YC61" s="3"/>
      <c r="YD61" s="3"/>
      <c r="YE61" s="3"/>
      <c r="YF61" s="3"/>
      <c r="YG61" s="3"/>
      <c r="YH61" s="3"/>
      <c r="YI61" s="3"/>
      <c r="YJ61" s="3"/>
      <c r="YK61" s="3"/>
      <c r="YL61" s="3"/>
      <c r="YM61" s="3"/>
      <c r="YN61" s="3"/>
      <c r="YO61" s="3"/>
      <c r="YP61" s="3"/>
      <c r="YQ61" s="3"/>
      <c r="YR61" s="3"/>
      <c r="YS61" s="3"/>
      <c r="YT61" s="3"/>
      <c r="YU61" s="3"/>
      <c r="YV61" s="3"/>
      <c r="YW61" s="3"/>
      <c r="YX61" s="3"/>
      <c r="YY61" s="3"/>
      <c r="YZ61" s="3"/>
      <c r="ZA61" s="3"/>
      <c r="ZB61" s="3"/>
      <c r="ZC61" s="3"/>
    </row>
    <row r="62" spans="1:679" s="2" customFormat="1" x14ac:dyDescent="0.45">
      <c r="A62" s="3" t="s">
        <v>11</v>
      </c>
      <c r="B62" s="4">
        <v>31491</v>
      </c>
      <c r="C62" s="7" t="s">
        <v>25</v>
      </c>
      <c r="D62" s="6" t="s">
        <v>76</v>
      </c>
      <c r="E62" s="3"/>
      <c r="F62" s="3">
        <v>5</v>
      </c>
      <c r="L62" s="3"/>
      <c r="M62" s="3"/>
      <c r="N62" s="48"/>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c r="EC62" s="3"/>
      <c r="ED62" s="3"/>
      <c r="EE62" s="3"/>
      <c r="EF62" s="3"/>
      <c r="EG62" s="3"/>
      <c r="EH62" s="3"/>
      <c r="EI62" s="3"/>
      <c r="EJ62" s="3"/>
      <c r="EK62" s="3"/>
      <c r="EL62" s="3"/>
      <c r="EM62" s="3"/>
      <c r="EN62" s="3"/>
      <c r="EO62" s="3"/>
      <c r="EP62" s="3"/>
      <c r="EQ62" s="3"/>
      <c r="ER62" s="3"/>
      <c r="ES62" s="3"/>
      <c r="ET62" s="3"/>
      <c r="EU62" s="3"/>
      <c r="EV62" s="3"/>
      <c r="EW62" s="3"/>
      <c r="EX62" s="3"/>
      <c r="EY62" s="3"/>
      <c r="EZ62" s="3"/>
      <c r="FA62" s="3"/>
      <c r="FB62" s="3"/>
      <c r="FC62" s="3"/>
      <c r="FD62" s="3"/>
      <c r="FE62" s="3"/>
      <c r="FF62" s="3"/>
      <c r="FG62" s="3"/>
      <c r="FH62" s="3"/>
      <c r="FI62" s="3"/>
      <c r="FJ62" s="3"/>
      <c r="FK62" s="3"/>
      <c r="FL62" s="3"/>
      <c r="FM62" s="3"/>
      <c r="FN62" s="3"/>
      <c r="FO62" s="3"/>
      <c r="FP62" s="3"/>
      <c r="FQ62" s="3"/>
      <c r="FR62" s="3"/>
      <c r="FS62" s="3"/>
      <c r="FT62" s="3"/>
      <c r="FU62" s="3"/>
      <c r="FV62" s="3"/>
      <c r="FW62" s="3"/>
      <c r="FX62" s="3"/>
      <c r="FY62" s="3"/>
      <c r="FZ62" s="3"/>
      <c r="GA62" s="3"/>
      <c r="GB62" s="3"/>
      <c r="GC62" s="3"/>
      <c r="GD62" s="3"/>
      <c r="GE62" s="3"/>
      <c r="GF62" s="3"/>
      <c r="GG62" s="3"/>
      <c r="GH62" s="3"/>
      <c r="GI62" s="3"/>
      <c r="GJ62" s="3"/>
      <c r="GK62" s="3"/>
      <c r="GL62" s="3"/>
      <c r="GM62" s="3"/>
      <c r="GN62" s="3"/>
      <c r="GO62" s="3"/>
      <c r="GP62" s="3"/>
      <c r="GQ62" s="3"/>
      <c r="GR62" s="3"/>
      <c r="GS62" s="3"/>
      <c r="GT62" s="3"/>
      <c r="GU62" s="3"/>
      <c r="GV62" s="3"/>
      <c r="GW62" s="3"/>
      <c r="GX62" s="3"/>
      <c r="GY62" s="3"/>
      <c r="GZ62" s="3"/>
      <c r="HA62" s="3"/>
      <c r="HB62" s="3"/>
      <c r="HC62" s="3"/>
      <c r="HD62" s="3"/>
      <c r="HE62" s="3"/>
      <c r="HF62" s="3"/>
      <c r="HG62" s="3"/>
      <c r="HH62" s="3"/>
      <c r="HI62" s="3"/>
      <c r="HJ62" s="3"/>
      <c r="HK62" s="3"/>
      <c r="HL62" s="3"/>
      <c r="HM62" s="3"/>
      <c r="HN62" s="3"/>
      <c r="HO62" s="3"/>
      <c r="HP62" s="3"/>
      <c r="HQ62" s="3"/>
      <c r="HR62" s="3"/>
      <c r="HS62" s="3"/>
      <c r="HT62" s="3"/>
      <c r="HU62" s="3"/>
      <c r="HV62" s="3"/>
      <c r="HW62" s="3"/>
      <c r="HX62" s="3"/>
      <c r="HY62" s="3"/>
      <c r="HZ62" s="3"/>
      <c r="IA62" s="3"/>
      <c r="IB62" s="3"/>
      <c r="IC62" s="3"/>
      <c r="ID62" s="3"/>
      <c r="IE62" s="3"/>
      <c r="IF62" s="3"/>
      <c r="IG62" s="3"/>
      <c r="IH62" s="3"/>
      <c r="II62" s="3"/>
      <c r="IJ62" s="3"/>
      <c r="IK62" s="3"/>
      <c r="IL62" s="3"/>
      <c r="IM62" s="3"/>
      <c r="IN62" s="3"/>
      <c r="IO62" s="3"/>
      <c r="IP62" s="3"/>
      <c r="IQ62" s="3"/>
      <c r="IR62" s="3"/>
      <c r="IS62" s="3"/>
      <c r="IT62" s="3"/>
      <c r="IU62" s="3"/>
      <c r="IV62" s="3"/>
      <c r="IW62" s="3"/>
      <c r="IX62" s="3"/>
      <c r="IY62" s="3"/>
      <c r="IZ62" s="3"/>
      <c r="JA62" s="3"/>
      <c r="JB62" s="3"/>
      <c r="JC62" s="3"/>
      <c r="JD62" s="3"/>
      <c r="JE62" s="3"/>
      <c r="JF62" s="3"/>
      <c r="JG62" s="3"/>
      <c r="JH62" s="3"/>
      <c r="JI62" s="3"/>
      <c r="JJ62" s="3"/>
      <c r="JK62" s="3"/>
      <c r="JL62" s="3"/>
      <c r="JM62" s="3"/>
      <c r="JN62" s="3"/>
      <c r="JO62" s="3"/>
      <c r="JP62" s="3"/>
      <c r="JQ62" s="3"/>
      <c r="JR62" s="3"/>
      <c r="JS62" s="3"/>
      <c r="JT62" s="3"/>
      <c r="JU62" s="3"/>
      <c r="JV62" s="3"/>
      <c r="JW62" s="3"/>
      <c r="JX62" s="3"/>
      <c r="JY62" s="3"/>
      <c r="JZ62" s="3"/>
      <c r="KA62" s="3"/>
      <c r="KB62" s="3"/>
      <c r="KC62" s="3"/>
      <c r="KD62" s="3"/>
      <c r="KE62" s="3"/>
      <c r="KF62" s="3"/>
      <c r="KG62" s="3"/>
      <c r="KH62" s="3"/>
      <c r="KI62" s="3"/>
      <c r="KJ62" s="3"/>
      <c r="KK62" s="3"/>
      <c r="KL62" s="3"/>
      <c r="KM62" s="3"/>
      <c r="KN62" s="3"/>
      <c r="KO62" s="3"/>
      <c r="KP62" s="3"/>
      <c r="KQ62" s="3"/>
      <c r="KR62" s="3"/>
      <c r="KS62" s="3"/>
      <c r="KT62" s="3"/>
      <c r="KU62" s="3"/>
      <c r="KV62" s="3"/>
      <c r="KW62" s="3"/>
      <c r="KX62" s="3"/>
      <c r="KY62" s="3"/>
      <c r="KZ62" s="3"/>
      <c r="LA62" s="3"/>
      <c r="LB62" s="3"/>
      <c r="LC62" s="3"/>
      <c r="LD62" s="3"/>
      <c r="LE62" s="3"/>
      <c r="LF62" s="3"/>
      <c r="LG62" s="3"/>
      <c r="LH62" s="3"/>
      <c r="LI62" s="3"/>
      <c r="LJ62" s="3"/>
      <c r="LK62" s="3"/>
      <c r="LL62" s="3"/>
      <c r="LM62" s="3"/>
      <c r="LN62" s="3"/>
      <c r="LO62" s="3"/>
      <c r="LP62" s="3"/>
      <c r="LQ62" s="3"/>
      <c r="LR62" s="3"/>
      <c r="LS62" s="3"/>
      <c r="LT62" s="3"/>
      <c r="LU62" s="3"/>
      <c r="LV62" s="3"/>
      <c r="LW62" s="3"/>
      <c r="LX62" s="3"/>
      <c r="LY62" s="3"/>
      <c r="LZ62" s="3"/>
      <c r="MA62" s="3"/>
      <c r="MB62" s="3"/>
      <c r="MC62" s="3"/>
      <c r="MD62" s="3"/>
      <c r="ME62" s="3"/>
      <c r="MF62" s="3"/>
      <c r="MG62" s="3"/>
      <c r="MH62" s="3"/>
      <c r="MI62" s="3"/>
      <c r="MJ62" s="3"/>
      <c r="MK62" s="3"/>
      <c r="ML62" s="3"/>
      <c r="MM62" s="3"/>
      <c r="MN62" s="3"/>
      <c r="MO62" s="3"/>
      <c r="MP62" s="3"/>
      <c r="MQ62" s="3"/>
      <c r="MR62" s="3"/>
      <c r="MS62" s="3"/>
      <c r="MT62" s="3"/>
      <c r="MU62" s="3"/>
      <c r="MV62" s="3"/>
      <c r="MW62" s="3"/>
      <c r="MX62" s="3"/>
      <c r="MY62" s="3"/>
      <c r="MZ62" s="3"/>
      <c r="NA62" s="3"/>
      <c r="NB62" s="3"/>
      <c r="NC62" s="3"/>
      <c r="ND62" s="3"/>
      <c r="NE62" s="3"/>
      <c r="NF62" s="3"/>
      <c r="NG62" s="3"/>
      <c r="NH62" s="3"/>
      <c r="NI62" s="3"/>
      <c r="NJ62" s="3"/>
      <c r="NK62" s="3"/>
      <c r="NL62" s="3"/>
      <c r="NM62" s="3"/>
      <c r="NN62" s="3"/>
      <c r="NO62" s="3"/>
      <c r="NP62" s="3"/>
      <c r="NQ62" s="3"/>
      <c r="NR62" s="3"/>
      <c r="NS62" s="3"/>
      <c r="NT62" s="3"/>
      <c r="NU62" s="3"/>
      <c r="NV62" s="3"/>
      <c r="NW62" s="3"/>
      <c r="NX62" s="3"/>
      <c r="NY62" s="3"/>
      <c r="NZ62" s="3"/>
      <c r="OA62" s="3"/>
      <c r="OB62" s="3"/>
      <c r="OC62" s="3"/>
      <c r="OD62" s="3"/>
      <c r="OE62" s="3"/>
      <c r="OF62" s="3"/>
      <c r="OG62" s="3"/>
      <c r="OH62" s="3"/>
      <c r="OI62" s="3"/>
      <c r="OJ62" s="3"/>
      <c r="OK62" s="3"/>
      <c r="OL62" s="3"/>
      <c r="OM62" s="3"/>
      <c r="ON62" s="3"/>
      <c r="OO62" s="3"/>
      <c r="OP62" s="3"/>
      <c r="OQ62" s="3"/>
      <c r="OR62" s="3"/>
      <c r="OS62" s="3"/>
      <c r="OT62" s="3"/>
      <c r="OU62" s="3"/>
      <c r="OV62" s="3"/>
      <c r="OW62" s="3"/>
      <c r="OX62" s="3"/>
      <c r="OY62" s="3"/>
      <c r="OZ62" s="3"/>
      <c r="PA62" s="3"/>
      <c r="PB62" s="3"/>
      <c r="PC62" s="3"/>
      <c r="PD62" s="3"/>
      <c r="PE62" s="3"/>
      <c r="PF62" s="3"/>
      <c r="PG62" s="3"/>
      <c r="PH62" s="3"/>
      <c r="PI62" s="3"/>
      <c r="PJ62" s="3"/>
      <c r="PK62" s="3"/>
      <c r="PL62" s="3"/>
      <c r="PM62" s="3"/>
      <c r="PN62" s="3"/>
      <c r="PO62" s="3"/>
      <c r="PP62" s="3"/>
      <c r="PQ62" s="3"/>
      <c r="PR62" s="3"/>
      <c r="PS62" s="3"/>
      <c r="PT62" s="3"/>
      <c r="PU62" s="3"/>
      <c r="PV62" s="3"/>
      <c r="PW62" s="3"/>
      <c r="PX62" s="3"/>
      <c r="PY62" s="3"/>
      <c r="PZ62" s="3"/>
      <c r="QA62" s="3"/>
      <c r="QB62" s="3"/>
      <c r="QC62" s="3"/>
      <c r="QD62" s="3"/>
      <c r="QE62" s="3"/>
      <c r="QF62" s="3"/>
      <c r="QG62" s="3"/>
      <c r="QH62" s="3"/>
      <c r="QI62" s="3"/>
      <c r="QJ62" s="3"/>
      <c r="QK62" s="3"/>
      <c r="QL62" s="3"/>
      <c r="QM62" s="3"/>
      <c r="QN62" s="3"/>
      <c r="QO62" s="3"/>
      <c r="QP62" s="3"/>
      <c r="QQ62" s="3"/>
      <c r="QR62" s="3"/>
      <c r="QS62" s="3"/>
      <c r="QT62" s="3"/>
      <c r="QU62" s="3"/>
      <c r="QV62" s="3"/>
      <c r="QW62" s="3"/>
      <c r="QX62" s="3"/>
      <c r="QY62" s="3"/>
      <c r="QZ62" s="3"/>
      <c r="RA62" s="3"/>
      <c r="RB62" s="3"/>
      <c r="RC62" s="3"/>
      <c r="RD62" s="3"/>
      <c r="RE62" s="3"/>
      <c r="RF62" s="3"/>
      <c r="RG62" s="3"/>
      <c r="RH62" s="3"/>
      <c r="RI62" s="3"/>
      <c r="RJ62" s="3"/>
      <c r="RK62" s="3"/>
      <c r="RL62" s="3"/>
      <c r="RM62" s="3"/>
      <c r="RN62" s="3"/>
      <c r="RO62" s="3"/>
      <c r="RP62" s="3"/>
      <c r="RQ62" s="3"/>
      <c r="RR62" s="3"/>
      <c r="RS62" s="3"/>
      <c r="RT62" s="3"/>
      <c r="RU62" s="3"/>
      <c r="RV62" s="3"/>
      <c r="RW62" s="3"/>
      <c r="RX62" s="3"/>
      <c r="RY62" s="3"/>
      <c r="RZ62" s="3"/>
      <c r="SA62" s="3"/>
      <c r="SB62" s="3"/>
      <c r="SC62" s="3"/>
      <c r="SD62" s="3"/>
      <c r="SE62" s="3"/>
      <c r="SF62" s="3"/>
      <c r="SG62" s="3"/>
      <c r="SH62" s="3"/>
      <c r="SI62" s="3"/>
      <c r="SJ62" s="3"/>
      <c r="SK62" s="3"/>
      <c r="SL62" s="3"/>
      <c r="SM62" s="3"/>
      <c r="SN62" s="3"/>
      <c r="SO62" s="3"/>
      <c r="SP62" s="3"/>
      <c r="SQ62" s="3"/>
      <c r="SR62" s="3"/>
      <c r="SS62" s="3"/>
      <c r="ST62" s="3"/>
      <c r="SU62" s="3"/>
      <c r="SV62" s="3"/>
      <c r="SW62" s="3"/>
      <c r="SX62" s="3"/>
      <c r="SY62" s="3"/>
      <c r="SZ62" s="3"/>
      <c r="TA62" s="3"/>
      <c r="TB62" s="3"/>
      <c r="TC62" s="3"/>
      <c r="TD62" s="3"/>
      <c r="TE62" s="3"/>
      <c r="TF62" s="3"/>
      <c r="TG62" s="3"/>
      <c r="TH62" s="3"/>
      <c r="TI62" s="3"/>
      <c r="TJ62" s="3"/>
      <c r="TK62" s="3"/>
      <c r="TL62" s="3"/>
      <c r="TM62" s="3"/>
      <c r="TN62" s="3"/>
      <c r="TO62" s="3"/>
      <c r="TP62" s="3"/>
      <c r="TQ62" s="3"/>
      <c r="TR62" s="3"/>
      <c r="TS62" s="3"/>
      <c r="TT62" s="3"/>
      <c r="TU62" s="3"/>
      <c r="TV62" s="3"/>
      <c r="TW62" s="3"/>
      <c r="TX62" s="3"/>
      <c r="TY62" s="3"/>
      <c r="TZ62" s="3"/>
      <c r="UA62" s="3"/>
      <c r="UB62" s="3"/>
      <c r="UC62" s="3"/>
      <c r="UD62" s="3"/>
      <c r="UE62" s="3"/>
      <c r="UF62" s="3"/>
      <c r="UG62" s="3"/>
      <c r="UH62" s="3"/>
      <c r="UI62" s="3"/>
      <c r="UJ62" s="3"/>
      <c r="UK62" s="3"/>
      <c r="UL62" s="3"/>
      <c r="UM62" s="3"/>
      <c r="UN62" s="3"/>
      <c r="UO62" s="3"/>
      <c r="UP62" s="3"/>
      <c r="UQ62" s="3"/>
      <c r="UR62" s="3"/>
      <c r="US62" s="3"/>
      <c r="UT62" s="3"/>
      <c r="UU62" s="3"/>
      <c r="UV62" s="3"/>
      <c r="UW62" s="3"/>
      <c r="UX62" s="3"/>
      <c r="UY62" s="3"/>
      <c r="UZ62" s="3"/>
      <c r="VA62" s="3"/>
      <c r="VB62" s="3"/>
      <c r="VC62" s="3"/>
      <c r="VD62" s="3"/>
      <c r="VE62" s="3"/>
      <c r="VF62" s="3"/>
      <c r="VG62" s="3"/>
      <c r="VH62" s="3"/>
      <c r="VI62" s="3"/>
      <c r="VJ62" s="3"/>
      <c r="VK62" s="3"/>
      <c r="VL62" s="3"/>
      <c r="VM62" s="3"/>
      <c r="VN62" s="3"/>
      <c r="VO62" s="3"/>
      <c r="VP62" s="3"/>
      <c r="VQ62" s="3"/>
      <c r="VR62" s="3"/>
      <c r="VS62" s="3"/>
      <c r="VT62" s="3"/>
      <c r="VU62" s="3"/>
      <c r="VV62" s="3"/>
      <c r="VW62" s="3"/>
      <c r="VX62" s="3"/>
      <c r="VY62" s="3"/>
      <c r="VZ62" s="3"/>
      <c r="WA62" s="3"/>
      <c r="WB62" s="3"/>
      <c r="WC62" s="3"/>
      <c r="WD62" s="3"/>
      <c r="WE62" s="3"/>
      <c r="WF62" s="3"/>
      <c r="WG62" s="3"/>
      <c r="WH62" s="3"/>
      <c r="WI62" s="3"/>
      <c r="WJ62" s="3"/>
      <c r="WK62" s="3"/>
      <c r="WL62" s="3"/>
      <c r="WM62" s="3"/>
      <c r="WN62" s="3"/>
      <c r="WO62" s="3"/>
      <c r="WP62" s="3"/>
      <c r="WQ62" s="3"/>
      <c r="WR62" s="3"/>
      <c r="WS62" s="3"/>
      <c r="WT62" s="3"/>
      <c r="WU62" s="3"/>
      <c r="WV62" s="3"/>
      <c r="WW62" s="3"/>
      <c r="WX62" s="3"/>
      <c r="WY62" s="3"/>
      <c r="WZ62" s="3"/>
      <c r="XA62" s="3"/>
      <c r="XB62" s="3"/>
      <c r="XC62" s="3"/>
      <c r="XD62" s="3"/>
      <c r="XE62" s="3"/>
      <c r="XF62" s="3"/>
      <c r="XG62" s="3"/>
      <c r="XH62" s="3"/>
      <c r="XI62" s="3"/>
      <c r="XJ62" s="3"/>
      <c r="XK62" s="3"/>
      <c r="XL62" s="3"/>
      <c r="XM62" s="3"/>
      <c r="XN62" s="3"/>
      <c r="XO62" s="3"/>
      <c r="XP62" s="3"/>
      <c r="XQ62" s="3"/>
      <c r="XR62" s="3"/>
      <c r="XS62" s="3"/>
      <c r="XT62" s="3"/>
      <c r="XU62" s="3"/>
      <c r="XV62" s="3"/>
      <c r="XW62" s="3"/>
      <c r="XX62" s="3"/>
      <c r="XY62" s="3"/>
      <c r="XZ62" s="3"/>
      <c r="YA62" s="3"/>
      <c r="YB62" s="3"/>
      <c r="YC62" s="3"/>
      <c r="YD62" s="3"/>
      <c r="YE62" s="3"/>
      <c r="YF62" s="3"/>
      <c r="YG62" s="3"/>
      <c r="YH62" s="3"/>
      <c r="YI62" s="3"/>
      <c r="YJ62" s="3"/>
      <c r="YK62" s="3"/>
      <c r="YL62" s="3"/>
      <c r="YM62" s="3"/>
      <c r="YN62" s="3"/>
      <c r="YO62" s="3"/>
      <c r="YP62" s="3"/>
      <c r="YQ62" s="3"/>
      <c r="YR62" s="3"/>
      <c r="YS62" s="3"/>
      <c r="YT62" s="3"/>
      <c r="YU62" s="3"/>
      <c r="YV62" s="3"/>
      <c r="YW62" s="3"/>
      <c r="YX62" s="3"/>
      <c r="YY62" s="3"/>
      <c r="YZ62" s="3"/>
      <c r="ZA62" s="3"/>
      <c r="ZB62" s="3"/>
      <c r="ZC62" s="3"/>
    </row>
    <row r="63" spans="1:679" s="2" customFormat="1" x14ac:dyDescent="0.45">
      <c r="A63" s="3" t="s">
        <v>11</v>
      </c>
      <c r="B63" s="4">
        <v>31545</v>
      </c>
      <c r="C63" s="7" t="s">
        <v>21</v>
      </c>
      <c r="D63" s="6" t="s">
        <v>77</v>
      </c>
      <c r="E63" s="3"/>
      <c r="F63" s="3">
        <v>2</v>
      </c>
      <c r="L63" s="3"/>
      <c r="M63" s="3"/>
      <c r="N63" s="48"/>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c r="DM63" s="3"/>
      <c r="DN63" s="3"/>
      <c r="DO63" s="3"/>
      <c r="DP63" s="3"/>
      <c r="DQ63" s="3"/>
      <c r="DR63" s="3"/>
      <c r="DS63" s="3"/>
      <c r="DT63" s="3"/>
      <c r="DU63" s="3"/>
      <c r="DV63" s="3"/>
      <c r="DW63" s="3"/>
      <c r="DX63" s="3"/>
      <c r="DY63" s="3"/>
      <c r="DZ63" s="3"/>
      <c r="EA63" s="3"/>
      <c r="EB63" s="3"/>
      <c r="EC63" s="3"/>
      <c r="ED63" s="3"/>
      <c r="EE63" s="3"/>
      <c r="EF63" s="3"/>
      <c r="EG63" s="3"/>
      <c r="EH63" s="3"/>
      <c r="EI63" s="3"/>
      <c r="EJ63" s="3"/>
      <c r="EK63" s="3"/>
      <c r="EL63" s="3"/>
      <c r="EM63" s="3"/>
      <c r="EN63" s="3"/>
      <c r="EO63" s="3"/>
      <c r="EP63" s="3"/>
      <c r="EQ63" s="3"/>
      <c r="ER63" s="3"/>
      <c r="ES63" s="3"/>
      <c r="ET63" s="3"/>
      <c r="EU63" s="3"/>
      <c r="EV63" s="3"/>
      <c r="EW63" s="3"/>
      <c r="EX63" s="3"/>
      <c r="EY63" s="3"/>
      <c r="EZ63" s="3"/>
      <c r="FA63" s="3"/>
      <c r="FB63" s="3"/>
      <c r="FC63" s="3"/>
      <c r="FD63" s="3"/>
      <c r="FE63" s="3"/>
      <c r="FF63" s="3"/>
      <c r="FG63" s="3"/>
      <c r="FH63" s="3"/>
      <c r="FI63" s="3"/>
      <c r="FJ63" s="3"/>
      <c r="FK63" s="3"/>
      <c r="FL63" s="3"/>
      <c r="FM63" s="3"/>
      <c r="FN63" s="3"/>
      <c r="FO63" s="3"/>
      <c r="FP63" s="3"/>
      <c r="FQ63" s="3"/>
      <c r="FR63" s="3"/>
      <c r="FS63" s="3"/>
      <c r="FT63" s="3"/>
      <c r="FU63" s="3"/>
      <c r="FV63" s="3"/>
      <c r="FW63" s="3"/>
      <c r="FX63" s="3"/>
      <c r="FY63" s="3"/>
      <c r="FZ63" s="3"/>
      <c r="GA63" s="3"/>
      <c r="GB63" s="3"/>
      <c r="GC63" s="3"/>
      <c r="GD63" s="3"/>
      <c r="GE63" s="3"/>
      <c r="GF63" s="3"/>
      <c r="GG63" s="3"/>
      <c r="GH63" s="3"/>
      <c r="GI63" s="3"/>
      <c r="GJ63" s="3"/>
      <c r="GK63" s="3"/>
      <c r="GL63" s="3"/>
      <c r="GM63" s="3"/>
      <c r="GN63" s="3"/>
      <c r="GO63" s="3"/>
      <c r="GP63" s="3"/>
      <c r="GQ63" s="3"/>
      <c r="GR63" s="3"/>
      <c r="GS63" s="3"/>
      <c r="GT63" s="3"/>
      <c r="GU63" s="3"/>
      <c r="GV63" s="3"/>
      <c r="GW63" s="3"/>
      <c r="GX63" s="3"/>
      <c r="GY63" s="3"/>
      <c r="GZ63" s="3"/>
      <c r="HA63" s="3"/>
      <c r="HB63" s="3"/>
      <c r="HC63" s="3"/>
      <c r="HD63" s="3"/>
      <c r="HE63" s="3"/>
      <c r="HF63" s="3"/>
      <c r="HG63" s="3"/>
      <c r="HH63" s="3"/>
      <c r="HI63" s="3"/>
      <c r="HJ63" s="3"/>
      <c r="HK63" s="3"/>
      <c r="HL63" s="3"/>
      <c r="HM63" s="3"/>
      <c r="HN63" s="3"/>
      <c r="HO63" s="3"/>
      <c r="HP63" s="3"/>
      <c r="HQ63" s="3"/>
      <c r="HR63" s="3"/>
      <c r="HS63" s="3"/>
      <c r="HT63" s="3"/>
      <c r="HU63" s="3"/>
      <c r="HV63" s="3"/>
      <c r="HW63" s="3"/>
      <c r="HX63" s="3"/>
      <c r="HY63" s="3"/>
      <c r="HZ63" s="3"/>
      <c r="IA63" s="3"/>
      <c r="IB63" s="3"/>
      <c r="IC63" s="3"/>
      <c r="ID63" s="3"/>
      <c r="IE63" s="3"/>
      <c r="IF63" s="3"/>
      <c r="IG63" s="3"/>
      <c r="IH63" s="3"/>
      <c r="II63" s="3"/>
      <c r="IJ63" s="3"/>
      <c r="IK63" s="3"/>
      <c r="IL63" s="3"/>
      <c r="IM63" s="3"/>
      <c r="IN63" s="3"/>
      <c r="IO63" s="3"/>
      <c r="IP63" s="3"/>
      <c r="IQ63" s="3"/>
      <c r="IR63" s="3"/>
      <c r="IS63" s="3"/>
      <c r="IT63" s="3"/>
      <c r="IU63" s="3"/>
      <c r="IV63" s="3"/>
      <c r="IW63" s="3"/>
      <c r="IX63" s="3"/>
      <c r="IY63" s="3"/>
      <c r="IZ63" s="3"/>
      <c r="JA63" s="3"/>
      <c r="JB63" s="3"/>
      <c r="JC63" s="3"/>
      <c r="JD63" s="3"/>
      <c r="JE63" s="3"/>
      <c r="JF63" s="3"/>
      <c r="JG63" s="3"/>
      <c r="JH63" s="3"/>
      <c r="JI63" s="3"/>
      <c r="JJ63" s="3"/>
      <c r="JK63" s="3"/>
      <c r="JL63" s="3"/>
      <c r="JM63" s="3"/>
      <c r="JN63" s="3"/>
      <c r="JO63" s="3"/>
      <c r="JP63" s="3"/>
      <c r="JQ63" s="3"/>
      <c r="JR63" s="3"/>
      <c r="JS63" s="3"/>
      <c r="JT63" s="3"/>
      <c r="JU63" s="3"/>
      <c r="JV63" s="3"/>
      <c r="JW63" s="3"/>
      <c r="JX63" s="3"/>
      <c r="JY63" s="3"/>
      <c r="JZ63" s="3"/>
      <c r="KA63" s="3"/>
      <c r="KB63" s="3"/>
      <c r="KC63" s="3"/>
      <c r="KD63" s="3"/>
      <c r="KE63" s="3"/>
      <c r="KF63" s="3"/>
      <c r="KG63" s="3"/>
      <c r="KH63" s="3"/>
      <c r="KI63" s="3"/>
      <c r="KJ63" s="3"/>
      <c r="KK63" s="3"/>
      <c r="KL63" s="3"/>
      <c r="KM63" s="3"/>
      <c r="KN63" s="3"/>
      <c r="KO63" s="3"/>
      <c r="KP63" s="3"/>
      <c r="KQ63" s="3"/>
      <c r="KR63" s="3"/>
      <c r="KS63" s="3"/>
      <c r="KT63" s="3"/>
      <c r="KU63" s="3"/>
      <c r="KV63" s="3"/>
      <c r="KW63" s="3"/>
      <c r="KX63" s="3"/>
      <c r="KY63" s="3"/>
      <c r="KZ63" s="3"/>
      <c r="LA63" s="3"/>
      <c r="LB63" s="3"/>
      <c r="LC63" s="3"/>
      <c r="LD63" s="3"/>
      <c r="LE63" s="3"/>
      <c r="LF63" s="3"/>
      <c r="LG63" s="3"/>
      <c r="LH63" s="3"/>
      <c r="LI63" s="3"/>
      <c r="LJ63" s="3"/>
      <c r="LK63" s="3"/>
      <c r="LL63" s="3"/>
      <c r="LM63" s="3"/>
      <c r="LN63" s="3"/>
      <c r="LO63" s="3"/>
      <c r="LP63" s="3"/>
      <c r="LQ63" s="3"/>
      <c r="LR63" s="3"/>
      <c r="LS63" s="3"/>
      <c r="LT63" s="3"/>
      <c r="LU63" s="3"/>
      <c r="LV63" s="3"/>
      <c r="LW63" s="3"/>
      <c r="LX63" s="3"/>
      <c r="LY63" s="3"/>
      <c r="LZ63" s="3"/>
      <c r="MA63" s="3"/>
      <c r="MB63" s="3"/>
      <c r="MC63" s="3"/>
      <c r="MD63" s="3"/>
      <c r="ME63" s="3"/>
      <c r="MF63" s="3"/>
      <c r="MG63" s="3"/>
      <c r="MH63" s="3"/>
      <c r="MI63" s="3"/>
      <c r="MJ63" s="3"/>
      <c r="MK63" s="3"/>
      <c r="ML63" s="3"/>
      <c r="MM63" s="3"/>
      <c r="MN63" s="3"/>
      <c r="MO63" s="3"/>
      <c r="MP63" s="3"/>
      <c r="MQ63" s="3"/>
      <c r="MR63" s="3"/>
      <c r="MS63" s="3"/>
      <c r="MT63" s="3"/>
      <c r="MU63" s="3"/>
      <c r="MV63" s="3"/>
      <c r="MW63" s="3"/>
      <c r="MX63" s="3"/>
      <c r="MY63" s="3"/>
      <c r="MZ63" s="3"/>
      <c r="NA63" s="3"/>
      <c r="NB63" s="3"/>
      <c r="NC63" s="3"/>
      <c r="ND63" s="3"/>
      <c r="NE63" s="3"/>
      <c r="NF63" s="3"/>
      <c r="NG63" s="3"/>
      <c r="NH63" s="3"/>
      <c r="NI63" s="3"/>
      <c r="NJ63" s="3"/>
      <c r="NK63" s="3"/>
      <c r="NL63" s="3"/>
      <c r="NM63" s="3"/>
      <c r="NN63" s="3"/>
      <c r="NO63" s="3"/>
      <c r="NP63" s="3"/>
      <c r="NQ63" s="3"/>
      <c r="NR63" s="3"/>
      <c r="NS63" s="3"/>
      <c r="NT63" s="3"/>
      <c r="NU63" s="3"/>
      <c r="NV63" s="3"/>
      <c r="NW63" s="3"/>
      <c r="NX63" s="3"/>
      <c r="NY63" s="3"/>
      <c r="NZ63" s="3"/>
      <c r="OA63" s="3"/>
      <c r="OB63" s="3"/>
      <c r="OC63" s="3"/>
      <c r="OD63" s="3"/>
      <c r="OE63" s="3"/>
      <c r="OF63" s="3"/>
      <c r="OG63" s="3"/>
      <c r="OH63" s="3"/>
      <c r="OI63" s="3"/>
      <c r="OJ63" s="3"/>
      <c r="OK63" s="3"/>
      <c r="OL63" s="3"/>
      <c r="OM63" s="3"/>
      <c r="ON63" s="3"/>
      <c r="OO63" s="3"/>
      <c r="OP63" s="3"/>
      <c r="OQ63" s="3"/>
      <c r="OR63" s="3"/>
      <c r="OS63" s="3"/>
      <c r="OT63" s="3"/>
      <c r="OU63" s="3"/>
      <c r="OV63" s="3"/>
      <c r="OW63" s="3"/>
      <c r="OX63" s="3"/>
      <c r="OY63" s="3"/>
      <c r="OZ63" s="3"/>
      <c r="PA63" s="3"/>
      <c r="PB63" s="3"/>
      <c r="PC63" s="3"/>
      <c r="PD63" s="3"/>
      <c r="PE63" s="3"/>
      <c r="PF63" s="3"/>
      <c r="PG63" s="3"/>
      <c r="PH63" s="3"/>
      <c r="PI63" s="3"/>
      <c r="PJ63" s="3"/>
      <c r="PK63" s="3"/>
      <c r="PL63" s="3"/>
      <c r="PM63" s="3"/>
      <c r="PN63" s="3"/>
      <c r="PO63" s="3"/>
      <c r="PP63" s="3"/>
      <c r="PQ63" s="3"/>
      <c r="PR63" s="3"/>
      <c r="PS63" s="3"/>
      <c r="PT63" s="3"/>
      <c r="PU63" s="3"/>
      <c r="PV63" s="3"/>
      <c r="PW63" s="3"/>
      <c r="PX63" s="3"/>
      <c r="PY63" s="3"/>
      <c r="PZ63" s="3"/>
      <c r="QA63" s="3"/>
      <c r="QB63" s="3"/>
      <c r="QC63" s="3"/>
      <c r="QD63" s="3"/>
      <c r="QE63" s="3"/>
      <c r="QF63" s="3"/>
      <c r="QG63" s="3"/>
      <c r="QH63" s="3"/>
      <c r="QI63" s="3"/>
      <c r="QJ63" s="3"/>
      <c r="QK63" s="3"/>
      <c r="QL63" s="3"/>
      <c r="QM63" s="3"/>
      <c r="QN63" s="3"/>
      <c r="QO63" s="3"/>
      <c r="QP63" s="3"/>
      <c r="QQ63" s="3"/>
      <c r="QR63" s="3"/>
      <c r="QS63" s="3"/>
      <c r="QT63" s="3"/>
      <c r="QU63" s="3"/>
      <c r="QV63" s="3"/>
      <c r="QW63" s="3"/>
      <c r="QX63" s="3"/>
      <c r="QY63" s="3"/>
      <c r="QZ63" s="3"/>
      <c r="RA63" s="3"/>
      <c r="RB63" s="3"/>
      <c r="RC63" s="3"/>
      <c r="RD63" s="3"/>
      <c r="RE63" s="3"/>
      <c r="RF63" s="3"/>
      <c r="RG63" s="3"/>
      <c r="RH63" s="3"/>
      <c r="RI63" s="3"/>
      <c r="RJ63" s="3"/>
      <c r="RK63" s="3"/>
      <c r="RL63" s="3"/>
      <c r="RM63" s="3"/>
      <c r="RN63" s="3"/>
      <c r="RO63" s="3"/>
      <c r="RP63" s="3"/>
      <c r="RQ63" s="3"/>
      <c r="RR63" s="3"/>
      <c r="RS63" s="3"/>
      <c r="RT63" s="3"/>
      <c r="RU63" s="3"/>
      <c r="RV63" s="3"/>
      <c r="RW63" s="3"/>
      <c r="RX63" s="3"/>
      <c r="RY63" s="3"/>
      <c r="RZ63" s="3"/>
      <c r="SA63" s="3"/>
      <c r="SB63" s="3"/>
      <c r="SC63" s="3"/>
      <c r="SD63" s="3"/>
      <c r="SE63" s="3"/>
      <c r="SF63" s="3"/>
      <c r="SG63" s="3"/>
      <c r="SH63" s="3"/>
      <c r="SI63" s="3"/>
      <c r="SJ63" s="3"/>
      <c r="SK63" s="3"/>
      <c r="SL63" s="3"/>
      <c r="SM63" s="3"/>
      <c r="SN63" s="3"/>
      <c r="SO63" s="3"/>
      <c r="SP63" s="3"/>
      <c r="SQ63" s="3"/>
      <c r="SR63" s="3"/>
      <c r="SS63" s="3"/>
      <c r="ST63" s="3"/>
      <c r="SU63" s="3"/>
      <c r="SV63" s="3"/>
      <c r="SW63" s="3"/>
      <c r="SX63" s="3"/>
      <c r="SY63" s="3"/>
      <c r="SZ63" s="3"/>
      <c r="TA63" s="3"/>
      <c r="TB63" s="3"/>
      <c r="TC63" s="3"/>
      <c r="TD63" s="3"/>
      <c r="TE63" s="3"/>
      <c r="TF63" s="3"/>
      <c r="TG63" s="3"/>
      <c r="TH63" s="3"/>
      <c r="TI63" s="3"/>
      <c r="TJ63" s="3"/>
      <c r="TK63" s="3"/>
      <c r="TL63" s="3"/>
      <c r="TM63" s="3"/>
      <c r="TN63" s="3"/>
      <c r="TO63" s="3"/>
      <c r="TP63" s="3"/>
      <c r="TQ63" s="3"/>
      <c r="TR63" s="3"/>
      <c r="TS63" s="3"/>
      <c r="TT63" s="3"/>
      <c r="TU63" s="3"/>
      <c r="TV63" s="3"/>
      <c r="TW63" s="3"/>
      <c r="TX63" s="3"/>
      <c r="TY63" s="3"/>
      <c r="TZ63" s="3"/>
      <c r="UA63" s="3"/>
      <c r="UB63" s="3"/>
      <c r="UC63" s="3"/>
      <c r="UD63" s="3"/>
      <c r="UE63" s="3"/>
      <c r="UF63" s="3"/>
      <c r="UG63" s="3"/>
      <c r="UH63" s="3"/>
      <c r="UI63" s="3"/>
      <c r="UJ63" s="3"/>
      <c r="UK63" s="3"/>
      <c r="UL63" s="3"/>
      <c r="UM63" s="3"/>
      <c r="UN63" s="3"/>
      <c r="UO63" s="3"/>
      <c r="UP63" s="3"/>
      <c r="UQ63" s="3"/>
      <c r="UR63" s="3"/>
      <c r="US63" s="3"/>
      <c r="UT63" s="3"/>
      <c r="UU63" s="3"/>
      <c r="UV63" s="3"/>
      <c r="UW63" s="3"/>
      <c r="UX63" s="3"/>
      <c r="UY63" s="3"/>
      <c r="UZ63" s="3"/>
      <c r="VA63" s="3"/>
      <c r="VB63" s="3"/>
      <c r="VC63" s="3"/>
      <c r="VD63" s="3"/>
      <c r="VE63" s="3"/>
      <c r="VF63" s="3"/>
      <c r="VG63" s="3"/>
      <c r="VH63" s="3"/>
      <c r="VI63" s="3"/>
      <c r="VJ63" s="3"/>
      <c r="VK63" s="3"/>
      <c r="VL63" s="3"/>
      <c r="VM63" s="3"/>
      <c r="VN63" s="3"/>
      <c r="VO63" s="3"/>
      <c r="VP63" s="3"/>
      <c r="VQ63" s="3"/>
      <c r="VR63" s="3"/>
      <c r="VS63" s="3"/>
      <c r="VT63" s="3"/>
      <c r="VU63" s="3"/>
      <c r="VV63" s="3"/>
      <c r="VW63" s="3"/>
      <c r="VX63" s="3"/>
      <c r="VY63" s="3"/>
      <c r="VZ63" s="3"/>
      <c r="WA63" s="3"/>
      <c r="WB63" s="3"/>
      <c r="WC63" s="3"/>
      <c r="WD63" s="3"/>
      <c r="WE63" s="3"/>
      <c r="WF63" s="3"/>
      <c r="WG63" s="3"/>
      <c r="WH63" s="3"/>
      <c r="WI63" s="3"/>
      <c r="WJ63" s="3"/>
      <c r="WK63" s="3"/>
      <c r="WL63" s="3"/>
      <c r="WM63" s="3"/>
      <c r="WN63" s="3"/>
      <c r="WO63" s="3"/>
      <c r="WP63" s="3"/>
      <c r="WQ63" s="3"/>
      <c r="WR63" s="3"/>
      <c r="WS63" s="3"/>
      <c r="WT63" s="3"/>
      <c r="WU63" s="3"/>
      <c r="WV63" s="3"/>
      <c r="WW63" s="3"/>
      <c r="WX63" s="3"/>
      <c r="WY63" s="3"/>
      <c r="WZ63" s="3"/>
      <c r="XA63" s="3"/>
      <c r="XB63" s="3"/>
      <c r="XC63" s="3"/>
      <c r="XD63" s="3"/>
      <c r="XE63" s="3"/>
      <c r="XF63" s="3"/>
      <c r="XG63" s="3"/>
      <c r="XH63" s="3"/>
      <c r="XI63" s="3"/>
      <c r="XJ63" s="3"/>
      <c r="XK63" s="3"/>
      <c r="XL63" s="3"/>
      <c r="XM63" s="3"/>
      <c r="XN63" s="3"/>
      <c r="XO63" s="3"/>
      <c r="XP63" s="3"/>
      <c r="XQ63" s="3"/>
      <c r="XR63" s="3"/>
      <c r="XS63" s="3"/>
      <c r="XT63" s="3"/>
      <c r="XU63" s="3"/>
      <c r="XV63" s="3"/>
      <c r="XW63" s="3"/>
      <c r="XX63" s="3"/>
      <c r="XY63" s="3"/>
      <c r="XZ63" s="3"/>
      <c r="YA63" s="3"/>
      <c r="YB63" s="3"/>
      <c r="YC63" s="3"/>
      <c r="YD63" s="3"/>
      <c r="YE63" s="3"/>
      <c r="YF63" s="3"/>
      <c r="YG63" s="3"/>
      <c r="YH63" s="3"/>
      <c r="YI63" s="3"/>
      <c r="YJ63" s="3"/>
      <c r="YK63" s="3"/>
      <c r="YL63" s="3"/>
      <c r="YM63" s="3"/>
      <c r="YN63" s="3"/>
      <c r="YO63" s="3"/>
      <c r="YP63" s="3"/>
      <c r="YQ63" s="3"/>
      <c r="YR63" s="3"/>
      <c r="YS63" s="3"/>
      <c r="YT63" s="3"/>
      <c r="YU63" s="3"/>
      <c r="YV63" s="3"/>
      <c r="YW63" s="3"/>
      <c r="YX63" s="3"/>
      <c r="YY63" s="3"/>
      <c r="YZ63" s="3"/>
      <c r="ZA63" s="3"/>
      <c r="ZB63" s="3"/>
      <c r="ZC63" s="3"/>
    </row>
    <row r="64" spans="1:679" s="2" customFormat="1" x14ac:dyDescent="0.45">
      <c r="A64" s="3" t="s">
        <v>11</v>
      </c>
      <c r="B64" s="4">
        <v>31561</v>
      </c>
      <c r="C64" s="7" t="s">
        <v>25</v>
      </c>
      <c r="D64" s="6" t="s">
        <v>78</v>
      </c>
      <c r="E64" s="3"/>
      <c r="F64" s="3">
        <v>14</v>
      </c>
      <c r="L64" s="3"/>
      <c r="M64" s="3"/>
      <c r="N64" s="48"/>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c r="EU64" s="3"/>
      <c r="EV64" s="3"/>
      <c r="EW64" s="3"/>
      <c r="EX64" s="3"/>
      <c r="EY64" s="3"/>
      <c r="EZ64" s="3"/>
      <c r="FA64" s="3"/>
      <c r="FB64" s="3"/>
      <c r="FC64" s="3"/>
      <c r="FD64" s="3"/>
      <c r="FE64" s="3"/>
      <c r="FF64" s="3"/>
      <c r="FG64" s="3"/>
      <c r="FH64" s="3"/>
      <c r="FI64" s="3"/>
      <c r="FJ64" s="3"/>
      <c r="FK64" s="3"/>
      <c r="FL64" s="3"/>
      <c r="FM64" s="3"/>
      <c r="FN64" s="3"/>
      <c r="FO64" s="3"/>
      <c r="FP64" s="3"/>
      <c r="FQ64" s="3"/>
      <c r="FR64" s="3"/>
      <c r="FS64" s="3"/>
      <c r="FT64" s="3"/>
      <c r="FU64" s="3"/>
      <c r="FV64" s="3"/>
      <c r="FW64" s="3"/>
      <c r="FX64" s="3"/>
      <c r="FY64" s="3"/>
      <c r="FZ64" s="3"/>
      <c r="GA64" s="3"/>
      <c r="GB64" s="3"/>
      <c r="GC64" s="3"/>
      <c r="GD64" s="3"/>
      <c r="GE64" s="3"/>
      <c r="GF64" s="3"/>
      <c r="GG64" s="3"/>
      <c r="GH64" s="3"/>
      <c r="GI64" s="3"/>
      <c r="GJ64" s="3"/>
      <c r="GK64" s="3"/>
      <c r="GL64" s="3"/>
      <c r="GM64" s="3"/>
      <c r="GN64" s="3"/>
      <c r="GO64" s="3"/>
      <c r="GP64" s="3"/>
      <c r="GQ64" s="3"/>
      <c r="GR64" s="3"/>
      <c r="GS64" s="3"/>
      <c r="GT64" s="3"/>
      <c r="GU64" s="3"/>
      <c r="GV64" s="3"/>
      <c r="GW64" s="3"/>
      <c r="GX64" s="3"/>
      <c r="GY64" s="3"/>
      <c r="GZ64" s="3"/>
      <c r="HA64" s="3"/>
      <c r="HB64" s="3"/>
      <c r="HC64" s="3"/>
      <c r="HD64" s="3"/>
      <c r="HE64" s="3"/>
      <c r="HF64" s="3"/>
      <c r="HG64" s="3"/>
      <c r="HH64" s="3"/>
      <c r="HI64" s="3"/>
      <c r="HJ64" s="3"/>
      <c r="HK64" s="3"/>
      <c r="HL64" s="3"/>
      <c r="HM64" s="3"/>
      <c r="HN64" s="3"/>
      <c r="HO64" s="3"/>
      <c r="HP64" s="3"/>
      <c r="HQ64" s="3"/>
      <c r="HR64" s="3"/>
      <c r="HS64" s="3"/>
      <c r="HT64" s="3"/>
      <c r="HU64" s="3"/>
      <c r="HV64" s="3"/>
      <c r="HW64" s="3"/>
      <c r="HX64" s="3"/>
      <c r="HY64" s="3"/>
      <c r="HZ64" s="3"/>
      <c r="IA64" s="3"/>
      <c r="IB64" s="3"/>
      <c r="IC64" s="3"/>
      <c r="ID64" s="3"/>
      <c r="IE64" s="3"/>
      <c r="IF64" s="3"/>
      <c r="IG64" s="3"/>
      <c r="IH64" s="3"/>
      <c r="II64" s="3"/>
      <c r="IJ64" s="3"/>
      <c r="IK64" s="3"/>
      <c r="IL64" s="3"/>
      <c r="IM64" s="3"/>
      <c r="IN64" s="3"/>
      <c r="IO64" s="3"/>
      <c r="IP64" s="3"/>
      <c r="IQ64" s="3"/>
      <c r="IR64" s="3"/>
      <c r="IS64" s="3"/>
      <c r="IT64" s="3"/>
      <c r="IU64" s="3"/>
      <c r="IV64" s="3"/>
      <c r="IW64" s="3"/>
      <c r="IX64" s="3"/>
      <c r="IY64" s="3"/>
      <c r="IZ64" s="3"/>
      <c r="JA64" s="3"/>
      <c r="JB64" s="3"/>
      <c r="JC64" s="3"/>
      <c r="JD64" s="3"/>
      <c r="JE64" s="3"/>
      <c r="JF64" s="3"/>
      <c r="JG64" s="3"/>
      <c r="JH64" s="3"/>
      <c r="JI64" s="3"/>
      <c r="JJ64" s="3"/>
      <c r="JK64" s="3"/>
      <c r="JL64" s="3"/>
      <c r="JM64" s="3"/>
      <c r="JN64" s="3"/>
      <c r="JO64" s="3"/>
      <c r="JP64" s="3"/>
      <c r="JQ64" s="3"/>
      <c r="JR64" s="3"/>
      <c r="JS64" s="3"/>
      <c r="JT64" s="3"/>
      <c r="JU64" s="3"/>
      <c r="JV64" s="3"/>
      <c r="JW64" s="3"/>
      <c r="JX64" s="3"/>
      <c r="JY64" s="3"/>
      <c r="JZ64" s="3"/>
      <c r="KA64" s="3"/>
      <c r="KB64" s="3"/>
      <c r="KC64" s="3"/>
      <c r="KD64" s="3"/>
      <c r="KE64" s="3"/>
      <c r="KF64" s="3"/>
      <c r="KG64" s="3"/>
      <c r="KH64" s="3"/>
      <c r="KI64" s="3"/>
      <c r="KJ64" s="3"/>
      <c r="KK64" s="3"/>
      <c r="KL64" s="3"/>
      <c r="KM64" s="3"/>
      <c r="KN64" s="3"/>
      <c r="KO64" s="3"/>
      <c r="KP64" s="3"/>
      <c r="KQ64" s="3"/>
      <c r="KR64" s="3"/>
      <c r="KS64" s="3"/>
      <c r="KT64" s="3"/>
      <c r="KU64" s="3"/>
      <c r="KV64" s="3"/>
      <c r="KW64" s="3"/>
      <c r="KX64" s="3"/>
      <c r="KY64" s="3"/>
      <c r="KZ64" s="3"/>
      <c r="LA64" s="3"/>
      <c r="LB64" s="3"/>
      <c r="LC64" s="3"/>
      <c r="LD64" s="3"/>
      <c r="LE64" s="3"/>
      <c r="LF64" s="3"/>
      <c r="LG64" s="3"/>
      <c r="LH64" s="3"/>
      <c r="LI64" s="3"/>
      <c r="LJ64" s="3"/>
      <c r="LK64" s="3"/>
      <c r="LL64" s="3"/>
      <c r="LM64" s="3"/>
      <c r="LN64" s="3"/>
      <c r="LO64" s="3"/>
      <c r="LP64" s="3"/>
      <c r="LQ64" s="3"/>
      <c r="LR64" s="3"/>
      <c r="LS64" s="3"/>
      <c r="LT64" s="3"/>
      <c r="LU64" s="3"/>
      <c r="LV64" s="3"/>
      <c r="LW64" s="3"/>
      <c r="LX64" s="3"/>
      <c r="LY64" s="3"/>
      <c r="LZ64" s="3"/>
      <c r="MA64" s="3"/>
      <c r="MB64" s="3"/>
      <c r="MC64" s="3"/>
      <c r="MD64" s="3"/>
      <c r="ME64" s="3"/>
      <c r="MF64" s="3"/>
      <c r="MG64" s="3"/>
      <c r="MH64" s="3"/>
      <c r="MI64" s="3"/>
      <c r="MJ64" s="3"/>
      <c r="MK64" s="3"/>
      <c r="ML64" s="3"/>
      <c r="MM64" s="3"/>
      <c r="MN64" s="3"/>
      <c r="MO64" s="3"/>
      <c r="MP64" s="3"/>
      <c r="MQ64" s="3"/>
      <c r="MR64" s="3"/>
      <c r="MS64" s="3"/>
      <c r="MT64" s="3"/>
      <c r="MU64" s="3"/>
      <c r="MV64" s="3"/>
      <c r="MW64" s="3"/>
      <c r="MX64" s="3"/>
      <c r="MY64" s="3"/>
      <c r="MZ64" s="3"/>
      <c r="NA64" s="3"/>
      <c r="NB64" s="3"/>
      <c r="NC64" s="3"/>
      <c r="ND64" s="3"/>
      <c r="NE64" s="3"/>
      <c r="NF64" s="3"/>
      <c r="NG64" s="3"/>
      <c r="NH64" s="3"/>
      <c r="NI64" s="3"/>
      <c r="NJ64" s="3"/>
      <c r="NK64" s="3"/>
      <c r="NL64" s="3"/>
      <c r="NM64" s="3"/>
      <c r="NN64" s="3"/>
      <c r="NO64" s="3"/>
      <c r="NP64" s="3"/>
      <c r="NQ64" s="3"/>
      <c r="NR64" s="3"/>
      <c r="NS64" s="3"/>
      <c r="NT64" s="3"/>
      <c r="NU64" s="3"/>
      <c r="NV64" s="3"/>
      <c r="NW64" s="3"/>
      <c r="NX64" s="3"/>
      <c r="NY64" s="3"/>
      <c r="NZ64" s="3"/>
      <c r="OA64" s="3"/>
      <c r="OB64" s="3"/>
      <c r="OC64" s="3"/>
      <c r="OD64" s="3"/>
      <c r="OE64" s="3"/>
      <c r="OF64" s="3"/>
      <c r="OG64" s="3"/>
      <c r="OH64" s="3"/>
      <c r="OI64" s="3"/>
      <c r="OJ64" s="3"/>
      <c r="OK64" s="3"/>
      <c r="OL64" s="3"/>
      <c r="OM64" s="3"/>
      <c r="ON64" s="3"/>
      <c r="OO64" s="3"/>
      <c r="OP64" s="3"/>
      <c r="OQ64" s="3"/>
      <c r="OR64" s="3"/>
      <c r="OS64" s="3"/>
      <c r="OT64" s="3"/>
      <c r="OU64" s="3"/>
      <c r="OV64" s="3"/>
      <c r="OW64" s="3"/>
      <c r="OX64" s="3"/>
      <c r="OY64" s="3"/>
      <c r="OZ64" s="3"/>
      <c r="PA64" s="3"/>
      <c r="PB64" s="3"/>
      <c r="PC64" s="3"/>
      <c r="PD64" s="3"/>
      <c r="PE64" s="3"/>
      <c r="PF64" s="3"/>
      <c r="PG64" s="3"/>
      <c r="PH64" s="3"/>
      <c r="PI64" s="3"/>
      <c r="PJ64" s="3"/>
      <c r="PK64" s="3"/>
      <c r="PL64" s="3"/>
      <c r="PM64" s="3"/>
      <c r="PN64" s="3"/>
      <c r="PO64" s="3"/>
      <c r="PP64" s="3"/>
      <c r="PQ64" s="3"/>
      <c r="PR64" s="3"/>
      <c r="PS64" s="3"/>
      <c r="PT64" s="3"/>
      <c r="PU64" s="3"/>
      <c r="PV64" s="3"/>
      <c r="PW64" s="3"/>
      <c r="PX64" s="3"/>
      <c r="PY64" s="3"/>
      <c r="PZ64" s="3"/>
      <c r="QA64" s="3"/>
      <c r="QB64" s="3"/>
      <c r="QC64" s="3"/>
      <c r="QD64" s="3"/>
      <c r="QE64" s="3"/>
      <c r="QF64" s="3"/>
      <c r="QG64" s="3"/>
      <c r="QH64" s="3"/>
      <c r="QI64" s="3"/>
      <c r="QJ64" s="3"/>
      <c r="QK64" s="3"/>
      <c r="QL64" s="3"/>
      <c r="QM64" s="3"/>
      <c r="QN64" s="3"/>
      <c r="QO64" s="3"/>
      <c r="QP64" s="3"/>
      <c r="QQ64" s="3"/>
      <c r="QR64" s="3"/>
      <c r="QS64" s="3"/>
      <c r="QT64" s="3"/>
      <c r="QU64" s="3"/>
      <c r="QV64" s="3"/>
      <c r="QW64" s="3"/>
      <c r="QX64" s="3"/>
      <c r="QY64" s="3"/>
      <c r="QZ64" s="3"/>
      <c r="RA64" s="3"/>
      <c r="RB64" s="3"/>
      <c r="RC64" s="3"/>
      <c r="RD64" s="3"/>
      <c r="RE64" s="3"/>
      <c r="RF64" s="3"/>
      <c r="RG64" s="3"/>
      <c r="RH64" s="3"/>
      <c r="RI64" s="3"/>
      <c r="RJ64" s="3"/>
      <c r="RK64" s="3"/>
      <c r="RL64" s="3"/>
      <c r="RM64" s="3"/>
      <c r="RN64" s="3"/>
      <c r="RO64" s="3"/>
      <c r="RP64" s="3"/>
      <c r="RQ64" s="3"/>
      <c r="RR64" s="3"/>
      <c r="RS64" s="3"/>
      <c r="RT64" s="3"/>
      <c r="RU64" s="3"/>
      <c r="RV64" s="3"/>
      <c r="RW64" s="3"/>
      <c r="RX64" s="3"/>
      <c r="RY64" s="3"/>
      <c r="RZ64" s="3"/>
      <c r="SA64" s="3"/>
      <c r="SB64" s="3"/>
      <c r="SC64" s="3"/>
      <c r="SD64" s="3"/>
      <c r="SE64" s="3"/>
      <c r="SF64" s="3"/>
      <c r="SG64" s="3"/>
      <c r="SH64" s="3"/>
      <c r="SI64" s="3"/>
      <c r="SJ64" s="3"/>
      <c r="SK64" s="3"/>
      <c r="SL64" s="3"/>
      <c r="SM64" s="3"/>
      <c r="SN64" s="3"/>
      <c r="SO64" s="3"/>
      <c r="SP64" s="3"/>
      <c r="SQ64" s="3"/>
      <c r="SR64" s="3"/>
      <c r="SS64" s="3"/>
      <c r="ST64" s="3"/>
      <c r="SU64" s="3"/>
      <c r="SV64" s="3"/>
      <c r="SW64" s="3"/>
      <c r="SX64" s="3"/>
      <c r="SY64" s="3"/>
      <c r="SZ64" s="3"/>
      <c r="TA64" s="3"/>
      <c r="TB64" s="3"/>
      <c r="TC64" s="3"/>
      <c r="TD64" s="3"/>
      <c r="TE64" s="3"/>
      <c r="TF64" s="3"/>
      <c r="TG64" s="3"/>
      <c r="TH64" s="3"/>
      <c r="TI64" s="3"/>
      <c r="TJ64" s="3"/>
      <c r="TK64" s="3"/>
      <c r="TL64" s="3"/>
      <c r="TM64" s="3"/>
      <c r="TN64" s="3"/>
      <c r="TO64" s="3"/>
      <c r="TP64" s="3"/>
      <c r="TQ64" s="3"/>
      <c r="TR64" s="3"/>
      <c r="TS64" s="3"/>
      <c r="TT64" s="3"/>
      <c r="TU64" s="3"/>
      <c r="TV64" s="3"/>
      <c r="TW64" s="3"/>
      <c r="TX64" s="3"/>
      <c r="TY64" s="3"/>
      <c r="TZ64" s="3"/>
      <c r="UA64" s="3"/>
      <c r="UB64" s="3"/>
      <c r="UC64" s="3"/>
      <c r="UD64" s="3"/>
      <c r="UE64" s="3"/>
      <c r="UF64" s="3"/>
      <c r="UG64" s="3"/>
      <c r="UH64" s="3"/>
      <c r="UI64" s="3"/>
      <c r="UJ64" s="3"/>
      <c r="UK64" s="3"/>
      <c r="UL64" s="3"/>
      <c r="UM64" s="3"/>
      <c r="UN64" s="3"/>
      <c r="UO64" s="3"/>
      <c r="UP64" s="3"/>
      <c r="UQ64" s="3"/>
      <c r="UR64" s="3"/>
      <c r="US64" s="3"/>
      <c r="UT64" s="3"/>
      <c r="UU64" s="3"/>
      <c r="UV64" s="3"/>
      <c r="UW64" s="3"/>
      <c r="UX64" s="3"/>
      <c r="UY64" s="3"/>
      <c r="UZ64" s="3"/>
      <c r="VA64" s="3"/>
      <c r="VB64" s="3"/>
      <c r="VC64" s="3"/>
      <c r="VD64" s="3"/>
      <c r="VE64" s="3"/>
      <c r="VF64" s="3"/>
      <c r="VG64" s="3"/>
      <c r="VH64" s="3"/>
      <c r="VI64" s="3"/>
      <c r="VJ64" s="3"/>
      <c r="VK64" s="3"/>
      <c r="VL64" s="3"/>
      <c r="VM64" s="3"/>
      <c r="VN64" s="3"/>
      <c r="VO64" s="3"/>
      <c r="VP64" s="3"/>
      <c r="VQ64" s="3"/>
      <c r="VR64" s="3"/>
      <c r="VS64" s="3"/>
      <c r="VT64" s="3"/>
      <c r="VU64" s="3"/>
      <c r="VV64" s="3"/>
      <c r="VW64" s="3"/>
      <c r="VX64" s="3"/>
      <c r="VY64" s="3"/>
      <c r="VZ64" s="3"/>
      <c r="WA64" s="3"/>
      <c r="WB64" s="3"/>
      <c r="WC64" s="3"/>
      <c r="WD64" s="3"/>
      <c r="WE64" s="3"/>
      <c r="WF64" s="3"/>
      <c r="WG64" s="3"/>
      <c r="WH64" s="3"/>
      <c r="WI64" s="3"/>
      <c r="WJ64" s="3"/>
      <c r="WK64" s="3"/>
      <c r="WL64" s="3"/>
      <c r="WM64" s="3"/>
      <c r="WN64" s="3"/>
      <c r="WO64" s="3"/>
      <c r="WP64" s="3"/>
      <c r="WQ64" s="3"/>
      <c r="WR64" s="3"/>
      <c r="WS64" s="3"/>
      <c r="WT64" s="3"/>
      <c r="WU64" s="3"/>
      <c r="WV64" s="3"/>
      <c r="WW64" s="3"/>
      <c r="WX64" s="3"/>
      <c r="WY64" s="3"/>
      <c r="WZ64" s="3"/>
      <c r="XA64" s="3"/>
      <c r="XB64" s="3"/>
      <c r="XC64" s="3"/>
      <c r="XD64" s="3"/>
      <c r="XE64" s="3"/>
      <c r="XF64" s="3"/>
      <c r="XG64" s="3"/>
      <c r="XH64" s="3"/>
      <c r="XI64" s="3"/>
      <c r="XJ64" s="3"/>
      <c r="XK64" s="3"/>
      <c r="XL64" s="3"/>
      <c r="XM64" s="3"/>
      <c r="XN64" s="3"/>
      <c r="XO64" s="3"/>
      <c r="XP64" s="3"/>
      <c r="XQ64" s="3"/>
      <c r="XR64" s="3"/>
      <c r="XS64" s="3"/>
      <c r="XT64" s="3"/>
      <c r="XU64" s="3"/>
      <c r="XV64" s="3"/>
      <c r="XW64" s="3"/>
      <c r="XX64" s="3"/>
      <c r="XY64" s="3"/>
      <c r="XZ64" s="3"/>
      <c r="YA64" s="3"/>
      <c r="YB64" s="3"/>
      <c r="YC64" s="3"/>
      <c r="YD64" s="3"/>
      <c r="YE64" s="3"/>
      <c r="YF64" s="3"/>
      <c r="YG64" s="3"/>
      <c r="YH64" s="3"/>
      <c r="YI64" s="3"/>
      <c r="YJ64" s="3"/>
      <c r="YK64" s="3"/>
      <c r="YL64" s="3"/>
      <c r="YM64" s="3"/>
      <c r="YN64" s="3"/>
      <c r="YO64" s="3"/>
      <c r="YP64" s="3"/>
      <c r="YQ64" s="3"/>
      <c r="YR64" s="3"/>
      <c r="YS64" s="3"/>
      <c r="YT64" s="3"/>
      <c r="YU64" s="3"/>
      <c r="YV64" s="3"/>
      <c r="YW64" s="3"/>
      <c r="YX64" s="3"/>
      <c r="YY64" s="3"/>
      <c r="YZ64" s="3"/>
      <c r="ZA64" s="3"/>
      <c r="ZB64" s="3"/>
      <c r="ZC64" s="3"/>
    </row>
    <row r="65" spans="1:679" s="2" customFormat="1" x14ac:dyDescent="0.45">
      <c r="A65" s="3" t="s">
        <v>11</v>
      </c>
      <c r="B65" s="4">
        <v>31623</v>
      </c>
      <c r="C65" s="7" t="s">
        <v>25</v>
      </c>
      <c r="D65" s="6" t="s">
        <v>79</v>
      </c>
      <c r="E65" s="3"/>
      <c r="F65" s="3">
        <v>2</v>
      </c>
      <c r="L65" s="3"/>
      <c r="M65" s="3"/>
      <c r="N65" s="48"/>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c r="DK65" s="3"/>
      <c r="DL65" s="3"/>
      <c r="DM65" s="3"/>
      <c r="DN65" s="3"/>
      <c r="DO65" s="3"/>
      <c r="DP65" s="3"/>
      <c r="DQ65" s="3"/>
      <c r="DR65" s="3"/>
      <c r="DS65" s="3"/>
      <c r="DT65" s="3"/>
      <c r="DU65" s="3"/>
      <c r="DV65" s="3"/>
      <c r="DW65" s="3"/>
      <c r="DX65" s="3"/>
      <c r="DY65" s="3"/>
      <c r="DZ65" s="3"/>
      <c r="EA65" s="3"/>
      <c r="EB65" s="3"/>
      <c r="EC65" s="3"/>
      <c r="ED65" s="3"/>
      <c r="EE65" s="3"/>
      <c r="EF65" s="3"/>
      <c r="EG65" s="3"/>
      <c r="EH65" s="3"/>
      <c r="EI65" s="3"/>
      <c r="EJ65" s="3"/>
      <c r="EK65" s="3"/>
      <c r="EL65" s="3"/>
      <c r="EM65" s="3"/>
      <c r="EN65" s="3"/>
      <c r="EO65" s="3"/>
      <c r="EP65" s="3"/>
      <c r="EQ65" s="3"/>
      <c r="ER65" s="3"/>
      <c r="ES65" s="3"/>
      <c r="ET65" s="3"/>
      <c r="EU65" s="3"/>
      <c r="EV65" s="3"/>
      <c r="EW65" s="3"/>
      <c r="EX65" s="3"/>
      <c r="EY65" s="3"/>
      <c r="EZ65" s="3"/>
      <c r="FA65" s="3"/>
      <c r="FB65" s="3"/>
      <c r="FC65" s="3"/>
      <c r="FD65" s="3"/>
      <c r="FE65" s="3"/>
      <c r="FF65" s="3"/>
      <c r="FG65" s="3"/>
      <c r="FH65" s="3"/>
      <c r="FI65" s="3"/>
      <c r="FJ65" s="3"/>
      <c r="FK65" s="3"/>
      <c r="FL65" s="3"/>
      <c r="FM65" s="3"/>
      <c r="FN65" s="3"/>
      <c r="FO65" s="3"/>
      <c r="FP65" s="3"/>
      <c r="FQ65" s="3"/>
      <c r="FR65" s="3"/>
      <c r="FS65" s="3"/>
      <c r="FT65" s="3"/>
      <c r="FU65" s="3"/>
      <c r="FV65" s="3"/>
      <c r="FW65" s="3"/>
      <c r="FX65" s="3"/>
      <c r="FY65" s="3"/>
      <c r="FZ65" s="3"/>
      <c r="GA65" s="3"/>
      <c r="GB65" s="3"/>
      <c r="GC65" s="3"/>
      <c r="GD65" s="3"/>
      <c r="GE65" s="3"/>
      <c r="GF65" s="3"/>
      <c r="GG65" s="3"/>
      <c r="GH65" s="3"/>
      <c r="GI65" s="3"/>
      <c r="GJ65" s="3"/>
      <c r="GK65" s="3"/>
      <c r="GL65" s="3"/>
      <c r="GM65" s="3"/>
      <c r="GN65" s="3"/>
      <c r="GO65" s="3"/>
      <c r="GP65" s="3"/>
      <c r="GQ65" s="3"/>
      <c r="GR65" s="3"/>
      <c r="GS65" s="3"/>
      <c r="GT65" s="3"/>
      <c r="GU65" s="3"/>
      <c r="GV65" s="3"/>
      <c r="GW65" s="3"/>
      <c r="GX65" s="3"/>
      <c r="GY65" s="3"/>
      <c r="GZ65" s="3"/>
      <c r="HA65" s="3"/>
      <c r="HB65" s="3"/>
      <c r="HC65" s="3"/>
      <c r="HD65" s="3"/>
      <c r="HE65" s="3"/>
      <c r="HF65" s="3"/>
      <c r="HG65" s="3"/>
      <c r="HH65" s="3"/>
      <c r="HI65" s="3"/>
      <c r="HJ65" s="3"/>
      <c r="HK65" s="3"/>
      <c r="HL65" s="3"/>
      <c r="HM65" s="3"/>
      <c r="HN65" s="3"/>
      <c r="HO65" s="3"/>
      <c r="HP65" s="3"/>
      <c r="HQ65" s="3"/>
      <c r="HR65" s="3"/>
      <c r="HS65" s="3"/>
      <c r="HT65" s="3"/>
      <c r="HU65" s="3"/>
      <c r="HV65" s="3"/>
      <c r="HW65" s="3"/>
      <c r="HX65" s="3"/>
      <c r="HY65" s="3"/>
      <c r="HZ65" s="3"/>
      <c r="IA65" s="3"/>
      <c r="IB65" s="3"/>
      <c r="IC65" s="3"/>
      <c r="ID65" s="3"/>
      <c r="IE65" s="3"/>
      <c r="IF65" s="3"/>
      <c r="IG65" s="3"/>
      <c r="IH65" s="3"/>
      <c r="II65" s="3"/>
      <c r="IJ65" s="3"/>
      <c r="IK65" s="3"/>
      <c r="IL65" s="3"/>
      <c r="IM65" s="3"/>
      <c r="IN65" s="3"/>
      <c r="IO65" s="3"/>
      <c r="IP65" s="3"/>
      <c r="IQ65" s="3"/>
      <c r="IR65" s="3"/>
      <c r="IS65" s="3"/>
      <c r="IT65" s="3"/>
      <c r="IU65" s="3"/>
      <c r="IV65" s="3"/>
      <c r="IW65" s="3"/>
      <c r="IX65" s="3"/>
      <c r="IY65" s="3"/>
      <c r="IZ65" s="3"/>
      <c r="JA65" s="3"/>
      <c r="JB65" s="3"/>
      <c r="JC65" s="3"/>
      <c r="JD65" s="3"/>
      <c r="JE65" s="3"/>
      <c r="JF65" s="3"/>
      <c r="JG65" s="3"/>
      <c r="JH65" s="3"/>
      <c r="JI65" s="3"/>
      <c r="JJ65" s="3"/>
      <c r="JK65" s="3"/>
      <c r="JL65" s="3"/>
      <c r="JM65" s="3"/>
      <c r="JN65" s="3"/>
      <c r="JO65" s="3"/>
      <c r="JP65" s="3"/>
      <c r="JQ65" s="3"/>
      <c r="JR65" s="3"/>
      <c r="JS65" s="3"/>
      <c r="JT65" s="3"/>
      <c r="JU65" s="3"/>
      <c r="JV65" s="3"/>
      <c r="JW65" s="3"/>
      <c r="JX65" s="3"/>
      <c r="JY65" s="3"/>
      <c r="JZ65" s="3"/>
      <c r="KA65" s="3"/>
      <c r="KB65" s="3"/>
      <c r="KC65" s="3"/>
      <c r="KD65" s="3"/>
      <c r="KE65" s="3"/>
      <c r="KF65" s="3"/>
      <c r="KG65" s="3"/>
      <c r="KH65" s="3"/>
      <c r="KI65" s="3"/>
      <c r="KJ65" s="3"/>
      <c r="KK65" s="3"/>
      <c r="KL65" s="3"/>
      <c r="KM65" s="3"/>
      <c r="KN65" s="3"/>
      <c r="KO65" s="3"/>
      <c r="KP65" s="3"/>
      <c r="KQ65" s="3"/>
      <c r="KR65" s="3"/>
      <c r="KS65" s="3"/>
      <c r="KT65" s="3"/>
      <c r="KU65" s="3"/>
      <c r="KV65" s="3"/>
      <c r="KW65" s="3"/>
      <c r="KX65" s="3"/>
      <c r="KY65" s="3"/>
      <c r="KZ65" s="3"/>
      <c r="LA65" s="3"/>
      <c r="LB65" s="3"/>
      <c r="LC65" s="3"/>
      <c r="LD65" s="3"/>
      <c r="LE65" s="3"/>
      <c r="LF65" s="3"/>
      <c r="LG65" s="3"/>
      <c r="LH65" s="3"/>
      <c r="LI65" s="3"/>
      <c r="LJ65" s="3"/>
      <c r="LK65" s="3"/>
      <c r="LL65" s="3"/>
      <c r="LM65" s="3"/>
      <c r="LN65" s="3"/>
      <c r="LO65" s="3"/>
      <c r="LP65" s="3"/>
      <c r="LQ65" s="3"/>
      <c r="LR65" s="3"/>
      <c r="LS65" s="3"/>
      <c r="LT65" s="3"/>
      <c r="LU65" s="3"/>
      <c r="LV65" s="3"/>
      <c r="LW65" s="3"/>
      <c r="LX65" s="3"/>
      <c r="LY65" s="3"/>
      <c r="LZ65" s="3"/>
      <c r="MA65" s="3"/>
      <c r="MB65" s="3"/>
      <c r="MC65" s="3"/>
      <c r="MD65" s="3"/>
      <c r="ME65" s="3"/>
      <c r="MF65" s="3"/>
      <c r="MG65" s="3"/>
      <c r="MH65" s="3"/>
      <c r="MI65" s="3"/>
      <c r="MJ65" s="3"/>
      <c r="MK65" s="3"/>
      <c r="ML65" s="3"/>
      <c r="MM65" s="3"/>
      <c r="MN65" s="3"/>
      <c r="MO65" s="3"/>
      <c r="MP65" s="3"/>
      <c r="MQ65" s="3"/>
      <c r="MR65" s="3"/>
      <c r="MS65" s="3"/>
      <c r="MT65" s="3"/>
      <c r="MU65" s="3"/>
      <c r="MV65" s="3"/>
      <c r="MW65" s="3"/>
      <c r="MX65" s="3"/>
      <c r="MY65" s="3"/>
      <c r="MZ65" s="3"/>
      <c r="NA65" s="3"/>
      <c r="NB65" s="3"/>
      <c r="NC65" s="3"/>
      <c r="ND65" s="3"/>
      <c r="NE65" s="3"/>
      <c r="NF65" s="3"/>
      <c r="NG65" s="3"/>
      <c r="NH65" s="3"/>
      <c r="NI65" s="3"/>
      <c r="NJ65" s="3"/>
      <c r="NK65" s="3"/>
      <c r="NL65" s="3"/>
      <c r="NM65" s="3"/>
      <c r="NN65" s="3"/>
      <c r="NO65" s="3"/>
      <c r="NP65" s="3"/>
      <c r="NQ65" s="3"/>
      <c r="NR65" s="3"/>
      <c r="NS65" s="3"/>
      <c r="NT65" s="3"/>
      <c r="NU65" s="3"/>
      <c r="NV65" s="3"/>
      <c r="NW65" s="3"/>
      <c r="NX65" s="3"/>
      <c r="NY65" s="3"/>
      <c r="NZ65" s="3"/>
      <c r="OA65" s="3"/>
      <c r="OB65" s="3"/>
      <c r="OC65" s="3"/>
      <c r="OD65" s="3"/>
      <c r="OE65" s="3"/>
      <c r="OF65" s="3"/>
      <c r="OG65" s="3"/>
      <c r="OH65" s="3"/>
      <c r="OI65" s="3"/>
      <c r="OJ65" s="3"/>
      <c r="OK65" s="3"/>
      <c r="OL65" s="3"/>
      <c r="OM65" s="3"/>
      <c r="ON65" s="3"/>
      <c r="OO65" s="3"/>
      <c r="OP65" s="3"/>
      <c r="OQ65" s="3"/>
      <c r="OR65" s="3"/>
      <c r="OS65" s="3"/>
      <c r="OT65" s="3"/>
      <c r="OU65" s="3"/>
      <c r="OV65" s="3"/>
      <c r="OW65" s="3"/>
      <c r="OX65" s="3"/>
      <c r="OY65" s="3"/>
      <c r="OZ65" s="3"/>
      <c r="PA65" s="3"/>
      <c r="PB65" s="3"/>
      <c r="PC65" s="3"/>
      <c r="PD65" s="3"/>
      <c r="PE65" s="3"/>
      <c r="PF65" s="3"/>
      <c r="PG65" s="3"/>
      <c r="PH65" s="3"/>
      <c r="PI65" s="3"/>
      <c r="PJ65" s="3"/>
      <c r="PK65" s="3"/>
      <c r="PL65" s="3"/>
      <c r="PM65" s="3"/>
      <c r="PN65" s="3"/>
      <c r="PO65" s="3"/>
      <c r="PP65" s="3"/>
      <c r="PQ65" s="3"/>
      <c r="PR65" s="3"/>
      <c r="PS65" s="3"/>
      <c r="PT65" s="3"/>
      <c r="PU65" s="3"/>
      <c r="PV65" s="3"/>
      <c r="PW65" s="3"/>
      <c r="PX65" s="3"/>
      <c r="PY65" s="3"/>
      <c r="PZ65" s="3"/>
      <c r="QA65" s="3"/>
      <c r="QB65" s="3"/>
      <c r="QC65" s="3"/>
      <c r="QD65" s="3"/>
      <c r="QE65" s="3"/>
      <c r="QF65" s="3"/>
      <c r="QG65" s="3"/>
      <c r="QH65" s="3"/>
      <c r="QI65" s="3"/>
      <c r="QJ65" s="3"/>
      <c r="QK65" s="3"/>
      <c r="QL65" s="3"/>
      <c r="QM65" s="3"/>
      <c r="QN65" s="3"/>
      <c r="QO65" s="3"/>
      <c r="QP65" s="3"/>
      <c r="QQ65" s="3"/>
      <c r="QR65" s="3"/>
      <c r="QS65" s="3"/>
      <c r="QT65" s="3"/>
      <c r="QU65" s="3"/>
      <c r="QV65" s="3"/>
      <c r="QW65" s="3"/>
      <c r="QX65" s="3"/>
      <c r="QY65" s="3"/>
      <c r="QZ65" s="3"/>
      <c r="RA65" s="3"/>
      <c r="RB65" s="3"/>
      <c r="RC65" s="3"/>
      <c r="RD65" s="3"/>
      <c r="RE65" s="3"/>
      <c r="RF65" s="3"/>
      <c r="RG65" s="3"/>
      <c r="RH65" s="3"/>
      <c r="RI65" s="3"/>
      <c r="RJ65" s="3"/>
      <c r="RK65" s="3"/>
      <c r="RL65" s="3"/>
      <c r="RM65" s="3"/>
      <c r="RN65" s="3"/>
      <c r="RO65" s="3"/>
      <c r="RP65" s="3"/>
      <c r="RQ65" s="3"/>
      <c r="RR65" s="3"/>
      <c r="RS65" s="3"/>
      <c r="RT65" s="3"/>
      <c r="RU65" s="3"/>
      <c r="RV65" s="3"/>
      <c r="RW65" s="3"/>
      <c r="RX65" s="3"/>
      <c r="RY65" s="3"/>
      <c r="RZ65" s="3"/>
      <c r="SA65" s="3"/>
      <c r="SB65" s="3"/>
      <c r="SC65" s="3"/>
      <c r="SD65" s="3"/>
      <c r="SE65" s="3"/>
      <c r="SF65" s="3"/>
      <c r="SG65" s="3"/>
      <c r="SH65" s="3"/>
      <c r="SI65" s="3"/>
      <c r="SJ65" s="3"/>
      <c r="SK65" s="3"/>
      <c r="SL65" s="3"/>
      <c r="SM65" s="3"/>
      <c r="SN65" s="3"/>
      <c r="SO65" s="3"/>
      <c r="SP65" s="3"/>
      <c r="SQ65" s="3"/>
      <c r="SR65" s="3"/>
      <c r="SS65" s="3"/>
      <c r="ST65" s="3"/>
      <c r="SU65" s="3"/>
      <c r="SV65" s="3"/>
      <c r="SW65" s="3"/>
      <c r="SX65" s="3"/>
      <c r="SY65" s="3"/>
      <c r="SZ65" s="3"/>
      <c r="TA65" s="3"/>
      <c r="TB65" s="3"/>
      <c r="TC65" s="3"/>
      <c r="TD65" s="3"/>
      <c r="TE65" s="3"/>
      <c r="TF65" s="3"/>
      <c r="TG65" s="3"/>
      <c r="TH65" s="3"/>
      <c r="TI65" s="3"/>
      <c r="TJ65" s="3"/>
      <c r="TK65" s="3"/>
      <c r="TL65" s="3"/>
      <c r="TM65" s="3"/>
      <c r="TN65" s="3"/>
      <c r="TO65" s="3"/>
      <c r="TP65" s="3"/>
      <c r="TQ65" s="3"/>
      <c r="TR65" s="3"/>
      <c r="TS65" s="3"/>
      <c r="TT65" s="3"/>
      <c r="TU65" s="3"/>
      <c r="TV65" s="3"/>
      <c r="TW65" s="3"/>
      <c r="TX65" s="3"/>
      <c r="TY65" s="3"/>
      <c r="TZ65" s="3"/>
      <c r="UA65" s="3"/>
      <c r="UB65" s="3"/>
      <c r="UC65" s="3"/>
      <c r="UD65" s="3"/>
      <c r="UE65" s="3"/>
      <c r="UF65" s="3"/>
      <c r="UG65" s="3"/>
      <c r="UH65" s="3"/>
      <c r="UI65" s="3"/>
      <c r="UJ65" s="3"/>
      <c r="UK65" s="3"/>
      <c r="UL65" s="3"/>
      <c r="UM65" s="3"/>
      <c r="UN65" s="3"/>
      <c r="UO65" s="3"/>
      <c r="UP65" s="3"/>
      <c r="UQ65" s="3"/>
      <c r="UR65" s="3"/>
      <c r="US65" s="3"/>
      <c r="UT65" s="3"/>
      <c r="UU65" s="3"/>
      <c r="UV65" s="3"/>
      <c r="UW65" s="3"/>
      <c r="UX65" s="3"/>
      <c r="UY65" s="3"/>
      <c r="UZ65" s="3"/>
      <c r="VA65" s="3"/>
      <c r="VB65" s="3"/>
      <c r="VC65" s="3"/>
      <c r="VD65" s="3"/>
      <c r="VE65" s="3"/>
      <c r="VF65" s="3"/>
      <c r="VG65" s="3"/>
      <c r="VH65" s="3"/>
      <c r="VI65" s="3"/>
      <c r="VJ65" s="3"/>
      <c r="VK65" s="3"/>
      <c r="VL65" s="3"/>
      <c r="VM65" s="3"/>
      <c r="VN65" s="3"/>
      <c r="VO65" s="3"/>
      <c r="VP65" s="3"/>
      <c r="VQ65" s="3"/>
      <c r="VR65" s="3"/>
      <c r="VS65" s="3"/>
      <c r="VT65" s="3"/>
      <c r="VU65" s="3"/>
      <c r="VV65" s="3"/>
      <c r="VW65" s="3"/>
      <c r="VX65" s="3"/>
      <c r="VY65" s="3"/>
      <c r="VZ65" s="3"/>
      <c r="WA65" s="3"/>
      <c r="WB65" s="3"/>
      <c r="WC65" s="3"/>
      <c r="WD65" s="3"/>
      <c r="WE65" s="3"/>
      <c r="WF65" s="3"/>
      <c r="WG65" s="3"/>
      <c r="WH65" s="3"/>
      <c r="WI65" s="3"/>
      <c r="WJ65" s="3"/>
      <c r="WK65" s="3"/>
      <c r="WL65" s="3"/>
      <c r="WM65" s="3"/>
      <c r="WN65" s="3"/>
      <c r="WO65" s="3"/>
      <c r="WP65" s="3"/>
      <c r="WQ65" s="3"/>
      <c r="WR65" s="3"/>
      <c r="WS65" s="3"/>
      <c r="WT65" s="3"/>
      <c r="WU65" s="3"/>
      <c r="WV65" s="3"/>
      <c r="WW65" s="3"/>
      <c r="WX65" s="3"/>
      <c r="WY65" s="3"/>
      <c r="WZ65" s="3"/>
      <c r="XA65" s="3"/>
      <c r="XB65" s="3"/>
      <c r="XC65" s="3"/>
      <c r="XD65" s="3"/>
      <c r="XE65" s="3"/>
      <c r="XF65" s="3"/>
      <c r="XG65" s="3"/>
      <c r="XH65" s="3"/>
      <c r="XI65" s="3"/>
      <c r="XJ65" s="3"/>
      <c r="XK65" s="3"/>
      <c r="XL65" s="3"/>
      <c r="XM65" s="3"/>
      <c r="XN65" s="3"/>
      <c r="XO65" s="3"/>
      <c r="XP65" s="3"/>
      <c r="XQ65" s="3"/>
      <c r="XR65" s="3"/>
      <c r="XS65" s="3"/>
      <c r="XT65" s="3"/>
      <c r="XU65" s="3"/>
      <c r="XV65" s="3"/>
      <c r="XW65" s="3"/>
      <c r="XX65" s="3"/>
      <c r="XY65" s="3"/>
      <c r="XZ65" s="3"/>
      <c r="YA65" s="3"/>
      <c r="YB65" s="3"/>
      <c r="YC65" s="3"/>
      <c r="YD65" s="3"/>
      <c r="YE65" s="3"/>
      <c r="YF65" s="3"/>
      <c r="YG65" s="3"/>
      <c r="YH65" s="3"/>
      <c r="YI65" s="3"/>
      <c r="YJ65" s="3"/>
      <c r="YK65" s="3"/>
      <c r="YL65" s="3"/>
      <c r="YM65" s="3"/>
      <c r="YN65" s="3"/>
      <c r="YO65" s="3"/>
      <c r="YP65" s="3"/>
      <c r="YQ65" s="3"/>
      <c r="YR65" s="3"/>
      <c r="YS65" s="3"/>
      <c r="YT65" s="3"/>
      <c r="YU65" s="3"/>
      <c r="YV65" s="3"/>
      <c r="YW65" s="3"/>
      <c r="YX65" s="3"/>
      <c r="YY65" s="3"/>
      <c r="YZ65" s="3"/>
      <c r="ZA65" s="3"/>
      <c r="ZB65" s="3"/>
      <c r="ZC65" s="3"/>
    </row>
    <row r="66" spans="1:679" s="2" customFormat="1" x14ac:dyDescent="0.45">
      <c r="A66" s="3" t="s">
        <v>11</v>
      </c>
      <c r="B66" s="4">
        <v>31635</v>
      </c>
      <c r="C66" s="7" t="s">
        <v>25</v>
      </c>
      <c r="D66" s="6" t="s">
        <v>80</v>
      </c>
      <c r="E66" s="3"/>
      <c r="F66" s="3">
        <v>4</v>
      </c>
      <c r="L66" s="3"/>
      <c r="M66" s="3"/>
      <c r="N66" s="48"/>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c r="DN66" s="3"/>
      <c r="DO66" s="3"/>
      <c r="DP66" s="3"/>
      <c r="DQ66" s="3"/>
      <c r="DR66" s="3"/>
      <c r="DS66" s="3"/>
      <c r="DT66" s="3"/>
      <c r="DU66" s="3"/>
      <c r="DV66" s="3"/>
      <c r="DW66" s="3"/>
      <c r="DX66" s="3"/>
      <c r="DY66" s="3"/>
      <c r="DZ66" s="3"/>
      <c r="EA66" s="3"/>
      <c r="EB66" s="3"/>
      <c r="EC66" s="3"/>
      <c r="ED66" s="3"/>
      <c r="EE66" s="3"/>
      <c r="EF66" s="3"/>
      <c r="EG66" s="3"/>
      <c r="EH66" s="3"/>
      <c r="EI66" s="3"/>
      <c r="EJ66" s="3"/>
      <c r="EK66" s="3"/>
      <c r="EL66" s="3"/>
      <c r="EM66" s="3"/>
      <c r="EN66" s="3"/>
      <c r="EO66" s="3"/>
      <c r="EP66" s="3"/>
      <c r="EQ66" s="3"/>
      <c r="ER66" s="3"/>
      <c r="ES66" s="3"/>
      <c r="ET66" s="3"/>
      <c r="EU66" s="3"/>
      <c r="EV66" s="3"/>
      <c r="EW66" s="3"/>
      <c r="EX66" s="3"/>
      <c r="EY66" s="3"/>
      <c r="EZ66" s="3"/>
      <c r="FA66" s="3"/>
      <c r="FB66" s="3"/>
      <c r="FC66" s="3"/>
      <c r="FD66" s="3"/>
      <c r="FE66" s="3"/>
      <c r="FF66" s="3"/>
      <c r="FG66" s="3"/>
      <c r="FH66" s="3"/>
      <c r="FI66" s="3"/>
      <c r="FJ66" s="3"/>
      <c r="FK66" s="3"/>
      <c r="FL66" s="3"/>
      <c r="FM66" s="3"/>
      <c r="FN66" s="3"/>
      <c r="FO66" s="3"/>
      <c r="FP66" s="3"/>
      <c r="FQ66" s="3"/>
      <c r="FR66" s="3"/>
      <c r="FS66" s="3"/>
      <c r="FT66" s="3"/>
      <c r="FU66" s="3"/>
      <c r="FV66" s="3"/>
      <c r="FW66" s="3"/>
      <c r="FX66" s="3"/>
      <c r="FY66" s="3"/>
      <c r="FZ66" s="3"/>
      <c r="GA66" s="3"/>
      <c r="GB66" s="3"/>
      <c r="GC66" s="3"/>
      <c r="GD66" s="3"/>
      <c r="GE66" s="3"/>
      <c r="GF66" s="3"/>
      <c r="GG66" s="3"/>
      <c r="GH66" s="3"/>
      <c r="GI66" s="3"/>
      <c r="GJ66" s="3"/>
      <c r="GK66" s="3"/>
      <c r="GL66" s="3"/>
      <c r="GM66" s="3"/>
      <c r="GN66" s="3"/>
      <c r="GO66" s="3"/>
      <c r="GP66" s="3"/>
      <c r="GQ66" s="3"/>
      <c r="GR66" s="3"/>
      <c r="GS66" s="3"/>
      <c r="GT66" s="3"/>
      <c r="GU66" s="3"/>
      <c r="GV66" s="3"/>
      <c r="GW66" s="3"/>
      <c r="GX66" s="3"/>
      <c r="GY66" s="3"/>
      <c r="GZ66" s="3"/>
      <c r="HA66" s="3"/>
      <c r="HB66" s="3"/>
      <c r="HC66" s="3"/>
      <c r="HD66" s="3"/>
      <c r="HE66" s="3"/>
      <c r="HF66" s="3"/>
      <c r="HG66" s="3"/>
      <c r="HH66" s="3"/>
      <c r="HI66" s="3"/>
      <c r="HJ66" s="3"/>
      <c r="HK66" s="3"/>
      <c r="HL66" s="3"/>
      <c r="HM66" s="3"/>
      <c r="HN66" s="3"/>
      <c r="HO66" s="3"/>
      <c r="HP66" s="3"/>
      <c r="HQ66" s="3"/>
      <c r="HR66" s="3"/>
      <c r="HS66" s="3"/>
      <c r="HT66" s="3"/>
      <c r="HU66" s="3"/>
      <c r="HV66" s="3"/>
      <c r="HW66" s="3"/>
      <c r="HX66" s="3"/>
      <c r="HY66" s="3"/>
      <c r="HZ66" s="3"/>
      <c r="IA66" s="3"/>
      <c r="IB66" s="3"/>
      <c r="IC66" s="3"/>
      <c r="ID66" s="3"/>
      <c r="IE66" s="3"/>
      <c r="IF66" s="3"/>
      <c r="IG66" s="3"/>
      <c r="IH66" s="3"/>
      <c r="II66" s="3"/>
      <c r="IJ66" s="3"/>
      <c r="IK66" s="3"/>
      <c r="IL66" s="3"/>
      <c r="IM66" s="3"/>
      <c r="IN66" s="3"/>
      <c r="IO66" s="3"/>
      <c r="IP66" s="3"/>
      <c r="IQ66" s="3"/>
      <c r="IR66" s="3"/>
      <c r="IS66" s="3"/>
      <c r="IT66" s="3"/>
      <c r="IU66" s="3"/>
      <c r="IV66" s="3"/>
      <c r="IW66" s="3"/>
      <c r="IX66" s="3"/>
      <c r="IY66" s="3"/>
      <c r="IZ66" s="3"/>
      <c r="JA66" s="3"/>
      <c r="JB66" s="3"/>
      <c r="JC66" s="3"/>
      <c r="JD66" s="3"/>
      <c r="JE66" s="3"/>
      <c r="JF66" s="3"/>
      <c r="JG66" s="3"/>
      <c r="JH66" s="3"/>
      <c r="JI66" s="3"/>
      <c r="JJ66" s="3"/>
      <c r="JK66" s="3"/>
      <c r="JL66" s="3"/>
      <c r="JM66" s="3"/>
      <c r="JN66" s="3"/>
      <c r="JO66" s="3"/>
      <c r="JP66" s="3"/>
      <c r="JQ66" s="3"/>
      <c r="JR66" s="3"/>
      <c r="JS66" s="3"/>
      <c r="JT66" s="3"/>
      <c r="JU66" s="3"/>
      <c r="JV66" s="3"/>
      <c r="JW66" s="3"/>
      <c r="JX66" s="3"/>
      <c r="JY66" s="3"/>
      <c r="JZ66" s="3"/>
      <c r="KA66" s="3"/>
      <c r="KB66" s="3"/>
      <c r="KC66" s="3"/>
      <c r="KD66" s="3"/>
      <c r="KE66" s="3"/>
      <c r="KF66" s="3"/>
      <c r="KG66" s="3"/>
      <c r="KH66" s="3"/>
      <c r="KI66" s="3"/>
      <c r="KJ66" s="3"/>
      <c r="KK66" s="3"/>
      <c r="KL66" s="3"/>
      <c r="KM66" s="3"/>
      <c r="KN66" s="3"/>
      <c r="KO66" s="3"/>
      <c r="KP66" s="3"/>
      <c r="KQ66" s="3"/>
      <c r="KR66" s="3"/>
      <c r="KS66" s="3"/>
      <c r="KT66" s="3"/>
      <c r="KU66" s="3"/>
      <c r="KV66" s="3"/>
      <c r="KW66" s="3"/>
      <c r="KX66" s="3"/>
      <c r="KY66" s="3"/>
      <c r="KZ66" s="3"/>
      <c r="LA66" s="3"/>
      <c r="LB66" s="3"/>
      <c r="LC66" s="3"/>
      <c r="LD66" s="3"/>
      <c r="LE66" s="3"/>
      <c r="LF66" s="3"/>
      <c r="LG66" s="3"/>
      <c r="LH66" s="3"/>
      <c r="LI66" s="3"/>
      <c r="LJ66" s="3"/>
      <c r="LK66" s="3"/>
      <c r="LL66" s="3"/>
      <c r="LM66" s="3"/>
      <c r="LN66" s="3"/>
      <c r="LO66" s="3"/>
      <c r="LP66" s="3"/>
      <c r="LQ66" s="3"/>
      <c r="LR66" s="3"/>
      <c r="LS66" s="3"/>
      <c r="LT66" s="3"/>
      <c r="LU66" s="3"/>
      <c r="LV66" s="3"/>
      <c r="LW66" s="3"/>
      <c r="LX66" s="3"/>
      <c r="LY66" s="3"/>
      <c r="LZ66" s="3"/>
      <c r="MA66" s="3"/>
      <c r="MB66" s="3"/>
      <c r="MC66" s="3"/>
      <c r="MD66" s="3"/>
      <c r="ME66" s="3"/>
      <c r="MF66" s="3"/>
      <c r="MG66" s="3"/>
      <c r="MH66" s="3"/>
      <c r="MI66" s="3"/>
      <c r="MJ66" s="3"/>
      <c r="MK66" s="3"/>
      <c r="ML66" s="3"/>
      <c r="MM66" s="3"/>
      <c r="MN66" s="3"/>
      <c r="MO66" s="3"/>
      <c r="MP66" s="3"/>
      <c r="MQ66" s="3"/>
      <c r="MR66" s="3"/>
      <c r="MS66" s="3"/>
      <c r="MT66" s="3"/>
      <c r="MU66" s="3"/>
      <c r="MV66" s="3"/>
      <c r="MW66" s="3"/>
      <c r="MX66" s="3"/>
      <c r="MY66" s="3"/>
      <c r="MZ66" s="3"/>
      <c r="NA66" s="3"/>
      <c r="NB66" s="3"/>
      <c r="NC66" s="3"/>
      <c r="ND66" s="3"/>
      <c r="NE66" s="3"/>
      <c r="NF66" s="3"/>
      <c r="NG66" s="3"/>
      <c r="NH66" s="3"/>
      <c r="NI66" s="3"/>
      <c r="NJ66" s="3"/>
      <c r="NK66" s="3"/>
      <c r="NL66" s="3"/>
      <c r="NM66" s="3"/>
      <c r="NN66" s="3"/>
      <c r="NO66" s="3"/>
      <c r="NP66" s="3"/>
      <c r="NQ66" s="3"/>
      <c r="NR66" s="3"/>
      <c r="NS66" s="3"/>
      <c r="NT66" s="3"/>
      <c r="NU66" s="3"/>
      <c r="NV66" s="3"/>
      <c r="NW66" s="3"/>
      <c r="NX66" s="3"/>
      <c r="NY66" s="3"/>
      <c r="NZ66" s="3"/>
      <c r="OA66" s="3"/>
      <c r="OB66" s="3"/>
      <c r="OC66" s="3"/>
      <c r="OD66" s="3"/>
      <c r="OE66" s="3"/>
      <c r="OF66" s="3"/>
      <c r="OG66" s="3"/>
      <c r="OH66" s="3"/>
      <c r="OI66" s="3"/>
      <c r="OJ66" s="3"/>
      <c r="OK66" s="3"/>
      <c r="OL66" s="3"/>
      <c r="OM66" s="3"/>
      <c r="ON66" s="3"/>
      <c r="OO66" s="3"/>
      <c r="OP66" s="3"/>
      <c r="OQ66" s="3"/>
      <c r="OR66" s="3"/>
      <c r="OS66" s="3"/>
      <c r="OT66" s="3"/>
      <c r="OU66" s="3"/>
      <c r="OV66" s="3"/>
      <c r="OW66" s="3"/>
      <c r="OX66" s="3"/>
      <c r="OY66" s="3"/>
      <c r="OZ66" s="3"/>
      <c r="PA66" s="3"/>
      <c r="PB66" s="3"/>
      <c r="PC66" s="3"/>
      <c r="PD66" s="3"/>
      <c r="PE66" s="3"/>
      <c r="PF66" s="3"/>
      <c r="PG66" s="3"/>
      <c r="PH66" s="3"/>
      <c r="PI66" s="3"/>
      <c r="PJ66" s="3"/>
      <c r="PK66" s="3"/>
      <c r="PL66" s="3"/>
      <c r="PM66" s="3"/>
      <c r="PN66" s="3"/>
      <c r="PO66" s="3"/>
      <c r="PP66" s="3"/>
      <c r="PQ66" s="3"/>
      <c r="PR66" s="3"/>
      <c r="PS66" s="3"/>
      <c r="PT66" s="3"/>
      <c r="PU66" s="3"/>
      <c r="PV66" s="3"/>
      <c r="PW66" s="3"/>
      <c r="PX66" s="3"/>
      <c r="PY66" s="3"/>
      <c r="PZ66" s="3"/>
      <c r="QA66" s="3"/>
      <c r="QB66" s="3"/>
      <c r="QC66" s="3"/>
      <c r="QD66" s="3"/>
      <c r="QE66" s="3"/>
      <c r="QF66" s="3"/>
      <c r="QG66" s="3"/>
      <c r="QH66" s="3"/>
      <c r="QI66" s="3"/>
      <c r="QJ66" s="3"/>
      <c r="QK66" s="3"/>
      <c r="QL66" s="3"/>
      <c r="QM66" s="3"/>
      <c r="QN66" s="3"/>
      <c r="QO66" s="3"/>
      <c r="QP66" s="3"/>
      <c r="QQ66" s="3"/>
      <c r="QR66" s="3"/>
      <c r="QS66" s="3"/>
      <c r="QT66" s="3"/>
      <c r="QU66" s="3"/>
      <c r="QV66" s="3"/>
      <c r="QW66" s="3"/>
      <c r="QX66" s="3"/>
      <c r="QY66" s="3"/>
      <c r="QZ66" s="3"/>
      <c r="RA66" s="3"/>
      <c r="RB66" s="3"/>
      <c r="RC66" s="3"/>
      <c r="RD66" s="3"/>
      <c r="RE66" s="3"/>
      <c r="RF66" s="3"/>
      <c r="RG66" s="3"/>
      <c r="RH66" s="3"/>
      <c r="RI66" s="3"/>
      <c r="RJ66" s="3"/>
      <c r="RK66" s="3"/>
      <c r="RL66" s="3"/>
      <c r="RM66" s="3"/>
      <c r="RN66" s="3"/>
      <c r="RO66" s="3"/>
      <c r="RP66" s="3"/>
      <c r="RQ66" s="3"/>
      <c r="RR66" s="3"/>
      <c r="RS66" s="3"/>
      <c r="RT66" s="3"/>
      <c r="RU66" s="3"/>
      <c r="RV66" s="3"/>
      <c r="RW66" s="3"/>
      <c r="RX66" s="3"/>
      <c r="RY66" s="3"/>
      <c r="RZ66" s="3"/>
      <c r="SA66" s="3"/>
      <c r="SB66" s="3"/>
      <c r="SC66" s="3"/>
      <c r="SD66" s="3"/>
      <c r="SE66" s="3"/>
      <c r="SF66" s="3"/>
      <c r="SG66" s="3"/>
      <c r="SH66" s="3"/>
      <c r="SI66" s="3"/>
      <c r="SJ66" s="3"/>
      <c r="SK66" s="3"/>
      <c r="SL66" s="3"/>
      <c r="SM66" s="3"/>
      <c r="SN66" s="3"/>
      <c r="SO66" s="3"/>
      <c r="SP66" s="3"/>
      <c r="SQ66" s="3"/>
      <c r="SR66" s="3"/>
      <c r="SS66" s="3"/>
      <c r="ST66" s="3"/>
      <c r="SU66" s="3"/>
      <c r="SV66" s="3"/>
      <c r="SW66" s="3"/>
      <c r="SX66" s="3"/>
      <c r="SY66" s="3"/>
      <c r="SZ66" s="3"/>
      <c r="TA66" s="3"/>
      <c r="TB66" s="3"/>
      <c r="TC66" s="3"/>
      <c r="TD66" s="3"/>
      <c r="TE66" s="3"/>
      <c r="TF66" s="3"/>
      <c r="TG66" s="3"/>
      <c r="TH66" s="3"/>
      <c r="TI66" s="3"/>
      <c r="TJ66" s="3"/>
      <c r="TK66" s="3"/>
      <c r="TL66" s="3"/>
      <c r="TM66" s="3"/>
      <c r="TN66" s="3"/>
      <c r="TO66" s="3"/>
      <c r="TP66" s="3"/>
      <c r="TQ66" s="3"/>
      <c r="TR66" s="3"/>
      <c r="TS66" s="3"/>
      <c r="TT66" s="3"/>
      <c r="TU66" s="3"/>
      <c r="TV66" s="3"/>
      <c r="TW66" s="3"/>
      <c r="TX66" s="3"/>
      <c r="TY66" s="3"/>
      <c r="TZ66" s="3"/>
      <c r="UA66" s="3"/>
      <c r="UB66" s="3"/>
      <c r="UC66" s="3"/>
      <c r="UD66" s="3"/>
      <c r="UE66" s="3"/>
      <c r="UF66" s="3"/>
      <c r="UG66" s="3"/>
      <c r="UH66" s="3"/>
      <c r="UI66" s="3"/>
      <c r="UJ66" s="3"/>
      <c r="UK66" s="3"/>
      <c r="UL66" s="3"/>
      <c r="UM66" s="3"/>
      <c r="UN66" s="3"/>
      <c r="UO66" s="3"/>
      <c r="UP66" s="3"/>
      <c r="UQ66" s="3"/>
      <c r="UR66" s="3"/>
      <c r="US66" s="3"/>
      <c r="UT66" s="3"/>
      <c r="UU66" s="3"/>
      <c r="UV66" s="3"/>
      <c r="UW66" s="3"/>
      <c r="UX66" s="3"/>
      <c r="UY66" s="3"/>
      <c r="UZ66" s="3"/>
      <c r="VA66" s="3"/>
      <c r="VB66" s="3"/>
      <c r="VC66" s="3"/>
      <c r="VD66" s="3"/>
      <c r="VE66" s="3"/>
      <c r="VF66" s="3"/>
      <c r="VG66" s="3"/>
      <c r="VH66" s="3"/>
      <c r="VI66" s="3"/>
      <c r="VJ66" s="3"/>
      <c r="VK66" s="3"/>
      <c r="VL66" s="3"/>
      <c r="VM66" s="3"/>
      <c r="VN66" s="3"/>
      <c r="VO66" s="3"/>
      <c r="VP66" s="3"/>
      <c r="VQ66" s="3"/>
      <c r="VR66" s="3"/>
      <c r="VS66" s="3"/>
      <c r="VT66" s="3"/>
      <c r="VU66" s="3"/>
      <c r="VV66" s="3"/>
      <c r="VW66" s="3"/>
      <c r="VX66" s="3"/>
      <c r="VY66" s="3"/>
      <c r="VZ66" s="3"/>
      <c r="WA66" s="3"/>
      <c r="WB66" s="3"/>
      <c r="WC66" s="3"/>
      <c r="WD66" s="3"/>
      <c r="WE66" s="3"/>
      <c r="WF66" s="3"/>
      <c r="WG66" s="3"/>
      <c r="WH66" s="3"/>
      <c r="WI66" s="3"/>
      <c r="WJ66" s="3"/>
      <c r="WK66" s="3"/>
      <c r="WL66" s="3"/>
      <c r="WM66" s="3"/>
      <c r="WN66" s="3"/>
      <c r="WO66" s="3"/>
      <c r="WP66" s="3"/>
      <c r="WQ66" s="3"/>
      <c r="WR66" s="3"/>
      <c r="WS66" s="3"/>
      <c r="WT66" s="3"/>
      <c r="WU66" s="3"/>
      <c r="WV66" s="3"/>
      <c r="WW66" s="3"/>
      <c r="WX66" s="3"/>
      <c r="WY66" s="3"/>
      <c r="WZ66" s="3"/>
      <c r="XA66" s="3"/>
      <c r="XB66" s="3"/>
      <c r="XC66" s="3"/>
      <c r="XD66" s="3"/>
      <c r="XE66" s="3"/>
      <c r="XF66" s="3"/>
      <c r="XG66" s="3"/>
      <c r="XH66" s="3"/>
      <c r="XI66" s="3"/>
      <c r="XJ66" s="3"/>
      <c r="XK66" s="3"/>
      <c r="XL66" s="3"/>
      <c r="XM66" s="3"/>
      <c r="XN66" s="3"/>
      <c r="XO66" s="3"/>
      <c r="XP66" s="3"/>
      <c r="XQ66" s="3"/>
      <c r="XR66" s="3"/>
      <c r="XS66" s="3"/>
      <c r="XT66" s="3"/>
      <c r="XU66" s="3"/>
      <c r="XV66" s="3"/>
      <c r="XW66" s="3"/>
      <c r="XX66" s="3"/>
      <c r="XY66" s="3"/>
      <c r="XZ66" s="3"/>
      <c r="YA66" s="3"/>
      <c r="YB66" s="3"/>
      <c r="YC66" s="3"/>
      <c r="YD66" s="3"/>
      <c r="YE66" s="3"/>
      <c r="YF66" s="3"/>
      <c r="YG66" s="3"/>
      <c r="YH66" s="3"/>
      <c r="YI66" s="3"/>
      <c r="YJ66" s="3"/>
      <c r="YK66" s="3"/>
      <c r="YL66" s="3"/>
      <c r="YM66" s="3"/>
      <c r="YN66" s="3"/>
      <c r="YO66" s="3"/>
      <c r="YP66" s="3"/>
      <c r="YQ66" s="3"/>
      <c r="YR66" s="3"/>
      <c r="YS66" s="3"/>
      <c r="YT66" s="3"/>
      <c r="YU66" s="3"/>
      <c r="YV66" s="3"/>
      <c r="YW66" s="3"/>
      <c r="YX66" s="3"/>
      <c r="YY66" s="3"/>
      <c r="YZ66" s="3"/>
      <c r="ZA66" s="3"/>
      <c r="ZB66" s="3"/>
      <c r="ZC66" s="3"/>
    </row>
    <row r="67" spans="1:679" s="2" customFormat="1" x14ac:dyDescent="0.45">
      <c r="A67" s="3" t="s">
        <v>11</v>
      </c>
      <c r="B67" s="4">
        <v>31643</v>
      </c>
      <c r="C67" s="7" t="s">
        <v>21</v>
      </c>
      <c r="D67" s="6" t="s">
        <v>81</v>
      </c>
      <c r="E67" s="3"/>
      <c r="F67" s="3">
        <v>11</v>
      </c>
      <c r="L67" s="3"/>
      <c r="M67" s="3"/>
      <c r="N67" s="48"/>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c r="EU67" s="3"/>
      <c r="EV67" s="3"/>
      <c r="EW67" s="3"/>
      <c r="EX67" s="3"/>
      <c r="EY67" s="3"/>
      <c r="EZ67" s="3"/>
      <c r="FA67" s="3"/>
      <c r="FB67" s="3"/>
      <c r="FC67" s="3"/>
      <c r="FD67" s="3"/>
      <c r="FE67" s="3"/>
      <c r="FF67" s="3"/>
      <c r="FG67" s="3"/>
      <c r="FH67" s="3"/>
      <c r="FI67" s="3"/>
      <c r="FJ67" s="3"/>
      <c r="FK67" s="3"/>
      <c r="FL67" s="3"/>
      <c r="FM67" s="3"/>
      <c r="FN67" s="3"/>
      <c r="FO67" s="3"/>
      <c r="FP67" s="3"/>
      <c r="FQ67" s="3"/>
      <c r="FR67" s="3"/>
      <c r="FS67" s="3"/>
      <c r="FT67" s="3"/>
      <c r="FU67" s="3"/>
      <c r="FV67" s="3"/>
      <c r="FW67" s="3"/>
      <c r="FX67" s="3"/>
      <c r="FY67" s="3"/>
      <c r="FZ67" s="3"/>
      <c r="GA67" s="3"/>
      <c r="GB67" s="3"/>
      <c r="GC67" s="3"/>
      <c r="GD67" s="3"/>
      <c r="GE67" s="3"/>
      <c r="GF67" s="3"/>
      <c r="GG67" s="3"/>
      <c r="GH67" s="3"/>
      <c r="GI67" s="3"/>
      <c r="GJ67" s="3"/>
      <c r="GK67" s="3"/>
      <c r="GL67" s="3"/>
      <c r="GM67" s="3"/>
      <c r="GN67" s="3"/>
      <c r="GO67" s="3"/>
      <c r="GP67" s="3"/>
      <c r="GQ67" s="3"/>
      <c r="GR67" s="3"/>
      <c r="GS67" s="3"/>
      <c r="GT67" s="3"/>
      <c r="GU67" s="3"/>
      <c r="GV67" s="3"/>
      <c r="GW67" s="3"/>
      <c r="GX67" s="3"/>
      <c r="GY67" s="3"/>
      <c r="GZ67" s="3"/>
      <c r="HA67" s="3"/>
      <c r="HB67" s="3"/>
      <c r="HC67" s="3"/>
      <c r="HD67" s="3"/>
      <c r="HE67" s="3"/>
      <c r="HF67" s="3"/>
      <c r="HG67" s="3"/>
      <c r="HH67" s="3"/>
      <c r="HI67" s="3"/>
      <c r="HJ67" s="3"/>
      <c r="HK67" s="3"/>
      <c r="HL67" s="3"/>
      <c r="HM67" s="3"/>
      <c r="HN67" s="3"/>
      <c r="HO67" s="3"/>
      <c r="HP67" s="3"/>
      <c r="HQ67" s="3"/>
      <c r="HR67" s="3"/>
      <c r="HS67" s="3"/>
      <c r="HT67" s="3"/>
      <c r="HU67" s="3"/>
      <c r="HV67" s="3"/>
      <c r="HW67" s="3"/>
      <c r="HX67" s="3"/>
      <c r="HY67" s="3"/>
      <c r="HZ67" s="3"/>
      <c r="IA67" s="3"/>
      <c r="IB67" s="3"/>
      <c r="IC67" s="3"/>
      <c r="ID67" s="3"/>
      <c r="IE67" s="3"/>
      <c r="IF67" s="3"/>
      <c r="IG67" s="3"/>
      <c r="IH67" s="3"/>
      <c r="II67" s="3"/>
      <c r="IJ67" s="3"/>
      <c r="IK67" s="3"/>
      <c r="IL67" s="3"/>
      <c r="IM67" s="3"/>
      <c r="IN67" s="3"/>
      <c r="IO67" s="3"/>
      <c r="IP67" s="3"/>
      <c r="IQ67" s="3"/>
      <c r="IR67" s="3"/>
      <c r="IS67" s="3"/>
      <c r="IT67" s="3"/>
      <c r="IU67" s="3"/>
      <c r="IV67" s="3"/>
      <c r="IW67" s="3"/>
      <c r="IX67" s="3"/>
      <c r="IY67" s="3"/>
      <c r="IZ67" s="3"/>
      <c r="JA67" s="3"/>
      <c r="JB67" s="3"/>
      <c r="JC67" s="3"/>
      <c r="JD67" s="3"/>
      <c r="JE67" s="3"/>
      <c r="JF67" s="3"/>
      <c r="JG67" s="3"/>
      <c r="JH67" s="3"/>
      <c r="JI67" s="3"/>
      <c r="JJ67" s="3"/>
      <c r="JK67" s="3"/>
      <c r="JL67" s="3"/>
      <c r="JM67" s="3"/>
      <c r="JN67" s="3"/>
      <c r="JO67" s="3"/>
      <c r="JP67" s="3"/>
      <c r="JQ67" s="3"/>
      <c r="JR67" s="3"/>
      <c r="JS67" s="3"/>
      <c r="JT67" s="3"/>
      <c r="JU67" s="3"/>
      <c r="JV67" s="3"/>
      <c r="JW67" s="3"/>
      <c r="JX67" s="3"/>
      <c r="JY67" s="3"/>
      <c r="JZ67" s="3"/>
      <c r="KA67" s="3"/>
      <c r="KB67" s="3"/>
      <c r="KC67" s="3"/>
      <c r="KD67" s="3"/>
      <c r="KE67" s="3"/>
      <c r="KF67" s="3"/>
      <c r="KG67" s="3"/>
      <c r="KH67" s="3"/>
      <c r="KI67" s="3"/>
      <c r="KJ67" s="3"/>
      <c r="KK67" s="3"/>
      <c r="KL67" s="3"/>
      <c r="KM67" s="3"/>
      <c r="KN67" s="3"/>
      <c r="KO67" s="3"/>
      <c r="KP67" s="3"/>
      <c r="KQ67" s="3"/>
      <c r="KR67" s="3"/>
      <c r="KS67" s="3"/>
      <c r="KT67" s="3"/>
      <c r="KU67" s="3"/>
      <c r="KV67" s="3"/>
      <c r="KW67" s="3"/>
      <c r="KX67" s="3"/>
      <c r="KY67" s="3"/>
      <c r="KZ67" s="3"/>
      <c r="LA67" s="3"/>
      <c r="LB67" s="3"/>
      <c r="LC67" s="3"/>
      <c r="LD67" s="3"/>
      <c r="LE67" s="3"/>
      <c r="LF67" s="3"/>
      <c r="LG67" s="3"/>
      <c r="LH67" s="3"/>
      <c r="LI67" s="3"/>
      <c r="LJ67" s="3"/>
      <c r="LK67" s="3"/>
      <c r="LL67" s="3"/>
      <c r="LM67" s="3"/>
      <c r="LN67" s="3"/>
      <c r="LO67" s="3"/>
      <c r="LP67" s="3"/>
      <c r="LQ67" s="3"/>
      <c r="LR67" s="3"/>
      <c r="LS67" s="3"/>
      <c r="LT67" s="3"/>
      <c r="LU67" s="3"/>
      <c r="LV67" s="3"/>
      <c r="LW67" s="3"/>
      <c r="LX67" s="3"/>
      <c r="LY67" s="3"/>
      <c r="LZ67" s="3"/>
      <c r="MA67" s="3"/>
      <c r="MB67" s="3"/>
      <c r="MC67" s="3"/>
      <c r="MD67" s="3"/>
      <c r="ME67" s="3"/>
      <c r="MF67" s="3"/>
      <c r="MG67" s="3"/>
      <c r="MH67" s="3"/>
      <c r="MI67" s="3"/>
      <c r="MJ67" s="3"/>
      <c r="MK67" s="3"/>
      <c r="ML67" s="3"/>
      <c r="MM67" s="3"/>
      <c r="MN67" s="3"/>
      <c r="MO67" s="3"/>
      <c r="MP67" s="3"/>
      <c r="MQ67" s="3"/>
      <c r="MR67" s="3"/>
      <c r="MS67" s="3"/>
      <c r="MT67" s="3"/>
      <c r="MU67" s="3"/>
      <c r="MV67" s="3"/>
      <c r="MW67" s="3"/>
      <c r="MX67" s="3"/>
      <c r="MY67" s="3"/>
      <c r="MZ67" s="3"/>
      <c r="NA67" s="3"/>
      <c r="NB67" s="3"/>
      <c r="NC67" s="3"/>
      <c r="ND67" s="3"/>
      <c r="NE67" s="3"/>
      <c r="NF67" s="3"/>
      <c r="NG67" s="3"/>
      <c r="NH67" s="3"/>
      <c r="NI67" s="3"/>
      <c r="NJ67" s="3"/>
      <c r="NK67" s="3"/>
      <c r="NL67" s="3"/>
      <c r="NM67" s="3"/>
      <c r="NN67" s="3"/>
      <c r="NO67" s="3"/>
      <c r="NP67" s="3"/>
      <c r="NQ67" s="3"/>
      <c r="NR67" s="3"/>
      <c r="NS67" s="3"/>
      <c r="NT67" s="3"/>
      <c r="NU67" s="3"/>
      <c r="NV67" s="3"/>
      <c r="NW67" s="3"/>
      <c r="NX67" s="3"/>
      <c r="NY67" s="3"/>
      <c r="NZ67" s="3"/>
      <c r="OA67" s="3"/>
      <c r="OB67" s="3"/>
      <c r="OC67" s="3"/>
      <c r="OD67" s="3"/>
      <c r="OE67" s="3"/>
      <c r="OF67" s="3"/>
      <c r="OG67" s="3"/>
      <c r="OH67" s="3"/>
      <c r="OI67" s="3"/>
      <c r="OJ67" s="3"/>
      <c r="OK67" s="3"/>
      <c r="OL67" s="3"/>
      <c r="OM67" s="3"/>
      <c r="ON67" s="3"/>
      <c r="OO67" s="3"/>
      <c r="OP67" s="3"/>
      <c r="OQ67" s="3"/>
      <c r="OR67" s="3"/>
      <c r="OS67" s="3"/>
      <c r="OT67" s="3"/>
      <c r="OU67" s="3"/>
      <c r="OV67" s="3"/>
      <c r="OW67" s="3"/>
      <c r="OX67" s="3"/>
      <c r="OY67" s="3"/>
      <c r="OZ67" s="3"/>
      <c r="PA67" s="3"/>
      <c r="PB67" s="3"/>
      <c r="PC67" s="3"/>
      <c r="PD67" s="3"/>
      <c r="PE67" s="3"/>
      <c r="PF67" s="3"/>
      <c r="PG67" s="3"/>
      <c r="PH67" s="3"/>
      <c r="PI67" s="3"/>
      <c r="PJ67" s="3"/>
      <c r="PK67" s="3"/>
      <c r="PL67" s="3"/>
      <c r="PM67" s="3"/>
      <c r="PN67" s="3"/>
      <c r="PO67" s="3"/>
      <c r="PP67" s="3"/>
      <c r="PQ67" s="3"/>
      <c r="PR67" s="3"/>
      <c r="PS67" s="3"/>
      <c r="PT67" s="3"/>
      <c r="PU67" s="3"/>
      <c r="PV67" s="3"/>
      <c r="PW67" s="3"/>
      <c r="PX67" s="3"/>
      <c r="PY67" s="3"/>
      <c r="PZ67" s="3"/>
      <c r="QA67" s="3"/>
      <c r="QB67" s="3"/>
      <c r="QC67" s="3"/>
      <c r="QD67" s="3"/>
      <c r="QE67" s="3"/>
      <c r="QF67" s="3"/>
      <c r="QG67" s="3"/>
      <c r="QH67" s="3"/>
      <c r="QI67" s="3"/>
      <c r="QJ67" s="3"/>
      <c r="QK67" s="3"/>
      <c r="QL67" s="3"/>
      <c r="QM67" s="3"/>
      <c r="QN67" s="3"/>
      <c r="QO67" s="3"/>
      <c r="QP67" s="3"/>
      <c r="QQ67" s="3"/>
      <c r="QR67" s="3"/>
      <c r="QS67" s="3"/>
      <c r="QT67" s="3"/>
      <c r="QU67" s="3"/>
      <c r="QV67" s="3"/>
      <c r="QW67" s="3"/>
      <c r="QX67" s="3"/>
      <c r="QY67" s="3"/>
      <c r="QZ67" s="3"/>
      <c r="RA67" s="3"/>
      <c r="RB67" s="3"/>
      <c r="RC67" s="3"/>
      <c r="RD67" s="3"/>
      <c r="RE67" s="3"/>
      <c r="RF67" s="3"/>
      <c r="RG67" s="3"/>
      <c r="RH67" s="3"/>
      <c r="RI67" s="3"/>
      <c r="RJ67" s="3"/>
      <c r="RK67" s="3"/>
      <c r="RL67" s="3"/>
      <c r="RM67" s="3"/>
      <c r="RN67" s="3"/>
      <c r="RO67" s="3"/>
      <c r="RP67" s="3"/>
      <c r="RQ67" s="3"/>
      <c r="RR67" s="3"/>
      <c r="RS67" s="3"/>
      <c r="RT67" s="3"/>
      <c r="RU67" s="3"/>
      <c r="RV67" s="3"/>
      <c r="RW67" s="3"/>
      <c r="RX67" s="3"/>
      <c r="RY67" s="3"/>
      <c r="RZ67" s="3"/>
      <c r="SA67" s="3"/>
      <c r="SB67" s="3"/>
      <c r="SC67" s="3"/>
      <c r="SD67" s="3"/>
      <c r="SE67" s="3"/>
      <c r="SF67" s="3"/>
      <c r="SG67" s="3"/>
      <c r="SH67" s="3"/>
      <c r="SI67" s="3"/>
      <c r="SJ67" s="3"/>
      <c r="SK67" s="3"/>
      <c r="SL67" s="3"/>
      <c r="SM67" s="3"/>
      <c r="SN67" s="3"/>
      <c r="SO67" s="3"/>
      <c r="SP67" s="3"/>
      <c r="SQ67" s="3"/>
      <c r="SR67" s="3"/>
      <c r="SS67" s="3"/>
      <c r="ST67" s="3"/>
      <c r="SU67" s="3"/>
      <c r="SV67" s="3"/>
      <c r="SW67" s="3"/>
      <c r="SX67" s="3"/>
      <c r="SY67" s="3"/>
      <c r="SZ67" s="3"/>
      <c r="TA67" s="3"/>
      <c r="TB67" s="3"/>
      <c r="TC67" s="3"/>
      <c r="TD67" s="3"/>
      <c r="TE67" s="3"/>
      <c r="TF67" s="3"/>
      <c r="TG67" s="3"/>
      <c r="TH67" s="3"/>
      <c r="TI67" s="3"/>
      <c r="TJ67" s="3"/>
      <c r="TK67" s="3"/>
      <c r="TL67" s="3"/>
      <c r="TM67" s="3"/>
      <c r="TN67" s="3"/>
      <c r="TO67" s="3"/>
      <c r="TP67" s="3"/>
      <c r="TQ67" s="3"/>
      <c r="TR67" s="3"/>
      <c r="TS67" s="3"/>
      <c r="TT67" s="3"/>
      <c r="TU67" s="3"/>
      <c r="TV67" s="3"/>
      <c r="TW67" s="3"/>
      <c r="TX67" s="3"/>
      <c r="TY67" s="3"/>
      <c r="TZ67" s="3"/>
      <c r="UA67" s="3"/>
      <c r="UB67" s="3"/>
      <c r="UC67" s="3"/>
      <c r="UD67" s="3"/>
      <c r="UE67" s="3"/>
      <c r="UF67" s="3"/>
      <c r="UG67" s="3"/>
      <c r="UH67" s="3"/>
      <c r="UI67" s="3"/>
      <c r="UJ67" s="3"/>
      <c r="UK67" s="3"/>
      <c r="UL67" s="3"/>
      <c r="UM67" s="3"/>
      <c r="UN67" s="3"/>
      <c r="UO67" s="3"/>
      <c r="UP67" s="3"/>
      <c r="UQ67" s="3"/>
      <c r="UR67" s="3"/>
      <c r="US67" s="3"/>
      <c r="UT67" s="3"/>
      <c r="UU67" s="3"/>
      <c r="UV67" s="3"/>
      <c r="UW67" s="3"/>
      <c r="UX67" s="3"/>
      <c r="UY67" s="3"/>
      <c r="UZ67" s="3"/>
      <c r="VA67" s="3"/>
      <c r="VB67" s="3"/>
      <c r="VC67" s="3"/>
      <c r="VD67" s="3"/>
      <c r="VE67" s="3"/>
      <c r="VF67" s="3"/>
      <c r="VG67" s="3"/>
      <c r="VH67" s="3"/>
      <c r="VI67" s="3"/>
      <c r="VJ67" s="3"/>
      <c r="VK67" s="3"/>
      <c r="VL67" s="3"/>
      <c r="VM67" s="3"/>
      <c r="VN67" s="3"/>
      <c r="VO67" s="3"/>
      <c r="VP67" s="3"/>
      <c r="VQ67" s="3"/>
      <c r="VR67" s="3"/>
      <c r="VS67" s="3"/>
      <c r="VT67" s="3"/>
      <c r="VU67" s="3"/>
      <c r="VV67" s="3"/>
      <c r="VW67" s="3"/>
      <c r="VX67" s="3"/>
      <c r="VY67" s="3"/>
      <c r="VZ67" s="3"/>
      <c r="WA67" s="3"/>
      <c r="WB67" s="3"/>
      <c r="WC67" s="3"/>
      <c r="WD67" s="3"/>
      <c r="WE67" s="3"/>
      <c r="WF67" s="3"/>
      <c r="WG67" s="3"/>
      <c r="WH67" s="3"/>
      <c r="WI67" s="3"/>
      <c r="WJ67" s="3"/>
      <c r="WK67" s="3"/>
      <c r="WL67" s="3"/>
      <c r="WM67" s="3"/>
      <c r="WN67" s="3"/>
      <c r="WO67" s="3"/>
      <c r="WP67" s="3"/>
      <c r="WQ67" s="3"/>
      <c r="WR67" s="3"/>
      <c r="WS67" s="3"/>
      <c r="WT67" s="3"/>
      <c r="WU67" s="3"/>
      <c r="WV67" s="3"/>
      <c r="WW67" s="3"/>
      <c r="WX67" s="3"/>
      <c r="WY67" s="3"/>
      <c r="WZ67" s="3"/>
      <c r="XA67" s="3"/>
      <c r="XB67" s="3"/>
      <c r="XC67" s="3"/>
      <c r="XD67" s="3"/>
      <c r="XE67" s="3"/>
      <c r="XF67" s="3"/>
      <c r="XG67" s="3"/>
      <c r="XH67" s="3"/>
      <c r="XI67" s="3"/>
      <c r="XJ67" s="3"/>
      <c r="XK67" s="3"/>
      <c r="XL67" s="3"/>
      <c r="XM67" s="3"/>
      <c r="XN67" s="3"/>
      <c r="XO67" s="3"/>
      <c r="XP67" s="3"/>
      <c r="XQ67" s="3"/>
      <c r="XR67" s="3"/>
      <c r="XS67" s="3"/>
      <c r="XT67" s="3"/>
      <c r="XU67" s="3"/>
      <c r="XV67" s="3"/>
      <c r="XW67" s="3"/>
      <c r="XX67" s="3"/>
      <c r="XY67" s="3"/>
      <c r="XZ67" s="3"/>
      <c r="YA67" s="3"/>
      <c r="YB67" s="3"/>
      <c r="YC67" s="3"/>
      <c r="YD67" s="3"/>
      <c r="YE67" s="3"/>
      <c r="YF67" s="3"/>
      <c r="YG67" s="3"/>
      <c r="YH67" s="3"/>
      <c r="YI67" s="3"/>
      <c r="YJ67" s="3"/>
      <c r="YK67" s="3"/>
      <c r="YL67" s="3"/>
      <c r="YM67" s="3"/>
      <c r="YN67" s="3"/>
      <c r="YO67" s="3"/>
      <c r="YP67" s="3"/>
      <c r="YQ67" s="3"/>
      <c r="YR67" s="3"/>
      <c r="YS67" s="3"/>
      <c r="YT67" s="3"/>
      <c r="YU67" s="3"/>
      <c r="YV67" s="3"/>
      <c r="YW67" s="3"/>
      <c r="YX67" s="3"/>
      <c r="YY67" s="3"/>
      <c r="YZ67" s="3"/>
      <c r="ZA67" s="3"/>
      <c r="ZB67" s="3"/>
      <c r="ZC67" s="3"/>
    </row>
    <row r="68" spans="1:679" s="2" customFormat="1" x14ac:dyDescent="0.45">
      <c r="A68" s="3" t="s">
        <v>11</v>
      </c>
      <c r="B68" s="4">
        <v>31742</v>
      </c>
      <c r="C68" s="7" t="s">
        <v>25</v>
      </c>
      <c r="D68" s="6" t="s">
        <v>82</v>
      </c>
      <c r="E68" s="3"/>
      <c r="F68" s="3">
        <v>5</v>
      </c>
      <c r="L68" s="3"/>
      <c r="M68" s="3"/>
      <c r="N68" s="48"/>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
      <c r="EH68" s="3"/>
      <c r="EI68" s="3"/>
      <c r="EJ68" s="3"/>
      <c r="EK68" s="3"/>
      <c r="EL68" s="3"/>
      <c r="EM68" s="3"/>
      <c r="EN68" s="3"/>
      <c r="EO68" s="3"/>
      <c r="EP68" s="3"/>
      <c r="EQ68" s="3"/>
      <c r="ER68" s="3"/>
      <c r="ES68" s="3"/>
      <c r="ET68" s="3"/>
      <c r="EU68" s="3"/>
      <c r="EV68" s="3"/>
      <c r="EW68" s="3"/>
      <c r="EX68" s="3"/>
      <c r="EY68" s="3"/>
      <c r="EZ68" s="3"/>
      <c r="FA68" s="3"/>
      <c r="FB68" s="3"/>
      <c r="FC68" s="3"/>
      <c r="FD68" s="3"/>
      <c r="FE68" s="3"/>
      <c r="FF68" s="3"/>
      <c r="FG68" s="3"/>
      <c r="FH68" s="3"/>
      <c r="FI68" s="3"/>
      <c r="FJ68" s="3"/>
      <c r="FK68" s="3"/>
      <c r="FL68" s="3"/>
      <c r="FM68" s="3"/>
      <c r="FN68" s="3"/>
      <c r="FO68" s="3"/>
      <c r="FP68" s="3"/>
      <c r="FQ68" s="3"/>
      <c r="FR68" s="3"/>
      <c r="FS68" s="3"/>
      <c r="FT68" s="3"/>
      <c r="FU68" s="3"/>
      <c r="FV68" s="3"/>
      <c r="FW68" s="3"/>
      <c r="FX68" s="3"/>
      <c r="FY68" s="3"/>
      <c r="FZ68" s="3"/>
      <c r="GA68" s="3"/>
      <c r="GB68" s="3"/>
      <c r="GC68" s="3"/>
      <c r="GD68" s="3"/>
      <c r="GE68" s="3"/>
      <c r="GF68" s="3"/>
      <c r="GG68" s="3"/>
      <c r="GH68" s="3"/>
      <c r="GI68" s="3"/>
      <c r="GJ68" s="3"/>
      <c r="GK68" s="3"/>
      <c r="GL68" s="3"/>
      <c r="GM68" s="3"/>
      <c r="GN68" s="3"/>
      <c r="GO68" s="3"/>
      <c r="GP68" s="3"/>
      <c r="GQ68" s="3"/>
      <c r="GR68" s="3"/>
      <c r="GS68" s="3"/>
      <c r="GT68" s="3"/>
      <c r="GU68" s="3"/>
      <c r="GV68" s="3"/>
      <c r="GW68" s="3"/>
      <c r="GX68" s="3"/>
      <c r="GY68" s="3"/>
      <c r="GZ68" s="3"/>
      <c r="HA68" s="3"/>
      <c r="HB68" s="3"/>
      <c r="HC68" s="3"/>
      <c r="HD68" s="3"/>
      <c r="HE68" s="3"/>
      <c r="HF68" s="3"/>
      <c r="HG68" s="3"/>
      <c r="HH68" s="3"/>
      <c r="HI68" s="3"/>
      <c r="HJ68" s="3"/>
      <c r="HK68" s="3"/>
      <c r="HL68" s="3"/>
      <c r="HM68" s="3"/>
      <c r="HN68" s="3"/>
      <c r="HO68" s="3"/>
      <c r="HP68" s="3"/>
      <c r="HQ68" s="3"/>
      <c r="HR68" s="3"/>
      <c r="HS68" s="3"/>
      <c r="HT68" s="3"/>
      <c r="HU68" s="3"/>
      <c r="HV68" s="3"/>
      <c r="HW68" s="3"/>
      <c r="HX68" s="3"/>
      <c r="HY68" s="3"/>
      <c r="HZ68" s="3"/>
      <c r="IA68" s="3"/>
      <c r="IB68" s="3"/>
      <c r="IC68" s="3"/>
      <c r="ID68" s="3"/>
      <c r="IE68" s="3"/>
      <c r="IF68" s="3"/>
      <c r="IG68" s="3"/>
      <c r="IH68" s="3"/>
      <c r="II68" s="3"/>
      <c r="IJ68" s="3"/>
      <c r="IK68" s="3"/>
      <c r="IL68" s="3"/>
      <c r="IM68" s="3"/>
      <c r="IN68" s="3"/>
      <c r="IO68" s="3"/>
      <c r="IP68" s="3"/>
      <c r="IQ68" s="3"/>
      <c r="IR68" s="3"/>
      <c r="IS68" s="3"/>
      <c r="IT68" s="3"/>
      <c r="IU68" s="3"/>
      <c r="IV68" s="3"/>
      <c r="IW68" s="3"/>
      <c r="IX68" s="3"/>
      <c r="IY68" s="3"/>
      <c r="IZ68" s="3"/>
      <c r="JA68" s="3"/>
      <c r="JB68" s="3"/>
      <c r="JC68" s="3"/>
      <c r="JD68" s="3"/>
      <c r="JE68" s="3"/>
      <c r="JF68" s="3"/>
      <c r="JG68" s="3"/>
      <c r="JH68" s="3"/>
      <c r="JI68" s="3"/>
      <c r="JJ68" s="3"/>
      <c r="JK68" s="3"/>
      <c r="JL68" s="3"/>
      <c r="JM68" s="3"/>
      <c r="JN68" s="3"/>
      <c r="JO68" s="3"/>
      <c r="JP68" s="3"/>
      <c r="JQ68" s="3"/>
      <c r="JR68" s="3"/>
      <c r="JS68" s="3"/>
      <c r="JT68" s="3"/>
      <c r="JU68" s="3"/>
      <c r="JV68" s="3"/>
      <c r="JW68" s="3"/>
      <c r="JX68" s="3"/>
      <c r="JY68" s="3"/>
      <c r="JZ68" s="3"/>
      <c r="KA68" s="3"/>
      <c r="KB68" s="3"/>
      <c r="KC68" s="3"/>
      <c r="KD68" s="3"/>
      <c r="KE68" s="3"/>
      <c r="KF68" s="3"/>
      <c r="KG68" s="3"/>
      <c r="KH68" s="3"/>
      <c r="KI68" s="3"/>
      <c r="KJ68" s="3"/>
      <c r="KK68" s="3"/>
      <c r="KL68" s="3"/>
      <c r="KM68" s="3"/>
      <c r="KN68" s="3"/>
      <c r="KO68" s="3"/>
      <c r="KP68" s="3"/>
      <c r="KQ68" s="3"/>
      <c r="KR68" s="3"/>
      <c r="KS68" s="3"/>
      <c r="KT68" s="3"/>
      <c r="KU68" s="3"/>
      <c r="KV68" s="3"/>
      <c r="KW68" s="3"/>
      <c r="KX68" s="3"/>
      <c r="KY68" s="3"/>
      <c r="KZ68" s="3"/>
      <c r="LA68" s="3"/>
      <c r="LB68" s="3"/>
      <c r="LC68" s="3"/>
      <c r="LD68" s="3"/>
      <c r="LE68" s="3"/>
      <c r="LF68" s="3"/>
      <c r="LG68" s="3"/>
      <c r="LH68" s="3"/>
      <c r="LI68" s="3"/>
      <c r="LJ68" s="3"/>
      <c r="LK68" s="3"/>
      <c r="LL68" s="3"/>
      <c r="LM68" s="3"/>
      <c r="LN68" s="3"/>
      <c r="LO68" s="3"/>
      <c r="LP68" s="3"/>
      <c r="LQ68" s="3"/>
      <c r="LR68" s="3"/>
      <c r="LS68" s="3"/>
      <c r="LT68" s="3"/>
      <c r="LU68" s="3"/>
      <c r="LV68" s="3"/>
      <c r="LW68" s="3"/>
      <c r="LX68" s="3"/>
      <c r="LY68" s="3"/>
      <c r="LZ68" s="3"/>
      <c r="MA68" s="3"/>
      <c r="MB68" s="3"/>
      <c r="MC68" s="3"/>
      <c r="MD68" s="3"/>
      <c r="ME68" s="3"/>
      <c r="MF68" s="3"/>
      <c r="MG68" s="3"/>
      <c r="MH68" s="3"/>
      <c r="MI68" s="3"/>
      <c r="MJ68" s="3"/>
      <c r="MK68" s="3"/>
      <c r="ML68" s="3"/>
      <c r="MM68" s="3"/>
      <c r="MN68" s="3"/>
      <c r="MO68" s="3"/>
      <c r="MP68" s="3"/>
      <c r="MQ68" s="3"/>
      <c r="MR68" s="3"/>
      <c r="MS68" s="3"/>
      <c r="MT68" s="3"/>
      <c r="MU68" s="3"/>
      <c r="MV68" s="3"/>
      <c r="MW68" s="3"/>
      <c r="MX68" s="3"/>
      <c r="MY68" s="3"/>
      <c r="MZ68" s="3"/>
      <c r="NA68" s="3"/>
      <c r="NB68" s="3"/>
      <c r="NC68" s="3"/>
      <c r="ND68" s="3"/>
      <c r="NE68" s="3"/>
      <c r="NF68" s="3"/>
      <c r="NG68" s="3"/>
      <c r="NH68" s="3"/>
      <c r="NI68" s="3"/>
      <c r="NJ68" s="3"/>
      <c r="NK68" s="3"/>
      <c r="NL68" s="3"/>
      <c r="NM68" s="3"/>
      <c r="NN68" s="3"/>
      <c r="NO68" s="3"/>
      <c r="NP68" s="3"/>
      <c r="NQ68" s="3"/>
      <c r="NR68" s="3"/>
      <c r="NS68" s="3"/>
      <c r="NT68" s="3"/>
      <c r="NU68" s="3"/>
      <c r="NV68" s="3"/>
      <c r="NW68" s="3"/>
      <c r="NX68" s="3"/>
      <c r="NY68" s="3"/>
      <c r="NZ68" s="3"/>
      <c r="OA68" s="3"/>
      <c r="OB68" s="3"/>
      <c r="OC68" s="3"/>
      <c r="OD68" s="3"/>
      <c r="OE68" s="3"/>
      <c r="OF68" s="3"/>
      <c r="OG68" s="3"/>
      <c r="OH68" s="3"/>
      <c r="OI68" s="3"/>
      <c r="OJ68" s="3"/>
      <c r="OK68" s="3"/>
      <c r="OL68" s="3"/>
      <c r="OM68" s="3"/>
      <c r="ON68" s="3"/>
      <c r="OO68" s="3"/>
      <c r="OP68" s="3"/>
      <c r="OQ68" s="3"/>
      <c r="OR68" s="3"/>
      <c r="OS68" s="3"/>
      <c r="OT68" s="3"/>
      <c r="OU68" s="3"/>
      <c r="OV68" s="3"/>
      <c r="OW68" s="3"/>
      <c r="OX68" s="3"/>
      <c r="OY68" s="3"/>
      <c r="OZ68" s="3"/>
      <c r="PA68" s="3"/>
      <c r="PB68" s="3"/>
      <c r="PC68" s="3"/>
      <c r="PD68" s="3"/>
      <c r="PE68" s="3"/>
      <c r="PF68" s="3"/>
      <c r="PG68" s="3"/>
      <c r="PH68" s="3"/>
      <c r="PI68" s="3"/>
      <c r="PJ68" s="3"/>
      <c r="PK68" s="3"/>
      <c r="PL68" s="3"/>
      <c r="PM68" s="3"/>
      <c r="PN68" s="3"/>
      <c r="PO68" s="3"/>
      <c r="PP68" s="3"/>
      <c r="PQ68" s="3"/>
      <c r="PR68" s="3"/>
      <c r="PS68" s="3"/>
      <c r="PT68" s="3"/>
      <c r="PU68" s="3"/>
      <c r="PV68" s="3"/>
      <c r="PW68" s="3"/>
      <c r="PX68" s="3"/>
      <c r="PY68" s="3"/>
      <c r="PZ68" s="3"/>
      <c r="QA68" s="3"/>
      <c r="QB68" s="3"/>
      <c r="QC68" s="3"/>
      <c r="QD68" s="3"/>
      <c r="QE68" s="3"/>
      <c r="QF68" s="3"/>
      <c r="QG68" s="3"/>
      <c r="QH68" s="3"/>
      <c r="QI68" s="3"/>
      <c r="QJ68" s="3"/>
      <c r="QK68" s="3"/>
      <c r="QL68" s="3"/>
      <c r="QM68" s="3"/>
      <c r="QN68" s="3"/>
      <c r="QO68" s="3"/>
      <c r="QP68" s="3"/>
      <c r="QQ68" s="3"/>
      <c r="QR68" s="3"/>
      <c r="QS68" s="3"/>
      <c r="QT68" s="3"/>
      <c r="QU68" s="3"/>
      <c r="QV68" s="3"/>
      <c r="QW68" s="3"/>
      <c r="QX68" s="3"/>
      <c r="QY68" s="3"/>
      <c r="QZ68" s="3"/>
      <c r="RA68" s="3"/>
      <c r="RB68" s="3"/>
      <c r="RC68" s="3"/>
      <c r="RD68" s="3"/>
      <c r="RE68" s="3"/>
      <c r="RF68" s="3"/>
      <c r="RG68" s="3"/>
      <c r="RH68" s="3"/>
      <c r="RI68" s="3"/>
      <c r="RJ68" s="3"/>
      <c r="RK68" s="3"/>
      <c r="RL68" s="3"/>
      <c r="RM68" s="3"/>
      <c r="RN68" s="3"/>
      <c r="RO68" s="3"/>
      <c r="RP68" s="3"/>
      <c r="RQ68" s="3"/>
      <c r="RR68" s="3"/>
      <c r="RS68" s="3"/>
      <c r="RT68" s="3"/>
      <c r="RU68" s="3"/>
      <c r="RV68" s="3"/>
      <c r="RW68" s="3"/>
      <c r="RX68" s="3"/>
      <c r="RY68" s="3"/>
      <c r="RZ68" s="3"/>
      <c r="SA68" s="3"/>
      <c r="SB68" s="3"/>
      <c r="SC68" s="3"/>
      <c r="SD68" s="3"/>
      <c r="SE68" s="3"/>
      <c r="SF68" s="3"/>
      <c r="SG68" s="3"/>
      <c r="SH68" s="3"/>
      <c r="SI68" s="3"/>
      <c r="SJ68" s="3"/>
      <c r="SK68" s="3"/>
      <c r="SL68" s="3"/>
      <c r="SM68" s="3"/>
      <c r="SN68" s="3"/>
      <c r="SO68" s="3"/>
      <c r="SP68" s="3"/>
      <c r="SQ68" s="3"/>
      <c r="SR68" s="3"/>
      <c r="SS68" s="3"/>
      <c r="ST68" s="3"/>
      <c r="SU68" s="3"/>
      <c r="SV68" s="3"/>
      <c r="SW68" s="3"/>
      <c r="SX68" s="3"/>
      <c r="SY68" s="3"/>
      <c r="SZ68" s="3"/>
      <c r="TA68" s="3"/>
      <c r="TB68" s="3"/>
      <c r="TC68" s="3"/>
      <c r="TD68" s="3"/>
      <c r="TE68" s="3"/>
      <c r="TF68" s="3"/>
      <c r="TG68" s="3"/>
      <c r="TH68" s="3"/>
      <c r="TI68" s="3"/>
      <c r="TJ68" s="3"/>
      <c r="TK68" s="3"/>
      <c r="TL68" s="3"/>
      <c r="TM68" s="3"/>
      <c r="TN68" s="3"/>
      <c r="TO68" s="3"/>
      <c r="TP68" s="3"/>
      <c r="TQ68" s="3"/>
      <c r="TR68" s="3"/>
      <c r="TS68" s="3"/>
      <c r="TT68" s="3"/>
      <c r="TU68" s="3"/>
      <c r="TV68" s="3"/>
      <c r="TW68" s="3"/>
      <c r="TX68" s="3"/>
      <c r="TY68" s="3"/>
      <c r="TZ68" s="3"/>
      <c r="UA68" s="3"/>
      <c r="UB68" s="3"/>
      <c r="UC68" s="3"/>
      <c r="UD68" s="3"/>
      <c r="UE68" s="3"/>
      <c r="UF68" s="3"/>
      <c r="UG68" s="3"/>
      <c r="UH68" s="3"/>
      <c r="UI68" s="3"/>
      <c r="UJ68" s="3"/>
      <c r="UK68" s="3"/>
      <c r="UL68" s="3"/>
      <c r="UM68" s="3"/>
      <c r="UN68" s="3"/>
      <c r="UO68" s="3"/>
      <c r="UP68" s="3"/>
      <c r="UQ68" s="3"/>
      <c r="UR68" s="3"/>
      <c r="US68" s="3"/>
      <c r="UT68" s="3"/>
      <c r="UU68" s="3"/>
      <c r="UV68" s="3"/>
      <c r="UW68" s="3"/>
      <c r="UX68" s="3"/>
      <c r="UY68" s="3"/>
      <c r="UZ68" s="3"/>
      <c r="VA68" s="3"/>
      <c r="VB68" s="3"/>
      <c r="VC68" s="3"/>
      <c r="VD68" s="3"/>
      <c r="VE68" s="3"/>
      <c r="VF68" s="3"/>
      <c r="VG68" s="3"/>
      <c r="VH68" s="3"/>
      <c r="VI68" s="3"/>
      <c r="VJ68" s="3"/>
      <c r="VK68" s="3"/>
      <c r="VL68" s="3"/>
      <c r="VM68" s="3"/>
      <c r="VN68" s="3"/>
      <c r="VO68" s="3"/>
      <c r="VP68" s="3"/>
      <c r="VQ68" s="3"/>
      <c r="VR68" s="3"/>
      <c r="VS68" s="3"/>
      <c r="VT68" s="3"/>
      <c r="VU68" s="3"/>
      <c r="VV68" s="3"/>
      <c r="VW68" s="3"/>
      <c r="VX68" s="3"/>
      <c r="VY68" s="3"/>
      <c r="VZ68" s="3"/>
      <c r="WA68" s="3"/>
      <c r="WB68" s="3"/>
      <c r="WC68" s="3"/>
      <c r="WD68" s="3"/>
      <c r="WE68" s="3"/>
      <c r="WF68" s="3"/>
      <c r="WG68" s="3"/>
      <c r="WH68" s="3"/>
      <c r="WI68" s="3"/>
      <c r="WJ68" s="3"/>
      <c r="WK68" s="3"/>
      <c r="WL68" s="3"/>
      <c r="WM68" s="3"/>
      <c r="WN68" s="3"/>
      <c r="WO68" s="3"/>
      <c r="WP68" s="3"/>
      <c r="WQ68" s="3"/>
      <c r="WR68" s="3"/>
      <c r="WS68" s="3"/>
      <c r="WT68" s="3"/>
      <c r="WU68" s="3"/>
      <c r="WV68" s="3"/>
      <c r="WW68" s="3"/>
      <c r="WX68" s="3"/>
      <c r="WY68" s="3"/>
      <c r="WZ68" s="3"/>
      <c r="XA68" s="3"/>
      <c r="XB68" s="3"/>
      <c r="XC68" s="3"/>
      <c r="XD68" s="3"/>
      <c r="XE68" s="3"/>
      <c r="XF68" s="3"/>
      <c r="XG68" s="3"/>
      <c r="XH68" s="3"/>
      <c r="XI68" s="3"/>
      <c r="XJ68" s="3"/>
      <c r="XK68" s="3"/>
      <c r="XL68" s="3"/>
      <c r="XM68" s="3"/>
      <c r="XN68" s="3"/>
      <c r="XO68" s="3"/>
      <c r="XP68" s="3"/>
      <c r="XQ68" s="3"/>
      <c r="XR68" s="3"/>
      <c r="XS68" s="3"/>
      <c r="XT68" s="3"/>
      <c r="XU68" s="3"/>
      <c r="XV68" s="3"/>
      <c r="XW68" s="3"/>
      <c r="XX68" s="3"/>
      <c r="XY68" s="3"/>
      <c r="XZ68" s="3"/>
      <c r="YA68" s="3"/>
      <c r="YB68" s="3"/>
      <c r="YC68" s="3"/>
      <c r="YD68" s="3"/>
      <c r="YE68" s="3"/>
      <c r="YF68" s="3"/>
      <c r="YG68" s="3"/>
      <c r="YH68" s="3"/>
      <c r="YI68" s="3"/>
      <c r="YJ68" s="3"/>
      <c r="YK68" s="3"/>
      <c r="YL68" s="3"/>
      <c r="YM68" s="3"/>
      <c r="YN68" s="3"/>
      <c r="YO68" s="3"/>
      <c r="YP68" s="3"/>
      <c r="YQ68" s="3"/>
      <c r="YR68" s="3"/>
      <c r="YS68" s="3"/>
      <c r="YT68" s="3"/>
      <c r="YU68" s="3"/>
      <c r="YV68" s="3"/>
      <c r="YW68" s="3"/>
      <c r="YX68" s="3"/>
      <c r="YY68" s="3"/>
      <c r="YZ68" s="3"/>
      <c r="ZA68" s="3"/>
      <c r="ZB68" s="3"/>
      <c r="ZC68" s="3"/>
    </row>
    <row r="69" spans="1:679" s="2" customFormat="1" x14ac:dyDescent="0.45">
      <c r="A69" s="3" t="s">
        <v>11</v>
      </c>
      <c r="B69" s="4">
        <v>31805</v>
      </c>
      <c r="C69" s="7" t="s">
        <v>25</v>
      </c>
      <c r="D69" s="6" t="s">
        <v>83</v>
      </c>
      <c r="E69" s="3"/>
      <c r="F69" s="3">
        <v>1</v>
      </c>
      <c r="L69" s="3"/>
      <c r="M69" s="3"/>
      <c r="N69" s="48"/>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c r="DI69" s="3"/>
      <c r="DJ69" s="3"/>
      <c r="DK69" s="3"/>
      <c r="DL69" s="3"/>
      <c r="DM69" s="3"/>
      <c r="DN69" s="3"/>
      <c r="DO69" s="3"/>
      <c r="DP69" s="3"/>
      <c r="DQ69" s="3"/>
      <c r="DR69" s="3"/>
      <c r="DS69" s="3"/>
      <c r="DT69" s="3"/>
      <c r="DU69" s="3"/>
      <c r="DV69" s="3"/>
      <c r="DW69" s="3"/>
      <c r="DX69" s="3"/>
      <c r="DY69" s="3"/>
      <c r="DZ69" s="3"/>
      <c r="EA69" s="3"/>
      <c r="EB69" s="3"/>
      <c r="EC69" s="3"/>
      <c r="ED69" s="3"/>
      <c r="EE69" s="3"/>
      <c r="EF69" s="3"/>
      <c r="EG69" s="3"/>
      <c r="EH69" s="3"/>
      <c r="EI69" s="3"/>
      <c r="EJ69" s="3"/>
      <c r="EK69" s="3"/>
      <c r="EL69" s="3"/>
      <c r="EM69" s="3"/>
      <c r="EN69" s="3"/>
      <c r="EO69" s="3"/>
      <c r="EP69" s="3"/>
      <c r="EQ69" s="3"/>
      <c r="ER69" s="3"/>
      <c r="ES69" s="3"/>
      <c r="ET69" s="3"/>
      <c r="EU69" s="3"/>
      <c r="EV69" s="3"/>
      <c r="EW69" s="3"/>
      <c r="EX69" s="3"/>
      <c r="EY69" s="3"/>
      <c r="EZ69" s="3"/>
      <c r="FA69" s="3"/>
      <c r="FB69" s="3"/>
      <c r="FC69" s="3"/>
      <c r="FD69" s="3"/>
      <c r="FE69" s="3"/>
      <c r="FF69" s="3"/>
      <c r="FG69" s="3"/>
      <c r="FH69" s="3"/>
      <c r="FI69" s="3"/>
      <c r="FJ69" s="3"/>
      <c r="FK69" s="3"/>
      <c r="FL69" s="3"/>
      <c r="FM69" s="3"/>
      <c r="FN69" s="3"/>
      <c r="FO69" s="3"/>
      <c r="FP69" s="3"/>
      <c r="FQ69" s="3"/>
      <c r="FR69" s="3"/>
      <c r="FS69" s="3"/>
      <c r="FT69" s="3"/>
      <c r="FU69" s="3"/>
      <c r="FV69" s="3"/>
      <c r="FW69" s="3"/>
      <c r="FX69" s="3"/>
      <c r="FY69" s="3"/>
      <c r="FZ69" s="3"/>
      <c r="GA69" s="3"/>
      <c r="GB69" s="3"/>
      <c r="GC69" s="3"/>
      <c r="GD69" s="3"/>
      <c r="GE69" s="3"/>
      <c r="GF69" s="3"/>
      <c r="GG69" s="3"/>
      <c r="GH69" s="3"/>
      <c r="GI69" s="3"/>
      <c r="GJ69" s="3"/>
      <c r="GK69" s="3"/>
      <c r="GL69" s="3"/>
      <c r="GM69" s="3"/>
      <c r="GN69" s="3"/>
      <c r="GO69" s="3"/>
      <c r="GP69" s="3"/>
      <c r="GQ69" s="3"/>
      <c r="GR69" s="3"/>
      <c r="GS69" s="3"/>
      <c r="GT69" s="3"/>
      <c r="GU69" s="3"/>
      <c r="GV69" s="3"/>
      <c r="GW69" s="3"/>
      <c r="GX69" s="3"/>
      <c r="GY69" s="3"/>
      <c r="GZ69" s="3"/>
      <c r="HA69" s="3"/>
      <c r="HB69" s="3"/>
      <c r="HC69" s="3"/>
      <c r="HD69" s="3"/>
      <c r="HE69" s="3"/>
      <c r="HF69" s="3"/>
      <c r="HG69" s="3"/>
      <c r="HH69" s="3"/>
      <c r="HI69" s="3"/>
      <c r="HJ69" s="3"/>
      <c r="HK69" s="3"/>
      <c r="HL69" s="3"/>
      <c r="HM69" s="3"/>
      <c r="HN69" s="3"/>
      <c r="HO69" s="3"/>
      <c r="HP69" s="3"/>
      <c r="HQ69" s="3"/>
      <c r="HR69" s="3"/>
      <c r="HS69" s="3"/>
      <c r="HT69" s="3"/>
      <c r="HU69" s="3"/>
      <c r="HV69" s="3"/>
      <c r="HW69" s="3"/>
      <c r="HX69" s="3"/>
      <c r="HY69" s="3"/>
      <c r="HZ69" s="3"/>
      <c r="IA69" s="3"/>
      <c r="IB69" s="3"/>
      <c r="IC69" s="3"/>
      <c r="ID69" s="3"/>
      <c r="IE69" s="3"/>
      <c r="IF69" s="3"/>
      <c r="IG69" s="3"/>
      <c r="IH69" s="3"/>
      <c r="II69" s="3"/>
      <c r="IJ69" s="3"/>
      <c r="IK69" s="3"/>
      <c r="IL69" s="3"/>
      <c r="IM69" s="3"/>
      <c r="IN69" s="3"/>
      <c r="IO69" s="3"/>
      <c r="IP69" s="3"/>
      <c r="IQ69" s="3"/>
      <c r="IR69" s="3"/>
      <c r="IS69" s="3"/>
      <c r="IT69" s="3"/>
      <c r="IU69" s="3"/>
      <c r="IV69" s="3"/>
      <c r="IW69" s="3"/>
      <c r="IX69" s="3"/>
      <c r="IY69" s="3"/>
      <c r="IZ69" s="3"/>
      <c r="JA69" s="3"/>
      <c r="JB69" s="3"/>
      <c r="JC69" s="3"/>
      <c r="JD69" s="3"/>
      <c r="JE69" s="3"/>
      <c r="JF69" s="3"/>
      <c r="JG69" s="3"/>
      <c r="JH69" s="3"/>
      <c r="JI69" s="3"/>
      <c r="JJ69" s="3"/>
      <c r="JK69" s="3"/>
      <c r="JL69" s="3"/>
      <c r="JM69" s="3"/>
      <c r="JN69" s="3"/>
      <c r="JO69" s="3"/>
      <c r="JP69" s="3"/>
      <c r="JQ69" s="3"/>
      <c r="JR69" s="3"/>
      <c r="JS69" s="3"/>
      <c r="JT69" s="3"/>
      <c r="JU69" s="3"/>
      <c r="JV69" s="3"/>
      <c r="JW69" s="3"/>
      <c r="JX69" s="3"/>
      <c r="JY69" s="3"/>
      <c r="JZ69" s="3"/>
      <c r="KA69" s="3"/>
      <c r="KB69" s="3"/>
      <c r="KC69" s="3"/>
      <c r="KD69" s="3"/>
      <c r="KE69" s="3"/>
      <c r="KF69" s="3"/>
      <c r="KG69" s="3"/>
      <c r="KH69" s="3"/>
      <c r="KI69" s="3"/>
      <c r="KJ69" s="3"/>
      <c r="KK69" s="3"/>
      <c r="KL69" s="3"/>
      <c r="KM69" s="3"/>
      <c r="KN69" s="3"/>
      <c r="KO69" s="3"/>
      <c r="KP69" s="3"/>
      <c r="KQ69" s="3"/>
      <c r="KR69" s="3"/>
      <c r="KS69" s="3"/>
      <c r="KT69" s="3"/>
      <c r="KU69" s="3"/>
      <c r="KV69" s="3"/>
      <c r="KW69" s="3"/>
      <c r="KX69" s="3"/>
      <c r="KY69" s="3"/>
      <c r="KZ69" s="3"/>
      <c r="LA69" s="3"/>
      <c r="LB69" s="3"/>
      <c r="LC69" s="3"/>
      <c r="LD69" s="3"/>
      <c r="LE69" s="3"/>
      <c r="LF69" s="3"/>
      <c r="LG69" s="3"/>
      <c r="LH69" s="3"/>
      <c r="LI69" s="3"/>
      <c r="LJ69" s="3"/>
      <c r="LK69" s="3"/>
      <c r="LL69" s="3"/>
      <c r="LM69" s="3"/>
      <c r="LN69" s="3"/>
      <c r="LO69" s="3"/>
      <c r="LP69" s="3"/>
      <c r="LQ69" s="3"/>
      <c r="LR69" s="3"/>
      <c r="LS69" s="3"/>
      <c r="LT69" s="3"/>
      <c r="LU69" s="3"/>
      <c r="LV69" s="3"/>
      <c r="LW69" s="3"/>
      <c r="LX69" s="3"/>
      <c r="LY69" s="3"/>
      <c r="LZ69" s="3"/>
      <c r="MA69" s="3"/>
      <c r="MB69" s="3"/>
      <c r="MC69" s="3"/>
      <c r="MD69" s="3"/>
      <c r="ME69" s="3"/>
      <c r="MF69" s="3"/>
      <c r="MG69" s="3"/>
      <c r="MH69" s="3"/>
      <c r="MI69" s="3"/>
      <c r="MJ69" s="3"/>
      <c r="MK69" s="3"/>
      <c r="ML69" s="3"/>
      <c r="MM69" s="3"/>
      <c r="MN69" s="3"/>
      <c r="MO69" s="3"/>
      <c r="MP69" s="3"/>
      <c r="MQ69" s="3"/>
      <c r="MR69" s="3"/>
      <c r="MS69" s="3"/>
      <c r="MT69" s="3"/>
      <c r="MU69" s="3"/>
      <c r="MV69" s="3"/>
      <c r="MW69" s="3"/>
      <c r="MX69" s="3"/>
      <c r="MY69" s="3"/>
      <c r="MZ69" s="3"/>
      <c r="NA69" s="3"/>
      <c r="NB69" s="3"/>
      <c r="NC69" s="3"/>
      <c r="ND69" s="3"/>
      <c r="NE69" s="3"/>
      <c r="NF69" s="3"/>
      <c r="NG69" s="3"/>
      <c r="NH69" s="3"/>
      <c r="NI69" s="3"/>
      <c r="NJ69" s="3"/>
      <c r="NK69" s="3"/>
      <c r="NL69" s="3"/>
      <c r="NM69" s="3"/>
      <c r="NN69" s="3"/>
      <c r="NO69" s="3"/>
      <c r="NP69" s="3"/>
      <c r="NQ69" s="3"/>
      <c r="NR69" s="3"/>
      <c r="NS69" s="3"/>
      <c r="NT69" s="3"/>
      <c r="NU69" s="3"/>
      <c r="NV69" s="3"/>
      <c r="NW69" s="3"/>
      <c r="NX69" s="3"/>
      <c r="NY69" s="3"/>
      <c r="NZ69" s="3"/>
      <c r="OA69" s="3"/>
      <c r="OB69" s="3"/>
      <c r="OC69" s="3"/>
      <c r="OD69" s="3"/>
      <c r="OE69" s="3"/>
      <c r="OF69" s="3"/>
      <c r="OG69" s="3"/>
      <c r="OH69" s="3"/>
      <c r="OI69" s="3"/>
      <c r="OJ69" s="3"/>
      <c r="OK69" s="3"/>
      <c r="OL69" s="3"/>
      <c r="OM69" s="3"/>
      <c r="ON69" s="3"/>
      <c r="OO69" s="3"/>
      <c r="OP69" s="3"/>
      <c r="OQ69" s="3"/>
      <c r="OR69" s="3"/>
      <c r="OS69" s="3"/>
      <c r="OT69" s="3"/>
      <c r="OU69" s="3"/>
      <c r="OV69" s="3"/>
      <c r="OW69" s="3"/>
      <c r="OX69" s="3"/>
      <c r="OY69" s="3"/>
      <c r="OZ69" s="3"/>
      <c r="PA69" s="3"/>
      <c r="PB69" s="3"/>
      <c r="PC69" s="3"/>
      <c r="PD69" s="3"/>
      <c r="PE69" s="3"/>
      <c r="PF69" s="3"/>
      <c r="PG69" s="3"/>
      <c r="PH69" s="3"/>
      <c r="PI69" s="3"/>
      <c r="PJ69" s="3"/>
      <c r="PK69" s="3"/>
      <c r="PL69" s="3"/>
      <c r="PM69" s="3"/>
      <c r="PN69" s="3"/>
      <c r="PO69" s="3"/>
      <c r="PP69" s="3"/>
      <c r="PQ69" s="3"/>
      <c r="PR69" s="3"/>
      <c r="PS69" s="3"/>
      <c r="PT69" s="3"/>
      <c r="PU69" s="3"/>
      <c r="PV69" s="3"/>
      <c r="PW69" s="3"/>
      <c r="PX69" s="3"/>
      <c r="PY69" s="3"/>
      <c r="PZ69" s="3"/>
      <c r="QA69" s="3"/>
      <c r="QB69" s="3"/>
      <c r="QC69" s="3"/>
      <c r="QD69" s="3"/>
      <c r="QE69" s="3"/>
      <c r="QF69" s="3"/>
      <c r="QG69" s="3"/>
      <c r="QH69" s="3"/>
      <c r="QI69" s="3"/>
      <c r="QJ69" s="3"/>
      <c r="QK69" s="3"/>
      <c r="QL69" s="3"/>
      <c r="QM69" s="3"/>
      <c r="QN69" s="3"/>
      <c r="QO69" s="3"/>
      <c r="QP69" s="3"/>
      <c r="QQ69" s="3"/>
      <c r="QR69" s="3"/>
      <c r="QS69" s="3"/>
      <c r="QT69" s="3"/>
      <c r="QU69" s="3"/>
      <c r="QV69" s="3"/>
      <c r="QW69" s="3"/>
      <c r="QX69" s="3"/>
      <c r="QY69" s="3"/>
      <c r="QZ69" s="3"/>
      <c r="RA69" s="3"/>
      <c r="RB69" s="3"/>
      <c r="RC69" s="3"/>
      <c r="RD69" s="3"/>
      <c r="RE69" s="3"/>
      <c r="RF69" s="3"/>
      <c r="RG69" s="3"/>
      <c r="RH69" s="3"/>
      <c r="RI69" s="3"/>
      <c r="RJ69" s="3"/>
      <c r="RK69" s="3"/>
      <c r="RL69" s="3"/>
      <c r="RM69" s="3"/>
      <c r="RN69" s="3"/>
      <c r="RO69" s="3"/>
      <c r="RP69" s="3"/>
      <c r="RQ69" s="3"/>
      <c r="RR69" s="3"/>
      <c r="RS69" s="3"/>
      <c r="RT69" s="3"/>
      <c r="RU69" s="3"/>
      <c r="RV69" s="3"/>
      <c r="RW69" s="3"/>
      <c r="RX69" s="3"/>
      <c r="RY69" s="3"/>
      <c r="RZ69" s="3"/>
      <c r="SA69" s="3"/>
      <c r="SB69" s="3"/>
      <c r="SC69" s="3"/>
      <c r="SD69" s="3"/>
      <c r="SE69" s="3"/>
      <c r="SF69" s="3"/>
      <c r="SG69" s="3"/>
      <c r="SH69" s="3"/>
      <c r="SI69" s="3"/>
      <c r="SJ69" s="3"/>
      <c r="SK69" s="3"/>
      <c r="SL69" s="3"/>
      <c r="SM69" s="3"/>
      <c r="SN69" s="3"/>
      <c r="SO69" s="3"/>
      <c r="SP69" s="3"/>
      <c r="SQ69" s="3"/>
      <c r="SR69" s="3"/>
      <c r="SS69" s="3"/>
      <c r="ST69" s="3"/>
      <c r="SU69" s="3"/>
      <c r="SV69" s="3"/>
      <c r="SW69" s="3"/>
      <c r="SX69" s="3"/>
      <c r="SY69" s="3"/>
      <c r="SZ69" s="3"/>
      <c r="TA69" s="3"/>
      <c r="TB69" s="3"/>
      <c r="TC69" s="3"/>
      <c r="TD69" s="3"/>
      <c r="TE69" s="3"/>
      <c r="TF69" s="3"/>
      <c r="TG69" s="3"/>
      <c r="TH69" s="3"/>
      <c r="TI69" s="3"/>
      <c r="TJ69" s="3"/>
      <c r="TK69" s="3"/>
      <c r="TL69" s="3"/>
      <c r="TM69" s="3"/>
      <c r="TN69" s="3"/>
      <c r="TO69" s="3"/>
      <c r="TP69" s="3"/>
      <c r="TQ69" s="3"/>
      <c r="TR69" s="3"/>
      <c r="TS69" s="3"/>
      <c r="TT69" s="3"/>
      <c r="TU69" s="3"/>
      <c r="TV69" s="3"/>
      <c r="TW69" s="3"/>
      <c r="TX69" s="3"/>
      <c r="TY69" s="3"/>
      <c r="TZ69" s="3"/>
      <c r="UA69" s="3"/>
      <c r="UB69" s="3"/>
      <c r="UC69" s="3"/>
      <c r="UD69" s="3"/>
      <c r="UE69" s="3"/>
      <c r="UF69" s="3"/>
      <c r="UG69" s="3"/>
      <c r="UH69" s="3"/>
      <c r="UI69" s="3"/>
      <c r="UJ69" s="3"/>
      <c r="UK69" s="3"/>
      <c r="UL69" s="3"/>
      <c r="UM69" s="3"/>
      <c r="UN69" s="3"/>
      <c r="UO69" s="3"/>
      <c r="UP69" s="3"/>
      <c r="UQ69" s="3"/>
      <c r="UR69" s="3"/>
      <c r="US69" s="3"/>
      <c r="UT69" s="3"/>
      <c r="UU69" s="3"/>
      <c r="UV69" s="3"/>
      <c r="UW69" s="3"/>
      <c r="UX69" s="3"/>
      <c r="UY69" s="3"/>
      <c r="UZ69" s="3"/>
      <c r="VA69" s="3"/>
      <c r="VB69" s="3"/>
      <c r="VC69" s="3"/>
      <c r="VD69" s="3"/>
      <c r="VE69" s="3"/>
      <c r="VF69" s="3"/>
      <c r="VG69" s="3"/>
      <c r="VH69" s="3"/>
      <c r="VI69" s="3"/>
      <c r="VJ69" s="3"/>
      <c r="VK69" s="3"/>
      <c r="VL69" s="3"/>
      <c r="VM69" s="3"/>
      <c r="VN69" s="3"/>
      <c r="VO69" s="3"/>
      <c r="VP69" s="3"/>
      <c r="VQ69" s="3"/>
      <c r="VR69" s="3"/>
      <c r="VS69" s="3"/>
      <c r="VT69" s="3"/>
      <c r="VU69" s="3"/>
      <c r="VV69" s="3"/>
      <c r="VW69" s="3"/>
      <c r="VX69" s="3"/>
      <c r="VY69" s="3"/>
      <c r="VZ69" s="3"/>
      <c r="WA69" s="3"/>
      <c r="WB69" s="3"/>
      <c r="WC69" s="3"/>
      <c r="WD69" s="3"/>
      <c r="WE69" s="3"/>
      <c r="WF69" s="3"/>
      <c r="WG69" s="3"/>
      <c r="WH69" s="3"/>
      <c r="WI69" s="3"/>
      <c r="WJ69" s="3"/>
      <c r="WK69" s="3"/>
      <c r="WL69" s="3"/>
      <c r="WM69" s="3"/>
      <c r="WN69" s="3"/>
      <c r="WO69" s="3"/>
      <c r="WP69" s="3"/>
      <c r="WQ69" s="3"/>
      <c r="WR69" s="3"/>
      <c r="WS69" s="3"/>
      <c r="WT69" s="3"/>
      <c r="WU69" s="3"/>
      <c r="WV69" s="3"/>
      <c r="WW69" s="3"/>
      <c r="WX69" s="3"/>
      <c r="WY69" s="3"/>
      <c r="WZ69" s="3"/>
      <c r="XA69" s="3"/>
      <c r="XB69" s="3"/>
      <c r="XC69" s="3"/>
      <c r="XD69" s="3"/>
      <c r="XE69" s="3"/>
      <c r="XF69" s="3"/>
      <c r="XG69" s="3"/>
      <c r="XH69" s="3"/>
      <c r="XI69" s="3"/>
      <c r="XJ69" s="3"/>
      <c r="XK69" s="3"/>
      <c r="XL69" s="3"/>
      <c r="XM69" s="3"/>
      <c r="XN69" s="3"/>
      <c r="XO69" s="3"/>
      <c r="XP69" s="3"/>
      <c r="XQ69" s="3"/>
      <c r="XR69" s="3"/>
      <c r="XS69" s="3"/>
      <c r="XT69" s="3"/>
      <c r="XU69" s="3"/>
      <c r="XV69" s="3"/>
      <c r="XW69" s="3"/>
      <c r="XX69" s="3"/>
      <c r="XY69" s="3"/>
      <c r="XZ69" s="3"/>
      <c r="YA69" s="3"/>
      <c r="YB69" s="3"/>
      <c r="YC69" s="3"/>
      <c r="YD69" s="3"/>
      <c r="YE69" s="3"/>
      <c r="YF69" s="3"/>
      <c r="YG69" s="3"/>
      <c r="YH69" s="3"/>
      <c r="YI69" s="3"/>
      <c r="YJ69" s="3"/>
      <c r="YK69" s="3"/>
      <c r="YL69" s="3"/>
      <c r="YM69" s="3"/>
      <c r="YN69" s="3"/>
      <c r="YO69" s="3"/>
      <c r="YP69" s="3"/>
      <c r="YQ69" s="3"/>
      <c r="YR69" s="3"/>
      <c r="YS69" s="3"/>
      <c r="YT69" s="3"/>
      <c r="YU69" s="3"/>
      <c r="YV69" s="3"/>
      <c r="YW69" s="3"/>
      <c r="YX69" s="3"/>
      <c r="YY69" s="3"/>
      <c r="YZ69" s="3"/>
      <c r="ZA69" s="3"/>
      <c r="ZB69" s="3"/>
      <c r="ZC69" s="3"/>
    </row>
    <row r="70" spans="1:679" s="2" customFormat="1" x14ac:dyDescent="0.45">
      <c r="A70" s="3" t="s">
        <v>11</v>
      </c>
      <c r="B70" s="4">
        <v>31818</v>
      </c>
      <c r="C70" s="7" t="s">
        <v>21</v>
      </c>
      <c r="D70" s="6" t="s">
        <v>84</v>
      </c>
      <c r="E70" s="3"/>
      <c r="F70" s="3">
        <v>13</v>
      </c>
      <c r="L70" s="3"/>
      <c r="M70" s="3"/>
      <c r="N70" s="48"/>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c r="EU70" s="3"/>
      <c r="EV70" s="3"/>
      <c r="EW70" s="3"/>
      <c r="EX70" s="3"/>
      <c r="EY70" s="3"/>
      <c r="EZ70" s="3"/>
      <c r="FA70" s="3"/>
      <c r="FB70" s="3"/>
      <c r="FC70" s="3"/>
      <c r="FD70" s="3"/>
      <c r="FE70" s="3"/>
      <c r="FF70" s="3"/>
      <c r="FG70" s="3"/>
      <c r="FH70" s="3"/>
      <c r="FI70" s="3"/>
      <c r="FJ70" s="3"/>
      <c r="FK70" s="3"/>
      <c r="FL70" s="3"/>
      <c r="FM70" s="3"/>
      <c r="FN70" s="3"/>
      <c r="FO70" s="3"/>
      <c r="FP70" s="3"/>
      <c r="FQ70" s="3"/>
      <c r="FR70" s="3"/>
      <c r="FS70" s="3"/>
      <c r="FT70" s="3"/>
      <c r="FU70" s="3"/>
      <c r="FV70" s="3"/>
      <c r="FW70" s="3"/>
      <c r="FX70" s="3"/>
      <c r="FY70" s="3"/>
      <c r="FZ70" s="3"/>
      <c r="GA70" s="3"/>
      <c r="GB70" s="3"/>
      <c r="GC70" s="3"/>
      <c r="GD70" s="3"/>
      <c r="GE70" s="3"/>
      <c r="GF70" s="3"/>
      <c r="GG70" s="3"/>
      <c r="GH70" s="3"/>
      <c r="GI70" s="3"/>
      <c r="GJ70" s="3"/>
      <c r="GK70" s="3"/>
      <c r="GL70" s="3"/>
      <c r="GM70" s="3"/>
      <c r="GN70" s="3"/>
      <c r="GO70" s="3"/>
      <c r="GP70" s="3"/>
      <c r="GQ70" s="3"/>
      <c r="GR70" s="3"/>
      <c r="GS70" s="3"/>
      <c r="GT70" s="3"/>
      <c r="GU70" s="3"/>
      <c r="GV70" s="3"/>
      <c r="GW70" s="3"/>
      <c r="GX70" s="3"/>
      <c r="GY70" s="3"/>
      <c r="GZ70" s="3"/>
      <c r="HA70" s="3"/>
      <c r="HB70" s="3"/>
      <c r="HC70" s="3"/>
      <c r="HD70" s="3"/>
      <c r="HE70" s="3"/>
      <c r="HF70" s="3"/>
      <c r="HG70" s="3"/>
      <c r="HH70" s="3"/>
      <c r="HI70" s="3"/>
      <c r="HJ70" s="3"/>
      <c r="HK70" s="3"/>
      <c r="HL70" s="3"/>
      <c r="HM70" s="3"/>
      <c r="HN70" s="3"/>
      <c r="HO70" s="3"/>
      <c r="HP70" s="3"/>
      <c r="HQ70" s="3"/>
      <c r="HR70" s="3"/>
      <c r="HS70" s="3"/>
      <c r="HT70" s="3"/>
      <c r="HU70" s="3"/>
      <c r="HV70" s="3"/>
      <c r="HW70" s="3"/>
      <c r="HX70" s="3"/>
      <c r="HY70" s="3"/>
      <c r="HZ70" s="3"/>
      <c r="IA70" s="3"/>
      <c r="IB70" s="3"/>
      <c r="IC70" s="3"/>
      <c r="ID70" s="3"/>
      <c r="IE70" s="3"/>
      <c r="IF70" s="3"/>
      <c r="IG70" s="3"/>
      <c r="IH70" s="3"/>
      <c r="II70" s="3"/>
      <c r="IJ70" s="3"/>
      <c r="IK70" s="3"/>
      <c r="IL70" s="3"/>
      <c r="IM70" s="3"/>
      <c r="IN70" s="3"/>
      <c r="IO70" s="3"/>
      <c r="IP70" s="3"/>
      <c r="IQ70" s="3"/>
      <c r="IR70" s="3"/>
      <c r="IS70" s="3"/>
      <c r="IT70" s="3"/>
      <c r="IU70" s="3"/>
      <c r="IV70" s="3"/>
      <c r="IW70" s="3"/>
      <c r="IX70" s="3"/>
      <c r="IY70" s="3"/>
      <c r="IZ70" s="3"/>
      <c r="JA70" s="3"/>
      <c r="JB70" s="3"/>
      <c r="JC70" s="3"/>
      <c r="JD70" s="3"/>
      <c r="JE70" s="3"/>
      <c r="JF70" s="3"/>
      <c r="JG70" s="3"/>
      <c r="JH70" s="3"/>
      <c r="JI70" s="3"/>
      <c r="JJ70" s="3"/>
      <c r="JK70" s="3"/>
      <c r="JL70" s="3"/>
      <c r="JM70" s="3"/>
      <c r="JN70" s="3"/>
      <c r="JO70" s="3"/>
      <c r="JP70" s="3"/>
      <c r="JQ70" s="3"/>
      <c r="JR70" s="3"/>
      <c r="JS70" s="3"/>
      <c r="JT70" s="3"/>
      <c r="JU70" s="3"/>
      <c r="JV70" s="3"/>
      <c r="JW70" s="3"/>
      <c r="JX70" s="3"/>
      <c r="JY70" s="3"/>
      <c r="JZ70" s="3"/>
      <c r="KA70" s="3"/>
      <c r="KB70" s="3"/>
      <c r="KC70" s="3"/>
      <c r="KD70" s="3"/>
      <c r="KE70" s="3"/>
      <c r="KF70" s="3"/>
      <c r="KG70" s="3"/>
      <c r="KH70" s="3"/>
      <c r="KI70" s="3"/>
      <c r="KJ70" s="3"/>
      <c r="KK70" s="3"/>
      <c r="KL70" s="3"/>
      <c r="KM70" s="3"/>
      <c r="KN70" s="3"/>
      <c r="KO70" s="3"/>
      <c r="KP70" s="3"/>
      <c r="KQ70" s="3"/>
      <c r="KR70" s="3"/>
      <c r="KS70" s="3"/>
      <c r="KT70" s="3"/>
      <c r="KU70" s="3"/>
      <c r="KV70" s="3"/>
      <c r="KW70" s="3"/>
      <c r="KX70" s="3"/>
      <c r="KY70" s="3"/>
      <c r="KZ70" s="3"/>
      <c r="LA70" s="3"/>
      <c r="LB70" s="3"/>
      <c r="LC70" s="3"/>
      <c r="LD70" s="3"/>
      <c r="LE70" s="3"/>
      <c r="LF70" s="3"/>
      <c r="LG70" s="3"/>
      <c r="LH70" s="3"/>
      <c r="LI70" s="3"/>
      <c r="LJ70" s="3"/>
      <c r="LK70" s="3"/>
      <c r="LL70" s="3"/>
      <c r="LM70" s="3"/>
      <c r="LN70" s="3"/>
      <c r="LO70" s="3"/>
      <c r="LP70" s="3"/>
      <c r="LQ70" s="3"/>
      <c r="LR70" s="3"/>
      <c r="LS70" s="3"/>
      <c r="LT70" s="3"/>
      <c r="LU70" s="3"/>
      <c r="LV70" s="3"/>
      <c r="LW70" s="3"/>
      <c r="LX70" s="3"/>
      <c r="LY70" s="3"/>
      <c r="LZ70" s="3"/>
      <c r="MA70" s="3"/>
      <c r="MB70" s="3"/>
      <c r="MC70" s="3"/>
      <c r="MD70" s="3"/>
      <c r="ME70" s="3"/>
      <c r="MF70" s="3"/>
      <c r="MG70" s="3"/>
      <c r="MH70" s="3"/>
      <c r="MI70" s="3"/>
      <c r="MJ70" s="3"/>
      <c r="MK70" s="3"/>
      <c r="ML70" s="3"/>
      <c r="MM70" s="3"/>
      <c r="MN70" s="3"/>
      <c r="MO70" s="3"/>
      <c r="MP70" s="3"/>
      <c r="MQ70" s="3"/>
      <c r="MR70" s="3"/>
      <c r="MS70" s="3"/>
      <c r="MT70" s="3"/>
      <c r="MU70" s="3"/>
      <c r="MV70" s="3"/>
      <c r="MW70" s="3"/>
      <c r="MX70" s="3"/>
      <c r="MY70" s="3"/>
      <c r="MZ70" s="3"/>
      <c r="NA70" s="3"/>
      <c r="NB70" s="3"/>
      <c r="NC70" s="3"/>
      <c r="ND70" s="3"/>
      <c r="NE70" s="3"/>
      <c r="NF70" s="3"/>
      <c r="NG70" s="3"/>
      <c r="NH70" s="3"/>
      <c r="NI70" s="3"/>
      <c r="NJ70" s="3"/>
      <c r="NK70" s="3"/>
      <c r="NL70" s="3"/>
      <c r="NM70" s="3"/>
      <c r="NN70" s="3"/>
      <c r="NO70" s="3"/>
      <c r="NP70" s="3"/>
      <c r="NQ70" s="3"/>
      <c r="NR70" s="3"/>
      <c r="NS70" s="3"/>
      <c r="NT70" s="3"/>
      <c r="NU70" s="3"/>
      <c r="NV70" s="3"/>
      <c r="NW70" s="3"/>
      <c r="NX70" s="3"/>
      <c r="NY70" s="3"/>
      <c r="NZ70" s="3"/>
      <c r="OA70" s="3"/>
      <c r="OB70" s="3"/>
      <c r="OC70" s="3"/>
      <c r="OD70" s="3"/>
      <c r="OE70" s="3"/>
      <c r="OF70" s="3"/>
      <c r="OG70" s="3"/>
      <c r="OH70" s="3"/>
      <c r="OI70" s="3"/>
      <c r="OJ70" s="3"/>
      <c r="OK70" s="3"/>
      <c r="OL70" s="3"/>
      <c r="OM70" s="3"/>
      <c r="ON70" s="3"/>
      <c r="OO70" s="3"/>
      <c r="OP70" s="3"/>
      <c r="OQ70" s="3"/>
      <c r="OR70" s="3"/>
      <c r="OS70" s="3"/>
      <c r="OT70" s="3"/>
      <c r="OU70" s="3"/>
      <c r="OV70" s="3"/>
      <c r="OW70" s="3"/>
      <c r="OX70" s="3"/>
      <c r="OY70" s="3"/>
      <c r="OZ70" s="3"/>
      <c r="PA70" s="3"/>
      <c r="PB70" s="3"/>
      <c r="PC70" s="3"/>
      <c r="PD70" s="3"/>
      <c r="PE70" s="3"/>
      <c r="PF70" s="3"/>
      <c r="PG70" s="3"/>
      <c r="PH70" s="3"/>
      <c r="PI70" s="3"/>
      <c r="PJ70" s="3"/>
      <c r="PK70" s="3"/>
      <c r="PL70" s="3"/>
      <c r="PM70" s="3"/>
      <c r="PN70" s="3"/>
      <c r="PO70" s="3"/>
      <c r="PP70" s="3"/>
      <c r="PQ70" s="3"/>
      <c r="PR70" s="3"/>
      <c r="PS70" s="3"/>
      <c r="PT70" s="3"/>
      <c r="PU70" s="3"/>
      <c r="PV70" s="3"/>
      <c r="PW70" s="3"/>
      <c r="PX70" s="3"/>
      <c r="PY70" s="3"/>
      <c r="PZ70" s="3"/>
      <c r="QA70" s="3"/>
      <c r="QB70" s="3"/>
      <c r="QC70" s="3"/>
      <c r="QD70" s="3"/>
      <c r="QE70" s="3"/>
      <c r="QF70" s="3"/>
      <c r="QG70" s="3"/>
      <c r="QH70" s="3"/>
      <c r="QI70" s="3"/>
      <c r="QJ70" s="3"/>
      <c r="QK70" s="3"/>
      <c r="QL70" s="3"/>
      <c r="QM70" s="3"/>
      <c r="QN70" s="3"/>
      <c r="QO70" s="3"/>
      <c r="QP70" s="3"/>
      <c r="QQ70" s="3"/>
      <c r="QR70" s="3"/>
      <c r="QS70" s="3"/>
      <c r="QT70" s="3"/>
      <c r="QU70" s="3"/>
      <c r="QV70" s="3"/>
      <c r="QW70" s="3"/>
      <c r="QX70" s="3"/>
      <c r="QY70" s="3"/>
      <c r="QZ70" s="3"/>
      <c r="RA70" s="3"/>
      <c r="RB70" s="3"/>
      <c r="RC70" s="3"/>
      <c r="RD70" s="3"/>
      <c r="RE70" s="3"/>
      <c r="RF70" s="3"/>
      <c r="RG70" s="3"/>
      <c r="RH70" s="3"/>
      <c r="RI70" s="3"/>
      <c r="RJ70" s="3"/>
      <c r="RK70" s="3"/>
      <c r="RL70" s="3"/>
      <c r="RM70" s="3"/>
      <c r="RN70" s="3"/>
      <c r="RO70" s="3"/>
      <c r="RP70" s="3"/>
      <c r="RQ70" s="3"/>
      <c r="RR70" s="3"/>
      <c r="RS70" s="3"/>
      <c r="RT70" s="3"/>
      <c r="RU70" s="3"/>
      <c r="RV70" s="3"/>
      <c r="RW70" s="3"/>
      <c r="RX70" s="3"/>
      <c r="RY70" s="3"/>
      <c r="RZ70" s="3"/>
      <c r="SA70" s="3"/>
      <c r="SB70" s="3"/>
      <c r="SC70" s="3"/>
      <c r="SD70" s="3"/>
      <c r="SE70" s="3"/>
      <c r="SF70" s="3"/>
      <c r="SG70" s="3"/>
      <c r="SH70" s="3"/>
      <c r="SI70" s="3"/>
      <c r="SJ70" s="3"/>
      <c r="SK70" s="3"/>
      <c r="SL70" s="3"/>
      <c r="SM70" s="3"/>
      <c r="SN70" s="3"/>
      <c r="SO70" s="3"/>
      <c r="SP70" s="3"/>
      <c r="SQ70" s="3"/>
      <c r="SR70" s="3"/>
      <c r="SS70" s="3"/>
      <c r="ST70" s="3"/>
      <c r="SU70" s="3"/>
      <c r="SV70" s="3"/>
      <c r="SW70" s="3"/>
      <c r="SX70" s="3"/>
      <c r="SY70" s="3"/>
      <c r="SZ70" s="3"/>
      <c r="TA70" s="3"/>
      <c r="TB70" s="3"/>
      <c r="TC70" s="3"/>
      <c r="TD70" s="3"/>
      <c r="TE70" s="3"/>
      <c r="TF70" s="3"/>
      <c r="TG70" s="3"/>
      <c r="TH70" s="3"/>
      <c r="TI70" s="3"/>
      <c r="TJ70" s="3"/>
      <c r="TK70" s="3"/>
      <c r="TL70" s="3"/>
      <c r="TM70" s="3"/>
      <c r="TN70" s="3"/>
      <c r="TO70" s="3"/>
      <c r="TP70" s="3"/>
      <c r="TQ70" s="3"/>
      <c r="TR70" s="3"/>
      <c r="TS70" s="3"/>
      <c r="TT70" s="3"/>
      <c r="TU70" s="3"/>
      <c r="TV70" s="3"/>
      <c r="TW70" s="3"/>
      <c r="TX70" s="3"/>
      <c r="TY70" s="3"/>
      <c r="TZ70" s="3"/>
      <c r="UA70" s="3"/>
      <c r="UB70" s="3"/>
      <c r="UC70" s="3"/>
      <c r="UD70" s="3"/>
      <c r="UE70" s="3"/>
      <c r="UF70" s="3"/>
      <c r="UG70" s="3"/>
      <c r="UH70" s="3"/>
      <c r="UI70" s="3"/>
      <c r="UJ70" s="3"/>
      <c r="UK70" s="3"/>
      <c r="UL70" s="3"/>
      <c r="UM70" s="3"/>
      <c r="UN70" s="3"/>
      <c r="UO70" s="3"/>
      <c r="UP70" s="3"/>
      <c r="UQ70" s="3"/>
      <c r="UR70" s="3"/>
      <c r="US70" s="3"/>
      <c r="UT70" s="3"/>
      <c r="UU70" s="3"/>
      <c r="UV70" s="3"/>
      <c r="UW70" s="3"/>
      <c r="UX70" s="3"/>
      <c r="UY70" s="3"/>
      <c r="UZ70" s="3"/>
      <c r="VA70" s="3"/>
      <c r="VB70" s="3"/>
      <c r="VC70" s="3"/>
      <c r="VD70" s="3"/>
      <c r="VE70" s="3"/>
      <c r="VF70" s="3"/>
      <c r="VG70" s="3"/>
      <c r="VH70" s="3"/>
      <c r="VI70" s="3"/>
      <c r="VJ70" s="3"/>
      <c r="VK70" s="3"/>
      <c r="VL70" s="3"/>
      <c r="VM70" s="3"/>
      <c r="VN70" s="3"/>
      <c r="VO70" s="3"/>
      <c r="VP70" s="3"/>
      <c r="VQ70" s="3"/>
      <c r="VR70" s="3"/>
      <c r="VS70" s="3"/>
      <c r="VT70" s="3"/>
      <c r="VU70" s="3"/>
      <c r="VV70" s="3"/>
      <c r="VW70" s="3"/>
      <c r="VX70" s="3"/>
      <c r="VY70" s="3"/>
      <c r="VZ70" s="3"/>
      <c r="WA70" s="3"/>
      <c r="WB70" s="3"/>
      <c r="WC70" s="3"/>
      <c r="WD70" s="3"/>
      <c r="WE70" s="3"/>
      <c r="WF70" s="3"/>
      <c r="WG70" s="3"/>
      <c r="WH70" s="3"/>
      <c r="WI70" s="3"/>
      <c r="WJ70" s="3"/>
      <c r="WK70" s="3"/>
      <c r="WL70" s="3"/>
      <c r="WM70" s="3"/>
      <c r="WN70" s="3"/>
      <c r="WO70" s="3"/>
      <c r="WP70" s="3"/>
      <c r="WQ70" s="3"/>
      <c r="WR70" s="3"/>
      <c r="WS70" s="3"/>
      <c r="WT70" s="3"/>
      <c r="WU70" s="3"/>
      <c r="WV70" s="3"/>
      <c r="WW70" s="3"/>
      <c r="WX70" s="3"/>
      <c r="WY70" s="3"/>
      <c r="WZ70" s="3"/>
      <c r="XA70" s="3"/>
      <c r="XB70" s="3"/>
      <c r="XC70" s="3"/>
      <c r="XD70" s="3"/>
      <c r="XE70" s="3"/>
      <c r="XF70" s="3"/>
      <c r="XG70" s="3"/>
      <c r="XH70" s="3"/>
      <c r="XI70" s="3"/>
      <c r="XJ70" s="3"/>
      <c r="XK70" s="3"/>
      <c r="XL70" s="3"/>
      <c r="XM70" s="3"/>
      <c r="XN70" s="3"/>
      <c r="XO70" s="3"/>
      <c r="XP70" s="3"/>
      <c r="XQ70" s="3"/>
      <c r="XR70" s="3"/>
      <c r="XS70" s="3"/>
      <c r="XT70" s="3"/>
      <c r="XU70" s="3"/>
      <c r="XV70" s="3"/>
      <c r="XW70" s="3"/>
      <c r="XX70" s="3"/>
      <c r="XY70" s="3"/>
      <c r="XZ70" s="3"/>
      <c r="YA70" s="3"/>
      <c r="YB70" s="3"/>
      <c r="YC70" s="3"/>
      <c r="YD70" s="3"/>
      <c r="YE70" s="3"/>
      <c r="YF70" s="3"/>
      <c r="YG70" s="3"/>
      <c r="YH70" s="3"/>
      <c r="YI70" s="3"/>
      <c r="YJ70" s="3"/>
      <c r="YK70" s="3"/>
      <c r="YL70" s="3"/>
      <c r="YM70" s="3"/>
      <c r="YN70" s="3"/>
      <c r="YO70" s="3"/>
      <c r="YP70" s="3"/>
      <c r="YQ70" s="3"/>
      <c r="YR70" s="3"/>
      <c r="YS70" s="3"/>
      <c r="YT70" s="3"/>
      <c r="YU70" s="3"/>
      <c r="YV70" s="3"/>
      <c r="YW70" s="3"/>
      <c r="YX70" s="3"/>
      <c r="YY70" s="3"/>
      <c r="YZ70" s="3"/>
      <c r="ZA70" s="3"/>
      <c r="ZB70" s="3"/>
      <c r="ZC70" s="3"/>
    </row>
    <row r="71" spans="1:679" s="2" customFormat="1" x14ac:dyDescent="0.45">
      <c r="A71" s="3" t="s">
        <v>11</v>
      </c>
      <c r="B71" s="4">
        <v>31828</v>
      </c>
      <c r="C71" s="7" t="s">
        <v>25</v>
      </c>
      <c r="D71" s="6" t="s">
        <v>85</v>
      </c>
      <c r="E71" s="3"/>
      <c r="F71" s="3">
        <v>2</v>
      </c>
      <c r="L71" s="3"/>
      <c r="M71" s="3"/>
      <c r="N71" s="48"/>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3"/>
      <c r="DG71" s="3"/>
      <c r="DH71" s="3"/>
      <c r="DI71" s="3"/>
      <c r="DJ71" s="3"/>
      <c r="DK71" s="3"/>
      <c r="DL71" s="3"/>
      <c r="DM71" s="3"/>
      <c r="DN71" s="3"/>
      <c r="DO71" s="3"/>
      <c r="DP71" s="3"/>
      <c r="DQ71" s="3"/>
      <c r="DR71" s="3"/>
      <c r="DS71" s="3"/>
      <c r="DT71" s="3"/>
      <c r="DU71" s="3"/>
      <c r="DV71" s="3"/>
      <c r="DW71" s="3"/>
      <c r="DX71" s="3"/>
      <c r="DY71" s="3"/>
      <c r="DZ71" s="3"/>
      <c r="EA71" s="3"/>
      <c r="EB71" s="3"/>
      <c r="EC71" s="3"/>
      <c r="ED71" s="3"/>
      <c r="EE71" s="3"/>
      <c r="EF71" s="3"/>
      <c r="EG71" s="3"/>
      <c r="EH71" s="3"/>
      <c r="EI71" s="3"/>
      <c r="EJ71" s="3"/>
      <c r="EK71" s="3"/>
      <c r="EL71" s="3"/>
      <c r="EM71" s="3"/>
      <c r="EN71" s="3"/>
      <c r="EO71" s="3"/>
      <c r="EP71" s="3"/>
      <c r="EQ71" s="3"/>
      <c r="ER71" s="3"/>
      <c r="ES71" s="3"/>
      <c r="ET71" s="3"/>
      <c r="EU71" s="3"/>
      <c r="EV71" s="3"/>
      <c r="EW71" s="3"/>
      <c r="EX71" s="3"/>
      <c r="EY71" s="3"/>
      <c r="EZ71" s="3"/>
      <c r="FA71" s="3"/>
      <c r="FB71" s="3"/>
      <c r="FC71" s="3"/>
      <c r="FD71" s="3"/>
      <c r="FE71" s="3"/>
      <c r="FF71" s="3"/>
      <c r="FG71" s="3"/>
      <c r="FH71" s="3"/>
      <c r="FI71" s="3"/>
      <c r="FJ71" s="3"/>
      <c r="FK71" s="3"/>
      <c r="FL71" s="3"/>
      <c r="FM71" s="3"/>
      <c r="FN71" s="3"/>
      <c r="FO71" s="3"/>
      <c r="FP71" s="3"/>
      <c r="FQ71" s="3"/>
      <c r="FR71" s="3"/>
      <c r="FS71" s="3"/>
      <c r="FT71" s="3"/>
      <c r="FU71" s="3"/>
      <c r="FV71" s="3"/>
      <c r="FW71" s="3"/>
      <c r="FX71" s="3"/>
      <c r="FY71" s="3"/>
      <c r="FZ71" s="3"/>
      <c r="GA71" s="3"/>
      <c r="GB71" s="3"/>
      <c r="GC71" s="3"/>
      <c r="GD71" s="3"/>
      <c r="GE71" s="3"/>
      <c r="GF71" s="3"/>
      <c r="GG71" s="3"/>
      <c r="GH71" s="3"/>
      <c r="GI71" s="3"/>
      <c r="GJ71" s="3"/>
      <c r="GK71" s="3"/>
      <c r="GL71" s="3"/>
      <c r="GM71" s="3"/>
      <c r="GN71" s="3"/>
      <c r="GO71" s="3"/>
      <c r="GP71" s="3"/>
      <c r="GQ71" s="3"/>
      <c r="GR71" s="3"/>
      <c r="GS71" s="3"/>
      <c r="GT71" s="3"/>
      <c r="GU71" s="3"/>
      <c r="GV71" s="3"/>
      <c r="GW71" s="3"/>
      <c r="GX71" s="3"/>
      <c r="GY71" s="3"/>
      <c r="GZ71" s="3"/>
      <c r="HA71" s="3"/>
      <c r="HB71" s="3"/>
      <c r="HC71" s="3"/>
      <c r="HD71" s="3"/>
      <c r="HE71" s="3"/>
      <c r="HF71" s="3"/>
      <c r="HG71" s="3"/>
      <c r="HH71" s="3"/>
      <c r="HI71" s="3"/>
      <c r="HJ71" s="3"/>
      <c r="HK71" s="3"/>
      <c r="HL71" s="3"/>
      <c r="HM71" s="3"/>
      <c r="HN71" s="3"/>
      <c r="HO71" s="3"/>
      <c r="HP71" s="3"/>
      <c r="HQ71" s="3"/>
      <c r="HR71" s="3"/>
      <c r="HS71" s="3"/>
      <c r="HT71" s="3"/>
      <c r="HU71" s="3"/>
      <c r="HV71" s="3"/>
      <c r="HW71" s="3"/>
      <c r="HX71" s="3"/>
      <c r="HY71" s="3"/>
      <c r="HZ71" s="3"/>
      <c r="IA71" s="3"/>
      <c r="IB71" s="3"/>
      <c r="IC71" s="3"/>
      <c r="ID71" s="3"/>
      <c r="IE71" s="3"/>
      <c r="IF71" s="3"/>
      <c r="IG71" s="3"/>
      <c r="IH71" s="3"/>
      <c r="II71" s="3"/>
      <c r="IJ71" s="3"/>
      <c r="IK71" s="3"/>
      <c r="IL71" s="3"/>
      <c r="IM71" s="3"/>
      <c r="IN71" s="3"/>
      <c r="IO71" s="3"/>
      <c r="IP71" s="3"/>
      <c r="IQ71" s="3"/>
      <c r="IR71" s="3"/>
      <c r="IS71" s="3"/>
      <c r="IT71" s="3"/>
      <c r="IU71" s="3"/>
      <c r="IV71" s="3"/>
      <c r="IW71" s="3"/>
      <c r="IX71" s="3"/>
      <c r="IY71" s="3"/>
      <c r="IZ71" s="3"/>
      <c r="JA71" s="3"/>
      <c r="JB71" s="3"/>
      <c r="JC71" s="3"/>
      <c r="JD71" s="3"/>
      <c r="JE71" s="3"/>
      <c r="JF71" s="3"/>
      <c r="JG71" s="3"/>
      <c r="JH71" s="3"/>
      <c r="JI71" s="3"/>
      <c r="JJ71" s="3"/>
      <c r="JK71" s="3"/>
      <c r="JL71" s="3"/>
      <c r="JM71" s="3"/>
      <c r="JN71" s="3"/>
      <c r="JO71" s="3"/>
      <c r="JP71" s="3"/>
      <c r="JQ71" s="3"/>
      <c r="JR71" s="3"/>
      <c r="JS71" s="3"/>
      <c r="JT71" s="3"/>
      <c r="JU71" s="3"/>
      <c r="JV71" s="3"/>
      <c r="JW71" s="3"/>
      <c r="JX71" s="3"/>
      <c r="JY71" s="3"/>
      <c r="JZ71" s="3"/>
      <c r="KA71" s="3"/>
      <c r="KB71" s="3"/>
      <c r="KC71" s="3"/>
      <c r="KD71" s="3"/>
      <c r="KE71" s="3"/>
      <c r="KF71" s="3"/>
      <c r="KG71" s="3"/>
      <c r="KH71" s="3"/>
      <c r="KI71" s="3"/>
      <c r="KJ71" s="3"/>
      <c r="KK71" s="3"/>
      <c r="KL71" s="3"/>
      <c r="KM71" s="3"/>
      <c r="KN71" s="3"/>
      <c r="KO71" s="3"/>
      <c r="KP71" s="3"/>
      <c r="KQ71" s="3"/>
      <c r="KR71" s="3"/>
      <c r="KS71" s="3"/>
      <c r="KT71" s="3"/>
      <c r="KU71" s="3"/>
      <c r="KV71" s="3"/>
      <c r="KW71" s="3"/>
      <c r="KX71" s="3"/>
      <c r="KY71" s="3"/>
      <c r="KZ71" s="3"/>
      <c r="LA71" s="3"/>
      <c r="LB71" s="3"/>
      <c r="LC71" s="3"/>
      <c r="LD71" s="3"/>
      <c r="LE71" s="3"/>
      <c r="LF71" s="3"/>
      <c r="LG71" s="3"/>
      <c r="LH71" s="3"/>
      <c r="LI71" s="3"/>
      <c r="LJ71" s="3"/>
      <c r="LK71" s="3"/>
      <c r="LL71" s="3"/>
      <c r="LM71" s="3"/>
      <c r="LN71" s="3"/>
      <c r="LO71" s="3"/>
      <c r="LP71" s="3"/>
      <c r="LQ71" s="3"/>
      <c r="LR71" s="3"/>
      <c r="LS71" s="3"/>
      <c r="LT71" s="3"/>
      <c r="LU71" s="3"/>
      <c r="LV71" s="3"/>
      <c r="LW71" s="3"/>
      <c r="LX71" s="3"/>
      <c r="LY71" s="3"/>
      <c r="LZ71" s="3"/>
      <c r="MA71" s="3"/>
      <c r="MB71" s="3"/>
      <c r="MC71" s="3"/>
      <c r="MD71" s="3"/>
      <c r="ME71" s="3"/>
      <c r="MF71" s="3"/>
      <c r="MG71" s="3"/>
      <c r="MH71" s="3"/>
      <c r="MI71" s="3"/>
      <c r="MJ71" s="3"/>
      <c r="MK71" s="3"/>
      <c r="ML71" s="3"/>
      <c r="MM71" s="3"/>
      <c r="MN71" s="3"/>
      <c r="MO71" s="3"/>
      <c r="MP71" s="3"/>
      <c r="MQ71" s="3"/>
      <c r="MR71" s="3"/>
      <c r="MS71" s="3"/>
      <c r="MT71" s="3"/>
      <c r="MU71" s="3"/>
      <c r="MV71" s="3"/>
      <c r="MW71" s="3"/>
      <c r="MX71" s="3"/>
      <c r="MY71" s="3"/>
      <c r="MZ71" s="3"/>
      <c r="NA71" s="3"/>
      <c r="NB71" s="3"/>
      <c r="NC71" s="3"/>
      <c r="ND71" s="3"/>
      <c r="NE71" s="3"/>
      <c r="NF71" s="3"/>
      <c r="NG71" s="3"/>
      <c r="NH71" s="3"/>
      <c r="NI71" s="3"/>
      <c r="NJ71" s="3"/>
      <c r="NK71" s="3"/>
      <c r="NL71" s="3"/>
      <c r="NM71" s="3"/>
      <c r="NN71" s="3"/>
      <c r="NO71" s="3"/>
      <c r="NP71" s="3"/>
      <c r="NQ71" s="3"/>
      <c r="NR71" s="3"/>
      <c r="NS71" s="3"/>
      <c r="NT71" s="3"/>
      <c r="NU71" s="3"/>
      <c r="NV71" s="3"/>
      <c r="NW71" s="3"/>
      <c r="NX71" s="3"/>
      <c r="NY71" s="3"/>
      <c r="NZ71" s="3"/>
      <c r="OA71" s="3"/>
      <c r="OB71" s="3"/>
      <c r="OC71" s="3"/>
      <c r="OD71" s="3"/>
      <c r="OE71" s="3"/>
      <c r="OF71" s="3"/>
      <c r="OG71" s="3"/>
      <c r="OH71" s="3"/>
      <c r="OI71" s="3"/>
      <c r="OJ71" s="3"/>
      <c r="OK71" s="3"/>
      <c r="OL71" s="3"/>
      <c r="OM71" s="3"/>
      <c r="ON71" s="3"/>
      <c r="OO71" s="3"/>
      <c r="OP71" s="3"/>
      <c r="OQ71" s="3"/>
      <c r="OR71" s="3"/>
      <c r="OS71" s="3"/>
      <c r="OT71" s="3"/>
      <c r="OU71" s="3"/>
      <c r="OV71" s="3"/>
      <c r="OW71" s="3"/>
      <c r="OX71" s="3"/>
      <c r="OY71" s="3"/>
      <c r="OZ71" s="3"/>
      <c r="PA71" s="3"/>
      <c r="PB71" s="3"/>
      <c r="PC71" s="3"/>
      <c r="PD71" s="3"/>
      <c r="PE71" s="3"/>
      <c r="PF71" s="3"/>
      <c r="PG71" s="3"/>
      <c r="PH71" s="3"/>
      <c r="PI71" s="3"/>
      <c r="PJ71" s="3"/>
      <c r="PK71" s="3"/>
      <c r="PL71" s="3"/>
      <c r="PM71" s="3"/>
      <c r="PN71" s="3"/>
      <c r="PO71" s="3"/>
      <c r="PP71" s="3"/>
      <c r="PQ71" s="3"/>
      <c r="PR71" s="3"/>
      <c r="PS71" s="3"/>
      <c r="PT71" s="3"/>
      <c r="PU71" s="3"/>
      <c r="PV71" s="3"/>
      <c r="PW71" s="3"/>
      <c r="PX71" s="3"/>
      <c r="PY71" s="3"/>
      <c r="PZ71" s="3"/>
      <c r="QA71" s="3"/>
      <c r="QB71" s="3"/>
      <c r="QC71" s="3"/>
      <c r="QD71" s="3"/>
      <c r="QE71" s="3"/>
      <c r="QF71" s="3"/>
      <c r="QG71" s="3"/>
      <c r="QH71" s="3"/>
      <c r="QI71" s="3"/>
      <c r="QJ71" s="3"/>
      <c r="QK71" s="3"/>
      <c r="QL71" s="3"/>
      <c r="QM71" s="3"/>
      <c r="QN71" s="3"/>
      <c r="QO71" s="3"/>
      <c r="QP71" s="3"/>
      <c r="QQ71" s="3"/>
      <c r="QR71" s="3"/>
      <c r="QS71" s="3"/>
      <c r="QT71" s="3"/>
      <c r="QU71" s="3"/>
      <c r="QV71" s="3"/>
      <c r="QW71" s="3"/>
      <c r="QX71" s="3"/>
      <c r="QY71" s="3"/>
      <c r="QZ71" s="3"/>
      <c r="RA71" s="3"/>
      <c r="RB71" s="3"/>
      <c r="RC71" s="3"/>
      <c r="RD71" s="3"/>
      <c r="RE71" s="3"/>
      <c r="RF71" s="3"/>
      <c r="RG71" s="3"/>
      <c r="RH71" s="3"/>
      <c r="RI71" s="3"/>
      <c r="RJ71" s="3"/>
      <c r="RK71" s="3"/>
      <c r="RL71" s="3"/>
      <c r="RM71" s="3"/>
      <c r="RN71" s="3"/>
      <c r="RO71" s="3"/>
      <c r="RP71" s="3"/>
      <c r="RQ71" s="3"/>
      <c r="RR71" s="3"/>
      <c r="RS71" s="3"/>
      <c r="RT71" s="3"/>
      <c r="RU71" s="3"/>
      <c r="RV71" s="3"/>
      <c r="RW71" s="3"/>
      <c r="RX71" s="3"/>
      <c r="RY71" s="3"/>
      <c r="RZ71" s="3"/>
      <c r="SA71" s="3"/>
      <c r="SB71" s="3"/>
      <c r="SC71" s="3"/>
      <c r="SD71" s="3"/>
      <c r="SE71" s="3"/>
      <c r="SF71" s="3"/>
      <c r="SG71" s="3"/>
      <c r="SH71" s="3"/>
      <c r="SI71" s="3"/>
      <c r="SJ71" s="3"/>
      <c r="SK71" s="3"/>
      <c r="SL71" s="3"/>
      <c r="SM71" s="3"/>
      <c r="SN71" s="3"/>
      <c r="SO71" s="3"/>
      <c r="SP71" s="3"/>
      <c r="SQ71" s="3"/>
      <c r="SR71" s="3"/>
      <c r="SS71" s="3"/>
      <c r="ST71" s="3"/>
      <c r="SU71" s="3"/>
      <c r="SV71" s="3"/>
      <c r="SW71" s="3"/>
      <c r="SX71" s="3"/>
      <c r="SY71" s="3"/>
      <c r="SZ71" s="3"/>
      <c r="TA71" s="3"/>
      <c r="TB71" s="3"/>
      <c r="TC71" s="3"/>
      <c r="TD71" s="3"/>
      <c r="TE71" s="3"/>
      <c r="TF71" s="3"/>
      <c r="TG71" s="3"/>
      <c r="TH71" s="3"/>
      <c r="TI71" s="3"/>
      <c r="TJ71" s="3"/>
      <c r="TK71" s="3"/>
      <c r="TL71" s="3"/>
      <c r="TM71" s="3"/>
      <c r="TN71" s="3"/>
      <c r="TO71" s="3"/>
      <c r="TP71" s="3"/>
      <c r="TQ71" s="3"/>
      <c r="TR71" s="3"/>
      <c r="TS71" s="3"/>
      <c r="TT71" s="3"/>
      <c r="TU71" s="3"/>
      <c r="TV71" s="3"/>
      <c r="TW71" s="3"/>
      <c r="TX71" s="3"/>
      <c r="TY71" s="3"/>
      <c r="TZ71" s="3"/>
      <c r="UA71" s="3"/>
      <c r="UB71" s="3"/>
      <c r="UC71" s="3"/>
      <c r="UD71" s="3"/>
      <c r="UE71" s="3"/>
      <c r="UF71" s="3"/>
      <c r="UG71" s="3"/>
      <c r="UH71" s="3"/>
      <c r="UI71" s="3"/>
      <c r="UJ71" s="3"/>
      <c r="UK71" s="3"/>
      <c r="UL71" s="3"/>
      <c r="UM71" s="3"/>
      <c r="UN71" s="3"/>
      <c r="UO71" s="3"/>
      <c r="UP71" s="3"/>
      <c r="UQ71" s="3"/>
      <c r="UR71" s="3"/>
      <c r="US71" s="3"/>
      <c r="UT71" s="3"/>
      <c r="UU71" s="3"/>
      <c r="UV71" s="3"/>
      <c r="UW71" s="3"/>
      <c r="UX71" s="3"/>
      <c r="UY71" s="3"/>
      <c r="UZ71" s="3"/>
      <c r="VA71" s="3"/>
      <c r="VB71" s="3"/>
      <c r="VC71" s="3"/>
      <c r="VD71" s="3"/>
      <c r="VE71" s="3"/>
      <c r="VF71" s="3"/>
      <c r="VG71" s="3"/>
      <c r="VH71" s="3"/>
      <c r="VI71" s="3"/>
      <c r="VJ71" s="3"/>
      <c r="VK71" s="3"/>
      <c r="VL71" s="3"/>
      <c r="VM71" s="3"/>
      <c r="VN71" s="3"/>
      <c r="VO71" s="3"/>
      <c r="VP71" s="3"/>
      <c r="VQ71" s="3"/>
      <c r="VR71" s="3"/>
      <c r="VS71" s="3"/>
      <c r="VT71" s="3"/>
      <c r="VU71" s="3"/>
      <c r="VV71" s="3"/>
      <c r="VW71" s="3"/>
      <c r="VX71" s="3"/>
      <c r="VY71" s="3"/>
      <c r="VZ71" s="3"/>
      <c r="WA71" s="3"/>
      <c r="WB71" s="3"/>
      <c r="WC71" s="3"/>
      <c r="WD71" s="3"/>
      <c r="WE71" s="3"/>
      <c r="WF71" s="3"/>
      <c r="WG71" s="3"/>
      <c r="WH71" s="3"/>
      <c r="WI71" s="3"/>
      <c r="WJ71" s="3"/>
      <c r="WK71" s="3"/>
      <c r="WL71" s="3"/>
      <c r="WM71" s="3"/>
      <c r="WN71" s="3"/>
      <c r="WO71" s="3"/>
      <c r="WP71" s="3"/>
      <c r="WQ71" s="3"/>
      <c r="WR71" s="3"/>
      <c r="WS71" s="3"/>
      <c r="WT71" s="3"/>
      <c r="WU71" s="3"/>
      <c r="WV71" s="3"/>
      <c r="WW71" s="3"/>
      <c r="WX71" s="3"/>
      <c r="WY71" s="3"/>
      <c r="WZ71" s="3"/>
      <c r="XA71" s="3"/>
      <c r="XB71" s="3"/>
      <c r="XC71" s="3"/>
      <c r="XD71" s="3"/>
      <c r="XE71" s="3"/>
      <c r="XF71" s="3"/>
      <c r="XG71" s="3"/>
      <c r="XH71" s="3"/>
      <c r="XI71" s="3"/>
      <c r="XJ71" s="3"/>
      <c r="XK71" s="3"/>
      <c r="XL71" s="3"/>
      <c r="XM71" s="3"/>
      <c r="XN71" s="3"/>
      <c r="XO71" s="3"/>
      <c r="XP71" s="3"/>
      <c r="XQ71" s="3"/>
      <c r="XR71" s="3"/>
      <c r="XS71" s="3"/>
      <c r="XT71" s="3"/>
      <c r="XU71" s="3"/>
      <c r="XV71" s="3"/>
      <c r="XW71" s="3"/>
      <c r="XX71" s="3"/>
      <c r="XY71" s="3"/>
      <c r="XZ71" s="3"/>
      <c r="YA71" s="3"/>
      <c r="YB71" s="3"/>
      <c r="YC71" s="3"/>
      <c r="YD71" s="3"/>
      <c r="YE71" s="3"/>
      <c r="YF71" s="3"/>
      <c r="YG71" s="3"/>
      <c r="YH71" s="3"/>
      <c r="YI71" s="3"/>
      <c r="YJ71" s="3"/>
      <c r="YK71" s="3"/>
      <c r="YL71" s="3"/>
      <c r="YM71" s="3"/>
      <c r="YN71" s="3"/>
      <c r="YO71" s="3"/>
      <c r="YP71" s="3"/>
      <c r="YQ71" s="3"/>
      <c r="YR71" s="3"/>
      <c r="YS71" s="3"/>
      <c r="YT71" s="3"/>
      <c r="YU71" s="3"/>
      <c r="YV71" s="3"/>
      <c r="YW71" s="3"/>
      <c r="YX71" s="3"/>
      <c r="YY71" s="3"/>
      <c r="YZ71" s="3"/>
      <c r="ZA71" s="3"/>
      <c r="ZB71" s="3"/>
      <c r="ZC71" s="3"/>
    </row>
    <row r="72" spans="1:679" s="2" customFormat="1" x14ac:dyDescent="0.45">
      <c r="A72" s="3" t="s">
        <v>11</v>
      </c>
      <c r="B72" s="4">
        <v>31838</v>
      </c>
      <c r="C72" s="7" t="s">
        <v>25</v>
      </c>
      <c r="D72" s="6" t="s">
        <v>86</v>
      </c>
      <c r="E72" s="3"/>
      <c r="F72" s="3">
        <v>4</v>
      </c>
      <c r="L72" s="3"/>
      <c r="M72" s="3"/>
      <c r="N72" s="48"/>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c r="DR72" s="3"/>
      <c r="DS72" s="3"/>
      <c r="DT72" s="3"/>
      <c r="DU72" s="3"/>
      <c r="DV72" s="3"/>
      <c r="DW72" s="3"/>
      <c r="DX72" s="3"/>
      <c r="DY72" s="3"/>
      <c r="DZ72" s="3"/>
      <c r="EA72" s="3"/>
      <c r="EB72" s="3"/>
      <c r="EC72" s="3"/>
      <c r="ED72" s="3"/>
      <c r="EE72" s="3"/>
      <c r="EF72" s="3"/>
      <c r="EG72" s="3"/>
      <c r="EH72" s="3"/>
      <c r="EI72" s="3"/>
      <c r="EJ72" s="3"/>
      <c r="EK72" s="3"/>
      <c r="EL72" s="3"/>
      <c r="EM72" s="3"/>
      <c r="EN72" s="3"/>
      <c r="EO72" s="3"/>
      <c r="EP72" s="3"/>
      <c r="EQ72" s="3"/>
      <c r="ER72" s="3"/>
      <c r="ES72" s="3"/>
      <c r="ET72" s="3"/>
      <c r="EU72" s="3"/>
      <c r="EV72" s="3"/>
      <c r="EW72" s="3"/>
      <c r="EX72" s="3"/>
      <c r="EY72" s="3"/>
      <c r="EZ72" s="3"/>
      <c r="FA72" s="3"/>
      <c r="FB72" s="3"/>
      <c r="FC72" s="3"/>
      <c r="FD72" s="3"/>
      <c r="FE72" s="3"/>
      <c r="FF72" s="3"/>
      <c r="FG72" s="3"/>
      <c r="FH72" s="3"/>
      <c r="FI72" s="3"/>
      <c r="FJ72" s="3"/>
      <c r="FK72" s="3"/>
      <c r="FL72" s="3"/>
      <c r="FM72" s="3"/>
      <c r="FN72" s="3"/>
      <c r="FO72" s="3"/>
      <c r="FP72" s="3"/>
      <c r="FQ72" s="3"/>
      <c r="FR72" s="3"/>
      <c r="FS72" s="3"/>
      <c r="FT72" s="3"/>
      <c r="FU72" s="3"/>
      <c r="FV72" s="3"/>
      <c r="FW72" s="3"/>
      <c r="FX72" s="3"/>
      <c r="FY72" s="3"/>
      <c r="FZ72" s="3"/>
      <c r="GA72" s="3"/>
      <c r="GB72" s="3"/>
      <c r="GC72" s="3"/>
      <c r="GD72" s="3"/>
      <c r="GE72" s="3"/>
      <c r="GF72" s="3"/>
      <c r="GG72" s="3"/>
      <c r="GH72" s="3"/>
      <c r="GI72" s="3"/>
      <c r="GJ72" s="3"/>
      <c r="GK72" s="3"/>
      <c r="GL72" s="3"/>
      <c r="GM72" s="3"/>
      <c r="GN72" s="3"/>
      <c r="GO72" s="3"/>
      <c r="GP72" s="3"/>
      <c r="GQ72" s="3"/>
      <c r="GR72" s="3"/>
      <c r="GS72" s="3"/>
      <c r="GT72" s="3"/>
      <c r="GU72" s="3"/>
      <c r="GV72" s="3"/>
      <c r="GW72" s="3"/>
      <c r="GX72" s="3"/>
      <c r="GY72" s="3"/>
      <c r="GZ72" s="3"/>
      <c r="HA72" s="3"/>
      <c r="HB72" s="3"/>
      <c r="HC72" s="3"/>
      <c r="HD72" s="3"/>
      <c r="HE72" s="3"/>
      <c r="HF72" s="3"/>
      <c r="HG72" s="3"/>
      <c r="HH72" s="3"/>
      <c r="HI72" s="3"/>
      <c r="HJ72" s="3"/>
      <c r="HK72" s="3"/>
      <c r="HL72" s="3"/>
      <c r="HM72" s="3"/>
      <c r="HN72" s="3"/>
      <c r="HO72" s="3"/>
      <c r="HP72" s="3"/>
      <c r="HQ72" s="3"/>
      <c r="HR72" s="3"/>
      <c r="HS72" s="3"/>
      <c r="HT72" s="3"/>
      <c r="HU72" s="3"/>
      <c r="HV72" s="3"/>
      <c r="HW72" s="3"/>
      <c r="HX72" s="3"/>
      <c r="HY72" s="3"/>
      <c r="HZ72" s="3"/>
      <c r="IA72" s="3"/>
      <c r="IB72" s="3"/>
      <c r="IC72" s="3"/>
      <c r="ID72" s="3"/>
      <c r="IE72" s="3"/>
      <c r="IF72" s="3"/>
      <c r="IG72" s="3"/>
      <c r="IH72" s="3"/>
      <c r="II72" s="3"/>
      <c r="IJ72" s="3"/>
      <c r="IK72" s="3"/>
      <c r="IL72" s="3"/>
      <c r="IM72" s="3"/>
      <c r="IN72" s="3"/>
      <c r="IO72" s="3"/>
      <c r="IP72" s="3"/>
      <c r="IQ72" s="3"/>
      <c r="IR72" s="3"/>
      <c r="IS72" s="3"/>
      <c r="IT72" s="3"/>
      <c r="IU72" s="3"/>
      <c r="IV72" s="3"/>
      <c r="IW72" s="3"/>
      <c r="IX72" s="3"/>
      <c r="IY72" s="3"/>
      <c r="IZ72" s="3"/>
      <c r="JA72" s="3"/>
      <c r="JB72" s="3"/>
      <c r="JC72" s="3"/>
      <c r="JD72" s="3"/>
      <c r="JE72" s="3"/>
      <c r="JF72" s="3"/>
      <c r="JG72" s="3"/>
      <c r="JH72" s="3"/>
      <c r="JI72" s="3"/>
      <c r="JJ72" s="3"/>
      <c r="JK72" s="3"/>
      <c r="JL72" s="3"/>
      <c r="JM72" s="3"/>
      <c r="JN72" s="3"/>
      <c r="JO72" s="3"/>
      <c r="JP72" s="3"/>
      <c r="JQ72" s="3"/>
      <c r="JR72" s="3"/>
      <c r="JS72" s="3"/>
      <c r="JT72" s="3"/>
      <c r="JU72" s="3"/>
      <c r="JV72" s="3"/>
      <c r="JW72" s="3"/>
      <c r="JX72" s="3"/>
      <c r="JY72" s="3"/>
      <c r="JZ72" s="3"/>
      <c r="KA72" s="3"/>
      <c r="KB72" s="3"/>
      <c r="KC72" s="3"/>
      <c r="KD72" s="3"/>
      <c r="KE72" s="3"/>
      <c r="KF72" s="3"/>
      <c r="KG72" s="3"/>
      <c r="KH72" s="3"/>
      <c r="KI72" s="3"/>
      <c r="KJ72" s="3"/>
      <c r="KK72" s="3"/>
      <c r="KL72" s="3"/>
      <c r="KM72" s="3"/>
      <c r="KN72" s="3"/>
      <c r="KO72" s="3"/>
      <c r="KP72" s="3"/>
      <c r="KQ72" s="3"/>
      <c r="KR72" s="3"/>
      <c r="KS72" s="3"/>
      <c r="KT72" s="3"/>
      <c r="KU72" s="3"/>
      <c r="KV72" s="3"/>
      <c r="KW72" s="3"/>
      <c r="KX72" s="3"/>
      <c r="KY72" s="3"/>
      <c r="KZ72" s="3"/>
      <c r="LA72" s="3"/>
      <c r="LB72" s="3"/>
      <c r="LC72" s="3"/>
      <c r="LD72" s="3"/>
      <c r="LE72" s="3"/>
      <c r="LF72" s="3"/>
      <c r="LG72" s="3"/>
      <c r="LH72" s="3"/>
      <c r="LI72" s="3"/>
      <c r="LJ72" s="3"/>
      <c r="LK72" s="3"/>
      <c r="LL72" s="3"/>
      <c r="LM72" s="3"/>
      <c r="LN72" s="3"/>
      <c r="LO72" s="3"/>
      <c r="LP72" s="3"/>
      <c r="LQ72" s="3"/>
      <c r="LR72" s="3"/>
      <c r="LS72" s="3"/>
      <c r="LT72" s="3"/>
      <c r="LU72" s="3"/>
      <c r="LV72" s="3"/>
      <c r="LW72" s="3"/>
      <c r="LX72" s="3"/>
      <c r="LY72" s="3"/>
      <c r="LZ72" s="3"/>
      <c r="MA72" s="3"/>
      <c r="MB72" s="3"/>
      <c r="MC72" s="3"/>
      <c r="MD72" s="3"/>
      <c r="ME72" s="3"/>
      <c r="MF72" s="3"/>
      <c r="MG72" s="3"/>
      <c r="MH72" s="3"/>
      <c r="MI72" s="3"/>
      <c r="MJ72" s="3"/>
      <c r="MK72" s="3"/>
      <c r="ML72" s="3"/>
      <c r="MM72" s="3"/>
      <c r="MN72" s="3"/>
      <c r="MO72" s="3"/>
      <c r="MP72" s="3"/>
      <c r="MQ72" s="3"/>
      <c r="MR72" s="3"/>
      <c r="MS72" s="3"/>
      <c r="MT72" s="3"/>
      <c r="MU72" s="3"/>
      <c r="MV72" s="3"/>
      <c r="MW72" s="3"/>
      <c r="MX72" s="3"/>
      <c r="MY72" s="3"/>
      <c r="MZ72" s="3"/>
      <c r="NA72" s="3"/>
      <c r="NB72" s="3"/>
      <c r="NC72" s="3"/>
      <c r="ND72" s="3"/>
      <c r="NE72" s="3"/>
      <c r="NF72" s="3"/>
      <c r="NG72" s="3"/>
      <c r="NH72" s="3"/>
      <c r="NI72" s="3"/>
      <c r="NJ72" s="3"/>
      <c r="NK72" s="3"/>
      <c r="NL72" s="3"/>
      <c r="NM72" s="3"/>
      <c r="NN72" s="3"/>
      <c r="NO72" s="3"/>
      <c r="NP72" s="3"/>
      <c r="NQ72" s="3"/>
      <c r="NR72" s="3"/>
      <c r="NS72" s="3"/>
      <c r="NT72" s="3"/>
      <c r="NU72" s="3"/>
      <c r="NV72" s="3"/>
      <c r="NW72" s="3"/>
      <c r="NX72" s="3"/>
      <c r="NY72" s="3"/>
      <c r="NZ72" s="3"/>
      <c r="OA72" s="3"/>
      <c r="OB72" s="3"/>
      <c r="OC72" s="3"/>
      <c r="OD72" s="3"/>
      <c r="OE72" s="3"/>
      <c r="OF72" s="3"/>
      <c r="OG72" s="3"/>
      <c r="OH72" s="3"/>
      <c r="OI72" s="3"/>
      <c r="OJ72" s="3"/>
      <c r="OK72" s="3"/>
      <c r="OL72" s="3"/>
      <c r="OM72" s="3"/>
      <c r="ON72" s="3"/>
      <c r="OO72" s="3"/>
      <c r="OP72" s="3"/>
      <c r="OQ72" s="3"/>
      <c r="OR72" s="3"/>
      <c r="OS72" s="3"/>
      <c r="OT72" s="3"/>
      <c r="OU72" s="3"/>
      <c r="OV72" s="3"/>
      <c r="OW72" s="3"/>
      <c r="OX72" s="3"/>
      <c r="OY72" s="3"/>
      <c r="OZ72" s="3"/>
      <c r="PA72" s="3"/>
      <c r="PB72" s="3"/>
      <c r="PC72" s="3"/>
      <c r="PD72" s="3"/>
      <c r="PE72" s="3"/>
      <c r="PF72" s="3"/>
      <c r="PG72" s="3"/>
      <c r="PH72" s="3"/>
      <c r="PI72" s="3"/>
      <c r="PJ72" s="3"/>
      <c r="PK72" s="3"/>
      <c r="PL72" s="3"/>
      <c r="PM72" s="3"/>
      <c r="PN72" s="3"/>
      <c r="PO72" s="3"/>
      <c r="PP72" s="3"/>
      <c r="PQ72" s="3"/>
      <c r="PR72" s="3"/>
      <c r="PS72" s="3"/>
      <c r="PT72" s="3"/>
      <c r="PU72" s="3"/>
      <c r="PV72" s="3"/>
      <c r="PW72" s="3"/>
      <c r="PX72" s="3"/>
      <c r="PY72" s="3"/>
      <c r="PZ72" s="3"/>
      <c r="QA72" s="3"/>
      <c r="QB72" s="3"/>
      <c r="QC72" s="3"/>
      <c r="QD72" s="3"/>
      <c r="QE72" s="3"/>
      <c r="QF72" s="3"/>
      <c r="QG72" s="3"/>
      <c r="QH72" s="3"/>
      <c r="QI72" s="3"/>
      <c r="QJ72" s="3"/>
      <c r="QK72" s="3"/>
      <c r="QL72" s="3"/>
      <c r="QM72" s="3"/>
      <c r="QN72" s="3"/>
      <c r="QO72" s="3"/>
      <c r="QP72" s="3"/>
      <c r="QQ72" s="3"/>
      <c r="QR72" s="3"/>
      <c r="QS72" s="3"/>
      <c r="QT72" s="3"/>
      <c r="QU72" s="3"/>
      <c r="QV72" s="3"/>
      <c r="QW72" s="3"/>
      <c r="QX72" s="3"/>
      <c r="QY72" s="3"/>
      <c r="QZ72" s="3"/>
      <c r="RA72" s="3"/>
      <c r="RB72" s="3"/>
      <c r="RC72" s="3"/>
      <c r="RD72" s="3"/>
      <c r="RE72" s="3"/>
      <c r="RF72" s="3"/>
      <c r="RG72" s="3"/>
      <c r="RH72" s="3"/>
      <c r="RI72" s="3"/>
      <c r="RJ72" s="3"/>
      <c r="RK72" s="3"/>
      <c r="RL72" s="3"/>
      <c r="RM72" s="3"/>
      <c r="RN72" s="3"/>
      <c r="RO72" s="3"/>
      <c r="RP72" s="3"/>
      <c r="RQ72" s="3"/>
      <c r="RR72" s="3"/>
      <c r="RS72" s="3"/>
      <c r="RT72" s="3"/>
      <c r="RU72" s="3"/>
      <c r="RV72" s="3"/>
      <c r="RW72" s="3"/>
      <c r="RX72" s="3"/>
      <c r="RY72" s="3"/>
      <c r="RZ72" s="3"/>
      <c r="SA72" s="3"/>
      <c r="SB72" s="3"/>
      <c r="SC72" s="3"/>
      <c r="SD72" s="3"/>
      <c r="SE72" s="3"/>
      <c r="SF72" s="3"/>
      <c r="SG72" s="3"/>
      <c r="SH72" s="3"/>
      <c r="SI72" s="3"/>
      <c r="SJ72" s="3"/>
      <c r="SK72" s="3"/>
      <c r="SL72" s="3"/>
      <c r="SM72" s="3"/>
      <c r="SN72" s="3"/>
      <c r="SO72" s="3"/>
      <c r="SP72" s="3"/>
      <c r="SQ72" s="3"/>
      <c r="SR72" s="3"/>
      <c r="SS72" s="3"/>
      <c r="ST72" s="3"/>
      <c r="SU72" s="3"/>
      <c r="SV72" s="3"/>
      <c r="SW72" s="3"/>
      <c r="SX72" s="3"/>
      <c r="SY72" s="3"/>
      <c r="SZ72" s="3"/>
      <c r="TA72" s="3"/>
      <c r="TB72" s="3"/>
      <c r="TC72" s="3"/>
      <c r="TD72" s="3"/>
      <c r="TE72" s="3"/>
      <c r="TF72" s="3"/>
      <c r="TG72" s="3"/>
      <c r="TH72" s="3"/>
      <c r="TI72" s="3"/>
      <c r="TJ72" s="3"/>
      <c r="TK72" s="3"/>
      <c r="TL72" s="3"/>
      <c r="TM72" s="3"/>
      <c r="TN72" s="3"/>
      <c r="TO72" s="3"/>
      <c r="TP72" s="3"/>
      <c r="TQ72" s="3"/>
      <c r="TR72" s="3"/>
      <c r="TS72" s="3"/>
      <c r="TT72" s="3"/>
      <c r="TU72" s="3"/>
      <c r="TV72" s="3"/>
      <c r="TW72" s="3"/>
      <c r="TX72" s="3"/>
      <c r="TY72" s="3"/>
      <c r="TZ72" s="3"/>
      <c r="UA72" s="3"/>
      <c r="UB72" s="3"/>
      <c r="UC72" s="3"/>
      <c r="UD72" s="3"/>
      <c r="UE72" s="3"/>
      <c r="UF72" s="3"/>
      <c r="UG72" s="3"/>
      <c r="UH72" s="3"/>
      <c r="UI72" s="3"/>
      <c r="UJ72" s="3"/>
      <c r="UK72" s="3"/>
      <c r="UL72" s="3"/>
      <c r="UM72" s="3"/>
      <c r="UN72" s="3"/>
      <c r="UO72" s="3"/>
      <c r="UP72" s="3"/>
      <c r="UQ72" s="3"/>
      <c r="UR72" s="3"/>
      <c r="US72" s="3"/>
      <c r="UT72" s="3"/>
      <c r="UU72" s="3"/>
      <c r="UV72" s="3"/>
      <c r="UW72" s="3"/>
      <c r="UX72" s="3"/>
      <c r="UY72" s="3"/>
      <c r="UZ72" s="3"/>
      <c r="VA72" s="3"/>
      <c r="VB72" s="3"/>
      <c r="VC72" s="3"/>
      <c r="VD72" s="3"/>
      <c r="VE72" s="3"/>
      <c r="VF72" s="3"/>
      <c r="VG72" s="3"/>
      <c r="VH72" s="3"/>
      <c r="VI72" s="3"/>
      <c r="VJ72" s="3"/>
      <c r="VK72" s="3"/>
      <c r="VL72" s="3"/>
      <c r="VM72" s="3"/>
      <c r="VN72" s="3"/>
      <c r="VO72" s="3"/>
      <c r="VP72" s="3"/>
      <c r="VQ72" s="3"/>
      <c r="VR72" s="3"/>
      <c r="VS72" s="3"/>
      <c r="VT72" s="3"/>
      <c r="VU72" s="3"/>
      <c r="VV72" s="3"/>
      <c r="VW72" s="3"/>
      <c r="VX72" s="3"/>
      <c r="VY72" s="3"/>
      <c r="VZ72" s="3"/>
      <c r="WA72" s="3"/>
      <c r="WB72" s="3"/>
      <c r="WC72" s="3"/>
      <c r="WD72" s="3"/>
      <c r="WE72" s="3"/>
      <c r="WF72" s="3"/>
      <c r="WG72" s="3"/>
      <c r="WH72" s="3"/>
      <c r="WI72" s="3"/>
      <c r="WJ72" s="3"/>
      <c r="WK72" s="3"/>
      <c r="WL72" s="3"/>
      <c r="WM72" s="3"/>
      <c r="WN72" s="3"/>
      <c r="WO72" s="3"/>
      <c r="WP72" s="3"/>
      <c r="WQ72" s="3"/>
      <c r="WR72" s="3"/>
      <c r="WS72" s="3"/>
      <c r="WT72" s="3"/>
      <c r="WU72" s="3"/>
      <c r="WV72" s="3"/>
      <c r="WW72" s="3"/>
      <c r="WX72" s="3"/>
      <c r="WY72" s="3"/>
      <c r="WZ72" s="3"/>
      <c r="XA72" s="3"/>
      <c r="XB72" s="3"/>
      <c r="XC72" s="3"/>
      <c r="XD72" s="3"/>
      <c r="XE72" s="3"/>
      <c r="XF72" s="3"/>
      <c r="XG72" s="3"/>
      <c r="XH72" s="3"/>
      <c r="XI72" s="3"/>
      <c r="XJ72" s="3"/>
      <c r="XK72" s="3"/>
      <c r="XL72" s="3"/>
      <c r="XM72" s="3"/>
      <c r="XN72" s="3"/>
      <c r="XO72" s="3"/>
      <c r="XP72" s="3"/>
      <c r="XQ72" s="3"/>
      <c r="XR72" s="3"/>
      <c r="XS72" s="3"/>
      <c r="XT72" s="3"/>
      <c r="XU72" s="3"/>
      <c r="XV72" s="3"/>
      <c r="XW72" s="3"/>
      <c r="XX72" s="3"/>
      <c r="XY72" s="3"/>
      <c r="XZ72" s="3"/>
      <c r="YA72" s="3"/>
      <c r="YB72" s="3"/>
      <c r="YC72" s="3"/>
      <c r="YD72" s="3"/>
      <c r="YE72" s="3"/>
      <c r="YF72" s="3"/>
      <c r="YG72" s="3"/>
      <c r="YH72" s="3"/>
      <c r="YI72" s="3"/>
      <c r="YJ72" s="3"/>
      <c r="YK72" s="3"/>
      <c r="YL72" s="3"/>
      <c r="YM72" s="3"/>
      <c r="YN72" s="3"/>
      <c r="YO72" s="3"/>
      <c r="YP72" s="3"/>
      <c r="YQ72" s="3"/>
      <c r="YR72" s="3"/>
      <c r="YS72" s="3"/>
      <c r="YT72" s="3"/>
      <c r="YU72" s="3"/>
      <c r="YV72" s="3"/>
      <c r="YW72" s="3"/>
      <c r="YX72" s="3"/>
      <c r="YY72" s="3"/>
      <c r="YZ72" s="3"/>
      <c r="ZA72" s="3"/>
      <c r="ZB72" s="3"/>
      <c r="ZC72" s="3"/>
    </row>
    <row r="73" spans="1:679" s="2" customFormat="1" x14ac:dyDescent="0.45">
      <c r="A73" s="3" t="s">
        <v>11</v>
      </c>
      <c r="B73" s="4">
        <v>31838</v>
      </c>
      <c r="C73" s="7" t="s">
        <v>25</v>
      </c>
      <c r="D73" s="6" t="s">
        <v>87</v>
      </c>
      <c r="E73" s="3"/>
      <c r="F73" s="3">
        <v>4</v>
      </c>
      <c r="L73" s="3"/>
      <c r="M73" s="3"/>
      <c r="N73" s="48"/>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c r="EU73" s="3"/>
      <c r="EV73" s="3"/>
      <c r="EW73" s="3"/>
      <c r="EX73" s="3"/>
      <c r="EY73" s="3"/>
      <c r="EZ73" s="3"/>
      <c r="FA73" s="3"/>
      <c r="FB73" s="3"/>
      <c r="FC73" s="3"/>
      <c r="FD73" s="3"/>
      <c r="FE73" s="3"/>
      <c r="FF73" s="3"/>
      <c r="FG73" s="3"/>
      <c r="FH73" s="3"/>
      <c r="FI73" s="3"/>
      <c r="FJ73" s="3"/>
      <c r="FK73" s="3"/>
      <c r="FL73" s="3"/>
      <c r="FM73" s="3"/>
      <c r="FN73" s="3"/>
      <c r="FO73" s="3"/>
      <c r="FP73" s="3"/>
      <c r="FQ73" s="3"/>
      <c r="FR73" s="3"/>
      <c r="FS73" s="3"/>
      <c r="FT73" s="3"/>
      <c r="FU73" s="3"/>
      <c r="FV73" s="3"/>
      <c r="FW73" s="3"/>
      <c r="FX73" s="3"/>
      <c r="FY73" s="3"/>
      <c r="FZ73" s="3"/>
      <c r="GA73" s="3"/>
      <c r="GB73" s="3"/>
      <c r="GC73" s="3"/>
      <c r="GD73" s="3"/>
      <c r="GE73" s="3"/>
      <c r="GF73" s="3"/>
      <c r="GG73" s="3"/>
      <c r="GH73" s="3"/>
      <c r="GI73" s="3"/>
      <c r="GJ73" s="3"/>
      <c r="GK73" s="3"/>
      <c r="GL73" s="3"/>
      <c r="GM73" s="3"/>
      <c r="GN73" s="3"/>
      <c r="GO73" s="3"/>
      <c r="GP73" s="3"/>
      <c r="GQ73" s="3"/>
      <c r="GR73" s="3"/>
      <c r="GS73" s="3"/>
      <c r="GT73" s="3"/>
      <c r="GU73" s="3"/>
      <c r="GV73" s="3"/>
      <c r="GW73" s="3"/>
      <c r="GX73" s="3"/>
      <c r="GY73" s="3"/>
      <c r="GZ73" s="3"/>
      <c r="HA73" s="3"/>
      <c r="HB73" s="3"/>
      <c r="HC73" s="3"/>
      <c r="HD73" s="3"/>
      <c r="HE73" s="3"/>
      <c r="HF73" s="3"/>
      <c r="HG73" s="3"/>
      <c r="HH73" s="3"/>
      <c r="HI73" s="3"/>
      <c r="HJ73" s="3"/>
      <c r="HK73" s="3"/>
      <c r="HL73" s="3"/>
      <c r="HM73" s="3"/>
      <c r="HN73" s="3"/>
      <c r="HO73" s="3"/>
      <c r="HP73" s="3"/>
      <c r="HQ73" s="3"/>
      <c r="HR73" s="3"/>
      <c r="HS73" s="3"/>
      <c r="HT73" s="3"/>
      <c r="HU73" s="3"/>
      <c r="HV73" s="3"/>
      <c r="HW73" s="3"/>
      <c r="HX73" s="3"/>
      <c r="HY73" s="3"/>
      <c r="HZ73" s="3"/>
      <c r="IA73" s="3"/>
      <c r="IB73" s="3"/>
      <c r="IC73" s="3"/>
      <c r="ID73" s="3"/>
      <c r="IE73" s="3"/>
      <c r="IF73" s="3"/>
      <c r="IG73" s="3"/>
      <c r="IH73" s="3"/>
      <c r="II73" s="3"/>
      <c r="IJ73" s="3"/>
      <c r="IK73" s="3"/>
      <c r="IL73" s="3"/>
      <c r="IM73" s="3"/>
      <c r="IN73" s="3"/>
      <c r="IO73" s="3"/>
      <c r="IP73" s="3"/>
      <c r="IQ73" s="3"/>
      <c r="IR73" s="3"/>
      <c r="IS73" s="3"/>
      <c r="IT73" s="3"/>
      <c r="IU73" s="3"/>
      <c r="IV73" s="3"/>
      <c r="IW73" s="3"/>
      <c r="IX73" s="3"/>
      <c r="IY73" s="3"/>
      <c r="IZ73" s="3"/>
      <c r="JA73" s="3"/>
      <c r="JB73" s="3"/>
      <c r="JC73" s="3"/>
      <c r="JD73" s="3"/>
      <c r="JE73" s="3"/>
      <c r="JF73" s="3"/>
      <c r="JG73" s="3"/>
      <c r="JH73" s="3"/>
      <c r="JI73" s="3"/>
      <c r="JJ73" s="3"/>
      <c r="JK73" s="3"/>
      <c r="JL73" s="3"/>
      <c r="JM73" s="3"/>
      <c r="JN73" s="3"/>
      <c r="JO73" s="3"/>
      <c r="JP73" s="3"/>
      <c r="JQ73" s="3"/>
      <c r="JR73" s="3"/>
      <c r="JS73" s="3"/>
      <c r="JT73" s="3"/>
      <c r="JU73" s="3"/>
      <c r="JV73" s="3"/>
      <c r="JW73" s="3"/>
      <c r="JX73" s="3"/>
      <c r="JY73" s="3"/>
      <c r="JZ73" s="3"/>
      <c r="KA73" s="3"/>
      <c r="KB73" s="3"/>
      <c r="KC73" s="3"/>
      <c r="KD73" s="3"/>
      <c r="KE73" s="3"/>
      <c r="KF73" s="3"/>
      <c r="KG73" s="3"/>
      <c r="KH73" s="3"/>
      <c r="KI73" s="3"/>
      <c r="KJ73" s="3"/>
      <c r="KK73" s="3"/>
      <c r="KL73" s="3"/>
      <c r="KM73" s="3"/>
      <c r="KN73" s="3"/>
      <c r="KO73" s="3"/>
      <c r="KP73" s="3"/>
      <c r="KQ73" s="3"/>
      <c r="KR73" s="3"/>
      <c r="KS73" s="3"/>
      <c r="KT73" s="3"/>
      <c r="KU73" s="3"/>
      <c r="KV73" s="3"/>
      <c r="KW73" s="3"/>
      <c r="KX73" s="3"/>
      <c r="KY73" s="3"/>
      <c r="KZ73" s="3"/>
      <c r="LA73" s="3"/>
      <c r="LB73" s="3"/>
      <c r="LC73" s="3"/>
      <c r="LD73" s="3"/>
      <c r="LE73" s="3"/>
      <c r="LF73" s="3"/>
      <c r="LG73" s="3"/>
      <c r="LH73" s="3"/>
      <c r="LI73" s="3"/>
      <c r="LJ73" s="3"/>
      <c r="LK73" s="3"/>
      <c r="LL73" s="3"/>
      <c r="LM73" s="3"/>
      <c r="LN73" s="3"/>
      <c r="LO73" s="3"/>
      <c r="LP73" s="3"/>
      <c r="LQ73" s="3"/>
      <c r="LR73" s="3"/>
      <c r="LS73" s="3"/>
      <c r="LT73" s="3"/>
      <c r="LU73" s="3"/>
      <c r="LV73" s="3"/>
      <c r="LW73" s="3"/>
      <c r="LX73" s="3"/>
      <c r="LY73" s="3"/>
      <c r="LZ73" s="3"/>
      <c r="MA73" s="3"/>
      <c r="MB73" s="3"/>
      <c r="MC73" s="3"/>
      <c r="MD73" s="3"/>
      <c r="ME73" s="3"/>
      <c r="MF73" s="3"/>
      <c r="MG73" s="3"/>
      <c r="MH73" s="3"/>
      <c r="MI73" s="3"/>
      <c r="MJ73" s="3"/>
      <c r="MK73" s="3"/>
      <c r="ML73" s="3"/>
      <c r="MM73" s="3"/>
      <c r="MN73" s="3"/>
      <c r="MO73" s="3"/>
      <c r="MP73" s="3"/>
      <c r="MQ73" s="3"/>
      <c r="MR73" s="3"/>
      <c r="MS73" s="3"/>
      <c r="MT73" s="3"/>
      <c r="MU73" s="3"/>
      <c r="MV73" s="3"/>
      <c r="MW73" s="3"/>
      <c r="MX73" s="3"/>
      <c r="MY73" s="3"/>
      <c r="MZ73" s="3"/>
      <c r="NA73" s="3"/>
      <c r="NB73" s="3"/>
      <c r="NC73" s="3"/>
      <c r="ND73" s="3"/>
      <c r="NE73" s="3"/>
      <c r="NF73" s="3"/>
      <c r="NG73" s="3"/>
      <c r="NH73" s="3"/>
      <c r="NI73" s="3"/>
      <c r="NJ73" s="3"/>
      <c r="NK73" s="3"/>
      <c r="NL73" s="3"/>
      <c r="NM73" s="3"/>
      <c r="NN73" s="3"/>
      <c r="NO73" s="3"/>
      <c r="NP73" s="3"/>
      <c r="NQ73" s="3"/>
      <c r="NR73" s="3"/>
      <c r="NS73" s="3"/>
      <c r="NT73" s="3"/>
      <c r="NU73" s="3"/>
      <c r="NV73" s="3"/>
      <c r="NW73" s="3"/>
      <c r="NX73" s="3"/>
      <c r="NY73" s="3"/>
      <c r="NZ73" s="3"/>
      <c r="OA73" s="3"/>
      <c r="OB73" s="3"/>
      <c r="OC73" s="3"/>
      <c r="OD73" s="3"/>
      <c r="OE73" s="3"/>
      <c r="OF73" s="3"/>
      <c r="OG73" s="3"/>
      <c r="OH73" s="3"/>
      <c r="OI73" s="3"/>
      <c r="OJ73" s="3"/>
      <c r="OK73" s="3"/>
      <c r="OL73" s="3"/>
      <c r="OM73" s="3"/>
      <c r="ON73" s="3"/>
      <c r="OO73" s="3"/>
      <c r="OP73" s="3"/>
      <c r="OQ73" s="3"/>
      <c r="OR73" s="3"/>
      <c r="OS73" s="3"/>
      <c r="OT73" s="3"/>
      <c r="OU73" s="3"/>
      <c r="OV73" s="3"/>
      <c r="OW73" s="3"/>
      <c r="OX73" s="3"/>
      <c r="OY73" s="3"/>
      <c r="OZ73" s="3"/>
      <c r="PA73" s="3"/>
      <c r="PB73" s="3"/>
      <c r="PC73" s="3"/>
      <c r="PD73" s="3"/>
      <c r="PE73" s="3"/>
      <c r="PF73" s="3"/>
      <c r="PG73" s="3"/>
      <c r="PH73" s="3"/>
      <c r="PI73" s="3"/>
      <c r="PJ73" s="3"/>
      <c r="PK73" s="3"/>
      <c r="PL73" s="3"/>
      <c r="PM73" s="3"/>
      <c r="PN73" s="3"/>
      <c r="PO73" s="3"/>
      <c r="PP73" s="3"/>
      <c r="PQ73" s="3"/>
      <c r="PR73" s="3"/>
      <c r="PS73" s="3"/>
      <c r="PT73" s="3"/>
      <c r="PU73" s="3"/>
      <c r="PV73" s="3"/>
      <c r="PW73" s="3"/>
      <c r="PX73" s="3"/>
      <c r="PY73" s="3"/>
      <c r="PZ73" s="3"/>
      <c r="QA73" s="3"/>
      <c r="QB73" s="3"/>
      <c r="QC73" s="3"/>
      <c r="QD73" s="3"/>
      <c r="QE73" s="3"/>
      <c r="QF73" s="3"/>
      <c r="QG73" s="3"/>
      <c r="QH73" s="3"/>
      <c r="QI73" s="3"/>
      <c r="QJ73" s="3"/>
      <c r="QK73" s="3"/>
      <c r="QL73" s="3"/>
      <c r="QM73" s="3"/>
      <c r="QN73" s="3"/>
      <c r="QO73" s="3"/>
      <c r="QP73" s="3"/>
      <c r="QQ73" s="3"/>
      <c r="QR73" s="3"/>
      <c r="QS73" s="3"/>
      <c r="QT73" s="3"/>
      <c r="QU73" s="3"/>
      <c r="QV73" s="3"/>
      <c r="QW73" s="3"/>
      <c r="QX73" s="3"/>
      <c r="QY73" s="3"/>
      <c r="QZ73" s="3"/>
      <c r="RA73" s="3"/>
      <c r="RB73" s="3"/>
      <c r="RC73" s="3"/>
      <c r="RD73" s="3"/>
      <c r="RE73" s="3"/>
      <c r="RF73" s="3"/>
      <c r="RG73" s="3"/>
      <c r="RH73" s="3"/>
      <c r="RI73" s="3"/>
      <c r="RJ73" s="3"/>
      <c r="RK73" s="3"/>
      <c r="RL73" s="3"/>
      <c r="RM73" s="3"/>
      <c r="RN73" s="3"/>
      <c r="RO73" s="3"/>
      <c r="RP73" s="3"/>
      <c r="RQ73" s="3"/>
      <c r="RR73" s="3"/>
      <c r="RS73" s="3"/>
      <c r="RT73" s="3"/>
      <c r="RU73" s="3"/>
      <c r="RV73" s="3"/>
      <c r="RW73" s="3"/>
      <c r="RX73" s="3"/>
      <c r="RY73" s="3"/>
      <c r="RZ73" s="3"/>
      <c r="SA73" s="3"/>
      <c r="SB73" s="3"/>
      <c r="SC73" s="3"/>
      <c r="SD73" s="3"/>
      <c r="SE73" s="3"/>
      <c r="SF73" s="3"/>
      <c r="SG73" s="3"/>
      <c r="SH73" s="3"/>
      <c r="SI73" s="3"/>
      <c r="SJ73" s="3"/>
      <c r="SK73" s="3"/>
      <c r="SL73" s="3"/>
      <c r="SM73" s="3"/>
      <c r="SN73" s="3"/>
      <c r="SO73" s="3"/>
      <c r="SP73" s="3"/>
      <c r="SQ73" s="3"/>
      <c r="SR73" s="3"/>
      <c r="SS73" s="3"/>
      <c r="ST73" s="3"/>
      <c r="SU73" s="3"/>
      <c r="SV73" s="3"/>
      <c r="SW73" s="3"/>
      <c r="SX73" s="3"/>
      <c r="SY73" s="3"/>
      <c r="SZ73" s="3"/>
      <c r="TA73" s="3"/>
      <c r="TB73" s="3"/>
      <c r="TC73" s="3"/>
      <c r="TD73" s="3"/>
      <c r="TE73" s="3"/>
      <c r="TF73" s="3"/>
      <c r="TG73" s="3"/>
      <c r="TH73" s="3"/>
      <c r="TI73" s="3"/>
      <c r="TJ73" s="3"/>
      <c r="TK73" s="3"/>
      <c r="TL73" s="3"/>
      <c r="TM73" s="3"/>
      <c r="TN73" s="3"/>
      <c r="TO73" s="3"/>
      <c r="TP73" s="3"/>
      <c r="TQ73" s="3"/>
      <c r="TR73" s="3"/>
      <c r="TS73" s="3"/>
      <c r="TT73" s="3"/>
      <c r="TU73" s="3"/>
      <c r="TV73" s="3"/>
      <c r="TW73" s="3"/>
      <c r="TX73" s="3"/>
      <c r="TY73" s="3"/>
      <c r="TZ73" s="3"/>
      <c r="UA73" s="3"/>
      <c r="UB73" s="3"/>
      <c r="UC73" s="3"/>
      <c r="UD73" s="3"/>
      <c r="UE73" s="3"/>
      <c r="UF73" s="3"/>
      <c r="UG73" s="3"/>
      <c r="UH73" s="3"/>
      <c r="UI73" s="3"/>
      <c r="UJ73" s="3"/>
      <c r="UK73" s="3"/>
      <c r="UL73" s="3"/>
      <c r="UM73" s="3"/>
      <c r="UN73" s="3"/>
      <c r="UO73" s="3"/>
      <c r="UP73" s="3"/>
      <c r="UQ73" s="3"/>
      <c r="UR73" s="3"/>
      <c r="US73" s="3"/>
      <c r="UT73" s="3"/>
      <c r="UU73" s="3"/>
      <c r="UV73" s="3"/>
      <c r="UW73" s="3"/>
      <c r="UX73" s="3"/>
      <c r="UY73" s="3"/>
      <c r="UZ73" s="3"/>
      <c r="VA73" s="3"/>
      <c r="VB73" s="3"/>
      <c r="VC73" s="3"/>
      <c r="VD73" s="3"/>
      <c r="VE73" s="3"/>
      <c r="VF73" s="3"/>
      <c r="VG73" s="3"/>
      <c r="VH73" s="3"/>
      <c r="VI73" s="3"/>
      <c r="VJ73" s="3"/>
      <c r="VK73" s="3"/>
      <c r="VL73" s="3"/>
      <c r="VM73" s="3"/>
      <c r="VN73" s="3"/>
      <c r="VO73" s="3"/>
      <c r="VP73" s="3"/>
      <c r="VQ73" s="3"/>
      <c r="VR73" s="3"/>
      <c r="VS73" s="3"/>
      <c r="VT73" s="3"/>
      <c r="VU73" s="3"/>
      <c r="VV73" s="3"/>
      <c r="VW73" s="3"/>
      <c r="VX73" s="3"/>
      <c r="VY73" s="3"/>
      <c r="VZ73" s="3"/>
      <c r="WA73" s="3"/>
      <c r="WB73" s="3"/>
      <c r="WC73" s="3"/>
      <c r="WD73" s="3"/>
      <c r="WE73" s="3"/>
      <c r="WF73" s="3"/>
      <c r="WG73" s="3"/>
      <c r="WH73" s="3"/>
      <c r="WI73" s="3"/>
      <c r="WJ73" s="3"/>
      <c r="WK73" s="3"/>
      <c r="WL73" s="3"/>
      <c r="WM73" s="3"/>
      <c r="WN73" s="3"/>
      <c r="WO73" s="3"/>
      <c r="WP73" s="3"/>
      <c r="WQ73" s="3"/>
      <c r="WR73" s="3"/>
      <c r="WS73" s="3"/>
      <c r="WT73" s="3"/>
      <c r="WU73" s="3"/>
      <c r="WV73" s="3"/>
      <c r="WW73" s="3"/>
      <c r="WX73" s="3"/>
      <c r="WY73" s="3"/>
      <c r="WZ73" s="3"/>
      <c r="XA73" s="3"/>
      <c r="XB73" s="3"/>
      <c r="XC73" s="3"/>
      <c r="XD73" s="3"/>
      <c r="XE73" s="3"/>
      <c r="XF73" s="3"/>
      <c r="XG73" s="3"/>
      <c r="XH73" s="3"/>
      <c r="XI73" s="3"/>
      <c r="XJ73" s="3"/>
      <c r="XK73" s="3"/>
      <c r="XL73" s="3"/>
      <c r="XM73" s="3"/>
      <c r="XN73" s="3"/>
      <c r="XO73" s="3"/>
      <c r="XP73" s="3"/>
      <c r="XQ73" s="3"/>
      <c r="XR73" s="3"/>
      <c r="XS73" s="3"/>
      <c r="XT73" s="3"/>
      <c r="XU73" s="3"/>
      <c r="XV73" s="3"/>
      <c r="XW73" s="3"/>
      <c r="XX73" s="3"/>
      <c r="XY73" s="3"/>
      <c r="XZ73" s="3"/>
      <c r="YA73" s="3"/>
      <c r="YB73" s="3"/>
      <c r="YC73" s="3"/>
      <c r="YD73" s="3"/>
      <c r="YE73" s="3"/>
      <c r="YF73" s="3"/>
      <c r="YG73" s="3"/>
      <c r="YH73" s="3"/>
      <c r="YI73" s="3"/>
      <c r="YJ73" s="3"/>
      <c r="YK73" s="3"/>
      <c r="YL73" s="3"/>
      <c r="YM73" s="3"/>
      <c r="YN73" s="3"/>
      <c r="YO73" s="3"/>
      <c r="YP73" s="3"/>
      <c r="YQ73" s="3"/>
      <c r="YR73" s="3"/>
      <c r="YS73" s="3"/>
      <c r="YT73" s="3"/>
      <c r="YU73" s="3"/>
      <c r="YV73" s="3"/>
      <c r="YW73" s="3"/>
      <c r="YX73" s="3"/>
      <c r="YY73" s="3"/>
      <c r="YZ73" s="3"/>
      <c r="ZA73" s="3"/>
      <c r="ZB73" s="3"/>
      <c r="ZC73" s="3"/>
    </row>
    <row r="74" spans="1:679" s="2" customFormat="1" x14ac:dyDescent="0.45">
      <c r="A74" s="3" t="s">
        <v>11</v>
      </c>
      <c r="B74" s="4">
        <v>31839</v>
      </c>
      <c r="C74" s="7" t="s">
        <v>25</v>
      </c>
      <c r="D74" s="6" t="s">
        <v>88</v>
      </c>
      <c r="E74" s="3"/>
      <c r="F74" s="3">
        <v>2</v>
      </c>
      <c r="L74" s="3"/>
      <c r="M74" s="3"/>
      <c r="N74" s="48"/>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3"/>
      <c r="DM74" s="3"/>
      <c r="DN74" s="3"/>
      <c r="DO74" s="3"/>
      <c r="DP74" s="3"/>
      <c r="DQ74" s="3"/>
      <c r="DR74" s="3"/>
      <c r="DS74" s="3"/>
      <c r="DT74" s="3"/>
      <c r="DU74" s="3"/>
      <c r="DV74" s="3"/>
      <c r="DW74" s="3"/>
      <c r="DX74" s="3"/>
      <c r="DY74" s="3"/>
      <c r="DZ74" s="3"/>
      <c r="EA74" s="3"/>
      <c r="EB74" s="3"/>
      <c r="EC74" s="3"/>
      <c r="ED74" s="3"/>
      <c r="EE74" s="3"/>
      <c r="EF74" s="3"/>
      <c r="EG74" s="3"/>
      <c r="EH74" s="3"/>
      <c r="EI74" s="3"/>
      <c r="EJ74" s="3"/>
      <c r="EK74" s="3"/>
      <c r="EL74" s="3"/>
      <c r="EM74" s="3"/>
      <c r="EN74" s="3"/>
      <c r="EO74" s="3"/>
      <c r="EP74" s="3"/>
      <c r="EQ74" s="3"/>
      <c r="ER74" s="3"/>
      <c r="ES74" s="3"/>
      <c r="ET74" s="3"/>
      <c r="EU74" s="3"/>
      <c r="EV74" s="3"/>
      <c r="EW74" s="3"/>
      <c r="EX74" s="3"/>
      <c r="EY74" s="3"/>
      <c r="EZ74" s="3"/>
      <c r="FA74" s="3"/>
      <c r="FB74" s="3"/>
      <c r="FC74" s="3"/>
      <c r="FD74" s="3"/>
      <c r="FE74" s="3"/>
      <c r="FF74" s="3"/>
      <c r="FG74" s="3"/>
      <c r="FH74" s="3"/>
      <c r="FI74" s="3"/>
      <c r="FJ74" s="3"/>
      <c r="FK74" s="3"/>
      <c r="FL74" s="3"/>
      <c r="FM74" s="3"/>
      <c r="FN74" s="3"/>
      <c r="FO74" s="3"/>
      <c r="FP74" s="3"/>
      <c r="FQ74" s="3"/>
      <c r="FR74" s="3"/>
      <c r="FS74" s="3"/>
      <c r="FT74" s="3"/>
      <c r="FU74" s="3"/>
      <c r="FV74" s="3"/>
      <c r="FW74" s="3"/>
      <c r="FX74" s="3"/>
      <c r="FY74" s="3"/>
      <c r="FZ74" s="3"/>
      <c r="GA74" s="3"/>
      <c r="GB74" s="3"/>
      <c r="GC74" s="3"/>
      <c r="GD74" s="3"/>
      <c r="GE74" s="3"/>
      <c r="GF74" s="3"/>
      <c r="GG74" s="3"/>
      <c r="GH74" s="3"/>
      <c r="GI74" s="3"/>
      <c r="GJ74" s="3"/>
      <c r="GK74" s="3"/>
      <c r="GL74" s="3"/>
      <c r="GM74" s="3"/>
      <c r="GN74" s="3"/>
      <c r="GO74" s="3"/>
      <c r="GP74" s="3"/>
      <c r="GQ74" s="3"/>
      <c r="GR74" s="3"/>
      <c r="GS74" s="3"/>
      <c r="GT74" s="3"/>
      <c r="GU74" s="3"/>
      <c r="GV74" s="3"/>
      <c r="GW74" s="3"/>
      <c r="GX74" s="3"/>
      <c r="GY74" s="3"/>
      <c r="GZ74" s="3"/>
      <c r="HA74" s="3"/>
      <c r="HB74" s="3"/>
      <c r="HC74" s="3"/>
      <c r="HD74" s="3"/>
      <c r="HE74" s="3"/>
      <c r="HF74" s="3"/>
      <c r="HG74" s="3"/>
      <c r="HH74" s="3"/>
      <c r="HI74" s="3"/>
      <c r="HJ74" s="3"/>
      <c r="HK74" s="3"/>
      <c r="HL74" s="3"/>
      <c r="HM74" s="3"/>
      <c r="HN74" s="3"/>
      <c r="HO74" s="3"/>
      <c r="HP74" s="3"/>
      <c r="HQ74" s="3"/>
      <c r="HR74" s="3"/>
      <c r="HS74" s="3"/>
      <c r="HT74" s="3"/>
      <c r="HU74" s="3"/>
      <c r="HV74" s="3"/>
      <c r="HW74" s="3"/>
      <c r="HX74" s="3"/>
      <c r="HY74" s="3"/>
      <c r="HZ74" s="3"/>
      <c r="IA74" s="3"/>
      <c r="IB74" s="3"/>
      <c r="IC74" s="3"/>
      <c r="ID74" s="3"/>
      <c r="IE74" s="3"/>
      <c r="IF74" s="3"/>
      <c r="IG74" s="3"/>
      <c r="IH74" s="3"/>
      <c r="II74" s="3"/>
      <c r="IJ74" s="3"/>
      <c r="IK74" s="3"/>
      <c r="IL74" s="3"/>
      <c r="IM74" s="3"/>
      <c r="IN74" s="3"/>
      <c r="IO74" s="3"/>
      <c r="IP74" s="3"/>
      <c r="IQ74" s="3"/>
      <c r="IR74" s="3"/>
      <c r="IS74" s="3"/>
      <c r="IT74" s="3"/>
      <c r="IU74" s="3"/>
      <c r="IV74" s="3"/>
      <c r="IW74" s="3"/>
      <c r="IX74" s="3"/>
      <c r="IY74" s="3"/>
      <c r="IZ74" s="3"/>
      <c r="JA74" s="3"/>
      <c r="JB74" s="3"/>
      <c r="JC74" s="3"/>
      <c r="JD74" s="3"/>
      <c r="JE74" s="3"/>
      <c r="JF74" s="3"/>
      <c r="JG74" s="3"/>
      <c r="JH74" s="3"/>
      <c r="JI74" s="3"/>
      <c r="JJ74" s="3"/>
      <c r="JK74" s="3"/>
      <c r="JL74" s="3"/>
      <c r="JM74" s="3"/>
      <c r="JN74" s="3"/>
      <c r="JO74" s="3"/>
      <c r="JP74" s="3"/>
      <c r="JQ74" s="3"/>
      <c r="JR74" s="3"/>
      <c r="JS74" s="3"/>
      <c r="JT74" s="3"/>
      <c r="JU74" s="3"/>
      <c r="JV74" s="3"/>
      <c r="JW74" s="3"/>
      <c r="JX74" s="3"/>
      <c r="JY74" s="3"/>
      <c r="JZ74" s="3"/>
      <c r="KA74" s="3"/>
      <c r="KB74" s="3"/>
      <c r="KC74" s="3"/>
      <c r="KD74" s="3"/>
      <c r="KE74" s="3"/>
      <c r="KF74" s="3"/>
      <c r="KG74" s="3"/>
      <c r="KH74" s="3"/>
      <c r="KI74" s="3"/>
      <c r="KJ74" s="3"/>
      <c r="KK74" s="3"/>
      <c r="KL74" s="3"/>
      <c r="KM74" s="3"/>
      <c r="KN74" s="3"/>
      <c r="KO74" s="3"/>
      <c r="KP74" s="3"/>
      <c r="KQ74" s="3"/>
      <c r="KR74" s="3"/>
      <c r="KS74" s="3"/>
      <c r="KT74" s="3"/>
      <c r="KU74" s="3"/>
      <c r="KV74" s="3"/>
      <c r="KW74" s="3"/>
      <c r="KX74" s="3"/>
      <c r="KY74" s="3"/>
      <c r="KZ74" s="3"/>
      <c r="LA74" s="3"/>
      <c r="LB74" s="3"/>
      <c r="LC74" s="3"/>
      <c r="LD74" s="3"/>
      <c r="LE74" s="3"/>
      <c r="LF74" s="3"/>
      <c r="LG74" s="3"/>
      <c r="LH74" s="3"/>
      <c r="LI74" s="3"/>
      <c r="LJ74" s="3"/>
      <c r="LK74" s="3"/>
      <c r="LL74" s="3"/>
      <c r="LM74" s="3"/>
      <c r="LN74" s="3"/>
      <c r="LO74" s="3"/>
      <c r="LP74" s="3"/>
      <c r="LQ74" s="3"/>
      <c r="LR74" s="3"/>
      <c r="LS74" s="3"/>
      <c r="LT74" s="3"/>
      <c r="LU74" s="3"/>
      <c r="LV74" s="3"/>
      <c r="LW74" s="3"/>
      <c r="LX74" s="3"/>
      <c r="LY74" s="3"/>
      <c r="LZ74" s="3"/>
      <c r="MA74" s="3"/>
      <c r="MB74" s="3"/>
      <c r="MC74" s="3"/>
      <c r="MD74" s="3"/>
      <c r="ME74" s="3"/>
      <c r="MF74" s="3"/>
      <c r="MG74" s="3"/>
      <c r="MH74" s="3"/>
      <c r="MI74" s="3"/>
      <c r="MJ74" s="3"/>
      <c r="MK74" s="3"/>
      <c r="ML74" s="3"/>
      <c r="MM74" s="3"/>
      <c r="MN74" s="3"/>
      <c r="MO74" s="3"/>
      <c r="MP74" s="3"/>
      <c r="MQ74" s="3"/>
      <c r="MR74" s="3"/>
      <c r="MS74" s="3"/>
      <c r="MT74" s="3"/>
      <c r="MU74" s="3"/>
      <c r="MV74" s="3"/>
      <c r="MW74" s="3"/>
      <c r="MX74" s="3"/>
      <c r="MY74" s="3"/>
      <c r="MZ74" s="3"/>
      <c r="NA74" s="3"/>
      <c r="NB74" s="3"/>
      <c r="NC74" s="3"/>
      <c r="ND74" s="3"/>
      <c r="NE74" s="3"/>
      <c r="NF74" s="3"/>
      <c r="NG74" s="3"/>
      <c r="NH74" s="3"/>
      <c r="NI74" s="3"/>
      <c r="NJ74" s="3"/>
      <c r="NK74" s="3"/>
      <c r="NL74" s="3"/>
      <c r="NM74" s="3"/>
      <c r="NN74" s="3"/>
      <c r="NO74" s="3"/>
      <c r="NP74" s="3"/>
      <c r="NQ74" s="3"/>
      <c r="NR74" s="3"/>
      <c r="NS74" s="3"/>
      <c r="NT74" s="3"/>
      <c r="NU74" s="3"/>
      <c r="NV74" s="3"/>
      <c r="NW74" s="3"/>
      <c r="NX74" s="3"/>
      <c r="NY74" s="3"/>
      <c r="NZ74" s="3"/>
      <c r="OA74" s="3"/>
      <c r="OB74" s="3"/>
      <c r="OC74" s="3"/>
      <c r="OD74" s="3"/>
      <c r="OE74" s="3"/>
      <c r="OF74" s="3"/>
      <c r="OG74" s="3"/>
      <c r="OH74" s="3"/>
      <c r="OI74" s="3"/>
      <c r="OJ74" s="3"/>
      <c r="OK74" s="3"/>
      <c r="OL74" s="3"/>
      <c r="OM74" s="3"/>
      <c r="ON74" s="3"/>
      <c r="OO74" s="3"/>
      <c r="OP74" s="3"/>
      <c r="OQ74" s="3"/>
      <c r="OR74" s="3"/>
      <c r="OS74" s="3"/>
      <c r="OT74" s="3"/>
      <c r="OU74" s="3"/>
      <c r="OV74" s="3"/>
      <c r="OW74" s="3"/>
      <c r="OX74" s="3"/>
      <c r="OY74" s="3"/>
      <c r="OZ74" s="3"/>
      <c r="PA74" s="3"/>
      <c r="PB74" s="3"/>
      <c r="PC74" s="3"/>
      <c r="PD74" s="3"/>
      <c r="PE74" s="3"/>
      <c r="PF74" s="3"/>
      <c r="PG74" s="3"/>
      <c r="PH74" s="3"/>
      <c r="PI74" s="3"/>
      <c r="PJ74" s="3"/>
      <c r="PK74" s="3"/>
      <c r="PL74" s="3"/>
      <c r="PM74" s="3"/>
      <c r="PN74" s="3"/>
      <c r="PO74" s="3"/>
      <c r="PP74" s="3"/>
      <c r="PQ74" s="3"/>
      <c r="PR74" s="3"/>
      <c r="PS74" s="3"/>
      <c r="PT74" s="3"/>
      <c r="PU74" s="3"/>
      <c r="PV74" s="3"/>
      <c r="PW74" s="3"/>
      <c r="PX74" s="3"/>
      <c r="PY74" s="3"/>
      <c r="PZ74" s="3"/>
      <c r="QA74" s="3"/>
      <c r="QB74" s="3"/>
      <c r="QC74" s="3"/>
      <c r="QD74" s="3"/>
      <c r="QE74" s="3"/>
      <c r="QF74" s="3"/>
      <c r="QG74" s="3"/>
      <c r="QH74" s="3"/>
      <c r="QI74" s="3"/>
      <c r="QJ74" s="3"/>
      <c r="QK74" s="3"/>
      <c r="QL74" s="3"/>
      <c r="QM74" s="3"/>
      <c r="QN74" s="3"/>
      <c r="QO74" s="3"/>
      <c r="QP74" s="3"/>
      <c r="QQ74" s="3"/>
      <c r="QR74" s="3"/>
      <c r="QS74" s="3"/>
      <c r="QT74" s="3"/>
      <c r="QU74" s="3"/>
      <c r="QV74" s="3"/>
      <c r="QW74" s="3"/>
      <c r="QX74" s="3"/>
      <c r="QY74" s="3"/>
      <c r="QZ74" s="3"/>
      <c r="RA74" s="3"/>
      <c r="RB74" s="3"/>
      <c r="RC74" s="3"/>
      <c r="RD74" s="3"/>
      <c r="RE74" s="3"/>
      <c r="RF74" s="3"/>
      <c r="RG74" s="3"/>
      <c r="RH74" s="3"/>
      <c r="RI74" s="3"/>
      <c r="RJ74" s="3"/>
      <c r="RK74" s="3"/>
      <c r="RL74" s="3"/>
      <c r="RM74" s="3"/>
      <c r="RN74" s="3"/>
      <c r="RO74" s="3"/>
      <c r="RP74" s="3"/>
      <c r="RQ74" s="3"/>
      <c r="RR74" s="3"/>
      <c r="RS74" s="3"/>
      <c r="RT74" s="3"/>
      <c r="RU74" s="3"/>
      <c r="RV74" s="3"/>
      <c r="RW74" s="3"/>
      <c r="RX74" s="3"/>
      <c r="RY74" s="3"/>
      <c r="RZ74" s="3"/>
      <c r="SA74" s="3"/>
      <c r="SB74" s="3"/>
      <c r="SC74" s="3"/>
      <c r="SD74" s="3"/>
      <c r="SE74" s="3"/>
      <c r="SF74" s="3"/>
      <c r="SG74" s="3"/>
      <c r="SH74" s="3"/>
      <c r="SI74" s="3"/>
      <c r="SJ74" s="3"/>
      <c r="SK74" s="3"/>
      <c r="SL74" s="3"/>
      <c r="SM74" s="3"/>
      <c r="SN74" s="3"/>
      <c r="SO74" s="3"/>
      <c r="SP74" s="3"/>
      <c r="SQ74" s="3"/>
      <c r="SR74" s="3"/>
      <c r="SS74" s="3"/>
      <c r="ST74" s="3"/>
      <c r="SU74" s="3"/>
      <c r="SV74" s="3"/>
      <c r="SW74" s="3"/>
      <c r="SX74" s="3"/>
      <c r="SY74" s="3"/>
      <c r="SZ74" s="3"/>
      <c r="TA74" s="3"/>
      <c r="TB74" s="3"/>
      <c r="TC74" s="3"/>
      <c r="TD74" s="3"/>
      <c r="TE74" s="3"/>
      <c r="TF74" s="3"/>
      <c r="TG74" s="3"/>
      <c r="TH74" s="3"/>
      <c r="TI74" s="3"/>
      <c r="TJ74" s="3"/>
      <c r="TK74" s="3"/>
      <c r="TL74" s="3"/>
      <c r="TM74" s="3"/>
      <c r="TN74" s="3"/>
      <c r="TO74" s="3"/>
      <c r="TP74" s="3"/>
      <c r="TQ74" s="3"/>
      <c r="TR74" s="3"/>
      <c r="TS74" s="3"/>
      <c r="TT74" s="3"/>
      <c r="TU74" s="3"/>
      <c r="TV74" s="3"/>
      <c r="TW74" s="3"/>
      <c r="TX74" s="3"/>
      <c r="TY74" s="3"/>
      <c r="TZ74" s="3"/>
      <c r="UA74" s="3"/>
      <c r="UB74" s="3"/>
      <c r="UC74" s="3"/>
      <c r="UD74" s="3"/>
      <c r="UE74" s="3"/>
      <c r="UF74" s="3"/>
      <c r="UG74" s="3"/>
      <c r="UH74" s="3"/>
      <c r="UI74" s="3"/>
      <c r="UJ74" s="3"/>
      <c r="UK74" s="3"/>
      <c r="UL74" s="3"/>
      <c r="UM74" s="3"/>
      <c r="UN74" s="3"/>
      <c r="UO74" s="3"/>
      <c r="UP74" s="3"/>
      <c r="UQ74" s="3"/>
      <c r="UR74" s="3"/>
      <c r="US74" s="3"/>
      <c r="UT74" s="3"/>
      <c r="UU74" s="3"/>
      <c r="UV74" s="3"/>
      <c r="UW74" s="3"/>
      <c r="UX74" s="3"/>
      <c r="UY74" s="3"/>
      <c r="UZ74" s="3"/>
      <c r="VA74" s="3"/>
      <c r="VB74" s="3"/>
      <c r="VC74" s="3"/>
      <c r="VD74" s="3"/>
      <c r="VE74" s="3"/>
      <c r="VF74" s="3"/>
      <c r="VG74" s="3"/>
      <c r="VH74" s="3"/>
      <c r="VI74" s="3"/>
      <c r="VJ74" s="3"/>
      <c r="VK74" s="3"/>
      <c r="VL74" s="3"/>
      <c r="VM74" s="3"/>
      <c r="VN74" s="3"/>
      <c r="VO74" s="3"/>
      <c r="VP74" s="3"/>
      <c r="VQ74" s="3"/>
      <c r="VR74" s="3"/>
      <c r="VS74" s="3"/>
      <c r="VT74" s="3"/>
      <c r="VU74" s="3"/>
      <c r="VV74" s="3"/>
      <c r="VW74" s="3"/>
      <c r="VX74" s="3"/>
      <c r="VY74" s="3"/>
      <c r="VZ74" s="3"/>
      <c r="WA74" s="3"/>
      <c r="WB74" s="3"/>
      <c r="WC74" s="3"/>
      <c r="WD74" s="3"/>
      <c r="WE74" s="3"/>
      <c r="WF74" s="3"/>
      <c r="WG74" s="3"/>
      <c r="WH74" s="3"/>
      <c r="WI74" s="3"/>
      <c r="WJ74" s="3"/>
      <c r="WK74" s="3"/>
      <c r="WL74" s="3"/>
      <c r="WM74" s="3"/>
      <c r="WN74" s="3"/>
      <c r="WO74" s="3"/>
      <c r="WP74" s="3"/>
      <c r="WQ74" s="3"/>
      <c r="WR74" s="3"/>
      <c r="WS74" s="3"/>
      <c r="WT74" s="3"/>
      <c r="WU74" s="3"/>
      <c r="WV74" s="3"/>
      <c r="WW74" s="3"/>
      <c r="WX74" s="3"/>
      <c r="WY74" s="3"/>
      <c r="WZ74" s="3"/>
      <c r="XA74" s="3"/>
      <c r="XB74" s="3"/>
      <c r="XC74" s="3"/>
      <c r="XD74" s="3"/>
      <c r="XE74" s="3"/>
      <c r="XF74" s="3"/>
      <c r="XG74" s="3"/>
      <c r="XH74" s="3"/>
      <c r="XI74" s="3"/>
      <c r="XJ74" s="3"/>
      <c r="XK74" s="3"/>
      <c r="XL74" s="3"/>
      <c r="XM74" s="3"/>
      <c r="XN74" s="3"/>
      <c r="XO74" s="3"/>
      <c r="XP74" s="3"/>
      <c r="XQ74" s="3"/>
      <c r="XR74" s="3"/>
      <c r="XS74" s="3"/>
      <c r="XT74" s="3"/>
      <c r="XU74" s="3"/>
      <c r="XV74" s="3"/>
      <c r="XW74" s="3"/>
      <c r="XX74" s="3"/>
      <c r="XY74" s="3"/>
      <c r="XZ74" s="3"/>
      <c r="YA74" s="3"/>
      <c r="YB74" s="3"/>
      <c r="YC74" s="3"/>
      <c r="YD74" s="3"/>
      <c r="YE74" s="3"/>
      <c r="YF74" s="3"/>
      <c r="YG74" s="3"/>
      <c r="YH74" s="3"/>
      <c r="YI74" s="3"/>
      <c r="YJ74" s="3"/>
      <c r="YK74" s="3"/>
      <c r="YL74" s="3"/>
      <c r="YM74" s="3"/>
      <c r="YN74" s="3"/>
      <c r="YO74" s="3"/>
      <c r="YP74" s="3"/>
      <c r="YQ74" s="3"/>
      <c r="YR74" s="3"/>
      <c r="YS74" s="3"/>
      <c r="YT74" s="3"/>
      <c r="YU74" s="3"/>
      <c r="YV74" s="3"/>
      <c r="YW74" s="3"/>
      <c r="YX74" s="3"/>
      <c r="YY74" s="3"/>
      <c r="YZ74" s="3"/>
      <c r="ZA74" s="3"/>
      <c r="ZB74" s="3"/>
      <c r="ZC74" s="3"/>
    </row>
    <row r="75" spans="1:679" s="2" customFormat="1" x14ac:dyDescent="0.45">
      <c r="A75" s="3" t="s">
        <v>11</v>
      </c>
      <c r="B75" s="4">
        <v>31847</v>
      </c>
      <c r="C75" s="7" t="s">
        <v>25</v>
      </c>
      <c r="D75" s="6" t="s">
        <v>89</v>
      </c>
      <c r="E75" s="3"/>
      <c r="F75" s="3">
        <v>4</v>
      </c>
      <c r="L75" s="3"/>
      <c r="M75" s="3"/>
      <c r="N75" s="48"/>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c r="CY75" s="3"/>
      <c r="CZ75" s="3"/>
      <c r="DA75" s="3"/>
      <c r="DB75" s="3"/>
      <c r="DC75" s="3"/>
      <c r="DD75" s="3"/>
      <c r="DE75" s="3"/>
      <c r="DF75" s="3"/>
      <c r="DG75" s="3"/>
      <c r="DH75" s="3"/>
      <c r="DI75" s="3"/>
      <c r="DJ75" s="3"/>
      <c r="DK75" s="3"/>
      <c r="DL75" s="3"/>
      <c r="DM75" s="3"/>
      <c r="DN75" s="3"/>
      <c r="DO75" s="3"/>
      <c r="DP75" s="3"/>
      <c r="DQ75" s="3"/>
      <c r="DR75" s="3"/>
      <c r="DS75" s="3"/>
      <c r="DT75" s="3"/>
      <c r="DU75" s="3"/>
      <c r="DV75" s="3"/>
      <c r="DW75" s="3"/>
      <c r="DX75" s="3"/>
      <c r="DY75" s="3"/>
      <c r="DZ75" s="3"/>
      <c r="EA75" s="3"/>
      <c r="EB75" s="3"/>
      <c r="EC75" s="3"/>
      <c r="ED75" s="3"/>
      <c r="EE75" s="3"/>
      <c r="EF75" s="3"/>
      <c r="EG75" s="3"/>
      <c r="EH75" s="3"/>
      <c r="EI75" s="3"/>
      <c r="EJ75" s="3"/>
      <c r="EK75" s="3"/>
      <c r="EL75" s="3"/>
      <c r="EM75" s="3"/>
      <c r="EN75" s="3"/>
      <c r="EO75" s="3"/>
      <c r="EP75" s="3"/>
      <c r="EQ75" s="3"/>
      <c r="ER75" s="3"/>
      <c r="ES75" s="3"/>
      <c r="ET75" s="3"/>
      <c r="EU75" s="3"/>
      <c r="EV75" s="3"/>
      <c r="EW75" s="3"/>
      <c r="EX75" s="3"/>
      <c r="EY75" s="3"/>
      <c r="EZ75" s="3"/>
      <c r="FA75" s="3"/>
      <c r="FB75" s="3"/>
      <c r="FC75" s="3"/>
      <c r="FD75" s="3"/>
      <c r="FE75" s="3"/>
      <c r="FF75" s="3"/>
      <c r="FG75" s="3"/>
      <c r="FH75" s="3"/>
      <c r="FI75" s="3"/>
      <c r="FJ75" s="3"/>
      <c r="FK75" s="3"/>
      <c r="FL75" s="3"/>
      <c r="FM75" s="3"/>
      <c r="FN75" s="3"/>
      <c r="FO75" s="3"/>
      <c r="FP75" s="3"/>
      <c r="FQ75" s="3"/>
      <c r="FR75" s="3"/>
      <c r="FS75" s="3"/>
      <c r="FT75" s="3"/>
      <c r="FU75" s="3"/>
      <c r="FV75" s="3"/>
      <c r="FW75" s="3"/>
      <c r="FX75" s="3"/>
      <c r="FY75" s="3"/>
      <c r="FZ75" s="3"/>
      <c r="GA75" s="3"/>
      <c r="GB75" s="3"/>
      <c r="GC75" s="3"/>
      <c r="GD75" s="3"/>
      <c r="GE75" s="3"/>
      <c r="GF75" s="3"/>
      <c r="GG75" s="3"/>
      <c r="GH75" s="3"/>
      <c r="GI75" s="3"/>
      <c r="GJ75" s="3"/>
      <c r="GK75" s="3"/>
      <c r="GL75" s="3"/>
      <c r="GM75" s="3"/>
      <c r="GN75" s="3"/>
      <c r="GO75" s="3"/>
      <c r="GP75" s="3"/>
      <c r="GQ75" s="3"/>
      <c r="GR75" s="3"/>
      <c r="GS75" s="3"/>
      <c r="GT75" s="3"/>
      <c r="GU75" s="3"/>
      <c r="GV75" s="3"/>
      <c r="GW75" s="3"/>
      <c r="GX75" s="3"/>
      <c r="GY75" s="3"/>
      <c r="GZ75" s="3"/>
      <c r="HA75" s="3"/>
      <c r="HB75" s="3"/>
      <c r="HC75" s="3"/>
      <c r="HD75" s="3"/>
      <c r="HE75" s="3"/>
      <c r="HF75" s="3"/>
      <c r="HG75" s="3"/>
      <c r="HH75" s="3"/>
      <c r="HI75" s="3"/>
      <c r="HJ75" s="3"/>
      <c r="HK75" s="3"/>
      <c r="HL75" s="3"/>
      <c r="HM75" s="3"/>
      <c r="HN75" s="3"/>
      <c r="HO75" s="3"/>
      <c r="HP75" s="3"/>
      <c r="HQ75" s="3"/>
      <c r="HR75" s="3"/>
      <c r="HS75" s="3"/>
      <c r="HT75" s="3"/>
      <c r="HU75" s="3"/>
      <c r="HV75" s="3"/>
      <c r="HW75" s="3"/>
      <c r="HX75" s="3"/>
      <c r="HY75" s="3"/>
      <c r="HZ75" s="3"/>
      <c r="IA75" s="3"/>
      <c r="IB75" s="3"/>
      <c r="IC75" s="3"/>
      <c r="ID75" s="3"/>
      <c r="IE75" s="3"/>
      <c r="IF75" s="3"/>
      <c r="IG75" s="3"/>
      <c r="IH75" s="3"/>
      <c r="II75" s="3"/>
      <c r="IJ75" s="3"/>
      <c r="IK75" s="3"/>
      <c r="IL75" s="3"/>
      <c r="IM75" s="3"/>
      <c r="IN75" s="3"/>
      <c r="IO75" s="3"/>
      <c r="IP75" s="3"/>
      <c r="IQ75" s="3"/>
      <c r="IR75" s="3"/>
      <c r="IS75" s="3"/>
      <c r="IT75" s="3"/>
      <c r="IU75" s="3"/>
      <c r="IV75" s="3"/>
      <c r="IW75" s="3"/>
      <c r="IX75" s="3"/>
      <c r="IY75" s="3"/>
      <c r="IZ75" s="3"/>
      <c r="JA75" s="3"/>
      <c r="JB75" s="3"/>
      <c r="JC75" s="3"/>
      <c r="JD75" s="3"/>
      <c r="JE75" s="3"/>
      <c r="JF75" s="3"/>
      <c r="JG75" s="3"/>
      <c r="JH75" s="3"/>
      <c r="JI75" s="3"/>
      <c r="JJ75" s="3"/>
      <c r="JK75" s="3"/>
      <c r="JL75" s="3"/>
      <c r="JM75" s="3"/>
      <c r="JN75" s="3"/>
      <c r="JO75" s="3"/>
      <c r="JP75" s="3"/>
      <c r="JQ75" s="3"/>
      <c r="JR75" s="3"/>
      <c r="JS75" s="3"/>
      <c r="JT75" s="3"/>
      <c r="JU75" s="3"/>
      <c r="JV75" s="3"/>
      <c r="JW75" s="3"/>
      <c r="JX75" s="3"/>
      <c r="JY75" s="3"/>
      <c r="JZ75" s="3"/>
      <c r="KA75" s="3"/>
      <c r="KB75" s="3"/>
      <c r="KC75" s="3"/>
      <c r="KD75" s="3"/>
      <c r="KE75" s="3"/>
      <c r="KF75" s="3"/>
      <c r="KG75" s="3"/>
      <c r="KH75" s="3"/>
      <c r="KI75" s="3"/>
      <c r="KJ75" s="3"/>
      <c r="KK75" s="3"/>
      <c r="KL75" s="3"/>
      <c r="KM75" s="3"/>
      <c r="KN75" s="3"/>
      <c r="KO75" s="3"/>
      <c r="KP75" s="3"/>
      <c r="KQ75" s="3"/>
      <c r="KR75" s="3"/>
      <c r="KS75" s="3"/>
      <c r="KT75" s="3"/>
      <c r="KU75" s="3"/>
      <c r="KV75" s="3"/>
      <c r="KW75" s="3"/>
      <c r="KX75" s="3"/>
      <c r="KY75" s="3"/>
      <c r="KZ75" s="3"/>
      <c r="LA75" s="3"/>
      <c r="LB75" s="3"/>
      <c r="LC75" s="3"/>
      <c r="LD75" s="3"/>
      <c r="LE75" s="3"/>
      <c r="LF75" s="3"/>
      <c r="LG75" s="3"/>
      <c r="LH75" s="3"/>
      <c r="LI75" s="3"/>
      <c r="LJ75" s="3"/>
      <c r="LK75" s="3"/>
      <c r="LL75" s="3"/>
      <c r="LM75" s="3"/>
      <c r="LN75" s="3"/>
      <c r="LO75" s="3"/>
      <c r="LP75" s="3"/>
      <c r="LQ75" s="3"/>
      <c r="LR75" s="3"/>
      <c r="LS75" s="3"/>
      <c r="LT75" s="3"/>
      <c r="LU75" s="3"/>
      <c r="LV75" s="3"/>
      <c r="LW75" s="3"/>
      <c r="LX75" s="3"/>
      <c r="LY75" s="3"/>
      <c r="LZ75" s="3"/>
      <c r="MA75" s="3"/>
      <c r="MB75" s="3"/>
      <c r="MC75" s="3"/>
      <c r="MD75" s="3"/>
      <c r="ME75" s="3"/>
      <c r="MF75" s="3"/>
      <c r="MG75" s="3"/>
      <c r="MH75" s="3"/>
      <c r="MI75" s="3"/>
      <c r="MJ75" s="3"/>
      <c r="MK75" s="3"/>
      <c r="ML75" s="3"/>
      <c r="MM75" s="3"/>
      <c r="MN75" s="3"/>
      <c r="MO75" s="3"/>
      <c r="MP75" s="3"/>
      <c r="MQ75" s="3"/>
      <c r="MR75" s="3"/>
      <c r="MS75" s="3"/>
      <c r="MT75" s="3"/>
      <c r="MU75" s="3"/>
      <c r="MV75" s="3"/>
      <c r="MW75" s="3"/>
      <c r="MX75" s="3"/>
      <c r="MY75" s="3"/>
      <c r="MZ75" s="3"/>
      <c r="NA75" s="3"/>
      <c r="NB75" s="3"/>
      <c r="NC75" s="3"/>
      <c r="ND75" s="3"/>
      <c r="NE75" s="3"/>
      <c r="NF75" s="3"/>
      <c r="NG75" s="3"/>
      <c r="NH75" s="3"/>
      <c r="NI75" s="3"/>
      <c r="NJ75" s="3"/>
      <c r="NK75" s="3"/>
      <c r="NL75" s="3"/>
      <c r="NM75" s="3"/>
      <c r="NN75" s="3"/>
      <c r="NO75" s="3"/>
      <c r="NP75" s="3"/>
      <c r="NQ75" s="3"/>
      <c r="NR75" s="3"/>
      <c r="NS75" s="3"/>
      <c r="NT75" s="3"/>
      <c r="NU75" s="3"/>
      <c r="NV75" s="3"/>
      <c r="NW75" s="3"/>
      <c r="NX75" s="3"/>
      <c r="NY75" s="3"/>
      <c r="NZ75" s="3"/>
      <c r="OA75" s="3"/>
      <c r="OB75" s="3"/>
      <c r="OC75" s="3"/>
      <c r="OD75" s="3"/>
      <c r="OE75" s="3"/>
      <c r="OF75" s="3"/>
      <c r="OG75" s="3"/>
      <c r="OH75" s="3"/>
      <c r="OI75" s="3"/>
      <c r="OJ75" s="3"/>
      <c r="OK75" s="3"/>
      <c r="OL75" s="3"/>
      <c r="OM75" s="3"/>
      <c r="ON75" s="3"/>
      <c r="OO75" s="3"/>
      <c r="OP75" s="3"/>
      <c r="OQ75" s="3"/>
      <c r="OR75" s="3"/>
      <c r="OS75" s="3"/>
      <c r="OT75" s="3"/>
      <c r="OU75" s="3"/>
      <c r="OV75" s="3"/>
      <c r="OW75" s="3"/>
      <c r="OX75" s="3"/>
      <c r="OY75" s="3"/>
      <c r="OZ75" s="3"/>
      <c r="PA75" s="3"/>
      <c r="PB75" s="3"/>
      <c r="PC75" s="3"/>
      <c r="PD75" s="3"/>
      <c r="PE75" s="3"/>
      <c r="PF75" s="3"/>
      <c r="PG75" s="3"/>
      <c r="PH75" s="3"/>
      <c r="PI75" s="3"/>
      <c r="PJ75" s="3"/>
      <c r="PK75" s="3"/>
      <c r="PL75" s="3"/>
      <c r="PM75" s="3"/>
      <c r="PN75" s="3"/>
      <c r="PO75" s="3"/>
      <c r="PP75" s="3"/>
      <c r="PQ75" s="3"/>
      <c r="PR75" s="3"/>
      <c r="PS75" s="3"/>
      <c r="PT75" s="3"/>
      <c r="PU75" s="3"/>
      <c r="PV75" s="3"/>
      <c r="PW75" s="3"/>
      <c r="PX75" s="3"/>
      <c r="PY75" s="3"/>
      <c r="PZ75" s="3"/>
      <c r="QA75" s="3"/>
      <c r="QB75" s="3"/>
      <c r="QC75" s="3"/>
      <c r="QD75" s="3"/>
      <c r="QE75" s="3"/>
      <c r="QF75" s="3"/>
      <c r="QG75" s="3"/>
      <c r="QH75" s="3"/>
      <c r="QI75" s="3"/>
      <c r="QJ75" s="3"/>
      <c r="QK75" s="3"/>
      <c r="QL75" s="3"/>
      <c r="QM75" s="3"/>
      <c r="QN75" s="3"/>
      <c r="QO75" s="3"/>
      <c r="QP75" s="3"/>
      <c r="QQ75" s="3"/>
      <c r="QR75" s="3"/>
      <c r="QS75" s="3"/>
      <c r="QT75" s="3"/>
      <c r="QU75" s="3"/>
      <c r="QV75" s="3"/>
      <c r="QW75" s="3"/>
      <c r="QX75" s="3"/>
      <c r="QY75" s="3"/>
      <c r="QZ75" s="3"/>
      <c r="RA75" s="3"/>
      <c r="RB75" s="3"/>
      <c r="RC75" s="3"/>
      <c r="RD75" s="3"/>
      <c r="RE75" s="3"/>
      <c r="RF75" s="3"/>
      <c r="RG75" s="3"/>
      <c r="RH75" s="3"/>
      <c r="RI75" s="3"/>
      <c r="RJ75" s="3"/>
      <c r="RK75" s="3"/>
      <c r="RL75" s="3"/>
      <c r="RM75" s="3"/>
      <c r="RN75" s="3"/>
      <c r="RO75" s="3"/>
      <c r="RP75" s="3"/>
      <c r="RQ75" s="3"/>
      <c r="RR75" s="3"/>
      <c r="RS75" s="3"/>
      <c r="RT75" s="3"/>
      <c r="RU75" s="3"/>
      <c r="RV75" s="3"/>
      <c r="RW75" s="3"/>
      <c r="RX75" s="3"/>
      <c r="RY75" s="3"/>
      <c r="RZ75" s="3"/>
      <c r="SA75" s="3"/>
      <c r="SB75" s="3"/>
      <c r="SC75" s="3"/>
      <c r="SD75" s="3"/>
      <c r="SE75" s="3"/>
      <c r="SF75" s="3"/>
      <c r="SG75" s="3"/>
      <c r="SH75" s="3"/>
      <c r="SI75" s="3"/>
      <c r="SJ75" s="3"/>
      <c r="SK75" s="3"/>
      <c r="SL75" s="3"/>
      <c r="SM75" s="3"/>
      <c r="SN75" s="3"/>
      <c r="SO75" s="3"/>
      <c r="SP75" s="3"/>
      <c r="SQ75" s="3"/>
      <c r="SR75" s="3"/>
      <c r="SS75" s="3"/>
      <c r="ST75" s="3"/>
      <c r="SU75" s="3"/>
      <c r="SV75" s="3"/>
      <c r="SW75" s="3"/>
      <c r="SX75" s="3"/>
      <c r="SY75" s="3"/>
      <c r="SZ75" s="3"/>
      <c r="TA75" s="3"/>
      <c r="TB75" s="3"/>
      <c r="TC75" s="3"/>
      <c r="TD75" s="3"/>
      <c r="TE75" s="3"/>
      <c r="TF75" s="3"/>
      <c r="TG75" s="3"/>
      <c r="TH75" s="3"/>
      <c r="TI75" s="3"/>
      <c r="TJ75" s="3"/>
      <c r="TK75" s="3"/>
      <c r="TL75" s="3"/>
      <c r="TM75" s="3"/>
      <c r="TN75" s="3"/>
      <c r="TO75" s="3"/>
      <c r="TP75" s="3"/>
      <c r="TQ75" s="3"/>
      <c r="TR75" s="3"/>
      <c r="TS75" s="3"/>
      <c r="TT75" s="3"/>
      <c r="TU75" s="3"/>
      <c r="TV75" s="3"/>
      <c r="TW75" s="3"/>
      <c r="TX75" s="3"/>
      <c r="TY75" s="3"/>
      <c r="TZ75" s="3"/>
      <c r="UA75" s="3"/>
      <c r="UB75" s="3"/>
      <c r="UC75" s="3"/>
      <c r="UD75" s="3"/>
      <c r="UE75" s="3"/>
      <c r="UF75" s="3"/>
      <c r="UG75" s="3"/>
      <c r="UH75" s="3"/>
      <c r="UI75" s="3"/>
      <c r="UJ75" s="3"/>
      <c r="UK75" s="3"/>
      <c r="UL75" s="3"/>
      <c r="UM75" s="3"/>
      <c r="UN75" s="3"/>
      <c r="UO75" s="3"/>
      <c r="UP75" s="3"/>
      <c r="UQ75" s="3"/>
      <c r="UR75" s="3"/>
      <c r="US75" s="3"/>
      <c r="UT75" s="3"/>
      <c r="UU75" s="3"/>
      <c r="UV75" s="3"/>
      <c r="UW75" s="3"/>
      <c r="UX75" s="3"/>
      <c r="UY75" s="3"/>
      <c r="UZ75" s="3"/>
      <c r="VA75" s="3"/>
      <c r="VB75" s="3"/>
      <c r="VC75" s="3"/>
      <c r="VD75" s="3"/>
      <c r="VE75" s="3"/>
      <c r="VF75" s="3"/>
      <c r="VG75" s="3"/>
      <c r="VH75" s="3"/>
      <c r="VI75" s="3"/>
      <c r="VJ75" s="3"/>
      <c r="VK75" s="3"/>
      <c r="VL75" s="3"/>
      <c r="VM75" s="3"/>
      <c r="VN75" s="3"/>
      <c r="VO75" s="3"/>
      <c r="VP75" s="3"/>
      <c r="VQ75" s="3"/>
      <c r="VR75" s="3"/>
      <c r="VS75" s="3"/>
      <c r="VT75" s="3"/>
      <c r="VU75" s="3"/>
      <c r="VV75" s="3"/>
      <c r="VW75" s="3"/>
      <c r="VX75" s="3"/>
      <c r="VY75" s="3"/>
      <c r="VZ75" s="3"/>
      <c r="WA75" s="3"/>
      <c r="WB75" s="3"/>
      <c r="WC75" s="3"/>
      <c r="WD75" s="3"/>
      <c r="WE75" s="3"/>
      <c r="WF75" s="3"/>
      <c r="WG75" s="3"/>
      <c r="WH75" s="3"/>
      <c r="WI75" s="3"/>
      <c r="WJ75" s="3"/>
      <c r="WK75" s="3"/>
      <c r="WL75" s="3"/>
      <c r="WM75" s="3"/>
      <c r="WN75" s="3"/>
      <c r="WO75" s="3"/>
      <c r="WP75" s="3"/>
      <c r="WQ75" s="3"/>
      <c r="WR75" s="3"/>
      <c r="WS75" s="3"/>
      <c r="WT75" s="3"/>
      <c r="WU75" s="3"/>
      <c r="WV75" s="3"/>
      <c r="WW75" s="3"/>
      <c r="WX75" s="3"/>
      <c r="WY75" s="3"/>
      <c r="WZ75" s="3"/>
      <c r="XA75" s="3"/>
      <c r="XB75" s="3"/>
      <c r="XC75" s="3"/>
      <c r="XD75" s="3"/>
      <c r="XE75" s="3"/>
      <c r="XF75" s="3"/>
      <c r="XG75" s="3"/>
      <c r="XH75" s="3"/>
      <c r="XI75" s="3"/>
      <c r="XJ75" s="3"/>
      <c r="XK75" s="3"/>
      <c r="XL75" s="3"/>
      <c r="XM75" s="3"/>
      <c r="XN75" s="3"/>
      <c r="XO75" s="3"/>
      <c r="XP75" s="3"/>
      <c r="XQ75" s="3"/>
      <c r="XR75" s="3"/>
      <c r="XS75" s="3"/>
      <c r="XT75" s="3"/>
      <c r="XU75" s="3"/>
      <c r="XV75" s="3"/>
      <c r="XW75" s="3"/>
      <c r="XX75" s="3"/>
      <c r="XY75" s="3"/>
      <c r="XZ75" s="3"/>
      <c r="YA75" s="3"/>
      <c r="YB75" s="3"/>
      <c r="YC75" s="3"/>
      <c r="YD75" s="3"/>
      <c r="YE75" s="3"/>
      <c r="YF75" s="3"/>
      <c r="YG75" s="3"/>
      <c r="YH75" s="3"/>
      <c r="YI75" s="3"/>
      <c r="YJ75" s="3"/>
      <c r="YK75" s="3"/>
      <c r="YL75" s="3"/>
      <c r="YM75" s="3"/>
      <c r="YN75" s="3"/>
      <c r="YO75" s="3"/>
      <c r="YP75" s="3"/>
      <c r="YQ75" s="3"/>
      <c r="YR75" s="3"/>
      <c r="YS75" s="3"/>
      <c r="YT75" s="3"/>
      <c r="YU75" s="3"/>
      <c r="YV75" s="3"/>
      <c r="YW75" s="3"/>
      <c r="YX75" s="3"/>
      <c r="YY75" s="3"/>
      <c r="YZ75" s="3"/>
      <c r="ZA75" s="3"/>
      <c r="ZB75" s="3"/>
      <c r="ZC75" s="3"/>
    </row>
    <row r="76" spans="1:679" s="2" customFormat="1" x14ac:dyDescent="0.45">
      <c r="A76" s="3" t="s">
        <v>11</v>
      </c>
      <c r="B76" s="4">
        <v>31871</v>
      </c>
      <c r="C76" s="7" t="s">
        <v>25</v>
      </c>
      <c r="D76" s="6" t="s">
        <v>90</v>
      </c>
      <c r="E76" s="3"/>
      <c r="F76" s="3">
        <v>10</v>
      </c>
      <c r="L76" s="3"/>
      <c r="M76" s="3"/>
      <c r="N76" s="48"/>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c r="EU76" s="3"/>
      <c r="EV76" s="3"/>
      <c r="EW76" s="3"/>
      <c r="EX76" s="3"/>
      <c r="EY76" s="3"/>
      <c r="EZ76" s="3"/>
      <c r="FA76" s="3"/>
      <c r="FB76" s="3"/>
      <c r="FC76" s="3"/>
      <c r="FD76" s="3"/>
      <c r="FE76" s="3"/>
      <c r="FF76" s="3"/>
      <c r="FG76" s="3"/>
      <c r="FH76" s="3"/>
      <c r="FI76" s="3"/>
      <c r="FJ76" s="3"/>
      <c r="FK76" s="3"/>
      <c r="FL76" s="3"/>
      <c r="FM76" s="3"/>
      <c r="FN76" s="3"/>
      <c r="FO76" s="3"/>
      <c r="FP76" s="3"/>
      <c r="FQ76" s="3"/>
      <c r="FR76" s="3"/>
      <c r="FS76" s="3"/>
      <c r="FT76" s="3"/>
      <c r="FU76" s="3"/>
      <c r="FV76" s="3"/>
      <c r="FW76" s="3"/>
      <c r="FX76" s="3"/>
      <c r="FY76" s="3"/>
      <c r="FZ76" s="3"/>
      <c r="GA76" s="3"/>
      <c r="GB76" s="3"/>
      <c r="GC76" s="3"/>
      <c r="GD76" s="3"/>
      <c r="GE76" s="3"/>
      <c r="GF76" s="3"/>
      <c r="GG76" s="3"/>
      <c r="GH76" s="3"/>
      <c r="GI76" s="3"/>
      <c r="GJ76" s="3"/>
      <c r="GK76" s="3"/>
      <c r="GL76" s="3"/>
      <c r="GM76" s="3"/>
      <c r="GN76" s="3"/>
      <c r="GO76" s="3"/>
      <c r="GP76" s="3"/>
      <c r="GQ76" s="3"/>
      <c r="GR76" s="3"/>
      <c r="GS76" s="3"/>
      <c r="GT76" s="3"/>
      <c r="GU76" s="3"/>
      <c r="GV76" s="3"/>
      <c r="GW76" s="3"/>
      <c r="GX76" s="3"/>
      <c r="GY76" s="3"/>
      <c r="GZ76" s="3"/>
      <c r="HA76" s="3"/>
      <c r="HB76" s="3"/>
      <c r="HC76" s="3"/>
      <c r="HD76" s="3"/>
      <c r="HE76" s="3"/>
      <c r="HF76" s="3"/>
      <c r="HG76" s="3"/>
      <c r="HH76" s="3"/>
      <c r="HI76" s="3"/>
      <c r="HJ76" s="3"/>
      <c r="HK76" s="3"/>
      <c r="HL76" s="3"/>
      <c r="HM76" s="3"/>
      <c r="HN76" s="3"/>
      <c r="HO76" s="3"/>
      <c r="HP76" s="3"/>
      <c r="HQ76" s="3"/>
      <c r="HR76" s="3"/>
      <c r="HS76" s="3"/>
      <c r="HT76" s="3"/>
      <c r="HU76" s="3"/>
      <c r="HV76" s="3"/>
      <c r="HW76" s="3"/>
      <c r="HX76" s="3"/>
      <c r="HY76" s="3"/>
      <c r="HZ76" s="3"/>
      <c r="IA76" s="3"/>
      <c r="IB76" s="3"/>
      <c r="IC76" s="3"/>
      <c r="ID76" s="3"/>
      <c r="IE76" s="3"/>
      <c r="IF76" s="3"/>
      <c r="IG76" s="3"/>
      <c r="IH76" s="3"/>
      <c r="II76" s="3"/>
      <c r="IJ76" s="3"/>
      <c r="IK76" s="3"/>
      <c r="IL76" s="3"/>
      <c r="IM76" s="3"/>
      <c r="IN76" s="3"/>
      <c r="IO76" s="3"/>
      <c r="IP76" s="3"/>
      <c r="IQ76" s="3"/>
      <c r="IR76" s="3"/>
      <c r="IS76" s="3"/>
      <c r="IT76" s="3"/>
      <c r="IU76" s="3"/>
      <c r="IV76" s="3"/>
      <c r="IW76" s="3"/>
      <c r="IX76" s="3"/>
      <c r="IY76" s="3"/>
      <c r="IZ76" s="3"/>
      <c r="JA76" s="3"/>
      <c r="JB76" s="3"/>
      <c r="JC76" s="3"/>
      <c r="JD76" s="3"/>
      <c r="JE76" s="3"/>
      <c r="JF76" s="3"/>
      <c r="JG76" s="3"/>
      <c r="JH76" s="3"/>
      <c r="JI76" s="3"/>
      <c r="JJ76" s="3"/>
      <c r="JK76" s="3"/>
      <c r="JL76" s="3"/>
      <c r="JM76" s="3"/>
      <c r="JN76" s="3"/>
      <c r="JO76" s="3"/>
      <c r="JP76" s="3"/>
      <c r="JQ76" s="3"/>
      <c r="JR76" s="3"/>
      <c r="JS76" s="3"/>
      <c r="JT76" s="3"/>
      <c r="JU76" s="3"/>
      <c r="JV76" s="3"/>
      <c r="JW76" s="3"/>
      <c r="JX76" s="3"/>
      <c r="JY76" s="3"/>
      <c r="JZ76" s="3"/>
      <c r="KA76" s="3"/>
      <c r="KB76" s="3"/>
      <c r="KC76" s="3"/>
      <c r="KD76" s="3"/>
      <c r="KE76" s="3"/>
      <c r="KF76" s="3"/>
      <c r="KG76" s="3"/>
      <c r="KH76" s="3"/>
      <c r="KI76" s="3"/>
      <c r="KJ76" s="3"/>
      <c r="KK76" s="3"/>
      <c r="KL76" s="3"/>
      <c r="KM76" s="3"/>
      <c r="KN76" s="3"/>
      <c r="KO76" s="3"/>
      <c r="KP76" s="3"/>
      <c r="KQ76" s="3"/>
      <c r="KR76" s="3"/>
      <c r="KS76" s="3"/>
      <c r="KT76" s="3"/>
      <c r="KU76" s="3"/>
      <c r="KV76" s="3"/>
      <c r="KW76" s="3"/>
      <c r="KX76" s="3"/>
      <c r="KY76" s="3"/>
      <c r="KZ76" s="3"/>
      <c r="LA76" s="3"/>
      <c r="LB76" s="3"/>
      <c r="LC76" s="3"/>
      <c r="LD76" s="3"/>
      <c r="LE76" s="3"/>
      <c r="LF76" s="3"/>
      <c r="LG76" s="3"/>
      <c r="LH76" s="3"/>
      <c r="LI76" s="3"/>
      <c r="LJ76" s="3"/>
      <c r="LK76" s="3"/>
      <c r="LL76" s="3"/>
      <c r="LM76" s="3"/>
      <c r="LN76" s="3"/>
      <c r="LO76" s="3"/>
      <c r="LP76" s="3"/>
      <c r="LQ76" s="3"/>
      <c r="LR76" s="3"/>
      <c r="LS76" s="3"/>
      <c r="LT76" s="3"/>
      <c r="LU76" s="3"/>
      <c r="LV76" s="3"/>
      <c r="LW76" s="3"/>
      <c r="LX76" s="3"/>
      <c r="LY76" s="3"/>
      <c r="LZ76" s="3"/>
      <c r="MA76" s="3"/>
      <c r="MB76" s="3"/>
      <c r="MC76" s="3"/>
      <c r="MD76" s="3"/>
      <c r="ME76" s="3"/>
      <c r="MF76" s="3"/>
      <c r="MG76" s="3"/>
      <c r="MH76" s="3"/>
      <c r="MI76" s="3"/>
      <c r="MJ76" s="3"/>
      <c r="MK76" s="3"/>
      <c r="ML76" s="3"/>
      <c r="MM76" s="3"/>
      <c r="MN76" s="3"/>
      <c r="MO76" s="3"/>
      <c r="MP76" s="3"/>
      <c r="MQ76" s="3"/>
      <c r="MR76" s="3"/>
      <c r="MS76" s="3"/>
      <c r="MT76" s="3"/>
      <c r="MU76" s="3"/>
      <c r="MV76" s="3"/>
      <c r="MW76" s="3"/>
      <c r="MX76" s="3"/>
      <c r="MY76" s="3"/>
      <c r="MZ76" s="3"/>
      <c r="NA76" s="3"/>
      <c r="NB76" s="3"/>
      <c r="NC76" s="3"/>
      <c r="ND76" s="3"/>
      <c r="NE76" s="3"/>
      <c r="NF76" s="3"/>
      <c r="NG76" s="3"/>
      <c r="NH76" s="3"/>
      <c r="NI76" s="3"/>
      <c r="NJ76" s="3"/>
      <c r="NK76" s="3"/>
      <c r="NL76" s="3"/>
      <c r="NM76" s="3"/>
      <c r="NN76" s="3"/>
      <c r="NO76" s="3"/>
      <c r="NP76" s="3"/>
      <c r="NQ76" s="3"/>
      <c r="NR76" s="3"/>
      <c r="NS76" s="3"/>
      <c r="NT76" s="3"/>
      <c r="NU76" s="3"/>
      <c r="NV76" s="3"/>
      <c r="NW76" s="3"/>
      <c r="NX76" s="3"/>
      <c r="NY76" s="3"/>
      <c r="NZ76" s="3"/>
      <c r="OA76" s="3"/>
      <c r="OB76" s="3"/>
      <c r="OC76" s="3"/>
      <c r="OD76" s="3"/>
      <c r="OE76" s="3"/>
      <c r="OF76" s="3"/>
      <c r="OG76" s="3"/>
      <c r="OH76" s="3"/>
      <c r="OI76" s="3"/>
      <c r="OJ76" s="3"/>
      <c r="OK76" s="3"/>
      <c r="OL76" s="3"/>
      <c r="OM76" s="3"/>
      <c r="ON76" s="3"/>
      <c r="OO76" s="3"/>
      <c r="OP76" s="3"/>
      <c r="OQ76" s="3"/>
      <c r="OR76" s="3"/>
      <c r="OS76" s="3"/>
      <c r="OT76" s="3"/>
      <c r="OU76" s="3"/>
      <c r="OV76" s="3"/>
      <c r="OW76" s="3"/>
      <c r="OX76" s="3"/>
      <c r="OY76" s="3"/>
      <c r="OZ76" s="3"/>
      <c r="PA76" s="3"/>
      <c r="PB76" s="3"/>
      <c r="PC76" s="3"/>
      <c r="PD76" s="3"/>
      <c r="PE76" s="3"/>
      <c r="PF76" s="3"/>
      <c r="PG76" s="3"/>
      <c r="PH76" s="3"/>
      <c r="PI76" s="3"/>
      <c r="PJ76" s="3"/>
      <c r="PK76" s="3"/>
      <c r="PL76" s="3"/>
      <c r="PM76" s="3"/>
      <c r="PN76" s="3"/>
      <c r="PO76" s="3"/>
      <c r="PP76" s="3"/>
      <c r="PQ76" s="3"/>
      <c r="PR76" s="3"/>
      <c r="PS76" s="3"/>
      <c r="PT76" s="3"/>
      <c r="PU76" s="3"/>
      <c r="PV76" s="3"/>
      <c r="PW76" s="3"/>
      <c r="PX76" s="3"/>
      <c r="PY76" s="3"/>
      <c r="PZ76" s="3"/>
      <c r="QA76" s="3"/>
      <c r="QB76" s="3"/>
      <c r="QC76" s="3"/>
      <c r="QD76" s="3"/>
      <c r="QE76" s="3"/>
      <c r="QF76" s="3"/>
      <c r="QG76" s="3"/>
      <c r="QH76" s="3"/>
      <c r="QI76" s="3"/>
      <c r="QJ76" s="3"/>
      <c r="QK76" s="3"/>
      <c r="QL76" s="3"/>
      <c r="QM76" s="3"/>
      <c r="QN76" s="3"/>
      <c r="QO76" s="3"/>
      <c r="QP76" s="3"/>
      <c r="QQ76" s="3"/>
      <c r="QR76" s="3"/>
      <c r="QS76" s="3"/>
      <c r="QT76" s="3"/>
      <c r="QU76" s="3"/>
      <c r="QV76" s="3"/>
      <c r="QW76" s="3"/>
      <c r="QX76" s="3"/>
      <c r="QY76" s="3"/>
      <c r="QZ76" s="3"/>
      <c r="RA76" s="3"/>
      <c r="RB76" s="3"/>
      <c r="RC76" s="3"/>
      <c r="RD76" s="3"/>
      <c r="RE76" s="3"/>
      <c r="RF76" s="3"/>
      <c r="RG76" s="3"/>
      <c r="RH76" s="3"/>
      <c r="RI76" s="3"/>
      <c r="RJ76" s="3"/>
      <c r="RK76" s="3"/>
      <c r="RL76" s="3"/>
      <c r="RM76" s="3"/>
      <c r="RN76" s="3"/>
      <c r="RO76" s="3"/>
      <c r="RP76" s="3"/>
      <c r="RQ76" s="3"/>
      <c r="RR76" s="3"/>
      <c r="RS76" s="3"/>
      <c r="RT76" s="3"/>
      <c r="RU76" s="3"/>
      <c r="RV76" s="3"/>
      <c r="RW76" s="3"/>
      <c r="RX76" s="3"/>
      <c r="RY76" s="3"/>
      <c r="RZ76" s="3"/>
      <c r="SA76" s="3"/>
      <c r="SB76" s="3"/>
      <c r="SC76" s="3"/>
      <c r="SD76" s="3"/>
      <c r="SE76" s="3"/>
      <c r="SF76" s="3"/>
      <c r="SG76" s="3"/>
      <c r="SH76" s="3"/>
      <c r="SI76" s="3"/>
      <c r="SJ76" s="3"/>
      <c r="SK76" s="3"/>
      <c r="SL76" s="3"/>
      <c r="SM76" s="3"/>
      <c r="SN76" s="3"/>
      <c r="SO76" s="3"/>
      <c r="SP76" s="3"/>
      <c r="SQ76" s="3"/>
      <c r="SR76" s="3"/>
      <c r="SS76" s="3"/>
      <c r="ST76" s="3"/>
      <c r="SU76" s="3"/>
      <c r="SV76" s="3"/>
      <c r="SW76" s="3"/>
      <c r="SX76" s="3"/>
      <c r="SY76" s="3"/>
      <c r="SZ76" s="3"/>
      <c r="TA76" s="3"/>
      <c r="TB76" s="3"/>
      <c r="TC76" s="3"/>
      <c r="TD76" s="3"/>
      <c r="TE76" s="3"/>
      <c r="TF76" s="3"/>
      <c r="TG76" s="3"/>
      <c r="TH76" s="3"/>
      <c r="TI76" s="3"/>
      <c r="TJ76" s="3"/>
      <c r="TK76" s="3"/>
      <c r="TL76" s="3"/>
      <c r="TM76" s="3"/>
      <c r="TN76" s="3"/>
      <c r="TO76" s="3"/>
      <c r="TP76" s="3"/>
      <c r="TQ76" s="3"/>
      <c r="TR76" s="3"/>
      <c r="TS76" s="3"/>
      <c r="TT76" s="3"/>
      <c r="TU76" s="3"/>
      <c r="TV76" s="3"/>
      <c r="TW76" s="3"/>
      <c r="TX76" s="3"/>
      <c r="TY76" s="3"/>
      <c r="TZ76" s="3"/>
      <c r="UA76" s="3"/>
      <c r="UB76" s="3"/>
      <c r="UC76" s="3"/>
      <c r="UD76" s="3"/>
      <c r="UE76" s="3"/>
      <c r="UF76" s="3"/>
      <c r="UG76" s="3"/>
      <c r="UH76" s="3"/>
      <c r="UI76" s="3"/>
      <c r="UJ76" s="3"/>
      <c r="UK76" s="3"/>
      <c r="UL76" s="3"/>
      <c r="UM76" s="3"/>
      <c r="UN76" s="3"/>
      <c r="UO76" s="3"/>
      <c r="UP76" s="3"/>
      <c r="UQ76" s="3"/>
      <c r="UR76" s="3"/>
      <c r="US76" s="3"/>
      <c r="UT76" s="3"/>
      <c r="UU76" s="3"/>
      <c r="UV76" s="3"/>
      <c r="UW76" s="3"/>
      <c r="UX76" s="3"/>
      <c r="UY76" s="3"/>
      <c r="UZ76" s="3"/>
      <c r="VA76" s="3"/>
      <c r="VB76" s="3"/>
      <c r="VC76" s="3"/>
      <c r="VD76" s="3"/>
      <c r="VE76" s="3"/>
      <c r="VF76" s="3"/>
      <c r="VG76" s="3"/>
      <c r="VH76" s="3"/>
      <c r="VI76" s="3"/>
      <c r="VJ76" s="3"/>
      <c r="VK76" s="3"/>
      <c r="VL76" s="3"/>
      <c r="VM76" s="3"/>
      <c r="VN76" s="3"/>
      <c r="VO76" s="3"/>
      <c r="VP76" s="3"/>
      <c r="VQ76" s="3"/>
      <c r="VR76" s="3"/>
      <c r="VS76" s="3"/>
      <c r="VT76" s="3"/>
      <c r="VU76" s="3"/>
      <c r="VV76" s="3"/>
      <c r="VW76" s="3"/>
      <c r="VX76" s="3"/>
      <c r="VY76" s="3"/>
      <c r="VZ76" s="3"/>
      <c r="WA76" s="3"/>
      <c r="WB76" s="3"/>
      <c r="WC76" s="3"/>
      <c r="WD76" s="3"/>
      <c r="WE76" s="3"/>
      <c r="WF76" s="3"/>
      <c r="WG76" s="3"/>
      <c r="WH76" s="3"/>
      <c r="WI76" s="3"/>
      <c r="WJ76" s="3"/>
      <c r="WK76" s="3"/>
      <c r="WL76" s="3"/>
      <c r="WM76" s="3"/>
      <c r="WN76" s="3"/>
      <c r="WO76" s="3"/>
      <c r="WP76" s="3"/>
      <c r="WQ76" s="3"/>
      <c r="WR76" s="3"/>
      <c r="WS76" s="3"/>
      <c r="WT76" s="3"/>
      <c r="WU76" s="3"/>
      <c r="WV76" s="3"/>
      <c r="WW76" s="3"/>
      <c r="WX76" s="3"/>
      <c r="WY76" s="3"/>
      <c r="WZ76" s="3"/>
      <c r="XA76" s="3"/>
      <c r="XB76" s="3"/>
      <c r="XC76" s="3"/>
      <c r="XD76" s="3"/>
      <c r="XE76" s="3"/>
      <c r="XF76" s="3"/>
      <c r="XG76" s="3"/>
      <c r="XH76" s="3"/>
      <c r="XI76" s="3"/>
      <c r="XJ76" s="3"/>
      <c r="XK76" s="3"/>
      <c r="XL76" s="3"/>
      <c r="XM76" s="3"/>
      <c r="XN76" s="3"/>
      <c r="XO76" s="3"/>
      <c r="XP76" s="3"/>
      <c r="XQ76" s="3"/>
      <c r="XR76" s="3"/>
      <c r="XS76" s="3"/>
      <c r="XT76" s="3"/>
      <c r="XU76" s="3"/>
      <c r="XV76" s="3"/>
      <c r="XW76" s="3"/>
      <c r="XX76" s="3"/>
      <c r="XY76" s="3"/>
      <c r="XZ76" s="3"/>
      <c r="YA76" s="3"/>
      <c r="YB76" s="3"/>
      <c r="YC76" s="3"/>
      <c r="YD76" s="3"/>
      <c r="YE76" s="3"/>
      <c r="YF76" s="3"/>
      <c r="YG76" s="3"/>
      <c r="YH76" s="3"/>
      <c r="YI76" s="3"/>
      <c r="YJ76" s="3"/>
      <c r="YK76" s="3"/>
      <c r="YL76" s="3"/>
      <c r="YM76" s="3"/>
      <c r="YN76" s="3"/>
      <c r="YO76" s="3"/>
      <c r="YP76" s="3"/>
      <c r="YQ76" s="3"/>
      <c r="YR76" s="3"/>
      <c r="YS76" s="3"/>
      <c r="YT76" s="3"/>
      <c r="YU76" s="3"/>
      <c r="YV76" s="3"/>
      <c r="YW76" s="3"/>
      <c r="YX76" s="3"/>
      <c r="YY76" s="3"/>
      <c r="YZ76" s="3"/>
      <c r="ZA76" s="3"/>
      <c r="ZB76" s="3"/>
      <c r="ZC76" s="3"/>
    </row>
    <row r="77" spans="1:679" s="2" customFormat="1" x14ac:dyDescent="0.45">
      <c r="A77" s="3" t="s">
        <v>11</v>
      </c>
      <c r="B77" s="4">
        <v>32057</v>
      </c>
      <c r="C77" s="7" t="s">
        <v>25</v>
      </c>
      <c r="D77" s="6" t="s">
        <v>91</v>
      </c>
      <c r="E77" s="3"/>
      <c r="F77" s="3">
        <v>2</v>
      </c>
      <c r="L77" s="3"/>
      <c r="M77" s="3"/>
      <c r="N77" s="48"/>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c r="DI77" s="3"/>
      <c r="DJ77" s="3"/>
      <c r="DK77" s="3"/>
      <c r="DL77" s="3"/>
      <c r="DM77" s="3"/>
      <c r="DN77" s="3"/>
      <c r="DO77" s="3"/>
      <c r="DP77" s="3"/>
      <c r="DQ77" s="3"/>
      <c r="DR77" s="3"/>
      <c r="DS77" s="3"/>
      <c r="DT77" s="3"/>
      <c r="DU77" s="3"/>
      <c r="DV77" s="3"/>
      <c r="DW77" s="3"/>
      <c r="DX77" s="3"/>
      <c r="DY77" s="3"/>
      <c r="DZ77" s="3"/>
      <c r="EA77" s="3"/>
      <c r="EB77" s="3"/>
      <c r="EC77" s="3"/>
      <c r="ED77" s="3"/>
      <c r="EE77" s="3"/>
      <c r="EF77" s="3"/>
      <c r="EG77" s="3"/>
      <c r="EH77" s="3"/>
      <c r="EI77" s="3"/>
      <c r="EJ77" s="3"/>
      <c r="EK77" s="3"/>
      <c r="EL77" s="3"/>
      <c r="EM77" s="3"/>
      <c r="EN77" s="3"/>
      <c r="EO77" s="3"/>
      <c r="EP77" s="3"/>
      <c r="EQ77" s="3"/>
      <c r="ER77" s="3"/>
      <c r="ES77" s="3"/>
      <c r="ET77" s="3"/>
      <c r="EU77" s="3"/>
      <c r="EV77" s="3"/>
      <c r="EW77" s="3"/>
      <c r="EX77" s="3"/>
      <c r="EY77" s="3"/>
      <c r="EZ77" s="3"/>
      <c r="FA77" s="3"/>
      <c r="FB77" s="3"/>
      <c r="FC77" s="3"/>
      <c r="FD77" s="3"/>
      <c r="FE77" s="3"/>
      <c r="FF77" s="3"/>
      <c r="FG77" s="3"/>
      <c r="FH77" s="3"/>
      <c r="FI77" s="3"/>
      <c r="FJ77" s="3"/>
      <c r="FK77" s="3"/>
      <c r="FL77" s="3"/>
      <c r="FM77" s="3"/>
      <c r="FN77" s="3"/>
      <c r="FO77" s="3"/>
      <c r="FP77" s="3"/>
      <c r="FQ77" s="3"/>
      <c r="FR77" s="3"/>
      <c r="FS77" s="3"/>
      <c r="FT77" s="3"/>
      <c r="FU77" s="3"/>
      <c r="FV77" s="3"/>
      <c r="FW77" s="3"/>
      <c r="FX77" s="3"/>
      <c r="FY77" s="3"/>
      <c r="FZ77" s="3"/>
      <c r="GA77" s="3"/>
      <c r="GB77" s="3"/>
      <c r="GC77" s="3"/>
      <c r="GD77" s="3"/>
      <c r="GE77" s="3"/>
      <c r="GF77" s="3"/>
      <c r="GG77" s="3"/>
      <c r="GH77" s="3"/>
      <c r="GI77" s="3"/>
      <c r="GJ77" s="3"/>
      <c r="GK77" s="3"/>
      <c r="GL77" s="3"/>
      <c r="GM77" s="3"/>
      <c r="GN77" s="3"/>
      <c r="GO77" s="3"/>
      <c r="GP77" s="3"/>
      <c r="GQ77" s="3"/>
      <c r="GR77" s="3"/>
      <c r="GS77" s="3"/>
      <c r="GT77" s="3"/>
      <c r="GU77" s="3"/>
      <c r="GV77" s="3"/>
      <c r="GW77" s="3"/>
      <c r="GX77" s="3"/>
      <c r="GY77" s="3"/>
      <c r="GZ77" s="3"/>
      <c r="HA77" s="3"/>
      <c r="HB77" s="3"/>
      <c r="HC77" s="3"/>
      <c r="HD77" s="3"/>
      <c r="HE77" s="3"/>
      <c r="HF77" s="3"/>
      <c r="HG77" s="3"/>
      <c r="HH77" s="3"/>
      <c r="HI77" s="3"/>
      <c r="HJ77" s="3"/>
      <c r="HK77" s="3"/>
      <c r="HL77" s="3"/>
      <c r="HM77" s="3"/>
      <c r="HN77" s="3"/>
      <c r="HO77" s="3"/>
      <c r="HP77" s="3"/>
      <c r="HQ77" s="3"/>
      <c r="HR77" s="3"/>
      <c r="HS77" s="3"/>
      <c r="HT77" s="3"/>
      <c r="HU77" s="3"/>
      <c r="HV77" s="3"/>
      <c r="HW77" s="3"/>
      <c r="HX77" s="3"/>
      <c r="HY77" s="3"/>
      <c r="HZ77" s="3"/>
      <c r="IA77" s="3"/>
      <c r="IB77" s="3"/>
      <c r="IC77" s="3"/>
      <c r="ID77" s="3"/>
      <c r="IE77" s="3"/>
      <c r="IF77" s="3"/>
      <c r="IG77" s="3"/>
      <c r="IH77" s="3"/>
      <c r="II77" s="3"/>
      <c r="IJ77" s="3"/>
      <c r="IK77" s="3"/>
      <c r="IL77" s="3"/>
      <c r="IM77" s="3"/>
      <c r="IN77" s="3"/>
      <c r="IO77" s="3"/>
      <c r="IP77" s="3"/>
      <c r="IQ77" s="3"/>
      <c r="IR77" s="3"/>
      <c r="IS77" s="3"/>
      <c r="IT77" s="3"/>
      <c r="IU77" s="3"/>
      <c r="IV77" s="3"/>
      <c r="IW77" s="3"/>
      <c r="IX77" s="3"/>
      <c r="IY77" s="3"/>
      <c r="IZ77" s="3"/>
      <c r="JA77" s="3"/>
      <c r="JB77" s="3"/>
      <c r="JC77" s="3"/>
      <c r="JD77" s="3"/>
      <c r="JE77" s="3"/>
      <c r="JF77" s="3"/>
      <c r="JG77" s="3"/>
      <c r="JH77" s="3"/>
      <c r="JI77" s="3"/>
      <c r="JJ77" s="3"/>
      <c r="JK77" s="3"/>
      <c r="JL77" s="3"/>
      <c r="JM77" s="3"/>
      <c r="JN77" s="3"/>
      <c r="JO77" s="3"/>
      <c r="JP77" s="3"/>
      <c r="JQ77" s="3"/>
      <c r="JR77" s="3"/>
      <c r="JS77" s="3"/>
      <c r="JT77" s="3"/>
      <c r="JU77" s="3"/>
      <c r="JV77" s="3"/>
      <c r="JW77" s="3"/>
      <c r="JX77" s="3"/>
      <c r="JY77" s="3"/>
      <c r="JZ77" s="3"/>
      <c r="KA77" s="3"/>
      <c r="KB77" s="3"/>
      <c r="KC77" s="3"/>
      <c r="KD77" s="3"/>
      <c r="KE77" s="3"/>
      <c r="KF77" s="3"/>
      <c r="KG77" s="3"/>
      <c r="KH77" s="3"/>
      <c r="KI77" s="3"/>
      <c r="KJ77" s="3"/>
      <c r="KK77" s="3"/>
      <c r="KL77" s="3"/>
      <c r="KM77" s="3"/>
      <c r="KN77" s="3"/>
      <c r="KO77" s="3"/>
      <c r="KP77" s="3"/>
      <c r="KQ77" s="3"/>
      <c r="KR77" s="3"/>
      <c r="KS77" s="3"/>
      <c r="KT77" s="3"/>
      <c r="KU77" s="3"/>
      <c r="KV77" s="3"/>
      <c r="KW77" s="3"/>
      <c r="KX77" s="3"/>
      <c r="KY77" s="3"/>
      <c r="KZ77" s="3"/>
      <c r="LA77" s="3"/>
      <c r="LB77" s="3"/>
      <c r="LC77" s="3"/>
      <c r="LD77" s="3"/>
      <c r="LE77" s="3"/>
      <c r="LF77" s="3"/>
      <c r="LG77" s="3"/>
      <c r="LH77" s="3"/>
      <c r="LI77" s="3"/>
      <c r="LJ77" s="3"/>
      <c r="LK77" s="3"/>
      <c r="LL77" s="3"/>
      <c r="LM77" s="3"/>
      <c r="LN77" s="3"/>
      <c r="LO77" s="3"/>
      <c r="LP77" s="3"/>
      <c r="LQ77" s="3"/>
      <c r="LR77" s="3"/>
      <c r="LS77" s="3"/>
      <c r="LT77" s="3"/>
      <c r="LU77" s="3"/>
      <c r="LV77" s="3"/>
      <c r="LW77" s="3"/>
      <c r="LX77" s="3"/>
      <c r="LY77" s="3"/>
      <c r="LZ77" s="3"/>
      <c r="MA77" s="3"/>
      <c r="MB77" s="3"/>
      <c r="MC77" s="3"/>
      <c r="MD77" s="3"/>
      <c r="ME77" s="3"/>
      <c r="MF77" s="3"/>
      <c r="MG77" s="3"/>
      <c r="MH77" s="3"/>
      <c r="MI77" s="3"/>
      <c r="MJ77" s="3"/>
      <c r="MK77" s="3"/>
      <c r="ML77" s="3"/>
      <c r="MM77" s="3"/>
      <c r="MN77" s="3"/>
      <c r="MO77" s="3"/>
      <c r="MP77" s="3"/>
      <c r="MQ77" s="3"/>
      <c r="MR77" s="3"/>
      <c r="MS77" s="3"/>
      <c r="MT77" s="3"/>
      <c r="MU77" s="3"/>
      <c r="MV77" s="3"/>
      <c r="MW77" s="3"/>
      <c r="MX77" s="3"/>
      <c r="MY77" s="3"/>
      <c r="MZ77" s="3"/>
      <c r="NA77" s="3"/>
      <c r="NB77" s="3"/>
      <c r="NC77" s="3"/>
      <c r="ND77" s="3"/>
      <c r="NE77" s="3"/>
      <c r="NF77" s="3"/>
      <c r="NG77" s="3"/>
      <c r="NH77" s="3"/>
      <c r="NI77" s="3"/>
      <c r="NJ77" s="3"/>
      <c r="NK77" s="3"/>
      <c r="NL77" s="3"/>
      <c r="NM77" s="3"/>
      <c r="NN77" s="3"/>
      <c r="NO77" s="3"/>
      <c r="NP77" s="3"/>
      <c r="NQ77" s="3"/>
      <c r="NR77" s="3"/>
      <c r="NS77" s="3"/>
      <c r="NT77" s="3"/>
      <c r="NU77" s="3"/>
      <c r="NV77" s="3"/>
      <c r="NW77" s="3"/>
      <c r="NX77" s="3"/>
      <c r="NY77" s="3"/>
      <c r="NZ77" s="3"/>
      <c r="OA77" s="3"/>
      <c r="OB77" s="3"/>
      <c r="OC77" s="3"/>
      <c r="OD77" s="3"/>
      <c r="OE77" s="3"/>
      <c r="OF77" s="3"/>
      <c r="OG77" s="3"/>
      <c r="OH77" s="3"/>
      <c r="OI77" s="3"/>
      <c r="OJ77" s="3"/>
      <c r="OK77" s="3"/>
      <c r="OL77" s="3"/>
      <c r="OM77" s="3"/>
      <c r="ON77" s="3"/>
      <c r="OO77" s="3"/>
      <c r="OP77" s="3"/>
      <c r="OQ77" s="3"/>
      <c r="OR77" s="3"/>
      <c r="OS77" s="3"/>
      <c r="OT77" s="3"/>
      <c r="OU77" s="3"/>
      <c r="OV77" s="3"/>
      <c r="OW77" s="3"/>
      <c r="OX77" s="3"/>
      <c r="OY77" s="3"/>
      <c r="OZ77" s="3"/>
      <c r="PA77" s="3"/>
      <c r="PB77" s="3"/>
      <c r="PC77" s="3"/>
      <c r="PD77" s="3"/>
      <c r="PE77" s="3"/>
      <c r="PF77" s="3"/>
      <c r="PG77" s="3"/>
      <c r="PH77" s="3"/>
      <c r="PI77" s="3"/>
      <c r="PJ77" s="3"/>
      <c r="PK77" s="3"/>
      <c r="PL77" s="3"/>
      <c r="PM77" s="3"/>
      <c r="PN77" s="3"/>
      <c r="PO77" s="3"/>
      <c r="PP77" s="3"/>
      <c r="PQ77" s="3"/>
      <c r="PR77" s="3"/>
      <c r="PS77" s="3"/>
      <c r="PT77" s="3"/>
      <c r="PU77" s="3"/>
      <c r="PV77" s="3"/>
      <c r="PW77" s="3"/>
      <c r="PX77" s="3"/>
      <c r="PY77" s="3"/>
      <c r="PZ77" s="3"/>
      <c r="QA77" s="3"/>
      <c r="QB77" s="3"/>
      <c r="QC77" s="3"/>
      <c r="QD77" s="3"/>
      <c r="QE77" s="3"/>
      <c r="QF77" s="3"/>
      <c r="QG77" s="3"/>
      <c r="QH77" s="3"/>
      <c r="QI77" s="3"/>
      <c r="QJ77" s="3"/>
      <c r="QK77" s="3"/>
      <c r="QL77" s="3"/>
      <c r="QM77" s="3"/>
      <c r="QN77" s="3"/>
      <c r="QO77" s="3"/>
      <c r="QP77" s="3"/>
      <c r="QQ77" s="3"/>
      <c r="QR77" s="3"/>
      <c r="QS77" s="3"/>
      <c r="QT77" s="3"/>
      <c r="QU77" s="3"/>
      <c r="QV77" s="3"/>
      <c r="QW77" s="3"/>
      <c r="QX77" s="3"/>
      <c r="QY77" s="3"/>
      <c r="QZ77" s="3"/>
      <c r="RA77" s="3"/>
      <c r="RB77" s="3"/>
      <c r="RC77" s="3"/>
      <c r="RD77" s="3"/>
      <c r="RE77" s="3"/>
      <c r="RF77" s="3"/>
      <c r="RG77" s="3"/>
      <c r="RH77" s="3"/>
      <c r="RI77" s="3"/>
      <c r="RJ77" s="3"/>
      <c r="RK77" s="3"/>
      <c r="RL77" s="3"/>
      <c r="RM77" s="3"/>
      <c r="RN77" s="3"/>
      <c r="RO77" s="3"/>
      <c r="RP77" s="3"/>
      <c r="RQ77" s="3"/>
      <c r="RR77" s="3"/>
      <c r="RS77" s="3"/>
      <c r="RT77" s="3"/>
      <c r="RU77" s="3"/>
      <c r="RV77" s="3"/>
      <c r="RW77" s="3"/>
      <c r="RX77" s="3"/>
      <c r="RY77" s="3"/>
      <c r="RZ77" s="3"/>
      <c r="SA77" s="3"/>
      <c r="SB77" s="3"/>
      <c r="SC77" s="3"/>
      <c r="SD77" s="3"/>
      <c r="SE77" s="3"/>
      <c r="SF77" s="3"/>
      <c r="SG77" s="3"/>
      <c r="SH77" s="3"/>
      <c r="SI77" s="3"/>
      <c r="SJ77" s="3"/>
      <c r="SK77" s="3"/>
      <c r="SL77" s="3"/>
      <c r="SM77" s="3"/>
      <c r="SN77" s="3"/>
      <c r="SO77" s="3"/>
      <c r="SP77" s="3"/>
      <c r="SQ77" s="3"/>
      <c r="SR77" s="3"/>
      <c r="SS77" s="3"/>
      <c r="ST77" s="3"/>
      <c r="SU77" s="3"/>
      <c r="SV77" s="3"/>
      <c r="SW77" s="3"/>
      <c r="SX77" s="3"/>
      <c r="SY77" s="3"/>
      <c r="SZ77" s="3"/>
      <c r="TA77" s="3"/>
      <c r="TB77" s="3"/>
      <c r="TC77" s="3"/>
      <c r="TD77" s="3"/>
      <c r="TE77" s="3"/>
      <c r="TF77" s="3"/>
      <c r="TG77" s="3"/>
      <c r="TH77" s="3"/>
      <c r="TI77" s="3"/>
      <c r="TJ77" s="3"/>
      <c r="TK77" s="3"/>
      <c r="TL77" s="3"/>
      <c r="TM77" s="3"/>
      <c r="TN77" s="3"/>
      <c r="TO77" s="3"/>
      <c r="TP77" s="3"/>
      <c r="TQ77" s="3"/>
      <c r="TR77" s="3"/>
      <c r="TS77" s="3"/>
      <c r="TT77" s="3"/>
      <c r="TU77" s="3"/>
      <c r="TV77" s="3"/>
      <c r="TW77" s="3"/>
      <c r="TX77" s="3"/>
      <c r="TY77" s="3"/>
      <c r="TZ77" s="3"/>
      <c r="UA77" s="3"/>
      <c r="UB77" s="3"/>
      <c r="UC77" s="3"/>
      <c r="UD77" s="3"/>
      <c r="UE77" s="3"/>
      <c r="UF77" s="3"/>
      <c r="UG77" s="3"/>
      <c r="UH77" s="3"/>
      <c r="UI77" s="3"/>
      <c r="UJ77" s="3"/>
      <c r="UK77" s="3"/>
      <c r="UL77" s="3"/>
      <c r="UM77" s="3"/>
      <c r="UN77" s="3"/>
      <c r="UO77" s="3"/>
      <c r="UP77" s="3"/>
      <c r="UQ77" s="3"/>
      <c r="UR77" s="3"/>
      <c r="US77" s="3"/>
      <c r="UT77" s="3"/>
      <c r="UU77" s="3"/>
      <c r="UV77" s="3"/>
      <c r="UW77" s="3"/>
      <c r="UX77" s="3"/>
      <c r="UY77" s="3"/>
      <c r="UZ77" s="3"/>
      <c r="VA77" s="3"/>
      <c r="VB77" s="3"/>
      <c r="VC77" s="3"/>
      <c r="VD77" s="3"/>
      <c r="VE77" s="3"/>
      <c r="VF77" s="3"/>
      <c r="VG77" s="3"/>
      <c r="VH77" s="3"/>
      <c r="VI77" s="3"/>
      <c r="VJ77" s="3"/>
      <c r="VK77" s="3"/>
      <c r="VL77" s="3"/>
      <c r="VM77" s="3"/>
      <c r="VN77" s="3"/>
      <c r="VO77" s="3"/>
      <c r="VP77" s="3"/>
      <c r="VQ77" s="3"/>
      <c r="VR77" s="3"/>
      <c r="VS77" s="3"/>
      <c r="VT77" s="3"/>
      <c r="VU77" s="3"/>
      <c r="VV77" s="3"/>
      <c r="VW77" s="3"/>
      <c r="VX77" s="3"/>
      <c r="VY77" s="3"/>
      <c r="VZ77" s="3"/>
      <c r="WA77" s="3"/>
      <c r="WB77" s="3"/>
      <c r="WC77" s="3"/>
      <c r="WD77" s="3"/>
      <c r="WE77" s="3"/>
      <c r="WF77" s="3"/>
      <c r="WG77" s="3"/>
      <c r="WH77" s="3"/>
      <c r="WI77" s="3"/>
      <c r="WJ77" s="3"/>
      <c r="WK77" s="3"/>
      <c r="WL77" s="3"/>
      <c r="WM77" s="3"/>
      <c r="WN77" s="3"/>
      <c r="WO77" s="3"/>
      <c r="WP77" s="3"/>
      <c r="WQ77" s="3"/>
      <c r="WR77" s="3"/>
      <c r="WS77" s="3"/>
      <c r="WT77" s="3"/>
      <c r="WU77" s="3"/>
      <c r="WV77" s="3"/>
      <c r="WW77" s="3"/>
      <c r="WX77" s="3"/>
      <c r="WY77" s="3"/>
      <c r="WZ77" s="3"/>
      <c r="XA77" s="3"/>
      <c r="XB77" s="3"/>
      <c r="XC77" s="3"/>
      <c r="XD77" s="3"/>
      <c r="XE77" s="3"/>
      <c r="XF77" s="3"/>
      <c r="XG77" s="3"/>
      <c r="XH77" s="3"/>
      <c r="XI77" s="3"/>
      <c r="XJ77" s="3"/>
      <c r="XK77" s="3"/>
      <c r="XL77" s="3"/>
      <c r="XM77" s="3"/>
      <c r="XN77" s="3"/>
      <c r="XO77" s="3"/>
      <c r="XP77" s="3"/>
      <c r="XQ77" s="3"/>
      <c r="XR77" s="3"/>
      <c r="XS77" s="3"/>
      <c r="XT77" s="3"/>
      <c r="XU77" s="3"/>
      <c r="XV77" s="3"/>
      <c r="XW77" s="3"/>
      <c r="XX77" s="3"/>
      <c r="XY77" s="3"/>
      <c r="XZ77" s="3"/>
      <c r="YA77" s="3"/>
      <c r="YB77" s="3"/>
      <c r="YC77" s="3"/>
      <c r="YD77" s="3"/>
      <c r="YE77" s="3"/>
      <c r="YF77" s="3"/>
      <c r="YG77" s="3"/>
      <c r="YH77" s="3"/>
      <c r="YI77" s="3"/>
      <c r="YJ77" s="3"/>
      <c r="YK77" s="3"/>
      <c r="YL77" s="3"/>
      <c r="YM77" s="3"/>
      <c r="YN77" s="3"/>
      <c r="YO77" s="3"/>
      <c r="YP77" s="3"/>
      <c r="YQ77" s="3"/>
      <c r="YR77" s="3"/>
      <c r="YS77" s="3"/>
      <c r="YT77" s="3"/>
      <c r="YU77" s="3"/>
      <c r="YV77" s="3"/>
      <c r="YW77" s="3"/>
      <c r="YX77" s="3"/>
      <c r="YY77" s="3"/>
      <c r="YZ77" s="3"/>
      <c r="ZA77" s="3"/>
      <c r="ZB77" s="3"/>
      <c r="ZC77" s="3"/>
    </row>
    <row r="78" spans="1:679" s="2" customFormat="1" x14ac:dyDescent="0.45">
      <c r="A78" s="3" t="s">
        <v>11</v>
      </c>
      <c r="B78" s="4">
        <v>32072</v>
      </c>
      <c r="C78" s="7" t="s">
        <v>25</v>
      </c>
      <c r="D78" s="6" t="s">
        <v>92</v>
      </c>
      <c r="E78" s="3"/>
      <c r="F78" s="3">
        <v>2</v>
      </c>
      <c r="L78" s="3"/>
      <c r="M78" s="3"/>
      <c r="N78" s="48"/>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c r="DJ78" s="3"/>
      <c r="DK78" s="3"/>
      <c r="DL78" s="3"/>
      <c r="DM78" s="3"/>
      <c r="DN78" s="3"/>
      <c r="DO78" s="3"/>
      <c r="DP78" s="3"/>
      <c r="DQ78" s="3"/>
      <c r="DR78" s="3"/>
      <c r="DS78" s="3"/>
      <c r="DT78" s="3"/>
      <c r="DU78" s="3"/>
      <c r="DV78" s="3"/>
      <c r="DW78" s="3"/>
      <c r="DX78" s="3"/>
      <c r="DY78" s="3"/>
      <c r="DZ78" s="3"/>
      <c r="EA78" s="3"/>
      <c r="EB78" s="3"/>
      <c r="EC78" s="3"/>
      <c r="ED78" s="3"/>
      <c r="EE78" s="3"/>
      <c r="EF78" s="3"/>
      <c r="EG78" s="3"/>
      <c r="EH78" s="3"/>
      <c r="EI78" s="3"/>
      <c r="EJ78" s="3"/>
      <c r="EK78" s="3"/>
      <c r="EL78" s="3"/>
      <c r="EM78" s="3"/>
      <c r="EN78" s="3"/>
      <c r="EO78" s="3"/>
      <c r="EP78" s="3"/>
      <c r="EQ78" s="3"/>
      <c r="ER78" s="3"/>
      <c r="ES78" s="3"/>
      <c r="ET78" s="3"/>
      <c r="EU78" s="3"/>
      <c r="EV78" s="3"/>
      <c r="EW78" s="3"/>
      <c r="EX78" s="3"/>
      <c r="EY78" s="3"/>
      <c r="EZ78" s="3"/>
      <c r="FA78" s="3"/>
      <c r="FB78" s="3"/>
      <c r="FC78" s="3"/>
      <c r="FD78" s="3"/>
      <c r="FE78" s="3"/>
      <c r="FF78" s="3"/>
      <c r="FG78" s="3"/>
      <c r="FH78" s="3"/>
      <c r="FI78" s="3"/>
      <c r="FJ78" s="3"/>
      <c r="FK78" s="3"/>
      <c r="FL78" s="3"/>
      <c r="FM78" s="3"/>
      <c r="FN78" s="3"/>
      <c r="FO78" s="3"/>
      <c r="FP78" s="3"/>
      <c r="FQ78" s="3"/>
      <c r="FR78" s="3"/>
      <c r="FS78" s="3"/>
      <c r="FT78" s="3"/>
      <c r="FU78" s="3"/>
      <c r="FV78" s="3"/>
      <c r="FW78" s="3"/>
      <c r="FX78" s="3"/>
      <c r="FY78" s="3"/>
      <c r="FZ78" s="3"/>
      <c r="GA78" s="3"/>
      <c r="GB78" s="3"/>
      <c r="GC78" s="3"/>
      <c r="GD78" s="3"/>
      <c r="GE78" s="3"/>
      <c r="GF78" s="3"/>
      <c r="GG78" s="3"/>
      <c r="GH78" s="3"/>
      <c r="GI78" s="3"/>
      <c r="GJ78" s="3"/>
      <c r="GK78" s="3"/>
      <c r="GL78" s="3"/>
      <c r="GM78" s="3"/>
      <c r="GN78" s="3"/>
      <c r="GO78" s="3"/>
      <c r="GP78" s="3"/>
      <c r="GQ78" s="3"/>
      <c r="GR78" s="3"/>
      <c r="GS78" s="3"/>
      <c r="GT78" s="3"/>
      <c r="GU78" s="3"/>
      <c r="GV78" s="3"/>
      <c r="GW78" s="3"/>
      <c r="GX78" s="3"/>
      <c r="GY78" s="3"/>
      <c r="GZ78" s="3"/>
      <c r="HA78" s="3"/>
      <c r="HB78" s="3"/>
      <c r="HC78" s="3"/>
      <c r="HD78" s="3"/>
      <c r="HE78" s="3"/>
      <c r="HF78" s="3"/>
      <c r="HG78" s="3"/>
      <c r="HH78" s="3"/>
      <c r="HI78" s="3"/>
      <c r="HJ78" s="3"/>
      <c r="HK78" s="3"/>
      <c r="HL78" s="3"/>
      <c r="HM78" s="3"/>
      <c r="HN78" s="3"/>
      <c r="HO78" s="3"/>
      <c r="HP78" s="3"/>
      <c r="HQ78" s="3"/>
      <c r="HR78" s="3"/>
      <c r="HS78" s="3"/>
      <c r="HT78" s="3"/>
      <c r="HU78" s="3"/>
      <c r="HV78" s="3"/>
      <c r="HW78" s="3"/>
      <c r="HX78" s="3"/>
      <c r="HY78" s="3"/>
      <c r="HZ78" s="3"/>
      <c r="IA78" s="3"/>
      <c r="IB78" s="3"/>
      <c r="IC78" s="3"/>
      <c r="ID78" s="3"/>
      <c r="IE78" s="3"/>
      <c r="IF78" s="3"/>
      <c r="IG78" s="3"/>
      <c r="IH78" s="3"/>
      <c r="II78" s="3"/>
      <c r="IJ78" s="3"/>
      <c r="IK78" s="3"/>
      <c r="IL78" s="3"/>
      <c r="IM78" s="3"/>
      <c r="IN78" s="3"/>
      <c r="IO78" s="3"/>
      <c r="IP78" s="3"/>
      <c r="IQ78" s="3"/>
      <c r="IR78" s="3"/>
      <c r="IS78" s="3"/>
      <c r="IT78" s="3"/>
      <c r="IU78" s="3"/>
      <c r="IV78" s="3"/>
      <c r="IW78" s="3"/>
      <c r="IX78" s="3"/>
      <c r="IY78" s="3"/>
      <c r="IZ78" s="3"/>
      <c r="JA78" s="3"/>
      <c r="JB78" s="3"/>
      <c r="JC78" s="3"/>
      <c r="JD78" s="3"/>
      <c r="JE78" s="3"/>
      <c r="JF78" s="3"/>
      <c r="JG78" s="3"/>
      <c r="JH78" s="3"/>
      <c r="JI78" s="3"/>
      <c r="JJ78" s="3"/>
      <c r="JK78" s="3"/>
      <c r="JL78" s="3"/>
      <c r="JM78" s="3"/>
      <c r="JN78" s="3"/>
      <c r="JO78" s="3"/>
      <c r="JP78" s="3"/>
      <c r="JQ78" s="3"/>
      <c r="JR78" s="3"/>
      <c r="JS78" s="3"/>
      <c r="JT78" s="3"/>
      <c r="JU78" s="3"/>
      <c r="JV78" s="3"/>
      <c r="JW78" s="3"/>
      <c r="JX78" s="3"/>
      <c r="JY78" s="3"/>
      <c r="JZ78" s="3"/>
      <c r="KA78" s="3"/>
      <c r="KB78" s="3"/>
      <c r="KC78" s="3"/>
      <c r="KD78" s="3"/>
      <c r="KE78" s="3"/>
      <c r="KF78" s="3"/>
      <c r="KG78" s="3"/>
      <c r="KH78" s="3"/>
      <c r="KI78" s="3"/>
      <c r="KJ78" s="3"/>
      <c r="KK78" s="3"/>
      <c r="KL78" s="3"/>
      <c r="KM78" s="3"/>
      <c r="KN78" s="3"/>
      <c r="KO78" s="3"/>
      <c r="KP78" s="3"/>
      <c r="KQ78" s="3"/>
      <c r="KR78" s="3"/>
      <c r="KS78" s="3"/>
      <c r="KT78" s="3"/>
      <c r="KU78" s="3"/>
      <c r="KV78" s="3"/>
      <c r="KW78" s="3"/>
      <c r="KX78" s="3"/>
      <c r="KY78" s="3"/>
      <c r="KZ78" s="3"/>
      <c r="LA78" s="3"/>
      <c r="LB78" s="3"/>
      <c r="LC78" s="3"/>
      <c r="LD78" s="3"/>
      <c r="LE78" s="3"/>
      <c r="LF78" s="3"/>
      <c r="LG78" s="3"/>
      <c r="LH78" s="3"/>
      <c r="LI78" s="3"/>
      <c r="LJ78" s="3"/>
      <c r="LK78" s="3"/>
      <c r="LL78" s="3"/>
      <c r="LM78" s="3"/>
      <c r="LN78" s="3"/>
      <c r="LO78" s="3"/>
      <c r="LP78" s="3"/>
      <c r="LQ78" s="3"/>
      <c r="LR78" s="3"/>
      <c r="LS78" s="3"/>
      <c r="LT78" s="3"/>
      <c r="LU78" s="3"/>
      <c r="LV78" s="3"/>
      <c r="LW78" s="3"/>
      <c r="LX78" s="3"/>
      <c r="LY78" s="3"/>
      <c r="LZ78" s="3"/>
      <c r="MA78" s="3"/>
      <c r="MB78" s="3"/>
      <c r="MC78" s="3"/>
      <c r="MD78" s="3"/>
      <c r="ME78" s="3"/>
      <c r="MF78" s="3"/>
      <c r="MG78" s="3"/>
      <c r="MH78" s="3"/>
      <c r="MI78" s="3"/>
      <c r="MJ78" s="3"/>
      <c r="MK78" s="3"/>
      <c r="ML78" s="3"/>
      <c r="MM78" s="3"/>
      <c r="MN78" s="3"/>
      <c r="MO78" s="3"/>
      <c r="MP78" s="3"/>
      <c r="MQ78" s="3"/>
      <c r="MR78" s="3"/>
      <c r="MS78" s="3"/>
      <c r="MT78" s="3"/>
      <c r="MU78" s="3"/>
      <c r="MV78" s="3"/>
      <c r="MW78" s="3"/>
      <c r="MX78" s="3"/>
      <c r="MY78" s="3"/>
      <c r="MZ78" s="3"/>
      <c r="NA78" s="3"/>
      <c r="NB78" s="3"/>
      <c r="NC78" s="3"/>
      <c r="ND78" s="3"/>
      <c r="NE78" s="3"/>
      <c r="NF78" s="3"/>
      <c r="NG78" s="3"/>
      <c r="NH78" s="3"/>
      <c r="NI78" s="3"/>
      <c r="NJ78" s="3"/>
      <c r="NK78" s="3"/>
      <c r="NL78" s="3"/>
      <c r="NM78" s="3"/>
      <c r="NN78" s="3"/>
      <c r="NO78" s="3"/>
      <c r="NP78" s="3"/>
      <c r="NQ78" s="3"/>
      <c r="NR78" s="3"/>
      <c r="NS78" s="3"/>
      <c r="NT78" s="3"/>
      <c r="NU78" s="3"/>
      <c r="NV78" s="3"/>
      <c r="NW78" s="3"/>
      <c r="NX78" s="3"/>
      <c r="NY78" s="3"/>
      <c r="NZ78" s="3"/>
      <c r="OA78" s="3"/>
      <c r="OB78" s="3"/>
      <c r="OC78" s="3"/>
      <c r="OD78" s="3"/>
      <c r="OE78" s="3"/>
      <c r="OF78" s="3"/>
      <c r="OG78" s="3"/>
      <c r="OH78" s="3"/>
      <c r="OI78" s="3"/>
      <c r="OJ78" s="3"/>
      <c r="OK78" s="3"/>
      <c r="OL78" s="3"/>
      <c r="OM78" s="3"/>
      <c r="ON78" s="3"/>
      <c r="OO78" s="3"/>
      <c r="OP78" s="3"/>
      <c r="OQ78" s="3"/>
      <c r="OR78" s="3"/>
      <c r="OS78" s="3"/>
      <c r="OT78" s="3"/>
      <c r="OU78" s="3"/>
      <c r="OV78" s="3"/>
      <c r="OW78" s="3"/>
      <c r="OX78" s="3"/>
      <c r="OY78" s="3"/>
      <c r="OZ78" s="3"/>
      <c r="PA78" s="3"/>
      <c r="PB78" s="3"/>
      <c r="PC78" s="3"/>
      <c r="PD78" s="3"/>
      <c r="PE78" s="3"/>
      <c r="PF78" s="3"/>
      <c r="PG78" s="3"/>
      <c r="PH78" s="3"/>
      <c r="PI78" s="3"/>
      <c r="PJ78" s="3"/>
      <c r="PK78" s="3"/>
      <c r="PL78" s="3"/>
      <c r="PM78" s="3"/>
      <c r="PN78" s="3"/>
      <c r="PO78" s="3"/>
      <c r="PP78" s="3"/>
      <c r="PQ78" s="3"/>
      <c r="PR78" s="3"/>
      <c r="PS78" s="3"/>
      <c r="PT78" s="3"/>
      <c r="PU78" s="3"/>
      <c r="PV78" s="3"/>
      <c r="PW78" s="3"/>
      <c r="PX78" s="3"/>
      <c r="PY78" s="3"/>
      <c r="PZ78" s="3"/>
      <c r="QA78" s="3"/>
      <c r="QB78" s="3"/>
      <c r="QC78" s="3"/>
      <c r="QD78" s="3"/>
      <c r="QE78" s="3"/>
      <c r="QF78" s="3"/>
      <c r="QG78" s="3"/>
      <c r="QH78" s="3"/>
      <c r="QI78" s="3"/>
      <c r="QJ78" s="3"/>
      <c r="QK78" s="3"/>
      <c r="QL78" s="3"/>
      <c r="QM78" s="3"/>
      <c r="QN78" s="3"/>
      <c r="QO78" s="3"/>
      <c r="QP78" s="3"/>
      <c r="QQ78" s="3"/>
      <c r="QR78" s="3"/>
      <c r="QS78" s="3"/>
      <c r="QT78" s="3"/>
      <c r="QU78" s="3"/>
      <c r="QV78" s="3"/>
      <c r="QW78" s="3"/>
      <c r="QX78" s="3"/>
      <c r="QY78" s="3"/>
      <c r="QZ78" s="3"/>
      <c r="RA78" s="3"/>
      <c r="RB78" s="3"/>
      <c r="RC78" s="3"/>
      <c r="RD78" s="3"/>
      <c r="RE78" s="3"/>
      <c r="RF78" s="3"/>
      <c r="RG78" s="3"/>
      <c r="RH78" s="3"/>
      <c r="RI78" s="3"/>
      <c r="RJ78" s="3"/>
      <c r="RK78" s="3"/>
      <c r="RL78" s="3"/>
      <c r="RM78" s="3"/>
      <c r="RN78" s="3"/>
      <c r="RO78" s="3"/>
      <c r="RP78" s="3"/>
      <c r="RQ78" s="3"/>
      <c r="RR78" s="3"/>
      <c r="RS78" s="3"/>
      <c r="RT78" s="3"/>
      <c r="RU78" s="3"/>
      <c r="RV78" s="3"/>
      <c r="RW78" s="3"/>
      <c r="RX78" s="3"/>
      <c r="RY78" s="3"/>
      <c r="RZ78" s="3"/>
      <c r="SA78" s="3"/>
      <c r="SB78" s="3"/>
      <c r="SC78" s="3"/>
      <c r="SD78" s="3"/>
      <c r="SE78" s="3"/>
      <c r="SF78" s="3"/>
      <c r="SG78" s="3"/>
      <c r="SH78" s="3"/>
      <c r="SI78" s="3"/>
      <c r="SJ78" s="3"/>
      <c r="SK78" s="3"/>
      <c r="SL78" s="3"/>
      <c r="SM78" s="3"/>
      <c r="SN78" s="3"/>
      <c r="SO78" s="3"/>
      <c r="SP78" s="3"/>
      <c r="SQ78" s="3"/>
      <c r="SR78" s="3"/>
      <c r="SS78" s="3"/>
      <c r="ST78" s="3"/>
      <c r="SU78" s="3"/>
      <c r="SV78" s="3"/>
      <c r="SW78" s="3"/>
      <c r="SX78" s="3"/>
      <c r="SY78" s="3"/>
      <c r="SZ78" s="3"/>
      <c r="TA78" s="3"/>
      <c r="TB78" s="3"/>
      <c r="TC78" s="3"/>
      <c r="TD78" s="3"/>
      <c r="TE78" s="3"/>
      <c r="TF78" s="3"/>
      <c r="TG78" s="3"/>
      <c r="TH78" s="3"/>
      <c r="TI78" s="3"/>
      <c r="TJ78" s="3"/>
      <c r="TK78" s="3"/>
      <c r="TL78" s="3"/>
      <c r="TM78" s="3"/>
      <c r="TN78" s="3"/>
      <c r="TO78" s="3"/>
      <c r="TP78" s="3"/>
      <c r="TQ78" s="3"/>
      <c r="TR78" s="3"/>
      <c r="TS78" s="3"/>
      <c r="TT78" s="3"/>
      <c r="TU78" s="3"/>
      <c r="TV78" s="3"/>
      <c r="TW78" s="3"/>
      <c r="TX78" s="3"/>
      <c r="TY78" s="3"/>
      <c r="TZ78" s="3"/>
      <c r="UA78" s="3"/>
      <c r="UB78" s="3"/>
      <c r="UC78" s="3"/>
      <c r="UD78" s="3"/>
      <c r="UE78" s="3"/>
      <c r="UF78" s="3"/>
      <c r="UG78" s="3"/>
      <c r="UH78" s="3"/>
      <c r="UI78" s="3"/>
      <c r="UJ78" s="3"/>
      <c r="UK78" s="3"/>
      <c r="UL78" s="3"/>
      <c r="UM78" s="3"/>
      <c r="UN78" s="3"/>
      <c r="UO78" s="3"/>
      <c r="UP78" s="3"/>
      <c r="UQ78" s="3"/>
      <c r="UR78" s="3"/>
      <c r="US78" s="3"/>
      <c r="UT78" s="3"/>
      <c r="UU78" s="3"/>
      <c r="UV78" s="3"/>
      <c r="UW78" s="3"/>
      <c r="UX78" s="3"/>
      <c r="UY78" s="3"/>
      <c r="UZ78" s="3"/>
      <c r="VA78" s="3"/>
      <c r="VB78" s="3"/>
      <c r="VC78" s="3"/>
      <c r="VD78" s="3"/>
      <c r="VE78" s="3"/>
      <c r="VF78" s="3"/>
      <c r="VG78" s="3"/>
      <c r="VH78" s="3"/>
      <c r="VI78" s="3"/>
      <c r="VJ78" s="3"/>
      <c r="VK78" s="3"/>
      <c r="VL78" s="3"/>
      <c r="VM78" s="3"/>
      <c r="VN78" s="3"/>
      <c r="VO78" s="3"/>
      <c r="VP78" s="3"/>
      <c r="VQ78" s="3"/>
      <c r="VR78" s="3"/>
      <c r="VS78" s="3"/>
      <c r="VT78" s="3"/>
      <c r="VU78" s="3"/>
      <c r="VV78" s="3"/>
      <c r="VW78" s="3"/>
      <c r="VX78" s="3"/>
      <c r="VY78" s="3"/>
      <c r="VZ78" s="3"/>
      <c r="WA78" s="3"/>
      <c r="WB78" s="3"/>
      <c r="WC78" s="3"/>
      <c r="WD78" s="3"/>
      <c r="WE78" s="3"/>
      <c r="WF78" s="3"/>
      <c r="WG78" s="3"/>
      <c r="WH78" s="3"/>
      <c r="WI78" s="3"/>
      <c r="WJ78" s="3"/>
      <c r="WK78" s="3"/>
      <c r="WL78" s="3"/>
      <c r="WM78" s="3"/>
      <c r="WN78" s="3"/>
      <c r="WO78" s="3"/>
      <c r="WP78" s="3"/>
      <c r="WQ78" s="3"/>
      <c r="WR78" s="3"/>
      <c r="WS78" s="3"/>
      <c r="WT78" s="3"/>
      <c r="WU78" s="3"/>
      <c r="WV78" s="3"/>
      <c r="WW78" s="3"/>
      <c r="WX78" s="3"/>
      <c r="WY78" s="3"/>
      <c r="WZ78" s="3"/>
      <c r="XA78" s="3"/>
      <c r="XB78" s="3"/>
      <c r="XC78" s="3"/>
      <c r="XD78" s="3"/>
      <c r="XE78" s="3"/>
      <c r="XF78" s="3"/>
      <c r="XG78" s="3"/>
      <c r="XH78" s="3"/>
      <c r="XI78" s="3"/>
      <c r="XJ78" s="3"/>
      <c r="XK78" s="3"/>
      <c r="XL78" s="3"/>
      <c r="XM78" s="3"/>
      <c r="XN78" s="3"/>
      <c r="XO78" s="3"/>
      <c r="XP78" s="3"/>
      <c r="XQ78" s="3"/>
      <c r="XR78" s="3"/>
      <c r="XS78" s="3"/>
      <c r="XT78" s="3"/>
      <c r="XU78" s="3"/>
      <c r="XV78" s="3"/>
      <c r="XW78" s="3"/>
      <c r="XX78" s="3"/>
      <c r="XY78" s="3"/>
      <c r="XZ78" s="3"/>
      <c r="YA78" s="3"/>
      <c r="YB78" s="3"/>
      <c r="YC78" s="3"/>
      <c r="YD78" s="3"/>
      <c r="YE78" s="3"/>
      <c r="YF78" s="3"/>
      <c r="YG78" s="3"/>
      <c r="YH78" s="3"/>
      <c r="YI78" s="3"/>
      <c r="YJ78" s="3"/>
      <c r="YK78" s="3"/>
      <c r="YL78" s="3"/>
      <c r="YM78" s="3"/>
      <c r="YN78" s="3"/>
      <c r="YO78" s="3"/>
      <c r="YP78" s="3"/>
      <c r="YQ78" s="3"/>
      <c r="YR78" s="3"/>
      <c r="YS78" s="3"/>
      <c r="YT78" s="3"/>
      <c r="YU78" s="3"/>
      <c r="YV78" s="3"/>
      <c r="YW78" s="3"/>
      <c r="YX78" s="3"/>
      <c r="YY78" s="3"/>
      <c r="YZ78" s="3"/>
      <c r="ZA78" s="3"/>
      <c r="ZB78" s="3"/>
      <c r="ZC78" s="3"/>
    </row>
    <row r="79" spans="1:679" s="2" customFormat="1" x14ac:dyDescent="0.45">
      <c r="A79" s="3" t="s">
        <v>11</v>
      </c>
      <c r="B79" s="4">
        <v>32080</v>
      </c>
      <c r="C79" s="7" t="s">
        <v>21</v>
      </c>
      <c r="D79" s="6" t="s">
        <v>93</v>
      </c>
      <c r="E79" s="3"/>
      <c r="F79" s="3">
        <v>8</v>
      </c>
      <c r="L79" s="3"/>
      <c r="M79" s="3"/>
      <c r="N79" s="48"/>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c r="EU79" s="3"/>
      <c r="EV79" s="3"/>
      <c r="EW79" s="3"/>
      <c r="EX79" s="3"/>
      <c r="EY79" s="3"/>
      <c r="EZ79" s="3"/>
      <c r="FA79" s="3"/>
      <c r="FB79" s="3"/>
      <c r="FC79" s="3"/>
      <c r="FD79" s="3"/>
      <c r="FE79" s="3"/>
      <c r="FF79" s="3"/>
      <c r="FG79" s="3"/>
      <c r="FH79" s="3"/>
      <c r="FI79" s="3"/>
      <c r="FJ79" s="3"/>
      <c r="FK79" s="3"/>
      <c r="FL79" s="3"/>
      <c r="FM79" s="3"/>
      <c r="FN79" s="3"/>
      <c r="FO79" s="3"/>
      <c r="FP79" s="3"/>
      <c r="FQ79" s="3"/>
      <c r="FR79" s="3"/>
      <c r="FS79" s="3"/>
      <c r="FT79" s="3"/>
      <c r="FU79" s="3"/>
      <c r="FV79" s="3"/>
      <c r="FW79" s="3"/>
      <c r="FX79" s="3"/>
      <c r="FY79" s="3"/>
      <c r="FZ79" s="3"/>
      <c r="GA79" s="3"/>
      <c r="GB79" s="3"/>
      <c r="GC79" s="3"/>
      <c r="GD79" s="3"/>
      <c r="GE79" s="3"/>
      <c r="GF79" s="3"/>
      <c r="GG79" s="3"/>
      <c r="GH79" s="3"/>
      <c r="GI79" s="3"/>
      <c r="GJ79" s="3"/>
      <c r="GK79" s="3"/>
      <c r="GL79" s="3"/>
      <c r="GM79" s="3"/>
      <c r="GN79" s="3"/>
      <c r="GO79" s="3"/>
      <c r="GP79" s="3"/>
      <c r="GQ79" s="3"/>
      <c r="GR79" s="3"/>
      <c r="GS79" s="3"/>
      <c r="GT79" s="3"/>
      <c r="GU79" s="3"/>
      <c r="GV79" s="3"/>
      <c r="GW79" s="3"/>
      <c r="GX79" s="3"/>
      <c r="GY79" s="3"/>
      <c r="GZ79" s="3"/>
      <c r="HA79" s="3"/>
      <c r="HB79" s="3"/>
      <c r="HC79" s="3"/>
      <c r="HD79" s="3"/>
      <c r="HE79" s="3"/>
      <c r="HF79" s="3"/>
      <c r="HG79" s="3"/>
      <c r="HH79" s="3"/>
      <c r="HI79" s="3"/>
      <c r="HJ79" s="3"/>
      <c r="HK79" s="3"/>
      <c r="HL79" s="3"/>
      <c r="HM79" s="3"/>
      <c r="HN79" s="3"/>
      <c r="HO79" s="3"/>
      <c r="HP79" s="3"/>
      <c r="HQ79" s="3"/>
      <c r="HR79" s="3"/>
      <c r="HS79" s="3"/>
      <c r="HT79" s="3"/>
      <c r="HU79" s="3"/>
      <c r="HV79" s="3"/>
      <c r="HW79" s="3"/>
      <c r="HX79" s="3"/>
      <c r="HY79" s="3"/>
      <c r="HZ79" s="3"/>
      <c r="IA79" s="3"/>
      <c r="IB79" s="3"/>
      <c r="IC79" s="3"/>
      <c r="ID79" s="3"/>
      <c r="IE79" s="3"/>
      <c r="IF79" s="3"/>
      <c r="IG79" s="3"/>
      <c r="IH79" s="3"/>
      <c r="II79" s="3"/>
      <c r="IJ79" s="3"/>
      <c r="IK79" s="3"/>
      <c r="IL79" s="3"/>
      <c r="IM79" s="3"/>
      <c r="IN79" s="3"/>
      <c r="IO79" s="3"/>
      <c r="IP79" s="3"/>
      <c r="IQ79" s="3"/>
      <c r="IR79" s="3"/>
      <c r="IS79" s="3"/>
      <c r="IT79" s="3"/>
      <c r="IU79" s="3"/>
      <c r="IV79" s="3"/>
      <c r="IW79" s="3"/>
      <c r="IX79" s="3"/>
      <c r="IY79" s="3"/>
      <c r="IZ79" s="3"/>
      <c r="JA79" s="3"/>
      <c r="JB79" s="3"/>
      <c r="JC79" s="3"/>
      <c r="JD79" s="3"/>
      <c r="JE79" s="3"/>
      <c r="JF79" s="3"/>
      <c r="JG79" s="3"/>
      <c r="JH79" s="3"/>
      <c r="JI79" s="3"/>
      <c r="JJ79" s="3"/>
      <c r="JK79" s="3"/>
      <c r="JL79" s="3"/>
      <c r="JM79" s="3"/>
      <c r="JN79" s="3"/>
      <c r="JO79" s="3"/>
      <c r="JP79" s="3"/>
      <c r="JQ79" s="3"/>
      <c r="JR79" s="3"/>
      <c r="JS79" s="3"/>
      <c r="JT79" s="3"/>
      <c r="JU79" s="3"/>
      <c r="JV79" s="3"/>
      <c r="JW79" s="3"/>
      <c r="JX79" s="3"/>
      <c r="JY79" s="3"/>
      <c r="JZ79" s="3"/>
      <c r="KA79" s="3"/>
      <c r="KB79" s="3"/>
      <c r="KC79" s="3"/>
      <c r="KD79" s="3"/>
      <c r="KE79" s="3"/>
      <c r="KF79" s="3"/>
      <c r="KG79" s="3"/>
      <c r="KH79" s="3"/>
      <c r="KI79" s="3"/>
      <c r="KJ79" s="3"/>
      <c r="KK79" s="3"/>
      <c r="KL79" s="3"/>
      <c r="KM79" s="3"/>
      <c r="KN79" s="3"/>
      <c r="KO79" s="3"/>
      <c r="KP79" s="3"/>
      <c r="KQ79" s="3"/>
      <c r="KR79" s="3"/>
      <c r="KS79" s="3"/>
      <c r="KT79" s="3"/>
      <c r="KU79" s="3"/>
      <c r="KV79" s="3"/>
      <c r="KW79" s="3"/>
      <c r="KX79" s="3"/>
      <c r="KY79" s="3"/>
      <c r="KZ79" s="3"/>
      <c r="LA79" s="3"/>
      <c r="LB79" s="3"/>
      <c r="LC79" s="3"/>
      <c r="LD79" s="3"/>
      <c r="LE79" s="3"/>
      <c r="LF79" s="3"/>
      <c r="LG79" s="3"/>
      <c r="LH79" s="3"/>
      <c r="LI79" s="3"/>
      <c r="LJ79" s="3"/>
      <c r="LK79" s="3"/>
      <c r="LL79" s="3"/>
      <c r="LM79" s="3"/>
      <c r="LN79" s="3"/>
      <c r="LO79" s="3"/>
      <c r="LP79" s="3"/>
      <c r="LQ79" s="3"/>
      <c r="LR79" s="3"/>
      <c r="LS79" s="3"/>
      <c r="LT79" s="3"/>
      <c r="LU79" s="3"/>
      <c r="LV79" s="3"/>
      <c r="LW79" s="3"/>
      <c r="LX79" s="3"/>
      <c r="LY79" s="3"/>
      <c r="LZ79" s="3"/>
      <c r="MA79" s="3"/>
      <c r="MB79" s="3"/>
      <c r="MC79" s="3"/>
      <c r="MD79" s="3"/>
      <c r="ME79" s="3"/>
      <c r="MF79" s="3"/>
      <c r="MG79" s="3"/>
      <c r="MH79" s="3"/>
      <c r="MI79" s="3"/>
      <c r="MJ79" s="3"/>
      <c r="MK79" s="3"/>
      <c r="ML79" s="3"/>
      <c r="MM79" s="3"/>
      <c r="MN79" s="3"/>
      <c r="MO79" s="3"/>
      <c r="MP79" s="3"/>
      <c r="MQ79" s="3"/>
      <c r="MR79" s="3"/>
      <c r="MS79" s="3"/>
      <c r="MT79" s="3"/>
      <c r="MU79" s="3"/>
      <c r="MV79" s="3"/>
      <c r="MW79" s="3"/>
      <c r="MX79" s="3"/>
      <c r="MY79" s="3"/>
      <c r="MZ79" s="3"/>
      <c r="NA79" s="3"/>
      <c r="NB79" s="3"/>
      <c r="NC79" s="3"/>
      <c r="ND79" s="3"/>
      <c r="NE79" s="3"/>
      <c r="NF79" s="3"/>
      <c r="NG79" s="3"/>
      <c r="NH79" s="3"/>
      <c r="NI79" s="3"/>
      <c r="NJ79" s="3"/>
      <c r="NK79" s="3"/>
      <c r="NL79" s="3"/>
      <c r="NM79" s="3"/>
      <c r="NN79" s="3"/>
      <c r="NO79" s="3"/>
      <c r="NP79" s="3"/>
      <c r="NQ79" s="3"/>
      <c r="NR79" s="3"/>
      <c r="NS79" s="3"/>
      <c r="NT79" s="3"/>
      <c r="NU79" s="3"/>
      <c r="NV79" s="3"/>
      <c r="NW79" s="3"/>
      <c r="NX79" s="3"/>
      <c r="NY79" s="3"/>
      <c r="NZ79" s="3"/>
      <c r="OA79" s="3"/>
      <c r="OB79" s="3"/>
      <c r="OC79" s="3"/>
      <c r="OD79" s="3"/>
      <c r="OE79" s="3"/>
      <c r="OF79" s="3"/>
      <c r="OG79" s="3"/>
      <c r="OH79" s="3"/>
      <c r="OI79" s="3"/>
      <c r="OJ79" s="3"/>
      <c r="OK79" s="3"/>
      <c r="OL79" s="3"/>
      <c r="OM79" s="3"/>
      <c r="ON79" s="3"/>
      <c r="OO79" s="3"/>
      <c r="OP79" s="3"/>
      <c r="OQ79" s="3"/>
      <c r="OR79" s="3"/>
      <c r="OS79" s="3"/>
      <c r="OT79" s="3"/>
      <c r="OU79" s="3"/>
      <c r="OV79" s="3"/>
      <c r="OW79" s="3"/>
      <c r="OX79" s="3"/>
      <c r="OY79" s="3"/>
      <c r="OZ79" s="3"/>
      <c r="PA79" s="3"/>
      <c r="PB79" s="3"/>
      <c r="PC79" s="3"/>
      <c r="PD79" s="3"/>
      <c r="PE79" s="3"/>
      <c r="PF79" s="3"/>
      <c r="PG79" s="3"/>
      <c r="PH79" s="3"/>
      <c r="PI79" s="3"/>
      <c r="PJ79" s="3"/>
      <c r="PK79" s="3"/>
      <c r="PL79" s="3"/>
      <c r="PM79" s="3"/>
      <c r="PN79" s="3"/>
      <c r="PO79" s="3"/>
      <c r="PP79" s="3"/>
      <c r="PQ79" s="3"/>
      <c r="PR79" s="3"/>
      <c r="PS79" s="3"/>
      <c r="PT79" s="3"/>
      <c r="PU79" s="3"/>
      <c r="PV79" s="3"/>
      <c r="PW79" s="3"/>
      <c r="PX79" s="3"/>
      <c r="PY79" s="3"/>
      <c r="PZ79" s="3"/>
      <c r="QA79" s="3"/>
      <c r="QB79" s="3"/>
      <c r="QC79" s="3"/>
      <c r="QD79" s="3"/>
      <c r="QE79" s="3"/>
      <c r="QF79" s="3"/>
      <c r="QG79" s="3"/>
      <c r="QH79" s="3"/>
      <c r="QI79" s="3"/>
      <c r="QJ79" s="3"/>
      <c r="QK79" s="3"/>
      <c r="QL79" s="3"/>
      <c r="QM79" s="3"/>
      <c r="QN79" s="3"/>
      <c r="QO79" s="3"/>
      <c r="QP79" s="3"/>
      <c r="QQ79" s="3"/>
      <c r="QR79" s="3"/>
      <c r="QS79" s="3"/>
      <c r="QT79" s="3"/>
      <c r="QU79" s="3"/>
      <c r="QV79" s="3"/>
      <c r="QW79" s="3"/>
      <c r="QX79" s="3"/>
      <c r="QY79" s="3"/>
      <c r="QZ79" s="3"/>
      <c r="RA79" s="3"/>
      <c r="RB79" s="3"/>
      <c r="RC79" s="3"/>
      <c r="RD79" s="3"/>
      <c r="RE79" s="3"/>
      <c r="RF79" s="3"/>
      <c r="RG79" s="3"/>
      <c r="RH79" s="3"/>
      <c r="RI79" s="3"/>
      <c r="RJ79" s="3"/>
      <c r="RK79" s="3"/>
      <c r="RL79" s="3"/>
      <c r="RM79" s="3"/>
      <c r="RN79" s="3"/>
      <c r="RO79" s="3"/>
      <c r="RP79" s="3"/>
      <c r="RQ79" s="3"/>
      <c r="RR79" s="3"/>
      <c r="RS79" s="3"/>
      <c r="RT79" s="3"/>
      <c r="RU79" s="3"/>
      <c r="RV79" s="3"/>
      <c r="RW79" s="3"/>
      <c r="RX79" s="3"/>
      <c r="RY79" s="3"/>
      <c r="RZ79" s="3"/>
      <c r="SA79" s="3"/>
      <c r="SB79" s="3"/>
      <c r="SC79" s="3"/>
      <c r="SD79" s="3"/>
      <c r="SE79" s="3"/>
      <c r="SF79" s="3"/>
      <c r="SG79" s="3"/>
      <c r="SH79" s="3"/>
      <c r="SI79" s="3"/>
      <c r="SJ79" s="3"/>
      <c r="SK79" s="3"/>
      <c r="SL79" s="3"/>
      <c r="SM79" s="3"/>
      <c r="SN79" s="3"/>
      <c r="SO79" s="3"/>
      <c r="SP79" s="3"/>
      <c r="SQ79" s="3"/>
      <c r="SR79" s="3"/>
      <c r="SS79" s="3"/>
      <c r="ST79" s="3"/>
      <c r="SU79" s="3"/>
      <c r="SV79" s="3"/>
      <c r="SW79" s="3"/>
      <c r="SX79" s="3"/>
      <c r="SY79" s="3"/>
      <c r="SZ79" s="3"/>
      <c r="TA79" s="3"/>
      <c r="TB79" s="3"/>
      <c r="TC79" s="3"/>
      <c r="TD79" s="3"/>
      <c r="TE79" s="3"/>
      <c r="TF79" s="3"/>
      <c r="TG79" s="3"/>
      <c r="TH79" s="3"/>
      <c r="TI79" s="3"/>
      <c r="TJ79" s="3"/>
      <c r="TK79" s="3"/>
      <c r="TL79" s="3"/>
      <c r="TM79" s="3"/>
      <c r="TN79" s="3"/>
      <c r="TO79" s="3"/>
      <c r="TP79" s="3"/>
      <c r="TQ79" s="3"/>
      <c r="TR79" s="3"/>
      <c r="TS79" s="3"/>
      <c r="TT79" s="3"/>
      <c r="TU79" s="3"/>
      <c r="TV79" s="3"/>
      <c r="TW79" s="3"/>
      <c r="TX79" s="3"/>
      <c r="TY79" s="3"/>
      <c r="TZ79" s="3"/>
      <c r="UA79" s="3"/>
      <c r="UB79" s="3"/>
      <c r="UC79" s="3"/>
      <c r="UD79" s="3"/>
      <c r="UE79" s="3"/>
      <c r="UF79" s="3"/>
      <c r="UG79" s="3"/>
      <c r="UH79" s="3"/>
      <c r="UI79" s="3"/>
      <c r="UJ79" s="3"/>
      <c r="UK79" s="3"/>
      <c r="UL79" s="3"/>
      <c r="UM79" s="3"/>
      <c r="UN79" s="3"/>
      <c r="UO79" s="3"/>
      <c r="UP79" s="3"/>
      <c r="UQ79" s="3"/>
      <c r="UR79" s="3"/>
      <c r="US79" s="3"/>
      <c r="UT79" s="3"/>
      <c r="UU79" s="3"/>
      <c r="UV79" s="3"/>
      <c r="UW79" s="3"/>
      <c r="UX79" s="3"/>
      <c r="UY79" s="3"/>
      <c r="UZ79" s="3"/>
      <c r="VA79" s="3"/>
      <c r="VB79" s="3"/>
      <c r="VC79" s="3"/>
      <c r="VD79" s="3"/>
      <c r="VE79" s="3"/>
      <c r="VF79" s="3"/>
      <c r="VG79" s="3"/>
      <c r="VH79" s="3"/>
      <c r="VI79" s="3"/>
      <c r="VJ79" s="3"/>
      <c r="VK79" s="3"/>
      <c r="VL79" s="3"/>
      <c r="VM79" s="3"/>
      <c r="VN79" s="3"/>
      <c r="VO79" s="3"/>
      <c r="VP79" s="3"/>
      <c r="VQ79" s="3"/>
      <c r="VR79" s="3"/>
      <c r="VS79" s="3"/>
      <c r="VT79" s="3"/>
      <c r="VU79" s="3"/>
      <c r="VV79" s="3"/>
      <c r="VW79" s="3"/>
      <c r="VX79" s="3"/>
      <c r="VY79" s="3"/>
      <c r="VZ79" s="3"/>
      <c r="WA79" s="3"/>
      <c r="WB79" s="3"/>
      <c r="WC79" s="3"/>
      <c r="WD79" s="3"/>
      <c r="WE79" s="3"/>
      <c r="WF79" s="3"/>
      <c r="WG79" s="3"/>
      <c r="WH79" s="3"/>
      <c r="WI79" s="3"/>
      <c r="WJ79" s="3"/>
      <c r="WK79" s="3"/>
      <c r="WL79" s="3"/>
      <c r="WM79" s="3"/>
      <c r="WN79" s="3"/>
      <c r="WO79" s="3"/>
      <c r="WP79" s="3"/>
      <c r="WQ79" s="3"/>
      <c r="WR79" s="3"/>
      <c r="WS79" s="3"/>
      <c r="WT79" s="3"/>
      <c r="WU79" s="3"/>
      <c r="WV79" s="3"/>
      <c r="WW79" s="3"/>
      <c r="WX79" s="3"/>
      <c r="WY79" s="3"/>
      <c r="WZ79" s="3"/>
      <c r="XA79" s="3"/>
      <c r="XB79" s="3"/>
      <c r="XC79" s="3"/>
      <c r="XD79" s="3"/>
      <c r="XE79" s="3"/>
      <c r="XF79" s="3"/>
      <c r="XG79" s="3"/>
      <c r="XH79" s="3"/>
      <c r="XI79" s="3"/>
      <c r="XJ79" s="3"/>
      <c r="XK79" s="3"/>
      <c r="XL79" s="3"/>
      <c r="XM79" s="3"/>
      <c r="XN79" s="3"/>
      <c r="XO79" s="3"/>
      <c r="XP79" s="3"/>
      <c r="XQ79" s="3"/>
      <c r="XR79" s="3"/>
      <c r="XS79" s="3"/>
      <c r="XT79" s="3"/>
      <c r="XU79" s="3"/>
      <c r="XV79" s="3"/>
      <c r="XW79" s="3"/>
      <c r="XX79" s="3"/>
      <c r="XY79" s="3"/>
      <c r="XZ79" s="3"/>
      <c r="YA79" s="3"/>
      <c r="YB79" s="3"/>
      <c r="YC79" s="3"/>
      <c r="YD79" s="3"/>
      <c r="YE79" s="3"/>
      <c r="YF79" s="3"/>
      <c r="YG79" s="3"/>
      <c r="YH79" s="3"/>
      <c r="YI79" s="3"/>
      <c r="YJ79" s="3"/>
      <c r="YK79" s="3"/>
      <c r="YL79" s="3"/>
      <c r="YM79" s="3"/>
      <c r="YN79" s="3"/>
      <c r="YO79" s="3"/>
      <c r="YP79" s="3"/>
      <c r="YQ79" s="3"/>
      <c r="YR79" s="3"/>
      <c r="YS79" s="3"/>
      <c r="YT79" s="3"/>
      <c r="YU79" s="3"/>
      <c r="YV79" s="3"/>
      <c r="YW79" s="3"/>
      <c r="YX79" s="3"/>
      <c r="YY79" s="3"/>
      <c r="YZ79" s="3"/>
      <c r="ZA79" s="3"/>
      <c r="ZB79" s="3"/>
      <c r="ZC79" s="3"/>
    </row>
    <row r="80" spans="1:679" s="2" customFormat="1" x14ac:dyDescent="0.45">
      <c r="A80" s="3" t="s">
        <v>11</v>
      </c>
      <c r="B80" s="4">
        <v>32174</v>
      </c>
      <c r="C80" s="7" t="s">
        <v>25</v>
      </c>
      <c r="D80" s="6" t="s">
        <v>94</v>
      </c>
      <c r="E80" s="3"/>
      <c r="F80" s="3">
        <v>8</v>
      </c>
      <c r="L80" s="3"/>
      <c r="M80" s="3"/>
      <c r="N80" s="48"/>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3"/>
      <c r="DM80" s="3"/>
      <c r="DN80" s="3"/>
      <c r="DO80" s="3"/>
      <c r="DP80" s="3"/>
      <c r="DQ80" s="3"/>
      <c r="DR80" s="3"/>
      <c r="DS80" s="3"/>
      <c r="DT80" s="3"/>
      <c r="DU80" s="3"/>
      <c r="DV80" s="3"/>
      <c r="DW80" s="3"/>
      <c r="DX80" s="3"/>
      <c r="DY80" s="3"/>
      <c r="DZ80" s="3"/>
      <c r="EA80" s="3"/>
      <c r="EB80" s="3"/>
      <c r="EC80" s="3"/>
      <c r="ED80" s="3"/>
      <c r="EE80" s="3"/>
      <c r="EF80" s="3"/>
      <c r="EG80" s="3"/>
      <c r="EH80" s="3"/>
      <c r="EI80" s="3"/>
      <c r="EJ80" s="3"/>
      <c r="EK80" s="3"/>
      <c r="EL80" s="3"/>
      <c r="EM80" s="3"/>
      <c r="EN80" s="3"/>
      <c r="EO80" s="3"/>
      <c r="EP80" s="3"/>
      <c r="EQ80" s="3"/>
      <c r="ER80" s="3"/>
      <c r="ES80" s="3"/>
      <c r="ET80" s="3"/>
      <c r="EU80" s="3"/>
      <c r="EV80" s="3"/>
      <c r="EW80" s="3"/>
      <c r="EX80" s="3"/>
      <c r="EY80" s="3"/>
      <c r="EZ80" s="3"/>
      <c r="FA80" s="3"/>
      <c r="FB80" s="3"/>
      <c r="FC80" s="3"/>
      <c r="FD80" s="3"/>
      <c r="FE80" s="3"/>
      <c r="FF80" s="3"/>
      <c r="FG80" s="3"/>
      <c r="FH80" s="3"/>
      <c r="FI80" s="3"/>
      <c r="FJ80" s="3"/>
      <c r="FK80" s="3"/>
      <c r="FL80" s="3"/>
      <c r="FM80" s="3"/>
      <c r="FN80" s="3"/>
      <c r="FO80" s="3"/>
      <c r="FP80" s="3"/>
      <c r="FQ80" s="3"/>
      <c r="FR80" s="3"/>
      <c r="FS80" s="3"/>
      <c r="FT80" s="3"/>
      <c r="FU80" s="3"/>
      <c r="FV80" s="3"/>
      <c r="FW80" s="3"/>
      <c r="FX80" s="3"/>
      <c r="FY80" s="3"/>
      <c r="FZ80" s="3"/>
      <c r="GA80" s="3"/>
      <c r="GB80" s="3"/>
      <c r="GC80" s="3"/>
      <c r="GD80" s="3"/>
      <c r="GE80" s="3"/>
      <c r="GF80" s="3"/>
      <c r="GG80" s="3"/>
      <c r="GH80" s="3"/>
      <c r="GI80" s="3"/>
      <c r="GJ80" s="3"/>
      <c r="GK80" s="3"/>
      <c r="GL80" s="3"/>
      <c r="GM80" s="3"/>
      <c r="GN80" s="3"/>
      <c r="GO80" s="3"/>
      <c r="GP80" s="3"/>
      <c r="GQ80" s="3"/>
      <c r="GR80" s="3"/>
      <c r="GS80" s="3"/>
      <c r="GT80" s="3"/>
      <c r="GU80" s="3"/>
      <c r="GV80" s="3"/>
      <c r="GW80" s="3"/>
      <c r="GX80" s="3"/>
      <c r="GY80" s="3"/>
      <c r="GZ80" s="3"/>
      <c r="HA80" s="3"/>
      <c r="HB80" s="3"/>
      <c r="HC80" s="3"/>
      <c r="HD80" s="3"/>
      <c r="HE80" s="3"/>
      <c r="HF80" s="3"/>
      <c r="HG80" s="3"/>
      <c r="HH80" s="3"/>
      <c r="HI80" s="3"/>
      <c r="HJ80" s="3"/>
      <c r="HK80" s="3"/>
      <c r="HL80" s="3"/>
      <c r="HM80" s="3"/>
      <c r="HN80" s="3"/>
      <c r="HO80" s="3"/>
      <c r="HP80" s="3"/>
      <c r="HQ80" s="3"/>
      <c r="HR80" s="3"/>
      <c r="HS80" s="3"/>
      <c r="HT80" s="3"/>
      <c r="HU80" s="3"/>
      <c r="HV80" s="3"/>
      <c r="HW80" s="3"/>
      <c r="HX80" s="3"/>
      <c r="HY80" s="3"/>
      <c r="HZ80" s="3"/>
      <c r="IA80" s="3"/>
      <c r="IB80" s="3"/>
      <c r="IC80" s="3"/>
      <c r="ID80" s="3"/>
      <c r="IE80" s="3"/>
      <c r="IF80" s="3"/>
      <c r="IG80" s="3"/>
      <c r="IH80" s="3"/>
      <c r="II80" s="3"/>
      <c r="IJ80" s="3"/>
      <c r="IK80" s="3"/>
      <c r="IL80" s="3"/>
      <c r="IM80" s="3"/>
      <c r="IN80" s="3"/>
      <c r="IO80" s="3"/>
      <c r="IP80" s="3"/>
      <c r="IQ80" s="3"/>
      <c r="IR80" s="3"/>
      <c r="IS80" s="3"/>
      <c r="IT80" s="3"/>
      <c r="IU80" s="3"/>
      <c r="IV80" s="3"/>
      <c r="IW80" s="3"/>
      <c r="IX80" s="3"/>
      <c r="IY80" s="3"/>
      <c r="IZ80" s="3"/>
      <c r="JA80" s="3"/>
      <c r="JB80" s="3"/>
      <c r="JC80" s="3"/>
      <c r="JD80" s="3"/>
      <c r="JE80" s="3"/>
      <c r="JF80" s="3"/>
      <c r="JG80" s="3"/>
      <c r="JH80" s="3"/>
      <c r="JI80" s="3"/>
      <c r="JJ80" s="3"/>
      <c r="JK80" s="3"/>
      <c r="JL80" s="3"/>
      <c r="JM80" s="3"/>
      <c r="JN80" s="3"/>
      <c r="JO80" s="3"/>
      <c r="JP80" s="3"/>
      <c r="JQ80" s="3"/>
      <c r="JR80" s="3"/>
      <c r="JS80" s="3"/>
      <c r="JT80" s="3"/>
      <c r="JU80" s="3"/>
      <c r="JV80" s="3"/>
      <c r="JW80" s="3"/>
      <c r="JX80" s="3"/>
      <c r="JY80" s="3"/>
      <c r="JZ80" s="3"/>
      <c r="KA80" s="3"/>
      <c r="KB80" s="3"/>
      <c r="KC80" s="3"/>
      <c r="KD80" s="3"/>
      <c r="KE80" s="3"/>
      <c r="KF80" s="3"/>
      <c r="KG80" s="3"/>
      <c r="KH80" s="3"/>
      <c r="KI80" s="3"/>
      <c r="KJ80" s="3"/>
      <c r="KK80" s="3"/>
      <c r="KL80" s="3"/>
      <c r="KM80" s="3"/>
      <c r="KN80" s="3"/>
      <c r="KO80" s="3"/>
      <c r="KP80" s="3"/>
      <c r="KQ80" s="3"/>
      <c r="KR80" s="3"/>
      <c r="KS80" s="3"/>
      <c r="KT80" s="3"/>
      <c r="KU80" s="3"/>
      <c r="KV80" s="3"/>
      <c r="KW80" s="3"/>
      <c r="KX80" s="3"/>
      <c r="KY80" s="3"/>
      <c r="KZ80" s="3"/>
      <c r="LA80" s="3"/>
      <c r="LB80" s="3"/>
      <c r="LC80" s="3"/>
      <c r="LD80" s="3"/>
      <c r="LE80" s="3"/>
      <c r="LF80" s="3"/>
      <c r="LG80" s="3"/>
      <c r="LH80" s="3"/>
      <c r="LI80" s="3"/>
      <c r="LJ80" s="3"/>
      <c r="LK80" s="3"/>
      <c r="LL80" s="3"/>
      <c r="LM80" s="3"/>
      <c r="LN80" s="3"/>
      <c r="LO80" s="3"/>
      <c r="LP80" s="3"/>
      <c r="LQ80" s="3"/>
      <c r="LR80" s="3"/>
      <c r="LS80" s="3"/>
      <c r="LT80" s="3"/>
      <c r="LU80" s="3"/>
      <c r="LV80" s="3"/>
      <c r="LW80" s="3"/>
      <c r="LX80" s="3"/>
      <c r="LY80" s="3"/>
      <c r="LZ80" s="3"/>
      <c r="MA80" s="3"/>
      <c r="MB80" s="3"/>
      <c r="MC80" s="3"/>
      <c r="MD80" s="3"/>
      <c r="ME80" s="3"/>
      <c r="MF80" s="3"/>
      <c r="MG80" s="3"/>
      <c r="MH80" s="3"/>
      <c r="MI80" s="3"/>
      <c r="MJ80" s="3"/>
      <c r="MK80" s="3"/>
      <c r="ML80" s="3"/>
      <c r="MM80" s="3"/>
      <c r="MN80" s="3"/>
      <c r="MO80" s="3"/>
      <c r="MP80" s="3"/>
      <c r="MQ80" s="3"/>
      <c r="MR80" s="3"/>
      <c r="MS80" s="3"/>
      <c r="MT80" s="3"/>
      <c r="MU80" s="3"/>
      <c r="MV80" s="3"/>
      <c r="MW80" s="3"/>
      <c r="MX80" s="3"/>
      <c r="MY80" s="3"/>
      <c r="MZ80" s="3"/>
      <c r="NA80" s="3"/>
      <c r="NB80" s="3"/>
      <c r="NC80" s="3"/>
      <c r="ND80" s="3"/>
      <c r="NE80" s="3"/>
      <c r="NF80" s="3"/>
      <c r="NG80" s="3"/>
      <c r="NH80" s="3"/>
      <c r="NI80" s="3"/>
      <c r="NJ80" s="3"/>
      <c r="NK80" s="3"/>
      <c r="NL80" s="3"/>
      <c r="NM80" s="3"/>
      <c r="NN80" s="3"/>
      <c r="NO80" s="3"/>
      <c r="NP80" s="3"/>
      <c r="NQ80" s="3"/>
      <c r="NR80" s="3"/>
      <c r="NS80" s="3"/>
      <c r="NT80" s="3"/>
      <c r="NU80" s="3"/>
      <c r="NV80" s="3"/>
      <c r="NW80" s="3"/>
      <c r="NX80" s="3"/>
      <c r="NY80" s="3"/>
      <c r="NZ80" s="3"/>
      <c r="OA80" s="3"/>
      <c r="OB80" s="3"/>
      <c r="OC80" s="3"/>
      <c r="OD80" s="3"/>
      <c r="OE80" s="3"/>
      <c r="OF80" s="3"/>
      <c r="OG80" s="3"/>
      <c r="OH80" s="3"/>
      <c r="OI80" s="3"/>
      <c r="OJ80" s="3"/>
      <c r="OK80" s="3"/>
      <c r="OL80" s="3"/>
      <c r="OM80" s="3"/>
      <c r="ON80" s="3"/>
      <c r="OO80" s="3"/>
      <c r="OP80" s="3"/>
      <c r="OQ80" s="3"/>
      <c r="OR80" s="3"/>
      <c r="OS80" s="3"/>
      <c r="OT80" s="3"/>
      <c r="OU80" s="3"/>
      <c r="OV80" s="3"/>
      <c r="OW80" s="3"/>
      <c r="OX80" s="3"/>
      <c r="OY80" s="3"/>
      <c r="OZ80" s="3"/>
      <c r="PA80" s="3"/>
      <c r="PB80" s="3"/>
      <c r="PC80" s="3"/>
      <c r="PD80" s="3"/>
      <c r="PE80" s="3"/>
      <c r="PF80" s="3"/>
      <c r="PG80" s="3"/>
      <c r="PH80" s="3"/>
      <c r="PI80" s="3"/>
      <c r="PJ80" s="3"/>
      <c r="PK80" s="3"/>
      <c r="PL80" s="3"/>
      <c r="PM80" s="3"/>
      <c r="PN80" s="3"/>
      <c r="PO80" s="3"/>
      <c r="PP80" s="3"/>
      <c r="PQ80" s="3"/>
      <c r="PR80" s="3"/>
      <c r="PS80" s="3"/>
      <c r="PT80" s="3"/>
      <c r="PU80" s="3"/>
      <c r="PV80" s="3"/>
      <c r="PW80" s="3"/>
      <c r="PX80" s="3"/>
      <c r="PY80" s="3"/>
      <c r="PZ80" s="3"/>
      <c r="QA80" s="3"/>
      <c r="QB80" s="3"/>
      <c r="QC80" s="3"/>
      <c r="QD80" s="3"/>
      <c r="QE80" s="3"/>
      <c r="QF80" s="3"/>
      <c r="QG80" s="3"/>
      <c r="QH80" s="3"/>
      <c r="QI80" s="3"/>
      <c r="QJ80" s="3"/>
      <c r="QK80" s="3"/>
      <c r="QL80" s="3"/>
      <c r="QM80" s="3"/>
      <c r="QN80" s="3"/>
      <c r="QO80" s="3"/>
      <c r="QP80" s="3"/>
      <c r="QQ80" s="3"/>
      <c r="QR80" s="3"/>
      <c r="QS80" s="3"/>
      <c r="QT80" s="3"/>
      <c r="QU80" s="3"/>
      <c r="QV80" s="3"/>
      <c r="QW80" s="3"/>
      <c r="QX80" s="3"/>
      <c r="QY80" s="3"/>
      <c r="QZ80" s="3"/>
      <c r="RA80" s="3"/>
      <c r="RB80" s="3"/>
      <c r="RC80" s="3"/>
      <c r="RD80" s="3"/>
      <c r="RE80" s="3"/>
      <c r="RF80" s="3"/>
      <c r="RG80" s="3"/>
      <c r="RH80" s="3"/>
      <c r="RI80" s="3"/>
      <c r="RJ80" s="3"/>
      <c r="RK80" s="3"/>
      <c r="RL80" s="3"/>
      <c r="RM80" s="3"/>
      <c r="RN80" s="3"/>
      <c r="RO80" s="3"/>
      <c r="RP80" s="3"/>
      <c r="RQ80" s="3"/>
      <c r="RR80" s="3"/>
      <c r="RS80" s="3"/>
      <c r="RT80" s="3"/>
      <c r="RU80" s="3"/>
      <c r="RV80" s="3"/>
      <c r="RW80" s="3"/>
      <c r="RX80" s="3"/>
      <c r="RY80" s="3"/>
      <c r="RZ80" s="3"/>
      <c r="SA80" s="3"/>
      <c r="SB80" s="3"/>
      <c r="SC80" s="3"/>
      <c r="SD80" s="3"/>
      <c r="SE80" s="3"/>
      <c r="SF80" s="3"/>
      <c r="SG80" s="3"/>
      <c r="SH80" s="3"/>
      <c r="SI80" s="3"/>
      <c r="SJ80" s="3"/>
      <c r="SK80" s="3"/>
      <c r="SL80" s="3"/>
      <c r="SM80" s="3"/>
      <c r="SN80" s="3"/>
      <c r="SO80" s="3"/>
      <c r="SP80" s="3"/>
      <c r="SQ80" s="3"/>
      <c r="SR80" s="3"/>
      <c r="SS80" s="3"/>
      <c r="ST80" s="3"/>
      <c r="SU80" s="3"/>
      <c r="SV80" s="3"/>
      <c r="SW80" s="3"/>
      <c r="SX80" s="3"/>
      <c r="SY80" s="3"/>
      <c r="SZ80" s="3"/>
      <c r="TA80" s="3"/>
      <c r="TB80" s="3"/>
      <c r="TC80" s="3"/>
      <c r="TD80" s="3"/>
      <c r="TE80" s="3"/>
      <c r="TF80" s="3"/>
      <c r="TG80" s="3"/>
      <c r="TH80" s="3"/>
      <c r="TI80" s="3"/>
      <c r="TJ80" s="3"/>
      <c r="TK80" s="3"/>
      <c r="TL80" s="3"/>
      <c r="TM80" s="3"/>
      <c r="TN80" s="3"/>
      <c r="TO80" s="3"/>
      <c r="TP80" s="3"/>
      <c r="TQ80" s="3"/>
      <c r="TR80" s="3"/>
      <c r="TS80" s="3"/>
      <c r="TT80" s="3"/>
      <c r="TU80" s="3"/>
      <c r="TV80" s="3"/>
      <c r="TW80" s="3"/>
      <c r="TX80" s="3"/>
      <c r="TY80" s="3"/>
      <c r="TZ80" s="3"/>
      <c r="UA80" s="3"/>
      <c r="UB80" s="3"/>
      <c r="UC80" s="3"/>
      <c r="UD80" s="3"/>
      <c r="UE80" s="3"/>
      <c r="UF80" s="3"/>
      <c r="UG80" s="3"/>
      <c r="UH80" s="3"/>
      <c r="UI80" s="3"/>
      <c r="UJ80" s="3"/>
      <c r="UK80" s="3"/>
      <c r="UL80" s="3"/>
      <c r="UM80" s="3"/>
      <c r="UN80" s="3"/>
      <c r="UO80" s="3"/>
      <c r="UP80" s="3"/>
      <c r="UQ80" s="3"/>
      <c r="UR80" s="3"/>
      <c r="US80" s="3"/>
      <c r="UT80" s="3"/>
      <c r="UU80" s="3"/>
      <c r="UV80" s="3"/>
      <c r="UW80" s="3"/>
      <c r="UX80" s="3"/>
      <c r="UY80" s="3"/>
      <c r="UZ80" s="3"/>
      <c r="VA80" s="3"/>
      <c r="VB80" s="3"/>
      <c r="VC80" s="3"/>
      <c r="VD80" s="3"/>
      <c r="VE80" s="3"/>
      <c r="VF80" s="3"/>
      <c r="VG80" s="3"/>
      <c r="VH80" s="3"/>
      <c r="VI80" s="3"/>
      <c r="VJ80" s="3"/>
      <c r="VK80" s="3"/>
      <c r="VL80" s="3"/>
      <c r="VM80" s="3"/>
      <c r="VN80" s="3"/>
      <c r="VO80" s="3"/>
      <c r="VP80" s="3"/>
      <c r="VQ80" s="3"/>
      <c r="VR80" s="3"/>
      <c r="VS80" s="3"/>
      <c r="VT80" s="3"/>
      <c r="VU80" s="3"/>
      <c r="VV80" s="3"/>
      <c r="VW80" s="3"/>
      <c r="VX80" s="3"/>
      <c r="VY80" s="3"/>
      <c r="VZ80" s="3"/>
      <c r="WA80" s="3"/>
      <c r="WB80" s="3"/>
      <c r="WC80" s="3"/>
      <c r="WD80" s="3"/>
      <c r="WE80" s="3"/>
      <c r="WF80" s="3"/>
      <c r="WG80" s="3"/>
      <c r="WH80" s="3"/>
      <c r="WI80" s="3"/>
      <c r="WJ80" s="3"/>
      <c r="WK80" s="3"/>
      <c r="WL80" s="3"/>
      <c r="WM80" s="3"/>
      <c r="WN80" s="3"/>
      <c r="WO80" s="3"/>
      <c r="WP80" s="3"/>
      <c r="WQ80" s="3"/>
      <c r="WR80" s="3"/>
      <c r="WS80" s="3"/>
      <c r="WT80" s="3"/>
      <c r="WU80" s="3"/>
      <c r="WV80" s="3"/>
      <c r="WW80" s="3"/>
      <c r="WX80" s="3"/>
      <c r="WY80" s="3"/>
      <c r="WZ80" s="3"/>
      <c r="XA80" s="3"/>
      <c r="XB80" s="3"/>
      <c r="XC80" s="3"/>
      <c r="XD80" s="3"/>
      <c r="XE80" s="3"/>
      <c r="XF80" s="3"/>
      <c r="XG80" s="3"/>
      <c r="XH80" s="3"/>
      <c r="XI80" s="3"/>
      <c r="XJ80" s="3"/>
      <c r="XK80" s="3"/>
      <c r="XL80" s="3"/>
      <c r="XM80" s="3"/>
      <c r="XN80" s="3"/>
      <c r="XO80" s="3"/>
      <c r="XP80" s="3"/>
      <c r="XQ80" s="3"/>
      <c r="XR80" s="3"/>
      <c r="XS80" s="3"/>
      <c r="XT80" s="3"/>
      <c r="XU80" s="3"/>
      <c r="XV80" s="3"/>
      <c r="XW80" s="3"/>
      <c r="XX80" s="3"/>
      <c r="XY80" s="3"/>
      <c r="XZ80" s="3"/>
      <c r="YA80" s="3"/>
      <c r="YB80" s="3"/>
      <c r="YC80" s="3"/>
      <c r="YD80" s="3"/>
      <c r="YE80" s="3"/>
      <c r="YF80" s="3"/>
      <c r="YG80" s="3"/>
      <c r="YH80" s="3"/>
      <c r="YI80" s="3"/>
      <c r="YJ80" s="3"/>
      <c r="YK80" s="3"/>
      <c r="YL80" s="3"/>
      <c r="YM80" s="3"/>
      <c r="YN80" s="3"/>
      <c r="YO80" s="3"/>
      <c r="YP80" s="3"/>
      <c r="YQ80" s="3"/>
      <c r="YR80" s="3"/>
      <c r="YS80" s="3"/>
      <c r="YT80" s="3"/>
      <c r="YU80" s="3"/>
      <c r="YV80" s="3"/>
      <c r="YW80" s="3"/>
      <c r="YX80" s="3"/>
      <c r="YY80" s="3"/>
      <c r="YZ80" s="3"/>
      <c r="ZA80" s="3"/>
      <c r="ZB80" s="3"/>
      <c r="ZC80" s="3"/>
    </row>
    <row r="81" spans="1:679" s="2" customFormat="1" x14ac:dyDescent="0.45">
      <c r="A81" s="3" t="s">
        <v>11</v>
      </c>
      <c r="B81" s="4">
        <v>32190</v>
      </c>
      <c r="C81" s="7" t="s">
        <v>25</v>
      </c>
      <c r="D81" s="6" t="s">
        <v>95</v>
      </c>
      <c r="E81" s="3"/>
      <c r="F81" s="3">
        <v>10</v>
      </c>
      <c r="L81" s="3"/>
      <c r="M81" s="3"/>
      <c r="N81" s="48"/>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3"/>
      <c r="DJ81" s="3"/>
      <c r="DK81" s="3"/>
      <c r="DL81" s="3"/>
      <c r="DM81" s="3"/>
      <c r="DN81" s="3"/>
      <c r="DO81" s="3"/>
      <c r="DP81" s="3"/>
      <c r="DQ81" s="3"/>
      <c r="DR81" s="3"/>
      <c r="DS81" s="3"/>
      <c r="DT81" s="3"/>
      <c r="DU81" s="3"/>
      <c r="DV81" s="3"/>
      <c r="DW81" s="3"/>
      <c r="DX81" s="3"/>
      <c r="DY81" s="3"/>
      <c r="DZ81" s="3"/>
      <c r="EA81" s="3"/>
      <c r="EB81" s="3"/>
      <c r="EC81" s="3"/>
      <c r="ED81" s="3"/>
      <c r="EE81" s="3"/>
      <c r="EF81" s="3"/>
      <c r="EG81" s="3"/>
      <c r="EH81" s="3"/>
      <c r="EI81" s="3"/>
      <c r="EJ81" s="3"/>
      <c r="EK81" s="3"/>
      <c r="EL81" s="3"/>
      <c r="EM81" s="3"/>
      <c r="EN81" s="3"/>
      <c r="EO81" s="3"/>
      <c r="EP81" s="3"/>
      <c r="EQ81" s="3"/>
      <c r="ER81" s="3"/>
      <c r="ES81" s="3"/>
      <c r="ET81" s="3"/>
      <c r="EU81" s="3"/>
      <c r="EV81" s="3"/>
      <c r="EW81" s="3"/>
      <c r="EX81" s="3"/>
      <c r="EY81" s="3"/>
      <c r="EZ81" s="3"/>
      <c r="FA81" s="3"/>
      <c r="FB81" s="3"/>
      <c r="FC81" s="3"/>
      <c r="FD81" s="3"/>
      <c r="FE81" s="3"/>
      <c r="FF81" s="3"/>
      <c r="FG81" s="3"/>
      <c r="FH81" s="3"/>
      <c r="FI81" s="3"/>
      <c r="FJ81" s="3"/>
      <c r="FK81" s="3"/>
      <c r="FL81" s="3"/>
      <c r="FM81" s="3"/>
      <c r="FN81" s="3"/>
      <c r="FO81" s="3"/>
      <c r="FP81" s="3"/>
      <c r="FQ81" s="3"/>
      <c r="FR81" s="3"/>
      <c r="FS81" s="3"/>
      <c r="FT81" s="3"/>
      <c r="FU81" s="3"/>
      <c r="FV81" s="3"/>
      <c r="FW81" s="3"/>
      <c r="FX81" s="3"/>
      <c r="FY81" s="3"/>
      <c r="FZ81" s="3"/>
      <c r="GA81" s="3"/>
      <c r="GB81" s="3"/>
      <c r="GC81" s="3"/>
      <c r="GD81" s="3"/>
      <c r="GE81" s="3"/>
      <c r="GF81" s="3"/>
      <c r="GG81" s="3"/>
      <c r="GH81" s="3"/>
      <c r="GI81" s="3"/>
      <c r="GJ81" s="3"/>
      <c r="GK81" s="3"/>
      <c r="GL81" s="3"/>
      <c r="GM81" s="3"/>
      <c r="GN81" s="3"/>
      <c r="GO81" s="3"/>
      <c r="GP81" s="3"/>
      <c r="GQ81" s="3"/>
      <c r="GR81" s="3"/>
      <c r="GS81" s="3"/>
      <c r="GT81" s="3"/>
      <c r="GU81" s="3"/>
      <c r="GV81" s="3"/>
      <c r="GW81" s="3"/>
      <c r="GX81" s="3"/>
      <c r="GY81" s="3"/>
      <c r="GZ81" s="3"/>
      <c r="HA81" s="3"/>
      <c r="HB81" s="3"/>
      <c r="HC81" s="3"/>
      <c r="HD81" s="3"/>
      <c r="HE81" s="3"/>
      <c r="HF81" s="3"/>
      <c r="HG81" s="3"/>
      <c r="HH81" s="3"/>
      <c r="HI81" s="3"/>
      <c r="HJ81" s="3"/>
      <c r="HK81" s="3"/>
      <c r="HL81" s="3"/>
      <c r="HM81" s="3"/>
      <c r="HN81" s="3"/>
      <c r="HO81" s="3"/>
      <c r="HP81" s="3"/>
      <c r="HQ81" s="3"/>
      <c r="HR81" s="3"/>
      <c r="HS81" s="3"/>
      <c r="HT81" s="3"/>
      <c r="HU81" s="3"/>
      <c r="HV81" s="3"/>
      <c r="HW81" s="3"/>
      <c r="HX81" s="3"/>
      <c r="HY81" s="3"/>
      <c r="HZ81" s="3"/>
      <c r="IA81" s="3"/>
      <c r="IB81" s="3"/>
      <c r="IC81" s="3"/>
      <c r="ID81" s="3"/>
      <c r="IE81" s="3"/>
      <c r="IF81" s="3"/>
      <c r="IG81" s="3"/>
      <c r="IH81" s="3"/>
      <c r="II81" s="3"/>
      <c r="IJ81" s="3"/>
      <c r="IK81" s="3"/>
      <c r="IL81" s="3"/>
      <c r="IM81" s="3"/>
      <c r="IN81" s="3"/>
      <c r="IO81" s="3"/>
      <c r="IP81" s="3"/>
      <c r="IQ81" s="3"/>
      <c r="IR81" s="3"/>
      <c r="IS81" s="3"/>
      <c r="IT81" s="3"/>
      <c r="IU81" s="3"/>
      <c r="IV81" s="3"/>
      <c r="IW81" s="3"/>
      <c r="IX81" s="3"/>
      <c r="IY81" s="3"/>
      <c r="IZ81" s="3"/>
      <c r="JA81" s="3"/>
      <c r="JB81" s="3"/>
      <c r="JC81" s="3"/>
      <c r="JD81" s="3"/>
      <c r="JE81" s="3"/>
      <c r="JF81" s="3"/>
      <c r="JG81" s="3"/>
      <c r="JH81" s="3"/>
      <c r="JI81" s="3"/>
      <c r="JJ81" s="3"/>
      <c r="JK81" s="3"/>
      <c r="JL81" s="3"/>
      <c r="JM81" s="3"/>
      <c r="JN81" s="3"/>
      <c r="JO81" s="3"/>
      <c r="JP81" s="3"/>
      <c r="JQ81" s="3"/>
      <c r="JR81" s="3"/>
      <c r="JS81" s="3"/>
      <c r="JT81" s="3"/>
      <c r="JU81" s="3"/>
      <c r="JV81" s="3"/>
      <c r="JW81" s="3"/>
      <c r="JX81" s="3"/>
      <c r="JY81" s="3"/>
      <c r="JZ81" s="3"/>
      <c r="KA81" s="3"/>
      <c r="KB81" s="3"/>
      <c r="KC81" s="3"/>
      <c r="KD81" s="3"/>
      <c r="KE81" s="3"/>
      <c r="KF81" s="3"/>
      <c r="KG81" s="3"/>
      <c r="KH81" s="3"/>
      <c r="KI81" s="3"/>
      <c r="KJ81" s="3"/>
      <c r="KK81" s="3"/>
      <c r="KL81" s="3"/>
      <c r="KM81" s="3"/>
      <c r="KN81" s="3"/>
      <c r="KO81" s="3"/>
      <c r="KP81" s="3"/>
      <c r="KQ81" s="3"/>
      <c r="KR81" s="3"/>
      <c r="KS81" s="3"/>
      <c r="KT81" s="3"/>
      <c r="KU81" s="3"/>
      <c r="KV81" s="3"/>
      <c r="KW81" s="3"/>
      <c r="KX81" s="3"/>
      <c r="KY81" s="3"/>
      <c r="KZ81" s="3"/>
      <c r="LA81" s="3"/>
      <c r="LB81" s="3"/>
      <c r="LC81" s="3"/>
      <c r="LD81" s="3"/>
      <c r="LE81" s="3"/>
      <c r="LF81" s="3"/>
      <c r="LG81" s="3"/>
      <c r="LH81" s="3"/>
      <c r="LI81" s="3"/>
      <c r="LJ81" s="3"/>
      <c r="LK81" s="3"/>
      <c r="LL81" s="3"/>
      <c r="LM81" s="3"/>
      <c r="LN81" s="3"/>
      <c r="LO81" s="3"/>
      <c r="LP81" s="3"/>
      <c r="LQ81" s="3"/>
      <c r="LR81" s="3"/>
      <c r="LS81" s="3"/>
      <c r="LT81" s="3"/>
      <c r="LU81" s="3"/>
      <c r="LV81" s="3"/>
      <c r="LW81" s="3"/>
      <c r="LX81" s="3"/>
      <c r="LY81" s="3"/>
      <c r="LZ81" s="3"/>
      <c r="MA81" s="3"/>
      <c r="MB81" s="3"/>
      <c r="MC81" s="3"/>
      <c r="MD81" s="3"/>
      <c r="ME81" s="3"/>
      <c r="MF81" s="3"/>
      <c r="MG81" s="3"/>
      <c r="MH81" s="3"/>
      <c r="MI81" s="3"/>
      <c r="MJ81" s="3"/>
      <c r="MK81" s="3"/>
      <c r="ML81" s="3"/>
      <c r="MM81" s="3"/>
      <c r="MN81" s="3"/>
      <c r="MO81" s="3"/>
      <c r="MP81" s="3"/>
      <c r="MQ81" s="3"/>
      <c r="MR81" s="3"/>
      <c r="MS81" s="3"/>
      <c r="MT81" s="3"/>
      <c r="MU81" s="3"/>
      <c r="MV81" s="3"/>
      <c r="MW81" s="3"/>
      <c r="MX81" s="3"/>
      <c r="MY81" s="3"/>
      <c r="MZ81" s="3"/>
      <c r="NA81" s="3"/>
      <c r="NB81" s="3"/>
      <c r="NC81" s="3"/>
      <c r="ND81" s="3"/>
      <c r="NE81" s="3"/>
      <c r="NF81" s="3"/>
      <c r="NG81" s="3"/>
      <c r="NH81" s="3"/>
      <c r="NI81" s="3"/>
      <c r="NJ81" s="3"/>
      <c r="NK81" s="3"/>
      <c r="NL81" s="3"/>
      <c r="NM81" s="3"/>
      <c r="NN81" s="3"/>
      <c r="NO81" s="3"/>
      <c r="NP81" s="3"/>
      <c r="NQ81" s="3"/>
      <c r="NR81" s="3"/>
      <c r="NS81" s="3"/>
      <c r="NT81" s="3"/>
      <c r="NU81" s="3"/>
      <c r="NV81" s="3"/>
      <c r="NW81" s="3"/>
      <c r="NX81" s="3"/>
      <c r="NY81" s="3"/>
      <c r="NZ81" s="3"/>
      <c r="OA81" s="3"/>
      <c r="OB81" s="3"/>
      <c r="OC81" s="3"/>
      <c r="OD81" s="3"/>
      <c r="OE81" s="3"/>
      <c r="OF81" s="3"/>
      <c r="OG81" s="3"/>
      <c r="OH81" s="3"/>
      <c r="OI81" s="3"/>
      <c r="OJ81" s="3"/>
      <c r="OK81" s="3"/>
      <c r="OL81" s="3"/>
      <c r="OM81" s="3"/>
      <c r="ON81" s="3"/>
      <c r="OO81" s="3"/>
      <c r="OP81" s="3"/>
      <c r="OQ81" s="3"/>
      <c r="OR81" s="3"/>
      <c r="OS81" s="3"/>
      <c r="OT81" s="3"/>
      <c r="OU81" s="3"/>
      <c r="OV81" s="3"/>
      <c r="OW81" s="3"/>
      <c r="OX81" s="3"/>
      <c r="OY81" s="3"/>
      <c r="OZ81" s="3"/>
      <c r="PA81" s="3"/>
      <c r="PB81" s="3"/>
      <c r="PC81" s="3"/>
      <c r="PD81" s="3"/>
      <c r="PE81" s="3"/>
      <c r="PF81" s="3"/>
      <c r="PG81" s="3"/>
      <c r="PH81" s="3"/>
      <c r="PI81" s="3"/>
      <c r="PJ81" s="3"/>
      <c r="PK81" s="3"/>
      <c r="PL81" s="3"/>
      <c r="PM81" s="3"/>
      <c r="PN81" s="3"/>
      <c r="PO81" s="3"/>
      <c r="PP81" s="3"/>
      <c r="PQ81" s="3"/>
      <c r="PR81" s="3"/>
      <c r="PS81" s="3"/>
      <c r="PT81" s="3"/>
      <c r="PU81" s="3"/>
      <c r="PV81" s="3"/>
      <c r="PW81" s="3"/>
      <c r="PX81" s="3"/>
      <c r="PY81" s="3"/>
      <c r="PZ81" s="3"/>
      <c r="QA81" s="3"/>
      <c r="QB81" s="3"/>
      <c r="QC81" s="3"/>
      <c r="QD81" s="3"/>
      <c r="QE81" s="3"/>
      <c r="QF81" s="3"/>
      <c r="QG81" s="3"/>
      <c r="QH81" s="3"/>
      <c r="QI81" s="3"/>
      <c r="QJ81" s="3"/>
      <c r="QK81" s="3"/>
      <c r="QL81" s="3"/>
      <c r="QM81" s="3"/>
      <c r="QN81" s="3"/>
      <c r="QO81" s="3"/>
      <c r="QP81" s="3"/>
      <c r="QQ81" s="3"/>
      <c r="QR81" s="3"/>
      <c r="QS81" s="3"/>
      <c r="QT81" s="3"/>
      <c r="QU81" s="3"/>
      <c r="QV81" s="3"/>
      <c r="QW81" s="3"/>
      <c r="QX81" s="3"/>
      <c r="QY81" s="3"/>
      <c r="QZ81" s="3"/>
      <c r="RA81" s="3"/>
      <c r="RB81" s="3"/>
      <c r="RC81" s="3"/>
      <c r="RD81" s="3"/>
      <c r="RE81" s="3"/>
      <c r="RF81" s="3"/>
      <c r="RG81" s="3"/>
      <c r="RH81" s="3"/>
      <c r="RI81" s="3"/>
      <c r="RJ81" s="3"/>
      <c r="RK81" s="3"/>
      <c r="RL81" s="3"/>
      <c r="RM81" s="3"/>
      <c r="RN81" s="3"/>
      <c r="RO81" s="3"/>
      <c r="RP81" s="3"/>
      <c r="RQ81" s="3"/>
      <c r="RR81" s="3"/>
      <c r="RS81" s="3"/>
      <c r="RT81" s="3"/>
      <c r="RU81" s="3"/>
      <c r="RV81" s="3"/>
      <c r="RW81" s="3"/>
      <c r="RX81" s="3"/>
      <c r="RY81" s="3"/>
      <c r="RZ81" s="3"/>
      <c r="SA81" s="3"/>
      <c r="SB81" s="3"/>
      <c r="SC81" s="3"/>
      <c r="SD81" s="3"/>
      <c r="SE81" s="3"/>
      <c r="SF81" s="3"/>
      <c r="SG81" s="3"/>
      <c r="SH81" s="3"/>
      <c r="SI81" s="3"/>
      <c r="SJ81" s="3"/>
      <c r="SK81" s="3"/>
      <c r="SL81" s="3"/>
      <c r="SM81" s="3"/>
      <c r="SN81" s="3"/>
      <c r="SO81" s="3"/>
      <c r="SP81" s="3"/>
      <c r="SQ81" s="3"/>
      <c r="SR81" s="3"/>
      <c r="SS81" s="3"/>
      <c r="ST81" s="3"/>
      <c r="SU81" s="3"/>
      <c r="SV81" s="3"/>
      <c r="SW81" s="3"/>
      <c r="SX81" s="3"/>
      <c r="SY81" s="3"/>
      <c r="SZ81" s="3"/>
      <c r="TA81" s="3"/>
      <c r="TB81" s="3"/>
      <c r="TC81" s="3"/>
      <c r="TD81" s="3"/>
      <c r="TE81" s="3"/>
      <c r="TF81" s="3"/>
      <c r="TG81" s="3"/>
      <c r="TH81" s="3"/>
      <c r="TI81" s="3"/>
      <c r="TJ81" s="3"/>
      <c r="TK81" s="3"/>
      <c r="TL81" s="3"/>
      <c r="TM81" s="3"/>
      <c r="TN81" s="3"/>
      <c r="TO81" s="3"/>
      <c r="TP81" s="3"/>
      <c r="TQ81" s="3"/>
      <c r="TR81" s="3"/>
      <c r="TS81" s="3"/>
      <c r="TT81" s="3"/>
      <c r="TU81" s="3"/>
      <c r="TV81" s="3"/>
      <c r="TW81" s="3"/>
      <c r="TX81" s="3"/>
      <c r="TY81" s="3"/>
      <c r="TZ81" s="3"/>
      <c r="UA81" s="3"/>
      <c r="UB81" s="3"/>
      <c r="UC81" s="3"/>
      <c r="UD81" s="3"/>
      <c r="UE81" s="3"/>
      <c r="UF81" s="3"/>
      <c r="UG81" s="3"/>
      <c r="UH81" s="3"/>
      <c r="UI81" s="3"/>
      <c r="UJ81" s="3"/>
      <c r="UK81" s="3"/>
      <c r="UL81" s="3"/>
      <c r="UM81" s="3"/>
      <c r="UN81" s="3"/>
      <c r="UO81" s="3"/>
      <c r="UP81" s="3"/>
      <c r="UQ81" s="3"/>
      <c r="UR81" s="3"/>
      <c r="US81" s="3"/>
      <c r="UT81" s="3"/>
      <c r="UU81" s="3"/>
      <c r="UV81" s="3"/>
      <c r="UW81" s="3"/>
      <c r="UX81" s="3"/>
      <c r="UY81" s="3"/>
      <c r="UZ81" s="3"/>
      <c r="VA81" s="3"/>
      <c r="VB81" s="3"/>
      <c r="VC81" s="3"/>
      <c r="VD81" s="3"/>
      <c r="VE81" s="3"/>
      <c r="VF81" s="3"/>
      <c r="VG81" s="3"/>
      <c r="VH81" s="3"/>
      <c r="VI81" s="3"/>
      <c r="VJ81" s="3"/>
      <c r="VK81" s="3"/>
      <c r="VL81" s="3"/>
      <c r="VM81" s="3"/>
      <c r="VN81" s="3"/>
      <c r="VO81" s="3"/>
      <c r="VP81" s="3"/>
      <c r="VQ81" s="3"/>
      <c r="VR81" s="3"/>
      <c r="VS81" s="3"/>
      <c r="VT81" s="3"/>
      <c r="VU81" s="3"/>
      <c r="VV81" s="3"/>
      <c r="VW81" s="3"/>
      <c r="VX81" s="3"/>
      <c r="VY81" s="3"/>
      <c r="VZ81" s="3"/>
      <c r="WA81" s="3"/>
      <c r="WB81" s="3"/>
      <c r="WC81" s="3"/>
      <c r="WD81" s="3"/>
      <c r="WE81" s="3"/>
      <c r="WF81" s="3"/>
      <c r="WG81" s="3"/>
      <c r="WH81" s="3"/>
      <c r="WI81" s="3"/>
      <c r="WJ81" s="3"/>
      <c r="WK81" s="3"/>
      <c r="WL81" s="3"/>
      <c r="WM81" s="3"/>
      <c r="WN81" s="3"/>
      <c r="WO81" s="3"/>
      <c r="WP81" s="3"/>
      <c r="WQ81" s="3"/>
      <c r="WR81" s="3"/>
      <c r="WS81" s="3"/>
      <c r="WT81" s="3"/>
      <c r="WU81" s="3"/>
      <c r="WV81" s="3"/>
      <c r="WW81" s="3"/>
      <c r="WX81" s="3"/>
      <c r="WY81" s="3"/>
      <c r="WZ81" s="3"/>
      <c r="XA81" s="3"/>
      <c r="XB81" s="3"/>
      <c r="XC81" s="3"/>
      <c r="XD81" s="3"/>
      <c r="XE81" s="3"/>
      <c r="XF81" s="3"/>
      <c r="XG81" s="3"/>
      <c r="XH81" s="3"/>
      <c r="XI81" s="3"/>
      <c r="XJ81" s="3"/>
      <c r="XK81" s="3"/>
      <c r="XL81" s="3"/>
      <c r="XM81" s="3"/>
      <c r="XN81" s="3"/>
      <c r="XO81" s="3"/>
      <c r="XP81" s="3"/>
      <c r="XQ81" s="3"/>
      <c r="XR81" s="3"/>
      <c r="XS81" s="3"/>
      <c r="XT81" s="3"/>
      <c r="XU81" s="3"/>
      <c r="XV81" s="3"/>
      <c r="XW81" s="3"/>
      <c r="XX81" s="3"/>
      <c r="XY81" s="3"/>
      <c r="XZ81" s="3"/>
      <c r="YA81" s="3"/>
      <c r="YB81" s="3"/>
      <c r="YC81" s="3"/>
      <c r="YD81" s="3"/>
      <c r="YE81" s="3"/>
      <c r="YF81" s="3"/>
      <c r="YG81" s="3"/>
      <c r="YH81" s="3"/>
      <c r="YI81" s="3"/>
      <c r="YJ81" s="3"/>
      <c r="YK81" s="3"/>
      <c r="YL81" s="3"/>
      <c r="YM81" s="3"/>
      <c r="YN81" s="3"/>
      <c r="YO81" s="3"/>
      <c r="YP81" s="3"/>
      <c r="YQ81" s="3"/>
      <c r="YR81" s="3"/>
      <c r="YS81" s="3"/>
      <c r="YT81" s="3"/>
      <c r="YU81" s="3"/>
      <c r="YV81" s="3"/>
      <c r="YW81" s="3"/>
      <c r="YX81" s="3"/>
      <c r="YY81" s="3"/>
      <c r="YZ81" s="3"/>
      <c r="ZA81" s="3"/>
      <c r="ZB81" s="3"/>
      <c r="ZC81" s="3"/>
    </row>
    <row r="82" spans="1:679" s="2" customFormat="1" x14ac:dyDescent="0.45">
      <c r="A82" s="3" t="s">
        <v>11</v>
      </c>
      <c r="B82" s="4">
        <v>32259</v>
      </c>
      <c r="C82" s="7" t="s">
        <v>25</v>
      </c>
      <c r="D82" s="6" t="s">
        <v>96</v>
      </c>
      <c r="E82" s="3"/>
      <c r="F82" s="3">
        <v>2</v>
      </c>
      <c r="L82" s="3"/>
      <c r="M82" s="3"/>
      <c r="N82" s="48"/>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c r="EU82" s="3"/>
      <c r="EV82" s="3"/>
      <c r="EW82" s="3"/>
      <c r="EX82" s="3"/>
      <c r="EY82" s="3"/>
      <c r="EZ82" s="3"/>
      <c r="FA82" s="3"/>
      <c r="FB82" s="3"/>
      <c r="FC82" s="3"/>
      <c r="FD82" s="3"/>
      <c r="FE82" s="3"/>
      <c r="FF82" s="3"/>
      <c r="FG82" s="3"/>
      <c r="FH82" s="3"/>
      <c r="FI82" s="3"/>
      <c r="FJ82" s="3"/>
      <c r="FK82" s="3"/>
      <c r="FL82" s="3"/>
      <c r="FM82" s="3"/>
      <c r="FN82" s="3"/>
      <c r="FO82" s="3"/>
      <c r="FP82" s="3"/>
      <c r="FQ82" s="3"/>
      <c r="FR82" s="3"/>
      <c r="FS82" s="3"/>
      <c r="FT82" s="3"/>
      <c r="FU82" s="3"/>
      <c r="FV82" s="3"/>
      <c r="FW82" s="3"/>
      <c r="FX82" s="3"/>
      <c r="FY82" s="3"/>
      <c r="FZ82" s="3"/>
      <c r="GA82" s="3"/>
      <c r="GB82" s="3"/>
      <c r="GC82" s="3"/>
      <c r="GD82" s="3"/>
      <c r="GE82" s="3"/>
      <c r="GF82" s="3"/>
      <c r="GG82" s="3"/>
      <c r="GH82" s="3"/>
      <c r="GI82" s="3"/>
      <c r="GJ82" s="3"/>
      <c r="GK82" s="3"/>
      <c r="GL82" s="3"/>
      <c r="GM82" s="3"/>
      <c r="GN82" s="3"/>
      <c r="GO82" s="3"/>
      <c r="GP82" s="3"/>
      <c r="GQ82" s="3"/>
      <c r="GR82" s="3"/>
      <c r="GS82" s="3"/>
      <c r="GT82" s="3"/>
      <c r="GU82" s="3"/>
      <c r="GV82" s="3"/>
      <c r="GW82" s="3"/>
      <c r="GX82" s="3"/>
      <c r="GY82" s="3"/>
      <c r="GZ82" s="3"/>
      <c r="HA82" s="3"/>
      <c r="HB82" s="3"/>
      <c r="HC82" s="3"/>
      <c r="HD82" s="3"/>
      <c r="HE82" s="3"/>
      <c r="HF82" s="3"/>
      <c r="HG82" s="3"/>
      <c r="HH82" s="3"/>
      <c r="HI82" s="3"/>
      <c r="HJ82" s="3"/>
      <c r="HK82" s="3"/>
      <c r="HL82" s="3"/>
      <c r="HM82" s="3"/>
      <c r="HN82" s="3"/>
      <c r="HO82" s="3"/>
      <c r="HP82" s="3"/>
      <c r="HQ82" s="3"/>
      <c r="HR82" s="3"/>
      <c r="HS82" s="3"/>
      <c r="HT82" s="3"/>
      <c r="HU82" s="3"/>
      <c r="HV82" s="3"/>
      <c r="HW82" s="3"/>
      <c r="HX82" s="3"/>
      <c r="HY82" s="3"/>
      <c r="HZ82" s="3"/>
      <c r="IA82" s="3"/>
      <c r="IB82" s="3"/>
      <c r="IC82" s="3"/>
      <c r="ID82" s="3"/>
      <c r="IE82" s="3"/>
      <c r="IF82" s="3"/>
      <c r="IG82" s="3"/>
      <c r="IH82" s="3"/>
      <c r="II82" s="3"/>
      <c r="IJ82" s="3"/>
      <c r="IK82" s="3"/>
      <c r="IL82" s="3"/>
      <c r="IM82" s="3"/>
      <c r="IN82" s="3"/>
      <c r="IO82" s="3"/>
      <c r="IP82" s="3"/>
      <c r="IQ82" s="3"/>
      <c r="IR82" s="3"/>
      <c r="IS82" s="3"/>
      <c r="IT82" s="3"/>
      <c r="IU82" s="3"/>
      <c r="IV82" s="3"/>
      <c r="IW82" s="3"/>
      <c r="IX82" s="3"/>
      <c r="IY82" s="3"/>
      <c r="IZ82" s="3"/>
      <c r="JA82" s="3"/>
      <c r="JB82" s="3"/>
      <c r="JC82" s="3"/>
      <c r="JD82" s="3"/>
      <c r="JE82" s="3"/>
      <c r="JF82" s="3"/>
      <c r="JG82" s="3"/>
      <c r="JH82" s="3"/>
      <c r="JI82" s="3"/>
      <c r="JJ82" s="3"/>
      <c r="JK82" s="3"/>
      <c r="JL82" s="3"/>
      <c r="JM82" s="3"/>
      <c r="JN82" s="3"/>
      <c r="JO82" s="3"/>
      <c r="JP82" s="3"/>
      <c r="JQ82" s="3"/>
      <c r="JR82" s="3"/>
      <c r="JS82" s="3"/>
      <c r="JT82" s="3"/>
      <c r="JU82" s="3"/>
      <c r="JV82" s="3"/>
      <c r="JW82" s="3"/>
      <c r="JX82" s="3"/>
      <c r="JY82" s="3"/>
      <c r="JZ82" s="3"/>
      <c r="KA82" s="3"/>
      <c r="KB82" s="3"/>
      <c r="KC82" s="3"/>
      <c r="KD82" s="3"/>
      <c r="KE82" s="3"/>
      <c r="KF82" s="3"/>
      <c r="KG82" s="3"/>
      <c r="KH82" s="3"/>
      <c r="KI82" s="3"/>
      <c r="KJ82" s="3"/>
      <c r="KK82" s="3"/>
      <c r="KL82" s="3"/>
      <c r="KM82" s="3"/>
      <c r="KN82" s="3"/>
      <c r="KO82" s="3"/>
      <c r="KP82" s="3"/>
      <c r="KQ82" s="3"/>
      <c r="KR82" s="3"/>
      <c r="KS82" s="3"/>
      <c r="KT82" s="3"/>
      <c r="KU82" s="3"/>
      <c r="KV82" s="3"/>
      <c r="KW82" s="3"/>
      <c r="KX82" s="3"/>
      <c r="KY82" s="3"/>
      <c r="KZ82" s="3"/>
      <c r="LA82" s="3"/>
      <c r="LB82" s="3"/>
      <c r="LC82" s="3"/>
      <c r="LD82" s="3"/>
      <c r="LE82" s="3"/>
      <c r="LF82" s="3"/>
      <c r="LG82" s="3"/>
      <c r="LH82" s="3"/>
      <c r="LI82" s="3"/>
      <c r="LJ82" s="3"/>
      <c r="LK82" s="3"/>
      <c r="LL82" s="3"/>
      <c r="LM82" s="3"/>
      <c r="LN82" s="3"/>
      <c r="LO82" s="3"/>
      <c r="LP82" s="3"/>
      <c r="LQ82" s="3"/>
      <c r="LR82" s="3"/>
      <c r="LS82" s="3"/>
      <c r="LT82" s="3"/>
      <c r="LU82" s="3"/>
      <c r="LV82" s="3"/>
      <c r="LW82" s="3"/>
      <c r="LX82" s="3"/>
      <c r="LY82" s="3"/>
      <c r="LZ82" s="3"/>
      <c r="MA82" s="3"/>
      <c r="MB82" s="3"/>
      <c r="MC82" s="3"/>
      <c r="MD82" s="3"/>
      <c r="ME82" s="3"/>
      <c r="MF82" s="3"/>
      <c r="MG82" s="3"/>
      <c r="MH82" s="3"/>
      <c r="MI82" s="3"/>
      <c r="MJ82" s="3"/>
      <c r="MK82" s="3"/>
      <c r="ML82" s="3"/>
      <c r="MM82" s="3"/>
      <c r="MN82" s="3"/>
      <c r="MO82" s="3"/>
      <c r="MP82" s="3"/>
      <c r="MQ82" s="3"/>
      <c r="MR82" s="3"/>
      <c r="MS82" s="3"/>
      <c r="MT82" s="3"/>
      <c r="MU82" s="3"/>
      <c r="MV82" s="3"/>
      <c r="MW82" s="3"/>
      <c r="MX82" s="3"/>
      <c r="MY82" s="3"/>
      <c r="MZ82" s="3"/>
      <c r="NA82" s="3"/>
      <c r="NB82" s="3"/>
      <c r="NC82" s="3"/>
      <c r="ND82" s="3"/>
      <c r="NE82" s="3"/>
      <c r="NF82" s="3"/>
      <c r="NG82" s="3"/>
      <c r="NH82" s="3"/>
      <c r="NI82" s="3"/>
      <c r="NJ82" s="3"/>
      <c r="NK82" s="3"/>
      <c r="NL82" s="3"/>
      <c r="NM82" s="3"/>
      <c r="NN82" s="3"/>
      <c r="NO82" s="3"/>
      <c r="NP82" s="3"/>
      <c r="NQ82" s="3"/>
      <c r="NR82" s="3"/>
      <c r="NS82" s="3"/>
      <c r="NT82" s="3"/>
      <c r="NU82" s="3"/>
      <c r="NV82" s="3"/>
      <c r="NW82" s="3"/>
      <c r="NX82" s="3"/>
      <c r="NY82" s="3"/>
      <c r="NZ82" s="3"/>
      <c r="OA82" s="3"/>
      <c r="OB82" s="3"/>
      <c r="OC82" s="3"/>
      <c r="OD82" s="3"/>
      <c r="OE82" s="3"/>
      <c r="OF82" s="3"/>
      <c r="OG82" s="3"/>
      <c r="OH82" s="3"/>
      <c r="OI82" s="3"/>
      <c r="OJ82" s="3"/>
      <c r="OK82" s="3"/>
      <c r="OL82" s="3"/>
      <c r="OM82" s="3"/>
      <c r="ON82" s="3"/>
      <c r="OO82" s="3"/>
      <c r="OP82" s="3"/>
      <c r="OQ82" s="3"/>
      <c r="OR82" s="3"/>
      <c r="OS82" s="3"/>
      <c r="OT82" s="3"/>
      <c r="OU82" s="3"/>
      <c r="OV82" s="3"/>
      <c r="OW82" s="3"/>
      <c r="OX82" s="3"/>
      <c r="OY82" s="3"/>
      <c r="OZ82" s="3"/>
      <c r="PA82" s="3"/>
      <c r="PB82" s="3"/>
      <c r="PC82" s="3"/>
      <c r="PD82" s="3"/>
      <c r="PE82" s="3"/>
      <c r="PF82" s="3"/>
      <c r="PG82" s="3"/>
      <c r="PH82" s="3"/>
      <c r="PI82" s="3"/>
      <c r="PJ82" s="3"/>
      <c r="PK82" s="3"/>
      <c r="PL82" s="3"/>
      <c r="PM82" s="3"/>
      <c r="PN82" s="3"/>
      <c r="PO82" s="3"/>
      <c r="PP82" s="3"/>
      <c r="PQ82" s="3"/>
      <c r="PR82" s="3"/>
      <c r="PS82" s="3"/>
      <c r="PT82" s="3"/>
      <c r="PU82" s="3"/>
      <c r="PV82" s="3"/>
      <c r="PW82" s="3"/>
      <c r="PX82" s="3"/>
      <c r="PY82" s="3"/>
      <c r="PZ82" s="3"/>
      <c r="QA82" s="3"/>
      <c r="QB82" s="3"/>
      <c r="QC82" s="3"/>
      <c r="QD82" s="3"/>
      <c r="QE82" s="3"/>
      <c r="QF82" s="3"/>
      <c r="QG82" s="3"/>
      <c r="QH82" s="3"/>
      <c r="QI82" s="3"/>
      <c r="QJ82" s="3"/>
      <c r="QK82" s="3"/>
      <c r="QL82" s="3"/>
      <c r="QM82" s="3"/>
      <c r="QN82" s="3"/>
      <c r="QO82" s="3"/>
      <c r="QP82" s="3"/>
      <c r="QQ82" s="3"/>
      <c r="QR82" s="3"/>
      <c r="QS82" s="3"/>
      <c r="QT82" s="3"/>
      <c r="QU82" s="3"/>
      <c r="QV82" s="3"/>
      <c r="QW82" s="3"/>
      <c r="QX82" s="3"/>
      <c r="QY82" s="3"/>
      <c r="QZ82" s="3"/>
      <c r="RA82" s="3"/>
      <c r="RB82" s="3"/>
      <c r="RC82" s="3"/>
      <c r="RD82" s="3"/>
      <c r="RE82" s="3"/>
      <c r="RF82" s="3"/>
      <c r="RG82" s="3"/>
      <c r="RH82" s="3"/>
      <c r="RI82" s="3"/>
      <c r="RJ82" s="3"/>
      <c r="RK82" s="3"/>
      <c r="RL82" s="3"/>
      <c r="RM82" s="3"/>
      <c r="RN82" s="3"/>
      <c r="RO82" s="3"/>
      <c r="RP82" s="3"/>
      <c r="RQ82" s="3"/>
      <c r="RR82" s="3"/>
      <c r="RS82" s="3"/>
      <c r="RT82" s="3"/>
      <c r="RU82" s="3"/>
      <c r="RV82" s="3"/>
      <c r="RW82" s="3"/>
      <c r="RX82" s="3"/>
      <c r="RY82" s="3"/>
      <c r="RZ82" s="3"/>
      <c r="SA82" s="3"/>
      <c r="SB82" s="3"/>
      <c r="SC82" s="3"/>
      <c r="SD82" s="3"/>
      <c r="SE82" s="3"/>
      <c r="SF82" s="3"/>
      <c r="SG82" s="3"/>
      <c r="SH82" s="3"/>
      <c r="SI82" s="3"/>
      <c r="SJ82" s="3"/>
      <c r="SK82" s="3"/>
      <c r="SL82" s="3"/>
      <c r="SM82" s="3"/>
      <c r="SN82" s="3"/>
      <c r="SO82" s="3"/>
      <c r="SP82" s="3"/>
      <c r="SQ82" s="3"/>
      <c r="SR82" s="3"/>
      <c r="SS82" s="3"/>
      <c r="ST82" s="3"/>
      <c r="SU82" s="3"/>
      <c r="SV82" s="3"/>
      <c r="SW82" s="3"/>
      <c r="SX82" s="3"/>
      <c r="SY82" s="3"/>
      <c r="SZ82" s="3"/>
      <c r="TA82" s="3"/>
      <c r="TB82" s="3"/>
      <c r="TC82" s="3"/>
      <c r="TD82" s="3"/>
      <c r="TE82" s="3"/>
      <c r="TF82" s="3"/>
      <c r="TG82" s="3"/>
      <c r="TH82" s="3"/>
      <c r="TI82" s="3"/>
      <c r="TJ82" s="3"/>
      <c r="TK82" s="3"/>
      <c r="TL82" s="3"/>
      <c r="TM82" s="3"/>
      <c r="TN82" s="3"/>
      <c r="TO82" s="3"/>
      <c r="TP82" s="3"/>
      <c r="TQ82" s="3"/>
      <c r="TR82" s="3"/>
      <c r="TS82" s="3"/>
      <c r="TT82" s="3"/>
      <c r="TU82" s="3"/>
      <c r="TV82" s="3"/>
      <c r="TW82" s="3"/>
      <c r="TX82" s="3"/>
      <c r="TY82" s="3"/>
      <c r="TZ82" s="3"/>
      <c r="UA82" s="3"/>
      <c r="UB82" s="3"/>
      <c r="UC82" s="3"/>
      <c r="UD82" s="3"/>
      <c r="UE82" s="3"/>
      <c r="UF82" s="3"/>
      <c r="UG82" s="3"/>
      <c r="UH82" s="3"/>
      <c r="UI82" s="3"/>
      <c r="UJ82" s="3"/>
      <c r="UK82" s="3"/>
      <c r="UL82" s="3"/>
      <c r="UM82" s="3"/>
      <c r="UN82" s="3"/>
      <c r="UO82" s="3"/>
      <c r="UP82" s="3"/>
      <c r="UQ82" s="3"/>
      <c r="UR82" s="3"/>
      <c r="US82" s="3"/>
      <c r="UT82" s="3"/>
      <c r="UU82" s="3"/>
      <c r="UV82" s="3"/>
      <c r="UW82" s="3"/>
      <c r="UX82" s="3"/>
      <c r="UY82" s="3"/>
      <c r="UZ82" s="3"/>
      <c r="VA82" s="3"/>
      <c r="VB82" s="3"/>
      <c r="VC82" s="3"/>
      <c r="VD82" s="3"/>
      <c r="VE82" s="3"/>
      <c r="VF82" s="3"/>
      <c r="VG82" s="3"/>
      <c r="VH82" s="3"/>
      <c r="VI82" s="3"/>
      <c r="VJ82" s="3"/>
      <c r="VK82" s="3"/>
      <c r="VL82" s="3"/>
      <c r="VM82" s="3"/>
      <c r="VN82" s="3"/>
      <c r="VO82" s="3"/>
      <c r="VP82" s="3"/>
      <c r="VQ82" s="3"/>
      <c r="VR82" s="3"/>
      <c r="VS82" s="3"/>
      <c r="VT82" s="3"/>
      <c r="VU82" s="3"/>
      <c r="VV82" s="3"/>
      <c r="VW82" s="3"/>
      <c r="VX82" s="3"/>
      <c r="VY82" s="3"/>
      <c r="VZ82" s="3"/>
      <c r="WA82" s="3"/>
      <c r="WB82" s="3"/>
      <c r="WC82" s="3"/>
      <c r="WD82" s="3"/>
      <c r="WE82" s="3"/>
      <c r="WF82" s="3"/>
      <c r="WG82" s="3"/>
      <c r="WH82" s="3"/>
      <c r="WI82" s="3"/>
      <c r="WJ82" s="3"/>
      <c r="WK82" s="3"/>
      <c r="WL82" s="3"/>
      <c r="WM82" s="3"/>
      <c r="WN82" s="3"/>
      <c r="WO82" s="3"/>
      <c r="WP82" s="3"/>
      <c r="WQ82" s="3"/>
      <c r="WR82" s="3"/>
      <c r="WS82" s="3"/>
      <c r="WT82" s="3"/>
      <c r="WU82" s="3"/>
      <c r="WV82" s="3"/>
      <c r="WW82" s="3"/>
      <c r="WX82" s="3"/>
      <c r="WY82" s="3"/>
      <c r="WZ82" s="3"/>
      <c r="XA82" s="3"/>
      <c r="XB82" s="3"/>
      <c r="XC82" s="3"/>
      <c r="XD82" s="3"/>
      <c r="XE82" s="3"/>
      <c r="XF82" s="3"/>
      <c r="XG82" s="3"/>
      <c r="XH82" s="3"/>
      <c r="XI82" s="3"/>
      <c r="XJ82" s="3"/>
      <c r="XK82" s="3"/>
      <c r="XL82" s="3"/>
      <c r="XM82" s="3"/>
      <c r="XN82" s="3"/>
      <c r="XO82" s="3"/>
      <c r="XP82" s="3"/>
      <c r="XQ82" s="3"/>
      <c r="XR82" s="3"/>
      <c r="XS82" s="3"/>
      <c r="XT82" s="3"/>
      <c r="XU82" s="3"/>
      <c r="XV82" s="3"/>
      <c r="XW82" s="3"/>
      <c r="XX82" s="3"/>
      <c r="XY82" s="3"/>
      <c r="XZ82" s="3"/>
      <c r="YA82" s="3"/>
      <c r="YB82" s="3"/>
      <c r="YC82" s="3"/>
      <c r="YD82" s="3"/>
      <c r="YE82" s="3"/>
      <c r="YF82" s="3"/>
      <c r="YG82" s="3"/>
      <c r="YH82" s="3"/>
      <c r="YI82" s="3"/>
      <c r="YJ82" s="3"/>
      <c r="YK82" s="3"/>
      <c r="YL82" s="3"/>
      <c r="YM82" s="3"/>
      <c r="YN82" s="3"/>
      <c r="YO82" s="3"/>
      <c r="YP82" s="3"/>
      <c r="YQ82" s="3"/>
      <c r="YR82" s="3"/>
      <c r="YS82" s="3"/>
      <c r="YT82" s="3"/>
      <c r="YU82" s="3"/>
      <c r="YV82" s="3"/>
      <c r="YW82" s="3"/>
      <c r="YX82" s="3"/>
      <c r="YY82" s="3"/>
      <c r="YZ82" s="3"/>
      <c r="ZA82" s="3"/>
      <c r="ZB82" s="3"/>
      <c r="ZC82" s="3"/>
    </row>
    <row r="83" spans="1:679" s="2" customFormat="1" x14ac:dyDescent="0.45">
      <c r="A83" s="3" t="s">
        <v>11</v>
      </c>
      <c r="B83" s="4">
        <v>32259</v>
      </c>
      <c r="C83" s="7" t="s">
        <v>25</v>
      </c>
      <c r="D83" s="6" t="s">
        <v>97</v>
      </c>
      <c r="E83" s="3"/>
      <c r="F83" s="3">
        <v>3</v>
      </c>
      <c r="L83" s="3"/>
      <c r="M83" s="3"/>
      <c r="N83" s="48"/>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c r="CY83" s="3"/>
      <c r="CZ83" s="3"/>
      <c r="DA83" s="3"/>
      <c r="DB83" s="3"/>
      <c r="DC83" s="3"/>
      <c r="DD83" s="3"/>
      <c r="DE83" s="3"/>
      <c r="DF83" s="3"/>
      <c r="DG83" s="3"/>
      <c r="DH83" s="3"/>
      <c r="DI83" s="3"/>
      <c r="DJ83" s="3"/>
      <c r="DK83" s="3"/>
      <c r="DL83" s="3"/>
      <c r="DM83" s="3"/>
      <c r="DN83" s="3"/>
      <c r="DO83" s="3"/>
      <c r="DP83" s="3"/>
      <c r="DQ83" s="3"/>
      <c r="DR83" s="3"/>
      <c r="DS83" s="3"/>
      <c r="DT83" s="3"/>
      <c r="DU83" s="3"/>
      <c r="DV83" s="3"/>
      <c r="DW83" s="3"/>
      <c r="DX83" s="3"/>
      <c r="DY83" s="3"/>
      <c r="DZ83" s="3"/>
      <c r="EA83" s="3"/>
      <c r="EB83" s="3"/>
      <c r="EC83" s="3"/>
      <c r="ED83" s="3"/>
      <c r="EE83" s="3"/>
      <c r="EF83" s="3"/>
      <c r="EG83" s="3"/>
      <c r="EH83" s="3"/>
      <c r="EI83" s="3"/>
      <c r="EJ83" s="3"/>
      <c r="EK83" s="3"/>
      <c r="EL83" s="3"/>
      <c r="EM83" s="3"/>
      <c r="EN83" s="3"/>
      <c r="EO83" s="3"/>
      <c r="EP83" s="3"/>
      <c r="EQ83" s="3"/>
      <c r="ER83" s="3"/>
      <c r="ES83" s="3"/>
      <c r="ET83" s="3"/>
      <c r="EU83" s="3"/>
      <c r="EV83" s="3"/>
      <c r="EW83" s="3"/>
      <c r="EX83" s="3"/>
      <c r="EY83" s="3"/>
      <c r="EZ83" s="3"/>
      <c r="FA83" s="3"/>
      <c r="FB83" s="3"/>
      <c r="FC83" s="3"/>
      <c r="FD83" s="3"/>
      <c r="FE83" s="3"/>
      <c r="FF83" s="3"/>
      <c r="FG83" s="3"/>
      <c r="FH83" s="3"/>
      <c r="FI83" s="3"/>
      <c r="FJ83" s="3"/>
      <c r="FK83" s="3"/>
      <c r="FL83" s="3"/>
      <c r="FM83" s="3"/>
      <c r="FN83" s="3"/>
      <c r="FO83" s="3"/>
      <c r="FP83" s="3"/>
      <c r="FQ83" s="3"/>
      <c r="FR83" s="3"/>
      <c r="FS83" s="3"/>
      <c r="FT83" s="3"/>
      <c r="FU83" s="3"/>
      <c r="FV83" s="3"/>
      <c r="FW83" s="3"/>
      <c r="FX83" s="3"/>
      <c r="FY83" s="3"/>
      <c r="FZ83" s="3"/>
      <c r="GA83" s="3"/>
      <c r="GB83" s="3"/>
      <c r="GC83" s="3"/>
      <c r="GD83" s="3"/>
      <c r="GE83" s="3"/>
      <c r="GF83" s="3"/>
      <c r="GG83" s="3"/>
      <c r="GH83" s="3"/>
      <c r="GI83" s="3"/>
      <c r="GJ83" s="3"/>
      <c r="GK83" s="3"/>
      <c r="GL83" s="3"/>
      <c r="GM83" s="3"/>
      <c r="GN83" s="3"/>
      <c r="GO83" s="3"/>
      <c r="GP83" s="3"/>
      <c r="GQ83" s="3"/>
      <c r="GR83" s="3"/>
      <c r="GS83" s="3"/>
      <c r="GT83" s="3"/>
      <c r="GU83" s="3"/>
      <c r="GV83" s="3"/>
      <c r="GW83" s="3"/>
      <c r="GX83" s="3"/>
      <c r="GY83" s="3"/>
      <c r="GZ83" s="3"/>
      <c r="HA83" s="3"/>
      <c r="HB83" s="3"/>
      <c r="HC83" s="3"/>
      <c r="HD83" s="3"/>
      <c r="HE83" s="3"/>
      <c r="HF83" s="3"/>
      <c r="HG83" s="3"/>
      <c r="HH83" s="3"/>
      <c r="HI83" s="3"/>
      <c r="HJ83" s="3"/>
      <c r="HK83" s="3"/>
      <c r="HL83" s="3"/>
      <c r="HM83" s="3"/>
      <c r="HN83" s="3"/>
      <c r="HO83" s="3"/>
      <c r="HP83" s="3"/>
      <c r="HQ83" s="3"/>
      <c r="HR83" s="3"/>
      <c r="HS83" s="3"/>
      <c r="HT83" s="3"/>
      <c r="HU83" s="3"/>
      <c r="HV83" s="3"/>
      <c r="HW83" s="3"/>
      <c r="HX83" s="3"/>
      <c r="HY83" s="3"/>
      <c r="HZ83" s="3"/>
      <c r="IA83" s="3"/>
      <c r="IB83" s="3"/>
      <c r="IC83" s="3"/>
      <c r="ID83" s="3"/>
      <c r="IE83" s="3"/>
      <c r="IF83" s="3"/>
      <c r="IG83" s="3"/>
      <c r="IH83" s="3"/>
      <c r="II83" s="3"/>
      <c r="IJ83" s="3"/>
      <c r="IK83" s="3"/>
      <c r="IL83" s="3"/>
      <c r="IM83" s="3"/>
      <c r="IN83" s="3"/>
      <c r="IO83" s="3"/>
      <c r="IP83" s="3"/>
      <c r="IQ83" s="3"/>
      <c r="IR83" s="3"/>
      <c r="IS83" s="3"/>
      <c r="IT83" s="3"/>
      <c r="IU83" s="3"/>
      <c r="IV83" s="3"/>
      <c r="IW83" s="3"/>
      <c r="IX83" s="3"/>
      <c r="IY83" s="3"/>
      <c r="IZ83" s="3"/>
      <c r="JA83" s="3"/>
      <c r="JB83" s="3"/>
      <c r="JC83" s="3"/>
      <c r="JD83" s="3"/>
      <c r="JE83" s="3"/>
      <c r="JF83" s="3"/>
      <c r="JG83" s="3"/>
      <c r="JH83" s="3"/>
      <c r="JI83" s="3"/>
      <c r="JJ83" s="3"/>
      <c r="JK83" s="3"/>
      <c r="JL83" s="3"/>
      <c r="JM83" s="3"/>
      <c r="JN83" s="3"/>
      <c r="JO83" s="3"/>
      <c r="JP83" s="3"/>
      <c r="JQ83" s="3"/>
      <c r="JR83" s="3"/>
      <c r="JS83" s="3"/>
      <c r="JT83" s="3"/>
      <c r="JU83" s="3"/>
      <c r="JV83" s="3"/>
      <c r="JW83" s="3"/>
      <c r="JX83" s="3"/>
      <c r="JY83" s="3"/>
      <c r="JZ83" s="3"/>
      <c r="KA83" s="3"/>
      <c r="KB83" s="3"/>
      <c r="KC83" s="3"/>
      <c r="KD83" s="3"/>
      <c r="KE83" s="3"/>
      <c r="KF83" s="3"/>
      <c r="KG83" s="3"/>
      <c r="KH83" s="3"/>
      <c r="KI83" s="3"/>
      <c r="KJ83" s="3"/>
      <c r="KK83" s="3"/>
      <c r="KL83" s="3"/>
      <c r="KM83" s="3"/>
      <c r="KN83" s="3"/>
      <c r="KO83" s="3"/>
      <c r="KP83" s="3"/>
      <c r="KQ83" s="3"/>
      <c r="KR83" s="3"/>
      <c r="KS83" s="3"/>
      <c r="KT83" s="3"/>
      <c r="KU83" s="3"/>
      <c r="KV83" s="3"/>
      <c r="KW83" s="3"/>
      <c r="KX83" s="3"/>
      <c r="KY83" s="3"/>
      <c r="KZ83" s="3"/>
      <c r="LA83" s="3"/>
      <c r="LB83" s="3"/>
      <c r="LC83" s="3"/>
      <c r="LD83" s="3"/>
      <c r="LE83" s="3"/>
      <c r="LF83" s="3"/>
      <c r="LG83" s="3"/>
      <c r="LH83" s="3"/>
      <c r="LI83" s="3"/>
      <c r="LJ83" s="3"/>
      <c r="LK83" s="3"/>
      <c r="LL83" s="3"/>
      <c r="LM83" s="3"/>
      <c r="LN83" s="3"/>
      <c r="LO83" s="3"/>
      <c r="LP83" s="3"/>
      <c r="LQ83" s="3"/>
      <c r="LR83" s="3"/>
      <c r="LS83" s="3"/>
      <c r="LT83" s="3"/>
      <c r="LU83" s="3"/>
      <c r="LV83" s="3"/>
      <c r="LW83" s="3"/>
      <c r="LX83" s="3"/>
      <c r="LY83" s="3"/>
      <c r="LZ83" s="3"/>
      <c r="MA83" s="3"/>
      <c r="MB83" s="3"/>
      <c r="MC83" s="3"/>
      <c r="MD83" s="3"/>
      <c r="ME83" s="3"/>
      <c r="MF83" s="3"/>
      <c r="MG83" s="3"/>
      <c r="MH83" s="3"/>
      <c r="MI83" s="3"/>
      <c r="MJ83" s="3"/>
      <c r="MK83" s="3"/>
      <c r="ML83" s="3"/>
      <c r="MM83" s="3"/>
      <c r="MN83" s="3"/>
      <c r="MO83" s="3"/>
      <c r="MP83" s="3"/>
      <c r="MQ83" s="3"/>
      <c r="MR83" s="3"/>
      <c r="MS83" s="3"/>
      <c r="MT83" s="3"/>
      <c r="MU83" s="3"/>
      <c r="MV83" s="3"/>
      <c r="MW83" s="3"/>
      <c r="MX83" s="3"/>
      <c r="MY83" s="3"/>
      <c r="MZ83" s="3"/>
      <c r="NA83" s="3"/>
      <c r="NB83" s="3"/>
      <c r="NC83" s="3"/>
      <c r="ND83" s="3"/>
      <c r="NE83" s="3"/>
      <c r="NF83" s="3"/>
      <c r="NG83" s="3"/>
      <c r="NH83" s="3"/>
      <c r="NI83" s="3"/>
      <c r="NJ83" s="3"/>
      <c r="NK83" s="3"/>
      <c r="NL83" s="3"/>
      <c r="NM83" s="3"/>
      <c r="NN83" s="3"/>
      <c r="NO83" s="3"/>
      <c r="NP83" s="3"/>
      <c r="NQ83" s="3"/>
      <c r="NR83" s="3"/>
      <c r="NS83" s="3"/>
      <c r="NT83" s="3"/>
      <c r="NU83" s="3"/>
      <c r="NV83" s="3"/>
      <c r="NW83" s="3"/>
      <c r="NX83" s="3"/>
      <c r="NY83" s="3"/>
      <c r="NZ83" s="3"/>
      <c r="OA83" s="3"/>
      <c r="OB83" s="3"/>
      <c r="OC83" s="3"/>
      <c r="OD83" s="3"/>
      <c r="OE83" s="3"/>
      <c r="OF83" s="3"/>
      <c r="OG83" s="3"/>
      <c r="OH83" s="3"/>
      <c r="OI83" s="3"/>
      <c r="OJ83" s="3"/>
      <c r="OK83" s="3"/>
      <c r="OL83" s="3"/>
      <c r="OM83" s="3"/>
      <c r="ON83" s="3"/>
      <c r="OO83" s="3"/>
      <c r="OP83" s="3"/>
      <c r="OQ83" s="3"/>
      <c r="OR83" s="3"/>
      <c r="OS83" s="3"/>
      <c r="OT83" s="3"/>
      <c r="OU83" s="3"/>
      <c r="OV83" s="3"/>
      <c r="OW83" s="3"/>
      <c r="OX83" s="3"/>
      <c r="OY83" s="3"/>
      <c r="OZ83" s="3"/>
      <c r="PA83" s="3"/>
      <c r="PB83" s="3"/>
      <c r="PC83" s="3"/>
      <c r="PD83" s="3"/>
      <c r="PE83" s="3"/>
      <c r="PF83" s="3"/>
      <c r="PG83" s="3"/>
      <c r="PH83" s="3"/>
      <c r="PI83" s="3"/>
      <c r="PJ83" s="3"/>
      <c r="PK83" s="3"/>
      <c r="PL83" s="3"/>
      <c r="PM83" s="3"/>
      <c r="PN83" s="3"/>
      <c r="PO83" s="3"/>
      <c r="PP83" s="3"/>
      <c r="PQ83" s="3"/>
      <c r="PR83" s="3"/>
      <c r="PS83" s="3"/>
      <c r="PT83" s="3"/>
      <c r="PU83" s="3"/>
      <c r="PV83" s="3"/>
      <c r="PW83" s="3"/>
      <c r="PX83" s="3"/>
      <c r="PY83" s="3"/>
      <c r="PZ83" s="3"/>
      <c r="QA83" s="3"/>
      <c r="QB83" s="3"/>
      <c r="QC83" s="3"/>
      <c r="QD83" s="3"/>
      <c r="QE83" s="3"/>
      <c r="QF83" s="3"/>
      <c r="QG83" s="3"/>
      <c r="QH83" s="3"/>
      <c r="QI83" s="3"/>
      <c r="QJ83" s="3"/>
      <c r="QK83" s="3"/>
      <c r="QL83" s="3"/>
      <c r="QM83" s="3"/>
      <c r="QN83" s="3"/>
      <c r="QO83" s="3"/>
      <c r="QP83" s="3"/>
      <c r="QQ83" s="3"/>
      <c r="QR83" s="3"/>
      <c r="QS83" s="3"/>
      <c r="QT83" s="3"/>
      <c r="QU83" s="3"/>
      <c r="QV83" s="3"/>
      <c r="QW83" s="3"/>
      <c r="QX83" s="3"/>
      <c r="QY83" s="3"/>
      <c r="QZ83" s="3"/>
      <c r="RA83" s="3"/>
      <c r="RB83" s="3"/>
      <c r="RC83" s="3"/>
      <c r="RD83" s="3"/>
      <c r="RE83" s="3"/>
      <c r="RF83" s="3"/>
      <c r="RG83" s="3"/>
      <c r="RH83" s="3"/>
      <c r="RI83" s="3"/>
      <c r="RJ83" s="3"/>
      <c r="RK83" s="3"/>
      <c r="RL83" s="3"/>
      <c r="RM83" s="3"/>
      <c r="RN83" s="3"/>
      <c r="RO83" s="3"/>
      <c r="RP83" s="3"/>
      <c r="RQ83" s="3"/>
      <c r="RR83" s="3"/>
      <c r="RS83" s="3"/>
      <c r="RT83" s="3"/>
      <c r="RU83" s="3"/>
      <c r="RV83" s="3"/>
      <c r="RW83" s="3"/>
      <c r="RX83" s="3"/>
      <c r="RY83" s="3"/>
      <c r="RZ83" s="3"/>
      <c r="SA83" s="3"/>
      <c r="SB83" s="3"/>
      <c r="SC83" s="3"/>
      <c r="SD83" s="3"/>
      <c r="SE83" s="3"/>
      <c r="SF83" s="3"/>
      <c r="SG83" s="3"/>
      <c r="SH83" s="3"/>
      <c r="SI83" s="3"/>
      <c r="SJ83" s="3"/>
      <c r="SK83" s="3"/>
      <c r="SL83" s="3"/>
      <c r="SM83" s="3"/>
      <c r="SN83" s="3"/>
      <c r="SO83" s="3"/>
      <c r="SP83" s="3"/>
      <c r="SQ83" s="3"/>
      <c r="SR83" s="3"/>
      <c r="SS83" s="3"/>
      <c r="ST83" s="3"/>
      <c r="SU83" s="3"/>
      <c r="SV83" s="3"/>
      <c r="SW83" s="3"/>
      <c r="SX83" s="3"/>
      <c r="SY83" s="3"/>
      <c r="SZ83" s="3"/>
      <c r="TA83" s="3"/>
      <c r="TB83" s="3"/>
      <c r="TC83" s="3"/>
      <c r="TD83" s="3"/>
      <c r="TE83" s="3"/>
      <c r="TF83" s="3"/>
      <c r="TG83" s="3"/>
      <c r="TH83" s="3"/>
      <c r="TI83" s="3"/>
      <c r="TJ83" s="3"/>
      <c r="TK83" s="3"/>
      <c r="TL83" s="3"/>
      <c r="TM83" s="3"/>
      <c r="TN83" s="3"/>
      <c r="TO83" s="3"/>
      <c r="TP83" s="3"/>
      <c r="TQ83" s="3"/>
      <c r="TR83" s="3"/>
      <c r="TS83" s="3"/>
      <c r="TT83" s="3"/>
      <c r="TU83" s="3"/>
      <c r="TV83" s="3"/>
      <c r="TW83" s="3"/>
      <c r="TX83" s="3"/>
      <c r="TY83" s="3"/>
      <c r="TZ83" s="3"/>
      <c r="UA83" s="3"/>
      <c r="UB83" s="3"/>
      <c r="UC83" s="3"/>
      <c r="UD83" s="3"/>
      <c r="UE83" s="3"/>
      <c r="UF83" s="3"/>
      <c r="UG83" s="3"/>
      <c r="UH83" s="3"/>
      <c r="UI83" s="3"/>
      <c r="UJ83" s="3"/>
      <c r="UK83" s="3"/>
      <c r="UL83" s="3"/>
      <c r="UM83" s="3"/>
      <c r="UN83" s="3"/>
      <c r="UO83" s="3"/>
      <c r="UP83" s="3"/>
      <c r="UQ83" s="3"/>
      <c r="UR83" s="3"/>
      <c r="US83" s="3"/>
      <c r="UT83" s="3"/>
      <c r="UU83" s="3"/>
      <c r="UV83" s="3"/>
      <c r="UW83" s="3"/>
      <c r="UX83" s="3"/>
      <c r="UY83" s="3"/>
      <c r="UZ83" s="3"/>
      <c r="VA83" s="3"/>
      <c r="VB83" s="3"/>
      <c r="VC83" s="3"/>
      <c r="VD83" s="3"/>
      <c r="VE83" s="3"/>
      <c r="VF83" s="3"/>
      <c r="VG83" s="3"/>
      <c r="VH83" s="3"/>
      <c r="VI83" s="3"/>
      <c r="VJ83" s="3"/>
      <c r="VK83" s="3"/>
      <c r="VL83" s="3"/>
      <c r="VM83" s="3"/>
      <c r="VN83" s="3"/>
      <c r="VO83" s="3"/>
      <c r="VP83" s="3"/>
      <c r="VQ83" s="3"/>
      <c r="VR83" s="3"/>
      <c r="VS83" s="3"/>
      <c r="VT83" s="3"/>
      <c r="VU83" s="3"/>
      <c r="VV83" s="3"/>
      <c r="VW83" s="3"/>
      <c r="VX83" s="3"/>
      <c r="VY83" s="3"/>
      <c r="VZ83" s="3"/>
      <c r="WA83" s="3"/>
      <c r="WB83" s="3"/>
      <c r="WC83" s="3"/>
      <c r="WD83" s="3"/>
      <c r="WE83" s="3"/>
      <c r="WF83" s="3"/>
      <c r="WG83" s="3"/>
      <c r="WH83" s="3"/>
      <c r="WI83" s="3"/>
      <c r="WJ83" s="3"/>
      <c r="WK83" s="3"/>
      <c r="WL83" s="3"/>
      <c r="WM83" s="3"/>
      <c r="WN83" s="3"/>
      <c r="WO83" s="3"/>
      <c r="WP83" s="3"/>
      <c r="WQ83" s="3"/>
      <c r="WR83" s="3"/>
      <c r="WS83" s="3"/>
      <c r="WT83" s="3"/>
      <c r="WU83" s="3"/>
      <c r="WV83" s="3"/>
      <c r="WW83" s="3"/>
      <c r="WX83" s="3"/>
      <c r="WY83" s="3"/>
      <c r="WZ83" s="3"/>
      <c r="XA83" s="3"/>
      <c r="XB83" s="3"/>
      <c r="XC83" s="3"/>
      <c r="XD83" s="3"/>
      <c r="XE83" s="3"/>
      <c r="XF83" s="3"/>
      <c r="XG83" s="3"/>
      <c r="XH83" s="3"/>
      <c r="XI83" s="3"/>
      <c r="XJ83" s="3"/>
      <c r="XK83" s="3"/>
      <c r="XL83" s="3"/>
      <c r="XM83" s="3"/>
      <c r="XN83" s="3"/>
      <c r="XO83" s="3"/>
      <c r="XP83" s="3"/>
      <c r="XQ83" s="3"/>
      <c r="XR83" s="3"/>
      <c r="XS83" s="3"/>
      <c r="XT83" s="3"/>
      <c r="XU83" s="3"/>
      <c r="XV83" s="3"/>
      <c r="XW83" s="3"/>
      <c r="XX83" s="3"/>
      <c r="XY83" s="3"/>
      <c r="XZ83" s="3"/>
      <c r="YA83" s="3"/>
      <c r="YB83" s="3"/>
      <c r="YC83" s="3"/>
      <c r="YD83" s="3"/>
      <c r="YE83" s="3"/>
      <c r="YF83" s="3"/>
      <c r="YG83" s="3"/>
      <c r="YH83" s="3"/>
      <c r="YI83" s="3"/>
      <c r="YJ83" s="3"/>
      <c r="YK83" s="3"/>
      <c r="YL83" s="3"/>
      <c r="YM83" s="3"/>
      <c r="YN83" s="3"/>
      <c r="YO83" s="3"/>
      <c r="YP83" s="3"/>
      <c r="YQ83" s="3"/>
      <c r="YR83" s="3"/>
      <c r="YS83" s="3"/>
      <c r="YT83" s="3"/>
      <c r="YU83" s="3"/>
      <c r="YV83" s="3"/>
      <c r="YW83" s="3"/>
      <c r="YX83" s="3"/>
      <c r="YY83" s="3"/>
      <c r="YZ83" s="3"/>
      <c r="ZA83" s="3"/>
      <c r="ZB83" s="3"/>
      <c r="ZC83" s="3"/>
    </row>
    <row r="84" spans="1:679" s="2" customFormat="1" x14ac:dyDescent="0.45">
      <c r="A84" s="3" t="s">
        <v>11</v>
      </c>
      <c r="B84" s="4">
        <v>32289</v>
      </c>
      <c r="C84" s="7" t="s">
        <v>25</v>
      </c>
      <c r="D84" s="6" t="s">
        <v>98</v>
      </c>
      <c r="E84" s="3"/>
      <c r="F84" s="3">
        <v>12</v>
      </c>
      <c r="L84" s="3"/>
      <c r="M84" s="3"/>
      <c r="N84" s="48"/>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c r="DR84" s="3"/>
      <c r="DS84" s="3"/>
      <c r="DT84" s="3"/>
      <c r="DU84" s="3"/>
      <c r="DV84" s="3"/>
      <c r="DW84" s="3"/>
      <c r="DX84" s="3"/>
      <c r="DY84" s="3"/>
      <c r="DZ84" s="3"/>
      <c r="EA84" s="3"/>
      <c r="EB84" s="3"/>
      <c r="EC84" s="3"/>
      <c r="ED84" s="3"/>
      <c r="EE84" s="3"/>
      <c r="EF84" s="3"/>
      <c r="EG84" s="3"/>
      <c r="EH84" s="3"/>
      <c r="EI84" s="3"/>
      <c r="EJ84" s="3"/>
      <c r="EK84" s="3"/>
      <c r="EL84" s="3"/>
      <c r="EM84" s="3"/>
      <c r="EN84" s="3"/>
      <c r="EO84" s="3"/>
      <c r="EP84" s="3"/>
      <c r="EQ84" s="3"/>
      <c r="ER84" s="3"/>
      <c r="ES84" s="3"/>
      <c r="ET84" s="3"/>
      <c r="EU84" s="3"/>
      <c r="EV84" s="3"/>
      <c r="EW84" s="3"/>
      <c r="EX84" s="3"/>
      <c r="EY84" s="3"/>
      <c r="EZ84" s="3"/>
      <c r="FA84" s="3"/>
      <c r="FB84" s="3"/>
      <c r="FC84" s="3"/>
      <c r="FD84" s="3"/>
      <c r="FE84" s="3"/>
      <c r="FF84" s="3"/>
      <c r="FG84" s="3"/>
      <c r="FH84" s="3"/>
      <c r="FI84" s="3"/>
      <c r="FJ84" s="3"/>
      <c r="FK84" s="3"/>
      <c r="FL84" s="3"/>
      <c r="FM84" s="3"/>
      <c r="FN84" s="3"/>
      <c r="FO84" s="3"/>
      <c r="FP84" s="3"/>
      <c r="FQ84" s="3"/>
      <c r="FR84" s="3"/>
      <c r="FS84" s="3"/>
      <c r="FT84" s="3"/>
      <c r="FU84" s="3"/>
      <c r="FV84" s="3"/>
      <c r="FW84" s="3"/>
      <c r="FX84" s="3"/>
      <c r="FY84" s="3"/>
      <c r="FZ84" s="3"/>
      <c r="GA84" s="3"/>
      <c r="GB84" s="3"/>
      <c r="GC84" s="3"/>
      <c r="GD84" s="3"/>
      <c r="GE84" s="3"/>
      <c r="GF84" s="3"/>
      <c r="GG84" s="3"/>
      <c r="GH84" s="3"/>
      <c r="GI84" s="3"/>
      <c r="GJ84" s="3"/>
      <c r="GK84" s="3"/>
      <c r="GL84" s="3"/>
      <c r="GM84" s="3"/>
      <c r="GN84" s="3"/>
      <c r="GO84" s="3"/>
      <c r="GP84" s="3"/>
      <c r="GQ84" s="3"/>
      <c r="GR84" s="3"/>
      <c r="GS84" s="3"/>
      <c r="GT84" s="3"/>
      <c r="GU84" s="3"/>
      <c r="GV84" s="3"/>
      <c r="GW84" s="3"/>
      <c r="GX84" s="3"/>
      <c r="GY84" s="3"/>
      <c r="GZ84" s="3"/>
      <c r="HA84" s="3"/>
      <c r="HB84" s="3"/>
      <c r="HC84" s="3"/>
      <c r="HD84" s="3"/>
      <c r="HE84" s="3"/>
      <c r="HF84" s="3"/>
      <c r="HG84" s="3"/>
      <c r="HH84" s="3"/>
      <c r="HI84" s="3"/>
      <c r="HJ84" s="3"/>
      <c r="HK84" s="3"/>
      <c r="HL84" s="3"/>
      <c r="HM84" s="3"/>
      <c r="HN84" s="3"/>
      <c r="HO84" s="3"/>
      <c r="HP84" s="3"/>
      <c r="HQ84" s="3"/>
      <c r="HR84" s="3"/>
      <c r="HS84" s="3"/>
      <c r="HT84" s="3"/>
      <c r="HU84" s="3"/>
      <c r="HV84" s="3"/>
      <c r="HW84" s="3"/>
      <c r="HX84" s="3"/>
      <c r="HY84" s="3"/>
      <c r="HZ84" s="3"/>
      <c r="IA84" s="3"/>
      <c r="IB84" s="3"/>
      <c r="IC84" s="3"/>
      <c r="ID84" s="3"/>
      <c r="IE84" s="3"/>
      <c r="IF84" s="3"/>
      <c r="IG84" s="3"/>
      <c r="IH84" s="3"/>
      <c r="II84" s="3"/>
      <c r="IJ84" s="3"/>
      <c r="IK84" s="3"/>
      <c r="IL84" s="3"/>
      <c r="IM84" s="3"/>
      <c r="IN84" s="3"/>
      <c r="IO84" s="3"/>
      <c r="IP84" s="3"/>
      <c r="IQ84" s="3"/>
      <c r="IR84" s="3"/>
      <c r="IS84" s="3"/>
      <c r="IT84" s="3"/>
      <c r="IU84" s="3"/>
      <c r="IV84" s="3"/>
      <c r="IW84" s="3"/>
      <c r="IX84" s="3"/>
      <c r="IY84" s="3"/>
      <c r="IZ84" s="3"/>
      <c r="JA84" s="3"/>
      <c r="JB84" s="3"/>
      <c r="JC84" s="3"/>
      <c r="JD84" s="3"/>
      <c r="JE84" s="3"/>
      <c r="JF84" s="3"/>
      <c r="JG84" s="3"/>
      <c r="JH84" s="3"/>
      <c r="JI84" s="3"/>
      <c r="JJ84" s="3"/>
      <c r="JK84" s="3"/>
      <c r="JL84" s="3"/>
      <c r="JM84" s="3"/>
      <c r="JN84" s="3"/>
      <c r="JO84" s="3"/>
      <c r="JP84" s="3"/>
      <c r="JQ84" s="3"/>
      <c r="JR84" s="3"/>
      <c r="JS84" s="3"/>
      <c r="JT84" s="3"/>
      <c r="JU84" s="3"/>
      <c r="JV84" s="3"/>
      <c r="JW84" s="3"/>
      <c r="JX84" s="3"/>
      <c r="JY84" s="3"/>
      <c r="JZ84" s="3"/>
      <c r="KA84" s="3"/>
      <c r="KB84" s="3"/>
      <c r="KC84" s="3"/>
      <c r="KD84" s="3"/>
      <c r="KE84" s="3"/>
      <c r="KF84" s="3"/>
      <c r="KG84" s="3"/>
      <c r="KH84" s="3"/>
      <c r="KI84" s="3"/>
      <c r="KJ84" s="3"/>
      <c r="KK84" s="3"/>
      <c r="KL84" s="3"/>
      <c r="KM84" s="3"/>
      <c r="KN84" s="3"/>
      <c r="KO84" s="3"/>
      <c r="KP84" s="3"/>
      <c r="KQ84" s="3"/>
      <c r="KR84" s="3"/>
      <c r="KS84" s="3"/>
      <c r="KT84" s="3"/>
      <c r="KU84" s="3"/>
      <c r="KV84" s="3"/>
      <c r="KW84" s="3"/>
      <c r="KX84" s="3"/>
      <c r="KY84" s="3"/>
      <c r="KZ84" s="3"/>
      <c r="LA84" s="3"/>
      <c r="LB84" s="3"/>
      <c r="LC84" s="3"/>
      <c r="LD84" s="3"/>
      <c r="LE84" s="3"/>
      <c r="LF84" s="3"/>
      <c r="LG84" s="3"/>
      <c r="LH84" s="3"/>
      <c r="LI84" s="3"/>
      <c r="LJ84" s="3"/>
      <c r="LK84" s="3"/>
      <c r="LL84" s="3"/>
      <c r="LM84" s="3"/>
      <c r="LN84" s="3"/>
      <c r="LO84" s="3"/>
      <c r="LP84" s="3"/>
      <c r="LQ84" s="3"/>
      <c r="LR84" s="3"/>
      <c r="LS84" s="3"/>
      <c r="LT84" s="3"/>
      <c r="LU84" s="3"/>
      <c r="LV84" s="3"/>
      <c r="LW84" s="3"/>
      <c r="LX84" s="3"/>
      <c r="LY84" s="3"/>
      <c r="LZ84" s="3"/>
      <c r="MA84" s="3"/>
      <c r="MB84" s="3"/>
      <c r="MC84" s="3"/>
      <c r="MD84" s="3"/>
      <c r="ME84" s="3"/>
      <c r="MF84" s="3"/>
      <c r="MG84" s="3"/>
      <c r="MH84" s="3"/>
      <c r="MI84" s="3"/>
      <c r="MJ84" s="3"/>
      <c r="MK84" s="3"/>
      <c r="ML84" s="3"/>
      <c r="MM84" s="3"/>
      <c r="MN84" s="3"/>
      <c r="MO84" s="3"/>
      <c r="MP84" s="3"/>
      <c r="MQ84" s="3"/>
      <c r="MR84" s="3"/>
      <c r="MS84" s="3"/>
      <c r="MT84" s="3"/>
      <c r="MU84" s="3"/>
      <c r="MV84" s="3"/>
      <c r="MW84" s="3"/>
      <c r="MX84" s="3"/>
      <c r="MY84" s="3"/>
      <c r="MZ84" s="3"/>
      <c r="NA84" s="3"/>
      <c r="NB84" s="3"/>
      <c r="NC84" s="3"/>
      <c r="ND84" s="3"/>
      <c r="NE84" s="3"/>
      <c r="NF84" s="3"/>
      <c r="NG84" s="3"/>
      <c r="NH84" s="3"/>
      <c r="NI84" s="3"/>
      <c r="NJ84" s="3"/>
      <c r="NK84" s="3"/>
      <c r="NL84" s="3"/>
      <c r="NM84" s="3"/>
      <c r="NN84" s="3"/>
      <c r="NO84" s="3"/>
      <c r="NP84" s="3"/>
      <c r="NQ84" s="3"/>
      <c r="NR84" s="3"/>
      <c r="NS84" s="3"/>
      <c r="NT84" s="3"/>
      <c r="NU84" s="3"/>
      <c r="NV84" s="3"/>
      <c r="NW84" s="3"/>
      <c r="NX84" s="3"/>
      <c r="NY84" s="3"/>
      <c r="NZ84" s="3"/>
      <c r="OA84" s="3"/>
      <c r="OB84" s="3"/>
      <c r="OC84" s="3"/>
      <c r="OD84" s="3"/>
      <c r="OE84" s="3"/>
      <c r="OF84" s="3"/>
      <c r="OG84" s="3"/>
      <c r="OH84" s="3"/>
      <c r="OI84" s="3"/>
      <c r="OJ84" s="3"/>
      <c r="OK84" s="3"/>
      <c r="OL84" s="3"/>
      <c r="OM84" s="3"/>
      <c r="ON84" s="3"/>
      <c r="OO84" s="3"/>
      <c r="OP84" s="3"/>
      <c r="OQ84" s="3"/>
      <c r="OR84" s="3"/>
      <c r="OS84" s="3"/>
      <c r="OT84" s="3"/>
      <c r="OU84" s="3"/>
      <c r="OV84" s="3"/>
      <c r="OW84" s="3"/>
      <c r="OX84" s="3"/>
      <c r="OY84" s="3"/>
      <c r="OZ84" s="3"/>
      <c r="PA84" s="3"/>
      <c r="PB84" s="3"/>
      <c r="PC84" s="3"/>
      <c r="PD84" s="3"/>
      <c r="PE84" s="3"/>
      <c r="PF84" s="3"/>
      <c r="PG84" s="3"/>
      <c r="PH84" s="3"/>
      <c r="PI84" s="3"/>
      <c r="PJ84" s="3"/>
      <c r="PK84" s="3"/>
      <c r="PL84" s="3"/>
      <c r="PM84" s="3"/>
      <c r="PN84" s="3"/>
      <c r="PO84" s="3"/>
      <c r="PP84" s="3"/>
      <c r="PQ84" s="3"/>
      <c r="PR84" s="3"/>
      <c r="PS84" s="3"/>
      <c r="PT84" s="3"/>
      <c r="PU84" s="3"/>
      <c r="PV84" s="3"/>
      <c r="PW84" s="3"/>
      <c r="PX84" s="3"/>
      <c r="PY84" s="3"/>
      <c r="PZ84" s="3"/>
      <c r="QA84" s="3"/>
      <c r="QB84" s="3"/>
      <c r="QC84" s="3"/>
      <c r="QD84" s="3"/>
      <c r="QE84" s="3"/>
      <c r="QF84" s="3"/>
      <c r="QG84" s="3"/>
      <c r="QH84" s="3"/>
      <c r="QI84" s="3"/>
      <c r="QJ84" s="3"/>
      <c r="QK84" s="3"/>
      <c r="QL84" s="3"/>
      <c r="QM84" s="3"/>
      <c r="QN84" s="3"/>
      <c r="QO84" s="3"/>
      <c r="QP84" s="3"/>
      <c r="QQ84" s="3"/>
      <c r="QR84" s="3"/>
      <c r="QS84" s="3"/>
      <c r="QT84" s="3"/>
      <c r="QU84" s="3"/>
      <c r="QV84" s="3"/>
      <c r="QW84" s="3"/>
      <c r="QX84" s="3"/>
      <c r="QY84" s="3"/>
      <c r="QZ84" s="3"/>
      <c r="RA84" s="3"/>
      <c r="RB84" s="3"/>
      <c r="RC84" s="3"/>
      <c r="RD84" s="3"/>
      <c r="RE84" s="3"/>
      <c r="RF84" s="3"/>
      <c r="RG84" s="3"/>
      <c r="RH84" s="3"/>
      <c r="RI84" s="3"/>
      <c r="RJ84" s="3"/>
      <c r="RK84" s="3"/>
      <c r="RL84" s="3"/>
      <c r="RM84" s="3"/>
      <c r="RN84" s="3"/>
      <c r="RO84" s="3"/>
      <c r="RP84" s="3"/>
      <c r="RQ84" s="3"/>
      <c r="RR84" s="3"/>
      <c r="RS84" s="3"/>
      <c r="RT84" s="3"/>
      <c r="RU84" s="3"/>
      <c r="RV84" s="3"/>
      <c r="RW84" s="3"/>
      <c r="RX84" s="3"/>
      <c r="RY84" s="3"/>
      <c r="RZ84" s="3"/>
      <c r="SA84" s="3"/>
      <c r="SB84" s="3"/>
      <c r="SC84" s="3"/>
      <c r="SD84" s="3"/>
      <c r="SE84" s="3"/>
      <c r="SF84" s="3"/>
      <c r="SG84" s="3"/>
      <c r="SH84" s="3"/>
      <c r="SI84" s="3"/>
      <c r="SJ84" s="3"/>
      <c r="SK84" s="3"/>
      <c r="SL84" s="3"/>
      <c r="SM84" s="3"/>
      <c r="SN84" s="3"/>
      <c r="SO84" s="3"/>
      <c r="SP84" s="3"/>
      <c r="SQ84" s="3"/>
      <c r="SR84" s="3"/>
      <c r="SS84" s="3"/>
      <c r="ST84" s="3"/>
      <c r="SU84" s="3"/>
      <c r="SV84" s="3"/>
      <c r="SW84" s="3"/>
      <c r="SX84" s="3"/>
      <c r="SY84" s="3"/>
      <c r="SZ84" s="3"/>
      <c r="TA84" s="3"/>
      <c r="TB84" s="3"/>
      <c r="TC84" s="3"/>
      <c r="TD84" s="3"/>
      <c r="TE84" s="3"/>
      <c r="TF84" s="3"/>
      <c r="TG84" s="3"/>
      <c r="TH84" s="3"/>
      <c r="TI84" s="3"/>
      <c r="TJ84" s="3"/>
      <c r="TK84" s="3"/>
      <c r="TL84" s="3"/>
      <c r="TM84" s="3"/>
      <c r="TN84" s="3"/>
      <c r="TO84" s="3"/>
      <c r="TP84" s="3"/>
      <c r="TQ84" s="3"/>
      <c r="TR84" s="3"/>
      <c r="TS84" s="3"/>
      <c r="TT84" s="3"/>
      <c r="TU84" s="3"/>
      <c r="TV84" s="3"/>
      <c r="TW84" s="3"/>
      <c r="TX84" s="3"/>
      <c r="TY84" s="3"/>
      <c r="TZ84" s="3"/>
      <c r="UA84" s="3"/>
      <c r="UB84" s="3"/>
      <c r="UC84" s="3"/>
      <c r="UD84" s="3"/>
      <c r="UE84" s="3"/>
      <c r="UF84" s="3"/>
      <c r="UG84" s="3"/>
      <c r="UH84" s="3"/>
      <c r="UI84" s="3"/>
      <c r="UJ84" s="3"/>
      <c r="UK84" s="3"/>
      <c r="UL84" s="3"/>
      <c r="UM84" s="3"/>
      <c r="UN84" s="3"/>
      <c r="UO84" s="3"/>
      <c r="UP84" s="3"/>
      <c r="UQ84" s="3"/>
      <c r="UR84" s="3"/>
      <c r="US84" s="3"/>
      <c r="UT84" s="3"/>
      <c r="UU84" s="3"/>
      <c r="UV84" s="3"/>
      <c r="UW84" s="3"/>
      <c r="UX84" s="3"/>
      <c r="UY84" s="3"/>
      <c r="UZ84" s="3"/>
      <c r="VA84" s="3"/>
      <c r="VB84" s="3"/>
      <c r="VC84" s="3"/>
      <c r="VD84" s="3"/>
      <c r="VE84" s="3"/>
      <c r="VF84" s="3"/>
      <c r="VG84" s="3"/>
      <c r="VH84" s="3"/>
      <c r="VI84" s="3"/>
      <c r="VJ84" s="3"/>
      <c r="VK84" s="3"/>
      <c r="VL84" s="3"/>
      <c r="VM84" s="3"/>
      <c r="VN84" s="3"/>
      <c r="VO84" s="3"/>
      <c r="VP84" s="3"/>
      <c r="VQ84" s="3"/>
      <c r="VR84" s="3"/>
      <c r="VS84" s="3"/>
      <c r="VT84" s="3"/>
      <c r="VU84" s="3"/>
      <c r="VV84" s="3"/>
      <c r="VW84" s="3"/>
      <c r="VX84" s="3"/>
      <c r="VY84" s="3"/>
      <c r="VZ84" s="3"/>
      <c r="WA84" s="3"/>
      <c r="WB84" s="3"/>
      <c r="WC84" s="3"/>
      <c r="WD84" s="3"/>
      <c r="WE84" s="3"/>
      <c r="WF84" s="3"/>
      <c r="WG84" s="3"/>
      <c r="WH84" s="3"/>
      <c r="WI84" s="3"/>
      <c r="WJ84" s="3"/>
      <c r="WK84" s="3"/>
      <c r="WL84" s="3"/>
      <c r="WM84" s="3"/>
      <c r="WN84" s="3"/>
      <c r="WO84" s="3"/>
      <c r="WP84" s="3"/>
      <c r="WQ84" s="3"/>
      <c r="WR84" s="3"/>
      <c r="WS84" s="3"/>
      <c r="WT84" s="3"/>
      <c r="WU84" s="3"/>
      <c r="WV84" s="3"/>
      <c r="WW84" s="3"/>
      <c r="WX84" s="3"/>
      <c r="WY84" s="3"/>
      <c r="WZ84" s="3"/>
      <c r="XA84" s="3"/>
      <c r="XB84" s="3"/>
      <c r="XC84" s="3"/>
      <c r="XD84" s="3"/>
      <c r="XE84" s="3"/>
      <c r="XF84" s="3"/>
      <c r="XG84" s="3"/>
      <c r="XH84" s="3"/>
      <c r="XI84" s="3"/>
      <c r="XJ84" s="3"/>
      <c r="XK84" s="3"/>
      <c r="XL84" s="3"/>
      <c r="XM84" s="3"/>
      <c r="XN84" s="3"/>
      <c r="XO84" s="3"/>
      <c r="XP84" s="3"/>
      <c r="XQ84" s="3"/>
      <c r="XR84" s="3"/>
      <c r="XS84" s="3"/>
      <c r="XT84" s="3"/>
      <c r="XU84" s="3"/>
      <c r="XV84" s="3"/>
      <c r="XW84" s="3"/>
      <c r="XX84" s="3"/>
      <c r="XY84" s="3"/>
      <c r="XZ84" s="3"/>
      <c r="YA84" s="3"/>
      <c r="YB84" s="3"/>
      <c r="YC84" s="3"/>
      <c r="YD84" s="3"/>
      <c r="YE84" s="3"/>
      <c r="YF84" s="3"/>
      <c r="YG84" s="3"/>
      <c r="YH84" s="3"/>
      <c r="YI84" s="3"/>
      <c r="YJ84" s="3"/>
      <c r="YK84" s="3"/>
      <c r="YL84" s="3"/>
      <c r="YM84" s="3"/>
      <c r="YN84" s="3"/>
      <c r="YO84" s="3"/>
      <c r="YP84" s="3"/>
      <c r="YQ84" s="3"/>
      <c r="YR84" s="3"/>
      <c r="YS84" s="3"/>
      <c r="YT84" s="3"/>
      <c r="YU84" s="3"/>
      <c r="YV84" s="3"/>
      <c r="YW84" s="3"/>
      <c r="YX84" s="3"/>
      <c r="YY84" s="3"/>
      <c r="YZ84" s="3"/>
      <c r="ZA84" s="3"/>
      <c r="ZB84" s="3"/>
      <c r="ZC84" s="3"/>
    </row>
    <row r="85" spans="1:679" s="2" customFormat="1" x14ac:dyDescent="0.45">
      <c r="A85" s="3" t="s">
        <v>11</v>
      </c>
      <c r="B85" s="4">
        <v>32373</v>
      </c>
      <c r="C85" s="7" t="s">
        <v>25</v>
      </c>
      <c r="D85" s="6" t="s">
        <v>99</v>
      </c>
      <c r="E85" s="3"/>
      <c r="F85" s="3">
        <v>18</v>
      </c>
      <c r="L85" s="3"/>
      <c r="M85" s="3"/>
      <c r="N85" s="48"/>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c r="EU85" s="3"/>
      <c r="EV85" s="3"/>
      <c r="EW85" s="3"/>
      <c r="EX85" s="3"/>
      <c r="EY85" s="3"/>
      <c r="EZ85" s="3"/>
      <c r="FA85" s="3"/>
      <c r="FB85" s="3"/>
      <c r="FC85" s="3"/>
      <c r="FD85" s="3"/>
      <c r="FE85" s="3"/>
      <c r="FF85" s="3"/>
      <c r="FG85" s="3"/>
      <c r="FH85" s="3"/>
      <c r="FI85" s="3"/>
      <c r="FJ85" s="3"/>
      <c r="FK85" s="3"/>
      <c r="FL85" s="3"/>
      <c r="FM85" s="3"/>
      <c r="FN85" s="3"/>
      <c r="FO85" s="3"/>
      <c r="FP85" s="3"/>
      <c r="FQ85" s="3"/>
      <c r="FR85" s="3"/>
      <c r="FS85" s="3"/>
      <c r="FT85" s="3"/>
      <c r="FU85" s="3"/>
      <c r="FV85" s="3"/>
      <c r="FW85" s="3"/>
      <c r="FX85" s="3"/>
      <c r="FY85" s="3"/>
      <c r="FZ85" s="3"/>
      <c r="GA85" s="3"/>
      <c r="GB85" s="3"/>
      <c r="GC85" s="3"/>
      <c r="GD85" s="3"/>
      <c r="GE85" s="3"/>
      <c r="GF85" s="3"/>
      <c r="GG85" s="3"/>
      <c r="GH85" s="3"/>
      <c r="GI85" s="3"/>
      <c r="GJ85" s="3"/>
      <c r="GK85" s="3"/>
      <c r="GL85" s="3"/>
      <c r="GM85" s="3"/>
      <c r="GN85" s="3"/>
      <c r="GO85" s="3"/>
      <c r="GP85" s="3"/>
      <c r="GQ85" s="3"/>
      <c r="GR85" s="3"/>
      <c r="GS85" s="3"/>
      <c r="GT85" s="3"/>
      <c r="GU85" s="3"/>
      <c r="GV85" s="3"/>
      <c r="GW85" s="3"/>
      <c r="GX85" s="3"/>
      <c r="GY85" s="3"/>
      <c r="GZ85" s="3"/>
      <c r="HA85" s="3"/>
      <c r="HB85" s="3"/>
      <c r="HC85" s="3"/>
      <c r="HD85" s="3"/>
      <c r="HE85" s="3"/>
      <c r="HF85" s="3"/>
      <c r="HG85" s="3"/>
      <c r="HH85" s="3"/>
      <c r="HI85" s="3"/>
      <c r="HJ85" s="3"/>
      <c r="HK85" s="3"/>
      <c r="HL85" s="3"/>
      <c r="HM85" s="3"/>
      <c r="HN85" s="3"/>
      <c r="HO85" s="3"/>
      <c r="HP85" s="3"/>
      <c r="HQ85" s="3"/>
      <c r="HR85" s="3"/>
      <c r="HS85" s="3"/>
      <c r="HT85" s="3"/>
      <c r="HU85" s="3"/>
      <c r="HV85" s="3"/>
      <c r="HW85" s="3"/>
      <c r="HX85" s="3"/>
      <c r="HY85" s="3"/>
      <c r="HZ85" s="3"/>
      <c r="IA85" s="3"/>
      <c r="IB85" s="3"/>
      <c r="IC85" s="3"/>
      <c r="ID85" s="3"/>
      <c r="IE85" s="3"/>
      <c r="IF85" s="3"/>
      <c r="IG85" s="3"/>
      <c r="IH85" s="3"/>
      <c r="II85" s="3"/>
      <c r="IJ85" s="3"/>
      <c r="IK85" s="3"/>
      <c r="IL85" s="3"/>
      <c r="IM85" s="3"/>
      <c r="IN85" s="3"/>
      <c r="IO85" s="3"/>
      <c r="IP85" s="3"/>
      <c r="IQ85" s="3"/>
      <c r="IR85" s="3"/>
      <c r="IS85" s="3"/>
      <c r="IT85" s="3"/>
      <c r="IU85" s="3"/>
      <c r="IV85" s="3"/>
      <c r="IW85" s="3"/>
      <c r="IX85" s="3"/>
      <c r="IY85" s="3"/>
      <c r="IZ85" s="3"/>
      <c r="JA85" s="3"/>
      <c r="JB85" s="3"/>
      <c r="JC85" s="3"/>
      <c r="JD85" s="3"/>
      <c r="JE85" s="3"/>
      <c r="JF85" s="3"/>
      <c r="JG85" s="3"/>
      <c r="JH85" s="3"/>
      <c r="JI85" s="3"/>
      <c r="JJ85" s="3"/>
      <c r="JK85" s="3"/>
      <c r="JL85" s="3"/>
      <c r="JM85" s="3"/>
      <c r="JN85" s="3"/>
      <c r="JO85" s="3"/>
      <c r="JP85" s="3"/>
      <c r="JQ85" s="3"/>
      <c r="JR85" s="3"/>
      <c r="JS85" s="3"/>
      <c r="JT85" s="3"/>
      <c r="JU85" s="3"/>
      <c r="JV85" s="3"/>
      <c r="JW85" s="3"/>
      <c r="JX85" s="3"/>
      <c r="JY85" s="3"/>
      <c r="JZ85" s="3"/>
      <c r="KA85" s="3"/>
      <c r="KB85" s="3"/>
      <c r="KC85" s="3"/>
      <c r="KD85" s="3"/>
      <c r="KE85" s="3"/>
      <c r="KF85" s="3"/>
      <c r="KG85" s="3"/>
      <c r="KH85" s="3"/>
      <c r="KI85" s="3"/>
      <c r="KJ85" s="3"/>
      <c r="KK85" s="3"/>
      <c r="KL85" s="3"/>
      <c r="KM85" s="3"/>
      <c r="KN85" s="3"/>
      <c r="KO85" s="3"/>
      <c r="KP85" s="3"/>
      <c r="KQ85" s="3"/>
      <c r="KR85" s="3"/>
      <c r="KS85" s="3"/>
      <c r="KT85" s="3"/>
      <c r="KU85" s="3"/>
      <c r="KV85" s="3"/>
      <c r="KW85" s="3"/>
      <c r="KX85" s="3"/>
      <c r="KY85" s="3"/>
      <c r="KZ85" s="3"/>
      <c r="LA85" s="3"/>
      <c r="LB85" s="3"/>
      <c r="LC85" s="3"/>
      <c r="LD85" s="3"/>
      <c r="LE85" s="3"/>
      <c r="LF85" s="3"/>
      <c r="LG85" s="3"/>
      <c r="LH85" s="3"/>
      <c r="LI85" s="3"/>
      <c r="LJ85" s="3"/>
      <c r="LK85" s="3"/>
      <c r="LL85" s="3"/>
      <c r="LM85" s="3"/>
      <c r="LN85" s="3"/>
      <c r="LO85" s="3"/>
      <c r="LP85" s="3"/>
      <c r="LQ85" s="3"/>
      <c r="LR85" s="3"/>
      <c r="LS85" s="3"/>
      <c r="LT85" s="3"/>
      <c r="LU85" s="3"/>
      <c r="LV85" s="3"/>
      <c r="LW85" s="3"/>
      <c r="LX85" s="3"/>
      <c r="LY85" s="3"/>
      <c r="LZ85" s="3"/>
      <c r="MA85" s="3"/>
      <c r="MB85" s="3"/>
      <c r="MC85" s="3"/>
      <c r="MD85" s="3"/>
      <c r="ME85" s="3"/>
      <c r="MF85" s="3"/>
      <c r="MG85" s="3"/>
      <c r="MH85" s="3"/>
      <c r="MI85" s="3"/>
      <c r="MJ85" s="3"/>
      <c r="MK85" s="3"/>
      <c r="ML85" s="3"/>
      <c r="MM85" s="3"/>
      <c r="MN85" s="3"/>
      <c r="MO85" s="3"/>
      <c r="MP85" s="3"/>
      <c r="MQ85" s="3"/>
      <c r="MR85" s="3"/>
      <c r="MS85" s="3"/>
      <c r="MT85" s="3"/>
      <c r="MU85" s="3"/>
      <c r="MV85" s="3"/>
      <c r="MW85" s="3"/>
      <c r="MX85" s="3"/>
      <c r="MY85" s="3"/>
      <c r="MZ85" s="3"/>
      <c r="NA85" s="3"/>
      <c r="NB85" s="3"/>
      <c r="NC85" s="3"/>
      <c r="ND85" s="3"/>
      <c r="NE85" s="3"/>
      <c r="NF85" s="3"/>
      <c r="NG85" s="3"/>
      <c r="NH85" s="3"/>
      <c r="NI85" s="3"/>
      <c r="NJ85" s="3"/>
      <c r="NK85" s="3"/>
      <c r="NL85" s="3"/>
      <c r="NM85" s="3"/>
      <c r="NN85" s="3"/>
      <c r="NO85" s="3"/>
      <c r="NP85" s="3"/>
      <c r="NQ85" s="3"/>
      <c r="NR85" s="3"/>
      <c r="NS85" s="3"/>
      <c r="NT85" s="3"/>
      <c r="NU85" s="3"/>
      <c r="NV85" s="3"/>
      <c r="NW85" s="3"/>
      <c r="NX85" s="3"/>
      <c r="NY85" s="3"/>
      <c r="NZ85" s="3"/>
      <c r="OA85" s="3"/>
      <c r="OB85" s="3"/>
      <c r="OC85" s="3"/>
      <c r="OD85" s="3"/>
      <c r="OE85" s="3"/>
      <c r="OF85" s="3"/>
      <c r="OG85" s="3"/>
      <c r="OH85" s="3"/>
      <c r="OI85" s="3"/>
      <c r="OJ85" s="3"/>
      <c r="OK85" s="3"/>
      <c r="OL85" s="3"/>
      <c r="OM85" s="3"/>
      <c r="ON85" s="3"/>
      <c r="OO85" s="3"/>
      <c r="OP85" s="3"/>
      <c r="OQ85" s="3"/>
      <c r="OR85" s="3"/>
      <c r="OS85" s="3"/>
      <c r="OT85" s="3"/>
      <c r="OU85" s="3"/>
      <c r="OV85" s="3"/>
      <c r="OW85" s="3"/>
      <c r="OX85" s="3"/>
      <c r="OY85" s="3"/>
      <c r="OZ85" s="3"/>
      <c r="PA85" s="3"/>
      <c r="PB85" s="3"/>
      <c r="PC85" s="3"/>
      <c r="PD85" s="3"/>
      <c r="PE85" s="3"/>
      <c r="PF85" s="3"/>
      <c r="PG85" s="3"/>
      <c r="PH85" s="3"/>
      <c r="PI85" s="3"/>
      <c r="PJ85" s="3"/>
      <c r="PK85" s="3"/>
      <c r="PL85" s="3"/>
      <c r="PM85" s="3"/>
      <c r="PN85" s="3"/>
      <c r="PO85" s="3"/>
      <c r="PP85" s="3"/>
      <c r="PQ85" s="3"/>
      <c r="PR85" s="3"/>
      <c r="PS85" s="3"/>
      <c r="PT85" s="3"/>
      <c r="PU85" s="3"/>
      <c r="PV85" s="3"/>
      <c r="PW85" s="3"/>
      <c r="PX85" s="3"/>
      <c r="PY85" s="3"/>
      <c r="PZ85" s="3"/>
      <c r="QA85" s="3"/>
      <c r="QB85" s="3"/>
      <c r="QC85" s="3"/>
      <c r="QD85" s="3"/>
      <c r="QE85" s="3"/>
      <c r="QF85" s="3"/>
      <c r="QG85" s="3"/>
      <c r="QH85" s="3"/>
      <c r="QI85" s="3"/>
      <c r="QJ85" s="3"/>
      <c r="QK85" s="3"/>
      <c r="QL85" s="3"/>
      <c r="QM85" s="3"/>
      <c r="QN85" s="3"/>
      <c r="QO85" s="3"/>
      <c r="QP85" s="3"/>
      <c r="QQ85" s="3"/>
      <c r="QR85" s="3"/>
      <c r="QS85" s="3"/>
      <c r="QT85" s="3"/>
      <c r="QU85" s="3"/>
      <c r="QV85" s="3"/>
      <c r="QW85" s="3"/>
      <c r="QX85" s="3"/>
      <c r="QY85" s="3"/>
      <c r="QZ85" s="3"/>
      <c r="RA85" s="3"/>
      <c r="RB85" s="3"/>
      <c r="RC85" s="3"/>
      <c r="RD85" s="3"/>
      <c r="RE85" s="3"/>
      <c r="RF85" s="3"/>
      <c r="RG85" s="3"/>
      <c r="RH85" s="3"/>
      <c r="RI85" s="3"/>
      <c r="RJ85" s="3"/>
      <c r="RK85" s="3"/>
      <c r="RL85" s="3"/>
      <c r="RM85" s="3"/>
      <c r="RN85" s="3"/>
      <c r="RO85" s="3"/>
      <c r="RP85" s="3"/>
      <c r="RQ85" s="3"/>
      <c r="RR85" s="3"/>
      <c r="RS85" s="3"/>
      <c r="RT85" s="3"/>
      <c r="RU85" s="3"/>
      <c r="RV85" s="3"/>
      <c r="RW85" s="3"/>
      <c r="RX85" s="3"/>
      <c r="RY85" s="3"/>
      <c r="RZ85" s="3"/>
      <c r="SA85" s="3"/>
      <c r="SB85" s="3"/>
      <c r="SC85" s="3"/>
      <c r="SD85" s="3"/>
      <c r="SE85" s="3"/>
      <c r="SF85" s="3"/>
      <c r="SG85" s="3"/>
      <c r="SH85" s="3"/>
      <c r="SI85" s="3"/>
      <c r="SJ85" s="3"/>
      <c r="SK85" s="3"/>
      <c r="SL85" s="3"/>
      <c r="SM85" s="3"/>
      <c r="SN85" s="3"/>
      <c r="SO85" s="3"/>
      <c r="SP85" s="3"/>
      <c r="SQ85" s="3"/>
      <c r="SR85" s="3"/>
      <c r="SS85" s="3"/>
      <c r="ST85" s="3"/>
      <c r="SU85" s="3"/>
      <c r="SV85" s="3"/>
      <c r="SW85" s="3"/>
      <c r="SX85" s="3"/>
      <c r="SY85" s="3"/>
      <c r="SZ85" s="3"/>
      <c r="TA85" s="3"/>
      <c r="TB85" s="3"/>
      <c r="TC85" s="3"/>
      <c r="TD85" s="3"/>
      <c r="TE85" s="3"/>
      <c r="TF85" s="3"/>
      <c r="TG85" s="3"/>
      <c r="TH85" s="3"/>
      <c r="TI85" s="3"/>
      <c r="TJ85" s="3"/>
      <c r="TK85" s="3"/>
      <c r="TL85" s="3"/>
      <c r="TM85" s="3"/>
      <c r="TN85" s="3"/>
      <c r="TO85" s="3"/>
      <c r="TP85" s="3"/>
      <c r="TQ85" s="3"/>
      <c r="TR85" s="3"/>
      <c r="TS85" s="3"/>
      <c r="TT85" s="3"/>
      <c r="TU85" s="3"/>
      <c r="TV85" s="3"/>
      <c r="TW85" s="3"/>
      <c r="TX85" s="3"/>
      <c r="TY85" s="3"/>
      <c r="TZ85" s="3"/>
      <c r="UA85" s="3"/>
      <c r="UB85" s="3"/>
      <c r="UC85" s="3"/>
      <c r="UD85" s="3"/>
      <c r="UE85" s="3"/>
      <c r="UF85" s="3"/>
      <c r="UG85" s="3"/>
      <c r="UH85" s="3"/>
      <c r="UI85" s="3"/>
      <c r="UJ85" s="3"/>
      <c r="UK85" s="3"/>
      <c r="UL85" s="3"/>
      <c r="UM85" s="3"/>
      <c r="UN85" s="3"/>
      <c r="UO85" s="3"/>
      <c r="UP85" s="3"/>
      <c r="UQ85" s="3"/>
      <c r="UR85" s="3"/>
      <c r="US85" s="3"/>
      <c r="UT85" s="3"/>
      <c r="UU85" s="3"/>
      <c r="UV85" s="3"/>
      <c r="UW85" s="3"/>
      <c r="UX85" s="3"/>
      <c r="UY85" s="3"/>
      <c r="UZ85" s="3"/>
      <c r="VA85" s="3"/>
      <c r="VB85" s="3"/>
      <c r="VC85" s="3"/>
      <c r="VD85" s="3"/>
      <c r="VE85" s="3"/>
      <c r="VF85" s="3"/>
      <c r="VG85" s="3"/>
      <c r="VH85" s="3"/>
      <c r="VI85" s="3"/>
      <c r="VJ85" s="3"/>
      <c r="VK85" s="3"/>
      <c r="VL85" s="3"/>
      <c r="VM85" s="3"/>
      <c r="VN85" s="3"/>
      <c r="VO85" s="3"/>
      <c r="VP85" s="3"/>
      <c r="VQ85" s="3"/>
      <c r="VR85" s="3"/>
      <c r="VS85" s="3"/>
      <c r="VT85" s="3"/>
      <c r="VU85" s="3"/>
      <c r="VV85" s="3"/>
      <c r="VW85" s="3"/>
      <c r="VX85" s="3"/>
      <c r="VY85" s="3"/>
      <c r="VZ85" s="3"/>
      <c r="WA85" s="3"/>
      <c r="WB85" s="3"/>
      <c r="WC85" s="3"/>
      <c r="WD85" s="3"/>
      <c r="WE85" s="3"/>
      <c r="WF85" s="3"/>
      <c r="WG85" s="3"/>
      <c r="WH85" s="3"/>
      <c r="WI85" s="3"/>
      <c r="WJ85" s="3"/>
      <c r="WK85" s="3"/>
      <c r="WL85" s="3"/>
      <c r="WM85" s="3"/>
      <c r="WN85" s="3"/>
      <c r="WO85" s="3"/>
      <c r="WP85" s="3"/>
      <c r="WQ85" s="3"/>
      <c r="WR85" s="3"/>
      <c r="WS85" s="3"/>
      <c r="WT85" s="3"/>
      <c r="WU85" s="3"/>
      <c r="WV85" s="3"/>
      <c r="WW85" s="3"/>
      <c r="WX85" s="3"/>
      <c r="WY85" s="3"/>
      <c r="WZ85" s="3"/>
      <c r="XA85" s="3"/>
      <c r="XB85" s="3"/>
      <c r="XC85" s="3"/>
      <c r="XD85" s="3"/>
      <c r="XE85" s="3"/>
      <c r="XF85" s="3"/>
      <c r="XG85" s="3"/>
      <c r="XH85" s="3"/>
      <c r="XI85" s="3"/>
      <c r="XJ85" s="3"/>
      <c r="XK85" s="3"/>
      <c r="XL85" s="3"/>
      <c r="XM85" s="3"/>
      <c r="XN85" s="3"/>
      <c r="XO85" s="3"/>
      <c r="XP85" s="3"/>
      <c r="XQ85" s="3"/>
      <c r="XR85" s="3"/>
      <c r="XS85" s="3"/>
      <c r="XT85" s="3"/>
      <c r="XU85" s="3"/>
      <c r="XV85" s="3"/>
      <c r="XW85" s="3"/>
      <c r="XX85" s="3"/>
      <c r="XY85" s="3"/>
      <c r="XZ85" s="3"/>
      <c r="YA85" s="3"/>
      <c r="YB85" s="3"/>
      <c r="YC85" s="3"/>
      <c r="YD85" s="3"/>
      <c r="YE85" s="3"/>
      <c r="YF85" s="3"/>
      <c r="YG85" s="3"/>
      <c r="YH85" s="3"/>
      <c r="YI85" s="3"/>
      <c r="YJ85" s="3"/>
      <c r="YK85" s="3"/>
      <c r="YL85" s="3"/>
      <c r="YM85" s="3"/>
      <c r="YN85" s="3"/>
      <c r="YO85" s="3"/>
      <c r="YP85" s="3"/>
      <c r="YQ85" s="3"/>
      <c r="YR85" s="3"/>
      <c r="YS85" s="3"/>
      <c r="YT85" s="3"/>
      <c r="YU85" s="3"/>
      <c r="YV85" s="3"/>
      <c r="YW85" s="3"/>
      <c r="YX85" s="3"/>
      <c r="YY85" s="3"/>
      <c r="YZ85" s="3"/>
      <c r="ZA85" s="3"/>
      <c r="ZB85" s="3"/>
      <c r="ZC85" s="3"/>
    </row>
    <row r="86" spans="1:679" s="2" customFormat="1" x14ac:dyDescent="0.45">
      <c r="A86" s="3" t="s">
        <v>11</v>
      </c>
      <c r="B86" s="4">
        <v>32384</v>
      </c>
      <c r="C86" s="7" t="s">
        <v>21</v>
      </c>
      <c r="D86" s="6" t="s">
        <v>100</v>
      </c>
      <c r="E86" s="3"/>
      <c r="F86" s="3">
        <v>18</v>
      </c>
      <c r="L86" s="3"/>
      <c r="M86" s="3"/>
      <c r="N86" s="48"/>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3"/>
      <c r="DK86" s="3"/>
      <c r="DL86" s="3"/>
      <c r="DM86" s="3"/>
      <c r="DN86" s="3"/>
      <c r="DO86" s="3"/>
      <c r="DP86" s="3"/>
      <c r="DQ86" s="3"/>
      <c r="DR86" s="3"/>
      <c r="DS86" s="3"/>
      <c r="DT86" s="3"/>
      <c r="DU86" s="3"/>
      <c r="DV86" s="3"/>
      <c r="DW86" s="3"/>
      <c r="DX86" s="3"/>
      <c r="DY86" s="3"/>
      <c r="DZ86" s="3"/>
      <c r="EA86" s="3"/>
      <c r="EB86" s="3"/>
      <c r="EC86" s="3"/>
      <c r="ED86" s="3"/>
      <c r="EE86" s="3"/>
      <c r="EF86" s="3"/>
      <c r="EG86" s="3"/>
      <c r="EH86" s="3"/>
      <c r="EI86" s="3"/>
      <c r="EJ86" s="3"/>
      <c r="EK86" s="3"/>
      <c r="EL86" s="3"/>
      <c r="EM86" s="3"/>
      <c r="EN86" s="3"/>
      <c r="EO86" s="3"/>
      <c r="EP86" s="3"/>
      <c r="EQ86" s="3"/>
      <c r="ER86" s="3"/>
      <c r="ES86" s="3"/>
      <c r="ET86" s="3"/>
      <c r="EU86" s="3"/>
      <c r="EV86" s="3"/>
      <c r="EW86" s="3"/>
      <c r="EX86" s="3"/>
      <c r="EY86" s="3"/>
      <c r="EZ86" s="3"/>
      <c r="FA86" s="3"/>
      <c r="FB86" s="3"/>
      <c r="FC86" s="3"/>
      <c r="FD86" s="3"/>
      <c r="FE86" s="3"/>
      <c r="FF86" s="3"/>
      <c r="FG86" s="3"/>
      <c r="FH86" s="3"/>
      <c r="FI86" s="3"/>
      <c r="FJ86" s="3"/>
      <c r="FK86" s="3"/>
      <c r="FL86" s="3"/>
      <c r="FM86" s="3"/>
      <c r="FN86" s="3"/>
      <c r="FO86" s="3"/>
      <c r="FP86" s="3"/>
      <c r="FQ86" s="3"/>
      <c r="FR86" s="3"/>
      <c r="FS86" s="3"/>
      <c r="FT86" s="3"/>
      <c r="FU86" s="3"/>
      <c r="FV86" s="3"/>
      <c r="FW86" s="3"/>
      <c r="FX86" s="3"/>
      <c r="FY86" s="3"/>
      <c r="FZ86" s="3"/>
      <c r="GA86" s="3"/>
      <c r="GB86" s="3"/>
      <c r="GC86" s="3"/>
      <c r="GD86" s="3"/>
      <c r="GE86" s="3"/>
      <c r="GF86" s="3"/>
      <c r="GG86" s="3"/>
      <c r="GH86" s="3"/>
      <c r="GI86" s="3"/>
      <c r="GJ86" s="3"/>
      <c r="GK86" s="3"/>
      <c r="GL86" s="3"/>
      <c r="GM86" s="3"/>
      <c r="GN86" s="3"/>
      <c r="GO86" s="3"/>
      <c r="GP86" s="3"/>
      <c r="GQ86" s="3"/>
      <c r="GR86" s="3"/>
      <c r="GS86" s="3"/>
      <c r="GT86" s="3"/>
      <c r="GU86" s="3"/>
      <c r="GV86" s="3"/>
      <c r="GW86" s="3"/>
      <c r="GX86" s="3"/>
      <c r="GY86" s="3"/>
      <c r="GZ86" s="3"/>
      <c r="HA86" s="3"/>
      <c r="HB86" s="3"/>
      <c r="HC86" s="3"/>
      <c r="HD86" s="3"/>
      <c r="HE86" s="3"/>
      <c r="HF86" s="3"/>
      <c r="HG86" s="3"/>
      <c r="HH86" s="3"/>
      <c r="HI86" s="3"/>
      <c r="HJ86" s="3"/>
      <c r="HK86" s="3"/>
      <c r="HL86" s="3"/>
      <c r="HM86" s="3"/>
      <c r="HN86" s="3"/>
      <c r="HO86" s="3"/>
      <c r="HP86" s="3"/>
      <c r="HQ86" s="3"/>
      <c r="HR86" s="3"/>
      <c r="HS86" s="3"/>
      <c r="HT86" s="3"/>
      <c r="HU86" s="3"/>
      <c r="HV86" s="3"/>
      <c r="HW86" s="3"/>
      <c r="HX86" s="3"/>
      <c r="HY86" s="3"/>
      <c r="HZ86" s="3"/>
      <c r="IA86" s="3"/>
      <c r="IB86" s="3"/>
      <c r="IC86" s="3"/>
      <c r="ID86" s="3"/>
      <c r="IE86" s="3"/>
      <c r="IF86" s="3"/>
      <c r="IG86" s="3"/>
      <c r="IH86" s="3"/>
      <c r="II86" s="3"/>
      <c r="IJ86" s="3"/>
      <c r="IK86" s="3"/>
      <c r="IL86" s="3"/>
      <c r="IM86" s="3"/>
      <c r="IN86" s="3"/>
      <c r="IO86" s="3"/>
      <c r="IP86" s="3"/>
      <c r="IQ86" s="3"/>
      <c r="IR86" s="3"/>
      <c r="IS86" s="3"/>
      <c r="IT86" s="3"/>
      <c r="IU86" s="3"/>
      <c r="IV86" s="3"/>
      <c r="IW86" s="3"/>
      <c r="IX86" s="3"/>
      <c r="IY86" s="3"/>
      <c r="IZ86" s="3"/>
      <c r="JA86" s="3"/>
      <c r="JB86" s="3"/>
      <c r="JC86" s="3"/>
      <c r="JD86" s="3"/>
      <c r="JE86" s="3"/>
      <c r="JF86" s="3"/>
      <c r="JG86" s="3"/>
      <c r="JH86" s="3"/>
      <c r="JI86" s="3"/>
      <c r="JJ86" s="3"/>
      <c r="JK86" s="3"/>
      <c r="JL86" s="3"/>
      <c r="JM86" s="3"/>
      <c r="JN86" s="3"/>
      <c r="JO86" s="3"/>
      <c r="JP86" s="3"/>
      <c r="JQ86" s="3"/>
      <c r="JR86" s="3"/>
      <c r="JS86" s="3"/>
      <c r="JT86" s="3"/>
      <c r="JU86" s="3"/>
      <c r="JV86" s="3"/>
      <c r="JW86" s="3"/>
      <c r="JX86" s="3"/>
      <c r="JY86" s="3"/>
      <c r="JZ86" s="3"/>
      <c r="KA86" s="3"/>
      <c r="KB86" s="3"/>
      <c r="KC86" s="3"/>
      <c r="KD86" s="3"/>
      <c r="KE86" s="3"/>
      <c r="KF86" s="3"/>
      <c r="KG86" s="3"/>
      <c r="KH86" s="3"/>
      <c r="KI86" s="3"/>
      <c r="KJ86" s="3"/>
      <c r="KK86" s="3"/>
      <c r="KL86" s="3"/>
      <c r="KM86" s="3"/>
      <c r="KN86" s="3"/>
      <c r="KO86" s="3"/>
      <c r="KP86" s="3"/>
      <c r="KQ86" s="3"/>
      <c r="KR86" s="3"/>
      <c r="KS86" s="3"/>
      <c r="KT86" s="3"/>
      <c r="KU86" s="3"/>
      <c r="KV86" s="3"/>
      <c r="KW86" s="3"/>
      <c r="KX86" s="3"/>
      <c r="KY86" s="3"/>
      <c r="KZ86" s="3"/>
      <c r="LA86" s="3"/>
      <c r="LB86" s="3"/>
      <c r="LC86" s="3"/>
      <c r="LD86" s="3"/>
      <c r="LE86" s="3"/>
      <c r="LF86" s="3"/>
      <c r="LG86" s="3"/>
      <c r="LH86" s="3"/>
      <c r="LI86" s="3"/>
      <c r="LJ86" s="3"/>
      <c r="LK86" s="3"/>
      <c r="LL86" s="3"/>
      <c r="LM86" s="3"/>
      <c r="LN86" s="3"/>
      <c r="LO86" s="3"/>
      <c r="LP86" s="3"/>
      <c r="LQ86" s="3"/>
      <c r="LR86" s="3"/>
      <c r="LS86" s="3"/>
      <c r="LT86" s="3"/>
      <c r="LU86" s="3"/>
      <c r="LV86" s="3"/>
      <c r="LW86" s="3"/>
      <c r="LX86" s="3"/>
      <c r="LY86" s="3"/>
      <c r="LZ86" s="3"/>
      <c r="MA86" s="3"/>
      <c r="MB86" s="3"/>
      <c r="MC86" s="3"/>
      <c r="MD86" s="3"/>
      <c r="ME86" s="3"/>
      <c r="MF86" s="3"/>
      <c r="MG86" s="3"/>
      <c r="MH86" s="3"/>
      <c r="MI86" s="3"/>
      <c r="MJ86" s="3"/>
      <c r="MK86" s="3"/>
      <c r="ML86" s="3"/>
      <c r="MM86" s="3"/>
      <c r="MN86" s="3"/>
      <c r="MO86" s="3"/>
      <c r="MP86" s="3"/>
      <c r="MQ86" s="3"/>
      <c r="MR86" s="3"/>
      <c r="MS86" s="3"/>
      <c r="MT86" s="3"/>
      <c r="MU86" s="3"/>
      <c r="MV86" s="3"/>
      <c r="MW86" s="3"/>
      <c r="MX86" s="3"/>
      <c r="MY86" s="3"/>
      <c r="MZ86" s="3"/>
      <c r="NA86" s="3"/>
      <c r="NB86" s="3"/>
      <c r="NC86" s="3"/>
      <c r="ND86" s="3"/>
      <c r="NE86" s="3"/>
      <c r="NF86" s="3"/>
      <c r="NG86" s="3"/>
      <c r="NH86" s="3"/>
      <c r="NI86" s="3"/>
      <c r="NJ86" s="3"/>
      <c r="NK86" s="3"/>
      <c r="NL86" s="3"/>
      <c r="NM86" s="3"/>
      <c r="NN86" s="3"/>
      <c r="NO86" s="3"/>
      <c r="NP86" s="3"/>
      <c r="NQ86" s="3"/>
      <c r="NR86" s="3"/>
      <c r="NS86" s="3"/>
      <c r="NT86" s="3"/>
      <c r="NU86" s="3"/>
      <c r="NV86" s="3"/>
      <c r="NW86" s="3"/>
      <c r="NX86" s="3"/>
      <c r="NY86" s="3"/>
      <c r="NZ86" s="3"/>
      <c r="OA86" s="3"/>
      <c r="OB86" s="3"/>
      <c r="OC86" s="3"/>
      <c r="OD86" s="3"/>
      <c r="OE86" s="3"/>
      <c r="OF86" s="3"/>
      <c r="OG86" s="3"/>
      <c r="OH86" s="3"/>
      <c r="OI86" s="3"/>
      <c r="OJ86" s="3"/>
      <c r="OK86" s="3"/>
      <c r="OL86" s="3"/>
      <c r="OM86" s="3"/>
      <c r="ON86" s="3"/>
      <c r="OO86" s="3"/>
      <c r="OP86" s="3"/>
      <c r="OQ86" s="3"/>
      <c r="OR86" s="3"/>
      <c r="OS86" s="3"/>
      <c r="OT86" s="3"/>
      <c r="OU86" s="3"/>
      <c r="OV86" s="3"/>
      <c r="OW86" s="3"/>
      <c r="OX86" s="3"/>
      <c r="OY86" s="3"/>
      <c r="OZ86" s="3"/>
      <c r="PA86" s="3"/>
      <c r="PB86" s="3"/>
      <c r="PC86" s="3"/>
      <c r="PD86" s="3"/>
      <c r="PE86" s="3"/>
      <c r="PF86" s="3"/>
      <c r="PG86" s="3"/>
      <c r="PH86" s="3"/>
      <c r="PI86" s="3"/>
      <c r="PJ86" s="3"/>
      <c r="PK86" s="3"/>
      <c r="PL86" s="3"/>
      <c r="PM86" s="3"/>
      <c r="PN86" s="3"/>
      <c r="PO86" s="3"/>
      <c r="PP86" s="3"/>
      <c r="PQ86" s="3"/>
      <c r="PR86" s="3"/>
      <c r="PS86" s="3"/>
      <c r="PT86" s="3"/>
      <c r="PU86" s="3"/>
      <c r="PV86" s="3"/>
      <c r="PW86" s="3"/>
      <c r="PX86" s="3"/>
      <c r="PY86" s="3"/>
      <c r="PZ86" s="3"/>
      <c r="QA86" s="3"/>
      <c r="QB86" s="3"/>
      <c r="QC86" s="3"/>
      <c r="QD86" s="3"/>
      <c r="QE86" s="3"/>
      <c r="QF86" s="3"/>
      <c r="QG86" s="3"/>
      <c r="QH86" s="3"/>
      <c r="QI86" s="3"/>
      <c r="QJ86" s="3"/>
      <c r="QK86" s="3"/>
      <c r="QL86" s="3"/>
      <c r="QM86" s="3"/>
      <c r="QN86" s="3"/>
      <c r="QO86" s="3"/>
      <c r="QP86" s="3"/>
      <c r="QQ86" s="3"/>
      <c r="QR86" s="3"/>
      <c r="QS86" s="3"/>
      <c r="QT86" s="3"/>
      <c r="QU86" s="3"/>
      <c r="QV86" s="3"/>
      <c r="QW86" s="3"/>
      <c r="QX86" s="3"/>
      <c r="QY86" s="3"/>
      <c r="QZ86" s="3"/>
      <c r="RA86" s="3"/>
      <c r="RB86" s="3"/>
      <c r="RC86" s="3"/>
      <c r="RD86" s="3"/>
      <c r="RE86" s="3"/>
      <c r="RF86" s="3"/>
      <c r="RG86" s="3"/>
      <c r="RH86" s="3"/>
      <c r="RI86" s="3"/>
      <c r="RJ86" s="3"/>
      <c r="RK86" s="3"/>
      <c r="RL86" s="3"/>
      <c r="RM86" s="3"/>
      <c r="RN86" s="3"/>
      <c r="RO86" s="3"/>
      <c r="RP86" s="3"/>
      <c r="RQ86" s="3"/>
      <c r="RR86" s="3"/>
      <c r="RS86" s="3"/>
      <c r="RT86" s="3"/>
      <c r="RU86" s="3"/>
      <c r="RV86" s="3"/>
      <c r="RW86" s="3"/>
      <c r="RX86" s="3"/>
      <c r="RY86" s="3"/>
      <c r="RZ86" s="3"/>
      <c r="SA86" s="3"/>
      <c r="SB86" s="3"/>
      <c r="SC86" s="3"/>
      <c r="SD86" s="3"/>
      <c r="SE86" s="3"/>
      <c r="SF86" s="3"/>
      <c r="SG86" s="3"/>
      <c r="SH86" s="3"/>
      <c r="SI86" s="3"/>
      <c r="SJ86" s="3"/>
      <c r="SK86" s="3"/>
      <c r="SL86" s="3"/>
      <c r="SM86" s="3"/>
      <c r="SN86" s="3"/>
      <c r="SO86" s="3"/>
      <c r="SP86" s="3"/>
      <c r="SQ86" s="3"/>
      <c r="SR86" s="3"/>
      <c r="SS86" s="3"/>
      <c r="ST86" s="3"/>
      <c r="SU86" s="3"/>
      <c r="SV86" s="3"/>
      <c r="SW86" s="3"/>
      <c r="SX86" s="3"/>
      <c r="SY86" s="3"/>
      <c r="SZ86" s="3"/>
      <c r="TA86" s="3"/>
      <c r="TB86" s="3"/>
      <c r="TC86" s="3"/>
      <c r="TD86" s="3"/>
      <c r="TE86" s="3"/>
      <c r="TF86" s="3"/>
      <c r="TG86" s="3"/>
      <c r="TH86" s="3"/>
      <c r="TI86" s="3"/>
      <c r="TJ86" s="3"/>
      <c r="TK86" s="3"/>
      <c r="TL86" s="3"/>
      <c r="TM86" s="3"/>
      <c r="TN86" s="3"/>
      <c r="TO86" s="3"/>
      <c r="TP86" s="3"/>
      <c r="TQ86" s="3"/>
      <c r="TR86" s="3"/>
      <c r="TS86" s="3"/>
      <c r="TT86" s="3"/>
      <c r="TU86" s="3"/>
      <c r="TV86" s="3"/>
      <c r="TW86" s="3"/>
      <c r="TX86" s="3"/>
      <c r="TY86" s="3"/>
      <c r="TZ86" s="3"/>
      <c r="UA86" s="3"/>
      <c r="UB86" s="3"/>
      <c r="UC86" s="3"/>
      <c r="UD86" s="3"/>
      <c r="UE86" s="3"/>
      <c r="UF86" s="3"/>
      <c r="UG86" s="3"/>
      <c r="UH86" s="3"/>
      <c r="UI86" s="3"/>
      <c r="UJ86" s="3"/>
      <c r="UK86" s="3"/>
      <c r="UL86" s="3"/>
      <c r="UM86" s="3"/>
      <c r="UN86" s="3"/>
      <c r="UO86" s="3"/>
      <c r="UP86" s="3"/>
      <c r="UQ86" s="3"/>
      <c r="UR86" s="3"/>
      <c r="US86" s="3"/>
      <c r="UT86" s="3"/>
      <c r="UU86" s="3"/>
      <c r="UV86" s="3"/>
      <c r="UW86" s="3"/>
      <c r="UX86" s="3"/>
      <c r="UY86" s="3"/>
      <c r="UZ86" s="3"/>
      <c r="VA86" s="3"/>
      <c r="VB86" s="3"/>
      <c r="VC86" s="3"/>
      <c r="VD86" s="3"/>
      <c r="VE86" s="3"/>
      <c r="VF86" s="3"/>
      <c r="VG86" s="3"/>
      <c r="VH86" s="3"/>
      <c r="VI86" s="3"/>
      <c r="VJ86" s="3"/>
      <c r="VK86" s="3"/>
      <c r="VL86" s="3"/>
      <c r="VM86" s="3"/>
      <c r="VN86" s="3"/>
      <c r="VO86" s="3"/>
      <c r="VP86" s="3"/>
      <c r="VQ86" s="3"/>
      <c r="VR86" s="3"/>
      <c r="VS86" s="3"/>
      <c r="VT86" s="3"/>
      <c r="VU86" s="3"/>
      <c r="VV86" s="3"/>
      <c r="VW86" s="3"/>
      <c r="VX86" s="3"/>
      <c r="VY86" s="3"/>
      <c r="VZ86" s="3"/>
      <c r="WA86" s="3"/>
      <c r="WB86" s="3"/>
      <c r="WC86" s="3"/>
      <c r="WD86" s="3"/>
      <c r="WE86" s="3"/>
      <c r="WF86" s="3"/>
      <c r="WG86" s="3"/>
      <c r="WH86" s="3"/>
      <c r="WI86" s="3"/>
      <c r="WJ86" s="3"/>
      <c r="WK86" s="3"/>
      <c r="WL86" s="3"/>
      <c r="WM86" s="3"/>
      <c r="WN86" s="3"/>
      <c r="WO86" s="3"/>
      <c r="WP86" s="3"/>
      <c r="WQ86" s="3"/>
      <c r="WR86" s="3"/>
      <c r="WS86" s="3"/>
      <c r="WT86" s="3"/>
      <c r="WU86" s="3"/>
      <c r="WV86" s="3"/>
      <c r="WW86" s="3"/>
      <c r="WX86" s="3"/>
      <c r="WY86" s="3"/>
      <c r="WZ86" s="3"/>
      <c r="XA86" s="3"/>
      <c r="XB86" s="3"/>
      <c r="XC86" s="3"/>
      <c r="XD86" s="3"/>
      <c r="XE86" s="3"/>
      <c r="XF86" s="3"/>
      <c r="XG86" s="3"/>
      <c r="XH86" s="3"/>
      <c r="XI86" s="3"/>
      <c r="XJ86" s="3"/>
      <c r="XK86" s="3"/>
      <c r="XL86" s="3"/>
      <c r="XM86" s="3"/>
      <c r="XN86" s="3"/>
      <c r="XO86" s="3"/>
      <c r="XP86" s="3"/>
      <c r="XQ86" s="3"/>
      <c r="XR86" s="3"/>
      <c r="XS86" s="3"/>
      <c r="XT86" s="3"/>
      <c r="XU86" s="3"/>
      <c r="XV86" s="3"/>
      <c r="XW86" s="3"/>
      <c r="XX86" s="3"/>
      <c r="XY86" s="3"/>
      <c r="XZ86" s="3"/>
      <c r="YA86" s="3"/>
      <c r="YB86" s="3"/>
      <c r="YC86" s="3"/>
      <c r="YD86" s="3"/>
      <c r="YE86" s="3"/>
      <c r="YF86" s="3"/>
      <c r="YG86" s="3"/>
      <c r="YH86" s="3"/>
      <c r="YI86" s="3"/>
      <c r="YJ86" s="3"/>
      <c r="YK86" s="3"/>
      <c r="YL86" s="3"/>
      <c r="YM86" s="3"/>
      <c r="YN86" s="3"/>
      <c r="YO86" s="3"/>
      <c r="YP86" s="3"/>
      <c r="YQ86" s="3"/>
      <c r="YR86" s="3"/>
      <c r="YS86" s="3"/>
      <c r="YT86" s="3"/>
      <c r="YU86" s="3"/>
      <c r="YV86" s="3"/>
      <c r="YW86" s="3"/>
      <c r="YX86" s="3"/>
      <c r="YY86" s="3"/>
      <c r="YZ86" s="3"/>
      <c r="ZA86" s="3"/>
      <c r="ZB86" s="3"/>
      <c r="ZC86" s="3"/>
    </row>
    <row r="87" spans="1:679" s="2" customFormat="1" x14ac:dyDescent="0.45">
      <c r="A87" s="3" t="s">
        <v>11</v>
      </c>
      <c r="B87" s="4">
        <v>32423</v>
      </c>
      <c r="C87" s="7" t="s">
        <v>25</v>
      </c>
      <c r="D87" s="6" t="s">
        <v>101</v>
      </c>
      <c r="E87" s="3"/>
      <c r="F87" s="3">
        <v>5</v>
      </c>
      <c r="L87" s="3"/>
      <c r="M87" s="3"/>
      <c r="N87" s="48"/>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c r="CX87" s="3"/>
      <c r="CY87" s="3"/>
      <c r="CZ87" s="3"/>
      <c r="DA87" s="3"/>
      <c r="DB87" s="3"/>
      <c r="DC87" s="3"/>
      <c r="DD87" s="3"/>
      <c r="DE87" s="3"/>
      <c r="DF87" s="3"/>
      <c r="DG87" s="3"/>
      <c r="DH87" s="3"/>
      <c r="DI87" s="3"/>
      <c r="DJ87" s="3"/>
      <c r="DK87" s="3"/>
      <c r="DL87" s="3"/>
      <c r="DM87" s="3"/>
      <c r="DN87" s="3"/>
      <c r="DO87" s="3"/>
      <c r="DP87" s="3"/>
      <c r="DQ87" s="3"/>
      <c r="DR87" s="3"/>
      <c r="DS87" s="3"/>
      <c r="DT87" s="3"/>
      <c r="DU87" s="3"/>
      <c r="DV87" s="3"/>
      <c r="DW87" s="3"/>
      <c r="DX87" s="3"/>
      <c r="DY87" s="3"/>
      <c r="DZ87" s="3"/>
      <c r="EA87" s="3"/>
      <c r="EB87" s="3"/>
      <c r="EC87" s="3"/>
      <c r="ED87" s="3"/>
      <c r="EE87" s="3"/>
      <c r="EF87" s="3"/>
      <c r="EG87" s="3"/>
      <c r="EH87" s="3"/>
      <c r="EI87" s="3"/>
      <c r="EJ87" s="3"/>
      <c r="EK87" s="3"/>
      <c r="EL87" s="3"/>
      <c r="EM87" s="3"/>
      <c r="EN87" s="3"/>
      <c r="EO87" s="3"/>
      <c r="EP87" s="3"/>
      <c r="EQ87" s="3"/>
      <c r="ER87" s="3"/>
      <c r="ES87" s="3"/>
      <c r="ET87" s="3"/>
      <c r="EU87" s="3"/>
      <c r="EV87" s="3"/>
      <c r="EW87" s="3"/>
      <c r="EX87" s="3"/>
      <c r="EY87" s="3"/>
      <c r="EZ87" s="3"/>
      <c r="FA87" s="3"/>
      <c r="FB87" s="3"/>
      <c r="FC87" s="3"/>
      <c r="FD87" s="3"/>
      <c r="FE87" s="3"/>
      <c r="FF87" s="3"/>
      <c r="FG87" s="3"/>
      <c r="FH87" s="3"/>
      <c r="FI87" s="3"/>
      <c r="FJ87" s="3"/>
      <c r="FK87" s="3"/>
      <c r="FL87" s="3"/>
      <c r="FM87" s="3"/>
      <c r="FN87" s="3"/>
      <c r="FO87" s="3"/>
      <c r="FP87" s="3"/>
      <c r="FQ87" s="3"/>
      <c r="FR87" s="3"/>
      <c r="FS87" s="3"/>
      <c r="FT87" s="3"/>
      <c r="FU87" s="3"/>
      <c r="FV87" s="3"/>
      <c r="FW87" s="3"/>
      <c r="FX87" s="3"/>
      <c r="FY87" s="3"/>
      <c r="FZ87" s="3"/>
      <c r="GA87" s="3"/>
      <c r="GB87" s="3"/>
      <c r="GC87" s="3"/>
      <c r="GD87" s="3"/>
      <c r="GE87" s="3"/>
      <c r="GF87" s="3"/>
      <c r="GG87" s="3"/>
      <c r="GH87" s="3"/>
      <c r="GI87" s="3"/>
      <c r="GJ87" s="3"/>
      <c r="GK87" s="3"/>
      <c r="GL87" s="3"/>
      <c r="GM87" s="3"/>
      <c r="GN87" s="3"/>
      <c r="GO87" s="3"/>
      <c r="GP87" s="3"/>
      <c r="GQ87" s="3"/>
      <c r="GR87" s="3"/>
      <c r="GS87" s="3"/>
      <c r="GT87" s="3"/>
      <c r="GU87" s="3"/>
      <c r="GV87" s="3"/>
      <c r="GW87" s="3"/>
      <c r="GX87" s="3"/>
      <c r="GY87" s="3"/>
      <c r="GZ87" s="3"/>
      <c r="HA87" s="3"/>
      <c r="HB87" s="3"/>
      <c r="HC87" s="3"/>
      <c r="HD87" s="3"/>
      <c r="HE87" s="3"/>
      <c r="HF87" s="3"/>
      <c r="HG87" s="3"/>
      <c r="HH87" s="3"/>
      <c r="HI87" s="3"/>
      <c r="HJ87" s="3"/>
      <c r="HK87" s="3"/>
      <c r="HL87" s="3"/>
      <c r="HM87" s="3"/>
      <c r="HN87" s="3"/>
      <c r="HO87" s="3"/>
      <c r="HP87" s="3"/>
      <c r="HQ87" s="3"/>
      <c r="HR87" s="3"/>
      <c r="HS87" s="3"/>
      <c r="HT87" s="3"/>
      <c r="HU87" s="3"/>
      <c r="HV87" s="3"/>
      <c r="HW87" s="3"/>
      <c r="HX87" s="3"/>
      <c r="HY87" s="3"/>
      <c r="HZ87" s="3"/>
      <c r="IA87" s="3"/>
      <c r="IB87" s="3"/>
      <c r="IC87" s="3"/>
      <c r="ID87" s="3"/>
      <c r="IE87" s="3"/>
      <c r="IF87" s="3"/>
      <c r="IG87" s="3"/>
      <c r="IH87" s="3"/>
      <c r="II87" s="3"/>
      <c r="IJ87" s="3"/>
      <c r="IK87" s="3"/>
      <c r="IL87" s="3"/>
      <c r="IM87" s="3"/>
      <c r="IN87" s="3"/>
      <c r="IO87" s="3"/>
      <c r="IP87" s="3"/>
      <c r="IQ87" s="3"/>
      <c r="IR87" s="3"/>
      <c r="IS87" s="3"/>
      <c r="IT87" s="3"/>
      <c r="IU87" s="3"/>
      <c r="IV87" s="3"/>
      <c r="IW87" s="3"/>
      <c r="IX87" s="3"/>
      <c r="IY87" s="3"/>
      <c r="IZ87" s="3"/>
      <c r="JA87" s="3"/>
      <c r="JB87" s="3"/>
      <c r="JC87" s="3"/>
      <c r="JD87" s="3"/>
      <c r="JE87" s="3"/>
      <c r="JF87" s="3"/>
      <c r="JG87" s="3"/>
      <c r="JH87" s="3"/>
      <c r="JI87" s="3"/>
      <c r="JJ87" s="3"/>
      <c r="JK87" s="3"/>
      <c r="JL87" s="3"/>
      <c r="JM87" s="3"/>
      <c r="JN87" s="3"/>
      <c r="JO87" s="3"/>
      <c r="JP87" s="3"/>
      <c r="JQ87" s="3"/>
      <c r="JR87" s="3"/>
      <c r="JS87" s="3"/>
      <c r="JT87" s="3"/>
      <c r="JU87" s="3"/>
      <c r="JV87" s="3"/>
      <c r="JW87" s="3"/>
      <c r="JX87" s="3"/>
      <c r="JY87" s="3"/>
      <c r="JZ87" s="3"/>
      <c r="KA87" s="3"/>
      <c r="KB87" s="3"/>
      <c r="KC87" s="3"/>
      <c r="KD87" s="3"/>
      <c r="KE87" s="3"/>
      <c r="KF87" s="3"/>
      <c r="KG87" s="3"/>
      <c r="KH87" s="3"/>
      <c r="KI87" s="3"/>
      <c r="KJ87" s="3"/>
      <c r="KK87" s="3"/>
      <c r="KL87" s="3"/>
      <c r="KM87" s="3"/>
      <c r="KN87" s="3"/>
      <c r="KO87" s="3"/>
      <c r="KP87" s="3"/>
      <c r="KQ87" s="3"/>
      <c r="KR87" s="3"/>
      <c r="KS87" s="3"/>
      <c r="KT87" s="3"/>
      <c r="KU87" s="3"/>
      <c r="KV87" s="3"/>
      <c r="KW87" s="3"/>
      <c r="KX87" s="3"/>
      <c r="KY87" s="3"/>
      <c r="KZ87" s="3"/>
      <c r="LA87" s="3"/>
      <c r="LB87" s="3"/>
      <c r="LC87" s="3"/>
      <c r="LD87" s="3"/>
      <c r="LE87" s="3"/>
      <c r="LF87" s="3"/>
      <c r="LG87" s="3"/>
      <c r="LH87" s="3"/>
      <c r="LI87" s="3"/>
      <c r="LJ87" s="3"/>
      <c r="LK87" s="3"/>
      <c r="LL87" s="3"/>
      <c r="LM87" s="3"/>
      <c r="LN87" s="3"/>
      <c r="LO87" s="3"/>
      <c r="LP87" s="3"/>
      <c r="LQ87" s="3"/>
      <c r="LR87" s="3"/>
      <c r="LS87" s="3"/>
      <c r="LT87" s="3"/>
      <c r="LU87" s="3"/>
      <c r="LV87" s="3"/>
      <c r="LW87" s="3"/>
      <c r="LX87" s="3"/>
      <c r="LY87" s="3"/>
      <c r="LZ87" s="3"/>
      <c r="MA87" s="3"/>
      <c r="MB87" s="3"/>
      <c r="MC87" s="3"/>
      <c r="MD87" s="3"/>
      <c r="ME87" s="3"/>
      <c r="MF87" s="3"/>
      <c r="MG87" s="3"/>
      <c r="MH87" s="3"/>
      <c r="MI87" s="3"/>
      <c r="MJ87" s="3"/>
      <c r="MK87" s="3"/>
      <c r="ML87" s="3"/>
      <c r="MM87" s="3"/>
      <c r="MN87" s="3"/>
      <c r="MO87" s="3"/>
      <c r="MP87" s="3"/>
      <c r="MQ87" s="3"/>
      <c r="MR87" s="3"/>
      <c r="MS87" s="3"/>
      <c r="MT87" s="3"/>
      <c r="MU87" s="3"/>
      <c r="MV87" s="3"/>
      <c r="MW87" s="3"/>
      <c r="MX87" s="3"/>
      <c r="MY87" s="3"/>
      <c r="MZ87" s="3"/>
      <c r="NA87" s="3"/>
      <c r="NB87" s="3"/>
      <c r="NC87" s="3"/>
      <c r="ND87" s="3"/>
      <c r="NE87" s="3"/>
      <c r="NF87" s="3"/>
      <c r="NG87" s="3"/>
      <c r="NH87" s="3"/>
      <c r="NI87" s="3"/>
      <c r="NJ87" s="3"/>
      <c r="NK87" s="3"/>
      <c r="NL87" s="3"/>
      <c r="NM87" s="3"/>
      <c r="NN87" s="3"/>
      <c r="NO87" s="3"/>
      <c r="NP87" s="3"/>
      <c r="NQ87" s="3"/>
      <c r="NR87" s="3"/>
      <c r="NS87" s="3"/>
      <c r="NT87" s="3"/>
      <c r="NU87" s="3"/>
      <c r="NV87" s="3"/>
      <c r="NW87" s="3"/>
      <c r="NX87" s="3"/>
      <c r="NY87" s="3"/>
      <c r="NZ87" s="3"/>
      <c r="OA87" s="3"/>
      <c r="OB87" s="3"/>
      <c r="OC87" s="3"/>
      <c r="OD87" s="3"/>
      <c r="OE87" s="3"/>
      <c r="OF87" s="3"/>
      <c r="OG87" s="3"/>
      <c r="OH87" s="3"/>
      <c r="OI87" s="3"/>
      <c r="OJ87" s="3"/>
      <c r="OK87" s="3"/>
      <c r="OL87" s="3"/>
      <c r="OM87" s="3"/>
      <c r="ON87" s="3"/>
      <c r="OO87" s="3"/>
      <c r="OP87" s="3"/>
      <c r="OQ87" s="3"/>
      <c r="OR87" s="3"/>
      <c r="OS87" s="3"/>
      <c r="OT87" s="3"/>
      <c r="OU87" s="3"/>
      <c r="OV87" s="3"/>
      <c r="OW87" s="3"/>
      <c r="OX87" s="3"/>
      <c r="OY87" s="3"/>
      <c r="OZ87" s="3"/>
      <c r="PA87" s="3"/>
      <c r="PB87" s="3"/>
      <c r="PC87" s="3"/>
      <c r="PD87" s="3"/>
      <c r="PE87" s="3"/>
      <c r="PF87" s="3"/>
      <c r="PG87" s="3"/>
      <c r="PH87" s="3"/>
      <c r="PI87" s="3"/>
      <c r="PJ87" s="3"/>
      <c r="PK87" s="3"/>
      <c r="PL87" s="3"/>
      <c r="PM87" s="3"/>
      <c r="PN87" s="3"/>
      <c r="PO87" s="3"/>
      <c r="PP87" s="3"/>
      <c r="PQ87" s="3"/>
      <c r="PR87" s="3"/>
      <c r="PS87" s="3"/>
      <c r="PT87" s="3"/>
      <c r="PU87" s="3"/>
      <c r="PV87" s="3"/>
      <c r="PW87" s="3"/>
      <c r="PX87" s="3"/>
      <c r="PY87" s="3"/>
      <c r="PZ87" s="3"/>
      <c r="QA87" s="3"/>
      <c r="QB87" s="3"/>
      <c r="QC87" s="3"/>
      <c r="QD87" s="3"/>
      <c r="QE87" s="3"/>
      <c r="QF87" s="3"/>
      <c r="QG87" s="3"/>
      <c r="QH87" s="3"/>
      <c r="QI87" s="3"/>
      <c r="QJ87" s="3"/>
      <c r="QK87" s="3"/>
      <c r="QL87" s="3"/>
      <c r="QM87" s="3"/>
      <c r="QN87" s="3"/>
      <c r="QO87" s="3"/>
      <c r="QP87" s="3"/>
      <c r="QQ87" s="3"/>
      <c r="QR87" s="3"/>
      <c r="QS87" s="3"/>
      <c r="QT87" s="3"/>
      <c r="QU87" s="3"/>
      <c r="QV87" s="3"/>
      <c r="QW87" s="3"/>
      <c r="QX87" s="3"/>
      <c r="QY87" s="3"/>
      <c r="QZ87" s="3"/>
      <c r="RA87" s="3"/>
      <c r="RB87" s="3"/>
      <c r="RC87" s="3"/>
      <c r="RD87" s="3"/>
      <c r="RE87" s="3"/>
      <c r="RF87" s="3"/>
      <c r="RG87" s="3"/>
      <c r="RH87" s="3"/>
      <c r="RI87" s="3"/>
      <c r="RJ87" s="3"/>
      <c r="RK87" s="3"/>
      <c r="RL87" s="3"/>
      <c r="RM87" s="3"/>
      <c r="RN87" s="3"/>
      <c r="RO87" s="3"/>
      <c r="RP87" s="3"/>
      <c r="RQ87" s="3"/>
      <c r="RR87" s="3"/>
      <c r="RS87" s="3"/>
      <c r="RT87" s="3"/>
      <c r="RU87" s="3"/>
      <c r="RV87" s="3"/>
      <c r="RW87" s="3"/>
      <c r="RX87" s="3"/>
      <c r="RY87" s="3"/>
      <c r="RZ87" s="3"/>
      <c r="SA87" s="3"/>
      <c r="SB87" s="3"/>
      <c r="SC87" s="3"/>
      <c r="SD87" s="3"/>
      <c r="SE87" s="3"/>
      <c r="SF87" s="3"/>
      <c r="SG87" s="3"/>
      <c r="SH87" s="3"/>
      <c r="SI87" s="3"/>
      <c r="SJ87" s="3"/>
      <c r="SK87" s="3"/>
      <c r="SL87" s="3"/>
      <c r="SM87" s="3"/>
      <c r="SN87" s="3"/>
      <c r="SO87" s="3"/>
      <c r="SP87" s="3"/>
      <c r="SQ87" s="3"/>
      <c r="SR87" s="3"/>
      <c r="SS87" s="3"/>
      <c r="ST87" s="3"/>
      <c r="SU87" s="3"/>
      <c r="SV87" s="3"/>
      <c r="SW87" s="3"/>
      <c r="SX87" s="3"/>
      <c r="SY87" s="3"/>
      <c r="SZ87" s="3"/>
      <c r="TA87" s="3"/>
      <c r="TB87" s="3"/>
      <c r="TC87" s="3"/>
      <c r="TD87" s="3"/>
      <c r="TE87" s="3"/>
      <c r="TF87" s="3"/>
      <c r="TG87" s="3"/>
      <c r="TH87" s="3"/>
      <c r="TI87" s="3"/>
      <c r="TJ87" s="3"/>
      <c r="TK87" s="3"/>
      <c r="TL87" s="3"/>
      <c r="TM87" s="3"/>
      <c r="TN87" s="3"/>
      <c r="TO87" s="3"/>
      <c r="TP87" s="3"/>
      <c r="TQ87" s="3"/>
      <c r="TR87" s="3"/>
      <c r="TS87" s="3"/>
      <c r="TT87" s="3"/>
      <c r="TU87" s="3"/>
      <c r="TV87" s="3"/>
      <c r="TW87" s="3"/>
      <c r="TX87" s="3"/>
      <c r="TY87" s="3"/>
      <c r="TZ87" s="3"/>
      <c r="UA87" s="3"/>
      <c r="UB87" s="3"/>
      <c r="UC87" s="3"/>
      <c r="UD87" s="3"/>
      <c r="UE87" s="3"/>
      <c r="UF87" s="3"/>
      <c r="UG87" s="3"/>
      <c r="UH87" s="3"/>
      <c r="UI87" s="3"/>
      <c r="UJ87" s="3"/>
      <c r="UK87" s="3"/>
      <c r="UL87" s="3"/>
      <c r="UM87" s="3"/>
      <c r="UN87" s="3"/>
      <c r="UO87" s="3"/>
      <c r="UP87" s="3"/>
      <c r="UQ87" s="3"/>
      <c r="UR87" s="3"/>
      <c r="US87" s="3"/>
      <c r="UT87" s="3"/>
      <c r="UU87" s="3"/>
      <c r="UV87" s="3"/>
      <c r="UW87" s="3"/>
      <c r="UX87" s="3"/>
      <c r="UY87" s="3"/>
      <c r="UZ87" s="3"/>
      <c r="VA87" s="3"/>
      <c r="VB87" s="3"/>
      <c r="VC87" s="3"/>
      <c r="VD87" s="3"/>
      <c r="VE87" s="3"/>
      <c r="VF87" s="3"/>
      <c r="VG87" s="3"/>
      <c r="VH87" s="3"/>
      <c r="VI87" s="3"/>
      <c r="VJ87" s="3"/>
      <c r="VK87" s="3"/>
      <c r="VL87" s="3"/>
      <c r="VM87" s="3"/>
      <c r="VN87" s="3"/>
      <c r="VO87" s="3"/>
      <c r="VP87" s="3"/>
      <c r="VQ87" s="3"/>
      <c r="VR87" s="3"/>
      <c r="VS87" s="3"/>
      <c r="VT87" s="3"/>
      <c r="VU87" s="3"/>
      <c r="VV87" s="3"/>
      <c r="VW87" s="3"/>
      <c r="VX87" s="3"/>
      <c r="VY87" s="3"/>
      <c r="VZ87" s="3"/>
      <c r="WA87" s="3"/>
      <c r="WB87" s="3"/>
      <c r="WC87" s="3"/>
      <c r="WD87" s="3"/>
      <c r="WE87" s="3"/>
      <c r="WF87" s="3"/>
      <c r="WG87" s="3"/>
      <c r="WH87" s="3"/>
      <c r="WI87" s="3"/>
      <c r="WJ87" s="3"/>
      <c r="WK87" s="3"/>
      <c r="WL87" s="3"/>
      <c r="WM87" s="3"/>
      <c r="WN87" s="3"/>
      <c r="WO87" s="3"/>
      <c r="WP87" s="3"/>
      <c r="WQ87" s="3"/>
      <c r="WR87" s="3"/>
      <c r="WS87" s="3"/>
      <c r="WT87" s="3"/>
      <c r="WU87" s="3"/>
      <c r="WV87" s="3"/>
      <c r="WW87" s="3"/>
      <c r="WX87" s="3"/>
      <c r="WY87" s="3"/>
      <c r="WZ87" s="3"/>
      <c r="XA87" s="3"/>
      <c r="XB87" s="3"/>
      <c r="XC87" s="3"/>
      <c r="XD87" s="3"/>
      <c r="XE87" s="3"/>
      <c r="XF87" s="3"/>
      <c r="XG87" s="3"/>
      <c r="XH87" s="3"/>
      <c r="XI87" s="3"/>
      <c r="XJ87" s="3"/>
      <c r="XK87" s="3"/>
      <c r="XL87" s="3"/>
      <c r="XM87" s="3"/>
      <c r="XN87" s="3"/>
      <c r="XO87" s="3"/>
      <c r="XP87" s="3"/>
      <c r="XQ87" s="3"/>
      <c r="XR87" s="3"/>
      <c r="XS87" s="3"/>
      <c r="XT87" s="3"/>
      <c r="XU87" s="3"/>
      <c r="XV87" s="3"/>
      <c r="XW87" s="3"/>
      <c r="XX87" s="3"/>
      <c r="XY87" s="3"/>
      <c r="XZ87" s="3"/>
      <c r="YA87" s="3"/>
      <c r="YB87" s="3"/>
      <c r="YC87" s="3"/>
      <c r="YD87" s="3"/>
      <c r="YE87" s="3"/>
      <c r="YF87" s="3"/>
      <c r="YG87" s="3"/>
      <c r="YH87" s="3"/>
      <c r="YI87" s="3"/>
      <c r="YJ87" s="3"/>
      <c r="YK87" s="3"/>
      <c r="YL87" s="3"/>
      <c r="YM87" s="3"/>
      <c r="YN87" s="3"/>
      <c r="YO87" s="3"/>
      <c r="YP87" s="3"/>
      <c r="YQ87" s="3"/>
      <c r="YR87" s="3"/>
      <c r="YS87" s="3"/>
      <c r="YT87" s="3"/>
      <c r="YU87" s="3"/>
      <c r="YV87" s="3"/>
      <c r="YW87" s="3"/>
      <c r="YX87" s="3"/>
      <c r="YY87" s="3"/>
      <c r="YZ87" s="3"/>
      <c r="ZA87" s="3"/>
      <c r="ZB87" s="3"/>
      <c r="ZC87" s="3"/>
    </row>
    <row r="88" spans="1:679" s="2" customFormat="1" x14ac:dyDescent="0.45">
      <c r="A88" s="3" t="s">
        <v>11</v>
      </c>
      <c r="B88" s="4">
        <v>32472</v>
      </c>
      <c r="C88" s="7" t="s">
        <v>25</v>
      </c>
      <c r="D88" s="6" t="s">
        <v>102</v>
      </c>
      <c r="E88" s="3"/>
      <c r="F88" s="3">
        <v>2</v>
      </c>
      <c r="L88" s="3"/>
      <c r="M88" s="3"/>
      <c r="N88" s="48"/>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c r="EU88" s="3"/>
      <c r="EV88" s="3"/>
      <c r="EW88" s="3"/>
      <c r="EX88" s="3"/>
      <c r="EY88" s="3"/>
      <c r="EZ88" s="3"/>
      <c r="FA88" s="3"/>
      <c r="FB88" s="3"/>
      <c r="FC88" s="3"/>
      <c r="FD88" s="3"/>
      <c r="FE88" s="3"/>
      <c r="FF88" s="3"/>
      <c r="FG88" s="3"/>
      <c r="FH88" s="3"/>
      <c r="FI88" s="3"/>
      <c r="FJ88" s="3"/>
      <c r="FK88" s="3"/>
      <c r="FL88" s="3"/>
      <c r="FM88" s="3"/>
      <c r="FN88" s="3"/>
      <c r="FO88" s="3"/>
      <c r="FP88" s="3"/>
      <c r="FQ88" s="3"/>
      <c r="FR88" s="3"/>
      <c r="FS88" s="3"/>
      <c r="FT88" s="3"/>
      <c r="FU88" s="3"/>
      <c r="FV88" s="3"/>
      <c r="FW88" s="3"/>
      <c r="FX88" s="3"/>
      <c r="FY88" s="3"/>
      <c r="FZ88" s="3"/>
      <c r="GA88" s="3"/>
      <c r="GB88" s="3"/>
      <c r="GC88" s="3"/>
      <c r="GD88" s="3"/>
      <c r="GE88" s="3"/>
      <c r="GF88" s="3"/>
      <c r="GG88" s="3"/>
      <c r="GH88" s="3"/>
      <c r="GI88" s="3"/>
      <c r="GJ88" s="3"/>
      <c r="GK88" s="3"/>
      <c r="GL88" s="3"/>
      <c r="GM88" s="3"/>
      <c r="GN88" s="3"/>
      <c r="GO88" s="3"/>
      <c r="GP88" s="3"/>
      <c r="GQ88" s="3"/>
      <c r="GR88" s="3"/>
      <c r="GS88" s="3"/>
      <c r="GT88" s="3"/>
      <c r="GU88" s="3"/>
      <c r="GV88" s="3"/>
      <c r="GW88" s="3"/>
      <c r="GX88" s="3"/>
      <c r="GY88" s="3"/>
      <c r="GZ88" s="3"/>
      <c r="HA88" s="3"/>
      <c r="HB88" s="3"/>
      <c r="HC88" s="3"/>
      <c r="HD88" s="3"/>
      <c r="HE88" s="3"/>
      <c r="HF88" s="3"/>
      <c r="HG88" s="3"/>
      <c r="HH88" s="3"/>
      <c r="HI88" s="3"/>
      <c r="HJ88" s="3"/>
      <c r="HK88" s="3"/>
      <c r="HL88" s="3"/>
      <c r="HM88" s="3"/>
      <c r="HN88" s="3"/>
      <c r="HO88" s="3"/>
      <c r="HP88" s="3"/>
      <c r="HQ88" s="3"/>
      <c r="HR88" s="3"/>
      <c r="HS88" s="3"/>
      <c r="HT88" s="3"/>
      <c r="HU88" s="3"/>
      <c r="HV88" s="3"/>
      <c r="HW88" s="3"/>
      <c r="HX88" s="3"/>
      <c r="HY88" s="3"/>
      <c r="HZ88" s="3"/>
      <c r="IA88" s="3"/>
      <c r="IB88" s="3"/>
      <c r="IC88" s="3"/>
      <c r="ID88" s="3"/>
      <c r="IE88" s="3"/>
      <c r="IF88" s="3"/>
      <c r="IG88" s="3"/>
      <c r="IH88" s="3"/>
      <c r="II88" s="3"/>
      <c r="IJ88" s="3"/>
      <c r="IK88" s="3"/>
      <c r="IL88" s="3"/>
      <c r="IM88" s="3"/>
      <c r="IN88" s="3"/>
      <c r="IO88" s="3"/>
      <c r="IP88" s="3"/>
      <c r="IQ88" s="3"/>
      <c r="IR88" s="3"/>
      <c r="IS88" s="3"/>
      <c r="IT88" s="3"/>
      <c r="IU88" s="3"/>
      <c r="IV88" s="3"/>
      <c r="IW88" s="3"/>
      <c r="IX88" s="3"/>
      <c r="IY88" s="3"/>
      <c r="IZ88" s="3"/>
      <c r="JA88" s="3"/>
      <c r="JB88" s="3"/>
      <c r="JC88" s="3"/>
      <c r="JD88" s="3"/>
      <c r="JE88" s="3"/>
      <c r="JF88" s="3"/>
      <c r="JG88" s="3"/>
      <c r="JH88" s="3"/>
      <c r="JI88" s="3"/>
      <c r="JJ88" s="3"/>
      <c r="JK88" s="3"/>
      <c r="JL88" s="3"/>
      <c r="JM88" s="3"/>
      <c r="JN88" s="3"/>
      <c r="JO88" s="3"/>
      <c r="JP88" s="3"/>
      <c r="JQ88" s="3"/>
      <c r="JR88" s="3"/>
      <c r="JS88" s="3"/>
      <c r="JT88" s="3"/>
      <c r="JU88" s="3"/>
      <c r="JV88" s="3"/>
      <c r="JW88" s="3"/>
      <c r="JX88" s="3"/>
      <c r="JY88" s="3"/>
      <c r="JZ88" s="3"/>
      <c r="KA88" s="3"/>
      <c r="KB88" s="3"/>
      <c r="KC88" s="3"/>
      <c r="KD88" s="3"/>
      <c r="KE88" s="3"/>
      <c r="KF88" s="3"/>
      <c r="KG88" s="3"/>
      <c r="KH88" s="3"/>
      <c r="KI88" s="3"/>
      <c r="KJ88" s="3"/>
      <c r="KK88" s="3"/>
      <c r="KL88" s="3"/>
      <c r="KM88" s="3"/>
      <c r="KN88" s="3"/>
      <c r="KO88" s="3"/>
      <c r="KP88" s="3"/>
      <c r="KQ88" s="3"/>
      <c r="KR88" s="3"/>
      <c r="KS88" s="3"/>
      <c r="KT88" s="3"/>
      <c r="KU88" s="3"/>
      <c r="KV88" s="3"/>
      <c r="KW88" s="3"/>
      <c r="KX88" s="3"/>
      <c r="KY88" s="3"/>
      <c r="KZ88" s="3"/>
      <c r="LA88" s="3"/>
      <c r="LB88" s="3"/>
      <c r="LC88" s="3"/>
      <c r="LD88" s="3"/>
      <c r="LE88" s="3"/>
      <c r="LF88" s="3"/>
      <c r="LG88" s="3"/>
      <c r="LH88" s="3"/>
      <c r="LI88" s="3"/>
      <c r="LJ88" s="3"/>
      <c r="LK88" s="3"/>
      <c r="LL88" s="3"/>
      <c r="LM88" s="3"/>
      <c r="LN88" s="3"/>
      <c r="LO88" s="3"/>
      <c r="LP88" s="3"/>
      <c r="LQ88" s="3"/>
      <c r="LR88" s="3"/>
      <c r="LS88" s="3"/>
      <c r="LT88" s="3"/>
      <c r="LU88" s="3"/>
      <c r="LV88" s="3"/>
      <c r="LW88" s="3"/>
      <c r="LX88" s="3"/>
      <c r="LY88" s="3"/>
      <c r="LZ88" s="3"/>
      <c r="MA88" s="3"/>
      <c r="MB88" s="3"/>
      <c r="MC88" s="3"/>
      <c r="MD88" s="3"/>
      <c r="ME88" s="3"/>
      <c r="MF88" s="3"/>
      <c r="MG88" s="3"/>
      <c r="MH88" s="3"/>
      <c r="MI88" s="3"/>
      <c r="MJ88" s="3"/>
      <c r="MK88" s="3"/>
      <c r="ML88" s="3"/>
      <c r="MM88" s="3"/>
      <c r="MN88" s="3"/>
      <c r="MO88" s="3"/>
      <c r="MP88" s="3"/>
      <c r="MQ88" s="3"/>
      <c r="MR88" s="3"/>
      <c r="MS88" s="3"/>
      <c r="MT88" s="3"/>
      <c r="MU88" s="3"/>
      <c r="MV88" s="3"/>
      <c r="MW88" s="3"/>
      <c r="MX88" s="3"/>
      <c r="MY88" s="3"/>
      <c r="MZ88" s="3"/>
      <c r="NA88" s="3"/>
      <c r="NB88" s="3"/>
      <c r="NC88" s="3"/>
      <c r="ND88" s="3"/>
      <c r="NE88" s="3"/>
      <c r="NF88" s="3"/>
      <c r="NG88" s="3"/>
      <c r="NH88" s="3"/>
      <c r="NI88" s="3"/>
      <c r="NJ88" s="3"/>
      <c r="NK88" s="3"/>
      <c r="NL88" s="3"/>
      <c r="NM88" s="3"/>
      <c r="NN88" s="3"/>
      <c r="NO88" s="3"/>
      <c r="NP88" s="3"/>
      <c r="NQ88" s="3"/>
      <c r="NR88" s="3"/>
      <c r="NS88" s="3"/>
      <c r="NT88" s="3"/>
      <c r="NU88" s="3"/>
      <c r="NV88" s="3"/>
      <c r="NW88" s="3"/>
      <c r="NX88" s="3"/>
      <c r="NY88" s="3"/>
      <c r="NZ88" s="3"/>
      <c r="OA88" s="3"/>
      <c r="OB88" s="3"/>
      <c r="OC88" s="3"/>
      <c r="OD88" s="3"/>
      <c r="OE88" s="3"/>
      <c r="OF88" s="3"/>
      <c r="OG88" s="3"/>
      <c r="OH88" s="3"/>
      <c r="OI88" s="3"/>
      <c r="OJ88" s="3"/>
      <c r="OK88" s="3"/>
      <c r="OL88" s="3"/>
      <c r="OM88" s="3"/>
      <c r="ON88" s="3"/>
      <c r="OO88" s="3"/>
      <c r="OP88" s="3"/>
      <c r="OQ88" s="3"/>
      <c r="OR88" s="3"/>
      <c r="OS88" s="3"/>
      <c r="OT88" s="3"/>
      <c r="OU88" s="3"/>
      <c r="OV88" s="3"/>
      <c r="OW88" s="3"/>
      <c r="OX88" s="3"/>
      <c r="OY88" s="3"/>
      <c r="OZ88" s="3"/>
      <c r="PA88" s="3"/>
      <c r="PB88" s="3"/>
      <c r="PC88" s="3"/>
      <c r="PD88" s="3"/>
      <c r="PE88" s="3"/>
      <c r="PF88" s="3"/>
      <c r="PG88" s="3"/>
      <c r="PH88" s="3"/>
      <c r="PI88" s="3"/>
      <c r="PJ88" s="3"/>
      <c r="PK88" s="3"/>
      <c r="PL88" s="3"/>
      <c r="PM88" s="3"/>
      <c r="PN88" s="3"/>
      <c r="PO88" s="3"/>
      <c r="PP88" s="3"/>
      <c r="PQ88" s="3"/>
      <c r="PR88" s="3"/>
      <c r="PS88" s="3"/>
      <c r="PT88" s="3"/>
      <c r="PU88" s="3"/>
      <c r="PV88" s="3"/>
      <c r="PW88" s="3"/>
      <c r="PX88" s="3"/>
      <c r="PY88" s="3"/>
      <c r="PZ88" s="3"/>
      <c r="QA88" s="3"/>
      <c r="QB88" s="3"/>
      <c r="QC88" s="3"/>
      <c r="QD88" s="3"/>
      <c r="QE88" s="3"/>
      <c r="QF88" s="3"/>
      <c r="QG88" s="3"/>
      <c r="QH88" s="3"/>
      <c r="QI88" s="3"/>
      <c r="QJ88" s="3"/>
      <c r="QK88" s="3"/>
      <c r="QL88" s="3"/>
      <c r="QM88" s="3"/>
      <c r="QN88" s="3"/>
      <c r="QO88" s="3"/>
      <c r="QP88" s="3"/>
      <c r="QQ88" s="3"/>
      <c r="QR88" s="3"/>
      <c r="QS88" s="3"/>
      <c r="QT88" s="3"/>
      <c r="QU88" s="3"/>
      <c r="QV88" s="3"/>
      <c r="QW88" s="3"/>
      <c r="QX88" s="3"/>
      <c r="QY88" s="3"/>
      <c r="QZ88" s="3"/>
      <c r="RA88" s="3"/>
      <c r="RB88" s="3"/>
      <c r="RC88" s="3"/>
      <c r="RD88" s="3"/>
      <c r="RE88" s="3"/>
      <c r="RF88" s="3"/>
      <c r="RG88" s="3"/>
      <c r="RH88" s="3"/>
      <c r="RI88" s="3"/>
      <c r="RJ88" s="3"/>
      <c r="RK88" s="3"/>
      <c r="RL88" s="3"/>
      <c r="RM88" s="3"/>
      <c r="RN88" s="3"/>
      <c r="RO88" s="3"/>
      <c r="RP88" s="3"/>
      <c r="RQ88" s="3"/>
      <c r="RR88" s="3"/>
      <c r="RS88" s="3"/>
      <c r="RT88" s="3"/>
      <c r="RU88" s="3"/>
      <c r="RV88" s="3"/>
      <c r="RW88" s="3"/>
      <c r="RX88" s="3"/>
      <c r="RY88" s="3"/>
      <c r="RZ88" s="3"/>
      <c r="SA88" s="3"/>
      <c r="SB88" s="3"/>
      <c r="SC88" s="3"/>
      <c r="SD88" s="3"/>
      <c r="SE88" s="3"/>
      <c r="SF88" s="3"/>
      <c r="SG88" s="3"/>
      <c r="SH88" s="3"/>
      <c r="SI88" s="3"/>
      <c r="SJ88" s="3"/>
      <c r="SK88" s="3"/>
      <c r="SL88" s="3"/>
      <c r="SM88" s="3"/>
      <c r="SN88" s="3"/>
      <c r="SO88" s="3"/>
      <c r="SP88" s="3"/>
      <c r="SQ88" s="3"/>
      <c r="SR88" s="3"/>
      <c r="SS88" s="3"/>
      <c r="ST88" s="3"/>
      <c r="SU88" s="3"/>
      <c r="SV88" s="3"/>
      <c r="SW88" s="3"/>
      <c r="SX88" s="3"/>
      <c r="SY88" s="3"/>
      <c r="SZ88" s="3"/>
      <c r="TA88" s="3"/>
      <c r="TB88" s="3"/>
      <c r="TC88" s="3"/>
      <c r="TD88" s="3"/>
      <c r="TE88" s="3"/>
      <c r="TF88" s="3"/>
      <c r="TG88" s="3"/>
      <c r="TH88" s="3"/>
      <c r="TI88" s="3"/>
      <c r="TJ88" s="3"/>
      <c r="TK88" s="3"/>
      <c r="TL88" s="3"/>
      <c r="TM88" s="3"/>
      <c r="TN88" s="3"/>
      <c r="TO88" s="3"/>
      <c r="TP88" s="3"/>
      <c r="TQ88" s="3"/>
      <c r="TR88" s="3"/>
      <c r="TS88" s="3"/>
      <c r="TT88" s="3"/>
      <c r="TU88" s="3"/>
      <c r="TV88" s="3"/>
      <c r="TW88" s="3"/>
      <c r="TX88" s="3"/>
      <c r="TY88" s="3"/>
      <c r="TZ88" s="3"/>
      <c r="UA88" s="3"/>
      <c r="UB88" s="3"/>
      <c r="UC88" s="3"/>
      <c r="UD88" s="3"/>
      <c r="UE88" s="3"/>
      <c r="UF88" s="3"/>
      <c r="UG88" s="3"/>
      <c r="UH88" s="3"/>
      <c r="UI88" s="3"/>
      <c r="UJ88" s="3"/>
      <c r="UK88" s="3"/>
      <c r="UL88" s="3"/>
      <c r="UM88" s="3"/>
      <c r="UN88" s="3"/>
      <c r="UO88" s="3"/>
      <c r="UP88" s="3"/>
      <c r="UQ88" s="3"/>
      <c r="UR88" s="3"/>
      <c r="US88" s="3"/>
      <c r="UT88" s="3"/>
      <c r="UU88" s="3"/>
      <c r="UV88" s="3"/>
      <c r="UW88" s="3"/>
      <c r="UX88" s="3"/>
      <c r="UY88" s="3"/>
      <c r="UZ88" s="3"/>
      <c r="VA88" s="3"/>
      <c r="VB88" s="3"/>
      <c r="VC88" s="3"/>
      <c r="VD88" s="3"/>
      <c r="VE88" s="3"/>
      <c r="VF88" s="3"/>
      <c r="VG88" s="3"/>
      <c r="VH88" s="3"/>
      <c r="VI88" s="3"/>
      <c r="VJ88" s="3"/>
      <c r="VK88" s="3"/>
      <c r="VL88" s="3"/>
      <c r="VM88" s="3"/>
      <c r="VN88" s="3"/>
      <c r="VO88" s="3"/>
      <c r="VP88" s="3"/>
      <c r="VQ88" s="3"/>
      <c r="VR88" s="3"/>
      <c r="VS88" s="3"/>
      <c r="VT88" s="3"/>
      <c r="VU88" s="3"/>
      <c r="VV88" s="3"/>
      <c r="VW88" s="3"/>
      <c r="VX88" s="3"/>
      <c r="VY88" s="3"/>
      <c r="VZ88" s="3"/>
      <c r="WA88" s="3"/>
      <c r="WB88" s="3"/>
      <c r="WC88" s="3"/>
      <c r="WD88" s="3"/>
      <c r="WE88" s="3"/>
      <c r="WF88" s="3"/>
      <c r="WG88" s="3"/>
      <c r="WH88" s="3"/>
      <c r="WI88" s="3"/>
      <c r="WJ88" s="3"/>
      <c r="WK88" s="3"/>
      <c r="WL88" s="3"/>
      <c r="WM88" s="3"/>
      <c r="WN88" s="3"/>
      <c r="WO88" s="3"/>
      <c r="WP88" s="3"/>
      <c r="WQ88" s="3"/>
      <c r="WR88" s="3"/>
      <c r="WS88" s="3"/>
      <c r="WT88" s="3"/>
      <c r="WU88" s="3"/>
      <c r="WV88" s="3"/>
      <c r="WW88" s="3"/>
      <c r="WX88" s="3"/>
      <c r="WY88" s="3"/>
      <c r="WZ88" s="3"/>
      <c r="XA88" s="3"/>
      <c r="XB88" s="3"/>
      <c r="XC88" s="3"/>
      <c r="XD88" s="3"/>
      <c r="XE88" s="3"/>
      <c r="XF88" s="3"/>
      <c r="XG88" s="3"/>
      <c r="XH88" s="3"/>
      <c r="XI88" s="3"/>
      <c r="XJ88" s="3"/>
      <c r="XK88" s="3"/>
      <c r="XL88" s="3"/>
      <c r="XM88" s="3"/>
      <c r="XN88" s="3"/>
      <c r="XO88" s="3"/>
      <c r="XP88" s="3"/>
      <c r="XQ88" s="3"/>
      <c r="XR88" s="3"/>
      <c r="XS88" s="3"/>
      <c r="XT88" s="3"/>
      <c r="XU88" s="3"/>
      <c r="XV88" s="3"/>
      <c r="XW88" s="3"/>
      <c r="XX88" s="3"/>
      <c r="XY88" s="3"/>
      <c r="XZ88" s="3"/>
      <c r="YA88" s="3"/>
      <c r="YB88" s="3"/>
      <c r="YC88" s="3"/>
      <c r="YD88" s="3"/>
      <c r="YE88" s="3"/>
      <c r="YF88" s="3"/>
      <c r="YG88" s="3"/>
      <c r="YH88" s="3"/>
      <c r="YI88" s="3"/>
      <c r="YJ88" s="3"/>
      <c r="YK88" s="3"/>
      <c r="YL88" s="3"/>
      <c r="YM88" s="3"/>
      <c r="YN88" s="3"/>
      <c r="YO88" s="3"/>
      <c r="YP88" s="3"/>
      <c r="YQ88" s="3"/>
      <c r="YR88" s="3"/>
      <c r="YS88" s="3"/>
      <c r="YT88" s="3"/>
      <c r="YU88" s="3"/>
      <c r="YV88" s="3"/>
      <c r="YW88" s="3"/>
      <c r="YX88" s="3"/>
      <c r="YY88" s="3"/>
      <c r="YZ88" s="3"/>
      <c r="ZA88" s="3"/>
      <c r="ZB88" s="3"/>
      <c r="ZC88" s="3"/>
    </row>
    <row r="89" spans="1:679" s="2" customFormat="1" x14ac:dyDescent="0.45">
      <c r="A89" s="3" t="s">
        <v>11</v>
      </c>
      <c r="B89" s="4">
        <v>32479</v>
      </c>
      <c r="C89" s="7" t="s">
        <v>25</v>
      </c>
      <c r="D89" s="6" t="s">
        <v>103</v>
      </c>
      <c r="E89" s="3"/>
      <c r="F89" s="3">
        <v>9</v>
      </c>
      <c r="L89" s="3"/>
      <c r="M89" s="3"/>
      <c r="N89" s="48"/>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c r="CW89" s="3"/>
      <c r="CX89" s="3"/>
      <c r="CY89" s="3"/>
      <c r="CZ89" s="3"/>
      <c r="DA89" s="3"/>
      <c r="DB89" s="3"/>
      <c r="DC89" s="3"/>
      <c r="DD89" s="3"/>
      <c r="DE89" s="3"/>
      <c r="DF89" s="3"/>
      <c r="DG89" s="3"/>
      <c r="DH89" s="3"/>
      <c r="DI89" s="3"/>
      <c r="DJ89" s="3"/>
      <c r="DK89" s="3"/>
      <c r="DL89" s="3"/>
      <c r="DM89" s="3"/>
      <c r="DN89" s="3"/>
      <c r="DO89" s="3"/>
      <c r="DP89" s="3"/>
      <c r="DQ89" s="3"/>
      <c r="DR89" s="3"/>
      <c r="DS89" s="3"/>
      <c r="DT89" s="3"/>
      <c r="DU89" s="3"/>
      <c r="DV89" s="3"/>
      <c r="DW89" s="3"/>
      <c r="DX89" s="3"/>
      <c r="DY89" s="3"/>
      <c r="DZ89" s="3"/>
      <c r="EA89" s="3"/>
      <c r="EB89" s="3"/>
      <c r="EC89" s="3"/>
      <c r="ED89" s="3"/>
      <c r="EE89" s="3"/>
      <c r="EF89" s="3"/>
      <c r="EG89" s="3"/>
      <c r="EH89" s="3"/>
      <c r="EI89" s="3"/>
      <c r="EJ89" s="3"/>
      <c r="EK89" s="3"/>
      <c r="EL89" s="3"/>
      <c r="EM89" s="3"/>
      <c r="EN89" s="3"/>
      <c r="EO89" s="3"/>
      <c r="EP89" s="3"/>
      <c r="EQ89" s="3"/>
      <c r="ER89" s="3"/>
      <c r="ES89" s="3"/>
      <c r="ET89" s="3"/>
      <c r="EU89" s="3"/>
      <c r="EV89" s="3"/>
      <c r="EW89" s="3"/>
      <c r="EX89" s="3"/>
      <c r="EY89" s="3"/>
      <c r="EZ89" s="3"/>
      <c r="FA89" s="3"/>
      <c r="FB89" s="3"/>
      <c r="FC89" s="3"/>
      <c r="FD89" s="3"/>
      <c r="FE89" s="3"/>
      <c r="FF89" s="3"/>
      <c r="FG89" s="3"/>
      <c r="FH89" s="3"/>
      <c r="FI89" s="3"/>
      <c r="FJ89" s="3"/>
      <c r="FK89" s="3"/>
      <c r="FL89" s="3"/>
      <c r="FM89" s="3"/>
      <c r="FN89" s="3"/>
      <c r="FO89" s="3"/>
      <c r="FP89" s="3"/>
      <c r="FQ89" s="3"/>
      <c r="FR89" s="3"/>
      <c r="FS89" s="3"/>
      <c r="FT89" s="3"/>
      <c r="FU89" s="3"/>
      <c r="FV89" s="3"/>
      <c r="FW89" s="3"/>
      <c r="FX89" s="3"/>
      <c r="FY89" s="3"/>
      <c r="FZ89" s="3"/>
      <c r="GA89" s="3"/>
      <c r="GB89" s="3"/>
      <c r="GC89" s="3"/>
      <c r="GD89" s="3"/>
      <c r="GE89" s="3"/>
      <c r="GF89" s="3"/>
      <c r="GG89" s="3"/>
      <c r="GH89" s="3"/>
      <c r="GI89" s="3"/>
      <c r="GJ89" s="3"/>
      <c r="GK89" s="3"/>
      <c r="GL89" s="3"/>
      <c r="GM89" s="3"/>
      <c r="GN89" s="3"/>
      <c r="GO89" s="3"/>
      <c r="GP89" s="3"/>
      <c r="GQ89" s="3"/>
      <c r="GR89" s="3"/>
      <c r="GS89" s="3"/>
      <c r="GT89" s="3"/>
      <c r="GU89" s="3"/>
      <c r="GV89" s="3"/>
      <c r="GW89" s="3"/>
      <c r="GX89" s="3"/>
      <c r="GY89" s="3"/>
      <c r="GZ89" s="3"/>
      <c r="HA89" s="3"/>
      <c r="HB89" s="3"/>
      <c r="HC89" s="3"/>
      <c r="HD89" s="3"/>
      <c r="HE89" s="3"/>
      <c r="HF89" s="3"/>
      <c r="HG89" s="3"/>
      <c r="HH89" s="3"/>
      <c r="HI89" s="3"/>
      <c r="HJ89" s="3"/>
      <c r="HK89" s="3"/>
      <c r="HL89" s="3"/>
      <c r="HM89" s="3"/>
      <c r="HN89" s="3"/>
      <c r="HO89" s="3"/>
      <c r="HP89" s="3"/>
      <c r="HQ89" s="3"/>
      <c r="HR89" s="3"/>
      <c r="HS89" s="3"/>
      <c r="HT89" s="3"/>
      <c r="HU89" s="3"/>
      <c r="HV89" s="3"/>
      <c r="HW89" s="3"/>
      <c r="HX89" s="3"/>
      <c r="HY89" s="3"/>
      <c r="HZ89" s="3"/>
      <c r="IA89" s="3"/>
      <c r="IB89" s="3"/>
      <c r="IC89" s="3"/>
      <c r="ID89" s="3"/>
      <c r="IE89" s="3"/>
      <c r="IF89" s="3"/>
      <c r="IG89" s="3"/>
      <c r="IH89" s="3"/>
      <c r="II89" s="3"/>
      <c r="IJ89" s="3"/>
      <c r="IK89" s="3"/>
      <c r="IL89" s="3"/>
      <c r="IM89" s="3"/>
      <c r="IN89" s="3"/>
      <c r="IO89" s="3"/>
      <c r="IP89" s="3"/>
      <c r="IQ89" s="3"/>
      <c r="IR89" s="3"/>
      <c r="IS89" s="3"/>
      <c r="IT89" s="3"/>
      <c r="IU89" s="3"/>
      <c r="IV89" s="3"/>
      <c r="IW89" s="3"/>
      <c r="IX89" s="3"/>
      <c r="IY89" s="3"/>
      <c r="IZ89" s="3"/>
      <c r="JA89" s="3"/>
      <c r="JB89" s="3"/>
      <c r="JC89" s="3"/>
      <c r="JD89" s="3"/>
      <c r="JE89" s="3"/>
      <c r="JF89" s="3"/>
      <c r="JG89" s="3"/>
      <c r="JH89" s="3"/>
      <c r="JI89" s="3"/>
      <c r="JJ89" s="3"/>
      <c r="JK89" s="3"/>
      <c r="JL89" s="3"/>
      <c r="JM89" s="3"/>
      <c r="JN89" s="3"/>
      <c r="JO89" s="3"/>
      <c r="JP89" s="3"/>
      <c r="JQ89" s="3"/>
      <c r="JR89" s="3"/>
      <c r="JS89" s="3"/>
      <c r="JT89" s="3"/>
      <c r="JU89" s="3"/>
      <c r="JV89" s="3"/>
      <c r="JW89" s="3"/>
      <c r="JX89" s="3"/>
      <c r="JY89" s="3"/>
      <c r="JZ89" s="3"/>
      <c r="KA89" s="3"/>
      <c r="KB89" s="3"/>
      <c r="KC89" s="3"/>
      <c r="KD89" s="3"/>
      <c r="KE89" s="3"/>
      <c r="KF89" s="3"/>
      <c r="KG89" s="3"/>
      <c r="KH89" s="3"/>
      <c r="KI89" s="3"/>
      <c r="KJ89" s="3"/>
      <c r="KK89" s="3"/>
      <c r="KL89" s="3"/>
      <c r="KM89" s="3"/>
      <c r="KN89" s="3"/>
      <c r="KO89" s="3"/>
      <c r="KP89" s="3"/>
      <c r="KQ89" s="3"/>
      <c r="KR89" s="3"/>
      <c r="KS89" s="3"/>
      <c r="KT89" s="3"/>
      <c r="KU89" s="3"/>
      <c r="KV89" s="3"/>
      <c r="KW89" s="3"/>
      <c r="KX89" s="3"/>
      <c r="KY89" s="3"/>
      <c r="KZ89" s="3"/>
      <c r="LA89" s="3"/>
      <c r="LB89" s="3"/>
      <c r="LC89" s="3"/>
      <c r="LD89" s="3"/>
      <c r="LE89" s="3"/>
      <c r="LF89" s="3"/>
      <c r="LG89" s="3"/>
      <c r="LH89" s="3"/>
      <c r="LI89" s="3"/>
      <c r="LJ89" s="3"/>
      <c r="LK89" s="3"/>
      <c r="LL89" s="3"/>
      <c r="LM89" s="3"/>
      <c r="LN89" s="3"/>
      <c r="LO89" s="3"/>
      <c r="LP89" s="3"/>
      <c r="LQ89" s="3"/>
      <c r="LR89" s="3"/>
      <c r="LS89" s="3"/>
      <c r="LT89" s="3"/>
      <c r="LU89" s="3"/>
      <c r="LV89" s="3"/>
      <c r="LW89" s="3"/>
      <c r="LX89" s="3"/>
      <c r="LY89" s="3"/>
      <c r="LZ89" s="3"/>
      <c r="MA89" s="3"/>
      <c r="MB89" s="3"/>
      <c r="MC89" s="3"/>
      <c r="MD89" s="3"/>
      <c r="ME89" s="3"/>
      <c r="MF89" s="3"/>
      <c r="MG89" s="3"/>
      <c r="MH89" s="3"/>
      <c r="MI89" s="3"/>
      <c r="MJ89" s="3"/>
      <c r="MK89" s="3"/>
      <c r="ML89" s="3"/>
      <c r="MM89" s="3"/>
      <c r="MN89" s="3"/>
      <c r="MO89" s="3"/>
      <c r="MP89" s="3"/>
      <c r="MQ89" s="3"/>
      <c r="MR89" s="3"/>
      <c r="MS89" s="3"/>
      <c r="MT89" s="3"/>
      <c r="MU89" s="3"/>
      <c r="MV89" s="3"/>
      <c r="MW89" s="3"/>
      <c r="MX89" s="3"/>
      <c r="MY89" s="3"/>
      <c r="MZ89" s="3"/>
      <c r="NA89" s="3"/>
      <c r="NB89" s="3"/>
      <c r="NC89" s="3"/>
      <c r="ND89" s="3"/>
      <c r="NE89" s="3"/>
      <c r="NF89" s="3"/>
      <c r="NG89" s="3"/>
      <c r="NH89" s="3"/>
      <c r="NI89" s="3"/>
      <c r="NJ89" s="3"/>
      <c r="NK89" s="3"/>
      <c r="NL89" s="3"/>
      <c r="NM89" s="3"/>
      <c r="NN89" s="3"/>
      <c r="NO89" s="3"/>
      <c r="NP89" s="3"/>
      <c r="NQ89" s="3"/>
      <c r="NR89" s="3"/>
      <c r="NS89" s="3"/>
      <c r="NT89" s="3"/>
      <c r="NU89" s="3"/>
      <c r="NV89" s="3"/>
      <c r="NW89" s="3"/>
      <c r="NX89" s="3"/>
      <c r="NY89" s="3"/>
      <c r="NZ89" s="3"/>
      <c r="OA89" s="3"/>
      <c r="OB89" s="3"/>
      <c r="OC89" s="3"/>
      <c r="OD89" s="3"/>
      <c r="OE89" s="3"/>
      <c r="OF89" s="3"/>
      <c r="OG89" s="3"/>
      <c r="OH89" s="3"/>
      <c r="OI89" s="3"/>
      <c r="OJ89" s="3"/>
      <c r="OK89" s="3"/>
      <c r="OL89" s="3"/>
      <c r="OM89" s="3"/>
      <c r="ON89" s="3"/>
      <c r="OO89" s="3"/>
      <c r="OP89" s="3"/>
      <c r="OQ89" s="3"/>
      <c r="OR89" s="3"/>
      <c r="OS89" s="3"/>
      <c r="OT89" s="3"/>
      <c r="OU89" s="3"/>
      <c r="OV89" s="3"/>
      <c r="OW89" s="3"/>
      <c r="OX89" s="3"/>
      <c r="OY89" s="3"/>
      <c r="OZ89" s="3"/>
      <c r="PA89" s="3"/>
      <c r="PB89" s="3"/>
      <c r="PC89" s="3"/>
      <c r="PD89" s="3"/>
      <c r="PE89" s="3"/>
      <c r="PF89" s="3"/>
      <c r="PG89" s="3"/>
      <c r="PH89" s="3"/>
      <c r="PI89" s="3"/>
      <c r="PJ89" s="3"/>
      <c r="PK89" s="3"/>
      <c r="PL89" s="3"/>
      <c r="PM89" s="3"/>
      <c r="PN89" s="3"/>
      <c r="PO89" s="3"/>
      <c r="PP89" s="3"/>
      <c r="PQ89" s="3"/>
      <c r="PR89" s="3"/>
      <c r="PS89" s="3"/>
      <c r="PT89" s="3"/>
      <c r="PU89" s="3"/>
      <c r="PV89" s="3"/>
      <c r="PW89" s="3"/>
      <c r="PX89" s="3"/>
      <c r="PY89" s="3"/>
      <c r="PZ89" s="3"/>
      <c r="QA89" s="3"/>
      <c r="QB89" s="3"/>
      <c r="QC89" s="3"/>
      <c r="QD89" s="3"/>
      <c r="QE89" s="3"/>
      <c r="QF89" s="3"/>
      <c r="QG89" s="3"/>
      <c r="QH89" s="3"/>
      <c r="QI89" s="3"/>
      <c r="QJ89" s="3"/>
      <c r="QK89" s="3"/>
      <c r="QL89" s="3"/>
      <c r="QM89" s="3"/>
      <c r="QN89" s="3"/>
      <c r="QO89" s="3"/>
      <c r="QP89" s="3"/>
      <c r="QQ89" s="3"/>
      <c r="QR89" s="3"/>
      <c r="QS89" s="3"/>
      <c r="QT89" s="3"/>
      <c r="QU89" s="3"/>
      <c r="QV89" s="3"/>
      <c r="QW89" s="3"/>
      <c r="QX89" s="3"/>
      <c r="QY89" s="3"/>
      <c r="QZ89" s="3"/>
      <c r="RA89" s="3"/>
      <c r="RB89" s="3"/>
      <c r="RC89" s="3"/>
      <c r="RD89" s="3"/>
      <c r="RE89" s="3"/>
      <c r="RF89" s="3"/>
      <c r="RG89" s="3"/>
      <c r="RH89" s="3"/>
      <c r="RI89" s="3"/>
      <c r="RJ89" s="3"/>
      <c r="RK89" s="3"/>
      <c r="RL89" s="3"/>
      <c r="RM89" s="3"/>
      <c r="RN89" s="3"/>
      <c r="RO89" s="3"/>
      <c r="RP89" s="3"/>
      <c r="RQ89" s="3"/>
      <c r="RR89" s="3"/>
      <c r="RS89" s="3"/>
      <c r="RT89" s="3"/>
      <c r="RU89" s="3"/>
      <c r="RV89" s="3"/>
      <c r="RW89" s="3"/>
      <c r="RX89" s="3"/>
      <c r="RY89" s="3"/>
      <c r="RZ89" s="3"/>
      <c r="SA89" s="3"/>
      <c r="SB89" s="3"/>
      <c r="SC89" s="3"/>
      <c r="SD89" s="3"/>
      <c r="SE89" s="3"/>
      <c r="SF89" s="3"/>
      <c r="SG89" s="3"/>
      <c r="SH89" s="3"/>
      <c r="SI89" s="3"/>
      <c r="SJ89" s="3"/>
      <c r="SK89" s="3"/>
      <c r="SL89" s="3"/>
      <c r="SM89" s="3"/>
      <c r="SN89" s="3"/>
      <c r="SO89" s="3"/>
      <c r="SP89" s="3"/>
      <c r="SQ89" s="3"/>
      <c r="SR89" s="3"/>
      <c r="SS89" s="3"/>
      <c r="ST89" s="3"/>
      <c r="SU89" s="3"/>
      <c r="SV89" s="3"/>
      <c r="SW89" s="3"/>
      <c r="SX89" s="3"/>
      <c r="SY89" s="3"/>
      <c r="SZ89" s="3"/>
      <c r="TA89" s="3"/>
      <c r="TB89" s="3"/>
      <c r="TC89" s="3"/>
      <c r="TD89" s="3"/>
      <c r="TE89" s="3"/>
      <c r="TF89" s="3"/>
      <c r="TG89" s="3"/>
      <c r="TH89" s="3"/>
      <c r="TI89" s="3"/>
      <c r="TJ89" s="3"/>
      <c r="TK89" s="3"/>
      <c r="TL89" s="3"/>
      <c r="TM89" s="3"/>
      <c r="TN89" s="3"/>
      <c r="TO89" s="3"/>
      <c r="TP89" s="3"/>
      <c r="TQ89" s="3"/>
      <c r="TR89" s="3"/>
      <c r="TS89" s="3"/>
      <c r="TT89" s="3"/>
      <c r="TU89" s="3"/>
      <c r="TV89" s="3"/>
      <c r="TW89" s="3"/>
      <c r="TX89" s="3"/>
      <c r="TY89" s="3"/>
      <c r="TZ89" s="3"/>
      <c r="UA89" s="3"/>
      <c r="UB89" s="3"/>
      <c r="UC89" s="3"/>
      <c r="UD89" s="3"/>
      <c r="UE89" s="3"/>
      <c r="UF89" s="3"/>
      <c r="UG89" s="3"/>
      <c r="UH89" s="3"/>
      <c r="UI89" s="3"/>
      <c r="UJ89" s="3"/>
      <c r="UK89" s="3"/>
      <c r="UL89" s="3"/>
      <c r="UM89" s="3"/>
      <c r="UN89" s="3"/>
      <c r="UO89" s="3"/>
      <c r="UP89" s="3"/>
      <c r="UQ89" s="3"/>
      <c r="UR89" s="3"/>
      <c r="US89" s="3"/>
      <c r="UT89" s="3"/>
      <c r="UU89" s="3"/>
      <c r="UV89" s="3"/>
      <c r="UW89" s="3"/>
      <c r="UX89" s="3"/>
      <c r="UY89" s="3"/>
      <c r="UZ89" s="3"/>
      <c r="VA89" s="3"/>
      <c r="VB89" s="3"/>
      <c r="VC89" s="3"/>
      <c r="VD89" s="3"/>
      <c r="VE89" s="3"/>
      <c r="VF89" s="3"/>
      <c r="VG89" s="3"/>
      <c r="VH89" s="3"/>
      <c r="VI89" s="3"/>
      <c r="VJ89" s="3"/>
      <c r="VK89" s="3"/>
      <c r="VL89" s="3"/>
      <c r="VM89" s="3"/>
      <c r="VN89" s="3"/>
      <c r="VO89" s="3"/>
      <c r="VP89" s="3"/>
      <c r="VQ89" s="3"/>
      <c r="VR89" s="3"/>
      <c r="VS89" s="3"/>
      <c r="VT89" s="3"/>
      <c r="VU89" s="3"/>
      <c r="VV89" s="3"/>
      <c r="VW89" s="3"/>
      <c r="VX89" s="3"/>
      <c r="VY89" s="3"/>
      <c r="VZ89" s="3"/>
      <c r="WA89" s="3"/>
      <c r="WB89" s="3"/>
      <c r="WC89" s="3"/>
      <c r="WD89" s="3"/>
      <c r="WE89" s="3"/>
      <c r="WF89" s="3"/>
      <c r="WG89" s="3"/>
      <c r="WH89" s="3"/>
      <c r="WI89" s="3"/>
      <c r="WJ89" s="3"/>
      <c r="WK89" s="3"/>
      <c r="WL89" s="3"/>
      <c r="WM89" s="3"/>
      <c r="WN89" s="3"/>
      <c r="WO89" s="3"/>
      <c r="WP89" s="3"/>
      <c r="WQ89" s="3"/>
      <c r="WR89" s="3"/>
      <c r="WS89" s="3"/>
      <c r="WT89" s="3"/>
      <c r="WU89" s="3"/>
      <c r="WV89" s="3"/>
      <c r="WW89" s="3"/>
      <c r="WX89" s="3"/>
      <c r="WY89" s="3"/>
      <c r="WZ89" s="3"/>
      <c r="XA89" s="3"/>
      <c r="XB89" s="3"/>
      <c r="XC89" s="3"/>
      <c r="XD89" s="3"/>
      <c r="XE89" s="3"/>
      <c r="XF89" s="3"/>
      <c r="XG89" s="3"/>
      <c r="XH89" s="3"/>
      <c r="XI89" s="3"/>
      <c r="XJ89" s="3"/>
      <c r="XK89" s="3"/>
      <c r="XL89" s="3"/>
      <c r="XM89" s="3"/>
      <c r="XN89" s="3"/>
      <c r="XO89" s="3"/>
      <c r="XP89" s="3"/>
      <c r="XQ89" s="3"/>
      <c r="XR89" s="3"/>
      <c r="XS89" s="3"/>
      <c r="XT89" s="3"/>
      <c r="XU89" s="3"/>
      <c r="XV89" s="3"/>
      <c r="XW89" s="3"/>
      <c r="XX89" s="3"/>
      <c r="XY89" s="3"/>
      <c r="XZ89" s="3"/>
      <c r="YA89" s="3"/>
      <c r="YB89" s="3"/>
      <c r="YC89" s="3"/>
      <c r="YD89" s="3"/>
      <c r="YE89" s="3"/>
      <c r="YF89" s="3"/>
      <c r="YG89" s="3"/>
      <c r="YH89" s="3"/>
      <c r="YI89" s="3"/>
      <c r="YJ89" s="3"/>
      <c r="YK89" s="3"/>
      <c r="YL89" s="3"/>
      <c r="YM89" s="3"/>
      <c r="YN89" s="3"/>
      <c r="YO89" s="3"/>
      <c r="YP89" s="3"/>
      <c r="YQ89" s="3"/>
      <c r="YR89" s="3"/>
      <c r="YS89" s="3"/>
      <c r="YT89" s="3"/>
      <c r="YU89" s="3"/>
      <c r="YV89" s="3"/>
      <c r="YW89" s="3"/>
      <c r="YX89" s="3"/>
      <c r="YY89" s="3"/>
      <c r="YZ89" s="3"/>
      <c r="ZA89" s="3"/>
      <c r="ZB89" s="3"/>
      <c r="ZC89" s="3"/>
    </row>
    <row r="90" spans="1:679" s="2" customFormat="1" x14ac:dyDescent="0.45">
      <c r="A90" s="3" t="s">
        <v>11</v>
      </c>
      <c r="B90" s="4">
        <v>32500</v>
      </c>
      <c r="C90" s="7" t="s">
        <v>21</v>
      </c>
      <c r="D90" s="6" t="s">
        <v>104</v>
      </c>
      <c r="E90" s="3"/>
      <c r="F90" s="3">
        <v>9</v>
      </c>
      <c r="L90" s="3"/>
      <c r="M90" s="3"/>
      <c r="N90" s="48"/>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c r="CY90" s="3"/>
      <c r="CZ90" s="3"/>
      <c r="DA90" s="3"/>
      <c r="DB90" s="3"/>
      <c r="DC90" s="3"/>
      <c r="DD90" s="3"/>
      <c r="DE90" s="3"/>
      <c r="DF90" s="3"/>
      <c r="DG90" s="3"/>
      <c r="DH90" s="3"/>
      <c r="DI90" s="3"/>
      <c r="DJ90" s="3"/>
      <c r="DK90" s="3"/>
      <c r="DL90" s="3"/>
      <c r="DM90" s="3"/>
      <c r="DN90" s="3"/>
      <c r="DO90" s="3"/>
      <c r="DP90" s="3"/>
      <c r="DQ90" s="3"/>
      <c r="DR90" s="3"/>
      <c r="DS90" s="3"/>
      <c r="DT90" s="3"/>
      <c r="DU90" s="3"/>
      <c r="DV90" s="3"/>
      <c r="DW90" s="3"/>
      <c r="DX90" s="3"/>
      <c r="DY90" s="3"/>
      <c r="DZ90" s="3"/>
      <c r="EA90" s="3"/>
      <c r="EB90" s="3"/>
      <c r="EC90" s="3"/>
      <c r="ED90" s="3"/>
      <c r="EE90" s="3"/>
      <c r="EF90" s="3"/>
      <c r="EG90" s="3"/>
      <c r="EH90" s="3"/>
      <c r="EI90" s="3"/>
      <c r="EJ90" s="3"/>
      <c r="EK90" s="3"/>
      <c r="EL90" s="3"/>
      <c r="EM90" s="3"/>
      <c r="EN90" s="3"/>
      <c r="EO90" s="3"/>
      <c r="EP90" s="3"/>
      <c r="EQ90" s="3"/>
      <c r="ER90" s="3"/>
      <c r="ES90" s="3"/>
      <c r="ET90" s="3"/>
      <c r="EU90" s="3"/>
      <c r="EV90" s="3"/>
      <c r="EW90" s="3"/>
      <c r="EX90" s="3"/>
      <c r="EY90" s="3"/>
      <c r="EZ90" s="3"/>
      <c r="FA90" s="3"/>
      <c r="FB90" s="3"/>
      <c r="FC90" s="3"/>
      <c r="FD90" s="3"/>
      <c r="FE90" s="3"/>
      <c r="FF90" s="3"/>
      <c r="FG90" s="3"/>
      <c r="FH90" s="3"/>
      <c r="FI90" s="3"/>
      <c r="FJ90" s="3"/>
      <c r="FK90" s="3"/>
      <c r="FL90" s="3"/>
      <c r="FM90" s="3"/>
      <c r="FN90" s="3"/>
      <c r="FO90" s="3"/>
      <c r="FP90" s="3"/>
      <c r="FQ90" s="3"/>
      <c r="FR90" s="3"/>
      <c r="FS90" s="3"/>
      <c r="FT90" s="3"/>
      <c r="FU90" s="3"/>
      <c r="FV90" s="3"/>
      <c r="FW90" s="3"/>
      <c r="FX90" s="3"/>
      <c r="FY90" s="3"/>
      <c r="FZ90" s="3"/>
      <c r="GA90" s="3"/>
      <c r="GB90" s="3"/>
      <c r="GC90" s="3"/>
      <c r="GD90" s="3"/>
      <c r="GE90" s="3"/>
      <c r="GF90" s="3"/>
      <c r="GG90" s="3"/>
      <c r="GH90" s="3"/>
      <c r="GI90" s="3"/>
      <c r="GJ90" s="3"/>
      <c r="GK90" s="3"/>
      <c r="GL90" s="3"/>
      <c r="GM90" s="3"/>
      <c r="GN90" s="3"/>
      <c r="GO90" s="3"/>
      <c r="GP90" s="3"/>
      <c r="GQ90" s="3"/>
      <c r="GR90" s="3"/>
      <c r="GS90" s="3"/>
      <c r="GT90" s="3"/>
      <c r="GU90" s="3"/>
      <c r="GV90" s="3"/>
      <c r="GW90" s="3"/>
      <c r="GX90" s="3"/>
      <c r="GY90" s="3"/>
      <c r="GZ90" s="3"/>
      <c r="HA90" s="3"/>
      <c r="HB90" s="3"/>
      <c r="HC90" s="3"/>
      <c r="HD90" s="3"/>
      <c r="HE90" s="3"/>
      <c r="HF90" s="3"/>
      <c r="HG90" s="3"/>
      <c r="HH90" s="3"/>
      <c r="HI90" s="3"/>
      <c r="HJ90" s="3"/>
      <c r="HK90" s="3"/>
      <c r="HL90" s="3"/>
      <c r="HM90" s="3"/>
      <c r="HN90" s="3"/>
      <c r="HO90" s="3"/>
      <c r="HP90" s="3"/>
      <c r="HQ90" s="3"/>
      <c r="HR90" s="3"/>
      <c r="HS90" s="3"/>
      <c r="HT90" s="3"/>
      <c r="HU90" s="3"/>
      <c r="HV90" s="3"/>
      <c r="HW90" s="3"/>
      <c r="HX90" s="3"/>
      <c r="HY90" s="3"/>
      <c r="HZ90" s="3"/>
      <c r="IA90" s="3"/>
      <c r="IB90" s="3"/>
      <c r="IC90" s="3"/>
      <c r="ID90" s="3"/>
      <c r="IE90" s="3"/>
      <c r="IF90" s="3"/>
      <c r="IG90" s="3"/>
      <c r="IH90" s="3"/>
      <c r="II90" s="3"/>
      <c r="IJ90" s="3"/>
      <c r="IK90" s="3"/>
      <c r="IL90" s="3"/>
      <c r="IM90" s="3"/>
      <c r="IN90" s="3"/>
      <c r="IO90" s="3"/>
      <c r="IP90" s="3"/>
      <c r="IQ90" s="3"/>
      <c r="IR90" s="3"/>
      <c r="IS90" s="3"/>
      <c r="IT90" s="3"/>
      <c r="IU90" s="3"/>
      <c r="IV90" s="3"/>
      <c r="IW90" s="3"/>
      <c r="IX90" s="3"/>
      <c r="IY90" s="3"/>
      <c r="IZ90" s="3"/>
      <c r="JA90" s="3"/>
      <c r="JB90" s="3"/>
      <c r="JC90" s="3"/>
      <c r="JD90" s="3"/>
      <c r="JE90" s="3"/>
      <c r="JF90" s="3"/>
      <c r="JG90" s="3"/>
      <c r="JH90" s="3"/>
      <c r="JI90" s="3"/>
      <c r="JJ90" s="3"/>
      <c r="JK90" s="3"/>
      <c r="JL90" s="3"/>
      <c r="JM90" s="3"/>
      <c r="JN90" s="3"/>
      <c r="JO90" s="3"/>
      <c r="JP90" s="3"/>
      <c r="JQ90" s="3"/>
      <c r="JR90" s="3"/>
      <c r="JS90" s="3"/>
      <c r="JT90" s="3"/>
      <c r="JU90" s="3"/>
      <c r="JV90" s="3"/>
      <c r="JW90" s="3"/>
      <c r="JX90" s="3"/>
      <c r="JY90" s="3"/>
      <c r="JZ90" s="3"/>
      <c r="KA90" s="3"/>
      <c r="KB90" s="3"/>
      <c r="KC90" s="3"/>
      <c r="KD90" s="3"/>
      <c r="KE90" s="3"/>
      <c r="KF90" s="3"/>
      <c r="KG90" s="3"/>
      <c r="KH90" s="3"/>
      <c r="KI90" s="3"/>
      <c r="KJ90" s="3"/>
      <c r="KK90" s="3"/>
      <c r="KL90" s="3"/>
      <c r="KM90" s="3"/>
      <c r="KN90" s="3"/>
      <c r="KO90" s="3"/>
      <c r="KP90" s="3"/>
      <c r="KQ90" s="3"/>
      <c r="KR90" s="3"/>
      <c r="KS90" s="3"/>
      <c r="KT90" s="3"/>
      <c r="KU90" s="3"/>
      <c r="KV90" s="3"/>
      <c r="KW90" s="3"/>
      <c r="KX90" s="3"/>
      <c r="KY90" s="3"/>
      <c r="KZ90" s="3"/>
      <c r="LA90" s="3"/>
      <c r="LB90" s="3"/>
      <c r="LC90" s="3"/>
      <c r="LD90" s="3"/>
      <c r="LE90" s="3"/>
      <c r="LF90" s="3"/>
      <c r="LG90" s="3"/>
      <c r="LH90" s="3"/>
      <c r="LI90" s="3"/>
      <c r="LJ90" s="3"/>
      <c r="LK90" s="3"/>
      <c r="LL90" s="3"/>
      <c r="LM90" s="3"/>
      <c r="LN90" s="3"/>
      <c r="LO90" s="3"/>
      <c r="LP90" s="3"/>
      <c r="LQ90" s="3"/>
      <c r="LR90" s="3"/>
      <c r="LS90" s="3"/>
      <c r="LT90" s="3"/>
      <c r="LU90" s="3"/>
      <c r="LV90" s="3"/>
      <c r="LW90" s="3"/>
      <c r="LX90" s="3"/>
      <c r="LY90" s="3"/>
      <c r="LZ90" s="3"/>
      <c r="MA90" s="3"/>
      <c r="MB90" s="3"/>
      <c r="MC90" s="3"/>
      <c r="MD90" s="3"/>
      <c r="ME90" s="3"/>
      <c r="MF90" s="3"/>
      <c r="MG90" s="3"/>
      <c r="MH90" s="3"/>
      <c r="MI90" s="3"/>
      <c r="MJ90" s="3"/>
      <c r="MK90" s="3"/>
      <c r="ML90" s="3"/>
      <c r="MM90" s="3"/>
      <c r="MN90" s="3"/>
      <c r="MO90" s="3"/>
      <c r="MP90" s="3"/>
      <c r="MQ90" s="3"/>
      <c r="MR90" s="3"/>
      <c r="MS90" s="3"/>
      <c r="MT90" s="3"/>
      <c r="MU90" s="3"/>
      <c r="MV90" s="3"/>
      <c r="MW90" s="3"/>
      <c r="MX90" s="3"/>
      <c r="MY90" s="3"/>
      <c r="MZ90" s="3"/>
      <c r="NA90" s="3"/>
      <c r="NB90" s="3"/>
      <c r="NC90" s="3"/>
      <c r="ND90" s="3"/>
      <c r="NE90" s="3"/>
      <c r="NF90" s="3"/>
      <c r="NG90" s="3"/>
      <c r="NH90" s="3"/>
      <c r="NI90" s="3"/>
      <c r="NJ90" s="3"/>
      <c r="NK90" s="3"/>
      <c r="NL90" s="3"/>
      <c r="NM90" s="3"/>
      <c r="NN90" s="3"/>
      <c r="NO90" s="3"/>
      <c r="NP90" s="3"/>
      <c r="NQ90" s="3"/>
      <c r="NR90" s="3"/>
      <c r="NS90" s="3"/>
      <c r="NT90" s="3"/>
      <c r="NU90" s="3"/>
      <c r="NV90" s="3"/>
      <c r="NW90" s="3"/>
      <c r="NX90" s="3"/>
      <c r="NY90" s="3"/>
      <c r="NZ90" s="3"/>
      <c r="OA90" s="3"/>
      <c r="OB90" s="3"/>
      <c r="OC90" s="3"/>
      <c r="OD90" s="3"/>
      <c r="OE90" s="3"/>
      <c r="OF90" s="3"/>
      <c r="OG90" s="3"/>
      <c r="OH90" s="3"/>
      <c r="OI90" s="3"/>
      <c r="OJ90" s="3"/>
      <c r="OK90" s="3"/>
      <c r="OL90" s="3"/>
      <c r="OM90" s="3"/>
      <c r="ON90" s="3"/>
      <c r="OO90" s="3"/>
      <c r="OP90" s="3"/>
      <c r="OQ90" s="3"/>
      <c r="OR90" s="3"/>
      <c r="OS90" s="3"/>
      <c r="OT90" s="3"/>
      <c r="OU90" s="3"/>
      <c r="OV90" s="3"/>
      <c r="OW90" s="3"/>
      <c r="OX90" s="3"/>
      <c r="OY90" s="3"/>
      <c r="OZ90" s="3"/>
      <c r="PA90" s="3"/>
      <c r="PB90" s="3"/>
      <c r="PC90" s="3"/>
      <c r="PD90" s="3"/>
      <c r="PE90" s="3"/>
      <c r="PF90" s="3"/>
      <c r="PG90" s="3"/>
      <c r="PH90" s="3"/>
      <c r="PI90" s="3"/>
      <c r="PJ90" s="3"/>
      <c r="PK90" s="3"/>
      <c r="PL90" s="3"/>
      <c r="PM90" s="3"/>
      <c r="PN90" s="3"/>
      <c r="PO90" s="3"/>
      <c r="PP90" s="3"/>
      <c r="PQ90" s="3"/>
      <c r="PR90" s="3"/>
      <c r="PS90" s="3"/>
      <c r="PT90" s="3"/>
      <c r="PU90" s="3"/>
      <c r="PV90" s="3"/>
      <c r="PW90" s="3"/>
      <c r="PX90" s="3"/>
      <c r="PY90" s="3"/>
      <c r="PZ90" s="3"/>
      <c r="QA90" s="3"/>
      <c r="QB90" s="3"/>
      <c r="QC90" s="3"/>
      <c r="QD90" s="3"/>
      <c r="QE90" s="3"/>
      <c r="QF90" s="3"/>
      <c r="QG90" s="3"/>
      <c r="QH90" s="3"/>
      <c r="QI90" s="3"/>
      <c r="QJ90" s="3"/>
      <c r="QK90" s="3"/>
      <c r="QL90" s="3"/>
      <c r="QM90" s="3"/>
      <c r="QN90" s="3"/>
      <c r="QO90" s="3"/>
      <c r="QP90" s="3"/>
      <c r="QQ90" s="3"/>
      <c r="QR90" s="3"/>
      <c r="QS90" s="3"/>
      <c r="QT90" s="3"/>
      <c r="QU90" s="3"/>
      <c r="QV90" s="3"/>
      <c r="QW90" s="3"/>
      <c r="QX90" s="3"/>
      <c r="QY90" s="3"/>
      <c r="QZ90" s="3"/>
      <c r="RA90" s="3"/>
      <c r="RB90" s="3"/>
      <c r="RC90" s="3"/>
      <c r="RD90" s="3"/>
      <c r="RE90" s="3"/>
      <c r="RF90" s="3"/>
      <c r="RG90" s="3"/>
      <c r="RH90" s="3"/>
      <c r="RI90" s="3"/>
      <c r="RJ90" s="3"/>
      <c r="RK90" s="3"/>
      <c r="RL90" s="3"/>
      <c r="RM90" s="3"/>
      <c r="RN90" s="3"/>
      <c r="RO90" s="3"/>
      <c r="RP90" s="3"/>
      <c r="RQ90" s="3"/>
      <c r="RR90" s="3"/>
      <c r="RS90" s="3"/>
      <c r="RT90" s="3"/>
      <c r="RU90" s="3"/>
      <c r="RV90" s="3"/>
      <c r="RW90" s="3"/>
      <c r="RX90" s="3"/>
      <c r="RY90" s="3"/>
      <c r="RZ90" s="3"/>
      <c r="SA90" s="3"/>
      <c r="SB90" s="3"/>
      <c r="SC90" s="3"/>
      <c r="SD90" s="3"/>
      <c r="SE90" s="3"/>
      <c r="SF90" s="3"/>
      <c r="SG90" s="3"/>
      <c r="SH90" s="3"/>
      <c r="SI90" s="3"/>
      <c r="SJ90" s="3"/>
      <c r="SK90" s="3"/>
      <c r="SL90" s="3"/>
      <c r="SM90" s="3"/>
      <c r="SN90" s="3"/>
      <c r="SO90" s="3"/>
      <c r="SP90" s="3"/>
      <c r="SQ90" s="3"/>
      <c r="SR90" s="3"/>
      <c r="SS90" s="3"/>
      <c r="ST90" s="3"/>
      <c r="SU90" s="3"/>
      <c r="SV90" s="3"/>
      <c r="SW90" s="3"/>
      <c r="SX90" s="3"/>
      <c r="SY90" s="3"/>
      <c r="SZ90" s="3"/>
      <c r="TA90" s="3"/>
      <c r="TB90" s="3"/>
      <c r="TC90" s="3"/>
      <c r="TD90" s="3"/>
      <c r="TE90" s="3"/>
      <c r="TF90" s="3"/>
      <c r="TG90" s="3"/>
      <c r="TH90" s="3"/>
      <c r="TI90" s="3"/>
      <c r="TJ90" s="3"/>
      <c r="TK90" s="3"/>
      <c r="TL90" s="3"/>
      <c r="TM90" s="3"/>
      <c r="TN90" s="3"/>
      <c r="TO90" s="3"/>
      <c r="TP90" s="3"/>
      <c r="TQ90" s="3"/>
      <c r="TR90" s="3"/>
      <c r="TS90" s="3"/>
      <c r="TT90" s="3"/>
      <c r="TU90" s="3"/>
      <c r="TV90" s="3"/>
      <c r="TW90" s="3"/>
      <c r="TX90" s="3"/>
      <c r="TY90" s="3"/>
      <c r="TZ90" s="3"/>
      <c r="UA90" s="3"/>
      <c r="UB90" s="3"/>
      <c r="UC90" s="3"/>
      <c r="UD90" s="3"/>
      <c r="UE90" s="3"/>
      <c r="UF90" s="3"/>
      <c r="UG90" s="3"/>
      <c r="UH90" s="3"/>
      <c r="UI90" s="3"/>
      <c r="UJ90" s="3"/>
      <c r="UK90" s="3"/>
      <c r="UL90" s="3"/>
      <c r="UM90" s="3"/>
      <c r="UN90" s="3"/>
      <c r="UO90" s="3"/>
      <c r="UP90" s="3"/>
      <c r="UQ90" s="3"/>
      <c r="UR90" s="3"/>
      <c r="US90" s="3"/>
      <c r="UT90" s="3"/>
      <c r="UU90" s="3"/>
      <c r="UV90" s="3"/>
      <c r="UW90" s="3"/>
      <c r="UX90" s="3"/>
      <c r="UY90" s="3"/>
      <c r="UZ90" s="3"/>
      <c r="VA90" s="3"/>
      <c r="VB90" s="3"/>
      <c r="VC90" s="3"/>
      <c r="VD90" s="3"/>
      <c r="VE90" s="3"/>
      <c r="VF90" s="3"/>
      <c r="VG90" s="3"/>
      <c r="VH90" s="3"/>
      <c r="VI90" s="3"/>
      <c r="VJ90" s="3"/>
      <c r="VK90" s="3"/>
      <c r="VL90" s="3"/>
      <c r="VM90" s="3"/>
      <c r="VN90" s="3"/>
      <c r="VO90" s="3"/>
      <c r="VP90" s="3"/>
      <c r="VQ90" s="3"/>
      <c r="VR90" s="3"/>
      <c r="VS90" s="3"/>
      <c r="VT90" s="3"/>
      <c r="VU90" s="3"/>
      <c r="VV90" s="3"/>
      <c r="VW90" s="3"/>
      <c r="VX90" s="3"/>
      <c r="VY90" s="3"/>
      <c r="VZ90" s="3"/>
      <c r="WA90" s="3"/>
      <c r="WB90" s="3"/>
      <c r="WC90" s="3"/>
      <c r="WD90" s="3"/>
      <c r="WE90" s="3"/>
      <c r="WF90" s="3"/>
      <c r="WG90" s="3"/>
      <c r="WH90" s="3"/>
      <c r="WI90" s="3"/>
      <c r="WJ90" s="3"/>
      <c r="WK90" s="3"/>
      <c r="WL90" s="3"/>
      <c r="WM90" s="3"/>
      <c r="WN90" s="3"/>
      <c r="WO90" s="3"/>
      <c r="WP90" s="3"/>
      <c r="WQ90" s="3"/>
      <c r="WR90" s="3"/>
      <c r="WS90" s="3"/>
      <c r="WT90" s="3"/>
      <c r="WU90" s="3"/>
      <c r="WV90" s="3"/>
      <c r="WW90" s="3"/>
      <c r="WX90" s="3"/>
      <c r="WY90" s="3"/>
      <c r="WZ90" s="3"/>
      <c r="XA90" s="3"/>
      <c r="XB90" s="3"/>
      <c r="XC90" s="3"/>
      <c r="XD90" s="3"/>
      <c r="XE90" s="3"/>
      <c r="XF90" s="3"/>
      <c r="XG90" s="3"/>
      <c r="XH90" s="3"/>
      <c r="XI90" s="3"/>
      <c r="XJ90" s="3"/>
      <c r="XK90" s="3"/>
      <c r="XL90" s="3"/>
      <c r="XM90" s="3"/>
      <c r="XN90" s="3"/>
      <c r="XO90" s="3"/>
      <c r="XP90" s="3"/>
      <c r="XQ90" s="3"/>
      <c r="XR90" s="3"/>
      <c r="XS90" s="3"/>
      <c r="XT90" s="3"/>
      <c r="XU90" s="3"/>
      <c r="XV90" s="3"/>
      <c r="XW90" s="3"/>
      <c r="XX90" s="3"/>
      <c r="XY90" s="3"/>
      <c r="XZ90" s="3"/>
      <c r="YA90" s="3"/>
      <c r="YB90" s="3"/>
      <c r="YC90" s="3"/>
      <c r="YD90" s="3"/>
      <c r="YE90" s="3"/>
      <c r="YF90" s="3"/>
      <c r="YG90" s="3"/>
      <c r="YH90" s="3"/>
      <c r="YI90" s="3"/>
      <c r="YJ90" s="3"/>
      <c r="YK90" s="3"/>
      <c r="YL90" s="3"/>
      <c r="YM90" s="3"/>
      <c r="YN90" s="3"/>
      <c r="YO90" s="3"/>
      <c r="YP90" s="3"/>
      <c r="YQ90" s="3"/>
      <c r="YR90" s="3"/>
      <c r="YS90" s="3"/>
      <c r="YT90" s="3"/>
      <c r="YU90" s="3"/>
      <c r="YV90" s="3"/>
      <c r="YW90" s="3"/>
      <c r="YX90" s="3"/>
      <c r="YY90" s="3"/>
      <c r="YZ90" s="3"/>
      <c r="ZA90" s="3"/>
      <c r="ZB90" s="3"/>
      <c r="ZC90" s="3"/>
    </row>
    <row r="91" spans="1:679" s="2" customFormat="1" x14ac:dyDescent="0.45">
      <c r="A91" s="3" t="s">
        <v>11</v>
      </c>
      <c r="B91" s="4">
        <v>32525</v>
      </c>
      <c r="C91" s="7" t="s">
        <v>25</v>
      </c>
      <c r="D91" s="6" t="s">
        <v>105</v>
      </c>
      <c r="E91" s="3"/>
      <c r="F91" s="3">
        <v>3</v>
      </c>
      <c r="L91" s="3"/>
      <c r="M91" s="3"/>
      <c r="N91" s="48"/>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c r="ER91" s="3"/>
      <c r="ES91" s="3"/>
      <c r="ET91" s="3"/>
      <c r="EU91" s="3"/>
      <c r="EV91" s="3"/>
      <c r="EW91" s="3"/>
      <c r="EX91" s="3"/>
      <c r="EY91" s="3"/>
      <c r="EZ91" s="3"/>
      <c r="FA91" s="3"/>
      <c r="FB91" s="3"/>
      <c r="FC91" s="3"/>
      <c r="FD91" s="3"/>
      <c r="FE91" s="3"/>
      <c r="FF91" s="3"/>
      <c r="FG91" s="3"/>
      <c r="FH91" s="3"/>
      <c r="FI91" s="3"/>
      <c r="FJ91" s="3"/>
      <c r="FK91" s="3"/>
      <c r="FL91" s="3"/>
      <c r="FM91" s="3"/>
      <c r="FN91" s="3"/>
      <c r="FO91" s="3"/>
      <c r="FP91" s="3"/>
      <c r="FQ91" s="3"/>
      <c r="FR91" s="3"/>
      <c r="FS91" s="3"/>
      <c r="FT91" s="3"/>
      <c r="FU91" s="3"/>
      <c r="FV91" s="3"/>
      <c r="FW91" s="3"/>
      <c r="FX91" s="3"/>
      <c r="FY91" s="3"/>
      <c r="FZ91" s="3"/>
      <c r="GA91" s="3"/>
      <c r="GB91" s="3"/>
      <c r="GC91" s="3"/>
      <c r="GD91" s="3"/>
      <c r="GE91" s="3"/>
      <c r="GF91" s="3"/>
      <c r="GG91" s="3"/>
      <c r="GH91" s="3"/>
      <c r="GI91" s="3"/>
      <c r="GJ91" s="3"/>
      <c r="GK91" s="3"/>
      <c r="GL91" s="3"/>
      <c r="GM91" s="3"/>
      <c r="GN91" s="3"/>
      <c r="GO91" s="3"/>
      <c r="GP91" s="3"/>
      <c r="GQ91" s="3"/>
      <c r="GR91" s="3"/>
      <c r="GS91" s="3"/>
      <c r="GT91" s="3"/>
      <c r="GU91" s="3"/>
      <c r="GV91" s="3"/>
      <c r="GW91" s="3"/>
      <c r="GX91" s="3"/>
      <c r="GY91" s="3"/>
      <c r="GZ91" s="3"/>
      <c r="HA91" s="3"/>
      <c r="HB91" s="3"/>
      <c r="HC91" s="3"/>
      <c r="HD91" s="3"/>
      <c r="HE91" s="3"/>
      <c r="HF91" s="3"/>
      <c r="HG91" s="3"/>
      <c r="HH91" s="3"/>
      <c r="HI91" s="3"/>
      <c r="HJ91" s="3"/>
      <c r="HK91" s="3"/>
      <c r="HL91" s="3"/>
      <c r="HM91" s="3"/>
      <c r="HN91" s="3"/>
      <c r="HO91" s="3"/>
      <c r="HP91" s="3"/>
      <c r="HQ91" s="3"/>
      <c r="HR91" s="3"/>
      <c r="HS91" s="3"/>
      <c r="HT91" s="3"/>
      <c r="HU91" s="3"/>
      <c r="HV91" s="3"/>
      <c r="HW91" s="3"/>
      <c r="HX91" s="3"/>
      <c r="HY91" s="3"/>
      <c r="HZ91" s="3"/>
      <c r="IA91" s="3"/>
      <c r="IB91" s="3"/>
      <c r="IC91" s="3"/>
      <c r="ID91" s="3"/>
      <c r="IE91" s="3"/>
      <c r="IF91" s="3"/>
      <c r="IG91" s="3"/>
      <c r="IH91" s="3"/>
      <c r="II91" s="3"/>
      <c r="IJ91" s="3"/>
      <c r="IK91" s="3"/>
      <c r="IL91" s="3"/>
      <c r="IM91" s="3"/>
      <c r="IN91" s="3"/>
      <c r="IO91" s="3"/>
      <c r="IP91" s="3"/>
      <c r="IQ91" s="3"/>
      <c r="IR91" s="3"/>
      <c r="IS91" s="3"/>
      <c r="IT91" s="3"/>
      <c r="IU91" s="3"/>
      <c r="IV91" s="3"/>
      <c r="IW91" s="3"/>
      <c r="IX91" s="3"/>
      <c r="IY91" s="3"/>
      <c r="IZ91" s="3"/>
      <c r="JA91" s="3"/>
      <c r="JB91" s="3"/>
      <c r="JC91" s="3"/>
      <c r="JD91" s="3"/>
      <c r="JE91" s="3"/>
      <c r="JF91" s="3"/>
      <c r="JG91" s="3"/>
      <c r="JH91" s="3"/>
      <c r="JI91" s="3"/>
      <c r="JJ91" s="3"/>
      <c r="JK91" s="3"/>
      <c r="JL91" s="3"/>
      <c r="JM91" s="3"/>
      <c r="JN91" s="3"/>
      <c r="JO91" s="3"/>
      <c r="JP91" s="3"/>
      <c r="JQ91" s="3"/>
      <c r="JR91" s="3"/>
      <c r="JS91" s="3"/>
      <c r="JT91" s="3"/>
      <c r="JU91" s="3"/>
      <c r="JV91" s="3"/>
      <c r="JW91" s="3"/>
      <c r="JX91" s="3"/>
      <c r="JY91" s="3"/>
      <c r="JZ91" s="3"/>
      <c r="KA91" s="3"/>
      <c r="KB91" s="3"/>
      <c r="KC91" s="3"/>
      <c r="KD91" s="3"/>
      <c r="KE91" s="3"/>
      <c r="KF91" s="3"/>
      <c r="KG91" s="3"/>
      <c r="KH91" s="3"/>
      <c r="KI91" s="3"/>
      <c r="KJ91" s="3"/>
      <c r="KK91" s="3"/>
      <c r="KL91" s="3"/>
      <c r="KM91" s="3"/>
      <c r="KN91" s="3"/>
      <c r="KO91" s="3"/>
      <c r="KP91" s="3"/>
      <c r="KQ91" s="3"/>
      <c r="KR91" s="3"/>
      <c r="KS91" s="3"/>
      <c r="KT91" s="3"/>
      <c r="KU91" s="3"/>
      <c r="KV91" s="3"/>
      <c r="KW91" s="3"/>
      <c r="KX91" s="3"/>
      <c r="KY91" s="3"/>
      <c r="KZ91" s="3"/>
      <c r="LA91" s="3"/>
      <c r="LB91" s="3"/>
      <c r="LC91" s="3"/>
      <c r="LD91" s="3"/>
      <c r="LE91" s="3"/>
      <c r="LF91" s="3"/>
      <c r="LG91" s="3"/>
      <c r="LH91" s="3"/>
      <c r="LI91" s="3"/>
      <c r="LJ91" s="3"/>
      <c r="LK91" s="3"/>
      <c r="LL91" s="3"/>
      <c r="LM91" s="3"/>
      <c r="LN91" s="3"/>
      <c r="LO91" s="3"/>
      <c r="LP91" s="3"/>
      <c r="LQ91" s="3"/>
      <c r="LR91" s="3"/>
      <c r="LS91" s="3"/>
      <c r="LT91" s="3"/>
      <c r="LU91" s="3"/>
      <c r="LV91" s="3"/>
      <c r="LW91" s="3"/>
      <c r="LX91" s="3"/>
      <c r="LY91" s="3"/>
      <c r="LZ91" s="3"/>
      <c r="MA91" s="3"/>
      <c r="MB91" s="3"/>
      <c r="MC91" s="3"/>
      <c r="MD91" s="3"/>
      <c r="ME91" s="3"/>
      <c r="MF91" s="3"/>
      <c r="MG91" s="3"/>
      <c r="MH91" s="3"/>
      <c r="MI91" s="3"/>
      <c r="MJ91" s="3"/>
      <c r="MK91" s="3"/>
      <c r="ML91" s="3"/>
      <c r="MM91" s="3"/>
      <c r="MN91" s="3"/>
      <c r="MO91" s="3"/>
      <c r="MP91" s="3"/>
      <c r="MQ91" s="3"/>
      <c r="MR91" s="3"/>
      <c r="MS91" s="3"/>
      <c r="MT91" s="3"/>
      <c r="MU91" s="3"/>
      <c r="MV91" s="3"/>
      <c r="MW91" s="3"/>
      <c r="MX91" s="3"/>
      <c r="MY91" s="3"/>
      <c r="MZ91" s="3"/>
      <c r="NA91" s="3"/>
      <c r="NB91" s="3"/>
      <c r="NC91" s="3"/>
      <c r="ND91" s="3"/>
      <c r="NE91" s="3"/>
      <c r="NF91" s="3"/>
      <c r="NG91" s="3"/>
      <c r="NH91" s="3"/>
      <c r="NI91" s="3"/>
      <c r="NJ91" s="3"/>
      <c r="NK91" s="3"/>
      <c r="NL91" s="3"/>
      <c r="NM91" s="3"/>
      <c r="NN91" s="3"/>
      <c r="NO91" s="3"/>
      <c r="NP91" s="3"/>
      <c r="NQ91" s="3"/>
      <c r="NR91" s="3"/>
      <c r="NS91" s="3"/>
      <c r="NT91" s="3"/>
      <c r="NU91" s="3"/>
      <c r="NV91" s="3"/>
      <c r="NW91" s="3"/>
      <c r="NX91" s="3"/>
      <c r="NY91" s="3"/>
      <c r="NZ91" s="3"/>
      <c r="OA91" s="3"/>
      <c r="OB91" s="3"/>
      <c r="OC91" s="3"/>
      <c r="OD91" s="3"/>
      <c r="OE91" s="3"/>
      <c r="OF91" s="3"/>
      <c r="OG91" s="3"/>
      <c r="OH91" s="3"/>
      <c r="OI91" s="3"/>
      <c r="OJ91" s="3"/>
      <c r="OK91" s="3"/>
      <c r="OL91" s="3"/>
      <c r="OM91" s="3"/>
      <c r="ON91" s="3"/>
      <c r="OO91" s="3"/>
      <c r="OP91" s="3"/>
      <c r="OQ91" s="3"/>
      <c r="OR91" s="3"/>
      <c r="OS91" s="3"/>
      <c r="OT91" s="3"/>
      <c r="OU91" s="3"/>
      <c r="OV91" s="3"/>
      <c r="OW91" s="3"/>
      <c r="OX91" s="3"/>
      <c r="OY91" s="3"/>
      <c r="OZ91" s="3"/>
      <c r="PA91" s="3"/>
      <c r="PB91" s="3"/>
      <c r="PC91" s="3"/>
      <c r="PD91" s="3"/>
      <c r="PE91" s="3"/>
      <c r="PF91" s="3"/>
      <c r="PG91" s="3"/>
      <c r="PH91" s="3"/>
      <c r="PI91" s="3"/>
      <c r="PJ91" s="3"/>
      <c r="PK91" s="3"/>
      <c r="PL91" s="3"/>
      <c r="PM91" s="3"/>
      <c r="PN91" s="3"/>
      <c r="PO91" s="3"/>
      <c r="PP91" s="3"/>
      <c r="PQ91" s="3"/>
      <c r="PR91" s="3"/>
      <c r="PS91" s="3"/>
      <c r="PT91" s="3"/>
      <c r="PU91" s="3"/>
      <c r="PV91" s="3"/>
      <c r="PW91" s="3"/>
      <c r="PX91" s="3"/>
      <c r="PY91" s="3"/>
      <c r="PZ91" s="3"/>
      <c r="QA91" s="3"/>
      <c r="QB91" s="3"/>
      <c r="QC91" s="3"/>
      <c r="QD91" s="3"/>
      <c r="QE91" s="3"/>
      <c r="QF91" s="3"/>
      <c r="QG91" s="3"/>
      <c r="QH91" s="3"/>
      <c r="QI91" s="3"/>
      <c r="QJ91" s="3"/>
      <c r="QK91" s="3"/>
      <c r="QL91" s="3"/>
      <c r="QM91" s="3"/>
      <c r="QN91" s="3"/>
      <c r="QO91" s="3"/>
      <c r="QP91" s="3"/>
      <c r="QQ91" s="3"/>
      <c r="QR91" s="3"/>
      <c r="QS91" s="3"/>
      <c r="QT91" s="3"/>
      <c r="QU91" s="3"/>
      <c r="QV91" s="3"/>
      <c r="QW91" s="3"/>
      <c r="QX91" s="3"/>
      <c r="QY91" s="3"/>
      <c r="QZ91" s="3"/>
      <c r="RA91" s="3"/>
      <c r="RB91" s="3"/>
      <c r="RC91" s="3"/>
      <c r="RD91" s="3"/>
      <c r="RE91" s="3"/>
      <c r="RF91" s="3"/>
      <c r="RG91" s="3"/>
      <c r="RH91" s="3"/>
      <c r="RI91" s="3"/>
      <c r="RJ91" s="3"/>
      <c r="RK91" s="3"/>
      <c r="RL91" s="3"/>
      <c r="RM91" s="3"/>
      <c r="RN91" s="3"/>
      <c r="RO91" s="3"/>
      <c r="RP91" s="3"/>
      <c r="RQ91" s="3"/>
      <c r="RR91" s="3"/>
      <c r="RS91" s="3"/>
      <c r="RT91" s="3"/>
      <c r="RU91" s="3"/>
      <c r="RV91" s="3"/>
      <c r="RW91" s="3"/>
      <c r="RX91" s="3"/>
      <c r="RY91" s="3"/>
      <c r="RZ91" s="3"/>
      <c r="SA91" s="3"/>
      <c r="SB91" s="3"/>
      <c r="SC91" s="3"/>
      <c r="SD91" s="3"/>
      <c r="SE91" s="3"/>
      <c r="SF91" s="3"/>
      <c r="SG91" s="3"/>
      <c r="SH91" s="3"/>
      <c r="SI91" s="3"/>
      <c r="SJ91" s="3"/>
      <c r="SK91" s="3"/>
      <c r="SL91" s="3"/>
      <c r="SM91" s="3"/>
      <c r="SN91" s="3"/>
      <c r="SO91" s="3"/>
      <c r="SP91" s="3"/>
      <c r="SQ91" s="3"/>
      <c r="SR91" s="3"/>
      <c r="SS91" s="3"/>
      <c r="ST91" s="3"/>
      <c r="SU91" s="3"/>
      <c r="SV91" s="3"/>
      <c r="SW91" s="3"/>
      <c r="SX91" s="3"/>
      <c r="SY91" s="3"/>
      <c r="SZ91" s="3"/>
      <c r="TA91" s="3"/>
      <c r="TB91" s="3"/>
      <c r="TC91" s="3"/>
      <c r="TD91" s="3"/>
      <c r="TE91" s="3"/>
      <c r="TF91" s="3"/>
      <c r="TG91" s="3"/>
      <c r="TH91" s="3"/>
      <c r="TI91" s="3"/>
      <c r="TJ91" s="3"/>
      <c r="TK91" s="3"/>
      <c r="TL91" s="3"/>
      <c r="TM91" s="3"/>
      <c r="TN91" s="3"/>
      <c r="TO91" s="3"/>
      <c r="TP91" s="3"/>
      <c r="TQ91" s="3"/>
      <c r="TR91" s="3"/>
      <c r="TS91" s="3"/>
      <c r="TT91" s="3"/>
      <c r="TU91" s="3"/>
      <c r="TV91" s="3"/>
      <c r="TW91" s="3"/>
      <c r="TX91" s="3"/>
      <c r="TY91" s="3"/>
      <c r="TZ91" s="3"/>
      <c r="UA91" s="3"/>
      <c r="UB91" s="3"/>
      <c r="UC91" s="3"/>
      <c r="UD91" s="3"/>
      <c r="UE91" s="3"/>
      <c r="UF91" s="3"/>
      <c r="UG91" s="3"/>
      <c r="UH91" s="3"/>
      <c r="UI91" s="3"/>
      <c r="UJ91" s="3"/>
      <c r="UK91" s="3"/>
      <c r="UL91" s="3"/>
      <c r="UM91" s="3"/>
      <c r="UN91" s="3"/>
      <c r="UO91" s="3"/>
      <c r="UP91" s="3"/>
      <c r="UQ91" s="3"/>
      <c r="UR91" s="3"/>
      <c r="US91" s="3"/>
      <c r="UT91" s="3"/>
      <c r="UU91" s="3"/>
      <c r="UV91" s="3"/>
      <c r="UW91" s="3"/>
      <c r="UX91" s="3"/>
      <c r="UY91" s="3"/>
      <c r="UZ91" s="3"/>
      <c r="VA91" s="3"/>
      <c r="VB91" s="3"/>
      <c r="VC91" s="3"/>
      <c r="VD91" s="3"/>
      <c r="VE91" s="3"/>
      <c r="VF91" s="3"/>
      <c r="VG91" s="3"/>
      <c r="VH91" s="3"/>
      <c r="VI91" s="3"/>
      <c r="VJ91" s="3"/>
      <c r="VK91" s="3"/>
      <c r="VL91" s="3"/>
      <c r="VM91" s="3"/>
      <c r="VN91" s="3"/>
      <c r="VO91" s="3"/>
      <c r="VP91" s="3"/>
      <c r="VQ91" s="3"/>
      <c r="VR91" s="3"/>
      <c r="VS91" s="3"/>
      <c r="VT91" s="3"/>
      <c r="VU91" s="3"/>
      <c r="VV91" s="3"/>
      <c r="VW91" s="3"/>
      <c r="VX91" s="3"/>
      <c r="VY91" s="3"/>
      <c r="VZ91" s="3"/>
      <c r="WA91" s="3"/>
      <c r="WB91" s="3"/>
      <c r="WC91" s="3"/>
      <c r="WD91" s="3"/>
      <c r="WE91" s="3"/>
      <c r="WF91" s="3"/>
      <c r="WG91" s="3"/>
      <c r="WH91" s="3"/>
      <c r="WI91" s="3"/>
      <c r="WJ91" s="3"/>
      <c r="WK91" s="3"/>
      <c r="WL91" s="3"/>
      <c r="WM91" s="3"/>
      <c r="WN91" s="3"/>
      <c r="WO91" s="3"/>
      <c r="WP91" s="3"/>
      <c r="WQ91" s="3"/>
      <c r="WR91" s="3"/>
      <c r="WS91" s="3"/>
      <c r="WT91" s="3"/>
      <c r="WU91" s="3"/>
      <c r="WV91" s="3"/>
      <c r="WW91" s="3"/>
      <c r="WX91" s="3"/>
      <c r="WY91" s="3"/>
      <c r="WZ91" s="3"/>
      <c r="XA91" s="3"/>
      <c r="XB91" s="3"/>
      <c r="XC91" s="3"/>
      <c r="XD91" s="3"/>
      <c r="XE91" s="3"/>
      <c r="XF91" s="3"/>
      <c r="XG91" s="3"/>
      <c r="XH91" s="3"/>
      <c r="XI91" s="3"/>
      <c r="XJ91" s="3"/>
      <c r="XK91" s="3"/>
      <c r="XL91" s="3"/>
      <c r="XM91" s="3"/>
      <c r="XN91" s="3"/>
      <c r="XO91" s="3"/>
      <c r="XP91" s="3"/>
      <c r="XQ91" s="3"/>
      <c r="XR91" s="3"/>
      <c r="XS91" s="3"/>
      <c r="XT91" s="3"/>
      <c r="XU91" s="3"/>
      <c r="XV91" s="3"/>
      <c r="XW91" s="3"/>
      <c r="XX91" s="3"/>
      <c r="XY91" s="3"/>
      <c r="XZ91" s="3"/>
      <c r="YA91" s="3"/>
      <c r="YB91" s="3"/>
      <c r="YC91" s="3"/>
      <c r="YD91" s="3"/>
      <c r="YE91" s="3"/>
      <c r="YF91" s="3"/>
      <c r="YG91" s="3"/>
      <c r="YH91" s="3"/>
      <c r="YI91" s="3"/>
      <c r="YJ91" s="3"/>
      <c r="YK91" s="3"/>
      <c r="YL91" s="3"/>
      <c r="YM91" s="3"/>
      <c r="YN91" s="3"/>
      <c r="YO91" s="3"/>
      <c r="YP91" s="3"/>
      <c r="YQ91" s="3"/>
      <c r="YR91" s="3"/>
      <c r="YS91" s="3"/>
      <c r="YT91" s="3"/>
      <c r="YU91" s="3"/>
      <c r="YV91" s="3"/>
      <c r="YW91" s="3"/>
      <c r="YX91" s="3"/>
      <c r="YY91" s="3"/>
      <c r="YZ91" s="3"/>
      <c r="ZA91" s="3"/>
      <c r="ZB91" s="3"/>
      <c r="ZC91" s="3"/>
    </row>
    <row r="92" spans="1:679" s="2" customFormat="1" x14ac:dyDescent="0.45">
      <c r="A92" s="3" t="s">
        <v>11</v>
      </c>
      <c r="B92" s="4">
        <v>32553</v>
      </c>
      <c r="C92" s="7" t="s">
        <v>25</v>
      </c>
      <c r="D92" s="6" t="s">
        <v>106</v>
      </c>
      <c r="E92" s="3"/>
      <c r="F92" s="3">
        <v>3</v>
      </c>
      <c r="L92" s="3"/>
      <c r="M92" s="3"/>
      <c r="N92" s="48"/>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c r="DA92" s="3"/>
      <c r="DB92" s="3"/>
      <c r="DC92" s="3"/>
      <c r="DD92" s="3"/>
      <c r="DE92" s="3"/>
      <c r="DF92" s="3"/>
      <c r="DG92" s="3"/>
      <c r="DH92" s="3"/>
      <c r="DI92" s="3"/>
      <c r="DJ92" s="3"/>
      <c r="DK92" s="3"/>
      <c r="DL92" s="3"/>
      <c r="DM92" s="3"/>
      <c r="DN92" s="3"/>
      <c r="DO92" s="3"/>
      <c r="DP92" s="3"/>
      <c r="DQ92" s="3"/>
      <c r="DR92" s="3"/>
      <c r="DS92" s="3"/>
      <c r="DT92" s="3"/>
      <c r="DU92" s="3"/>
      <c r="DV92" s="3"/>
      <c r="DW92" s="3"/>
      <c r="DX92" s="3"/>
      <c r="DY92" s="3"/>
      <c r="DZ92" s="3"/>
      <c r="EA92" s="3"/>
      <c r="EB92" s="3"/>
      <c r="EC92" s="3"/>
      <c r="ED92" s="3"/>
      <c r="EE92" s="3"/>
      <c r="EF92" s="3"/>
      <c r="EG92" s="3"/>
      <c r="EH92" s="3"/>
      <c r="EI92" s="3"/>
      <c r="EJ92" s="3"/>
      <c r="EK92" s="3"/>
      <c r="EL92" s="3"/>
      <c r="EM92" s="3"/>
      <c r="EN92" s="3"/>
      <c r="EO92" s="3"/>
      <c r="EP92" s="3"/>
      <c r="EQ92" s="3"/>
      <c r="ER92" s="3"/>
      <c r="ES92" s="3"/>
      <c r="ET92" s="3"/>
      <c r="EU92" s="3"/>
      <c r="EV92" s="3"/>
      <c r="EW92" s="3"/>
      <c r="EX92" s="3"/>
      <c r="EY92" s="3"/>
      <c r="EZ92" s="3"/>
      <c r="FA92" s="3"/>
      <c r="FB92" s="3"/>
      <c r="FC92" s="3"/>
      <c r="FD92" s="3"/>
      <c r="FE92" s="3"/>
      <c r="FF92" s="3"/>
      <c r="FG92" s="3"/>
      <c r="FH92" s="3"/>
      <c r="FI92" s="3"/>
      <c r="FJ92" s="3"/>
      <c r="FK92" s="3"/>
      <c r="FL92" s="3"/>
      <c r="FM92" s="3"/>
      <c r="FN92" s="3"/>
      <c r="FO92" s="3"/>
      <c r="FP92" s="3"/>
      <c r="FQ92" s="3"/>
      <c r="FR92" s="3"/>
      <c r="FS92" s="3"/>
      <c r="FT92" s="3"/>
      <c r="FU92" s="3"/>
      <c r="FV92" s="3"/>
      <c r="FW92" s="3"/>
      <c r="FX92" s="3"/>
      <c r="FY92" s="3"/>
      <c r="FZ92" s="3"/>
      <c r="GA92" s="3"/>
      <c r="GB92" s="3"/>
      <c r="GC92" s="3"/>
      <c r="GD92" s="3"/>
      <c r="GE92" s="3"/>
      <c r="GF92" s="3"/>
      <c r="GG92" s="3"/>
      <c r="GH92" s="3"/>
      <c r="GI92" s="3"/>
      <c r="GJ92" s="3"/>
      <c r="GK92" s="3"/>
      <c r="GL92" s="3"/>
      <c r="GM92" s="3"/>
      <c r="GN92" s="3"/>
      <c r="GO92" s="3"/>
      <c r="GP92" s="3"/>
      <c r="GQ92" s="3"/>
      <c r="GR92" s="3"/>
      <c r="GS92" s="3"/>
      <c r="GT92" s="3"/>
      <c r="GU92" s="3"/>
      <c r="GV92" s="3"/>
      <c r="GW92" s="3"/>
      <c r="GX92" s="3"/>
      <c r="GY92" s="3"/>
      <c r="GZ92" s="3"/>
      <c r="HA92" s="3"/>
      <c r="HB92" s="3"/>
      <c r="HC92" s="3"/>
      <c r="HD92" s="3"/>
      <c r="HE92" s="3"/>
      <c r="HF92" s="3"/>
      <c r="HG92" s="3"/>
      <c r="HH92" s="3"/>
      <c r="HI92" s="3"/>
      <c r="HJ92" s="3"/>
      <c r="HK92" s="3"/>
      <c r="HL92" s="3"/>
      <c r="HM92" s="3"/>
      <c r="HN92" s="3"/>
      <c r="HO92" s="3"/>
      <c r="HP92" s="3"/>
      <c r="HQ92" s="3"/>
      <c r="HR92" s="3"/>
      <c r="HS92" s="3"/>
      <c r="HT92" s="3"/>
      <c r="HU92" s="3"/>
      <c r="HV92" s="3"/>
      <c r="HW92" s="3"/>
      <c r="HX92" s="3"/>
      <c r="HY92" s="3"/>
      <c r="HZ92" s="3"/>
      <c r="IA92" s="3"/>
      <c r="IB92" s="3"/>
      <c r="IC92" s="3"/>
      <c r="ID92" s="3"/>
      <c r="IE92" s="3"/>
      <c r="IF92" s="3"/>
      <c r="IG92" s="3"/>
      <c r="IH92" s="3"/>
      <c r="II92" s="3"/>
      <c r="IJ92" s="3"/>
      <c r="IK92" s="3"/>
      <c r="IL92" s="3"/>
      <c r="IM92" s="3"/>
      <c r="IN92" s="3"/>
      <c r="IO92" s="3"/>
      <c r="IP92" s="3"/>
      <c r="IQ92" s="3"/>
      <c r="IR92" s="3"/>
      <c r="IS92" s="3"/>
      <c r="IT92" s="3"/>
      <c r="IU92" s="3"/>
      <c r="IV92" s="3"/>
      <c r="IW92" s="3"/>
      <c r="IX92" s="3"/>
      <c r="IY92" s="3"/>
      <c r="IZ92" s="3"/>
      <c r="JA92" s="3"/>
      <c r="JB92" s="3"/>
      <c r="JC92" s="3"/>
      <c r="JD92" s="3"/>
      <c r="JE92" s="3"/>
      <c r="JF92" s="3"/>
      <c r="JG92" s="3"/>
      <c r="JH92" s="3"/>
      <c r="JI92" s="3"/>
      <c r="JJ92" s="3"/>
      <c r="JK92" s="3"/>
      <c r="JL92" s="3"/>
      <c r="JM92" s="3"/>
      <c r="JN92" s="3"/>
      <c r="JO92" s="3"/>
      <c r="JP92" s="3"/>
      <c r="JQ92" s="3"/>
      <c r="JR92" s="3"/>
      <c r="JS92" s="3"/>
      <c r="JT92" s="3"/>
      <c r="JU92" s="3"/>
      <c r="JV92" s="3"/>
      <c r="JW92" s="3"/>
      <c r="JX92" s="3"/>
      <c r="JY92" s="3"/>
      <c r="JZ92" s="3"/>
      <c r="KA92" s="3"/>
      <c r="KB92" s="3"/>
      <c r="KC92" s="3"/>
      <c r="KD92" s="3"/>
      <c r="KE92" s="3"/>
      <c r="KF92" s="3"/>
      <c r="KG92" s="3"/>
      <c r="KH92" s="3"/>
      <c r="KI92" s="3"/>
      <c r="KJ92" s="3"/>
      <c r="KK92" s="3"/>
      <c r="KL92" s="3"/>
      <c r="KM92" s="3"/>
      <c r="KN92" s="3"/>
      <c r="KO92" s="3"/>
      <c r="KP92" s="3"/>
      <c r="KQ92" s="3"/>
      <c r="KR92" s="3"/>
      <c r="KS92" s="3"/>
      <c r="KT92" s="3"/>
      <c r="KU92" s="3"/>
      <c r="KV92" s="3"/>
      <c r="KW92" s="3"/>
      <c r="KX92" s="3"/>
      <c r="KY92" s="3"/>
      <c r="KZ92" s="3"/>
      <c r="LA92" s="3"/>
      <c r="LB92" s="3"/>
      <c r="LC92" s="3"/>
      <c r="LD92" s="3"/>
      <c r="LE92" s="3"/>
      <c r="LF92" s="3"/>
      <c r="LG92" s="3"/>
      <c r="LH92" s="3"/>
      <c r="LI92" s="3"/>
      <c r="LJ92" s="3"/>
      <c r="LK92" s="3"/>
      <c r="LL92" s="3"/>
      <c r="LM92" s="3"/>
      <c r="LN92" s="3"/>
      <c r="LO92" s="3"/>
      <c r="LP92" s="3"/>
      <c r="LQ92" s="3"/>
      <c r="LR92" s="3"/>
      <c r="LS92" s="3"/>
      <c r="LT92" s="3"/>
      <c r="LU92" s="3"/>
      <c r="LV92" s="3"/>
      <c r="LW92" s="3"/>
      <c r="LX92" s="3"/>
      <c r="LY92" s="3"/>
      <c r="LZ92" s="3"/>
      <c r="MA92" s="3"/>
      <c r="MB92" s="3"/>
      <c r="MC92" s="3"/>
      <c r="MD92" s="3"/>
      <c r="ME92" s="3"/>
      <c r="MF92" s="3"/>
      <c r="MG92" s="3"/>
      <c r="MH92" s="3"/>
      <c r="MI92" s="3"/>
      <c r="MJ92" s="3"/>
      <c r="MK92" s="3"/>
      <c r="ML92" s="3"/>
      <c r="MM92" s="3"/>
      <c r="MN92" s="3"/>
      <c r="MO92" s="3"/>
      <c r="MP92" s="3"/>
      <c r="MQ92" s="3"/>
      <c r="MR92" s="3"/>
      <c r="MS92" s="3"/>
      <c r="MT92" s="3"/>
      <c r="MU92" s="3"/>
      <c r="MV92" s="3"/>
      <c r="MW92" s="3"/>
      <c r="MX92" s="3"/>
      <c r="MY92" s="3"/>
      <c r="MZ92" s="3"/>
      <c r="NA92" s="3"/>
      <c r="NB92" s="3"/>
      <c r="NC92" s="3"/>
      <c r="ND92" s="3"/>
      <c r="NE92" s="3"/>
      <c r="NF92" s="3"/>
      <c r="NG92" s="3"/>
      <c r="NH92" s="3"/>
      <c r="NI92" s="3"/>
      <c r="NJ92" s="3"/>
      <c r="NK92" s="3"/>
      <c r="NL92" s="3"/>
      <c r="NM92" s="3"/>
      <c r="NN92" s="3"/>
      <c r="NO92" s="3"/>
      <c r="NP92" s="3"/>
      <c r="NQ92" s="3"/>
      <c r="NR92" s="3"/>
      <c r="NS92" s="3"/>
      <c r="NT92" s="3"/>
      <c r="NU92" s="3"/>
      <c r="NV92" s="3"/>
      <c r="NW92" s="3"/>
      <c r="NX92" s="3"/>
      <c r="NY92" s="3"/>
      <c r="NZ92" s="3"/>
      <c r="OA92" s="3"/>
      <c r="OB92" s="3"/>
      <c r="OC92" s="3"/>
      <c r="OD92" s="3"/>
      <c r="OE92" s="3"/>
      <c r="OF92" s="3"/>
      <c r="OG92" s="3"/>
      <c r="OH92" s="3"/>
      <c r="OI92" s="3"/>
      <c r="OJ92" s="3"/>
      <c r="OK92" s="3"/>
      <c r="OL92" s="3"/>
      <c r="OM92" s="3"/>
      <c r="ON92" s="3"/>
      <c r="OO92" s="3"/>
      <c r="OP92" s="3"/>
      <c r="OQ92" s="3"/>
      <c r="OR92" s="3"/>
      <c r="OS92" s="3"/>
      <c r="OT92" s="3"/>
      <c r="OU92" s="3"/>
      <c r="OV92" s="3"/>
      <c r="OW92" s="3"/>
      <c r="OX92" s="3"/>
      <c r="OY92" s="3"/>
      <c r="OZ92" s="3"/>
      <c r="PA92" s="3"/>
      <c r="PB92" s="3"/>
      <c r="PC92" s="3"/>
      <c r="PD92" s="3"/>
      <c r="PE92" s="3"/>
      <c r="PF92" s="3"/>
      <c r="PG92" s="3"/>
      <c r="PH92" s="3"/>
      <c r="PI92" s="3"/>
      <c r="PJ92" s="3"/>
      <c r="PK92" s="3"/>
      <c r="PL92" s="3"/>
      <c r="PM92" s="3"/>
      <c r="PN92" s="3"/>
      <c r="PO92" s="3"/>
      <c r="PP92" s="3"/>
      <c r="PQ92" s="3"/>
      <c r="PR92" s="3"/>
      <c r="PS92" s="3"/>
      <c r="PT92" s="3"/>
      <c r="PU92" s="3"/>
      <c r="PV92" s="3"/>
      <c r="PW92" s="3"/>
      <c r="PX92" s="3"/>
      <c r="PY92" s="3"/>
      <c r="PZ92" s="3"/>
      <c r="QA92" s="3"/>
      <c r="QB92" s="3"/>
      <c r="QC92" s="3"/>
      <c r="QD92" s="3"/>
      <c r="QE92" s="3"/>
      <c r="QF92" s="3"/>
      <c r="QG92" s="3"/>
      <c r="QH92" s="3"/>
      <c r="QI92" s="3"/>
      <c r="QJ92" s="3"/>
      <c r="QK92" s="3"/>
      <c r="QL92" s="3"/>
      <c r="QM92" s="3"/>
      <c r="QN92" s="3"/>
      <c r="QO92" s="3"/>
      <c r="QP92" s="3"/>
      <c r="QQ92" s="3"/>
      <c r="QR92" s="3"/>
      <c r="QS92" s="3"/>
      <c r="QT92" s="3"/>
      <c r="QU92" s="3"/>
      <c r="QV92" s="3"/>
      <c r="QW92" s="3"/>
      <c r="QX92" s="3"/>
      <c r="QY92" s="3"/>
      <c r="QZ92" s="3"/>
      <c r="RA92" s="3"/>
      <c r="RB92" s="3"/>
      <c r="RC92" s="3"/>
      <c r="RD92" s="3"/>
      <c r="RE92" s="3"/>
      <c r="RF92" s="3"/>
      <c r="RG92" s="3"/>
      <c r="RH92" s="3"/>
      <c r="RI92" s="3"/>
      <c r="RJ92" s="3"/>
      <c r="RK92" s="3"/>
      <c r="RL92" s="3"/>
      <c r="RM92" s="3"/>
      <c r="RN92" s="3"/>
      <c r="RO92" s="3"/>
      <c r="RP92" s="3"/>
      <c r="RQ92" s="3"/>
      <c r="RR92" s="3"/>
      <c r="RS92" s="3"/>
      <c r="RT92" s="3"/>
      <c r="RU92" s="3"/>
      <c r="RV92" s="3"/>
      <c r="RW92" s="3"/>
      <c r="RX92" s="3"/>
      <c r="RY92" s="3"/>
      <c r="RZ92" s="3"/>
      <c r="SA92" s="3"/>
      <c r="SB92" s="3"/>
      <c r="SC92" s="3"/>
      <c r="SD92" s="3"/>
      <c r="SE92" s="3"/>
      <c r="SF92" s="3"/>
      <c r="SG92" s="3"/>
      <c r="SH92" s="3"/>
      <c r="SI92" s="3"/>
      <c r="SJ92" s="3"/>
      <c r="SK92" s="3"/>
      <c r="SL92" s="3"/>
      <c r="SM92" s="3"/>
      <c r="SN92" s="3"/>
      <c r="SO92" s="3"/>
      <c r="SP92" s="3"/>
      <c r="SQ92" s="3"/>
      <c r="SR92" s="3"/>
      <c r="SS92" s="3"/>
      <c r="ST92" s="3"/>
      <c r="SU92" s="3"/>
      <c r="SV92" s="3"/>
      <c r="SW92" s="3"/>
      <c r="SX92" s="3"/>
      <c r="SY92" s="3"/>
      <c r="SZ92" s="3"/>
      <c r="TA92" s="3"/>
      <c r="TB92" s="3"/>
      <c r="TC92" s="3"/>
      <c r="TD92" s="3"/>
      <c r="TE92" s="3"/>
      <c r="TF92" s="3"/>
      <c r="TG92" s="3"/>
      <c r="TH92" s="3"/>
      <c r="TI92" s="3"/>
      <c r="TJ92" s="3"/>
      <c r="TK92" s="3"/>
      <c r="TL92" s="3"/>
      <c r="TM92" s="3"/>
      <c r="TN92" s="3"/>
      <c r="TO92" s="3"/>
      <c r="TP92" s="3"/>
      <c r="TQ92" s="3"/>
      <c r="TR92" s="3"/>
      <c r="TS92" s="3"/>
      <c r="TT92" s="3"/>
      <c r="TU92" s="3"/>
      <c r="TV92" s="3"/>
      <c r="TW92" s="3"/>
      <c r="TX92" s="3"/>
      <c r="TY92" s="3"/>
      <c r="TZ92" s="3"/>
      <c r="UA92" s="3"/>
      <c r="UB92" s="3"/>
      <c r="UC92" s="3"/>
      <c r="UD92" s="3"/>
      <c r="UE92" s="3"/>
      <c r="UF92" s="3"/>
      <c r="UG92" s="3"/>
      <c r="UH92" s="3"/>
      <c r="UI92" s="3"/>
      <c r="UJ92" s="3"/>
      <c r="UK92" s="3"/>
      <c r="UL92" s="3"/>
      <c r="UM92" s="3"/>
      <c r="UN92" s="3"/>
      <c r="UO92" s="3"/>
      <c r="UP92" s="3"/>
      <c r="UQ92" s="3"/>
      <c r="UR92" s="3"/>
      <c r="US92" s="3"/>
      <c r="UT92" s="3"/>
      <c r="UU92" s="3"/>
      <c r="UV92" s="3"/>
      <c r="UW92" s="3"/>
      <c r="UX92" s="3"/>
      <c r="UY92" s="3"/>
      <c r="UZ92" s="3"/>
      <c r="VA92" s="3"/>
      <c r="VB92" s="3"/>
      <c r="VC92" s="3"/>
      <c r="VD92" s="3"/>
      <c r="VE92" s="3"/>
      <c r="VF92" s="3"/>
      <c r="VG92" s="3"/>
      <c r="VH92" s="3"/>
      <c r="VI92" s="3"/>
      <c r="VJ92" s="3"/>
      <c r="VK92" s="3"/>
      <c r="VL92" s="3"/>
      <c r="VM92" s="3"/>
      <c r="VN92" s="3"/>
      <c r="VO92" s="3"/>
      <c r="VP92" s="3"/>
      <c r="VQ92" s="3"/>
      <c r="VR92" s="3"/>
      <c r="VS92" s="3"/>
      <c r="VT92" s="3"/>
      <c r="VU92" s="3"/>
      <c r="VV92" s="3"/>
      <c r="VW92" s="3"/>
      <c r="VX92" s="3"/>
      <c r="VY92" s="3"/>
      <c r="VZ92" s="3"/>
      <c r="WA92" s="3"/>
      <c r="WB92" s="3"/>
      <c r="WC92" s="3"/>
      <c r="WD92" s="3"/>
      <c r="WE92" s="3"/>
      <c r="WF92" s="3"/>
      <c r="WG92" s="3"/>
      <c r="WH92" s="3"/>
      <c r="WI92" s="3"/>
      <c r="WJ92" s="3"/>
      <c r="WK92" s="3"/>
      <c r="WL92" s="3"/>
      <c r="WM92" s="3"/>
      <c r="WN92" s="3"/>
      <c r="WO92" s="3"/>
      <c r="WP92" s="3"/>
      <c r="WQ92" s="3"/>
      <c r="WR92" s="3"/>
      <c r="WS92" s="3"/>
      <c r="WT92" s="3"/>
      <c r="WU92" s="3"/>
      <c r="WV92" s="3"/>
      <c r="WW92" s="3"/>
      <c r="WX92" s="3"/>
      <c r="WY92" s="3"/>
      <c r="WZ92" s="3"/>
      <c r="XA92" s="3"/>
      <c r="XB92" s="3"/>
      <c r="XC92" s="3"/>
      <c r="XD92" s="3"/>
      <c r="XE92" s="3"/>
      <c r="XF92" s="3"/>
      <c r="XG92" s="3"/>
      <c r="XH92" s="3"/>
      <c r="XI92" s="3"/>
      <c r="XJ92" s="3"/>
      <c r="XK92" s="3"/>
      <c r="XL92" s="3"/>
      <c r="XM92" s="3"/>
      <c r="XN92" s="3"/>
      <c r="XO92" s="3"/>
      <c r="XP92" s="3"/>
      <c r="XQ92" s="3"/>
      <c r="XR92" s="3"/>
      <c r="XS92" s="3"/>
      <c r="XT92" s="3"/>
      <c r="XU92" s="3"/>
      <c r="XV92" s="3"/>
      <c r="XW92" s="3"/>
      <c r="XX92" s="3"/>
      <c r="XY92" s="3"/>
      <c r="XZ92" s="3"/>
      <c r="YA92" s="3"/>
      <c r="YB92" s="3"/>
      <c r="YC92" s="3"/>
      <c r="YD92" s="3"/>
      <c r="YE92" s="3"/>
      <c r="YF92" s="3"/>
      <c r="YG92" s="3"/>
      <c r="YH92" s="3"/>
      <c r="YI92" s="3"/>
      <c r="YJ92" s="3"/>
      <c r="YK92" s="3"/>
      <c r="YL92" s="3"/>
      <c r="YM92" s="3"/>
      <c r="YN92" s="3"/>
      <c r="YO92" s="3"/>
      <c r="YP92" s="3"/>
      <c r="YQ92" s="3"/>
      <c r="YR92" s="3"/>
      <c r="YS92" s="3"/>
      <c r="YT92" s="3"/>
      <c r="YU92" s="3"/>
      <c r="YV92" s="3"/>
      <c r="YW92" s="3"/>
      <c r="YX92" s="3"/>
      <c r="YY92" s="3"/>
      <c r="YZ92" s="3"/>
      <c r="ZA92" s="3"/>
      <c r="ZB92" s="3"/>
      <c r="ZC92" s="3"/>
    </row>
    <row r="93" spans="1:679" s="2" customFormat="1" x14ac:dyDescent="0.45">
      <c r="A93" s="3" t="s">
        <v>11</v>
      </c>
      <c r="B93" s="4">
        <v>32615</v>
      </c>
      <c r="C93" s="7" t="s">
        <v>25</v>
      </c>
      <c r="D93" s="6" t="s">
        <v>107</v>
      </c>
      <c r="E93" s="3"/>
      <c r="F93" s="3">
        <v>3</v>
      </c>
      <c r="L93" s="3"/>
      <c r="M93" s="3"/>
      <c r="N93" s="48"/>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c r="DA93" s="3"/>
      <c r="DB93" s="3"/>
      <c r="DC93" s="3"/>
      <c r="DD93" s="3"/>
      <c r="DE93" s="3"/>
      <c r="DF93" s="3"/>
      <c r="DG93" s="3"/>
      <c r="DH93" s="3"/>
      <c r="DI93" s="3"/>
      <c r="DJ93" s="3"/>
      <c r="DK93" s="3"/>
      <c r="DL93" s="3"/>
      <c r="DM93" s="3"/>
      <c r="DN93" s="3"/>
      <c r="DO93" s="3"/>
      <c r="DP93" s="3"/>
      <c r="DQ93" s="3"/>
      <c r="DR93" s="3"/>
      <c r="DS93" s="3"/>
      <c r="DT93" s="3"/>
      <c r="DU93" s="3"/>
      <c r="DV93" s="3"/>
      <c r="DW93" s="3"/>
      <c r="DX93" s="3"/>
      <c r="DY93" s="3"/>
      <c r="DZ93" s="3"/>
      <c r="EA93" s="3"/>
      <c r="EB93" s="3"/>
      <c r="EC93" s="3"/>
      <c r="ED93" s="3"/>
      <c r="EE93" s="3"/>
      <c r="EF93" s="3"/>
      <c r="EG93" s="3"/>
      <c r="EH93" s="3"/>
      <c r="EI93" s="3"/>
      <c r="EJ93" s="3"/>
      <c r="EK93" s="3"/>
      <c r="EL93" s="3"/>
      <c r="EM93" s="3"/>
      <c r="EN93" s="3"/>
      <c r="EO93" s="3"/>
      <c r="EP93" s="3"/>
      <c r="EQ93" s="3"/>
      <c r="ER93" s="3"/>
      <c r="ES93" s="3"/>
      <c r="ET93" s="3"/>
      <c r="EU93" s="3"/>
      <c r="EV93" s="3"/>
      <c r="EW93" s="3"/>
      <c r="EX93" s="3"/>
      <c r="EY93" s="3"/>
      <c r="EZ93" s="3"/>
      <c r="FA93" s="3"/>
      <c r="FB93" s="3"/>
      <c r="FC93" s="3"/>
      <c r="FD93" s="3"/>
      <c r="FE93" s="3"/>
      <c r="FF93" s="3"/>
      <c r="FG93" s="3"/>
      <c r="FH93" s="3"/>
      <c r="FI93" s="3"/>
      <c r="FJ93" s="3"/>
      <c r="FK93" s="3"/>
      <c r="FL93" s="3"/>
      <c r="FM93" s="3"/>
      <c r="FN93" s="3"/>
      <c r="FO93" s="3"/>
      <c r="FP93" s="3"/>
      <c r="FQ93" s="3"/>
      <c r="FR93" s="3"/>
      <c r="FS93" s="3"/>
      <c r="FT93" s="3"/>
      <c r="FU93" s="3"/>
      <c r="FV93" s="3"/>
      <c r="FW93" s="3"/>
      <c r="FX93" s="3"/>
      <c r="FY93" s="3"/>
      <c r="FZ93" s="3"/>
      <c r="GA93" s="3"/>
      <c r="GB93" s="3"/>
      <c r="GC93" s="3"/>
      <c r="GD93" s="3"/>
      <c r="GE93" s="3"/>
      <c r="GF93" s="3"/>
      <c r="GG93" s="3"/>
      <c r="GH93" s="3"/>
      <c r="GI93" s="3"/>
      <c r="GJ93" s="3"/>
      <c r="GK93" s="3"/>
      <c r="GL93" s="3"/>
      <c r="GM93" s="3"/>
      <c r="GN93" s="3"/>
      <c r="GO93" s="3"/>
      <c r="GP93" s="3"/>
      <c r="GQ93" s="3"/>
      <c r="GR93" s="3"/>
      <c r="GS93" s="3"/>
      <c r="GT93" s="3"/>
      <c r="GU93" s="3"/>
      <c r="GV93" s="3"/>
      <c r="GW93" s="3"/>
      <c r="GX93" s="3"/>
      <c r="GY93" s="3"/>
      <c r="GZ93" s="3"/>
      <c r="HA93" s="3"/>
      <c r="HB93" s="3"/>
      <c r="HC93" s="3"/>
      <c r="HD93" s="3"/>
      <c r="HE93" s="3"/>
      <c r="HF93" s="3"/>
      <c r="HG93" s="3"/>
      <c r="HH93" s="3"/>
      <c r="HI93" s="3"/>
      <c r="HJ93" s="3"/>
      <c r="HK93" s="3"/>
      <c r="HL93" s="3"/>
      <c r="HM93" s="3"/>
      <c r="HN93" s="3"/>
      <c r="HO93" s="3"/>
      <c r="HP93" s="3"/>
      <c r="HQ93" s="3"/>
      <c r="HR93" s="3"/>
      <c r="HS93" s="3"/>
      <c r="HT93" s="3"/>
      <c r="HU93" s="3"/>
      <c r="HV93" s="3"/>
      <c r="HW93" s="3"/>
      <c r="HX93" s="3"/>
      <c r="HY93" s="3"/>
      <c r="HZ93" s="3"/>
      <c r="IA93" s="3"/>
      <c r="IB93" s="3"/>
      <c r="IC93" s="3"/>
      <c r="ID93" s="3"/>
      <c r="IE93" s="3"/>
      <c r="IF93" s="3"/>
      <c r="IG93" s="3"/>
      <c r="IH93" s="3"/>
      <c r="II93" s="3"/>
      <c r="IJ93" s="3"/>
      <c r="IK93" s="3"/>
      <c r="IL93" s="3"/>
      <c r="IM93" s="3"/>
      <c r="IN93" s="3"/>
      <c r="IO93" s="3"/>
      <c r="IP93" s="3"/>
      <c r="IQ93" s="3"/>
      <c r="IR93" s="3"/>
      <c r="IS93" s="3"/>
      <c r="IT93" s="3"/>
      <c r="IU93" s="3"/>
      <c r="IV93" s="3"/>
      <c r="IW93" s="3"/>
      <c r="IX93" s="3"/>
      <c r="IY93" s="3"/>
      <c r="IZ93" s="3"/>
      <c r="JA93" s="3"/>
      <c r="JB93" s="3"/>
      <c r="JC93" s="3"/>
      <c r="JD93" s="3"/>
      <c r="JE93" s="3"/>
      <c r="JF93" s="3"/>
      <c r="JG93" s="3"/>
      <c r="JH93" s="3"/>
      <c r="JI93" s="3"/>
      <c r="JJ93" s="3"/>
      <c r="JK93" s="3"/>
      <c r="JL93" s="3"/>
      <c r="JM93" s="3"/>
      <c r="JN93" s="3"/>
      <c r="JO93" s="3"/>
      <c r="JP93" s="3"/>
      <c r="JQ93" s="3"/>
      <c r="JR93" s="3"/>
      <c r="JS93" s="3"/>
      <c r="JT93" s="3"/>
      <c r="JU93" s="3"/>
      <c r="JV93" s="3"/>
      <c r="JW93" s="3"/>
      <c r="JX93" s="3"/>
      <c r="JY93" s="3"/>
      <c r="JZ93" s="3"/>
      <c r="KA93" s="3"/>
      <c r="KB93" s="3"/>
      <c r="KC93" s="3"/>
      <c r="KD93" s="3"/>
      <c r="KE93" s="3"/>
      <c r="KF93" s="3"/>
      <c r="KG93" s="3"/>
      <c r="KH93" s="3"/>
      <c r="KI93" s="3"/>
      <c r="KJ93" s="3"/>
      <c r="KK93" s="3"/>
      <c r="KL93" s="3"/>
      <c r="KM93" s="3"/>
      <c r="KN93" s="3"/>
      <c r="KO93" s="3"/>
      <c r="KP93" s="3"/>
      <c r="KQ93" s="3"/>
      <c r="KR93" s="3"/>
      <c r="KS93" s="3"/>
      <c r="KT93" s="3"/>
      <c r="KU93" s="3"/>
      <c r="KV93" s="3"/>
      <c r="KW93" s="3"/>
      <c r="KX93" s="3"/>
      <c r="KY93" s="3"/>
      <c r="KZ93" s="3"/>
      <c r="LA93" s="3"/>
      <c r="LB93" s="3"/>
      <c r="LC93" s="3"/>
      <c r="LD93" s="3"/>
      <c r="LE93" s="3"/>
      <c r="LF93" s="3"/>
      <c r="LG93" s="3"/>
      <c r="LH93" s="3"/>
      <c r="LI93" s="3"/>
      <c r="LJ93" s="3"/>
      <c r="LK93" s="3"/>
      <c r="LL93" s="3"/>
      <c r="LM93" s="3"/>
      <c r="LN93" s="3"/>
      <c r="LO93" s="3"/>
      <c r="LP93" s="3"/>
      <c r="LQ93" s="3"/>
      <c r="LR93" s="3"/>
      <c r="LS93" s="3"/>
      <c r="LT93" s="3"/>
      <c r="LU93" s="3"/>
      <c r="LV93" s="3"/>
      <c r="LW93" s="3"/>
      <c r="LX93" s="3"/>
      <c r="LY93" s="3"/>
      <c r="LZ93" s="3"/>
      <c r="MA93" s="3"/>
      <c r="MB93" s="3"/>
      <c r="MC93" s="3"/>
      <c r="MD93" s="3"/>
      <c r="ME93" s="3"/>
      <c r="MF93" s="3"/>
      <c r="MG93" s="3"/>
      <c r="MH93" s="3"/>
      <c r="MI93" s="3"/>
      <c r="MJ93" s="3"/>
      <c r="MK93" s="3"/>
      <c r="ML93" s="3"/>
      <c r="MM93" s="3"/>
      <c r="MN93" s="3"/>
      <c r="MO93" s="3"/>
      <c r="MP93" s="3"/>
      <c r="MQ93" s="3"/>
      <c r="MR93" s="3"/>
      <c r="MS93" s="3"/>
      <c r="MT93" s="3"/>
      <c r="MU93" s="3"/>
      <c r="MV93" s="3"/>
      <c r="MW93" s="3"/>
      <c r="MX93" s="3"/>
      <c r="MY93" s="3"/>
      <c r="MZ93" s="3"/>
      <c r="NA93" s="3"/>
      <c r="NB93" s="3"/>
      <c r="NC93" s="3"/>
      <c r="ND93" s="3"/>
      <c r="NE93" s="3"/>
      <c r="NF93" s="3"/>
      <c r="NG93" s="3"/>
      <c r="NH93" s="3"/>
      <c r="NI93" s="3"/>
      <c r="NJ93" s="3"/>
      <c r="NK93" s="3"/>
      <c r="NL93" s="3"/>
      <c r="NM93" s="3"/>
      <c r="NN93" s="3"/>
      <c r="NO93" s="3"/>
      <c r="NP93" s="3"/>
      <c r="NQ93" s="3"/>
      <c r="NR93" s="3"/>
      <c r="NS93" s="3"/>
      <c r="NT93" s="3"/>
      <c r="NU93" s="3"/>
      <c r="NV93" s="3"/>
      <c r="NW93" s="3"/>
      <c r="NX93" s="3"/>
      <c r="NY93" s="3"/>
      <c r="NZ93" s="3"/>
      <c r="OA93" s="3"/>
      <c r="OB93" s="3"/>
      <c r="OC93" s="3"/>
      <c r="OD93" s="3"/>
      <c r="OE93" s="3"/>
      <c r="OF93" s="3"/>
      <c r="OG93" s="3"/>
      <c r="OH93" s="3"/>
      <c r="OI93" s="3"/>
      <c r="OJ93" s="3"/>
      <c r="OK93" s="3"/>
      <c r="OL93" s="3"/>
      <c r="OM93" s="3"/>
      <c r="ON93" s="3"/>
      <c r="OO93" s="3"/>
      <c r="OP93" s="3"/>
      <c r="OQ93" s="3"/>
      <c r="OR93" s="3"/>
      <c r="OS93" s="3"/>
      <c r="OT93" s="3"/>
      <c r="OU93" s="3"/>
      <c r="OV93" s="3"/>
      <c r="OW93" s="3"/>
      <c r="OX93" s="3"/>
      <c r="OY93" s="3"/>
      <c r="OZ93" s="3"/>
      <c r="PA93" s="3"/>
      <c r="PB93" s="3"/>
      <c r="PC93" s="3"/>
      <c r="PD93" s="3"/>
      <c r="PE93" s="3"/>
      <c r="PF93" s="3"/>
      <c r="PG93" s="3"/>
      <c r="PH93" s="3"/>
      <c r="PI93" s="3"/>
      <c r="PJ93" s="3"/>
      <c r="PK93" s="3"/>
      <c r="PL93" s="3"/>
      <c r="PM93" s="3"/>
      <c r="PN93" s="3"/>
      <c r="PO93" s="3"/>
      <c r="PP93" s="3"/>
      <c r="PQ93" s="3"/>
      <c r="PR93" s="3"/>
      <c r="PS93" s="3"/>
      <c r="PT93" s="3"/>
      <c r="PU93" s="3"/>
      <c r="PV93" s="3"/>
      <c r="PW93" s="3"/>
      <c r="PX93" s="3"/>
      <c r="PY93" s="3"/>
      <c r="PZ93" s="3"/>
      <c r="QA93" s="3"/>
      <c r="QB93" s="3"/>
      <c r="QC93" s="3"/>
      <c r="QD93" s="3"/>
      <c r="QE93" s="3"/>
      <c r="QF93" s="3"/>
      <c r="QG93" s="3"/>
      <c r="QH93" s="3"/>
      <c r="QI93" s="3"/>
      <c r="QJ93" s="3"/>
      <c r="QK93" s="3"/>
      <c r="QL93" s="3"/>
      <c r="QM93" s="3"/>
      <c r="QN93" s="3"/>
      <c r="QO93" s="3"/>
      <c r="QP93" s="3"/>
      <c r="QQ93" s="3"/>
      <c r="QR93" s="3"/>
      <c r="QS93" s="3"/>
      <c r="QT93" s="3"/>
      <c r="QU93" s="3"/>
      <c r="QV93" s="3"/>
      <c r="QW93" s="3"/>
      <c r="QX93" s="3"/>
      <c r="QY93" s="3"/>
      <c r="QZ93" s="3"/>
      <c r="RA93" s="3"/>
      <c r="RB93" s="3"/>
      <c r="RC93" s="3"/>
      <c r="RD93" s="3"/>
      <c r="RE93" s="3"/>
      <c r="RF93" s="3"/>
      <c r="RG93" s="3"/>
      <c r="RH93" s="3"/>
      <c r="RI93" s="3"/>
      <c r="RJ93" s="3"/>
      <c r="RK93" s="3"/>
      <c r="RL93" s="3"/>
      <c r="RM93" s="3"/>
      <c r="RN93" s="3"/>
      <c r="RO93" s="3"/>
      <c r="RP93" s="3"/>
      <c r="RQ93" s="3"/>
      <c r="RR93" s="3"/>
      <c r="RS93" s="3"/>
      <c r="RT93" s="3"/>
      <c r="RU93" s="3"/>
      <c r="RV93" s="3"/>
      <c r="RW93" s="3"/>
      <c r="RX93" s="3"/>
      <c r="RY93" s="3"/>
      <c r="RZ93" s="3"/>
      <c r="SA93" s="3"/>
      <c r="SB93" s="3"/>
      <c r="SC93" s="3"/>
      <c r="SD93" s="3"/>
      <c r="SE93" s="3"/>
      <c r="SF93" s="3"/>
      <c r="SG93" s="3"/>
      <c r="SH93" s="3"/>
      <c r="SI93" s="3"/>
      <c r="SJ93" s="3"/>
      <c r="SK93" s="3"/>
      <c r="SL93" s="3"/>
      <c r="SM93" s="3"/>
      <c r="SN93" s="3"/>
      <c r="SO93" s="3"/>
      <c r="SP93" s="3"/>
      <c r="SQ93" s="3"/>
      <c r="SR93" s="3"/>
      <c r="SS93" s="3"/>
      <c r="ST93" s="3"/>
      <c r="SU93" s="3"/>
      <c r="SV93" s="3"/>
      <c r="SW93" s="3"/>
      <c r="SX93" s="3"/>
      <c r="SY93" s="3"/>
      <c r="SZ93" s="3"/>
      <c r="TA93" s="3"/>
      <c r="TB93" s="3"/>
      <c r="TC93" s="3"/>
      <c r="TD93" s="3"/>
      <c r="TE93" s="3"/>
      <c r="TF93" s="3"/>
      <c r="TG93" s="3"/>
      <c r="TH93" s="3"/>
      <c r="TI93" s="3"/>
      <c r="TJ93" s="3"/>
      <c r="TK93" s="3"/>
      <c r="TL93" s="3"/>
      <c r="TM93" s="3"/>
      <c r="TN93" s="3"/>
      <c r="TO93" s="3"/>
      <c r="TP93" s="3"/>
      <c r="TQ93" s="3"/>
      <c r="TR93" s="3"/>
      <c r="TS93" s="3"/>
      <c r="TT93" s="3"/>
      <c r="TU93" s="3"/>
      <c r="TV93" s="3"/>
      <c r="TW93" s="3"/>
      <c r="TX93" s="3"/>
      <c r="TY93" s="3"/>
      <c r="TZ93" s="3"/>
      <c r="UA93" s="3"/>
      <c r="UB93" s="3"/>
      <c r="UC93" s="3"/>
      <c r="UD93" s="3"/>
      <c r="UE93" s="3"/>
      <c r="UF93" s="3"/>
      <c r="UG93" s="3"/>
      <c r="UH93" s="3"/>
      <c r="UI93" s="3"/>
      <c r="UJ93" s="3"/>
      <c r="UK93" s="3"/>
      <c r="UL93" s="3"/>
      <c r="UM93" s="3"/>
      <c r="UN93" s="3"/>
      <c r="UO93" s="3"/>
      <c r="UP93" s="3"/>
      <c r="UQ93" s="3"/>
      <c r="UR93" s="3"/>
      <c r="US93" s="3"/>
      <c r="UT93" s="3"/>
      <c r="UU93" s="3"/>
      <c r="UV93" s="3"/>
      <c r="UW93" s="3"/>
      <c r="UX93" s="3"/>
      <c r="UY93" s="3"/>
      <c r="UZ93" s="3"/>
      <c r="VA93" s="3"/>
      <c r="VB93" s="3"/>
      <c r="VC93" s="3"/>
      <c r="VD93" s="3"/>
      <c r="VE93" s="3"/>
      <c r="VF93" s="3"/>
      <c r="VG93" s="3"/>
      <c r="VH93" s="3"/>
      <c r="VI93" s="3"/>
      <c r="VJ93" s="3"/>
      <c r="VK93" s="3"/>
      <c r="VL93" s="3"/>
      <c r="VM93" s="3"/>
      <c r="VN93" s="3"/>
      <c r="VO93" s="3"/>
      <c r="VP93" s="3"/>
      <c r="VQ93" s="3"/>
      <c r="VR93" s="3"/>
      <c r="VS93" s="3"/>
      <c r="VT93" s="3"/>
      <c r="VU93" s="3"/>
      <c r="VV93" s="3"/>
      <c r="VW93" s="3"/>
      <c r="VX93" s="3"/>
      <c r="VY93" s="3"/>
      <c r="VZ93" s="3"/>
      <c r="WA93" s="3"/>
      <c r="WB93" s="3"/>
      <c r="WC93" s="3"/>
      <c r="WD93" s="3"/>
      <c r="WE93" s="3"/>
      <c r="WF93" s="3"/>
      <c r="WG93" s="3"/>
      <c r="WH93" s="3"/>
      <c r="WI93" s="3"/>
      <c r="WJ93" s="3"/>
      <c r="WK93" s="3"/>
      <c r="WL93" s="3"/>
      <c r="WM93" s="3"/>
      <c r="WN93" s="3"/>
      <c r="WO93" s="3"/>
      <c r="WP93" s="3"/>
      <c r="WQ93" s="3"/>
      <c r="WR93" s="3"/>
      <c r="WS93" s="3"/>
      <c r="WT93" s="3"/>
      <c r="WU93" s="3"/>
      <c r="WV93" s="3"/>
      <c r="WW93" s="3"/>
      <c r="WX93" s="3"/>
      <c r="WY93" s="3"/>
      <c r="WZ93" s="3"/>
      <c r="XA93" s="3"/>
      <c r="XB93" s="3"/>
      <c r="XC93" s="3"/>
      <c r="XD93" s="3"/>
      <c r="XE93" s="3"/>
      <c r="XF93" s="3"/>
      <c r="XG93" s="3"/>
      <c r="XH93" s="3"/>
      <c r="XI93" s="3"/>
      <c r="XJ93" s="3"/>
      <c r="XK93" s="3"/>
      <c r="XL93" s="3"/>
      <c r="XM93" s="3"/>
      <c r="XN93" s="3"/>
      <c r="XO93" s="3"/>
      <c r="XP93" s="3"/>
      <c r="XQ93" s="3"/>
      <c r="XR93" s="3"/>
      <c r="XS93" s="3"/>
      <c r="XT93" s="3"/>
      <c r="XU93" s="3"/>
      <c r="XV93" s="3"/>
      <c r="XW93" s="3"/>
      <c r="XX93" s="3"/>
      <c r="XY93" s="3"/>
      <c r="XZ93" s="3"/>
      <c r="YA93" s="3"/>
      <c r="YB93" s="3"/>
      <c r="YC93" s="3"/>
      <c r="YD93" s="3"/>
      <c r="YE93" s="3"/>
      <c r="YF93" s="3"/>
      <c r="YG93" s="3"/>
      <c r="YH93" s="3"/>
      <c r="YI93" s="3"/>
      <c r="YJ93" s="3"/>
      <c r="YK93" s="3"/>
      <c r="YL93" s="3"/>
      <c r="YM93" s="3"/>
      <c r="YN93" s="3"/>
      <c r="YO93" s="3"/>
      <c r="YP93" s="3"/>
      <c r="YQ93" s="3"/>
      <c r="YR93" s="3"/>
      <c r="YS93" s="3"/>
      <c r="YT93" s="3"/>
      <c r="YU93" s="3"/>
      <c r="YV93" s="3"/>
      <c r="YW93" s="3"/>
      <c r="YX93" s="3"/>
      <c r="YY93" s="3"/>
      <c r="YZ93" s="3"/>
      <c r="ZA93" s="3"/>
      <c r="ZB93" s="3"/>
      <c r="ZC93" s="3"/>
    </row>
    <row r="94" spans="1:679" s="2" customFormat="1" x14ac:dyDescent="0.45">
      <c r="A94" s="3" t="s">
        <v>11</v>
      </c>
      <c r="B94" s="4">
        <v>32624</v>
      </c>
      <c r="C94" s="7" t="s">
        <v>25</v>
      </c>
      <c r="D94" s="6" t="s">
        <v>108</v>
      </c>
      <c r="E94" s="3"/>
      <c r="F94" s="3">
        <v>10</v>
      </c>
      <c r="L94" s="3"/>
      <c r="M94" s="3"/>
      <c r="N94" s="48"/>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Q94" s="3"/>
      <c r="ER94" s="3"/>
      <c r="ES94" s="3"/>
      <c r="ET94" s="3"/>
      <c r="EU94" s="3"/>
      <c r="EV94" s="3"/>
      <c r="EW94" s="3"/>
      <c r="EX94" s="3"/>
      <c r="EY94" s="3"/>
      <c r="EZ94" s="3"/>
      <c r="FA94" s="3"/>
      <c r="FB94" s="3"/>
      <c r="FC94" s="3"/>
      <c r="FD94" s="3"/>
      <c r="FE94" s="3"/>
      <c r="FF94" s="3"/>
      <c r="FG94" s="3"/>
      <c r="FH94" s="3"/>
      <c r="FI94" s="3"/>
      <c r="FJ94" s="3"/>
      <c r="FK94" s="3"/>
      <c r="FL94" s="3"/>
      <c r="FM94" s="3"/>
      <c r="FN94" s="3"/>
      <c r="FO94" s="3"/>
      <c r="FP94" s="3"/>
      <c r="FQ94" s="3"/>
      <c r="FR94" s="3"/>
      <c r="FS94" s="3"/>
      <c r="FT94" s="3"/>
      <c r="FU94" s="3"/>
      <c r="FV94" s="3"/>
      <c r="FW94" s="3"/>
      <c r="FX94" s="3"/>
      <c r="FY94" s="3"/>
      <c r="FZ94" s="3"/>
      <c r="GA94" s="3"/>
      <c r="GB94" s="3"/>
      <c r="GC94" s="3"/>
      <c r="GD94" s="3"/>
      <c r="GE94" s="3"/>
      <c r="GF94" s="3"/>
      <c r="GG94" s="3"/>
      <c r="GH94" s="3"/>
      <c r="GI94" s="3"/>
      <c r="GJ94" s="3"/>
      <c r="GK94" s="3"/>
      <c r="GL94" s="3"/>
      <c r="GM94" s="3"/>
      <c r="GN94" s="3"/>
      <c r="GO94" s="3"/>
      <c r="GP94" s="3"/>
      <c r="GQ94" s="3"/>
      <c r="GR94" s="3"/>
      <c r="GS94" s="3"/>
      <c r="GT94" s="3"/>
      <c r="GU94" s="3"/>
      <c r="GV94" s="3"/>
      <c r="GW94" s="3"/>
      <c r="GX94" s="3"/>
      <c r="GY94" s="3"/>
      <c r="GZ94" s="3"/>
      <c r="HA94" s="3"/>
      <c r="HB94" s="3"/>
      <c r="HC94" s="3"/>
      <c r="HD94" s="3"/>
      <c r="HE94" s="3"/>
      <c r="HF94" s="3"/>
      <c r="HG94" s="3"/>
      <c r="HH94" s="3"/>
      <c r="HI94" s="3"/>
      <c r="HJ94" s="3"/>
      <c r="HK94" s="3"/>
      <c r="HL94" s="3"/>
      <c r="HM94" s="3"/>
      <c r="HN94" s="3"/>
      <c r="HO94" s="3"/>
      <c r="HP94" s="3"/>
      <c r="HQ94" s="3"/>
      <c r="HR94" s="3"/>
      <c r="HS94" s="3"/>
      <c r="HT94" s="3"/>
      <c r="HU94" s="3"/>
      <c r="HV94" s="3"/>
      <c r="HW94" s="3"/>
      <c r="HX94" s="3"/>
      <c r="HY94" s="3"/>
      <c r="HZ94" s="3"/>
      <c r="IA94" s="3"/>
      <c r="IB94" s="3"/>
      <c r="IC94" s="3"/>
      <c r="ID94" s="3"/>
      <c r="IE94" s="3"/>
      <c r="IF94" s="3"/>
      <c r="IG94" s="3"/>
      <c r="IH94" s="3"/>
      <c r="II94" s="3"/>
      <c r="IJ94" s="3"/>
      <c r="IK94" s="3"/>
      <c r="IL94" s="3"/>
      <c r="IM94" s="3"/>
      <c r="IN94" s="3"/>
      <c r="IO94" s="3"/>
      <c r="IP94" s="3"/>
      <c r="IQ94" s="3"/>
      <c r="IR94" s="3"/>
      <c r="IS94" s="3"/>
      <c r="IT94" s="3"/>
      <c r="IU94" s="3"/>
      <c r="IV94" s="3"/>
      <c r="IW94" s="3"/>
      <c r="IX94" s="3"/>
      <c r="IY94" s="3"/>
      <c r="IZ94" s="3"/>
      <c r="JA94" s="3"/>
      <c r="JB94" s="3"/>
      <c r="JC94" s="3"/>
      <c r="JD94" s="3"/>
      <c r="JE94" s="3"/>
      <c r="JF94" s="3"/>
      <c r="JG94" s="3"/>
      <c r="JH94" s="3"/>
      <c r="JI94" s="3"/>
      <c r="JJ94" s="3"/>
      <c r="JK94" s="3"/>
      <c r="JL94" s="3"/>
      <c r="JM94" s="3"/>
      <c r="JN94" s="3"/>
      <c r="JO94" s="3"/>
      <c r="JP94" s="3"/>
      <c r="JQ94" s="3"/>
      <c r="JR94" s="3"/>
      <c r="JS94" s="3"/>
      <c r="JT94" s="3"/>
      <c r="JU94" s="3"/>
      <c r="JV94" s="3"/>
      <c r="JW94" s="3"/>
      <c r="JX94" s="3"/>
      <c r="JY94" s="3"/>
      <c r="JZ94" s="3"/>
      <c r="KA94" s="3"/>
      <c r="KB94" s="3"/>
      <c r="KC94" s="3"/>
      <c r="KD94" s="3"/>
      <c r="KE94" s="3"/>
      <c r="KF94" s="3"/>
      <c r="KG94" s="3"/>
      <c r="KH94" s="3"/>
      <c r="KI94" s="3"/>
      <c r="KJ94" s="3"/>
      <c r="KK94" s="3"/>
      <c r="KL94" s="3"/>
      <c r="KM94" s="3"/>
      <c r="KN94" s="3"/>
      <c r="KO94" s="3"/>
      <c r="KP94" s="3"/>
      <c r="KQ94" s="3"/>
      <c r="KR94" s="3"/>
      <c r="KS94" s="3"/>
      <c r="KT94" s="3"/>
      <c r="KU94" s="3"/>
      <c r="KV94" s="3"/>
      <c r="KW94" s="3"/>
      <c r="KX94" s="3"/>
      <c r="KY94" s="3"/>
      <c r="KZ94" s="3"/>
      <c r="LA94" s="3"/>
      <c r="LB94" s="3"/>
      <c r="LC94" s="3"/>
      <c r="LD94" s="3"/>
      <c r="LE94" s="3"/>
      <c r="LF94" s="3"/>
      <c r="LG94" s="3"/>
      <c r="LH94" s="3"/>
      <c r="LI94" s="3"/>
      <c r="LJ94" s="3"/>
      <c r="LK94" s="3"/>
      <c r="LL94" s="3"/>
      <c r="LM94" s="3"/>
      <c r="LN94" s="3"/>
      <c r="LO94" s="3"/>
      <c r="LP94" s="3"/>
      <c r="LQ94" s="3"/>
      <c r="LR94" s="3"/>
      <c r="LS94" s="3"/>
      <c r="LT94" s="3"/>
      <c r="LU94" s="3"/>
      <c r="LV94" s="3"/>
      <c r="LW94" s="3"/>
      <c r="LX94" s="3"/>
      <c r="LY94" s="3"/>
      <c r="LZ94" s="3"/>
      <c r="MA94" s="3"/>
      <c r="MB94" s="3"/>
      <c r="MC94" s="3"/>
      <c r="MD94" s="3"/>
      <c r="ME94" s="3"/>
      <c r="MF94" s="3"/>
      <c r="MG94" s="3"/>
      <c r="MH94" s="3"/>
      <c r="MI94" s="3"/>
      <c r="MJ94" s="3"/>
      <c r="MK94" s="3"/>
      <c r="ML94" s="3"/>
      <c r="MM94" s="3"/>
      <c r="MN94" s="3"/>
      <c r="MO94" s="3"/>
      <c r="MP94" s="3"/>
      <c r="MQ94" s="3"/>
      <c r="MR94" s="3"/>
      <c r="MS94" s="3"/>
      <c r="MT94" s="3"/>
      <c r="MU94" s="3"/>
      <c r="MV94" s="3"/>
      <c r="MW94" s="3"/>
      <c r="MX94" s="3"/>
      <c r="MY94" s="3"/>
      <c r="MZ94" s="3"/>
      <c r="NA94" s="3"/>
      <c r="NB94" s="3"/>
      <c r="NC94" s="3"/>
      <c r="ND94" s="3"/>
      <c r="NE94" s="3"/>
      <c r="NF94" s="3"/>
      <c r="NG94" s="3"/>
      <c r="NH94" s="3"/>
      <c r="NI94" s="3"/>
      <c r="NJ94" s="3"/>
      <c r="NK94" s="3"/>
      <c r="NL94" s="3"/>
      <c r="NM94" s="3"/>
      <c r="NN94" s="3"/>
      <c r="NO94" s="3"/>
      <c r="NP94" s="3"/>
      <c r="NQ94" s="3"/>
      <c r="NR94" s="3"/>
      <c r="NS94" s="3"/>
      <c r="NT94" s="3"/>
      <c r="NU94" s="3"/>
      <c r="NV94" s="3"/>
      <c r="NW94" s="3"/>
      <c r="NX94" s="3"/>
      <c r="NY94" s="3"/>
      <c r="NZ94" s="3"/>
      <c r="OA94" s="3"/>
      <c r="OB94" s="3"/>
      <c r="OC94" s="3"/>
      <c r="OD94" s="3"/>
      <c r="OE94" s="3"/>
      <c r="OF94" s="3"/>
      <c r="OG94" s="3"/>
      <c r="OH94" s="3"/>
      <c r="OI94" s="3"/>
      <c r="OJ94" s="3"/>
      <c r="OK94" s="3"/>
      <c r="OL94" s="3"/>
      <c r="OM94" s="3"/>
      <c r="ON94" s="3"/>
      <c r="OO94" s="3"/>
      <c r="OP94" s="3"/>
      <c r="OQ94" s="3"/>
      <c r="OR94" s="3"/>
      <c r="OS94" s="3"/>
      <c r="OT94" s="3"/>
      <c r="OU94" s="3"/>
      <c r="OV94" s="3"/>
      <c r="OW94" s="3"/>
      <c r="OX94" s="3"/>
      <c r="OY94" s="3"/>
      <c r="OZ94" s="3"/>
      <c r="PA94" s="3"/>
      <c r="PB94" s="3"/>
      <c r="PC94" s="3"/>
      <c r="PD94" s="3"/>
      <c r="PE94" s="3"/>
      <c r="PF94" s="3"/>
      <c r="PG94" s="3"/>
      <c r="PH94" s="3"/>
      <c r="PI94" s="3"/>
      <c r="PJ94" s="3"/>
      <c r="PK94" s="3"/>
      <c r="PL94" s="3"/>
      <c r="PM94" s="3"/>
      <c r="PN94" s="3"/>
      <c r="PO94" s="3"/>
      <c r="PP94" s="3"/>
      <c r="PQ94" s="3"/>
      <c r="PR94" s="3"/>
      <c r="PS94" s="3"/>
      <c r="PT94" s="3"/>
      <c r="PU94" s="3"/>
      <c r="PV94" s="3"/>
      <c r="PW94" s="3"/>
      <c r="PX94" s="3"/>
      <c r="PY94" s="3"/>
      <c r="PZ94" s="3"/>
      <c r="QA94" s="3"/>
      <c r="QB94" s="3"/>
      <c r="QC94" s="3"/>
      <c r="QD94" s="3"/>
      <c r="QE94" s="3"/>
      <c r="QF94" s="3"/>
      <c r="QG94" s="3"/>
      <c r="QH94" s="3"/>
      <c r="QI94" s="3"/>
      <c r="QJ94" s="3"/>
      <c r="QK94" s="3"/>
      <c r="QL94" s="3"/>
      <c r="QM94" s="3"/>
      <c r="QN94" s="3"/>
      <c r="QO94" s="3"/>
      <c r="QP94" s="3"/>
      <c r="QQ94" s="3"/>
      <c r="QR94" s="3"/>
      <c r="QS94" s="3"/>
      <c r="QT94" s="3"/>
      <c r="QU94" s="3"/>
      <c r="QV94" s="3"/>
      <c r="QW94" s="3"/>
      <c r="QX94" s="3"/>
      <c r="QY94" s="3"/>
      <c r="QZ94" s="3"/>
      <c r="RA94" s="3"/>
      <c r="RB94" s="3"/>
      <c r="RC94" s="3"/>
      <c r="RD94" s="3"/>
      <c r="RE94" s="3"/>
      <c r="RF94" s="3"/>
      <c r="RG94" s="3"/>
      <c r="RH94" s="3"/>
      <c r="RI94" s="3"/>
      <c r="RJ94" s="3"/>
      <c r="RK94" s="3"/>
      <c r="RL94" s="3"/>
      <c r="RM94" s="3"/>
      <c r="RN94" s="3"/>
      <c r="RO94" s="3"/>
      <c r="RP94" s="3"/>
      <c r="RQ94" s="3"/>
      <c r="RR94" s="3"/>
      <c r="RS94" s="3"/>
      <c r="RT94" s="3"/>
      <c r="RU94" s="3"/>
      <c r="RV94" s="3"/>
      <c r="RW94" s="3"/>
      <c r="RX94" s="3"/>
      <c r="RY94" s="3"/>
      <c r="RZ94" s="3"/>
      <c r="SA94" s="3"/>
      <c r="SB94" s="3"/>
      <c r="SC94" s="3"/>
      <c r="SD94" s="3"/>
      <c r="SE94" s="3"/>
      <c r="SF94" s="3"/>
      <c r="SG94" s="3"/>
      <c r="SH94" s="3"/>
      <c r="SI94" s="3"/>
      <c r="SJ94" s="3"/>
      <c r="SK94" s="3"/>
      <c r="SL94" s="3"/>
      <c r="SM94" s="3"/>
      <c r="SN94" s="3"/>
      <c r="SO94" s="3"/>
      <c r="SP94" s="3"/>
      <c r="SQ94" s="3"/>
      <c r="SR94" s="3"/>
      <c r="SS94" s="3"/>
      <c r="ST94" s="3"/>
      <c r="SU94" s="3"/>
      <c r="SV94" s="3"/>
      <c r="SW94" s="3"/>
      <c r="SX94" s="3"/>
      <c r="SY94" s="3"/>
      <c r="SZ94" s="3"/>
      <c r="TA94" s="3"/>
      <c r="TB94" s="3"/>
      <c r="TC94" s="3"/>
      <c r="TD94" s="3"/>
      <c r="TE94" s="3"/>
      <c r="TF94" s="3"/>
      <c r="TG94" s="3"/>
      <c r="TH94" s="3"/>
      <c r="TI94" s="3"/>
      <c r="TJ94" s="3"/>
      <c r="TK94" s="3"/>
      <c r="TL94" s="3"/>
      <c r="TM94" s="3"/>
      <c r="TN94" s="3"/>
      <c r="TO94" s="3"/>
      <c r="TP94" s="3"/>
      <c r="TQ94" s="3"/>
      <c r="TR94" s="3"/>
      <c r="TS94" s="3"/>
      <c r="TT94" s="3"/>
      <c r="TU94" s="3"/>
      <c r="TV94" s="3"/>
      <c r="TW94" s="3"/>
      <c r="TX94" s="3"/>
      <c r="TY94" s="3"/>
      <c r="TZ94" s="3"/>
      <c r="UA94" s="3"/>
      <c r="UB94" s="3"/>
      <c r="UC94" s="3"/>
      <c r="UD94" s="3"/>
      <c r="UE94" s="3"/>
      <c r="UF94" s="3"/>
      <c r="UG94" s="3"/>
      <c r="UH94" s="3"/>
      <c r="UI94" s="3"/>
      <c r="UJ94" s="3"/>
      <c r="UK94" s="3"/>
      <c r="UL94" s="3"/>
      <c r="UM94" s="3"/>
      <c r="UN94" s="3"/>
      <c r="UO94" s="3"/>
      <c r="UP94" s="3"/>
      <c r="UQ94" s="3"/>
      <c r="UR94" s="3"/>
      <c r="US94" s="3"/>
      <c r="UT94" s="3"/>
      <c r="UU94" s="3"/>
      <c r="UV94" s="3"/>
      <c r="UW94" s="3"/>
      <c r="UX94" s="3"/>
      <c r="UY94" s="3"/>
      <c r="UZ94" s="3"/>
      <c r="VA94" s="3"/>
      <c r="VB94" s="3"/>
      <c r="VC94" s="3"/>
      <c r="VD94" s="3"/>
      <c r="VE94" s="3"/>
      <c r="VF94" s="3"/>
      <c r="VG94" s="3"/>
      <c r="VH94" s="3"/>
      <c r="VI94" s="3"/>
      <c r="VJ94" s="3"/>
      <c r="VK94" s="3"/>
      <c r="VL94" s="3"/>
      <c r="VM94" s="3"/>
      <c r="VN94" s="3"/>
      <c r="VO94" s="3"/>
      <c r="VP94" s="3"/>
      <c r="VQ94" s="3"/>
      <c r="VR94" s="3"/>
      <c r="VS94" s="3"/>
      <c r="VT94" s="3"/>
      <c r="VU94" s="3"/>
      <c r="VV94" s="3"/>
      <c r="VW94" s="3"/>
      <c r="VX94" s="3"/>
      <c r="VY94" s="3"/>
      <c r="VZ94" s="3"/>
      <c r="WA94" s="3"/>
      <c r="WB94" s="3"/>
      <c r="WC94" s="3"/>
      <c r="WD94" s="3"/>
      <c r="WE94" s="3"/>
      <c r="WF94" s="3"/>
      <c r="WG94" s="3"/>
      <c r="WH94" s="3"/>
      <c r="WI94" s="3"/>
      <c r="WJ94" s="3"/>
      <c r="WK94" s="3"/>
      <c r="WL94" s="3"/>
      <c r="WM94" s="3"/>
      <c r="WN94" s="3"/>
      <c r="WO94" s="3"/>
      <c r="WP94" s="3"/>
      <c r="WQ94" s="3"/>
      <c r="WR94" s="3"/>
      <c r="WS94" s="3"/>
      <c r="WT94" s="3"/>
      <c r="WU94" s="3"/>
      <c r="WV94" s="3"/>
      <c r="WW94" s="3"/>
      <c r="WX94" s="3"/>
      <c r="WY94" s="3"/>
      <c r="WZ94" s="3"/>
      <c r="XA94" s="3"/>
      <c r="XB94" s="3"/>
      <c r="XC94" s="3"/>
      <c r="XD94" s="3"/>
      <c r="XE94" s="3"/>
      <c r="XF94" s="3"/>
      <c r="XG94" s="3"/>
      <c r="XH94" s="3"/>
      <c r="XI94" s="3"/>
      <c r="XJ94" s="3"/>
      <c r="XK94" s="3"/>
      <c r="XL94" s="3"/>
      <c r="XM94" s="3"/>
      <c r="XN94" s="3"/>
      <c r="XO94" s="3"/>
      <c r="XP94" s="3"/>
      <c r="XQ94" s="3"/>
      <c r="XR94" s="3"/>
      <c r="XS94" s="3"/>
      <c r="XT94" s="3"/>
      <c r="XU94" s="3"/>
      <c r="XV94" s="3"/>
      <c r="XW94" s="3"/>
      <c r="XX94" s="3"/>
      <c r="XY94" s="3"/>
      <c r="XZ94" s="3"/>
      <c r="YA94" s="3"/>
      <c r="YB94" s="3"/>
      <c r="YC94" s="3"/>
      <c r="YD94" s="3"/>
      <c r="YE94" s="3"/>
      <c r="YF94" s="3"/>
      <c r="YG94" s="3"/>
      <c r="YH94" s="3"/>
      <c r="YI94" s="3"/>
      <c r="YJ94" s="3"/>
      <c r="YK94" s="3"/>
      <c r="YL94" s="3"/>
      <c r="YM94" s="3"/>
      <c r="YN94" s="3"/>
      <c r="YO94" s="3"/>
      <c r="YP94" s="3"/>
      <c r="YQ94" s="3"/>
      <c r="YR94" s="3"/>
      <c r="YS94" s="3"/>
      <c r="YT94" s="3"/>
      <c r="YU94" s="3"/>
      <c r="YV94" s="3"/>
      <c r="YW94" s="3"/>
      <c r="YX94" s="3"/>
      <c r="YY94" s="3"/>
      <c r="YZ94" s="3"/>
      <c r="ZA94" s="3"/>
      <c r="ZB94" s="3"/>
      <c r="ZC94" s="3"/>
    </row>
    <row r="95" spans="1:679" s="2" customFormat="1" x14ac:dyDescent="0.45">
      <c r="A95" s="3" t="s">
        <v>11</v>
      </c>
      <c r="B95" s="4">
        <v>32660</v>
      </c>
      <c r="C95" s="7" t="s">
        <v>21</v>
      </c>
      <c r="D95" s="6" t="s">
        <v>109</v>
      </c>
      <c r="E95" s="3"/>
      <c r="F95" s="3">
        <v>2</v>
      </c>
      <c r="L95" s="3"/>
      <c r="M95" s="3"/>
      <c r="N95" s="48"/>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c r="CW95" s="3"/>
      <c r="CX95" s="3"/>
      <c r="CY95" s="3"/>
      <c r="CZ95" s="3"/>
      <c r="DA95" s="3"/>
      <c r="DB95" s="3"/>
      <c r="DC95" s="3"/>
      <c r="DD95" s="3"/>
      <c r="DE95" s="3"/>
      <c r="DF95" s="3"/>
      <c r="DG95" s="3"/>
      <c r="DH95" s="3"/>
      <c r="DI95" s="3"/>
      <c r="DJ95" s="3"/>
      <c r="DK95" s="3"/>
      <c r="DL95" s="3"/>
      <c r="DM95" s="3"/>
      <c r="DN95" s="3"/>
      <c r="DO95" s="3"/>
      <c r="DP95" s="3"/>
      <c r="DQ95" s="3"/>
      <c r="DR95" s="3"/>
      <c r="DS95" s="3"/>
      <c r="DT95" s="3"/>
      <c r="DU95" s="3"/>
      <c r="DV95" s="3"/>
      <c r="DW95" s="3"/>
      <c r="DX95" s="3"/>
      <c r="DY95" s="3"/>
      <c r="DZ95" s="3"/>
      <c r="EA95" s="3"/>
      <c r="EB95" s="3"/>
      <c r="EC95" s="3"/>
      <c r="ED95" s="3"/>
      <c r="EE95" s="3"/>
      <c r="EF95" s="3"/>
      <c r="EG95" s="3"/>
      <c r="EH95" s="3"/>
      <c r="EI95" s="3"/>
      <c r="EJ95" s="3"/>
      <c r="EK95" s="3"/>
      <c r="EL95" s="3"/>
      <c r="EM95" s="3"/>
      <c r="EN95" s="3"/>
      <c r="EO95" s="3"/>
      <c r="EP95" s="3"/>
      <c r="EQ95" s="3"/>
      <c r="ER95" s="3"/>
      <c r="ES95" s="3"/>
      <c r="ET95" s="3"/>
      <c r="EU95" s="3"/>
      <c r="EV95" s="3"/>
      <c r="EW95" s="3"/>
      <c r="EX95" s="3"/>
      <c r="EY95" s="3"/>
      <c r="EZ95" s="3"/>
      <c r="FA95" s="3"/>
      <c r="FB95" s="3"/>
      <c r="FC95" s="3"/>
      <c r="FD95" s="3"/>
      <c r="FE95" s="3"/>
      <c r="FF95" s="3"/>
      <c r="FG95" s="3"/>
      <c r="FH95" s="3"/>
      <c r="FI95" s="3"/>
      <c r="FJ95" s="3"/>
      <c r="FK95" s="3"/>
      <c r="FL95" s="3"/>
      <c r="FM95" s="3"/>
      <c r="FN95" s="3"/>
      <c r="FO95" s="3"/>
      <c r="FP95" s="3"/>
      <c r="FQ95" s="3"/>
      <c r="FR95" s="3"/>
      <c r="FS95" s="3"/>
      <c r="FT95" s="3"/>
      <c r="FU95" s="3"/>
      <c r="FV95" s="3"/>
      <c r="FW95" s="3"/>
      <c r="FX95" s="3"/>
      <c r="FY95" s="3"/>
      <c r="FZ95" s="3"/>
      <c r="GA95" s="3"/>
      <c r="GB95" s="3"/>
      <c r="GC95" s="3"/>
      <c r="GD95" s="3"/>
      <c r="GE95" s="3"/>
      <c r="GF95" s="3"/>
      <c r="GG95" s="3"/>
      <c r="GH95" s="3"/>
      <c r="GI95" s="3"/>
      <c r="GJ95" s="3"/>
      <c r="GK95" s="3"/>
      <c r="GL95" s="3"/>
      <c r="GM95" s="3"/>
      <c r="GN95" s="3"/>
      <c r="GO95" s="3"/>
      <c r="GP95" s="3"/>
      <c r="GQ95" s="3"/>
      <c r="GR95" s="3"/>
      <c r="GS95" s="3"/>
      <c r="GT95" s="3"/>
      <c r="GU95" s="3"/>
      <c r="GV95" s="3"/>
      <c r="GW95" s="3"/>
      <c r="GX95" s="3"/>
      <c r="GY95" s="3"/>
      <c r="GZ95" s="3"/>
      <c r="HA95" s="3"/>
      <c r="HB95" s="3"/>
      <c r="HC95" s="3"/>
      <c r="HD95" s="3"/>
      <c r="HE95" s="3"/>
      <c r="HF95" s="3"/>
      <c r="HG95" s="3"/>
      <c r="HH95" s="3"/>
      <c r="HI95" s="3"/>
      <c r="HJ95" s="3"/>
      <c r="HK95" s="3"/>
      <c r="HL95" s="3"/>
      <c r="HM95" s="3"/>
      <c r="HN95" s="3"/>
      <c r="HO95" s="3"/>
      <c r="HP95" s="3"/>
      <c r="HQ95" s="3"/>
      <c r="HR95" s="3"/>
      <c r="HS95" s="3"/>
      <c r="HT95" s="3"/>
      <c r="HU95" s="3"/>
      <c r="HV95" s="3"/>
      <c r="HW95" s="3"/>
      <c r="HX95" s="3"/>
      <c r="HY95" s="3"/>
      <c r="HZ95" s="3"/>
      <c r="IA95" s="3"/>
      <c r="IB95" s="3"/>
      <c r="IC95" s="3"/>
      <c r="ID95" s="3"/>
      <c r="IE95" s="3"/>
      <c r="IF95" s="3"/>
      <c r="IG95" s="3"/>
      <c r="IH95" s="3"/>
      <c r="II95" s="3"/>
      <c r="IJ95" s="3"/>
      <c r="IK95" s="3"/>
      <c r="IL95" s="3"/>
      <c r="IM95" s="3"/>
      <c r="IN95" s="3"/>
      <c r="IO95" s="3"/>
      <c r="IP95" s="3"/>
      <c r="IQ95" s="3"/>
      <c r="IR95" s="3"/>
      <c r="IS95" s="3"/>
      <c r="IT95" s="3"/>
      <c r="IU95" s="3"/>
      <c r="IV95" s="3"/>
      <c r="IW95" s="3"/>
      <c r="IX95" s="3"/>
      <c r="IY95" s="3"/>
      <c r="IZ95" s="3"/>
      <c r="JA95" s="3"/>
      <c r="JB95" s="3"/>
      <c r="JC95" s="3"/>
      <c r="JD95" s="3"/>
      <c r="JE95" s="3"/>
      <c r="JF95" s="3"/>
      <c r="JG95" s="3"/>
      <c r="JH95" s="3"/>
      <c r="JI95" s="3"/>
      <c r="JJ95" s="3"/>
      <c r="JK95" s="3"/>
      <c r="JL95" s="3"/>
      <c r="JM95" s="3"/>
      <c r="JN95" s="3"/>
      <c r="JO95" s="3"/>
      <c r="JP95" s="3"/>
      <c r="JQ95" s="3"/>
      <c r="JR95" s="3"/>
      <c r="JS95" s="3"/>
      <c r="JT95" s="3"/>
      <c r="JU95" s="3"/>
      <c r="JV95" s="3"/>
      <c r="JW95" s="3"/>
      <c r="JX95" s="3"/>
      <c r="JY95" s="3"/>
      <c r="JZ95" s="3"/>
      <c r="KA95" s="3"/>
      <c r="KB95" s="3"/>
      <c r="KC95" s="3"/>
      <c r="KD95" s="3"/>
      <c r="KE95" s="3"/>
      <c r="KF95" s="3"/>
      <c r="KG95" s="3"/>
      <c r="KH95" s="3"/>
      <c r="KI95" s="3"/>
      <c r="KJ95" s="3"/>
      <c r="KK95" s="3"/>
      <c r="KL95" s="3"/>
      <c r="KM95" s="3"/>
      <c r="KN95" s="3"/>
      <c r="KO95" s="3"/>
      <c r="KP95" s="3"/>
      <c r="KQ95" s="3"/>
      <c r="KR95" s="3"/>
      <c r="KS95" s="3"/>
      <c r="KT95" s="3"/>
      <c r="KU95" s="3"/>
      <c r="KV95" s="3"/>
      <c r="KW95" s="3"/>
      <c r="KX95" s="3"/>
      <c r="KY95" s="3"/>
      <c r="KZ95" s="3"/>
      <c r="LA95" s="3"/>
      <c r="LB95" s="3"/>
      <c r="LC95" s="3"/>
      <c r="LD95" s="3"/>
      <c r="LE95" s="3"/>
      <c r="LF95" s="3"/>
      <c r="LG95" s="3"/>
      <c r="LH95" s="3"/>
      <c r="LI95" s="3"/>
      <c r="LJ95" s="3"/>
      <c r="LK95" s="3"/>
      <c r="LL95" s="3"/>
      <c r="LM95" s="3"/>
      <c r="LN95" s="3"/>
      <c r="LO95" s="3"/>
      <c r="LP95" s="3"/>
      <c r="LQ95" s="3"/>
      <c r="LR95" s="3"/>
      <c r="LS95" s="3"/>
      <c r="LT95" s="3"/>
      <c r="LU95" s="3"/>
      <c r="LV95" s="3"/>
      <c r="LW95" s="3"/>
      <c r="LX95" s="3"/>
      <c r="LY95" s="3"/>
      <c r="LZ95" s="3"/>
      <c r="MA95" s="3"/>
      <c r="MB95" s="3"/>
      <c r="MC95" s="3"/>
      <c r="MD95" s="3"/>
      <c r="ME95" s="3"/>
      <c r="MF95" s="3"/>
      <c r="MG95" s="3"/>
      <c r="MH95" s="3"/>
      <c r="MI95" s="3"/>
      <c r="MJ95" s="3"/>
      <c r="MK95" s="3"/>
      <c r="ML95" s="3"/>
      <c r="MM95" s="3"/>
      <c r="MN95" s="3"/>
      <c r="MO95" s="3"/>
      <c r="MP95" s="3"/>
      <c r="MQ95" s="3"/>
      <c r="MR95" s="3"/>
      <c r="MS95" s="3"/>
      <c r="MT95" s="3"/>
      <c r="MU95" s="3"/>
      <c r="MV95" s="3"/>
      <c r="MW95" s="3"/>
      <c r="MX95" s="3"/>
      <c r="MY95" s="3"/>
      <c r="MZ95" s="3"/>
      <c r="NA95" s="3"/>
      <c r="NB95" s="3"/>
      <c r="NC95" s="3"/>
      <c r="ND95" s="3"/>
      <c r="NE95" s="3"/>
      <c r="NF95" s="3"/>
      <c r="NG95" s="3"/>
      <c r="NH95" s="3"/>
      <c r="NI95" s="3"/>
      <c r="NJ95" s="3"/>
      <c r="NK95" s="3"/>
      <c r="NL95" s="3"/>
      <c r="NM95" s="3"/>
      <c r="NN95" s="3"/>
      <c r="NO95" s="3"/>
      <c r="NP95" s="3"/>
      <c r="NQ95" s="3"/>
      <c r="NR95" s="3"/>
      <c r="NS95" s="3"/>
      <c r="NT95" s="3"/>
      <c r="NU95" s="3"/>
      <c r="NV95" s="3"/>
      <c r="NW95" s="3"/>
      <c r="NX95" s="3"/>
      <c r="NY95" s="3"/>
      <c r="NZ95" s="3"/>
      <c r="OA95" s="3"/>
      <c r="OB95" s="3"/>
      <c r="OC95" s="3"/>
      <c r="OD95" s="3"/>
      <c r="OE95" s="3"/>
      <c r="OF95" s="3"/>
      <c r="OG95" s="3"/>
      <c r="OH95" s="3"/>
      <c r="OI95" s="3"/>
      <c r="OJ95" s="3"/>
      <c r="OK95" s="3"/>
      <c r="OL95" s="3"/>
      <c r="OM95" s="3"/>
      <c r="ON95" s="3"/>
      <c r="OO95" s="3"/>
      <c r="OP95" s="3"/>
      <c r="OQ95" s="3"/>
      <c r="OR95" s="3"/>
      <c r="OS95" s="3"/>
      <c r="OT95" s="3"/>
      <c r="OU95" s="3"/>
      <c r="OV95" s="3"/>
      <c r="OW95" s="3"/>
      <c r="OX95" s="3"/>
      <c r="OY95" s="3"/>
      <c r="OZ95" s="3"/>
      <c r="PA95" s="3"/>
      <c r="PB95" s="3"/>
      <c r="PC95" s="3"/>
      <c r="PD95" s="3"/>
      <c r="PE95" s="3"/>
      <c r="PF95" s="3"/>
      <c r="PG95" s="3"/>
      <c r="PH95" s="3"/>
      <c r="PI95" s="3"/>
      <c r="PJ95" s="3"/>
      <c r="PK95" s="3"/>
      <c r="PL95" s="3"/>
      <c r="PM95" s="3"/>
      <c r="PN95" s="3"/>
      <c r="PO95" s="3"/>
      <c r="PP95" s="3"/>
      <c r="PQ95" s="3"/>
      <c r="PR95" s="3"/>
      <c r="PS95" s="3"/>
      <c r="PT95" s="3"/>
      <c r="PU95" s="3"/>
      <c r="PV95" s="3"/>
      <c r="PW95" s="3"/>
      <c r="PX95" s="3"/>
      <c r="PY95" s="3"/>
      <c r="PZ95" s="3"/>
      <c r="QA95" s="3"/>
      <c r="QB95" s="3"/>
      <c r="QC95" s="3"/>
      <c r="QD95" s="3"/>
      <c r="QE95" s="3"/>
      <c r="QF95" s="3"/>
      <c r="QG95" s="3"/>
      <c r="QH95" s="3"/>
      <c r="QI95" s="3"/>
      <c r="QJ95" s="3"/>
      <c r="QK95" s="3"/>
      <c r="QL95" s="3"/>
      <c r="QM95" s="3"/>
      <c r="QN95" s="3"/>
      <c r="QO95" s="3"/>
      <c r="QP95" s="3"/>
      <c r="QQ95" s="3"/>
      <c r="QR95" s="3"/>
      <c r="QS95" s="3"/>
      <c r="QT95" s="3"/>
      <c r="QU95" s="3"/>
      <c r="QV95" s="3"/>
      <c r="QW95" s="3"/>
      <c r="QX95" s="3"/>
      <c r="QY95" s="3"/>
      <c r="QZ95" s="3"/>
      <c r="RA95" s="3"/>
      <c r="RB95" s="3"/>
      <c r="RC95" s="3"/>
      <c r="RD95" s="3"/>
      <c r="RE95" s="3"/>
      <c r="RF95" s="3"/>
      <c r="RG95" s="3"/>
      <c r="RH95" s="3"/>
      <c r="RI95" s="3"/>
      <c r="RJ95" s="3"/>
      <c r="RK95" s="3"/>
      <c r="RL95" s="3"/>
      <c r="RM95" s="3"/>
      <c r="RN95" s="3"/>
      <c r="RO95" s="3"/>
      <c r="RP95" s="3"/>
      <c r="RQ95" s="3"/>
      <c r="RR95" s="3"/>
      <c r="RS95" s="3"/>
      <c r="RT95" s="3"/>
      <c r="RU95" s="3"/>
      <c r="RV95" s="3"/>
      <c r="RW95" s="3"/>
      <c r="RX95" s="3"/>
      <c r="RY95" s="3"/>
      <c r="RZ95" s="3"/>
      <c r="SA95" s="3"/>
      <c r="SB95" s="3"/>
      <c r="SC95" s="3"/>
      <c r="SD95" s="3"/>
      <c r="SE95" s="3"/>
      <c r="SF95" s="3"/>
      <c r="SG95" s="3"/>
      <c r="SH95" s="3"/>
      <c r="SI95" s="3"/>
      <c r="SJ95" s="3"/>
      <c r="SK95" s="3"/>
      <c r="SL95" s="3"/>
      <c r="SM95" s="3"/>
      <c r="SN95" s="3"/>
      <c r="SO95" s="3"/>
      <c r="SP95" s="3"/>
      <c r="SQ95" s="3"/>
      <c r="SR95" s="3"/>
      <c r="SS95" s="3"/>
      <c r="ST95" s="3"/>
      <c r="SU95" s="3"/>
      <c r="SV95" s="3"/>
      <c r="SW95" s="3"/>
      <c r="SX95" s="3"/>
      <c r="SY95" s="3"/>
      <c r="SZ95" s="3"/>
      <c r="TA95" s="3"/>
      <c r="TB95" s="3"/>
      <c r="TC95" s="3"/>
      <c r="TD95" s="3"/>
      <c r="TE95" s="3"/>
      <c r="TF95" s="3"/>
      <c r="TG95" s="3"/>
      <c r="TH95" s="3"/>
      <c r="TI95" s="3"/>
      <c r="TJ95" s="3"/>
      <c r="TK95" s="3"/>
      <c r="TL95" s="3"/>
      <c r="TM95" s="3"/>
      <c r="TN95" s="3"/>
      <c r="TO95" s="3"/>
      <c r="TP95" s="3"/>
      <c r="TQ95" s="3"/>
      <c r="TR95" s="3"/>
      <c r="TS95" s="3"/>
      <c r="TT95" s="3"/>
      <c r="TU95" s="3"/>
      <c r="TV95" s="3"/>
      <c r="TW95" s="3"/>
      <c r="TX95" s="3"/>
      <c r="TY95" s="3"/>
      <c r="TZ95" s="3"/>
      <c r="UA95" s="3"/>
      <c r="UB95" s="3"/>
      <c r="UC95" s="3"/>
      <c r="UD95" s="3"/>
      <c r="UE95" s="3"/>
      <c r="UF95" s="3"/>
      <c r="UG95" s="3"/>
      <c r="UH95" s="3"/>
      <c r="UI95" s="3"/>
      <c r="UJ95" s="3"/>
      <c r="UK95" s="3"/>
      <c r="UL95" s="3"/>
      <c r="UM95" s="3"/>
      <c r="UN95" s="3"/>
      <c r="UO95" s="3"/>
      <c r="UP95" s="3"/>
      <c r="UQ95" s="3"/>
      <c r="UR95" s="3"/>
      <c r="US95" s="3"/>
      <c r="UT95" s="3"/>
      <c r="UU95" s="3"/>
      <c r="UV95" s="3"/>
      <c r="UW95" s="3"/>
      <c r="UX95" s="3"/>
      <c r="UY95" s="3"/>
      <c r="UZ95" s="3"/>
      <c r="VA95" s="3"/>
      <c r="VB95" s="3"/>
      <c r="VC95" s="3"/>
      <c r="VD95" s="3"/>
      <c r="VE95" s="3"/>
      <c r="VF95" s="3"/>
      <c r="VG95" s="3"/>
      <c r="VH95" s="3"/>
      <c r="VI95" s="3"/>
      <c r="VJ95" s="3"/>
      <c r="VK95" s="3"/>
      <c r="VL95" s="3"/>
      <c r="VM95" s="3"/>
      <c r="VN95" s="3"/>
      <c r="VO95" s="3"/>
      <c r="VP95" s="3"/>
      <c r="VQ95" s="3"/>
      <c r="VR95" s="3"/>
      <c r="VS95" s="3"/>
      <c r="VT95" s="3"/>
      <c r="VU95" s="3"/>
      <c r="VV95" s="3"/>
      <c r="VW95" s="3"/>
      <c r="VX95" s="3"/>
      <c r="VY95" s="3"/>
      <c r="VZ95" s="3"/>
      <c r="WA95" s="3"/>
      <c r="WB95" s="3"/>
      <c r="WC95" s="3"/>
      <c r="WD95" s="3"/>
      <c r="WE95" s="3"/>
      <c r="WF95" s="3"/>
      <c r="WG95" s="3"/>
      <c r="WH95" s="3"/>
      <c r="WI95" s="3"/>
      <c r="WJ95" s="3"/>
      <c r="WK95" s="3"/>
      <c r="WL95" s="3"/>
      <c r="WM95" s="3"/>
      <c r="WN95" s="3"/>
      <c r="WO95" s="3"/>
      <c r="WP95" s="3"/>
      <c r="WQ95" s="3"/>
      <c r="WR95" s="3"/>
      <c r="WS95" s="3"/>
      <c r="WT95" s="3"/>
      <c r="WU95" s="3"/>
      <c r="WV95" s="3"/>
      <c r="WW95" s="3"/>
      <c r="WX95" s="3"/>
      <c r="WY95" s="3"/>
      <c r="WZ95" s="3"/>
      <c r="XA95" s="3"/>
      <c r="XB95" s="3"/>
      <c r="XC95" s="3"/>
      <c r="XD95" s="3"/>
      <c r="XE95" s="3"/>
      <c r="XF95" s="3"/>
      <c r="XG95" s="3"/>
      <c r="XH95" s="3"/>
      <c r="XI95" s="3"/>
      <c r="XJ95" s="3"/>
      <c r="XK95" s="3"/>
      <c r="XL95" s="3"/>
      <c r="XM95" s="3"/>
      <c r="XN95" s="3"/>
      <c r="XO95" s="3"/>
      <c r="XP95" s="3"/>
      <c r="XQ95" s="3"/>
      <c r="XR95" s="3"/>
      <c r="XS95" s="3"/>
      <c r="XT95" s="3"/>
      <c r="XU95" s="3"/>
      <c r="XV95" s="3"/>
      <c r="XW95" s="3"/>
      <c r="XX95" s="3"/>
      <c r="XY95" s="3"/>
      <c r="XZ95" s="3"/>
      <c r="YA95" s="3"/>
      <c r="YB95" s="3"/>
      <c r="YC95" s="3"/>
      <c r="YD95" s="3"/>
      <c r="YE95" s="3"/>
      <c r="YF95" s="3"/>
      <c r="YG95" s="3"/>
      <c r="YH95" s="3"/>
      <c r="YI95" s="3"/>
      <c r="YJ95" s="3"/>
      <c r="YK95" s="3"/>
      <c r="YL95" s="3"/>
      <c r="YM95" s="3"/>
      <c r="YN95" s="3"/>
      <c r="YO95" s="3"/>
      <c r="YP95" s="3"/>
      <c r="YQ95" s="3"/>
      <c r="YR95" s="3"/>
      <c r="YS95" s="3"/>
      <c r="YT95" s="3"/>
      <c r="YU95" s="3"/>
      <c r="YV95" s="3"/>
      <c r="YW95" s="3"/>
      <c r="YX95" s="3"/>
      <c r="YY95" s="3"/>
      <c r="YZ95" s="3"/>
      <c r="ZA95" s="3"/>
      <c r="ZB95" s="3"/>
      <c r="ZC95" s="3"/>
    </row>
    <row r="96" spans="1:679" s="2" customFormat="1" x14ac:dyDescent="0.45">
      <c r="A96" s="3" t="s">
        <v>11</v>
      </c>
      <c r="B96" s="4">
        <v>32738</v>
      </c>
      <c r="C96" s="7" t="s">
        <v>21</v>
      </c>
      <c r="D96" s="6" t="s">
        <v>110</v>
      </c>
      <c r="E96" s="3"/>
      <c r="F96" s="3">
        <v>2</v>
      </c>
      <c r="L96" s="3"/>
      <c r="M96" s="3"/>
      <c r="N96" s="48"/>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c r="DI96" s="3"/>
      <c r="DJ96" s="3"/>
      <c r="DK96" s="3"/>
      <c r="DL96" s="3"/>
      <c r="DM96" s="3"/>
      <c r="DN96" s="3"/>
      <c r="DO96" s="3"/>
      <c r="DP96" s="3"/>
      <c r="DQ96" s="3"/>
      <c r="DR96" s="3"/>
      <c r="DS96" s="3"/>
      <c r="DT96" s="3"/>
      <c r="DU96" s="3"/>
      <c r="DV96" s="3"/>
      <c r="DW96" s="3"/>
      <c r="DX96" s="3"/>
      <c r="DY96" s="3"/>
      <c r="DZ96" s="3"/>
      <c r="EA96" s="3"/>
      <c r="EB96" s="3"/>
      <c r="EC96" s="3"/>
      <c r="ED96" s="3"/>
      <c r="EE96" s="3"/>
      <c r="EF96" s="3"/>
      <c r="EG96" s="3"/>
      <c r="EH96" s="3"/>
      <c r="EI96" s="3"/>
      <c r="EJ96" s="3"/>
      <c r="EK96" s="3"/>
      <c r="EL96" s="3"/>
      <c r="EM96" s="3"/>
      <c r="EN96" s="3"/>
      <c r="EO96" s="3"/>
      <c r="EP96" s="3"/>
      <c r="EQ96" s="3"/>
      <c r="ER96" s="3"/>
      <c r="ES96" s="3"/>
      <c r="ET96" s="3"/>
      <c r="EU96" s="3"/>
      <c r="EV96" s="3"/>
      <c r="EW96" s="3"/>
      <c r="EX96" s="3"/>
      <c r="EY96" s="3"/>
      <c r="EZ96" s="3"/>
      <c r="FA96" s="3"/>
      <c r="FB96" s="3"/>
      <c r="FC96" s="3"/>
      <c r="FD96" s="3"/>
      <c r="FE96" s="3"/>
      <c r="FF96" s="3"/>
      <c r="FG96" s="3"/>
      <c r="FH96" s="3"/>
      <c r="FI96" s="3"/>
      <c r="FJ96" s="3"/>
      <c r="FK96" s="3"/>
      <c r="FL96" s="3"/>
      <c r="FM96" s="3"/>
      <c r="FN96" s="3"/>
      <c r="FO96" s="3"/>
      <c r="FP96" s="3"/>
      <c r="FQ96" s="3"/>
      <c r="FR96" s="3"/>
      <c r="FS96" s="3"/>
      <c r="FT96" s="3"/>
      <c r="FU96" s="3"/>
      <c r="FV96" s="3"/>
      <c r="FW96" s="3"/>
      <c r="FX96" s="3"/>
      <c r="FY96" s="3"/>
      <c r="FZ96" s="3"/>
      <c r="GA96" s="3"/>
      <c r="GB96" s="3"/>
      <c r="GC96" s="3"/>
      <c r="GD96" s="3"/>
      <c r="GE96" s="3"/>
      <c r="GF96" s="3"/>
      <c r="GG96" s="3"/>
      <c r="GH96" s="3"/>
      <c r="GI96" s="3"/>
      <c r="GJ96" s="3"/>
      <c r="GK96" s="3"/>
      <c r="GL96" s="3"/>
      <c r="GM96" s="3"/>
      <c r="GN96" s="3"/>
      <c r="GO96" s="3"/>
      <c r="GP96" s="3"/>
      <c r="GQ96" s="3"/>
      <c r="GR96" s="3"/>
      <c r="GS96" s="3"/>
      <c r="GT96" s="3"/>
      <c r="GU96" s="3"/>
      <c r="GV96" s="3"/>
      <c r="GW96" s="3"/>
      <c r="GX96" s="3"/>
      <c r="GY96" s="3"/>
      <c r="GZ96" s="3"/>
      <c r="HA96" s="3"/>
      <c r="HB96" s="3"/>
      <c r="HC96" s="3"/>
      <c r="HD96" s="3"/>
      <c r="HE96" s="3"/>
      <c r="HF96" s="3"/>
      <c r="HG96" s="3"/>
      <c r="HH96" s="3"/>
      <c r="HI96" s="3"/>
      <c r="HJ96" s="3"/>
      <c r="HK96" s="3"/>
      <c r="HL96" s="3"/>
      <c r="HM96" s="3"/>
      <c r="HN96" s="3"/>
      <c r="HO96" s="3"/>
      <c r="HP96" s="3"/>
      <c r="HQ96" s="3"/>
      <c r="HR96" s="3"/>
      <c r="HS96" s="3"/>
      <c r="HT96" s="3"/>
      <c r="HU96" s="3"/>
      <c r="HV96" s="3"/>
      <c r="HW96" s="3"/>
      <c r="HX96" s="3"/>
      <c r="HY96" s="3"/>
      <c r="HZ96" s="3"/>
      <c r="IA96" s="3"/>
      <c r="IB96" s="3"/>
      <c r="IC96" s="3"/>
      <c r="ID96" s="3"/>
      <c r="IE96" s="3"/>
      <c r="IF96" s="3"/>
      <c r="IG96" s="3"/>
      <c r="IH96" s="3"/>
      <c r="II96" s="3"/>
      <c r="IJ96" s="3"/>
      <c r="IK96" s="3"/>
      <c r="IL96" s="3"/>
      <c r="IM96" s="3"/>
      <c r="IN96" s="3"/>
      <c r="IO96" s="3"/>
      <c r="IP96" s="3"/>
      <c r="IQ96" s="3"/>
      <c r="IR96" s="3"/>
      <c r="IS96" s="3"/>
      <c r="IT96" s="3"/>
      <c r="IU96" s="3"/>
      <c r="IV96" s="3"/>
      <c r="IW96" s="3"/>
      <c r="IX96" s="3"/>
      <c r="IY96" s="3"/>
      <c r="IZ96" s="3"/>
      <c r="JA96" s="3"/>
      <c r="JB96" s="3"/>
      <c r="JC96" s="3"/>
      <c r="JD96" s="3"/>
      <c r="JE96" s="3"/>
      <c r="JF96" s="3"/>
      <c r="JG96" s="3"/>
      <c r="JH96" s="3"/>
      <c r="JI96" s="3"/>
      <c r="JJ96" s="3"/>
      <c r="JK96" s="3"/>
      <c r="JL96" s="3"/>
      <c r="JM96" s="3"/>
      <c r="JN96" s="3"/>
      <c r="JO96" s="3"/>
      <c r="JP96" s="3"/>
      <c r="JQ96" s="3"/>
      <c r="JR96" s="3"/>
      <c r="JS96" s="3"/>
      <c r="JT96" s="3"/>
      <c r="JU96" s="3"/>
      <c r="JV96" s="3"/>
      <c r="JW96" s="3"/>
      <c r="JX96" s="3"/>
      <c r="JY96" s="3"/>
      <c r="JZ96" s="3"/>
      <c r="KA96" s="3"/>
      <c r="KB96" s="3"/>
      <c r="KC96" s="3"/>
      <c r="KD96" s="3"/>
      <c r="KE96" s="3"/>
      <c r="KF96" s="3"/>
      <c r="KG96" s="3"/>
      <c r="KH96" s="3"/>
      <c r="KI96" s="3"/>
      <c r="KJ96" s="3"/>
      <c r="KK96" s="3"/>
      <c r="KL96" s="3"/>
      <c r="KM96" s="3"/>
      <c r="KN96" s="3"/>
      <c r="KO96" s="3"/>
      <c r="KP96" s="3"/>
      <c r="KQ96" s="3"/>
      <c r="KR96" s="3"/>
      <c r="KS96" s="3"/>
      <c r="KT96" s="3"/>
      <c r="KU96" s="3"/>
      <c r="KV96" s="3"/>
      <c r="KW96" s="3"/>
      <c r="KX96" s="3"/>
      <c r="KY96" s="3"/>
      <c r="KZ96" s="3"/>
      <c r="LA96" s="3"/>
      <c r="LB96" s="3"/>
      <c r="LC96" s="3"/>
      <c r="LD96" s="3"/>
      <c r="LE96" s="3"/>
      <c r="LF96" s="3"/>
      <c r="LG96" s="3"/>
      <c r="LH96" s="3"/>
      <c r="LI96" s="3"/>
      <c r="LJ96" s="3"/>
      <c r="LK96" s="3"/>
      <c r="LL96" s="3"/>
      <c r="LM96" s="3"/>
      <c r="LN96" s="3"/>
      <c r="LO96" s="3"/>
      <c r="LP96" s="3"/>
      <c r="LQ96" s="3"/>
      <c r="LR96" s="3"/>
      <c r="LS96" s="3"/>
      <c r="LT96" s="3"/>
      <c r="LU96" s="3"/>
      <c r="LV96" s="3"/>
      <c r="LW96" s="3"/>
      <c r="LX96" s="3"/>
      <c r="LY96" s="3"/>
      <c r="LZ96" s="3"/>
      <c r="MA96" s="3"/>
      <c r="MB96" s="3"/>
      <c r="MC96" s="3"/>
      <c r="MD96" s="3"/>
      <c r="ME96" s="3"/>
      <c r="MF96" s="3"/>
      <c r="MG96" s="3"/>
      <c r="MH96" s="3"/>
      <c r="MI96" s="3"/>
      <c r="MJ96" s="3"/>
      <c r="MK96" s="3"/>
      <c r="ML96" s="3"/>
      <c r="MM96" s="3"/>
      <c r="MN96" s="3"/>
      <c r="MO96" s="3"/>
      <c r="MP96" s="3"/>
      <c r="MQ96" s="3"/>
      <c r="MR96" s="3"/>
      <c r="MS96" s="3"/>
      <c r="MT96" s="3"/>
      <c r="MU96" s="3"/>
      <c r="MV96" s="3"/>
      <c r="MW96" s="3"/>
      <c r="MX96" s="3"/>
      <c r="MY96" s="3"/>
      <c r="MZ96" s="3"/>
      <c r="NA96" s="3"/>
      <c r="NB96" s="3"/>
      <c r="NC96" s="3"/>
      <c r="ND96" s="3"/>
      <c r="NE96" s="3"/>
      <c r="NF96" s="3"/>
      <c r="NG96" s="3"/>
      <c r="NH96" s="3"/>
      <c r="NI96" s="3"/>
      <c r="NJ96" s="3"/>
      <c r="NK96" s="3"/>
      <c r="NL96" s="3"/>
      <c r="NM96" s="3"/>
      <c r="NN96" s="3"/>
      <c r="NO96" s="3"/>
      <c r="NP96" s="3"/>
      <c r="NQ96" s="3"/>
      <c r="NR96" s="3"/>
      <c r="NS96" s="3"/>
      <c r="NT96" s="3"/>
      <c r="NU96" s="3"/>
      <c r="NV96" s="3"/>
      <c r="NW96" s="3"/>
      <c r="NX96" s="3"/>
      <c r="NY96" s="3"/>
      <c r="NZ96" s="3"/>
      <c r="OA96" s="3"/>
      <c r="OB96" s="3"/>
      <c r="OC96" s="3"/>
      <c r="OD96" s="3"/>
      <c r="OE96" s="3"/>
      <c r="OF96" s="3"/>
      <c r="OG96" s="3"/>
      <c r="OH96" s="3"/>
      <c r="OI96" s="3"/>
      <c r="OJ96" s="3"/>
      <c r="OK96" s="3"/>
      <c r="OL96" s="3"/>
      <c r="OM96" s="3"/>
      <c r="ON96" s="3"/>
      <c r="OO96" s="3"/>
      <c r="OP96" s="3"/>
      <c r="OQ96" s="3"/>
      <c r="OR96" s="3"/>
      <c r="OS96" s="3"/>
      <c r="OT96" s="3"/>
      <c r="OU96" s="3"/>
      <c r="OV96" s="3"/>
      <c r="OW96" s="3"/>
      <c r="OX96" s="3"/>
      <c r="OY96" s="3"/>
      <c r="OZ96" s="3"/>
      <c r="PA96" s="3"/>
      <c r="PB96" s="3"/>
      <c r="PC96" s="3"/>
      <c r="PD96" s="3"/>
      <c r="PE96" s="3"/>
      <c r="PF96" s="3"/>
      <c r="PG96" s="3"/>
      <c r="PH96" s="3"/>
      <c r="PI96" s="3"/>
      <c r="PJ96" s="3"/>
      <c r="PK96" s="3"/>
      <c r="PL96" s="3"/>
      <c r="PM96" s="3"/>
      <c r="PN96" s="3"/>
      <c r="PO96" s="3"/>
      <c r="PP96" s="3"/>
      <c r="PQ96" s="3"/>
      <c r="PR96" s="3"/>
      <c r="PS96" s="3"/>
      <c r="PT96" s="3"/>
      <c r="PU96" s="3"/>
      <c r="PV96" s="3"/>
      <c r="PW96" s="3"/>
      <c r="PX96" s="3"/>
      <c r="PY96" s="3"/>
      <c r="PZ96" s="3"/>
      <c r="QA96" s="3"/>
      <c r="QB96" s="3"/>
      <c r="QC96" s="3"/>
      <c r="QD96" s="3"/>
      <c r="QE96" s="3"/>
      <c r="QF96" s="3"/>
      <c r="QG96" s="3"/>
      <c r="QH96" s="3"/>
      <c r="QI96" s="3"/>
      <c r="QJ96" s="3"/>
      <c r="QK96" s="3"/>
      <c r="QL96" s="3"/>
      <c r="QM96" s="3"/>
      <c r="QN96" s="3"/>
      <c r="QO96" s="3"/>
      <c r="QP96" s="3"/>
      <c r="QQ96" s="3"/>
      <c r="QR96" s="3"/>
      <c r="QS96" s="3"/>
      <c r="QT96" s="3"/>
      <c r="QU96" s="3"/>
      <c r="QV96" s="3"/>
      <c r="QW96" s="3"/>
      <c r="QX96" s="3"/>
      <c r="QY96" s="3"/>
      <c r="QZ96" s="3"/>
      <c r="RA96" s="3"/>
      <c r="RB96" s="3"/>
      <c r="RC96" s="3"/>
      <c r="RD96" s="3"/>
      <c r="RE96" s="3"/>
      <c r="RF96" s="3"/>
      <c r="RG96" s="3"/>
      <c r="RH96" s="3"/>
      <c r="RI96" s="3"/>
      <c r="RJ96" s="3"/>
      <c r="RK96" s="3"/>
      <c r="RL96" s="3"/>
      <c r="RM96" s="3"/>
      <c r="RN96" s="3"/>
      <c r="RO96" s="3"/>
      <c r="RP96" s="3"/>
      <c r="RQ96" s="3"/>
      <c r="RR96" s="3"/>
      <c r="RS96" s="3"/>
      <c r="RT96" s="3"/>
      <c r="RU96" s="3"/>
      <c r="RV96" s="3"/>
      <c r="RW96" s="3"/>
      <c r="RX96" s="3"/>
      <c r="RY96" s="3"/>
      <c r="RZ96" s="3"/>
      <c r="SA96" s="3"/>
      <c r="SB96" s="3"/>
      <c r="SC96" s="3"/>
      <c r="SD96" s="3"/>
      <c r="SE96" s="3"/>
      <c r="SF96" s="3"/>
      <c r="SG96" s="3"/>
      <c r="SH96" s="3"/>
      <c r="SI96" s="3"/>
      <c r="SJ96" s="3"/>
      <c r="SK96" s="3"/>
      <c r="SL96" s="3"/>
      <c r="SM96" s="3"/>
      <c r="SN96" s="3"/>
      <c r="SO96" s="3"/>
      <c r="SP96" s="3"/>
      <c r="SQ96" s="3"/>
      <c r="SR96" s="3"/>
      <c r="SS96" s="3"/>
      <c r="ST96" s="3"/>
      <c r="SU96" s="3"/>
      <c r="SV96" s="3"/>
      <c r="SW96" s="3"/>
      <c r="SX96" s="3"/>
      <c r="SY96" s="3"/>
      <c r="SZ96" s="3"/>
      <c r="TA96" s="3"/>
      <c r="TB96" s="3"/>
      <c r="TC96" s="3"/>
      <c r="TD96" s="3"/>
      <c r="TE96" s="3"/>
      <c r="TF96" s="3"/>
      <c r="TG96" s="3"/>
      <c r="TH96" s="3"/>
      <c r="TI96" s="3"/>
      <c r="TJ96" s="3"/>
      <c r="TK96" s="3"/>
      <c r="TL96" s="3"/>
      <c r="TM96" s="3"/>
      <c r="TN96" s="3"/>
      <c r="TO96" s="3"/>
      <c r="TP96" s="3"/>
      <c r="TQ96" s="3"/>
      <c r="TR96" s="3"/>
      <c r="TS96" s="3"/>
      <c r="TT96" s="3"/>
      <c r="TU96" s="3"/>
      <c r="TV96" s="3"/>
      <c r="TW96" s="3"/>
      <c r="TX96" s="3"/>
      <c r="TY96" s="3"/>
      <c r="TZ96" s="3"/>
      <c r="UA96" s="3"/>
      <c r="UB96" s="3"/>
      <c r="UC96" s="3"/>
      <c r="UD96" s="3"/>
      <c r="UE96" s="3"/>
      <c r="UF96" s="3"/>
      <c r="UG96" s="3"/>
      <c r="UH96" s="3"/>
      <c r="UI96" s="3"/>
      <c r="UJ96" s="3"/>
      <c r="UK96" s="3"/>
      <c r="UL96" s="3"/>
      <c r="UM96" s="3"/>
      <c r="UN96" s="3"/>
      <c r="UO96" s="3"/>
      <c r="UP96" s="3"/>
      <c r="UQ96" s="3"/>
      <c r="UR96" s="3"/>
      <c r="US96" s="3"/>
      <c r="UT96" s="3"/>
      <c r="UU96" s="3"/>
      <c r="UV96" s="3"/>
      <c r="UW96" s="3"/>
      <c r="UX96" s="3"/>
      <c r="UY96" s="3"/>
      <c r="UZ96" s="3"/>
      <c r="VA96" s="3"/>
      <c r="VB96" s="3"/>
      <c r="VC96" s="3"/>
      <c r="VD96" s="3"/>
      <c r="VE96" s="3"/>
      <c r="VF96" s="3"/>
      <c r="VG96" s="3"/>
      <c r="VH96" s="3"/>
      <c r="VI96" s="3"/>
      <c r="VJ96" s="3"/>
      <c r="VK96" s="3"/>
      <c r="VL96" s="3"/>
      <c r="VM96" s="3"/>
      <c r="VN96" s="3"/>
      <c r="VO96" s="3"/>
      <c r="VP96" s="3"/>
      <c r="VQ96" s="3"/>
      <c r="VR96" s="3"/>
      <c r="VS96" s="3"/>
      <c r="VT96" s="3"/>
      <c r="VU96" s="3"/>
      <c r="VV96" s="3"/>
      <c r="VW96" s="3"/>
      <c r="VX96" s="3"/>
      <c r="VY96" s="3"/>
      <c r="VZ96" s="3"/>
      <c r="WA96" s="3"/>
      <c r="WB96" s="3"/>
      <c r="WC96" s="3"/>
      <c r="WD96" s="3"/>
      <c r="WE96" s="3"/>
      <c r="WF96" s="3"/>
      <c r="WG96" s="3"/>
      <c r="WH96" s="3"/>
      <c r="WI96" s="3"/>
      <c r="WJ96" s="3"/>
      <c r="WK96" s="3"/>
      <c r="WL96" s="3"/>
      <c r="WM96" s="3"/>
      <c r="WN96" s="3"/>
      <c r="WO96" s="3"/>
      <c r="WP96" s="3"/>
      <c r="WQ96" s="3"/>
      <c r="WR96" s="3"/>
      <c r="WS96" s="3"/>
      <c r="WT96" s="3"/>
      <c r="WU96" s="3"/>
      <c r="WV96" s="3"/>
      <c r="WW96" s="3"/>
      <c r="WX96" s="3"/>
      <c r="WY96" s="3"/>
      <c r="WZ96" s="3"/>
      <c r="XA96" s="3"/>
      <c r="XB96" s="3"/>
      <c r="XC96" s="3"/>
      <c r="XD96" s="3"/>
      <c r="XE96" s="3"/>
      <c r="XF96" s="3"/>
      <c r="XG96" s="3"/>
      <c r="XH96" s="3"/>
      <c r="XI96" s="3"/>
      <c r="XJ96" s="3"/>
      <c r="XK96" s="3"/>
      <c r="XL96" s="3"/>
      <c r="XM96" s="3"/>
      <c r="XN96" s="3"/>
      <c r="XO96" s="3"/>
      <c r="XP96" s="3"/>
      <c r="XQ96" s="3"/>
      <c r="XR96" s="3"/>
      <c r="XS96" s="3"/>
      <c r="XT96" s="3"/>
      <c r="XU96" s="3"/>
      <c r="XV96" s="3"/>
      <c r="XW96" s="3"/>
      <c r="XX96" s="3"/>
      <c r="XY96" s="3"/>
      <c r="XZ96" s="3"/>
      <c r="YA96" s="3"/>
      <c r="YB96" s="3"/>
      <c r="YC96" s="3"/>
      <c r="YD96" s="3"/>
      <c r="YE96" s="3"/>
      <c r="YF96" s="3"/>
      <c r="YG96" s="3"/>
      <c r="YH96" s="3"/>
      <c r="YI96" s="3"/>
      <c r="YJ96" s="3"/>
      <c r="YK96" s="3"/>
      <c r="YL96" s="3"/>
      <c r="YM96" s="3"/>
      <c r="YN96" s="3"/>
      <c r="YO96" s="3"/>
      <c r="YP96" s="3"/>
      <c r="YQ96" s="3"/>
      <c r="YR96" s="3"/>
      <c r="YS96" s="3"/>
      <c r="YT96" s="3"/>
      <c r="YU96" s="3"/>
      <c r="YV96" s="3"/>
      <c r="YW96" s="3"/>
      <c r="YX96" s="3"/>
      <c r="YY96" s="3"/>
      <c r="YZ96" s="3"/>
      <c r="ZA96" s="3"/>
      <c r="ZB96" s="3"/>
      <c r="ZC96" s="3"/>
    </row>
    <row r="97" spans="1:14" x14ac:dyDescent="0.45">
      <c r="A97" s="3" t="s">
        <v>11</v>
      </c>
      <c r="B97" s="4">
        <v>32812</v>
      </c>
      <c r="C97" s="7" t="s">
        <v>21</v>
      </c>
      <c r="D97" s="6" t="s">
        <v>111</v>
      </c>
      <c r="F97" s="3">
        <v>2</v>
      </c>
      <c r="N97" s="48"/>
    </row>
    <row r="98" spans="1:14" x14ac:dyDescent="0.45">
      <c r="A98" s="3" t="s">
        <v>11</v>
      </c>
      <c r="B98" s="4">
        <v>32843</v>
      </c>
      <c r="C98" s="7" t="s">
        <v>25</v>
      </c>
      <c r="D98" s="6" t="s">
        <v>112</v>
      </c>
      <c r="F98" s="3">
        <v>3</v>
      </c>
      <c r="N98" s="48"/>
    </row>
    <row r="99" spans="1:14" x14ac:dyDescent="0.45">
      <c r="A99" s="3" t="s">
        <v>11</v>
      </c>
      <c r="B99" s="4">
        <v>32856</v>
      </c>
      <c r="C99" s="7" t="s">
        <v>25</v>
      </c>
      <c r="D99" s="6" t="s">
        <v>113</v>
      </c>
      <c r="F99" s="3">
        <v>4</v>
      </c>
      <c r="N99" s="48"/>
    </row>
    <row r="100" spans="1:14" x14ac:dyDescent="0.45">
      <c r="A100" s="3" t="s">
        <v>11</v>
      </c>
      <c r="B100" s="4">
        <v>32885</v>
      </c>
      <c r="C100" s="7" t="s">
        <v>21</v>
      </c>
      <c r="D100" s="6" t="s">
        <v>114</v>
      </c>
      <c r="F100" s="3">
        <v>14</v>
      </c>
      <c r="N100" s="48"/>
    </row>
    <row r="101" spans="1:14" x14ac:dyDescent="0.45">
      <c r="A101" s="3" t="s">
        <v>11</v>
      </c>
      <c r="B101" s="4">
        <v>32927</v>
      </c>
      <c r="C101" s="7" t="s">
        <v>25</v>
      </c>
      <c r="D101" s="6" t="s">
        <v>115</v>
      </c>
      <c r="F101" s="3">
        <v>4</v>
      </c>
      <c r="N101" s="48"/>
    </row>
    <row r="102" spans="1:14" x14ac:dyDescent="0.45">
      <c r="A102" s="3" t="s">
        <v>11</v>
      </c>
      <c r="B102" s="4">
        <v>32931</v>
      </c>
      <c r="C102" s="7" t="s">
        <v>25</v>
      </c>
      <c r="D102" s="6" t="s">
        <v>116</v>
      </c>
      <c r="F102" s="3">
        <v>9</v>
      </c>
      <c r="N102" s="48"/>
    </row>
    <row r="103" spans="1:14" x14ac:dyDescent="0.45">
      <c r="A103" s="3" t="s">
        <v>11</v>
      </c>
      <c r="B103" s="4">
        <v>32982</v>
      </c>
      <c r="C103" s="7" t="s">
        <v>21</v>
      </c>
      <c r="D103" s="6" t="s">
        <v>117</v>
      </c>
      <c r="F103" s="3">
        <v>7</v>
      </c>
      <c r="N103" s="48"/>
    </row>
    <row r="104" spans="1:14" x14ac:dyDescent="0.45">
      <c r="A104" s="3" t="s">
        <v>11</v>
      </c>
      <c r="B104" s="4">
        <v>32988</v>
      </c>
      <c r="C104" s="7" t="s">
        <v>25</v>
      </c>
      <c r="D104" s="6" t="s">
        <v>118</v>
      </c>
      <c r="F104" s="3">
        <v>7</v>
      </c>
      <c r="N104" s="48"/>
    </row>
    <row r="105" spans="1:14" x14ac:dyDescent="0.45">
      <c r="A105" s="3" t="s">
        <v>11</v>
      </c>
      <c r="B105" s="4">
        <v>33024</v>
      </c>
      <c r="C105" s="7" t="s">
        <v>25</v>
      </c>
      <c r="D105" s="8" t="s">
        <v>119</v>
      </c>
      <c r="F105" s="3">
        <v>7</v>
      </c>
      <c r="L105" s="3" t="s">
        <v>120</v>
      </c>
      <c r="N105" s="48"/>
    </row>
    <row r="106" spans="1:14" x14ac:dyDescent="0.45">
      <c r="A106" s="3" t="s">
        <v>11</v>
      </c>
      <c r="B106" s="4">
        <v>33053</v>
      </c>
      <c r="C106" s="7" t="s">
        <v>25</v>
      </c>
      <c r="D106" s="6" t="s">
        <v>121</v>
      </c>
      <c r="F106" s="3">
        <v>11</v>
      </c>
      <c r="N106" s="48"/>
    </row>
    <row r="107" spans="1:14" x14ac:dyDescent="0.45">
      <c r="A107" s="3" t="s">
        <v>11</v>
      </c>
      <c r="B107" s="4">
        <v>33148</v>
      </c>
      <c r="C107" s="7" t="s">
        <v>21</v>
      </c>
      <c r="D107" s="6" t="s">
        <v>122</v>
      </c>
      <c r="F107" s="3">
        <v>13</v>
      </c>
      <c r="N107" s="48"/>
    </row>
    <row r="108" spans="1:14" x14ac:dyDescent="0.45">
      <c r="A108" s="3" t="s">
        <v>11</v>
      </c>
      <c r="B108" s="4">
        <v>33219</v>
      </c>
      <c r="C108" s="7" t="s">
        <v>25</v>
      </c>
      <c r="D108" s="6" t="s">
        <v>123</v>
      </c>
      <c r="F108" s="3">
        <v>4</v>
      </c>
      <c r="N108" s="48"/>
    </row>
    <row r="109" spans="1:14" x14ac:dyDescent="0.45">
      <c r="A109" s="3" t="s">
        <v>11</v>
      </c>
      <c r="B109" s="4">
        <v>33221</v>
      </c>
      <c r="C109" s="7" t="s">
        <v>25</v>
      </c>
      <c r="D109" s="6" t="s">
        <v>124</v>
      </c>
      <c r="F109" s="3">
        <v>5</v>
      </c>
      <c r="N109" s="48"/>
    </row>
    <row r="110" spans="1:14" x14ac:dyDescent="0.45">
      <c r="A110" s="3" t="s">
        <v>11</v>
      </c>
      <c r="B110" s="4">
        <v>33221</v>
      </c>
      <c r="C110" s="7" t="s">
        <v>25</v>
      </c>
      <c r="D110" s="6" t="s">
        <v>125</v>
      </c>
      <c r="F110" s="3">
        <v>8</v>
      </c>
      <c r="N110" s="48"/>
    </row>
    <row r="111" spans="1:14" x14ac:dyDescent="0.45">
      <c r="A111" s="3" t="s">
        <v>11</v>
      </c>
      <c r="B111" s="4">
        <v>33368</v>
      </c>
      <c r="C111" s="7" t="s">
        <v>25</v>
      </c>
      <c r="D111" s="6" t="s">
        <v>126</v>
      </c>
      <c r="F111" s="3">
        <v>2</v>
      </c>
      <c r="N111" s="48"/>
    </row>
    <row r="112" spans="1:14" x14ac:dyDescent="0.45">
      <c r="A112" s="3" t="s">
        <v>11</v>
      </c>
      <c r="B112" s="4">
        <v>33443</v>
      </c>
      <c r="C112" s="7" t="s">
        <v>25</v>
      </c>
      <c r="D112" s="6" t="s">
        <v>127</v>
      </c>
      <c r="F112" s="3">
        <v>2</v>
      </c>
      <c r="N112" s="48"/>
    </row>
    <row r="113" spans="1:679" s="2" customFormat="1" x14ac:dyDescent="0.45">
      <c r="A113" s="3" t="s">
        <v>11</v>
      </c>
      <c r="B113" s="4">
        <v>33485</v>
      </c>
      <c r="C113" s="7" t="s">
        <v>25</v>
      </c>
      <c r="D113" s="6" t="s">
        <v>128</v>
      </c>
      <c r="E113" s="3"/>
      <c r="F113" s="3">
        <v>1</v>
      </c>
      <c r="L113" s="3"/>
      <c r="M113" s="3"/>
      <c r="N113" s="48"/>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c r="DE113" s="3"/>
      <c r="DF113" s="3"/>
      <c r="DG113" s="3"/>
      <c r="DH113" s="3"/>
      <c r="DI113" s="3"/>
      <c r="DJ113" s="3"/>
      <c r="DK113" s="3"/>
      <c r="DL113" s="3"/>
      <c r="DM113" s="3"/>
      <c r="DN113" s="3"/>
      <c r="DO113" s="3"/>
      <c r="DP113" s="3"/>
      <c r="DQ113" s="3"/>
      <c r="DR113" s="3"/>
      <c r="DS113" s="3"/>
      <c r="DT113" s="3"/>
      <c r="DU113" s="3"/>
      <c r="DV113" s="3"/>
      <c r="DW113" s="3"/>
      <c r="DX113" s="3"/>
      <c r="DY113" s="3"/>
      <c r="DZ113" s="3"/>
      <c r="EA113" s="3"/>
      <c r="EB113" s="3"/>
      <c r="EC113" s="3"/>
      <c r="ED113" s="3"/>
      <c r="EE113" s="3"/>
      <c r="EF113" s="3"/>
      <c r="EG113" s="3"/>
      <c r="EH113" s="3"/>
      <c r="EI113" s="3"/>
      <c r="EJ113" s="3"/>
      <c r="EK113" s="3"/>
      <c r="EL113" s="3"/>
      <c r="EM113" s="3"/>
      <c r="EN113" s="3"/>
      <c r="EO113" s="3"/>
      <c r="EP113" s="3"/>
      <c r="EQ113" s="3"/>
      <c r="ER113" s="3"/>
      <c r="ES113" s="3"/>
      <c r="ET113" s="3"/>
      <c r="EU113" s="3"/>
      <c r="EV113" s="3"/>
      <c r="EW113" s="3"/>
      <c r="EX113" s="3"/>
      <c r="EY113" s="3"/>
      <c r="EZ113" s="3"/>
      <c r="FA113" s="3"/>
      <c r="FB113" s="3"/>
      <c r="FC113" s="3"/>
      <c r="FD113" s="3"/>
      <c r="FE113" s="3"/>
      <c r="FF113" s="3"/>
      <c r="FG113" s="3"/>
      <c r="FH113" s="3"/>
      <c r="FI113" s="3"/>
      <c r="FJ113" s="3"/>
      <c r="FK113" s="3"/>
      <c r="FL113" s="3"/>
      <c r="FM113" s="3"/>
      <c r="FN113" s="3"/>
      <c r="FO113" s="3"/>
      <c r="FP113" s="3"/>
      <c r="FQ113" s="3"/>
      <c r="FR113" s="3"/>
      <c r="FS113" s="3"/>
      <c r="FT113" s="3"/>
      <c r="FU113" s="3"/>
      <c r="FV113" s="3"/>
      <c r="FW113" s="3"/>
      <c r="FX113" s="3"/>
      <c r="FY113" s="3"/>
      <c r="FZ113" s="3"/>
      <c r="GA113" s="3"/>
      <c r="GB113" s="3"/>
      <c r="GC113" s="3"/>
      <c r="GD113" s="3"/>
      <c r="GE113" s="3"/>
      <c r="GF113" s="3"/>
      <c r="GG113" s="3"/>
      <c r="GH113" s="3"/>
      <c r="GI113" s="3"/>
      <c r="GJ113" s="3"/>
      <c r="GK113" s="3"/>
      <c r="GL113" s="3"/>
      <c r="GM113" s="3"/>
      <c r="GN113" s="3"/>
      <c r="GO113" s="3"/>
      <c r="GP113" s="3"/>
      <c r="GQ113" s="3"/>
      <c r="GR113" s="3"/>
      <c r="GS113" s="3"/>
      <c r="GT113" s="3"/>
      <c r="GU113" s="3"/>
      <c r="GV113" s="3"/>
      <c r="GW113" s="3"/>
      <c r="GX113" s="3"/>
      <c r="GY113" s="3"/>
      <c r="GZ113" s="3"/>
      <c r="HA113" s="3"/>
      <c r="HB113" s="3"/>
      <c r="HC113" s="3"/>
      <c r="HD113" s="3"/>
      <c r="HE113" s="3"/>
      <c r="HF113" s="3"/>
      <c r="HG113" s="3"/>
      <c r="HH113" s="3"/>
      <c r="HI113" s="3"/>
      <c r="HJ113" s="3"/>
      <c r="HK113" s="3"/>
      <c r="HL113" s="3"/>
      <c r="HM113" s="3"/>
      <c r="HN113" s="3"/>
      <c r="HO113" s="3"/>
      <c r="HP113" s="3"/>
      <c r="HQ113" s="3"/>
      <c r="HR113" s="3"/>
      <c r="HS113" s="3"/>
      <c r="HT113" s="3"/>
      <c r="HU113" s="3"/>
      <c r="HV113" s="3"/>
      <c r="HW113" s="3"/>
      <c r="HX113" s="3"/>
      <c r="HY113" s="3"/>
      <c r="HZ113" s="3"/>
      <c r="IA113" s="3"/>
      <c r="IB113" s="3"/>
      <c r="IC113" s="3"/>
      <c r="ID113" s="3"/>
      <c r="IE113" s="3"/>
      <c r="IF113" s="3"/>
      <c r="IG113" s="3"/>
      <c r="IH113" s="3"/>
      <c r="II113" s="3"/>
      <c r="IJ113" s="3"/>
      <c r="IK113" s="3"/>
      <c r="IL113" s="3"/>
      <c r="IM113" s="3"/>
      <c r="IN113" s="3"/>
      <c r="IO113" s="3"/>
      <c r="IP113" s="3"/>
      <c r="IQ113" s="3"/>
      <c r="IR113" s="3"/>
      <c r="IS113" s="3"/>
      <c r="IT113" s="3"/>
      <c r="IU113" s="3"/>
      <c r="IV113" s="3"/>
      <c r="IW113" s="3"/>
      <c r="IX113" s="3"/>
      <c r="IY113" s="3"/>
      <c r="IZ113" s="3"/>
      <c r="JA113" s="3"/>
      <c r="JB113" s="3"/>
      <c r="JC113" s="3"/>
      <c r="JD113" s="3"/>
      <c r="JE113" s="3"/>
      <c r="JF113" s="3"/>
      <c r="JG113" s="3"/>
      <c r="JH113" s="3"/>
      <c r="JI113" s="3"/>
      <c r="JJ113" s="3"/>
      <c r="JK113" s="3"/>
      <c r="JL113" s="3"/>
      <c r="JM113" s="3"/>
      <c r="JN113" s="3"/>
      <c r="JO113" s="3"/>
      <c r="JP113" s="3"/>
      <c r="JQ113" s="3"/>
      <c r="JR113" s="3"/>
      <c r="JS113" s="3"/>
      <c r="JT113" s="3"/>
      <c r="JU113" s="3"/>
      <c r="JV113" s="3"/>
      <c r="JW113" s="3"/>
      <c r="JX113" s="3"/>
      <c r="JY113" s="3"/>
      <c r="JZ113" s="3"/>
      <c r="KA113" s="3"/>
      <c r="KB113" s="3"/>
      <c r="KC113" s="3"/>
      <c r="KD113" s="3"/>
      <c r="KE113" s="3"/>
      <c r="KF113" s="3"/>
      <c r="KG113" s="3"/>
      <c r="KH113" s="3"/>
      <c r="KI113" s="3"/>
      <c r="KJ113" s="3"/>
      <c r="KK113" s="3"/>
      <c r="KL113" s="3"/>
      <c r="KM113" s="3"/>
      <c r="KN113" s="3"/>
      <c r="KO113" s="3"/>
      <c r="KP113" s="3"/>
      <c r="KQ113" s="3"/>
      <c r="KR113" s="3"/>
      <c r="KS113" s="3"/>
      <c r="KT113" s="3"/>
      <c r="KU113" s="3"/>
      <c r="KV113" s="3"/>
      <c r="KW113" s="3"/>
      <c r="KX113" s="3"/>
      <c r="KY113" s="3"/>
      <c r="KZ113" s="3"/>
      <c r="LA113" s="3"/>
      <c r="LB113" s="3"/>
      <c r="LC113" s="3"/>
      <c r="LD113" s="3"/>
      <c r="LE113" s="3"/>
      <c r="LF113" s="3"/>
      <c r="LG113" s="3"/>
      <c r="LH113" s="3"/>
      <c r="LI113" s="3"/>
      <c r="LJ113" s="3"/>
      <c r="LK113" s="3"/>
      <c r="LL113" s="3"/>
      <c r="LM113" s="3"/>
      <c r="LN113" s="3"/>
      <c r="LO113" s="3"/>
      <c r="LP113" s="3"/>
      <c r="LQ113" s="3"/>
      <c r="LR113" s="3"/>
      <c r="LS113" s="3"/>
      <c r="LT113" s="3"/>
      <c r="LU113" s="3"/>
      <c r="LV113" s="3"/>
      <c r="LW113" s="3"/>
      <c r="LX113" s="3"/>
      <c r="LY113" s="3"/>
      <c r="LZ113" s="3"/>
      <c r="MA113" s="3"/>
      <c r="MB113" s="3"/>
      <c r="MC113" s="3"/>
      <c r="MD113" s="3"/>
      <c r="ME113" s="3"/>
      <c r="MF113" s="3"/>
      <c r="MG113" s="3"/>
      <c r="MH113" s="3"/>
      <c r="MI113" s="3"/>
      <c r="MJ113" s="3"/>
      <c r="MK113" s="3"/>
      <c r="ML113" s="3"/>
      <c r="MM113" s="3"/>
      <c r="MN113" s="3"/>
      <c r="MO113" s="3"/>
      <c r="MP113" s="3"/>
      <c r="MQ113" s="3"/>
      <c r="MR113" s="3"/>
      <c r="MS113" s="3"/>
      <c r="MT113" s="3"/>
      <c r="MU113" s="3"/>
      <c r="MV113" s="3"/>
      <c r="MW113" s="3"/>
      <c r="MX113" s="3"/>
      <c r="MY113" s="3"/>
      <c r="MZ113" s="3"/>
      <c r="NA113" s="3"/>
      <c r="NB113" s="3"/>
      <c r="NC113" s="3"/>
      <c r="ND113" s="3"/>
      <c r="NE113" s="3"/>
      <c r="NF113" s="3"/>
      <c r="NG113" s="3"/>
      <c r="NH113" s="3"/>
      <c r="NI113" s="3"/>
      <c r="NJ113" s="3"/>
      <c r="NK113" s="3"/>
      <c r="NL113" s="3"/>
      <c r="NM113" s="3"/>
      <c r="NN113" s="3"/>
      <c r="NO113" s="3"/>
      <c r="NP113" s="3"/>
      <c r="NQ113" s="3"/>
      <c r="NR113" s="3"/>
      <c r="NS113" s="3"/>
      <c r="NT113" s="3"/>
      <c r="NU113" s="3"/>
      <c r="NV113" s="3"/>
      <c r="NW113" s="3"/>
      <c r="NX113" s="3"/>
      <c r="NY113" s="3"/>
      <c r="NZ113" s="3"/>
      <c r="OA113" s="3"/>
      <c r="OB113" s="3"/>
      <c r="OC113" s="3"/>
      <c r="OD113" s="3"/>
      <c r="OE113" s="3"/>
      <c r="OF113" s="3"/>
      <c r="OG113" s="3"/>
      <c r="OH113" s="3"/>
      <c r="OI113" s="3"/>
      <c r="OJ113" s="3"/>
      <c r="OK113" s="3"/>
      <c r="OL113" s="3"/>
      <c r="OM113" s="3"/>
      <c r="ON113" s="3"/>
      <c r="OO113" s="3"/>
      <c r="OP113" s="3"/>
      <c r="OQ113" s="3"/>
      <c r="OR113" s="3"/>
      <c r="OS113" s="3"/>
      <c r="OT113" s="3"/>
      <c r="OU113" s="3"/>
      <c r="OV113" s="3"/>
      <c r="OW113" s="3"/>
      <c r="OX113" s="3"/>
      <c r="OY113" s="3"/>
      <c r="OZ113" s="3"/>
      <c r="PA113" s="3"/>
      <c r="PB113" s="3"/>
      <c r="PC113" s="3"/>
      <c r="PD113" s="3"/>
      <c r="PE113" s="3"/>
      <c r="PF113" s="3"/>
      <c r="PG113" s="3"/>
      <c r="PH113" s="3"/>
      <c r="PI113" s="3"/>
      <c r="PJ113" s="3"/>
      <c r="PK113" s="3"/>
      <c r="PL113" s="3"/>
      <c r="PM113" s="3"/>
      <c r="PN113" s="3"/>
      <c r="PO113" s="3"/>
      <c r="PP113" s="3"/>
      <c r="PQ113" s="3"/>
      <c r="PR113" s="3"/>
      <c r="PS113" s="3"/>
      <c r="PT113" s="3"/>
      <c r="PU113" s="3"/>
      <c r="PV113" s="3"/>
      <c r="PW113" s="3"/>
      <c r="PX113" s="3"/>
      <c r="PY113" s="3"/>
      <c r="PZ113" s="3"/>
      <c r="QA113" s="3"/>
      <c r="QB113" s="3"/>
      <c r="QC113" s="3"/>
      <c r="QD113" s="3"/>
      <c r="QE113" s="3"/>
      <c r="QF113" s="3"/>
      <c r="QG113" s="3"/>
      <c r="QH113" s="3"/>
      <c r="QI113" s="3"/>
      <c r="QJ113" s="3"/>
      <c r="QK113" s="3"/>
      <c r="QL113" s="3"/>
      <c r="QM113" s="3"/>
      <c r="QN113" s="3"/>
      <c r="QO113" s="3"/>
      <c r="QP113" s="3"/>
      <c r="QQ113" s="3"/>
      <c r="QR113" s="3"/>
      <c r="QS113" s="3"/>
      <c r="QT113" s="3"/>
      <c r="QU113" s="3"/>
      <c r="QV113" s="3"/>
      <c r="QW113" s="3"/>
      <c r="QX113" s="3"/>
      <c r="QY113" s="3"/>
      <c r="QZ113" s="3"/>
      <c r="RA113" s="3"/>
      <c r="RB113" s="3"/>
      <c r="RC113" s="3"/>
      <c r="RD113" s="3"/>
      <c r="RE113" s="3"/>
      <c r="RF113" s="3"/>
      <c r="RG113" s="3"/>
      <c r="RH113" s="3"/>
      <c r="RI113" s="3"/>
      <c r="RJ113" s="3"/>
      <c r="RK113" s="3"/>
      <c r="RL113" s="3"/>
      <c r="RM113" s="3"/>
      <c r="RN113" s="3"/>
      <c r="RO113" s="3"/>
      <c r="RP113" s="3"/>
      <c r="RQ113" s="3"/>
      <c r="RR113" s="3"/>
      <c r="RS113" s="3"/>
      <c r="RT113" s="3"/>
      <c r="RU113" s="3"/>
      <c r="RV113" s="3"/>
      <c r="RW113" s="3"/>
      <c r="RX113" s="3"/>
      <c r="RY113" s="3"/>
      <c r="RZ113" s="3"/>
      <c r="SA113" s="3"/>
      <c r="SB113" s="3"/>
      <c r="SC113" s="3"/>
      <c r="SD113" s="3"/>
      <c r="SE113" s="3"/>
      <c r="SF113" s="3"/>
      <c r="SG113" s="3"/>
      <c r="SH113" s="3"/>
      <c r="SI113" s="3"/>
      <c r="SJ113" s="3"/>
      <c r="SK113" s="3"/>
      <c r="SL113" s="3"/>
      <c r="SM113" s="3"/>
      <c r="SN113" s="3"/>
      <c r="SO113" s="3"/>
      <c r="SP113" s="3"/>
      <c r="SQ113" s="3"/>
      <c r="SR113" s="3"/>
      <c r="SS113" s="3"/>
      <c r="ST113" s="3"/>
      <c r="SU113" s="3"/>
      <c r="SV113" s="3"/>
      <c r="SW113" s="3"/>
      <c r="SX113" s="3"/>
      <c r="SY113" s="3"/>
      <c r="SZ113" s="3"/>
      <c r="TA113" s="3"/>
      <c r="TB113" s="3"/>
      <c r="TC113" s="3"/>
      <c r="TD113" s="3"/>
      <c r="TE113" s="3"/>
      <c r="TF113" s="3"/>
      <c r="TG113" s="3"/>
      <c r="TH113" s="3"/>
      <c r="TI113" s="3"/>
      <c r="TJ113" s="3"/>
      <c r="TK113" s="3"/>
      <c r="TL113" s="3"/>
      <c r="TM113" s="3"/>
      <c r="TN113" s="3"/>
      <c r="TO113" s="3"/>
      <c r="TP113" s="3"/>
      <c r="TQ113" s="3"/>
      <c r="TR113" s="3"/>
      <c r="TS113" s="3"/>
      <c r="TT113" s="3"/>
      <c r="TU113" s="3"/>
      <c r="TV113" s="3"/>
      <c r="TW113" s="3"/>
      <c r="TX113" s="3"/>
      <c r="TY113" s="3"/>
      <c r="TZ113" s="3"/>
      <c r="UA113" s="3"/>
      <c r="UB113" s="3"/>
      <c r="UC113" s="3"/>
      <c r="UD113" s="3"/>
      <c r="UE113" s="3"/>
      <c r="UF113" s="3"/>
      <c r="UG113" s="3"/>
      <c r="UH113" s="3"/>
      <c r="UI113" s="3"/>
      <c r="UJ113" s="3"/>
      <c r="UK113" s="3"/>
      <c r="UL113" s="3"/>
      <c r="UM113" s="3"/>
      <c r="UN113" s="3"/>
      <c r="UO113" s="3"/>
      <c r="UP113" s="3"/>
      <c r="UQ113" s="3"/>
      <c r="UR113" s="3"/>
      <c r="US113" s="3"/>
      <c r="UT113" s="3"/>
      <c r="UU113" s="3"/>
      <c r="UV113" s="3"/>
      <c r="UW113" s="3"/>
      <c r="UX113" s="3"/>
      <c r="UY113" s="3"/>
      <c r="UZ113" s="3"/>
      <c r="VA113" s="3"/>
      <c r="VB113" s="3"/>
      <c r="VC113" s="3"/>
      <c r="VD113" s="3"/>
      <c r="VE113" s="3"/>
      <c r="VF113" s="3"/>
      <c r="VG113" s="3"/>
      <c r="VH113" s="3"/>
      <c r="VI113" s="3"/>
      <c r="VJ113" s="3"/>
      <c r="VK113" s="3"/>
      <c r="VL113" s="3"/>
      <c r="VM113" s="3"/>
      <c r="VN113" s="3"/>
      <c r="VO113" s="3"/>
      <c r="VP113" s="3"/>
      <c r="VQ113" s="3"/>
      <c r="VR113" s="3"/>
      <c r="VS113" s="3"/>
      <c r="VT113" s="3"/>
      <c r="VU113" s="3"/>
      <c r="VV113" s="3"/>
      <c r="VW113" s="3"/>
      <c r="VX113" s="3"/>
      <c r="VY113" s="3"/>
      <c r="VZ113" s="3"/>
      <c r="WA113" s="3"/>
      <c r="WB113" s="3"/>
      <c r="WC113" s="3"/>
      <c r="WD113" s="3"/>
      <c r="WE113" s="3"/>
      <c r="WF113" s="3"/>
      <c r="WG113" s="3"/>
      <c r="WH113" s="3"/>
      <c r="WI113" s="3"/>
      <c r="WJ113" s="3"/>
      <c r="WK113" s="3"/>
      <c r="WL113" s="3"/>
      <c r="WM113" s="3"/>
      <c r="WN113" s="3"/>
      <c r="WO113" s="3"/>
      <c r="WP113" s="3"/>
      <c r="WQ113" s="3"/>
      <c r="WR113" s="3"/>
      <c r="WS113" s="3"/>
      <c r="WT113" s="3"/>
      <c r="WU113" s="3"/>
      <c r="WV113" s="3"/>
      <c r="WW113" s="3"/>
      <c r="WX113" s="3"/>
      <c r="WY113" s="3"/>
      <c r="WZ113" s="3"/>
      <c r="XA113" s="3"/>
      <c r="XB113" s="3"/>
      <c r="XC113" s="3"/>
      <c r="XD113" s="3"/>
      <c r="XE113" s="3"/>
      <c r="XF113" s="3"/>
      <c r="XG113" s="3"/>
      <c r="XH113" s="3"/>
      <c r="XI113" s="3"/>
      <c r="XJ113" s="3"/>
      <c r="XK113" s="3"/>
      <c r="XL113" s="3"/>
      <c r="XM113" s="3"/>
      <c r="XN113" s="3"/>
      <c r="XO113" s="3"/>
      <c r="XP113" s="3"/>
      <c r="XQ113" s="3"/>
      <c r="XR113" s="3"/>
      <c r="XS113" s="3"/>
      <c r="XT113" s="3"/>
      <c r="XU113" s="3"/>
      <c r="XV113" s="3"/>
      <c r="XW113" s="3"/>
      <c r="XX113" s="3"/>
      <c r="XY113" s="3"/>
      <c r="XZ113" s="3"/>
      <c r="YA113" s="3"/>
      <c r="YB113" s="3"/>
      <c r="YC113" s="3"/>
      <c r="YD113" s="3"/>
      <c r="YE113" s="3"/>
      <c r="YF113" s="3"/>
      <c r="YG113" s="3"/>
      <c r="YH113" s="3"/>
      <c r="YI113" s="3"/>
      <c r="YJ113" s="3"/>
      <c r="YK113" s="3"/>
      <c r="YL113" s="3"/>
      <c r="YM113" s="3"/>
      <c r="YN113" s="3"/>
      <c r="YO113" s="3"/>
      <c r="YP113" s="3"/>
      <c r="YQ113" s="3"/>
      <c r="YR113" s="3"/>
      <c r="YS113" s="3"/>
      <c r="YT113" s="3"/>
      <c r="YU113" s="3"/>
      <c r="YV113" s="3"/>
      <c r="YW113" s="3"/>
      <c r="YX113" s="3"/>
      <c r="YY113" s="3"/>
      <c r="YZ113" s="3"/>
      <c r="ZA113" s="3"/>
      <c r="ZB113" s="3"/>
      <c r="ZC113" s="3"/>
    </row>
    <row r="114" spans="1:679" s="2" customFormat="1" x14ac:dyDescent="0.45">
      <c r="A114" s="3" t="s">
        <v>11</v>
      </c>
      <c r="B114" s="4">
        <v>33571</v>
      </c>
      <c r="C114" s="7" t="s">
        <v>25</v>
      </c>
      <c r="D114" s="6" t="s">
        <v>129</v>
      </c>
      <c r="E114" s="3"/>
      <c r="F114" s="3">
        <v>11</v>
      </c>
      <c r="L114" s="3"/>
      <c r="M114" s="3"/>
      <c r="N114" s="48"/>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c r="DO114" s="3"/>
      <c r="DP114" s="3"/>
      <c r="DQ114" s="3"/>
      <c r="DR114" s="3"/>
      <c r="DS114" s="3"/>
      <c r="DT114" s="3"/>
      <c r="DU114" s="3"/>
      <c r="DV114" s="3"/>
      <c r="DW114" s="3"/>
      <c r="DX114" s="3"/>
      <c r="DY114" s="3"/>
      <c r="DZ114" s="3"/>
      <c r="EA114" s="3"/>
      <c r="EB114" s="3"/>
      <c r="EC114" s="3"/>
      <c r="ED114" s="3"/>
      <c r="EE114" s="3"/>
      <c r="EF114" s="3"/>
      <c r="EG114" s="3"/>
      <c r="EH114" s="3"/>
      <c r="EI114" s="3"/>
      <c r="EJ114" s="3"/>
      <c r="EK114" s="3"/>
      <c r="EL114" s="3"/>
      <c r="EM114" s="3"/>
      <c r="EN114" s="3"/>
      <c r="EO114" s="3"/>
      <c r="EP114" s="3"/>
      <c r="EQ114" s="3"/>
      <c r="ER114" s="3"/>
      <c r="ES114" s="3"/>
      <c r="ET114" s="3"/>
      <c r="EU114" s="3"/>
      <c r="EV114" s="3"/>
      <c r="EW114" s="3"/>
      <c r="EX114" s="3"/>
      <c r="EY114" s="3"/>
      <c r="EZ114" s="3"/>
      <c r="FA114" s="3"/>
      <c r="FB114" s="3"/>
      <c r="FC114" s="3"/>
      <c r="FD114" s="3"/>
      <c r="FE114" s="3"/>
      <c r="FF114" s="3"/>
      <c r="FG114" s="3"/>
      <c r="FH114" s="3"/>
      <c r="FI114" s="3"/>
      <c r="FJ114" s="3"/>
      <c r="FK114" s="3"/>
      <c r="FL114" s="3"/>
      <c r="FM114" s="3"/>
      <c r="FN114" s="3"/>
      <c r="FO114" s="3"/>
      <c r="FP114" s="3"/>
      <c r="FQ114" s="3"/>
      <c r="FR114" s="3"/>
      <c r="FS114" s="3"/>
      <c r="FT114" s="3"/>
      <c r="FU114" s="3"/>
      <c r="FV114" s="3"/>
      <c r="FW114" s="3"/>
      <c r="FX114" s="3"/>
      <c r="FY114" s="3"/>
      <c r="FZ114" s="3"/>
      <c r="GA114" s="3"/>
      <c r="GB114" s="3"/>
      <c r="GC114" s="3"/>
      <c r="GD114" s="3"/>
      <c r="GE114" s="3"/>
      <c r="GF114" s="3"/>
      <c r="GG114" s="3"/>
      <c r="GH114" s="3"/>
      <c r="GI114" s="3"/>
      <c r="GJ114" s="3"/>
      <c r="GK114" s="3"/>
      <c r="GL114" s="3"/>
      <c r="GM114" s="3"/>
      <c r="GN114" s="3"/>
      <c r="GO114" s="3"/>
      <c r="GP114" s="3"/>
      <c r="GQ114" s="3"/>
      <c r="GR114" s="3"/>
      <c r="GS114" s="3"/>
      <c r="GT114" s="3"/>
      <c r="GU114" s="3"/>
      <c r="GV114" s="3"/>
      <c r="GW114" s="3"/>
      <c r="GX114" s="3"/>
      <c r="GY114" s="3"/>
      <c r="GZ114" s="3"/>
      <c r="HA114" s="3"/>
      <c r="HB114" s="3"/>
      <c r="HC114" s="3"/>
      <c r="HD114" s="3"/>
      <c r="HE114" s="3"/>
      <c r="HF114" s="3"/>
      <c r="HG114" s="3"/>
      <c r="HH114" s="3"/>
      <c r="HI114" s="3"/>
      <c r="HJ114" s="3"/>
      <c r="HK114" s="3"/>
      <c r="HL114" s="3"/>
      <c r="HM114" s="3"/>
      <c r="HN114" s="3"/>
      <c r="HO114" s="3"/>
      <c r="HP114" s="3"/>
      <c r="HQ114" s="3"/>
      <c r="HR114" s="3"/>
      <c r="HS114" s="3"/>
      <c r="HT114" s="3"/>
      <c r="HU114" s="3"/>
      <c r="HV114" s="3"/>
      <c r="HW114" s="3"/>
      <c r="HX114" s="3"/>
      <c r="HY114" s="3"/>
      <c r="HZ114" s="3"/>
      <c r="IA114" s="3"/>
      <c r="IB114" s="3"/>
      <c r="IC114" s="3"/>
      <c r="ID114" s="3"/>
      <c r="IE114" s="3"/>
      <c r="IF114" s="3"/>
      <c r="IG114" s="3"/>
      <c r="IH114" s="3"/>
      <c r="II114" s="3"/>
      <c r="IJ114" s="3"/>
      <c r="IK114" s="3"/>
      <c r="IL114" s="3"/>
      <c r="IM114" s="3"/>
      <c r="IN114" s="3"/>
      <c r="IO114" s="3"/>
      <c r="IP114" s="3"/>
      <c r="IQ114" s="3"/>
      <c r="IR114" s="3"/>
      <c r="IS114" s="3"/>
      <c r="IT114" s="3"/>
      <c r="IU114" s="3"/>
      <c r="IV114" s="3"/>
      <c r="IW114" s="3"/>
      <c r="IX114" s="3"/>
      <c r="IY114" s="3"/>
      <c r="IZ114" s="3"/>
      <c r="JA114" s="3"/>
      <c r="JB114" s="3"/>
      <c r="JC114" s="3"/>
      <c r="JD114" s="3"/>
      <c r="JE114" s="3"/>
      <c r="JF114" s="3"/>
      <c r="JG114" s="3"/>
      <c r="JH114" s="3"/>
      <c r="JI114" s="3"/>
      <c r="JJ114" s="3"/>
      <c r="JK114" s="3"/>
      <c r="JL114" s="3"/>
      <c r="JM114" s="3"/>
      <c r="JN114" s="3"/>
      <c r="JO114" s="3"/>
      <c r="JP114" s="3"/>
      <c r="JQ114" s="3"/>
      <c r="JR114" s="3"/>
      <c r="JS114" s="3"/>
      <c r="JT114" s="3"/>
      <c r="JU114" s="3"/>
      <c r="JV114" s="3"/>
      <c r="JW114" s="3"/>
      <c r="JX114" s="3"/>
      <c r="JY114" s="3"/>
      <c r="JZ114" s="3"/>
      <c r="KA114" s="3"/>
      <c r="KB114" s="3"/>
      <c r="KC114" s="3"/>
      <c r="KD114" s="3"/>
      <c r="KE114" s="3"/>
      <c r="KF114" s="3"/>
      <c r="KG114" s="3"/>
      <c r="KH114" s="3"/>
      <c r="KI114" s="3"/>
      <c r="KJ114" s="3"/>
      <c r="KK114" s="3"/>
      <c r="KL114" s="3"/>
      <c r="KM114" s="3"/>
      <c r="KN114" s="3"/>
      <c r="KO114" s="3"/>
      <c r="KP114" s="3"/>
      <c r="KQ114" s="3"/>
      <c r="KR114" s="3"/>
      <c r="KS114" s="3"/>
      <c r="KT114" s="3"/>
      <c r="KU114" s="3"/>
      <c r="KV114" s="3"/>
      <c r="KW114" s="3"/>
      <c r="KX114" s="3"/>
      <c r="KY114" s="3"/>
      <c r="KZ114" s="3"/>
      <c r="LA114" s="3"/>
      <c r="LB114" s="3"/>
      <c r="LC114" s="3"/>
      <c r="LD114" s="3"/>
      <c r="LE114" s="3"/>
      <c r="LF114" s="3"/>
      <c r="LG114" s="3"/>
      <c r="LH114" s="3"/>
      <c r="LI114" s="3"/>
      <c r="LJ114" s="3"/>
      <c r="LK114" s="3"/>
      <c r="LL114" s="3"/>
      <c r="LM114" s="3"/>
      <c r="LN114" s="3"/>
      <c r="LO114" s="3"/>
      <c r="LP114" s="3"/>
      <c r="LQ114" s="3"/>
      <c r="LR114" s="3"/>
      <c r="LS114" s="3"/>
      <c r="LT114" s="3"/>
      <c r="LU114" s="3"/>
      <c r="LV114" s="3"/>
      <c r="LW114" s="3"/>
      <c r="LX114" s="3"/>
      <c r="LY114" s="3"/>
      <c r="LZ114" s="3"/>
      <c r="MA114" s="3"/>
      <c r="MB114" s="3"/>
      <c r="MC114" s="3"/>
      <c r="MD114" s="3"/>
      <c r="ME114" s="3"/>
      <c r="MF114" s="3"/>
      <c r="MG114" s="3"/>
      <c r="MH114" s="3"/>
      <c r="MI114" s="3"/>
      <c r="MJ114" s="3"/>
      <c r="MK114" s="3"/>
      <c r="ML114" s="3"/>
      <c r="MM114" s="3"/>
      <c r="MN114" s="3"/>
      <c r="MO114" s="3"/>
      <c r="MP114" s="3"/>
      <c r="MQ114" s="3"/>
      <c r="MR114" s="3"/>
      <c r="MS114" s="3"/>
      <c r="MT114" s="3"/>
      <c r="MU114" s="3"/>
      <c r="MV114" s="3"/>
      <c r="MW114" s="3"/>
      <c r="MX114" s="3"/>
      <c r="MY114" s="3"/>
      <c r="MZ114" s="3"/>
      <c r="NA114" s="3"/>
      <c r="NB114" s="3"/>
      <c r="NC114" s="3"/>
      <c r="ND114" s="3"/>
      <c r="NE114" s="3"/>
      <c r="NF114" s="3"/>
      <c r="NG114" s="3"/>
      <c r="NH114" s="3"/>
      <c r="NI114" s="3"/>
      <c r="NJ114" s="3"/>
      <c r="NK114" s="3"/>
      <c r="NL114" s="3"/>
      <c r="NM114" s="3"/>
      <c r="NN114" s="3"/>
      <c r="NO114" s="3"/>
      <c r="NP114" s="3"/>
      <c r="NQ114" s="3"/>
      <c r="NR114" s="3"/>
      <c r="NS114" s="3"/>
      <c r="NT114" s="3"/>
      <c r="NU114" s="3"/>
      <c r="NV114" s="3"/>
      <c r="NW114" s="3"/>
      <c r="NX114" s="3"/>
      <c r="NY114" s="3"/>
      <c r="NZ114" s="3"/>
      <c r="OA114" s="3"/>
      <c r="OB114" s="3"/>
      <c r="OC114" s="3"/>
      <c r="OD114" s="3"/>
      <c r="OE114" s="3"/>
      <c r="OF114" s="3"/>
      <c r="OG114" s="3"/>
      <c r="OH114" s="3"/>
      <c r="OI114" s="3"/>
      <c r="OJ114" s="3"/>
      <c r="OK114" s="3"/>
      <c r="OL114" s="3"/>
      <c r="OM114" s="3"/>
      <c r="ON114" s="3"/>
      <c r="OO114" s="3"/>
      <c r="OP114" s="3"/>
      <c r="OQ114" s="3"/>
      <c r="OR114" s="3"/>
      <c r="OS114" s="3"/>
      <c r="OT114" s="3"/>
      <c r="OU114" s="3"/>
      <c r="OV114" s="3"/>
      <c r="OW114" s="3"/>
      <c r="OX114" s="3"/>
      <c r="OY114" s="3"/>
      <c r="OZ114" s="3"/>
      <c r="PA114" s="3"/>
      <c r="PB114" s="3"/>
      <c r="PC114" s="3"/>
      <c r="PD114" s="3"/>
      <c r="PE114" s="3"/>
      <c r="PF114" s="3"/>
      <c r="PG114" s="3"/>
      <c r="PH114" s="3"/>
      <c r="PI114" s="3"/>
      <c r="PJ114" s="3"/>
      <c r="PK114" s="3"/>
      <c r="PL114" s="3"/>
      <c r="PM114" s="3"/>
      <c r="PN114" s="3"/>
      <c r="PO114" s="3"/>
      <c r="PP114" s="3"/>
      <c r="PQ114" s="3"/>
      <c r="PR114" s="3"/>
      <c r="PS114" s="3"/>
      <c r="PT114" s="3"/>
      <c r="PU114" s="3"/>
      <c r="PV114" s="3"/>
      <c r="PW114" s="3"/>
      <c r="PX114" s="3"/>
      <c r="PY114" s="3"/>
      <c r="PZ114" s="3"/>
      <c r="QA114" s="3"/>
      <c r="QB114" s="3"/>
      <c r="QC114" s="3"/>
      <c r="QD114" s="3"/>
      <c r="QE114" s="3"/>
      <c r="QF114" s="3"/>
      <c r="QG114" s="3"/>
      <c r="QH114" s="3"/>
      <c r="QI114" s="3"/>
      <c r="QJ114" s="3"/>
      <c r="QK114" s="3"/>
      <c r="QL114" s="3"/>
      <c r="QM114" s="3"/>
      <c r="QN114" s="3"/>
      <c r="QO114" s="3"/>
      <c r="QP114" s="3"/>
      <c r="QQ114" s="3"/>
      <c r="QR114" s="3"/>
      <c r="QS114" s="3"/>
      <c r="QT114" s="3"/>
      <c r="QU114" s="3"/>
      <c r="QV114" s="3"/>
      <c r="QW114" s="3"/>
      <c r="QX114" s="3"/>
      <c r="QY114" s="3"/>
      <c r="QZ114" s="3"/>
      <c r="RA114" s="3"/>
      <c r="RB114" s="3"/>
      <c r="RC114" s="3"/>
      <c r="RD114" s="3"/>
      <c r="RE114" s="3"/>
      <c r="RF114" s="3"/>
      <c r="RG114" s="3"/>
      <c r="RH114" s="3"/>
      <c r="RI114" s="3"/>
      <c r="RJ114" s="3"/>
      <c r="RK114" s="3"/>
      <c r="RL114" s="3"/>
      <c r="RM114" s="3"/>
      <c r="RN114" s="3"/>
      <c r="RO114" s="3"/>
      <c r="RP114" s="3"/>
      <c r="RQ114" s="3"/>
      <c r="RR114" s="3"/>
      <c r="RS114" s="3"/>
      <c r="RT114" s="3"/>
      <c r="RU114" s="3"/>
      <c r="RV114" s="3"/>
      <c r="RW114" s="3"/>
      <c r="RX114" s="3"/>
      <c r="RY114" s="3"/>
      <c r="RZ114" s="3"/>
      <c r="SA114" s="3"/>
      <c r="SB114" s="3"/>
      <c r="SC114" s="3"/>
      <c r="SD114" s="3"/>
      <c r="SE114" s="3"/>
      <c r="SF114" s="3"/>
      <c r="SG114" s="3"/>
      <c r="SH114" s="3"/>
      <c r="SI114" s="3"/>
      <c r="SJ114" s="3"/>
      <c r="SK114" s="3"/>
      <c r="SL114" s="3"/>
      <c r="SM114" s="3"/>
      <c r="SN114" s="3"/>
      <c r="SO114" s="3"/>
      <c r="SP114" s="3"/>
      <c r="SQ114" s="3"/>
      <c r="SR114" s="3"/>
      <c r="SS114" s="3"/>
      <c r="ST114" s="3"/>
      <c r="SU114" s="3"/>
      <c r="SV114" s="3"/>
      <c r="SW114" s="3"/>
      <c r="SX114" s="3"/>
      <c r="SY114" s="3"/>
      <c r="SZ114" s="3"/>
      <c r="TA114" s="3"/>
      <c r="TB114" s="3"/>
      <c r="TC114" s="3"/>
      <c r="TD114" s="3"/>
      <c r="TE114" s="3"/>
      <c r="TF114" s="3"/>
      <c r="TG114" s="3"/>
      <c r="TH114" s="3"/>
      <c r="TI114" s="3"/>
      <c r="TJ114" s="3"/>
      <c r="TK114" s="3"/>
      <c r="TL114" s="3"/>
      <c r="TM114" s="3"/>
      <c r="TN114" s="3"/>
      <c r="TO114" s="3"/>
      <c r="TP114" s="3"/>
      <c r="TQ114" s="3"/>
      <c r="TR114" s="3"/>
      <c r="TS114" s="3"/>
      <c r="TT114" s="3"/>
      <c r="TU114" s="3"/>
      <c r="TV114" s="3"/>
      <c r="TW114" s="3"/>
      <c r="TX114" s="3"/>
      <c r="TY114" s="3"/>
      <c r="TZ114" s="3"/>
      <c r="UA114" s="3"/>
      <c r="UB114" s="3"/>
      <c r="UC114" s="3"/>
      <c r="UD114" s="3"/>
      <c r="UE114" s="3"/>
      <c r="UF114" s="3"/>
      <c r="UG114" s="3"/>
      <c r="UH114" s="3"/>
      <c r="UI114" s="3"/>
      <c r="UJ114" s="3"/>
      <c r="UK114" s="3"/>
      <c r="UL114" s="3"/>
      <c r="UM114" s="3"/>
      <c r="UN114" s="3"/>
      <c r="UO114" s="3"/>
      <c r="UP114" s="3"/>
      <c r="UQ114" s="3"/>
      <c r="UR114" s="3"/>
      <c r="US114" s="3"/>
      <c r="UT114" s="3"/>
      <c r="UU114" s="3"/>
      <c r="UV114" s="3"/>
      <c r="UW114" s="3"/>
      <c r="UX114" s="3"/>
      <c r="UY114" s="3"/>
      <c r="UZ114" s="3"/>
      <c r="VA114" s="3"/>
      <c r="VB114" s="3"/>
      <c r="VC114" s="3"/>
      <c r="VD114" s="3"/>
      <c r="VE114" s="3"/>
      <c r="VF114" s="3"/>
      <c r="VG114" s="3"/>
      <c r="VH114" s="3"/>
      <c r="VI114" s="3"/>
      <c r="VJ114" s="3"/>
      <c r="VK114" s="3"/>
      <c r="VL114" s="3"/>
      <c r="VM114" s="3"/>
      <c r="VN114" s="3"/>
      <c r="VO114" s="3"/>
      <c r="VP114" s="3"/>
      <c r="VQ114" s="3"/>
      <c r="VR114" s="3"/>
      <c r="VS114" s="3"/>
      <c r="VT114" s="3"/>
      <c r="VU114" s="3"/>
      <c r="VV114" s="3"/>
      <c r="VW114" s="3"/>
      <c r="VX114" s="3"/>
      <c r="VY114" s="3"/>
      <c r="VZ114" s="3"/>
      <c r="WA114" s="3"/>
      <c r="WB114" s="3"/>
      <c r="WC114" s="3"/>
      <c r="WD114" s="3"/>
      <c r="WE114" s="3"/>
      <c r="WF114" s="3"/>
      <c r="WG114" s="3"/>
      <c r="WH114" s="3"/>
      <c r="WI114" s="3"/>
      <c r="WJ114" s="3"/>
      <c r="WK114" s="3"/>
      <c r="WL114" s="3"/>
      <c r="WM114" s="3"/>
      <c r="WN114" s="3"/>
      <c r="WO114" s="3"/>
      <c r="WP114" s="3"/>
      <c r="WQ114" s="3"/>
      <c r="WR114" s="3"/>
      <c r="WS114" s="3"/>
      <c r="WT114" s="3"/>
      <c r="WU114" s="3"/>
      <c r="WV114" s="3"/>
      <c r="WW114" s="3"/>
      <c r="WX114" s="3"/>
      <c r="WY114" s="3"/>
      <c r="WZ114" s="3"/>
      <c r="XA114" s="3"/>
      <c r="XB114" s="3"/>
      <c r="XC114" s="3"/>
      <c r="XD114" s="3"/>
      <c r="XE114" s="3"/>
      <c r="XF114" s="3"/>
      <c r="XG114" s="3"/>
      <c r="XH114" s="3"/>
      <c r="XI114" s="3"/>
      <c r="XJ114" s="3"/>
      <c r="XK114" s="3"/>
      <c r="XL114" s="3"/>
      <c r="XM114" s="3"/>
      <c r="XN114" s="3"/>
      <c r="XO114" s="3"/>
      <c r="XP114" s="3"/>
      <c r="XQ114" s="3"/>
      <c r="XR114" s="3"/>
      <c r="XS114" s="3"/>
      <c r="XT114" s="3"/>
      <c r="XU114" s="3"/>
      <c r="XV114" s="3"/>
      <c r="XW114" s="3"/>
      <c r="XX114" s="3"/>
      <c r="XY114" s="3"/>
      <c r="XZ114" s="3"/>
      <c r="YA114" s="3"/>
      <c r="YB114" s="3"/>
      <c r="YC114" s="3"/>
      <c r="YD114" s="3"/>
      <c r="YE114" s="3"/>
      <c r="YF114" s="3"/>
      <c r="YG114" s="3"/>
      <c r="YH114" s="3"/>
      <c r="YI114" s="3"/>
      <c r="YJ114" s="3"/>
      <c r="YK114" s="3"/>
      <c r="YL114" s="3"/>
      <c r="YM114" s="3"/>
      <c r="YN114" s="3"/>
      <c r="YO114" s="3"/>
      <c r="YP114" s="3"/>
      <c r="YQ114" s="3"/>
      <c r="YR114" s="3"/>
      <c r="YS114" s="3"/>
      <c r="YT114" s="3"/>
      <c r="YU114" s="3"/>
      <c r="YV114" s="3"/>
      <c r="YW114" s="3"/>
      <c r="YX114" s="3"/>
      <c r="YY114" s="3"/>
      <c r="YZ114" s="3"/>
      <c r="ZA114" s="3"/>
      <c r="ZB114" s="3"/>
      <c r="ZC114" s="3"/>
    </row>
    <row r="115" spans="1:679" s="2" customFormat="1" x14ac:dyDescent="0.45">
      <c r="A115" s="3" t="s">
        <v>11</v>
      </c>
      <c r="B115" s="4">
        <v>33584</v>
      </c>
      <c r="C115" s="5" t="s">
        <v>12</v>
      </c>
      <c r="D115" s="6" t="s">
        <v>130</v>
      </c>
      <c r="E115" s="3"/>
      <c r="F115" s="3">
        <v>2</v>
      </c>
      <c r="L115" s="3"/>
      <c r="M115" s="3"/>
      <c r="N115" s="48"/>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3"/>
      <c r="DI115" s="3"/>
      <c r="DJ115" s="3"/>
      <c r="DK115" s="3"/>
      <c r="DL115" s="3"/>
      <c r="DM115" s="3"/>
      <c r="DN115" s="3"/>
      <c r="DO115" s="3"/>
      <c r="DP115" s="3"/>
      <c r="DQ115" s="3"/>
      <c r="DR115" s="3"/>
      <c r="DS115" s="3"/>
      <c r="DT115" s="3"/>
      <c r="DU115" s="3"/>
      <c r="DV115" s="3"/>
      <c r="DW115" s="3"/>
      <c r="DX115" s="3"/>
      <c r="DY115" s="3"/>
      <c r="DZ115" s="3"/>
      <c r="EA115" s="3"/>
      <c r="EB115" s="3"/>
      <c r="EC115" s="3"/>
      <c r="ED115" s="3"/>
      <c r="EE115" s="3"/>
      <c r="EF115" s="3"/>
      <c r="EG115" s="3"/>
      <c r="EH115" s="3"/>
      <c r="EI115" s="3"/>
      <c r="EJ115" s="3"/>
      <c r="EK115" s="3"/>
      <c r="EL115" s="3"/>
      <c r="EM115" s="3"/>
      <c r="EN115" s="3"/>
      <c r="EO115" s="3"/>
      <c r="EP115" s="3"/>
      <c r="EQ115" s="3"/>
      <c r="ER115" s="3"/>
      <c r="ES115" s="3"/>
      <c r="ET115" s="3"/>
      <c r="EU115" s="3"/>
      <c r="EV115" s="3"/>
      <c r="EW115" s="3"/>
      <c r="EX115" s="3"/>
      <c r="EY115" s="3"/>
      <c r="EZ115" s="3"/>
      <c r="FA115" s="3"/>
      <c r="FB115" s="3"/>
      <c r="FC115" s="3"/>
      <c r="FD115" s="3"/>
      <c r="FE115" s="3"/>
      <c r="FF115" s="3"/>
      <c r="FG115" s="3"/>
      <c r="FH115" s="3"/>
      <c r="FI115" s="3"/>
      <c r="FJ115" s="3"/>
      <c r="FK115" s="3"/>
      <c r="FL115" s="3"/>
      <c r="FM115" s="3"/>
      <c r="FN115" s="3"/>
      <c r="FO115" s="3"/>
      <c r="FP115" s="3"/>
      <c r="FQ115" s="3"/>
      <c r="FR115" s="3"/>
      <c r="FS115" s="3"/>
      <c r="FT115" s="3"/>
      <c r="FU115" s="3"/>
      <c r="FV115" s="3"/>
      <c r="FW115" s="3"/>
      <c r="FX115" s="3"/>
      <c r="FY115" s="3"/>
      <c r="FZ115" s="3"/>
      <c r="GA115" s="3"/>
      <c r="GB115" s="3"/>
      <c r="GC115" s="3"/>
      <c r="GD115" s="3"/>
      <c r="GE115" s="3"/>
      <c r="GF115" s="3"/>
      <c r="GG115" s="3"/>
      <c r="GH115" s="3"/>
      <c r="GI115" s="3"/>
      <c r="GJ115" s="3"/>
      <c r="GK115" s="3"/>
      <c r="GL115" s="3"/>
      <c r="GM115" s="3"/>
      <c r="GN115" s="3"/>
      <c r="GO115" s="3"/>
      <c r="GP115" s="3"/>
      <c r="GQ115" s="3"/>
      <c r="GR115" s="3"/>
      <c r="GS115" s="3"/>
      <c r="GT115" s="3"/>
      <c r="GU115" s="3"/>
      <c r="GV115" s="3"/>
      <c r="GW115" s="3"/>
      <c r="GX115" s="3"/>
      <c r="GY115" s="3"/>
      <c r="GZ115" s="3"/>
      <c r="HA115" s="3"/>
      <c r="HB115" s="3"/>
      <c r="HC115" s="3"/>
      <c r="HD115" s="3"/>
      <c r="HE115" s="3"/>
      <c r="HF115" s="3"/>
      <c r="HG115" s="3"/>
      <c r="HH115" s="3"/>
      <c r="HI115" s="3"/>
      <c r="HJ115" s="3"/>
      <c r="HK115" s="3"/>
      <c r="HL115" s="3"/>
      <c r="HM115" s="3"/>
      <c r="HN115" s="3"/>
      <c r="HO115" s="3"/>
      <c r="HP115" s="3"/>
      <c r="HQ115" s="3"/>
      <c r="HR115" s="3"/>
      <c r="HS115" s="3"/>
      <c r="HT115" s="3"/>
      <c r="HU115" s="3"/>
      <c r="HV115" s="3"/>
      <c r="HW115" s="3"/>
      <c r="HX115" s="3"/>
      <c r="HY115" s="3"/>
      <c r="HZ115" s="3"/>
      <c r="IA115" s="3"/>
      <c r="IB115" s="3"/>
      <c r="IC115" s="3"/>
      <c r="ID115" s="3"/>
      <c r="IE115" s="3"/>
      <c r="IF115" s="3"/>
      <c r="IG115" s="3"/>
      <c r="IH115" s="3"/>
      <c r="II115" s="3"/>
      <c r="IJ115" s="3"/>
      <c r="IK115" s="3"/>
      <c r="IL115" s="3"/>
      <c r="IM115" s="3"/>
      <c r="IN115" s="3"/>
      <c r="IO115" s="3"/>
      <c r="IP115" s="3"/>
      <c r="IQ115" s="3"/>
      <c r="IR115" s="3"/>
      <c r="IS115" s="3"/>
      <c r="IT115" s="3"/>
      <c r="IU115" s="3"/>
      <c r="IV115" s="3"/>
      <c r="IW115" s="3"/>
      <c r="IX115" s="3"/>
      <c r="IY115" s="3"/>
      <c r="IZ115" s="3"/>
      <c r="JA115" s="3"/>
      <c r="JB115" s="3"/>
      <c r="JC115" s="3"/>
      <c r="JD115" s="3"/>
      <c r="JE115" s="3"/>
      <c r="JF115" s="3"/>
      <c r="JG115" s="3"/>
      <c r="JH115" s="3"/>
      <c r="JI115" s="3"/>
      <c r="JJ115" s="3"/>
      <c r="JK115" s="3"/>
      <c r="JL115" s="3"/>
      <c r="JM115" s="3"/>
      <c r="JN115" s="3"/>
      <c r="JO115" s="3"/>
      <c r="JP115" s="3"/>
      <c r="JQ115" s="3"/>
      <c r="JR115" s="3"/>
      <c r="JS115" s="3"/>
      <c r="JT115" s="3"/>
      <c r="JU115" s="3"/>
      <c r="JV115" s="3"/>
      <c r="JW115" s="3"/>
      <c r="JX115" s="3"/>
      <c r="JY115" s="3"/>
      <c r="JZ115" s="3"/>
      <c r="KA115" s="3"/>
      <c r="KB115" s="3"/>
      <c r="KC115" s="3"/>
      <c r="KD115" s="3"/>
      <c r="KE115" s="3"/>
      <c r="KF115" s="3"/>
      <c r="KG115" s="3"/>
      <c r="KH115" s="3"/>
      <c r="KI115" s="3"/>
      <c r="KJ115" s="3"/>
      <c r="KK115" s="3"/>
      <c r="KL115" s="3"/>
      <c r="KM115" s="3"/>
      <c r="KN115" s="3"/>
      <c r="KO115" s="3"/>
      <c r="KP115" s="3"/>
      <c r="KQ115" s="3"/>
      <c r="KR115" s="3"/>
      <c r="KS115" s="3"/>
      <c r="KT115" s="3"/>
      <c r="KU115" s="3"/>
      <c r="KV115" s="3"/>
      <c r="KW115" s="3"/>
      <c r="KX115" s="3"/>
      <c r="KY115" s="3"/>
      <c r="KZ115" s="3"/>
      <c r="LA115" s="3"/>
      <c r="LB115" s="3"/>
      <c r="LC115" s="3"/>
      <c r="LD115" s="3"/>
      <c r="LE115" s="3"/>
      <c r="LF115" s="3"/>
      <c r="LG115" s="3"/>
      <c r="LH115" s="3"/>
      <c r="LI115" s="3"/>
      <c r="LJ115" s="3"/>
      <c r="LK115" s="3"/>
      <c r="LL115" s="3"/>
      <c r="LM115" s="3"/>
      <c r="LN115" s="3"/>
      <c r="LO115" s="3"/>
      <c r="LP115" s="3"/>
      <c r="LQ115" s="3"/>
      <c r="LR115" s="3"/>
      <c r="LS115" s="3"/>
      <c r="LT115" s="3"/>
      <c r="LU115" s="3"/>
      <c r="LV115" s="3"/>
      <c r="LW115" s="3"/>
      <c r="LX115" s="3"/>
      <c r="LY115" s="3"/>
      <c r="LZ115" s="3"/>
      <c r="MA115" s="3"/>
      <c r="MB115" s="3"/>
      <c r="MC115" s="3"/>
      <c r="MD115" s="3"/>
      <c r="ME115" s="3"/>
      <c r="MF115" s="3"/>
      <c r="MG115" s="3"/>
      <c r="MH115" s="3"/>
      <c r="MI115" s="3"/>
      <c r="MJ115" s="3"/>
      <c r="MK115" s="3"/>
      <c r="ML115" s="3"/>
      <c r="MM115" s="3"/>
      <c r="MN115" s="3"/>
      <c r="MO115" s="3"/>
      <c r="MP115" s="3"/>
      <c r="MQ115" s="3"/>
      <c r="MR115" s="3"/>
      <c r="MS115" s="3"/>
      <c r="MT115" s="3"/>
      <c r="MU115" s="3"/>
      <c r="MV115" s="3"/>
      <c r="MW115" s="3"/>
      <c r="MX115" s="3"/>
      <c r="MY115" s="3"/>
      <c r="MZ115" s="3"/>
      <c r="NA115" s="3"/>
      <c r="NB115" s="3"/>
      <c r="NC115" s="3"/>
      <c r="ND115" s="3"/>
      <c r="NE115" s="3"/>
      <c r="NF115" s="3"/>
      <c r="NG115" s="3"/>
      <c r="NH115" s="3"/>
      <c r="NI115" s="3"/>
      <c r="NJ115" s="3"/>
      <c r="NK115" s="3"/>
      <c r="NL115" s="3"/>
      <c r="NM115" s="3"/>
      <c r="NN115" s="3"/>
      <c r="NO115" s="3"/>
      <c r="NP115" s="3"/>
      <c r="NQ115" s="3"/>
      <c r="NR115" s="3"/>
      <c r="NS115" s="3"/>
      <c r="NT115" s="3"/>
      <c r="NU115" s="3"/>
      <c r="NV115" s="3"/>
      <c r="NW115" s="3"/>
      <c r="NX115" s="3"/>
      <c r="NY115" s="3"/>
      <c r="NZ115" s="3"/>
      <c r="OA115" s="3"/>
      <c r="OB115" s="3"/>
      <c r="OC115" s="3"/>
      <c r="OD115" s="3"/>
      <c r="OE115" s="3"/>
      <c r="OF115" s="3"/>
      <c r="OG115" s="3"/>
      <c r="OH115" s="3"/>
      <c r="OI115" s="3"/>
      <c r="OJ115" s="3"/>
      <c r="OK115" s="3"/>
      <c r="OL115" s="3"/>
      <c r="OM115" s="3"/>
      <c r="ON115" s="3"/>
      <c r="OO115" s="3"/>
      <c r="OP115" s="3"/>
      <c r="OQ115" s="3"/>
      <c r="OR115" s="3"/>
      <c r="OS115" s="3"/>
      <c r="OT115" s="3"/>
      <c r="OU115" s="3"/>
      <c r="OV115" s="3"/>
      <c r="OW115" s="3"/>
      <c r="OX115" s="3"/>
      <c r="OY115" s="3"/>
      <c r="OZ115" s="3"/>
      <c r="PA115" s="3"/>
      <c r="PB115" s="3"/>
      <c r="PC115" s="3"/>
      <c r="PD115" s="3"/>
      <c r="PE115" s="3"/>
      <c r="PF115" s="3"/>
      <c r="PG115" s="3"/>
      <c r="PH115" s="3"/>
      <c r="PI115" s="3"/>
      <c r="PJ115" s="3"/>
      <c r="PK115" s="3"/>
      <c r="PL115" s="3"/>
      <c r="PM115" s="3"/>
      <c r="PN115" s="3"/>
      <c r="PO115" s="3"/>
      <c r="PP115" s="3"/>
      <c r="PQ115" s="3"/>
      <c r="PR115" s="3"/>
      <c r="PS115" s="3"/>
      <c r="PT115" s="3"/>
      <c r="PU115" s="3"/>
      <c r="PV115" s="3"/>
      <c r="PW115" s="3"/>
      <c r="PX115" s="3"/>
      <c r="PY115" s="3"/>
      <c r="PZ115" s="3"/>
      <c r="QA115" s="3"/>
      <c r="QB115" s="3"/>
      <c r="QC115" s="3"/>
      <c r="QD115" s="3"/>
      <c r="QE115" s="3"/>
      <c r="QF115" s="3"/>
      <c r="QG115" s="3"/>
      <c r="QH115" s="3"/>
      <c r="QI115" s="3"/>
      <c r="QJ115" s="3"/>
      <c r="QK115" s="3"/>
      <c r="QL115" s="3"/>
      <c r="QM115" s="3"/>
      <c r="QN115" s="3"/>
      <c r="QO115" s="3"/>
      <c r="QP115" s="3"/>
      <c r="QQ115" s="3"/>
      <c r="QR115" s="3"/>
      <c r="QS115" s="3"/>
      <c r="QT115" s="3"/>
      <c r="QU115" s="3"/>
      <c r="QV115" s="3"/>
      <c r="QW115" s="3"/>
      <c r="QX115" s="3"/>
      <c r="QY115" s="3"/>
      <c r="QZ115" s="3"/>
      <c r="RA115" s="3"/>
      <c r="RB115" s="3"/>
      <c r="RC115" s="3"/>
      <c r="RD115" s="3"/>
      <c r="RE115" s="3"/>
      <c r="RF115" s="3"/>
      <c r="RG115" s="3"/>
      <c r="RH115" s="3"/>
      <c r="RI115" s="3"/>
      <c r="RJ115" s="3"/>
      <c r="RK115" s="3"/>
      <c r="RL115" s="3"/>
      <c r="RM115" s="3"/>
      <c r="RN115" s="3"/>
      <c r="RO115" s="3"/>
      <c r="RP115" s="3"/>
      <c r="RQ115" s="3"/>
      <c r="RR115" s="3"/>
      <c r="RS115" s="3"/>
      <c r="RT115" s="3"/>
      <c r="RU115" s="3"/>
      <c r="RV115" s="3"/>
      <c r="RW115" s="3"/>
      <c r="RX115" s="3"/>
      <c r="RY115" s="3"/>
      <c r="RZ115" s="3"/>
      <c r="SA115" s="3"/>
      <c r="SB115" s="3"/>
      <c r="SC115" s="3"/>
      <c r="SD115" s="3"/>
      <c r="SE115" s="3"/>
      <c r="SF115" s="3"/>
      <c r="SG115" s="3"/>
      <c r="SH115" s="3"/>
      <c r="SI115" s="3"/>
      <c r="SJ115" s="3"/>
      <c r="SK115" s="3"/>
      <c r="SL115" s="3"/>
      <c r="SM115" s="3"/>
      <c r="SN115" s="3"/>
      <c r="SO115" s="3"/>
      <c r="SP115" s="3"/>
      <c r="SQ115" s="3"/>
      <c r="SR115" s="3"/>
      <c r="SS115" s="3"/>
      <c r="ST115" s="3"/>
      <c r="SU115" s="3"/>
      <c r="SV115" s="3"/>
      <c r="SW115" s="3"/>
      <c r="SX115" s="3"/>
      <c r="SY115" s="3"/>
      <c r="SZ115" s="3"/>
      <c r="TA115" s="3"/>
      <c r="TB115" s="3"/>
      <c r="TC115" s="3"/>
      <c r="TD115" s="3"/>
      <c r="TE115" s="3"/>
      <c r="TF115" s="3"/>
      <c r="TG115" s="3"/>
      <c r="TH115" s="3"/>
      <c r="TI115" s="3"/>
      <c r="TJ115" s="3"/>
      <c r="TK115" s="3"/>
      <c r="TL115" s="3"/>
      <c r="TM115" s="3"/>
      <c r="TN115" s="3"/>
      <c r="TO115" s="3"/>
      <c r="TP115" s="3"/>
      <c r="TQ115" s="3"/>
      <c r="TR115" s="3"/>
      <c r="TS115" s="3"/>
      <c r="TT115" s="3"/>
      <c r="TU115" s="3"/>
      <c r="TV115" s="3"/>
      <c r="TW115" s="3"/>
      <c r="TX115" s="3"/>
      <c r="TY115" s="3"/>
      <c r="TZ115" s="3"/>
      <c r="UA115" s="3"/>
      <c r="UB115" s="3"/>
      <c r="UC115" s="3"/>
      <c r="UD115" s="3"/>
      <c r="UE115" s="3"/>
      <c r="UF115" s="3"/>
      <c r="UG115" s="3"/>
      <c r="UH115" s="3"/>
      <c r="UI115" s="3"/>
      <c r="UJ115" s="3"/>
      <c r="UK115" s="3"/>
      <c r="UL115" s="3"/>
      <c r="UM115" s="3"/>
      <c r="UN115" s="3"/>
      <c r="UO115" s="3"/>
      <c r="UP115" s="3"/>
      <c r="UQ115" s="3"/>
      <c r="UR115" s="3"/>
      <c r="US115" s="3"/>
      <c r="UT115" s="3"/>
      <c r="UU115" s="3"/>
      <c r="UV115" s="3"/>
      <c r="UW115" s="3"/>
      <c r="UX115" s="3"/>
      <c r="UY115" s="3"/>
      <c r="UZ115" s="3"/>
      <c r="VA115" s="3"/>
      <c r="VB115" s="3"/>
      <c r="VC115" s="3"/>
      <c r="VD115" s="3"/>
      <c r="VE115" s="3"/>
      <c r="VF115" s="3"/>
      <c r="VG115" s="3"/>
      <c r="VH115" s="3"/>
      <c r="VI115" s="3"/>
      <c r="VJ115" s="3"/>
      <c r="VK115" s="3"/>
      <c r="VL115" s="3"/>
      <c r="VM115" s="3"/>
      <c r="VN115" s="3"/>
      <c r="VO115" s="3"/>
      <c r="VP115" s="3"/>
      <c r="VQ115" s="3"/>
      <c r="VR115" s="3"/>
      <c r="VS115" s="3"/>
      <c r="VT115" s="3"/>
      <c r="VU115" s="3"/>
      <c r="VV115" s="3"/>
      <c r="VW115" s="3"/>
      <c r="VX115" s="3"/>
      <c r="VY115" s="3"/>
      <c r="VZ115" s="3"/>
      <c r="WA115" s="3"/>
      <c r="WB115" s="3"/>
      <c r="WC115" s="3"/>
      <c r="WD115" s="3"/>
      <c r="WE115" s="3"/>
      <c r="WF115" s="3"/>
      <c r="WG115" s="3"/>
      <c r="WH115" s="3"/>
      <c r="WI115" s="3"/>
      <c r="WJ115" s="3"/>
      <c r="WK115" s="3"/>
      <c r="WL115" s="3"/>
      <c r="WM115" s="3"/>
      <c r="WN115" s="3"/>
      <c r="WO115" s="3"/>
      <c r="WP115" s="3"/>
      <c r="WQ115" s="3"/>
      <c r="WR115" s="3"/>
      <c r="WS115" s="3"/>
      <c r="WT115" s="3"/>
      <c r="WU115" s="3"/>
      <c r="WV115" s="3"/>
      <c r="WW115" s="3"/>
      <c r="WX115" s="3"/>
      <c r="WY115" s="3"/>
      <c r="WZ115" s="3"/>
      <c r="XA115" s="3"/>
      <c r="XB115" s="3"/>
      <c r="XC115" s="3"/>
      <c r="XD115" s="3"/>
      <c r="XE115" s="3"/>
      <c r="XF115" s="3"/>
      <c r="XG115" s="3"/>
      <c r="XH115" s="3"/>
      <c r="XI115" s="3"/>
      <c r="XJ115" s="3"/>
      <c r="XK115" s="3"/>
      <c r="XL115" s="3"/>
      <c r="XM115" s="3"/>
      <c r="XN115" s="3"/>
      <c r="XO115" s="3"/>
      <c r="XP115" s="3"/>
      <c r="XQ115" s="3"/>
      <c r="XR115" s="3"/>
      <c r="XS115" s="3"/>
      <c r="XT115" s="3"/>
      <c r="XU115" s="3"/>
      <c r="XV115" s="3"/>
      <c r="XW115" s="3"/>
      <c r="XX115" s="3"/>
      <c r="XY115" s="3"/>
      <c r="XZ115" s="3"/>
      <c r="YA115" s="3"/>
      <c r="YB115" s="3"/>
      <c r="YC115" s="3"/>
      <c r="YD115" s="3"/>
      <c r="YE115" s="3"/>
      <c r="YF115" s="3"/>
      <c r="YG115" s="3"/>
      <c r="YH115" s="3"/>
      <c r="YI115" s="3"/>
      <c r="YJ115" s="3"/>
      <c r="YK115" s="3"/>
      <c r="YL115" s="3"/>
      <c r="YM115" s="3"/>
      <c r="YN115" s="3"/>
      <c r="YO115" s="3"/>
      <c r="YP115" s="3"/>
      <c r="YQ115" s="3"/>
      <c r="YR115" s="3"/>
      <c r="YS115" s="3"/>
      <c r="YT115" s="3"/>
      <c r="YU115" s="3"/>
      <c r="YV115" s="3"/>
      <c r="YW115" s="3"/>
      <c r="YX115" s="3"/>
      <c r="YY115" s="3"/>
      <c r="YZ115" s="3"/>
      <c r="ZA115" s="3"/>
      <c r="ZB115" s="3"/>
      <c r="ZC115" s="3"/>
    </row>
    <row r="116" spans="1:679" s="2" customFormat="1" x14ac:dyDescent="0.45">
      <c r="A116" s="3" t="s">
        <v>11</v>
      </c>
      <c r="B116" s="4">
        <v>33619</v>
      </c>
      <c r="C116" s="5" t="s">
        <v>12</v>
      </c>
      <c r="D116" s="6" t="s">
        <v>131</v>
      </c>
      <c r="E116" s="3"/>
      <c r="F116" s="3">
        <v>4</v>
      </c>
      <c r="L116" s="3"/>
      <c r="M116" s="3"/>
      <c r="N116" s="48"/>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c r="DV116" s="3"/>
      <c r="DW116" s="3"/>
      <c r="DX116" s="3"/>
      <c r="DY116" s="3"/>
      <c r="DZ116" s="3"/>
      <c r="EA116" s="3"/>
      <c r="EB116" s="3"/>
      <c r="EC116" s="3"/>
      <c r="ED116" s="3"/>
      <c r="EE116" s="3"/>
      <c r="EF116" s="3"/>
      <c r="EG116" s="3"/>
      <c r="EH116" s="3"/>
      <c r="EI116" s="3"/>
      <c r="EJ116" s="3"/>
      <c r="EK116" s="3"/>
      <c r="EL116" s="3"/>
      <c r="EM116" s="3"/>
      <c r="EN116" s="3"/>
      <c r="EO116" s="3"/>
      <c r="EP116" s="3"/>
      <c r="EQ116" s="3"/>
      <c r="ER116" s="3"/>
      <c r="ES116" s="3"/>
      <c r="ET116" s="3"/>
      <c r="EU116" s="3"/>
      <c r="EV116" s="3"/>
      <c r="EW116" s="3"/>
      <c r="EX116" s="3"/>
      <c r="EY116" s="3"/>
      <c r="EZ116" s="3"/>
      <c r="FA116" s="3"/>
      <c r="FB116" s="3"/>
      <c r="FC116" s="3"/>
      <c r="FD116" s="3"/>
      <c r="FE116" s="3"/>
      <c r="FF116" s="3"/>
      <c r="FG116" s="3"/>
      <c r="FH116" s="3"/>
      <c r="FI116" s="3"/>
      <c r="FJ116" s="3"/>
      <c r="FK116" s="3"/>
      <c r="FL116" s="3"/>
      <c r="FM116" s="3"/>
      <c r="FN116" s="3"/>
      <c r="FO116" s="3"/>
      <c r="FP116" s="3"/>
      <c r="FQ116" s="3"/>
      <c r="FR116" s="3"/>
      <c r="FS116" s="3"/>
      <c r="FT116" s="3"/>
      <c r="FU116" s="3"/>
      <c r="FV116" s="3"/>
      <c r="FW116" s="3"/>
      <c r="FX116" s="3"/>
      <c r="FY116" s="3"/>
      <c r="FZ116" s="3"/>
      <c r="GA116" s="3"/>
      <c r="GB116" s="3"/>
      <c r="GC116" s="3"/>
      <c r="GD116" s="3"/>
      <c r="GE116" s="3"/>
      <c r="GF116" s="3"/>
      <c r="GG116" s="3"/>
      <c r="GH116" s="3"/>
      <c r="GI116" s="3"/>
      <c r="GJ116" s="3"/>
      <c r="GK116" s="3"/>
      <c r="GL116" s="3"/>
      <c r="GM116" s="3"/>
      <c r="GN116" s="3"/>
      <c r="GO116" s="3"/>
      <c r="GP116" s="3"/>
      <c r="GQ116" s="3"/>
      <c r="GR116" s="3"/>
      <c r="GS116" s="3"/>
      <c r="GT116" s="3"/>
      <c r="GU116" s="3"/>
      <c r="GV116" s="3"/>
      <c r="GW116" s="3"/>
      <c r="GX116" s="3"/>
      <c r="GY116" s="3"/>
      <c r="GZ116" s="3"/>
      <c r="HA116" s="3"/>
      <c r="HB116" s="3"/>
      <c r="HC116" s="3"/>
      <c r="HD116" s="3"/>
      <c r="HE116" s="3"/>
      <c r="HF116" s="3"/>
      <c r="HG116" s="3"/>
      <c r="HH116" s="3"/>
      <c r="HI116" s="3"/>
      <c r="HJ116" s="3"/>
      <c r="HK116" s="3"/>
      <c r="HL116" s="3"/>
      <c r="HM116" s="3"/>
      <c r="HN116" s="3"/>
      <c r="HO116" s="3"/>
      <c r="HP116" s="3"/>
      <c r="HQ116" s="3"/>
      <c r="HR116" s="3"/>
      <c r="HS116" s="3"/>
      <c r="HT116" s="3"/>
      <c r="HU116" s="3"/>
      <c r="HV116" s="3"/>
      <c r="HW116" s="3"/>
      <c r="HX116" s="3"/>
      <c r="HY116" s="3"/>
      <c r="HZ116" s="3"/>
      <c r="IA116" s="3"/>
      <c r="IB116" s="3"/>
      <c r="IC116" s="3"/>
      <c r="ID116" s="3"/>
      <c r="IE116" s="3"/>
      <c r="IF116" s="3"/>
      <c r="IG116" s="3"/>
      <c r="IH116" s="3"/>
      <c r="II116" s="3"/>
      <c r="IJ116" s="3"/>
      <c r="IK116" s="3"/>
      <c r="IL116" s="3"/>
      <c r="IM116" s="3"/>
      <c r="IN116" s="3"/>
      <c r="IO116" s="3"/>
      <c r="IP116" s="3"/>
      <c r="IQ116" s="3"/>
      <c r="IR116" s="3"/>
      <c r="IS116" s="3"/>
      <c r="IT116" s="3"/>
      <c r="IU116" s="3"/>
      <c r="IV116" s="3"/>
      <c r="IW116" s="3"/>
      <c r="IX116" s="3"/>
      <c r="IY116" s="3"/>
      <c r="IZ116" s="3"/>
      <c r="JA116" s="3"/>
      <c r="JB116" s="3"/>
      <c r="JC116" s="3"/>
      <c r="JD116" s="3"/>
      <c r="JE116" s="3"/>
      <c r="JF116" s="3"/>
      <c r="JG116" s="3"/>
      <c r="JH116" s="3"/>
      <c r="JI116" s="3"/>
      <c r="JJ116" s="3"/>
      <c r="JK116" s="3"/>
      <c r="JL116" s="3"/>
      <c r="JM116" s="3"/>
      <c r="JN116" s="3"/>
      <c r="JO116" s="3"/>
      <c r="JP116" s="3"/>
      <c r="JQ116" s="3"/>
      <c r="JR116" s="3"/>
      <c r="JS116" s="3"/>
      <c r="JT116" s="3"/>
      <c r="JU116" s="3"/>
      <c r="JV116" s="3"/>
      <c r="JW116" s="3"/>
      <c r="JX116" s="3"/>
      <c r="JY116" s="3"/>
      <c r="JZ116" s="3"/>
      <c r="KA116" s="3"/>
      <c r="KB116" s="3"/>
      <c r="KC116" s="3"/>
      <c r="KD116" s="3"/>
      <c r="KE116" s="3"/>
      <c r="KF116" s="3"/>
      <c r="KG116" s="3"/>
      <c r="KH116" s="3"/>
      <c r="KI116" s="3"/>
      <c r="KJ116" s="3"/>
      <c r="KK116" s="3"/>
      <c r="KL116" s="3"/>
      <c r="KM116" s="3"/>
      <c r="KN116" s="3"/>
      <c r="KO116" s="3"/>
      <c r="KP116" s="3"/>
      <c r="KQ116" s="3"/>
      <c r="KR116" s="3"/>
      <c r="KS116" s="3"/>
      <c r="KT116" s="3"/>
      <c r="KU116" s="3"/>
      <c r="KV116" s="3"/>
      <c r="KW116" s="3"/>
      <c r="KX116" s="3"/>
      <c r="KY116" s="3"/>
      <c r="KZ116" s="3"/>
      <c r="LA116" s="3"/>
      <c r="LB116" s="3"/>
      <c r="LC116" s="3"/>
      <c r="LD116" s="3"/>
      <c r="LE116" s="3"/>
      <c r="LF116" s="3"/>
      <c r="LG116" s="3"/>
      <c r="LH116" s="3"/>
      <c r="LI116" s="3"/>
      <c r="LJ116" s="3"/>
      <c r="LK116" s="3"/>
      <c r="LL116" s="3"/>
      <c r="LM116" s="3"/>
      <c r="LN116" s="3"/>
      <c r="LO116" s="3"/>
      <c r="LP116" s="3"/>
      <c r="LQ116" s="3"/>
      <c r="LR116" s="3"/>
      <c r="LS116" s="3"/>
      <c r="LT116" s="3"/>
      <c r="LU116" s="3"/>
      <c r="LV116" s="3"/>
      <c r="LW116" s="3"/>
      <c r="LX116" s="3"/>
      <c r="LY116" s="3"/>
      <c r="LZ116" s="3"/>
      <c r="MA116" s="3"/>
      <c r="MB116" s="3"/>
      <c r="MC116" s="3"/>
      <c r="MD116" s="3"/>
      <c r="ME116" s="3"/>
      <c r="MF116" s="3"/>
      <c r="MG116" s="3"/>
      <c r="MH116" s="3"/>
      <c r="MI116" s="3"/>
      <c r="MJ116" s="3"/>
      <c r="MK116" s="3"/>
      <c r="ML116" s="3"/>
      <c r="MM116" s="3"/>
      <c r="MN116" s="3"/>
      <c r="MO116" s="3"/>
      <c r="MP116" s="3"/>
      <c r="MQ116" s="3"/>
      <c r="MR116" s="3"/>
      <c r="MS116" s="3"/>
      <c r="MT116" s="3"/>
      <c r="MU116" s="3"/>
      <c r="MV116" s="3"/>
      <c r="MW116" s="3"/>
      <c r="MX116" s="3"/>
      <c r="MY116" s="3"/>
      <c r="MZ116" s="3"/>
      <c r="NA116" s="3"/>
      <c r="NB116" s="3"/>
      <c r="NC116" s="3"/>
      <c r="ND116" s="3"/>
      <c r="NE116" s="3"/>
      <c r="NF116" s="3"/>
      <c r="NG116" s="3"/>
      <c r="NH116" s="3"/>
      <c r="NI116" s="3"/>
      <c r="NJ116" s="3"/>
      <c r="NK116" s="3"/>
      <c r="NL116" s="3"/>
      <c r="NM116" s="3"/>
      <c r="NN116" s="3"/>
      <c r="NO116" s="3"/>
      <c r="NP116" s="3"/>
      <c r="NQ116" s="3"/>
      <c r="NR116" s="3"/>
      <c r="NS116" s="3"/>
      <c r="NT116" s="3"/>
      <c r="NU116" s="3"/>
      <c r="NV116" s="3"/>
      <c r="NW116" s="3"/>
      <c r="NX116" s="3"/>
      <c r="NY116" s="3"/>
      <c r="NZ116" s="3"/>
      <c r="OA116" s="3"/>
      <c r="OB116" s="3"/>
      <c r="OC116" s="3"/>
      <c r="OD116" s="3"/>
      <c r="OE116" s="3"/>
      <c r="OF116" s="3"/>
      <c r="OG116" s="3"/>
      <c r="OH116" s="3"/>
      <c r="OI116" s="3"/>
      <c r="OJ116" s="3"/>
      <c r="OK116" s="3"/>
      <c r="OL116" s="3"/>
      <c r="OM116" s="3"/>
      <c r="ON116" s="3"/>
      <c r="OO116" s="3"/>
      <c r="OP116" s="3"/>
      <c r="OQ116" s="3"/>
      <c r="OR116" s="3"/>
      <c r="OS116" s="3"/>
      <c r="OT116" s="3"/>
      <c r="OU116" s="3"/>
      <c r="OV116" s="3"/>
      <c r="OW116" s="3"/>
      <c r="OX116" s="3"/>
      <c r="OY116" s="3"/>
      <c r="OZ116" s="3"/>
      <c r="PA116" s="3"/>
      <c r="PB116" s="3"/>
      <c r="PC116" s="3"/>
      <c r="PD116" s="3"/>
      <c r="PE116" s="3"/>
      <c r="PF116" s="3"/>
      <c r="PG116" s="3"/>
      <c r="PH116" s="3"/>
      <c r="PI116" s="3"/>
      <c r="PJ116" s="3"/>
      <c r="PK116" s="3"/>
      <c r="PL116" s="3"/>
      <c r="PM116" s="3"/>
      <c r="PN116" s="3"/>
      <c r="PO116" s="3"/>
      <c r="PP116" s="3"/>
      <c r="PQ116" s="3"/>
      <c r="PR116" s="3"/>
      <c r="PS116" s="3"/>
      <c r="PT116" s="3"/>
      <c r="PU116" s="3"/>
      <c r="PV116" s="3"/>
      <c r="PW116" s="3"/>
      <c r="PX116" s="3"/>
      <c r="PY116" s="3"/>
      <c r="PZ116" s="3"/>
      <c r="QA116" s="3"/>
      <c r="QB116" s="3"/>
      <c r="QC116" s="3"/>
      <c r="QD116" s="3"/>
      <c r="QE116" s="3"/>
      <c r="QF116" s="3"/>
      <c r="QG116" s="3"/>
      <c r="QH116" s="3"/>
      <c r="QI116" s="3"/>
      <c r="QJ116" s="3"/>
      <c r="QK116" s="3"/>
      <c r="QL116" s="3"/>
      <c r="QM116" s="3"/>
      <c r="QN116" s="3"/>
      <c r="QO116" s="3"/>
      <c r="QP116" s="3"/>
      <c r="QQ116" s="3"/>
      <c r="QR116" s="3"/>
      <c r="QS116" s="3"/>
      <c r="QT116" s="3"/>
      <c r="QU116" s="3"/>
      <c r="QV116" s="3"/>
      <c r="QW116" s="3"/>
      <c r="QX116" s="3"/>
      <c r="QY116" s="3"/>
      <c r="QZ116" s="3"/>
      <c r="RA116" s="3"/>
      <c r="RB116" s="3"/>
      <c r="RC116" s="3"/>
      <c r="RD116" s="3"/>
      <c r="RE116" s="3"/>
      <c r="RF116" s="3"/>
      <c r="RG116" s="3"/>
      <c r="RH116" s="3"/>
      <c r="RI116" s="3"/>
      <c r="RJ116" s="3"/>
      <c r="RK116" s="3"/>
      <c r="RL116" s="3"/>
      <c r="RM116" s="3"/>
      <c r="RN116" s="3"/>
      <c r="RO116" s="3"/>
      <c r="RP116" s="3"/>
      <c r="RQ116" s="3"/>
      <c r="RR116" s="3"/>
      <c r="RS116" s="3"/>
      <c r="RT116" s="3"/>
      <c r="RU116" s="3"/>
      <c r="RV116" s="3"/>
      <c r="RW116" s="3"/>
      <c r="RX116" s="3"/>
      <c r="RY116" s="3"/>
      <c r="RZ116" s="3"/>
      <c r="SA116" s="3"/>
      <c r="SB116" s="3"/>
      <c r="SC116" s="3"/>
      <c r="SD116" s="3"/>
      <c r="SE116" s="3"/>
      <c r="SF116" s="3"/>
      <c r="SG116" s="3"/>
      <c r="SH116" s="3"/>
      <c r="SI116" s="3"/>
      <c r="SJ116" s="3"/>
      <c r="SK116" s="3"/>
      <c r="SL116" s="3"/>
      <c r="SM116" s="3"/>
      <c r="SN116" s="3"/>
      <c r="SO116" s="3"/>
      <c r="SP116" s="3"/>
      <c r="SQ116" s="3"/>
      <c r="SR116" s="3"/>
      <c r="SS116" s="3"/>
      <c r="ST116" s="3"/>
      <c r="SU116" s="3"/>
      <c r="SV116" s="3"/>
      <c r="SW116" s="3"/>
      <c r="SX116" s="3"/>
      <c r="SY116" s="3"/>
      <c r="SZ116" s="3"/>
      <c r="TA116" s="3"/>
      <c r="TB116" s="3"/>
      <c r="TC116" s="3"/>
      <c r="TD116" s="3"/>
      <c r="TE116" s="3"/>
      <c r="TF116" s="3"/>
      <c r="TG116" s="3"/>
      <c r="TH116" s="3"/>
      <c r="TI116" s="3"/>
      <c r="TJ116" s="3"/>
      <c r="TK116" s="3"/>
      <c r="TL116" s="3"/>
      <c r="TM116" s="3"/>
      <c r="TN116" s="3"/>
      <c r="TO116" s="3"/>
      <c r="TP116" s="3"/>
      <c r="TQ116" s="3"/>
      <c r="TR116" s="3"/>
      <c r="TS116" s="3"/>
      <c r="TT116" s="3"/>
      <c r="TU116" s="3"/>
      <c r="TV116" s="3"/>
      <c r="TW116" s="3"/>
      <c r="TX116" s="3"/>
      <c r="TY116" s="3"/>
      <c r="TZ116" s="3"/>
      <c r="UA116" s="3"/>
      <c r="UB116" s="3"/>
      <c r="UC116" s="3"/>
      <c r="UD116" s="3"/>
      <c r="UE116" s="3"/>
      <c r="UF116" s="3"/>
      <c r="UG116" s="3"/>
      <c r="UH116" s="3"/>
      <c r="UI116" s="3"/>
      <c r="UJ116" s="3"/>
      <c r="UK116" s="3"/>
      <c r="UL116" s="3"/>
      <c r="UM116" s="3"/>
      <c r="UN116" s="3"/>
      <c r="UO116" s="3"/>
      <c r="UP116" s="3"/>
      <c r="UQ116" s="3"/>
      <c r="UR116" s="3"/>
      <c r="US116" s="3"/>
      <c r="UT116" s="3"/>
      <c r="UU116" s="3"/>
      <c r="UV116" s="3"/>
      <c r="UW116" s="3"/>
      <c r="UX116" s="3"/>
      <c r="UY116" s="3"/>
      <c r="UZ116" s="3"/>
      <c r="VA116" s="3"/>
      <c r="VB116" s="3"/>
      <c r="VC116" s="3"/>
      <c r="VD116" s="3"/>
      <c r="VE116" s="3"/>
      <c r="VF116" s="3"/>
      <c r="VG116" s="3"/>
      <c r="VH116" s="3"/>
      <c r="VI116" s="3"/>
      <c r="VJ116" s="3"/>
      <c r="VK116" s="3"/>
      <c r="VL116" s="3"/>
      <c r="VM116" s="3"/>
      <c r="VN116" s="3"/>
      <c r="VO116" s="3"/>
      <c r="VP116" s="3"/>
      <c r="VQ116" s="3"/>
      <c r="VR116" s="3"/>
      <c r="VS116" s="3"/>
      <c r="VT116" s="3"/>
      <c r="VU116" s="3"/>
      <c r="VV116" s="3"/>
      <c r="VW116" s="3"/>
      <c r="VX116" s="3"/>
      <c r="VY116" s="3"/>
      <c r="VZ116" s="3"/>
      <c r="WA116" s="3"/>
      <c r="WB116" s="3"/>
      <c r="WC116" s="3"/>
      <c r="WD116" s="3"/>
      <c r="WE116" s="3"/>
      <c r="WF116" s="3"/>
      <c r="WG116" s="3"/>
      <c r="WH116" s="3"/>
      <c r="WI116" s="3"/>
      <c r="WJ116" s="3"/>
      <c r="WK116" s="3"/>
      <c r="WL116" s="3"/>
      <c r="WM116" s="3"/>
      <c r="WN116" s="3"/>
      <c r="WO116" s="3"/>
      <c r="WP116" s="3"/>
      <c r="WQ116" s="3"/>
      <c r="WR116" s="3"/>
      <c r="WS116" s="3"/>
      <c r="WT116" s="3"/>
      <c r="WU116" s="3"/>
      <c r="WV116" s="3"/>
      <c r="WW116" s="3"/>
      <c r="WX116" s="3"/>
      <c r="WY116" s="3"/>
      <c r="WZ116" s="3"/>
      <c r="XA116" s="3"/>
      <c r="XB116" s="3"/>
      <c r="XC116" s="3"/>
      <c r="XD116" s="3"/>
      <c r="XE116" s="3"/>
      <c r="XF116" s="3"/>
      <c r="XG116" s="3"/>
      <c r="XH116" s="3"/>
      <c r="XI116" s="3"/>
      <c r="XJ116" s="3"/>
      <c r="XK116" s="3"/>
      <c r="XL116" s="3"/>
      <c r="XM116" s="3"/>
      <c r="XN116" s="3"/>
      <c r="XO116" s="3"/>
      <c r="XP116" s="3"/>
      <c r="XQ116" s="3"/>
      <c r="XR116" s="3"/>
      <c r="XS116" s="3"/>
      <c r="XT116" s="3"/>
      <c r="XU116" s="3"/>
      <c r="XV116" s="3"/>
      <c r="XW116" s="3"/>
      <c r="XX116" s="3"/>
      <c r="XY116" s="3"/>
      <c r="XZ116" s="3"/>
      <c r="YA116" s="3"/>
      <c r="YB116" s="3"/>
      <c r="YC116" s="3"/>
      <c r="YD116" s="3"/>
      <c r="YE116" s="3"/>
      <c r="YF116" s="3"/>
      <c r="YG116" s="3"/>
      <c r="YH116" s="3"/>
      <c r="YI116" s="3"/>
      <c r="YJ116" s="3"/>
      <c r="YK116" s="3"/>
      <c r="YL116" s="3"/>
      <c r="YM116" s="3"/>
      <c r="YN116" s="3"/>
      <c r="YO116" s="3"/>
      <c r="YP116" s="3"/>
      <c r="YQ116" s="3"/>
      <c r="YR116" s="3"/>
      <c r="YS116" s="3"/>
      <c r="YT116" s="3"/>
      <c r="YU116" s="3"/>
      <c r="YV116" s="3"/>
      <c r="YW116" s="3"/>
      <c r="YX116" s="3"/>
      <c r="YY116" s="3"/>
      <c r="YZ116" s="3"/>
      <c r="ZA116" s="3"/>
      <c r="ZB116" s="3"/>
      <c r="ZC116" s="3"/>
    </row>
    <row r="117" spans="1:679" s="2" customFormat="1" x14ac:dyDescent="0.45">
      <c r="A117" s="3" t="s">
        <v>11</v>
      </c>
      <c r="B117" s="4">
        <v>33658</v>
      </c>
      <c r="C117" s="7" t="s">
        <v>25</v>
      </c>
      <c r="D117" s="6" t="s">
        <v>132</v>
      </c>
      <c r="E117" s="3"/>
      <c r="F117" s="3">
        <v>2</v>
      </c>
      <c r="L117" s="3"/>
      <c r="M117" s="3"/>
      <c r="N117" s="48"/>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c r="DE117" s="3"/>
      <c r="DF117" s="3"/>
      <c r="DG117" s="3"/>
      <c r="DH117" s="3"/>
      <c r="DI117" s="3"/>
      <c r="DJ117" s="3"/>
      <c r="DK117" s="3"/>
      <c r="DL117" s="3"/>
      <c r="DM117" s="3"/>
      <c r="DN117" s="3"/>
      <c r="DO117" s="3"/>
      <c r="DP117" s="3"/>
      <c r="DQ117" s="3"/>
      <c r="DR117" s="3"/>
      <c r="DS117" s="3"/>
      <c r="DT117" s="3"/>
      <c r="DU117" s="3"/>
      <c r="DV117" s="3"/>
      <c r="DW117" s="3"/>
      <c r="DX117" s="3"/>
      <c r="DY117" s="3"/>
      <c r="DZ117" s="3"/>
      <c r="EA117" s="3"/>
      <c r="EB117" s="3"/>
      <c r="EC117" s="3"/>
      <c r="ED117" s="3"/>
      <c r="EE117" s="3"/>
      <c r="EF117" s="3"/>
      <c r="EG117" s="3"/>
      <c r="EH117" s="3"/>
      <c r="EI117" s="3"/>
      <c r="EJ117" s="3"/>
      <c r="EK117" s="3"/>
      <c r="EL117" s="3"/>
      <c r="EM117" s="3"/>
      <c r="EN117" s="3"/>
      <c r="EO117" s="3"/>
      <c r="EP117" s="3"/>
      <c r="EQ117" s="3"/>
      <c r="ER117" s="3"/>
      <c r="ES117" s="3"/>
      <c r="ET117" s="3"/>
      <c r="EU117" s="3"/>
      <c r="EV117" s="3"/>
      <c r="EW117" s="3"/>
      <c r="EX117" s="3"/>
      <c r="EY117" s="3"/>
      <c r="EZ117" s="3"/>
      <c r="FA117" s="3"/>
      <c r="FB117" s="3"/>
      <c r="FC117" s="3"/>
      <c r="FD117" s="3"/>
      <c r="FE117" s="3"/>
      <c r="FF117" s="3"/>
      <c r="FG117" s="3"/>
      <c r="FH117" s="3"/>
      <c r="FI117" s="3"/>
      <c r="FJ117" s="3"/>
      <c r="FK117" s="3"/>
      <c r="FL117" s="3"/>
      <c r="FM117" s="3"/>
      <c r="FN117" s="3"/>
      <c r="FO117" s="3"/>
      <c r="FP117" s="3"/>
      <c r="FQ117" s="3"/>
      <c r="FR117" s="3"/>
      <c r="FS117" s="3"/>
      <c r="FT117" s="3"/>
      <c r="FU117" s="3"/>
      <c r="FV117" s="3"/>
      <c r="FW117" s="3"/>
      <c r="FX117" s="3"/>
      <c r="FY117" s="3"/>
      <c r="FZ117" s="3"/>
      <c r="GA117" s="3"/>
      <c r="GB117" s="3"/>
      <c r="GC117" s="3"/>
      <c r="GD117" s="3"/>
      <c r="GE117" s="3"/>
      <c r="GF117" s="3"/>
      <c r="GG117" s="3"/>
      <c r="GH117" s="3"/>
      <c r="GI117" s="3"/>
      <c r="GJ117" s="3"/>
      <c r="GK117" s="3"/>
      <c r="GL117" s="3"/>
      <c r="GM117" s="3"/>
      <c r="GN117" s="3"/>
      <c r="GO117" s="3"/>
      <c r="GP117" s="3"/>
      <c r="GQ117" s="3"/>
      <c r="GR117" s="3"/>
      <c r="GS117" s="3"/>
      <c r="GT117" s="3"/>
      <c r="GU117" s="3"/>
      <c r="GV117" s="3"/>
      <c r="GW117" s="3"/>
      <c r="GX117" s="3"/>
      <c r="GY117" s="3"/>
      <c r="GZ117" s="3"/>
      <c r="HA117" s="3"/>
      <c r="HB117" s="3"/>
      <c r="HC117" s="3"/>
      <c r="HD117" s="3"/>
      <c r="HE117" s="3"/>
      <c r="HF117" s="3"/>
      <c r="HG117" s="3"/>
      <c r="HH117" s="3"/>
      <c r="HI117" s="3"/>
      <c r="HJ117" s="3"/>
      <c r="HK117" s="3"/>
      <c r="HL117" s="3"/>
      <c r="HM117" s="3"/>
      <c r="HN117" s="3"/>
      <c r="HO117" s="3"/>
      <c r="HP117" s="3"/>
      <c r="HQ117" s="3"/>
      <c r="HR117" s="3"/>
      <c r="HS117" s="3"/>
      <c r="HT117" s="3"/>
      <c r="HU117" s="3"/>
      <c r="HV117" s="3"/>
      <c r="HW117" s="3"/>
      <c r="HX117" s="3"/>
      <c r="HY117" s="3"/>
      <c r="HZ117" s="3"/>
      <c r="IA117" s="3"/>
      <c r="IB117" s="3"/>
      <c r="IC117" s="3"/>
      <c r="ID117" s="3"/>
      <c r="IE117" s="3"/>
      <c r="IF117" s="3"/>
      <c r="IG117" s="3"/>
      <c r="IH117" s="3"/>
      <c r="II117" s="3"/>
      <c r="IJ117" s="3"/>
      <c r="IK117" s="3"/>
      <c r="IL117" s="3"/>
      <c r="IM117" s="3"/>
      <c r="IN117" s="3"/>
      <c r="IO117" s="3"/>
      <c r="IP117" s="3"/>
      <c r="IQ117" s="3"/>
      <c r="IR117" s="3"/>
      <c r="IS117" s="3"/>
      <c r="IT117" s="3"/>
      <c r="IU117" s="3"/>
      <c r="IV117" s="3"/>
      <c r="IW117" s="3"/>
      <c r="IX117" s="3"/>
      <c r="IY117" s="3"/>
      <c r="IZ117" s="3"/>
      <c r="JA117" s="3"/>
      <c r="JB117" s="3"/>
      <c r="JC117" s="3"/>
      <c r="JD117" s="3"/>
      <c r="JE117" s="3"/>
      <c r="JF117" s="3"/>
      <c r="JG117" s="3"/>
      <c r="JH117" s="3"/>
      <c r="JI117" s="3"/>
      <c r="JJ117" s="3"/>
      <c r="JK117" s="3"/>
      <c r="JL117" s="3"/>
      <c r="JM117" s="3"/>
      <c r="JN117" s="3"/>
      <c r="JO117" s="3"/>
      <c r="JP117" s="3"/>
      <c r="JQ117" s="3"/>
      <c r="JR117" s="3"/>
      <c r="JS117" s="3"/>
      <c r="JT117" s="3"/>
      <c r="JU117" s="3"/>
      <c r="JV117" s="3"/>
      <c r="JW117" s="3"/>
      <c r="JX117" s="3"/>
      <c r="JY117" s="3"/>
      <c r="JZ117" s="3"/>
      <c r="KA117" s="3"/>
      <c r="KB117" s="3"/>
      <c r="KC117" s="3"/>
      <c r="KD117" s="3"/>
      <c r="KE117" s="3"/>
      <c r="KF117" s="3"/>
      <c r="KG117" s="3"/>
      <c r="KH117" s="3"/>
      <c r="KI117" s="3"/>
      <c r="KJ117" s="3"/>
      <c r="KK117" s="3"/>
      <c r="KL117" s="3"/>
      <c r="KM117" s="3"/>
      <c r="KN117" s="3"/>
      <c r="KO117" s="3"/>
      <c r="KP117" s="3"/>
      <c r="KQ117" s="3"/>
      <c r="KR117" s="3"/>
      <c r="KS117" s="3"/>
      <c r="KT117" s="3"/>
      <c r="KU117" s="3"/>
      <c r="KV117" s="3"/>
      <c r="KW117" s="3"/>
      <c r="KX117" s="3"/>
      <c r="KY117" s="3"/>
      <c r="KZ117" s="3"/>
      <c r="LA117" s="3"/>
      <c r="LB117" s="3"/>
      <c r="LC117" s="3"/>
      <c r="LD117" s="3"/>
      <c r="LE117" s="3"/>
      <c r="LF117" s="3"/>
      <c r="LG117" s="3"/>
      <c r="LH117" s="3"/>
      <c r="LI117" s="3"/>
      <c r="LJ117" s="3"/>
      <c r="LK117" s="3"/>
      <c r="LL117" s="3"/>
      <c r="LM117" s="3"/>
      <c r="LN117" s="3"/>
      <c r="LO117" s="3"/>
      <c r="LP117" s="3"/>
      <c r="LQ117" s="3"/>
      <c r="LR117" s="3"/>
      <c r="LS117" s="3"/>
      <c r="LT117" s="3"/>
      <c r="LU117" s="3"/>
      <c r="LV117" s="3"/>
      <c r="LW117" s="3"/>
      <c r="LX117" s="3"/>
      <c r="LY117" s="3"/>
      <c r="LZ117" s="3"/>
      <c r="MA117" s="3"/>
      <c r="MB117" s="3"/>
      <c r="MC117" s="3"/>
      <c r="MD117" s="3"/>
      <c r="ME117" s="3"/>
      <c r="MF117" s="3"/>
      <c r="MG117" s="3"/>
      <c r="MH117" s="3"/>
      <c r="MI117" s="3"/>
      <c r="MJ117" s="3"/>
      <c r="MK117" s="3"/>
      <c r="ML117" s="3"/>
      <c r="MM117" s="3"/>
      <c r="MN117" s="3"/>
      <c r="MO117" s="3"/>
      <c r="MP117" s="3"/>
      <c r="MQ117" s="3"/>
      <c r="MR117" s="3"/>
      <c r="MS117" s="3"/>
      <c r="MT117" s="3"/>
      <c r="MU117" s="3"/>
      <c r="MV117" s="3"/>
      <c r="MW117" s="3"/>
      <c r="MX117" s="3"/>
      <c r="MY117" s="3"/>
      <c r="MZ117" s="3"/>
      <c r="NA117" s="3"/>
      <c r="NB117" s="3"/>
      <c r="NC117" s="3"/>
      <c r="ND117" s="3"/>
      <c r="NE117" s="3"/>
      <c r="NF117" s="3"/>
      <c r="NG117" s="3"/>
      <c r="NH117" s="3"/>
      <c r="NI117" s="3"/>
      <c r="NJ117" s="3"/>
      <c r="NK117" s="3"/>
      <c r="NL117" s="3"/>
      <c r="NM117" s="3"/>
      <c r="NN117" s="3"/>
      <c r="NO117" s="3"/>
      <c r="NP117" s="3"/>
      <c r="NQ117" s="3"/>
      <c r="NR117" s="3"/>
      <c r="NS117" s="3"/>
      <c r="NT117" s="3"/>
      <c r="NU117" s="3"/>
      <c r="NV117" s="3"/>
      <c r="NW117" s="3"/>
      <c r="NX117" s="3"/>
      <c r="NY117" s="3"/>
      <c r="NZ117" s="3"/>
      <c r="OA117" s="3"/>
      <c r="OB117" s="3"/>
      <c r="OC117" s="3"/>
      <c r="OD117" s="3"/>
      <c r="OE117" s="3"/>
      <c r="OF117" s="3"/>
      <c r="OG117" s="3"/>
      <c r="OH117" s="3"/>
      <c r="OI117" s="3"/>
      <c r="OJ117" s="3"/>
      <c r="OK117" s="3"/>
      <c r="OL117" s="3"/>
      <c r="OM117" s="3"/>
      <c r="ON117" s="3"/>
      <c r="OO117" s="3"/>
      <c r="OP117" s="3"/>
      <c r="OQ117" s="3"/>
      <c r="OR117" s="3"/>
      <c r="OS117" s="3"/>
      <c r="OT117" s="3"/>
      <c r="OU117" s="3"/>
      <c r="OV117" s="3"/>
      <c r="OW117" s="3"/>
      <c r="OX117" s="3"/>
      <c r="OY117" s="3"/>
      <c r="OZ117" s="3"/>
      <c r="PA117" s="3"/>
      <c r="PB117" s="3"/>
      <c r="PC117" s="3"/>
      <c r="PD117" s="3"/>
      <c r="PE117" s="3"/>
      <c r="PF117" s="3"/>
      <c r="PG117" s="3"/>
      <c r="PH117" s="3"/>
      <c r="PI117" s="3"/>
      <c r="PJ117" s="3"/>
      <c r="PK117" s="3"/>
      <c r="PL117" s="3"/>
      <c r="PM117" s="3"/>
      <c r="PN117" s="3"/>
      <c r="PO117" s="3"/>
      <c r="PP117" s="3"/>
      <c r="PQ117" s="3"/>
      <c r="PR117" s="3"/>
      <c r="PS117" s="3"/>
      <c r="PT117" s="3"/>
      <c r="PU117" s="3"/>
      <c r="PV117" s="3"/>
      <c r="PW117" s="3"/>
      <c r="PX117" s="3"/>
      <c r="PY117" s="3"/>
      <c r="PZ117" s="3"/>
      <c r="QA117" s="3"/>
      <c r="QB117" s="3"/>
      <c r="QC117" s="3"/>
      <c r="QD117" s="3"/>
      <c r="QE117" s="3"/>
      <c r="QF117" s="3"/>
      <c r="QG117" s="3"/>
      <c r="QH117" s="3"/>
      <c r="QI117" s="3"/>
      <c r="QJ117" s="3"/>
      <c r="QK117" s="3"/>
      <c r="QL117" s="3"/>
      <c r="QM117" s="3"/>
      <c r="QN117" s="3"/>
      <c r="QO117" s="3"/>
      <c r="QP117" s="3"/>
      <c r="QQ117" s="3"/>
      <c r="QR117" s="3"/>
      <c r="QS117" s="3"/>
      <c r="QT117" s="3"/>
      <c r="QU117" s="3"/>
      <c r="QV117" s="3"/>
      <c r="QW117" s="3"/>
      <c r="QX117" s="3"/>
      <c r="QY117" s="3"/>
      <c r="QZ117" s="3"/>
      <c r="RA117" s="3"/>
      <c r="RB117" s="3"/>
      <c r="RC117" s="3"/>
      <c r="RD117" s="3"/>
      <c r="RE117" s="3"/>
      <c r="RF117" s="3"/>
      <c r="RG117" s="3"/>
      <c r="RH117" s="3"/>
      <c r="RI117" s="3"/>
      <c r="RJ117" s="3"/>
      <c r="RK117" s="3"/>
      <c r="RL117" s="3"/>
      <c r="RM117" s="3"/>
      <c r="RN117" s="3"/>
      <c r="RO117" s="3"/>
      <c r="RP117" s="3"/>
      <c r="RQ117" s="3"/>
      <c r="RR117" s="3"/>
      <c r="RS117" s="3"/>
      <c r="RT117" s="3"/>
      <c r="RU117" s="3"/>
      <c r="RV117" s="3"/>
      <c r="RW117" s="3"/>
      <c r="RX117" s="3"/>
      <c r="RY117" s="3"/>
      <c r="RZ117" s="3"/>
      <c r="SA117" s="3"/>
      <c r="SB117" s="3"/>
      <c r="SC117" s="3"/>
      <c r="SD117" s="3"/>
      <c r="SE117" s="3"/>
      <c r="SF117" s="3"/>
      <c r="SG117" s="3"/>
      <c r="SH117" s="3"/>
      <c r="SI117" s="3"/>
      <c r="SJ117" s="3"/>
      <c r="SK117" s="3"/>
      <c r="SL117" s="3"/>
      <c r="SM117" s="3"/>
      <c r="SN117" s="3"/>
      <c r="SO117" s="3"/>
      <c r="SP117" s="3"/>
      <c r="SQ117" s="3"/>
      <c r="SR117" s="3"/>
      <c r="SS117" s="3"/>
      <c r="ST117" s="3"/>
      <c r="SU117" s="3"/>
      <c r="SV117" s="3"/>
      <c r="SW117" s="3"/>
      <c r="SX117" s="3"/>
      <c r="SY117" s="3"/>
      <c r="SZ117" s="3"/>
      <c r="TA117" s="3"/>
      <c r="TB117" s="3"/>
      <c r="TC117" s="3"/>
      <c r="TD117" s="3"/>
      <c r="TE117" s="3"/>
      <c r="TF117" s="3"/>
      <c r="TG117" s="3"/>
      <c r="TH117" s="3"/>
      <c r="TI117" s="3"/>
      <c r="TJ117" s="3"/>
      <c r="TK117" s="3"/>
      <c r="TL117" s="3"/>
      <c r="TM117" s="3"/>
      <c r="TN117" s="3"/>
      <c r="TO117" s="3"/>
      <c r="TP117" s="3"/>
      <c r="TQ117" s="3"/>
      <c r="TR117" s="3"/>
      <c r="TS117" s="3"/>
      <c r="TT117" s="3"/>
      <c r="TU117" s="3"/>
      <c r="TV117" s="3"/>
      <c r="TW117" s="3"/>
      <c r="TX117" s="3"/>
      <c r="TY117" s="3"/>
      <c r="TZ117" s="3"/>
      <c r="UA117" s="3"/>
      <c r="UB117" s="3"/>
      <c r="UC117" s="3"/>
      <c r="UD117" s="3"/>
      <c r="UE117" s="3"/>
      <c r="UF117" s="3"/>
      <c r="UG117" s="3"/>
      <c r="UH117" s="3"/>
      <c r="UI117" s="3"/>
      <c r="UJ117" s="3"/>
      <c r="UK117" s="3"/>
      <c r="UL117" s="3"/>
      <c r="UM117" s="3"/>
      <c r="UN117" s="3"/>
      <c r="UO117" s="3"/>
      <c r="UP117" s="3"/>
      <c r="UQ117" s="3"/>
      <c r="UR117" s="3"/>
      <c r="US117" s="3"/>
      <c r="UT117" s="3"/>
      <c r="UU117" s="3"/>
      <c r="UV117" s="3"/>
      <c r="UW117" s="3"/>
      <c r="UX117" s="3"/>
      <c r="UY117" s="3"/>
      <c r="UZ117" s="3"/>
      <c r="VA117" s="3"/>
      <c r="VB117" s="3"/>
      <c r="VC117" s="3"/>
      <c r="VD117" s="3"/>
      <c r="VE117" s="3"/>
      <c r="VF117" s="3"/>
      <c r="VG117" s="3"/>
      <c r="VH117" s="3"/>
      <c r="VI117" s="3"/>
      <c r="VJ117" s="3"/>
      <c r="VK117" s="3"/>
      <c r="VL117" s="3"/>
      <c r="VM117" s="3"/>
      <c r="VN117" s="3"/>
      <c r="VO117" s="3"/>
      <c r="VP117" s="3"/>
      <c r="VQ117" s="3"/>
      <c r="VR117" s="3"/>
      <c r="VS117" s="3"/>
      <c r="VT117" s="3"/>
      <c r="VU117" s="3"/>
      <c r="VV117" s="3"/>
      <c r="VW117" s="3"/>
      <c r="VX117" s="3"/>
      <c r="VY117" s="3"/>
      <c r="VZ117" s="3"/>
      <c r="WA117" s="3"/>
      <c r="WB117" s="3"/>
      <c r="WC117" s="3"/>
      <c r="WD117" s="3"/>
      <c r="WE117" s="3"/>
      <c r="WF117" s="3"/>
      <c r="WG117" s="3"/>
      <c r="WH117" s="3"/>
      <c r="WI117" s="3"/>
      <c r="WJ117" s="3"/>
      <c r="WK117" s="3"/>
      <c r="WL117" s="3"/>
      <c r="WM117" s="3"/>
      <c r="WN117" s="3"/>
      <c r="WO117" s="3"/>
      <c r="WP117" s="3"/>
      <c r="WQ117" s="3"/>
      <c r="WR117" s="3"/>
      <c r="WS117" s="3"/>
      <c r="WT117" s="3"/>
      <c r="WU117" s="3"/>
      <c r="WV117" s="3"/>
      <c r="WW117" s="3"/>
      <c r="WX117" s="3"/>
      <c r="WY117" s="3"/>
      <c r="WZ117" s="3"/>
      <c r="XA117" s="3"/>
      <c r="XB117" s="3"/>
      <c r="XC117" s="3"/>
      <c r="XD117" s="3"/>
      <c r="XE117" s="3"/>
      <c r="XF117" s="3"/>
      <c r="XG117" s="3"/>
      <c r="XH117" s="3"/>
      <c r="XI117" s="3"/>
      <c r="XJ117" s="3"/>
      <c r="XK117" s="3"/>
      <c r="XL117" s="3"/>
      <c r="XM117" s="3"/>
      <c r="XN117" s="3"/>
      <c r="XO117" s="3"/>
      <c r="XP117" s="3"/>
      <c r="XQ117" s="3"/>
      <c r="XR117" s="3"/>
      <c r="XS117" s="3"/>
      <c r="XT117" s="3"/>
      <c r="XU117" s="3"/>
      <c r="XV117" s="3"/>
      <c r="XW117" s="3"/>
      <c r="XX117" s="3"/>
      <c r="XY117" s="3"/>
      <c r="XZ117" s="3"/>
      <c r="YA117" s="3"/>
      <c r="YB117" s="3"/>
      <c r="YC117" s="3"/>
      <c r="YD117" s="3"/>
      <c r="YE117" s="3"/>
      <c r="YF117" s="3"/>
      <c r="YG117" s="3"/>
      <c r="YH117" s="3"/>
      <c r="YI117" s="3"/>
      <c r="YJ117" s="3"/>
      <c r="YK117" s="3"/>
      <c r="YL117" s="3"/>
      <c r="YM117" s="3"/>
      <c r="YN117" s="3"/>
      <c r="YO117" s="3"/>
      <c r="YP117" s="3"/>
      <c r="YQ117" s="3"/>
      <c r="YR117" s="3"/>
      <c r="YS117" s="3"/>
      <c r="YT117" s="3"/>
      <c r="YU117" s="3"/>
      <c r="YV117" s="3"/>
      <c r="YW117" s="3"/>
      <c r="YX117" s="3"/>
      <c r="YY117" s="3"/>
      <c r="YZ117" s="3"/>
      <c r="ZA117" s="3"/>
      <c r="ZB117" s="3"/>
      <c r="ZC117" s="3"/>
    </row>
    <row r="118" spans="1:679" s="2" customFormat="1" x14ac:dyDescent="0.45">
      <c r="A118" s="3" t="s">
        <v>11</v>
      </c>
      <c r="B118" s="4">
        <v>33724</v>
      </c>
      <c r="C118" s="7" t="s">
        <v>21</v>
      </c>
      <c r="D118" s="6" t="s">
        <v>133</v>
      </c>
      <c r="E118" s="3"/>
      <c r="F118" s="3">
        <v>2</v>
      </c>
      <c r="L118" s="3"/>
      <c r="M118" s="3"/>
      <c r="N118" s="48"/>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3"/>
      <c r="DI118" s="3"/>
      <c r="DJ118" s="3"/>
      <c r="DK118" s="3"/>
      <c r="DL118" s="3"/>
      <c r="DM118" s="3"/>
      <c r="DN118" s="3"/>
      <c r="DO118" s="3"/>
      <c r="DP118" s="3"/>
      <c r="DQ118" s="3"/>
      <c r="DR118" s="3"/>
      <c r="DS118" s="3"/>
      <c r="DT118" s="3"/>
      <c r="DU118" s="3"/>
      <c r="DV118" s="3"/>
      <c r="DW118" s="3"/>
      <c r="DX118" s="3"/>
      <c r="DY118" s="3"/>
      <c r="DZ118" s="3"/>
      <c r="EA118" s="3"/>
      <c r="EB118" s="3"/>
      <c r="EC118" s="3"/>
      <c r="ED118" s="3"/>
      <c r="EE118" s="3"/>
      <c r="EF118" s="3"/>
      <c r="EG118" s="3"/>
      <c r="EH118" s="3"/>
      <c r="EI118" s="3"/>
      <c r="EJ118" s="3"/>
      <c r="EK118" s="3"/>
      <c r="EL118" s="3"/>
      <c r="EM118" s="3"/>
      <c r="EN118" s="3"/>
      <c r="EO118" s="3"/>
      <c r="EP118" s="3"/>
      <c r="EQ118" s="3"/>
      <c r="ER118" s="3"/>
      <c r="ES118" s="3"/>
      <c r="ET118" s="3"/>
      <c r="EU118" s="3"/>
      <c r="EV118" s="3"/>
      <c r="EW118" s="3"/>
      <c r="EX118" s="3"/>
      <c r="EY118" s="3"/>
      <c r="EZ118" s="3"/>
      <c r="FA118" s="3"/>
      <c r="FB118" s="3"/>
      <c r="FC118" s="3"/>
      <c r="FD118" s="3"/>
      <c r="FE118" s="3"/>
      <c r="FF118" s="3"/>
      <c r="FG118" s="3"/>
      <c r="FH118" s="3"/>
      <c r="FI118" s="3"/>
      <c r="FJ118" s="3"/>
      <c r="FK118" s="3"/>
      <c r="FL118" s="3"/>
      <c r="FM118" s="3"/>
      <c r="FN118" s="3"/>
      <c r="FO118" s="3"/>
      <c r="FP118" s="3"/>
      <c r="FQ118" s="3"/>
      <c r="FR118" s="3"/>
      <c r="FS118" s="3"/>
      <c r="FT118" s="3"/>
      <c r="FU118" s="3"/>
      <c r="FV118" s="3"/>
      <c r="FW118" s="3"/>
      <c r="FX118" s="3"/>
      <c r="FY118" s="3"/>
      <c r="FZ118" s="3"/>
      <c r="GA118" s="3"/>
      <c r="GB118" s="3"/>
      <c r="GC118" s="3"/>
      <c r="GD118" s="3"/>
      <c r="GE118" s="3"/>
      <c r="GF118" s="3"/>
      <c r="GG118" s="3"/>
      <c r="GH118" s="3"/>
      <c r="GI118" s="3"/>
      <c r="GJ118" s="3"/>
      <c r="GK118" s="3"/>
      <c r="GL118" s="3"/>
      <c r="GM118" s="3"/>
      <c r="GN118" s="3"/>
      <c r="GO118" s="3"/>
      <c r="GP118" s="3"/>
      <c r="GQ118" s="3"/>
      <c r="GR118" s="3"/>
      <c r="GS118" s="3"/>
      <c r="GT118" s="3"/>
      <c r="GU118" s="3"/>
      <c r="GV118" s="3"/>
      <c r="GW118" s="3"/>
      <c r="GX118" s="3"/>
      <c r="GY118" s="3"/>
      <c r="GZ118" s="3"/>
      <c r="HA118" s="3"/>
      <c r="HB118" s="3"/>
      <c r="HC118" s="3"/>
      <c r="HD118" s="3"/>
      <c r="HE118" s="3"/>
      <c r="HF118" s="3"/>
      <c r="HG118" s="3"/>
      <c r="HH118" s="3"/>
      <c r="HI118" s="3"/>
      <c r="HJ118" s="3"/>
      <c r="HK118" s="3"/>
      <c r="HL118" s="3"/>
      <c r="HM118" s="3"/>
      <c r="HN118" s="3"/>
      <c r="HO118" s="3"/>
      <c r="HP118" s="3"/>
      <c r="HQ118" s="3"/>
      <c r="HR118" s="3"/>
      <c r="HS118" s="3"/>
      <c r="HT118" s="3"/>
      <c r="HU118" s="3"/>
      <c r="HV118" s="3"/>
      <c r="HW118" s="3"/>
      <c r="HX118" s="3"/>
      <c r="HY118" s="3"/>
      <c r="HZ118" s="3"/>
      <c r="IA118" s="3"/>
      <c r="IB118" s="3"/>
      <c r="IC118" s="3"/>
      <c r="ID118" s="3"/>
      <c r="IE118" s="3"/>
      <c r="IF118" s="3"/>
      <c r="IG118" s="3"/>
      <c r="IH118" s="3"/>
      <c r="II118" s="3"/>
      <c r="IJ118" s="3"/>
      <c r="IK118" s="3"/>
      <c r="IL118" s="3"/>
      <c r="IM118" s="3"/>
      <c r="IN118" s="3"/>
      <c r="IO118" s="3"/>
      <c r="IP118" s="3"/>
      <c r="IQ118" s="3"/>
      <c r="IR118" s="3"/>
      <c r="IS118" s="3"/>
      <c r="IT118" s="3"/>
      <c r="IU118" s="3"/>
      <c r="IV118" s="3"/>
      <c r="IW118" s="3"/>
      <c r="IX118" s="3"/>
      <c r="IY118" s="3"/>
      <c r="IZ118" s="3"/>
      <c r="JA118" s="3"/>
      <c r="JB118" s="3"/>
      <c r="JC118" s="3"/>
      <c r="JD118" s="3"/>
      <c r="JE118" s="3"/>
      <c r="JF118" s="3"/>
      <c r="JG118" s="3"/>
      <c r="JH118" s="3"/>
      <c r="JI118" s="3"/>
      <c r="JJ118" s="3"/>
      <c r="JK118" s="3"/>
      <c r="JL118" s="3"/>
      <c r="JM118" s="3"/>
      <c r="JN118" s="3"/>
      <c r="JO118" s="3"/>
      <c r="JP118" s="3"/>
      <c r="JQ118" s="3"/>
      <c r="JR118" s="3"/>
      <c r="JS118" s="3"/>
      <c r="JT118" s="3"/>
      <c r="JU118" s="3"/>
      <c r="JV118" s="3"/>
      <c r="JW118" s="3"/>
      <c r="JX118" s="3"/>
      <c r="JY118" s="3"/>
      <c r="JZ118" s="3"/>
      <c r="KA118" s="3"/>
      <c r="KB118" s="3"/>
      <c r="KC118" s="3"/>
      <c r="KD118" s="3"/>
      <c r="KE118" s="3"/>
      <c r="KF118" s="3"/>
      <c r="KG118" s="3"/>
      <c r="KH118" s="3"/>
      <c r="KI118" s="3"/>
      <c r="KJ118" s="3"/>
      <c r="KK118" s="3"/>
      <c r="KL118" s="3"/>
      <c r="KM118" s="3"/>
      <c r="KN118" s="3"/>
      <c r="KO118" s="3"/>
      <c r="KP118" s="3"/>
      <c r="KQ118" s="3"/>
      <c r="KR118" s="3"/>
      <c r="KS118" s="3"/>
      <c r="KT118" s="3"/>
      <c r="KU118" s="3"/>
      <c r="KV118" s="3"/>
      <c r="KW118" s="3"/>
      <c r="KX118" s="3"/>
      <c r="KY118" s="3"/>
      <c r="KZ118" s="3"/>
      <c r="LA118" s="3"/>
      <c r="LB118" s="3"/>
      <c r="LC118" s="3"/>
      <c r="LD118" s="3"/>
      <c r="LE118" s="3"/>
      <c r="LF118" s="3"/>
      <c r="LG118" s="3"/>
      <c r="LH118" s="3"/>
      <c r="LI118" s="3"/>
      <c r="LJ118" s="3"/>
      <c r="LK118" s="3"/>
      <c r="LL118" s="3"/>
      <c r="LM118" s="3"/>
      <c r="LN118" s="3"/>
      <c r="LO118" s="3"/>
      <c r="LP118" s="3"/>
      <c r="LQ118" s="3"/>
      <c r="LR118" s="3"/>
      <c r="LS118" s="3"/>
      <c r="LT118" s="3"/>
      <c r="LU118" s="3"/>
      <c r="LV118" s="3"/>
      <c r="LW118" s="3"/>
      <c r="LX118" s="3"/>
      <c r="LY118" s="3"/>
      <c r="LZ118" s="3"/>
      <c r="MA118" s="3"/>
      <c r="MB118" s="3"/>
      <c r="MC118" s="3"/>
      <c r="MD118" s="3"/>
      <c r="ME118" s="3"/>
      <c r="MF118" s="3"/>
      <c r="MG118" s="3"/>
      <c r="MH118" s="3"/>
      <c r="MI118" s="3"/>
      <c r="MJ118" s="3"/>
      <c r="MK118" s="3"/>
      <c r="ML118" s="3"/>
      <c r="MM118" s="3"/>
      <c r="MN118" s="3"/>
      <c r="MO118" s="3"/>
      <c r="MP118" s="3"/>
      <c r="MQ118" s="3"/>
      <c r="MR118" s="3"/>
      <c r="MS118" s="3"/>
      <c r="MT118" s="3"/>
      <c r="MU118" s="3"/>
      <c r="MV118" s="3"/>
      <c r="MW118" s="3"/>
      <c r="MX118" s="3"/>
      <c r="MY118" s="3"/>
      <c r="MZ118" s="3"/>
      <c r="NA118" s="3"/>
      <c r="NB118" s="3"/>
      <c r="NC118" s="3"/>
      <c r="ND118" s="3"/>
      <c r="NE118" s="3"/>
      <c r="NF118" s="3"/>
      <c r="NG118" s="3"/>
      <c r="NH118" s="3"/>
      <c r="NI118" s="3"/>
      <c r="NJ118" s="3"/>
      <c r="NK118" s="3"/>
      <c r="NL118" s="3"/>
      <c r="NM118" s="3"/>
      <c r="NN118" s="3"/>
      <c r="NO118" s="3"/>
      <c r="NP118" s="3"/>
      <c r="NQ118" s="3"/>
      <c r="NR118" s="3"/>
      <c r="NS118" s="3"/>
      <c r="NT118" s="3"/>
      <c r="NU118" s="3"/>
      <c r="NV118" s="3"/>
      <c r="NW118" s="3"/>
      <c r="NX118" s="3"/>
      <c r="NY118" s="3"/>
      <c r="NZ118" s="3"/>
      <c r="OA118" s="3"/>
      <c r="OB118" s="3"/>
      <c r="OC118" s="3"/>
      <c r="OD118" s="3"/>
      <c r="OE118" s="3"/>
      <c r="OF118" s="3"/>
      <c r="OG118" s="3"/>
      <c r="OH118" s="3"/>
      <c r="OI118" s="3"/>
      <c r="OJ118" s="3"/>
      <c r="OK118" s="3"/>
      <c r="OL118" s="3"/>
      <c r="OM118" s="3"/>
      <c r="ON118" s="3"/>
      <c r="OO118" s="3"/>
      <c r="OP118" s="3"/>
      <c r="OQ118" s="3"/>
      <c r="OR118" s="3"/>
      <c r="OS118" s="3"/>
      <c r="OT118" s="3"/>
      <c r="OU118" s="3"/>
      <c r="OV118" s="3"/>
      <c r="OW118" s="3"/>
      <c r="OX118" s="3"/>
      <c r="OY118" s="3"/>
      <c r="OZ118" s="3"/>
      <c r="PA118" s="3"/>
      <c r="PB118" s="3"/>
      <c r="PC118" s="3"/>
      <c r="PD118" s="3"/>
      <c r="PE118" s="3"/>
      <c r="PF118" s="3"/>
      <c r="PG118" s="3"/>
      <c r="PH118" s="3"/>
      <c r="PI118" s="3"/>
      <c r="PJ118" s="3"/>
      <c r="PK118" s="3"/>
      <c r="PL118" s="3"/>
      <c r="PM118" s="3"/>
      <c r="PN118" s="3"/>
      <c r="PO118" s="3"/>
      <c r="PP118" s="3"/>
      <c r="PQ118" s="3"/>
      <c r="PR118" s="3"/>
      <c r="PS118" s="3"/>
      <c r="PT118" s="3"/>
      <c r="PU118" s="3"/>
      <c r="PV118" s="3"/>
      <c r="PW118" s="3"/>
      <c r="PX118" s="3"/>
      <c r="PY118" s="3"/>
      <c r="PZ118" s="3"/>
      <c r="QA118" s="3"/>
      <c r="QB118" s="3"/>
      <c r="QC118" s="3"/>
      <c r="QD118" s="3"/>
      <c r="QE118" s="3"/>
      <c r="QF118" s="3"/>
      <c r="QG118" s="3"/>
      <c r="QH118" s="3"/>
      <c r="QI118" s="3"/>
      <c r="QJ118" s="3"/>
      <c r="QK118" s="3"/>
      <c r="QL118" s="3"/>
      <c r="QM118" s="3"/>
      <c r="QN118" s="3"/>
      <c r="QO118" s="3"/>
      <c r="QP118" s="3"/>
      <c r="QQ118" s="3"/>
      <c r="QR118" s="3"/>
      <c r="QS118" s="3"/>
      <c r="QT118" s="3"/>
      <c r="QU118" s="3"/>
      <c r="QV118" s="3"/>
      <c r="QW118" s="3"/>
      <c r="QX118" s="3"/>
      <c r="QY118" s="3"/>
      <c r="QZ118" s="3"/>
      <c r="RA118" s="3"/>
      <c r="RB118" s="3"/>
      <c r="RC118" s="3"/>
      <c r="RD118" s="3"/>
      <c r="RE118" s="3"/>
      <c r="RF118" s="3"/>
      <c r="RG118" s="3"/>
      <c r="RH118" s="3"/>
      <c r="RI118" s="3"/>
      <c r="RJ118" s="3"/>
      <c r="RK118" s="3"/>
      <c r="RL118" s="3"/>
      <c r="RM118" s="3"/>
      <c r="RN118" s="3"/>
      <c r="RO118" s="3"/>
      <c r="RP118" s="3"/>
      <c r="RQ118" s="3"/>
      <c r="RR118" s="3"/>
      <c r="RS118" s="3"/>
      <c r="RT118" s="3"/>
      <c r="RU118" s="3"/>
      <c r="RV118" s="3"/>
      <c r="RW118" s="3"/>
      <c r="RX118" s="3"/>
      <c r="RY118" s="3"/>
      <c r="RZ118" s="3"/>
      <c r="SA118" s="3"/>
      <c r="SB118" s="3"/>
      <c r="SC118" s="3"/>
      <c r="SD118" s="3"/>
      <c r="SE118" s="3"/>
      <c r="SF118" s="3"/>
      <c r="SG118" s="3"/>
      <c r="SH118" s="3"/>
      <c r="SI118" s="3"/>
      <c r="SJ118" s="3"/>
      <c r="SK118" s="3"/>
      <c r="SL118" s="3"/>
      <c r="SM118" s="3"/>
      <c r="SN118" s="3"/>
      <c r="SO118" s="3"/>
      <c r="SP118" s="3"/>
      <c r="SQ118" s="3"/>
      <c r="SR118" s="3"/>
      <c r="SS118" s="3"/>
      <c r="ST118" s="3"/>
      <c r="SU118" s="3"/>
      <c r="SV118" s="3"/>
      <c r="SW118" s="3"/>
      <c r="SX118" s="3"/>
      <c r="SY118" s="3"/>
      <c r="SZ118" s="3"/>
      <c r="TA118" s="3"/>
      <c r="TB118" s="3"/>
      <c r="TC118" s="3"/>
      <c r="TD118" s="3"/>
      <c r="TE118" s="3"/>
      <c r="TF118" s="3"/>
      <c r="TG118" s="3"/>
      <c r="TH118" s="3"/>
      <c r="TI118" s="3"/>
      <c r="TJ118" s="3"/>
      <c r="TK118" s="3"/>
      <c r="TL118" s="3"/>
      <c r="TM118" s="3"/>
      <c r="TN118" s="3"/>
      <c r="TO118" s="3"/>
      <c r="TP118" s="3"/>
      <c r="TQ118" s="3"/>
      <c r="TR118" s="3"/>
      <c r="TS118" s="3"/>
      <c r="TT118" s="3"/>
      <c r="TU118" s="3"/>
      <c r="TV118" s="3"/>
      <c r="TW118" s="3"/>
      <c r="TX118" s="3"/>
      <c r="TY118" s="3"/>
      <c r="TZ118" s="3"/>
      <c r="UA118" s="3"/>
      <c r="UB118" s="3"/>
      <c r="UC118" s="3"/>
      <c r="UD118" s="3"/>
      <c r="UE118" s="3"/>
      <c r="UF118" s="3"/>
      <c r="UG118" s="3"/>
      <c r="UH118" s="3"/>
      <c r="UI118" s="3"/>
      <c r="UJ118" s="3"/>
      <c r="UK118" s="3"/>
      <c r="UL118" s="3"/>
      <c r="UM118" s="3"/>
      <c r="UN118" s="3"/>
      <c r="UO118" s="3"/>
      <c r="UP118" s="3"/>
      <c r="UQ118" s="3"/>
      <c r="UR118" s="3"/>
      <c r="US118" s="3"/>
      <c r="UT118" s="3"/>
      <c r="UU118" s="3"/>
      <c r="UV118" s="3"/>
      <c r="UW118" s="3"/>
      <c r="UX118" s="3"/>
      <c r="UY118" s="3"/>
      <c r="UZ118" s="3"/>
      <c r="VA118" s="3"/>
      <c r="VB118" s="3"/>
      <c r="VC118" s="3"/>
      <c r="VD118" s="3"/>
      <c r="VE118" s="3"/>
      <c r="VF118" s="3"/>
      <c r="VG118" s="3"/>
      <c r="VH118" s="3"/>
      <c r="VI118" s="3"/>
      <c r="VJ118" s="3"/>
      <c r="VK118" s="3"/>
      <c r="VL118" s="3"/>
      <c r="VM118" s="3"/>
      <c r="VN118" s="3"/>
      <c r="VO118" s="3"/>
      <c r="VP118" s="3"/>
      <c r="VQ118" s="3"/>
      <c r="VR118" s="3"/>
      <c r="VS118" s="3"/>
      <c r="VT118" s="3"/>
      <c r="VU118" s="3"/>
      <c r="VV118" s="3"/>
      <c r="VW118" s="3"/>
      <c r="VX118" s="3"/>
      <c r="VY118" s="3"/>
      <c r="VZ118" s="3"/>
      <c r="WA118" s="3"/>
      <c r="WB118" s="3"/>
      <c r="WC118" s="3"/>
      <c r="WD118" s="3"/>
      <c r="WE118" s="3"/>
      <c r="WF118" s="3"/>
      <c r="WG118" s="3"/>
      <c r="WH118" s="3"/>
      <c r="WI118" s="3"/>
      <c r="WJ118" s="3"/>
      <c r="WK118" s="3"/>
      <c r="WL118" s="3"/>
      <c r="WM118" s="3"/>
      <c r="WN118" s="3"/>
      <c r="WO118" s="3"/>
      <c r="WP118" s="3"/>
      <c r="WQ118" s="3"/>
      <c r="WR118" s="3"/>
      <c r="WS118" s="3"/>
      <c r="WT118" s="3"/>
      <c r="WU118" s="3"/>
      <c r="WV118" s="3"/>
      <c r="WW118" s="3"/>
      <c r="WX118" s="3"/>
      <c r="WY118" s="3"/>
      <c r="WZ118" s="3"/>
      <c r="XA118" s="3"/>
      <c r="XB118" s="3"/>
      <c r="XC118" s="3"/>
      <c r="XD118" s="3"/>
      <c r="XE118" s="3"/>
      <c r="XF118" s="3"/>
      <c r="XG118" s="3"/>
      <c r="XH118" s="3"/>
      <c r="XI118" s="3"/>
      <c r="XJ118" s="3"/>
      <c r="XK118" s="3"/>
      <c r="XL118" s="3"/>
      <c r="XM118" s="3"/>
      <c r="XN118" s="3"/>
      <c r="XO118" s="3"/>
      <c r="XP118" s="3"/>
      <c r="XQ118" s="3"/>
      <c r="XR118" s="3"/>
      <c r="XS118" s="3"/>
      <c r="XT118" s="3"/>
      <c r="XU118" s="3"/>
      <c r="XV118" s="3"/>
      <c r="XW118" s="3"/>
      <c r="XX118" s="3"/>
      <c r="XY118" s="3"/>
      <c r="XZ118" s="3"/>
      <c r="YA118" s="3"/>
      <c r="YB118" s="3"/>
      <c r="YC118" s="3"/>
      <c r="YD118" s="3"/>
      <c r="YE118" s="3"/>
      <c r="YF118" s="3"/>
      <c r="YG118" s="3"/>
      <c r="YH118" s="3"/>
      <c r="YI118" s="3"/>
      <c r="YJ118" s="3"/>
      <c r="YK118" s="3"/>
      <c r="YL118" s="3"/>
      <c r="YM118" s="3"/>
      <c r="YN118" s="3"/>
      <c r="YO118" s="3"/>
      <c r="YP118" s="3"/>
      <c r="YQ118" s="3"/>
      <c r="YR118" s="3"/>
      <c r="YS118" s="3"/>
      <c r="YT118" s="3"/>
      <c r="YU118" s="3"/>
      <c r="YV118" s="3"/>
      <c r="YW118" s="3"/>
      <c r="YX118" s="3"/>
      <c r="YY118" s="3"/>
      <c r="YZ118" s="3"/>
      <c r="ZA118" s="3"/>
      <c r="ZB118" s="3"/>
      <c r="ZC118" s="3"/>
    </row>
    <row r="119" spans="1:679" s="2" customFormat="1" x14ac:dyDescent="0.45">
      <c r="A119" s="3" t="s">
        <v>11</v>
      </c>
      <c r="B119" s="4">
        <v>33764</v>
      </c>
      <c r="C119" s="7" t="s">
        <v>21</v>
      </c>
      <c r="D119" s="6" t="s">
        <v>134</v>
      </c>
      <c r="E119" s="3"/>
      <c r="F119" s="3">
        <v>8</v>
      </c>
      <c r="L119" s="3"/>
      <c r="M119" s="3"/>
      <c r="N119" s="48"/>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3"/>
      <c r="CW119" s="3"/>
      <c r="CX119" s="3"/>
      <c r="CY119" s="3"/>
      <c r="CZ119" s="3"/>
      <c r="DA119" s="3"/>
      <c r="DB119" s="3"/>
      <c r="DC119" s="3"/>
      <c r="DD119" s="3"/>
      <c r="DE119" s="3"/>
      <c r="DF119" s="3"/>
      <c r="DG119" s="3"/>
      <c r="DH119" s="3"/>
      <c r="DI119" s="3"/>
      <c r="DJ119" s="3"/>
      <c r="DK119" s="3"/>
      <c r="DL119" s="3"/>
      <c r="DM119" s="3"/>
      <c r="DN119" s="3"/>
      <c r="DO119" s="3"/>
      <c r="DP119" s="3"/>
      <c r="DQ119" s="3"/>
      <c r="DR119" s="3"/>
      <c r="DS119" s="3"/>
      <c r="DT119" s="3"/>
      <c r="DU119" s="3"/>
      <c r="DV119" s="3"/>
      <c r="DW119" s="3"/>
      <c r="DX119" s="3"/>
      <c r="DY119" s="3"/>
      <c r="DZ119" s="3"/>
      <c r="EA119" s="3"/>
      <c r="EB119" s="3"/>
      <c r="EC119" s="3"/>
      <c r="ED119" s="3"/>
      <c r="EE119" s="3"/>
      <c r="EF119" s="3"/>
      <c r="EG119" s="3"/>
      <c r="EH119" s="3"/>
      <c r="EI119" s="3"/>
      <c r="EJ119" s="3"/>
      <c r="EK119" s="3"/>
      <c r="EL119" s="3"/>
      <c r="EM119" s="3"/>
      <c r="EN119" s="3"/>
      <c r="EO119" s="3"/>
      <c r="EP119" s="3"/>
      <c r="EQ119" s="3"/>
      <c r="ER119" s="3"/>
      <c r="ES119" s="3"/>
      <c r="ET119" s="3"/>
      <c r="EU119" s="3"/>
      <c r="EV119" s="3"/>
      <c r="EW119" s="3"/>
      <c r="EX119" s="3"/>
      <c r="EY119" s="3"/>
      <c r="EZ119" s="3"/>
      <c r="FA119" s="3"/>
      <c r="FB119" s="3"/>
      <c r="FC119" s="3"/>
      <c r="FD119" s="3"/>
      <c r="FE119" s="3"/>
      <c r="FF119" s="3"/>
      <c r="FG119" s="3"/>
      <c r="FH119" s="3"/>
      <c r="FI119" s="3"/>
      <c r="FJ119" s="3"/>
      <c r="FK119" s="3"/>
      <c r="FL119" s="3"/>
      <c r="FM119" s="3"/>
      <c r="FN119" s="3"/>
      <c r="FO119" s="3"/>
      <c r="FP119" s="3"/>
      <c r="FQ119" s="3"/>
      <c r="FR119" s="3"/>
      <c r="FS119" s="3"/>
      <c r="FT119" s="3"/>
      <c r="FU119" s="3"/>
      <c r="FV119" s="3"/>
      <c r="FW119" s="3"/>
      <c r="FX119" s="3"/>
      <c r="FY119" s="3"/>
      <c r="FZ119" s="3"/>
      <c r="GA119" s="3"/>
      <c r="GB119" s="3"/>
      <c r="GC119" s="3"/>
      <c r="GD119" s="3"/>
      <c r="GE119" s="3"/>
      <c r="GF119" s="3"/>
      <c r="GG119" s="3"/>
      <c r="GH119" s="3"/>
      <c r="GI119" s="3"/>
      <c r="GJ119" s="3"/>
      <c r="GK119" s="3"/>
      <c r="GL119" s="3"/>
      <c r="GM119" s="3"/>
      <c r="GN119" s="3"/>
      <c r="GO119" s="3"/>
      <c r="GP119" s="3"/>
      <c r="GQ119" s="3"/>
      <c r="GR119" s="3"/>
      <c r="GS119" s="3"/>
      <c r="GT119" s="3"/>
      <c r="GU119" s="3"/>
      <c r="GV119" s="3"/>
      <c r="GW119" s="3"/>
      <c r="GX119" s="3"/>
      <c r="GY119" s="3"/>
      <c r="GZ119" s="3"/>
      <c r="HA119" s="3"/>
      <c r="HB119" s="3"/>
      <c r="HC119" s="3"/>
      <c r="HD119" s="3"/>
      <c r="HE119" s="3"/>
      <c r="HF119" s="3"/>
      <c r="HG119" s="3"/>
      <c r="HH119" s="3"/>
      <c r="HI119" s="3"/>
      <c r="HJ119" s="3"/>
      <c r="HK119" s="3"/>
      <c r="HL119" s="3"/>
      <c r="HM119" s="3"/>
      <c r="HN119" s="3"/>
      <c r="HO119" s="3"/>
      <c r="HP119" s="3"/>
      <c r="HQ119" s="3"/>
      <c r="HR119" s="3"/>
      <c r="HS119" s="3"/>
      <c r="HT119" s="3"/>
      <c r="HU119" s="3"/>
      <c r="HV119" s="3"/>
      <c r="HW119" s="3"/>
      <c r="HX119" s="3"/>
      <c r="HY119" s="3"/>
      <c r="HZ119" s="3"/>
      <c r="IA119" s="3"/>
      <c r="IB119" s="3"/>
      <c r="IC119" s="3"/>
      <c r="ID119" s="3"/>
      <c r="IE119" s="3"/>
      <c r="IF119" s="3"/>
      <c r="IG119" s="3"/>
      <c r="IH119" s="3"/>
      <c r="II119" s="3"/>
      <c r="IJ119" s="3"/>
      <c r="IK119" s="3"/>
      <c r="IL119" s="3"/>
      <c r="IM119" s="3"/>
      <c r="IN119" s="3"/>
      <c r="IO119" s="3"/>
      <c r="IP119" s="3"/>
      <c r="IQ119" s="3"/>
      <c r="IR119" s="3"/>
      <c r="IS119" s="3"/>
      <c r="IT119" s="3"/>
      <c r="IU119" s="3"/>
      <c r="IV119" s="3"/>
      <c r="IW119" s="3"/>
      <c r="IX119" s="3"/>
      <c r="IY119" s="3"/>
      <c r="IZ119" s="3"/>
      <c r="JA119" s="3"/>
      <c r="JB119" s="3"/>
      <c r="JC119" s="3"/>
      <c r="JD119" s="3"/>
      <c r="JE119" s="3"/>
      <c r="JF119" s="3"/>
      <c r="JG119" s="3"/>
      <c r="JH119" s="3"/>
      <c r="JI119" s="3"/>
      <c r="JJ119" s="3"/>
      <c r="JK119" s="3"/>
      <c r="JL119" s="3"/>
      <c r="JM119" s="3"/>
      <c r="JN119" s="3"/>
      <c r="JO119" s="3"/>
      <c r="JP119" s="3"/>
      <c r="JQ119" s="3"/>
      <c r="JR119" s="3"/>
      <c r="JS119" s="3"/>
      <c r="JT119" s="3"/>
      <c r="JU119" s="3"/>
      <c r="JV119" s="3"/>
      <c r="JW119" s="3"/>
      <c r="JX119" s="3"/>
      <c r="JY119" s="3"/>
      <c r="JZ119" s="3"/>
      <c r="KA119" s="3"/>
      <c r="KB119" s="3"/>
      <c r="KC119" s="3"/>
      <c r="KD119" s="3"/>
      <c r="KE119" s="3"/>
      <c r="KF119" s="3"/>
      <c r="KG119" s="3"/>
      <c r="KH119" s="3"/>
      <c r="KI119" s="3"/>
      <c r="KJ119" s="3"/>
      <c r="KK119" s="3"/>
      <c r="KL119" s="3"/>
      <c r="KM119" s="3"/>
      <c r="KN119" s="3"/>
      <c r="KO119" s="3"/>
      <c r="KP119" s="3"/>
      <c r="KQ119" s="3"/>
      <c r="KR119" s="3"/>
      <c r="KS119" s="3"/>
      <c r="KT119" s="3"/>
      <c r="KU119" s="3"/>
      <c r="KV119" s="3"/>
      <c r="KW119" s="3"/>
      <c r="KX119" s="3"/>
      <c r="KY119" s="3"/>
      <c r="KZ119" s="3"/>
      <c r="LA119" s="3"/>
      <c r="LB119" s="3"/>
      <c r="LC119" s="3"/>
      <c r="LD119" s="3"/>
      <c r="LE119" s="3"/>
      <c r="LF119" s="3"/>
      <c r="LG119" s="3"/>
      <c r="LH119" s="3"/>
      <c r="LI119" s="3"/>
      <c r="LJ119" s="3"/>
      <c r="LK119" s="3"/>
      <c r="LL119" s="3"/>
      <c r="LM119" s="3"/>
      <c r="LN119" s="3"/>
      <c r="LO119" s="3"/>
      <c r="LP119" s="3"/>
      <c r="LQ119" s="3"/>
      <c r="LR119" s="3"/>
      <c r="LS119" s="3"/>
      <c r="LT119" s="3"/>
      <c r="LU119" s="3"/>
      <c r="LV119" s="3"/>
      <c r="LW119" s="3"/>
      <c r="LX119" s="3"/>
      <c r="LY119" s="3"/>
      <c r="LZ119" s="3"/>
      <c r="MA119" s="3"/>
      <c r="MB119" s="3"/>
      <c r="MC119" s="3"/>
      <c r="MD119" s="3"/>
      <c r="ME119" s="3"/>
      <c r="MF119" s="3"/>
      <c r="MG119" s="3"/>
      <c r="MH119" s="3"/>
      <c r="MI119" s="3"/>
      <c r="MJ119" s="3"/>
      <c r="MK119" s="3"/>
      <c r="ML119" s="3"/>
      <c r="MM119" s="3"/>
      <c r="MN119" s="3"/>
      <c r="MO119" s="3"/>
      <c r="MP119" s="3"/>
      <c r="MQ119" s="3"/>
      <c r="MR119" s="3"/>
      <c r="MS119" s="3"/>
      <c r="MT119" s="3"/>
      <c r="MU119" s="3"/>
      <c r="MV119" s="3"/>
      <c r="MW119" s="3"/>
      <c r="MX119" s="3"/>
      <c r="MY119" s="3"/>
      <c r="MZ119" s="3"/>
      <c r="NA119" s="3"/>
      <c r="NB119" s="3"/>
      <c r="NC119" s="3"/>
      <c r="ND119" s="3"/>
      <c r="NE119" s="3"/>
      <c r="NF119" s="3"/>
      <c r="NG119" s="3"/>
      <c r="NH119" s="3"/>
      <c r="NI119" s="3"/>
      <c r="NJ119" s="3"/>
      <c r="NK119" s="3"/>
      <c r="NL119" s="3"/>
      <c r="NM119" s="3"/>
      <c r="NN119" s="3"/>
      <c r="NO119" s="3"/>
      <c r="NP119" s="3"/>
      <c r="NQ119" s="3"/>
      <c r="NR119" s="3"/>
      <c r="NS119" s="3"/>
      <c r="NT119" s="3"/>
      <c r="NU119" s="3"/>
      <c r="NV119" s="3"/>
      <c r="NW119" s="3"/>
      <c r="NX119" s="3"/>
      <c r="NY119" s="3"/>
      <c r="NZ119" s="3"/>
      <c r="OA119" s="3"/>
      <c r="OB119" s="3"/>
      <c r="OC119" s="3"/>
      <c r="OD119" s="3"/>
      <c r="OE119" s="3"/>
      <c r="OF119" s="3"/>
      <c r="OG119" s="3"/>
      <c r="OH119" s="3"/>
      <c r="OI119" s="3"/>
      <c r="OJ119" s="3"/>
      <c r="OK119" s="3"/>
      <c r="OL119" s="3"/>
      <c r="OM119" s="3"/>
      <c r="ON119" s="3"/>
      <c r="OO119" s="3"/>
      <c r="OP119" s="3"/>
      <c r="OQ119" s="3"/>
      <c r="OR119" s="3"/>
      <c r="OS119" s="3"/>
      <c r="OT119" s="3"/>
      <c r="OU119" s="3"/>
      <c r="OV119" s="3"/>
      <c r="OW119" s="3"/>
      <c r="OX119" s="3"/>
      <c r="OY119" s="3"/>
      <c r="OZ119" s="3"/>
      <c r="PA119" s="3"/>
      <c r="PB119" s="3"/>
      <c r="PC119" s="3"/>
      <c r="PD119" s="3"/>
      <c r="PE119" s="3"/>
      <c r="PF119" s="3"/>
      <c r="PG119" s="3"/>
      <c r="PH119" s="3"/>
      <c r="PI119" s="3"/>
      <c r="PJ119" s="3"/>
      <c r="PK119" s="3"/>
      <c r="PL119" s="3"/>
      <c r="PM119" s="3"/>
      <c r="PN119" s="3"/>
      <c r="PO119" s="3"/>
      <c r="PP119" s="3"/>
      <c r="PQ119" s="3"/>
      <c r="PR119" s="3"/>
      <c r="PS119" s="3"/>
      <c r="PT119" s="3"/>
      <c r="PU119" s="3"/>
      <c r="PV119" s="3"/>
      <c r="PW119" s="3"/>
      <c r="PX119" s="3"/>
      <c r="PY119" s="3"/>
      <c r="PZ119" s="3"/>
      <c r="QA119" s="3"/>
      <c r="QB119" s="3"/>
      <c r="QC119" s="3"/>
      <c r="QD119" s="3"/>
      <c r="QE119" s="3"/>
      <c r="QF119" s="3"/>
      <c r="QG119" s="3"/>
      <c r="QH119" s="3"/>
      <c r="QI119" s="3"/>
      <c r="QJ119" s="3"/>
      <c r="QK119" s="3"/>
      <c r="QL119" s="3"/>
      <c r="QM119" s="3"/>
      <c r="QN119" s="3"/>
      <c r="QO119" s="3"/>
      <c r="QP119" s="3"/>
      <c r="QQ119" s="3"/>
      <c r="QR119" s="3"/>
      <c r="QS119" s="3"/>
      <c r="QT119" s="3"/>
      <c r="QU119" s="3"/>
      <c r="QV119" s="3"/>
      <c r="QW119" s="3"/>
      <c r="QX119" s="3"/>
      <c r="QY119" s="3"/>
      <c r="QZ119" s="3"/>
      <c r="RA119" s="3"/>
      <c r="RB119" s="3"/>
      <c r="RC119" s="3"/>
      <c r="RD119" s="3"/>
      <c r="RE119" s="3"/>
      <c r="RF119" s="3"/>
      <c r="RG119" s="3"/>
      <c r="RH119" s="3"/>
      <c r="RI119" s="3"/>
      <c r="RJ119" s="3"/>
      <c r="RK119" s="3"/>
      <c r="RL119" s="3"/>
      <c r="RM119" s="3"/>
      <c r="RN119" s="3"/>
      <c r="RO119" s="3"/>
      <c r="RP119" s="3"/>
      <c r="RQ119" s="3"/>
      <c r="RR119" s="3"/>
      <c r="RS119" s="3"/>
      <c r="RT119" s="3"/>
      <c r="RU119" s="3"/>
      <c r="RV119" s="3"/>
      <c r="RW119" s="3"/>
      <c r="RX119" s="3"/>
      <c r="RY119" s="3"/>
      <c r="RZ119" s="3"/>
      <c r="SA119" s="3"/>
      <c r="SB119" s="3"/>
      <c r="SC119" s="3"/>
      <c r="SD119" s="3"/>
      <c r="SE119" s="3"/>
      <c r="SF119" s="3"/>
      <c r="SG119" s="3"/>
      <c r="SH119" s="3"/>
      <c r="SI119" s="3"/>
      <c r="SJ119" s="3"/>
      <c r="SK119" s="3"/>
      <c r="SL119" s="3"/>
      <c r="SM119" s="3"/>
      <c r="SN119" s="3"/>
      <c r="SO119" s="3"/>
      <c r="SP119" s="3"/>
      <c r="SQ119" s="3"/>
      <c r="SR119" s="3"/>
      <c r="SS119" s="3"/>
      <c r="ST119" s="3"/>
      <c r="SU119" s="3"/>
      <c r="SV119" s="3"/>
      <c r="SW119" s="3"/>
      <c r="SX119" s="3"/>
      <c r="SY119" s="3"/>
      <c r="SZ119" s="3"/>
      <c r="TA119" s="3"/>
      <c r="TB119" s="3"/>
      <c r="TC119" s="3"/>
      <c r="TD119" s="3"/>
      <c r="TE119" s="3"/>
      <c r="TF119" s="3"/>
      <c r="TG119" s="3"/>
      <c r="TH119" s="3"/>
      <c r="TI119" s="3"/>
      <c r="TJ119" s="3"/>
      <c r="TK119" s="3"/>
      <c r="TL119" s="3"/>
      <c r="TM119" s="3"/>
      <c r="TN119" s="3"/>
      <c r="TO119" s="3"/>
      <c r="TP119" s="3"/>
      <c r="TQ119" s="3"/>
      <c r="TR119" s="3"/>
      <c r="TS119" s="3"/>
      <c r="TT119" s="3"/>
      <c r="TU119" s="3"/>
      <c r="TV119" s="3"/>
      <c r="TW119" s="3"/>
      <c r="TX119" s="3"/>
      <c r="TY119" s="3"/>
      <c r="TZ119" s="3"/>
      <c r="UA119" s="3"/>
      <c r="UB119" s="3"/>
      <c r="UC119" s="3"/>
      <c r="UD119" s="3"/>
      <c r="UE119" s="3"/>
      <c r="UF119" s="3"/>
      <c r="UG119" s="3"/>
      <c r="UH119" s="3"/>
      <c r="UI119" s="3"/>
      <c r="UJ119" s="3"/>
      <c r="UK119" s="3"/>
      <c r="UL119" s="3"/>
      <c r="UM119" s="3"/>
      <c r="UN119" s="3"/>
      <c r="UO119" s="3"/>
      <c r="UP119" s="3"/>
      <c r="UQ119" s="3"/>
      <c r="UR119" s="3"/>
      <c r="US119" s="3"/>
      <c r="UT119" s="3"/>
      <c r="UU119" s="3"/>
      <c r="UV119" s="3"/>
      <c r="UW119" s="3"/>
      <c r="UX119" s="3"/>
      <c r="UY119" s="3"/>
      <c r="UZ119" s="3"/>
      <c r="VA119" s="3"/>
      <c r="VB119" s="3"/>
      <c r="VC119" s="3"/>
      <c r="VD119" s="3"/>
      <c r="VE119" s="3"/>
      <c r="VF119" s="3"/>
      <c r="VG119" s="3"/>
      <c r="VH119" s="3"/>
      <c r="VI119" s="3"/>
      <c r="VJ119" s="3"/>
      <c r="VK119" s="3"/>
      <c r="VL119" s="3"/>
      <c r="VM119" s="3"/>
      <c r="VN119" s="3"/>
      <c r="VO119" s="3"/>
      <c r="VP119" s="3"/>
      <c r="VQ119" s="3"/>
      <c r="VR119" s="3"/>
      <c r="VS119" s="3"/>
      <c r="VT119" s="3"/>
      <c r="VU119" s="3"/>
      <c r="VV119" s="3"/>
      <c r="VW119" s="3"/>
      <c r="VX119" s="3"/>
      <c r="VY119" s="3"/>
      <c r="VZ119" s="3"/>
      <c r="WA119" s="3"/>
      <c r="WB119" s="3"/>
      <c r="WC119" s="3"/>
      <c r="WD119" s="3"/>
      <c r="WE119" s="3"/>
      <c r="WF119" s="3"/>
      <c r="WG119" s="3"/>
      <c r="WH119" s="3"/>
      <c r="WI119" s="3"/>
      <c r="WJ119" s="3"/>
      <c r="WK119" s="3"/>
      <c r="WL119" s="3"/>
      <c r="WM119" s="3"/>
      <c r="WN119" s="3"/>
      <c r="WO119" s="3"/>
      <c r="WP119" s="3"/>
      <c r="WQ119" s="3"/>
      <c r="WR119" s="3"/>
      <c r="WS119" s="3"/>
      <c r="WT119" s="3"/>
      <c r="WU119" s="3"/>
      <c r="WV119" s="3"/>
      <c r="WW119" s="3"/>
      <c r="WX119" s="3"/>
      <c r="WY119" s="3"/>
      <c r="WZ119" s="3"/>
      <c r="XA119" s="3"/>
      <c r="XB119" s="3"/>
      <c r="XC119" s="3"/>
      <c r="XD119" s="3"/>
      <c r="XE119" s="3"/>
      <c r="XF119" s="3"/>
      <c r="XG119" s="3"/>
      <c r="XH119" s="3"/>
      <c r="XI119" s="3"/>
      <c r="XJ119" s="3"/>
      <c r="XK119" s="3"/>
      <c r="XL119" s="3"/>
      <c r="XM119" s="3"/>
      <c r="XN119" s="3"/>
      <c r="XO119" s="3"/>
      <c r="XP119" s="3"/>
      <c r="XQ119" s="3"/>
      <c r="XR119" s="3"/>
      <c r="XS119" s="3"/>
      <c r="XT119" s="3"/>
      <c r="XU119" s="3"/>
      <c r="XV119" s="3"/>
      <c r="XW119" s="3"/>
      <c r="XX119" s="3"/>
      <c r="XY119" s="3"/>
      <c r="XZ119" s="3"/>
      <c r="YA119" s="3"/>
      <c r="YB119" s="3"/>
      <c r="YC119" s="3"/>
      <c r="YD119" s="3"/>
      <c r="YE119" s="3"/>
      <c r="YF119" s="3"/>
      <c r="YG119" s="3"/>
      <c r="YH119" s="3"/>
      <c r="YI119" s="3"/>
      <c r="YJ119" s="3"/>
      <c r="YK119" s="3"/>
      <c r="YL119" s="3"/>
      <c r="YM119" s="3"/>
      <c r="YN119" s="3"/>
      <c r="YO119" s="3"/>
      <c r="YP119" s="3"/>
      <c r="YQ119" s="3"/>
      <c r="YR119" s="3"/>
      <c r="YS119" s="3"/>
      <c r="YT119" s="3"/>
      <c r="YU119" s="3"/>
      <c r="YV119" s="3"/>
      <c r="YW119" s="3"/>
      <c r="YX119" s="3"/>
      <c r="YY119" s="3"/>
      <c r="YZ119" s="3"/>
      <c r="ZA119" s="3"/>
      <c r="ZB119" s="3"/>
      <c r="ZC119" s="3"/>
    </row>
    <row r="120" spans="1:679" s="2" customFormat="1" x14ac:dyDescent="0.45">
      <c r="A120" s="3" t="s">
        <v>11</v>
      </c>
      <c r="B120" s="4">
        <v>33764</v>
      </c>
      <c r="C120" s="7" t="s">
        <v>21</v>
      </c>
      <c r="D120" s="6" t="s">
        <v>135</v>
      </c>
      <c r="E120" s="3"/>
      <c r="F120" s="3">
        <v>4</v>
      </c>
      <c r="L120" s="3"/>
      <c r="M120" s="3"/>
      <c r="N120" s="48"/>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c r="DO120" s="3"/>
      <c r="DP120" s="3"/>
      <c r="DQ120" s="3"/>
      <c r="DR120" s="3"/>
      <c r="DS120" s="3"/>
      <c r="DT120" s="3"/>
      <c r="DU120" s="3"/>
      <c r="DV120" s="3"/>
      <c r="DW120" s="3"/>
      <c r="DX120" s="3"/>
      <c r="DY120" s="3"/>
      <c r="DZ120" s="3"/>
      <c r="EA120" s="3"/>
      <c r="EB120" s="3"/>
      <c r="EC120" s="3"/>
      <c r="ED120" s="3"/>
      <c r="EE120" s="3"/>
      <c r="EF120" s="3"/>
      <c r="EG120" s="3"/>
      <c r="EH120" s="3"/>
      <c r="EI120" s="3"/>
      <c r="EJ120" s="3"/>
      <c r="EK120" s="3"/>
      <c r="EL120" s="3"/>
      <c r="EM120" s="3"/>
      <c r="EN120" s="3"/>
      <c r="EO120" s="3"/>
      <c r="EP120" s="3"/>
      <c r="EQ120" s="3"/>
      <c r="ER120" s="3"/>
      <c r="ES120" s="3"/>
      <c r="ET120" s="3"/>
      <c r="EU120" s="3"/>
      <c r="EV120" s="3"/>
      <c r="EW120" s="3"/>
      <c r="EX120" s="3"/>
      <c r="EY120" s="3"/>
      <c r="EZ120" s="3"/>
      <c r="FA120" s="3"/>
      <c r="FB120" s="3"/>
      <c r="FC120" s="3"/>
      <c r="FD120" s="3"/>
      <c r="FE120" s="3"/>
      <c r="FF120" s="3"/>
      <c r="FG120" s="3"/>
      <c r="FH120" s="3"/>
      <c r="FI120" s="3"/>
      <c r="FJ120" s="3"/>
      <c r="FK120" s="3"/>
      <c r="FL120" s="3"/>
      <c r="FM120" s="3"/>
      <c r="FN120" s="3"/>
      <c r="FO120" s="3"/>
      <c r="FP120" s="3"/>
      <c r="FQ120" s="3"/>
      <c r="FR120" s="3"/>
      <c r="FS120" s="3"/>
      <c r="FT120" s="3"/>
      <c r="FU120" s="3"/>
      <c r="FV120" s="3"/>
      <c r="FW120" s="3"/>
      <c r="FX120" s="3"/>
      <c r="FY120" s="3"/>
      <c r="FZ120" s="3"/>
      <c r="GA120" s="3"/>
      <c r="GB120" s="3"/>
      <c r="GC120" s="3"/>
      <c r="GD120" s="3"/>
      <c r="GE120" s="3"/>
      <c r="GF120" s="3"/>
      <c r="GG120" s="3"/>
      <c r="GH120" s="3"/>
      <c r="GI120" s="3"/>
      <c r="GJ120" s="3"/>
      <c r="GK120" s="3"/>
      <c r="GL120" s="3"/>
      <c r="GM120" s="3"/>
      <c r="GN120" s="3"/>
      <c r="GO120" s="3"/>
      <c r="GP120" s="3"/>
      <c r="GQ120" s="3"/>
      <c r="GR120" s="3"/>
      <c r="GS120" s="3"/>
      <c r="GT120" s="3"/>
      <c r="GU120" s="3"/>
      <c r="GV120" s="3"/>
      <c r="GW120" s="3"/>
      <c r="GX120" s="3"/>
      <c r="GY120" s="3"/>
      <c r="GZ120" s="3"/>
      <c r="HA120" s="3"/>
      <c r="HB120" s="3"/>
      <c r="HC120" s="3"/>
      <c r="HD120" s="3"/>
      <c r="HE120" s="3"/>
      <c r="HF120" s="3"/>
      <c r="HG120" s="3"/>
      <c r="HH120" s="3"/>
      <c r="HI120" s="3"/>
      <c r="HJ120" s="3"/>
      <c r="HK120" s="3"/>
      <c r="HL120" s="3"/>
      <c r="HM120" s="3"/>
      <c r="HN120" s="3"/>
      <c r="HO120" s="3"/>
      <c r="HP120" s="3"/>
      <c r="HQ120" s="3"/>
      <c r="HR120" s="3"/>
      <c r="HS120" s="3"/>
      <c r="HT120" s="3"/>
      <c r="HU120" s="3"/>
      <c r="HV120" s="3"/>
      <c r="HW120" s="3"/>
      <c r="HX120" s="3"/>
      <c r="HY120" s="3"/>
      <c r="HZ120" s="3"/>
      <c r="IA120" s="3"/>
      <c r="IB120" s="3"/>
      <c r="IC120" s="3"/>
      <c r="ID120" s="3"/>
      <c r="IE120" s="3"/>
      <c r="IF120" s="3"/>
      <c r="IG120" s="3"/>
      <c r="IH120" s="3"/>
      <c r="II120" s="3"/>
      <c r="IJ120" s="3"/>
      <c r="IK120" s="3"/>
      <c r="IL120" s="3"/>
      <c r="IM120" s="3"/>
      <c r="IN120" s="3"/>
      <c r="IO120" s="3"/>
      <c r="IP120" s="3"/>
      <c r="IQ120" s="3"/>
      <c r="IR120" s="3"/>
      <c r="IS120" s="3"/>
      <c r="IT120" s="3"/>
      <c r="IU120" s="3"/>
      <c r="IV120" s="3"/>
      <c r="IW120" s="3"/>
      <c r="IX120" s="3"/>
      <c r="IY120" s="3"/>
      <c r="IZ120" s="3"/>
      <c r="JA120" s="3"/>
      <c r="JB120" s="3"/>
      <c r="JC120" s="3"/>
      <c r="JD120" s="3"/>
      <c r="JE120" s="3"/>
      <c r="JF120" s="3"/>
      <c r="JG120" s="3"/>
      <c r="JH120" s="3"/>
      <c r="JI120" s="3"/>
      <c r="JJ120" s="3"/>
      <c r="JK120" s="3"/>
      <c r="JL120" s="3"/>
      <c r="JM120" s="3"/>
      <c r="JN120" s="3"/>
      <c r="JO120" s="3"/>
      <c r="JP120" s="3"/>
      <c r="JQ120" s="3"/>
      <c r="JR120" s="3"/>
      <c r="JS120" s="3"/>
      <c r="JT120" s="3"/>
      <c r="JU120" s="3"/>
      <c r="JV120" s="3"/>
      <c r="JW120" s="3"/>
      <c r="JX120" s="3"/>
      <c r="JY120" s="3"/>
      <c r="JZ120" s="3"/>
      <c r="KA120" s="3"/>
      <c r="KB120" s="3"/>
      <c r="KC120" s="3"/>
      <c r="KD120" s="3"/>
      <c r="KE120" s="3"/>
      <c r="KF120" s="3"/>
      <c r="KG120" s="3"/>
      <c r="KH120" s="3"/>
      <c r="KI120" s="3"/>
      <c r="KJ120" s="3"/>
      <c r="KK120" s="3"/>
      <c r="KL120" s="3"/>
      <c r="KM120" s="3"/>
      <c r="KN120" s="3"/>
      <c r="KO120" s="3"/>
      <c r="KP120" s="3"/>
      <c r="KQ120" s="3"/>
      <c r="KR120" s="3"/>
      <c r="KS120" s="3"/>
      <c r="KT120" s="3"/>
      <c r="KU120" s="3"/>
      <c r="KV120" s="3"/>
      <c r="KW120" s="3"/>
      <c r="KX120" s="3"/>
      <c r="KY120" s="3"/>
      <c r="KZ120" s="3"/>
      <c r="LA120" s="3"/>
      <c r="LB120" s="3"/>
      <c r="LC120" s="3"/>
      <c r="LD120" s="3"/>
      <c r="LE120" s="3"/>
      <c r="LF120" s="3"/>
      <c r="LG120" s="3"/>
      <c r="LH120" s="3"/>
      <c r="LI120" s="3"/>
      <c r="LJ120" s="3"/>
      <c r="LK120" s="3"/>
      <c r="LL120" s="3"/>
      <c r="LM120" s="3"/>
      <c r="LN120" s="3"/>
      <c r="LO120" s="3"/>
      <c r="LP120" s="3"/>
      <c r="LQ120" s="3"/>
      <c r="LR120" s="3"/>
      <c r="LS120" s="3"/>
      <c r="LT120" s="3"/>
      <c r="LU120" s="3"/>
      <c r="LV120" s="3"/>
      <c r="LW120" s="3"/>
      <c r="LX120" s="3"/>
      <c r="LY120" s="3"/>
      <c r="LZ120" s="3"/>
      <c r="MA120" s="3"/>
      <c r="MB120" s="3"/>
      <c r="MC120" s="3"/>
      <c r="MD120" s="3"/>
      <c r="ME120" s="3"/>
      <c r="MF120" s="3"/>
      <c r="MG120" s="3"/>
      <c r="MH120" s="3"/>
      <c r="MI120" s="3"/>
      <c r="MJ120" s="3"/>
      <c r="MK120" s="3"/>
      <c r="ML120" s="3"/>
      <c r="MM120" s="3"/>
      <c r="MN120" s="3"/>
      <c r="MO120" s="3"/>
      <c r="MP120" s="3"/>
      <c r="MQ120" s="3"/>
      <c r="MR120" s="3"/>
      <c r="MS120" s="3"/>
      <c r="MT120" s="3"/>
      <c r="MU120" s="3"/>
      <c r="MV120" s="3"/>
      <c r="MW120" s="3"/>
      <c r="MX120" s="3"/>
      <c r="MY120" s="3"/>
      <c r="MZ120" s="3"/>
      <c r="NA120" s="3"/>
      <c r="NB120" s="3"/>
      <c r="NC120" s="3"/>
      <c r="ND120" s="3"/>
      <c r="NE120" s="3"/>
      <c r="NF120" s="3"/>
      <c r="NG120" s="3"/>
      <c r="NH120" s="3"/>
      <c r="NI120" s="3"/>
      <c r="NJ120" s="3"/>
      <c r="NK120" s="3"/>
      <c r="NL120" s="3"/>
      <c r="NM120" s="3"/>
      <c r="NN120" s="3"/>
      <c r="NO120" s="3"/>
      <c r="NP120" s="3"/>
      <c r="NQ120" s="3"/>
      <c r="NR120" s="3"/>
      <c r="NS120" s="3"/>
      <c r="NT120" s="3"/>
      <c r="NU120" s="3"/>
      <c r="NV120" s="3"/>
      <c r="NW120" s="3"/>
      <c r="NX120" s="3"/>
      <c r="NY120" s="3"/>
      <c r="NZ120" s="3"/>
      <c r="OA120" s="3"/>
      <c r="OB120" s="3"/>
      <c r="OC120" s="3"/>
      <c r="OD120" s="3"/>
      <c r="OE120" s="3"/>
      <c r="OF120" s="3"/>
      <c r="OG120" s="3"/>
      <c r="OH120" s="3"/>
      <c r="OI120" s="3"/>
      <c r="OJ120" s="3"/>
      <c r="OK120" s="3"/>
      <c r="OL120" s="3"/>
      <c r="OM120" s="3"/>
      <c r="ON120" s="3"/>
      <c r="OO120" s="3"/>
      <c r="OP120" s="3"/>
      <c r="OQ120" s="3"/>
      <c r="OR120" s="3"/>
      <c r="OS120" s="3"/>
      <c r="OT120" s="3"/>
      <c r="OU120" s="3"/>
      <c r="OV120" s="3"/>
      <c r="OW120" s="3"/>
      <c r="OX120" s="3"/>
      <c r="OY120" s="3"/>
      <c r="OZ120" s="3"/>
      <c r="PA120" s="3"/>
      <c r="PB120" s="3"/>
      <c r="PC120" s="3"/>
      <c r="PD120" s="3"/>
      <c r="PE120" s="3"/>
      <c r="PF120" s="3"/>
      <c r="PG120" s="3"/>
      <c r="PH120" s="3"/>
      <c r="PI120" s="3"/>
      <c r="PJ120" s="3"/>
      <c r="PK120" s="3"/>
      <c r="PL120" s="3"/>
      <c r="PM120" s="3"/>
      <c r="PN120" s="3"/>
      <c r="PO120" s="3"/>
      <c r="PP120" s="3"/>
      <c r="PQ120" s="3"/>
      <c r="PR120" s="3"/>
      <c r="PS120" s="3"/>
      <c r="PT120" s="3"/>
      <c r="PU120" s="3"/>
      <c r="PV120" s="3"/>
      <c r="PW120" s="3"/>
      <c r="PX120" s="3"/>
      <c r="PY120" s="3"/>
      <c r="PZ120" s="3"/>
      <c r="QA120" s="3"/>
      <c r="QB120" s="3"/>
      <c r="QC120" s="3"/>
      <c r="QD120" s="3"/>
      <c r="QE120" s="3"/>
      <c r="QF120" s="3"/>
      <c r="QG120" s="3"/>
      <c r="QH120" s="3"/>
      <c r="QI120" s="3"/>
      <c r="QJ120" s="3"/>
      <c r="QK120" s="3"/>
      <c r="QL120" s="3"/>
      <c r="QM120" s="3"/>
      <c r="QN120" s="3"/>
      <c r="QO120" s="3"/>
      <c r="QP120" s="3"/>
      <c r="QQ120" s="3"/>
      <c r="QR120" s="3"/>
      <c r="QS120" s="3"/>
      <c r="QT120" s="3"/>
      <c r="QU120" s="3"/>
      <c r="QV120" s="3"/>
      <c r="QW120" s="3"/>
      <c r="QX120" s="3"/>
      <c r="QY120" s="3"/>
      <c r="QZ120" s="3"/>
      <c r="RA120" s="3"/>
      <c r="RB120" s="3"/>
      <c r="RC120" s="3"/>
      <c r="RD120" s="3"/>
      <c r="RE120" s="3"/>
      <c r="RF120" s="3"/>
      <c r="RG120" s="3"/>
      <c r="RH120" s="3"/>
      <c r="RI120" s="3"/>
      <c r="RJ120" s="3"/>
      <c r="RK120" s="3"/>
      <c r="RL120" s="3"/>
      <c r="RM120" s="3"/>
      <c r="RN120" s="3"/>
      <c r="RO120" s="3"/>
      <c r="RP120" s="3"/>
      <c r="RQ120" s="3"/>
      <c r="RR120" s="3"/>
      <c r="RS120" s="3"/>
      <c r="RT120" s="3"/>
      <c r="RU120" s="3"/>
      <c r="RV120" s="3"/>
      <c r="RW120" s="3"/>
      <c r="RX120" s="3"/>
      <c r="RY120" s="3"/>
      <c r="RZ120" s="3"/>
      <c r="SA120" s="3"/>
      <c r="SB120" s="3"/>
      <c r="SC120" s="3"/>
      <c r="SD120" s="3"/>
      <c r="SE120" s="3"/>
      <c r="SF120" s="3"/>
      <c r="SG120" s="3"/>
      <c r="SH120" s="3"/>
      <c r="SI120" s="3"/>
      <c r="SJ120" s="3"/>
      <c r="SK120" s="3"/>
      <c r="SL120" s="3"/>
      <c r="SM120" s="3"/>
      <c r="SN120" s="3"/>
      <c r="SO120" s="3"/>
      <c r="SP120" s="3"/>
      <c r="SQ120" s="3"/>
      <c r="SR120" s="3"/>
      <c r="SS120" s="3"/>
      <c r="ST120" s="3"/>
      <c r="SU120" s="3"/>
      <c r="SV120" s="3"/>
      <c r="SW120" s="3"/>
      <c r="SX120" s="3"/>
      <c r="SY120" s="3"/>
      <c r="SZ120" s="3"/>
      <c r="TA120" s="3"/>
      <c r="TB120" s="3"/>
      <c r="TC120" s="3"/>
      <c r="TD120" s="3"/>
      <c r="TE120" s="3"/>
      <c r="TF120" s="3"/>
      <c r="TG120" s="3"/>
      <c r="TH120" s="3"/>
      <c r="TI120" s="3"/>
      <c r="TJ120" s="3"/>
      <c r="TK120" s="3"/>
      <c r="TL120" s="3"/>
      <c r="TM120" s="3"/>
      <c r="TN120" s="3"/>
      <c r="TO120" s="3"/>
      <c r="TP120" s="3"/>
      <c r="TQ120" s="3"/>
      <c r="TR120" s="3"/>
      <c r="TS120" s="3"/>
      <c r="TT120" s="3"/>
      <c r="TU120" s="3"/>
      <c r="TV120" s="3"/>
      <c r="TW120" s="3"/>
      <c r="TX120" s="3"/>
      <c r="TY120" s="3"/>
      <c r="TZ120" s="3"/>
      <c r="UA120" s="3"/>
      <c r="UB120" s="3"/>
      <c r="UC120" s="3"/>
      <c r="UD120" s="3"/>
      <c r="UE120" s="3"/>
      <c r="UF120" s="3"/>
      <c r="UG120" s="3"/>
      <c r="UH120" s="3"/>
      <c r="UI120" s="3"/>
      <c r="UJ120" s="3"/>
      <c r="UK120" s="3"/>
      <c r="UL120" s="3"/>
      <c r="UM120" s="3"/>
      <c r="UN120" s="3"/>
      <c r="UO120" s="3"/>
      <c r="UP120" s="3"/>
      <c r="UQ120" s="3"/>
      <c r="UR120" s="3"/>
      <c r="US120" s="3"/>
      <c r="UT120" s="3"/>
      <c r="UU120" s="3"/>
      <c r="UV120" s="3"/>
      <c r="UW120" s="3"/>
      <c r="UX120" s="3"/>
      <c r="UY120" s="3"/>
      <c r="UZ120" s="3"/>
      <c r="VA120" s="3"/>
      <c r="VB120" s="3"/>
      <c r="VC120" s="3"/>
      <c r="VD120" s="3"/>
      <c r="VE120" s="3"/>
      <c r="VF120" s="3"/>
      <c r="VG120" s="3"/>
      <c r="VH120" s="3"/>
      <c r="VI120" s="3"/>
      <c r="VJ120" s="3"/>
      <c r="VK120" s="3"/>
      <c r="VL120" s="3"/>
      <c r="VM120" s="3"/>
      <c r="VN120" s="3"/>
      <c r="VO120" s="3"/>
      <c r="VP120" s="3"/>
      <c r="VQ120" s="3"/>
      <c r="VR120" s="3"/>
      <c r="VS120" s="3"/>
      <c r="VT120" s="3"/>
      <c r="VU120" s="3"/>
      <c r="VV120" s="3"/>
      <c r="VW120" s="3"/>
      <c r="VX120" s="3"/>
      <c r="VY120" s="3"/>
      <c r="VZ120" s="3"/>
      <c r="WA120" s="3"/>
      <c r="WB120" s="3"/>
      <c r="WC120" s="3"/>
      <c r="WD120" s="3"/>
      <c r="WE120" s="3"/>
      <c r="WF120" s="3"/>
      <c r="WG120" s="3"/>
      <c r="WH120" s="3"/>
      <c r="WI120" s="3"/>
      <c r="WJ120" s="3"/>
      <c r="WK120" s="3"/>
      <c r="WL120" s="3"/>
      <c r="WM120" s="3"/>
      <c r="WN120" s="3"/>
      <c r="WO120" s="3"/>
      <c r="WP120" s="3"/>
      <c r="WQ120" s="3"/>
      <c r="WR120" s="3"/>
      <c r="WS120" s="3"/>
      <c r="WT120" s="3"/>
      <c r="WU120" s="3"/>
      <c r="WV120" s="3"/>
      <c r="WW120" s="3"/>
      <c r="WX120" s="3"/>
      <c r="WY120" s="3"/>
      <c r="WZ120" s="3"/>
      <c r="XA120" s="3"/>
      <c r="XB120" s="3"/>
      <c r="XC120" s="3"/>
      <c r="XD120" s="3"/>
      <c r="XE120" s="3"/>
      <c r="XF120" s="3"/>
      <c r="XG120" s="3"/>
      <c r="XH120" s="3"/>
      <c r="XI120" s="3"/>
      <c r="XJ120" s="3"/>
      <c r="XK120" s="3"/>
      <c r="XL120" s="3"/>
      <c r="XM120" s="3"/>
      <c r="XN120" s="3"/>
      <c r="XO120" s="3"/>
      <c r="XP120" s="3"/>
      <c r="XQ120" s="3"/>
      <c r="XR120" s="3"/>
      <c r="XS120" s="3"/>
      <c r="XT120" s="3"/>
      <c r="XU120" s="3"/>
      <c r="XV120" s="3"/>
      <c r="XW120" s="3"/>
      <c r="XX120" s="3"/>
      <c r="XY120" s="3"/>
      <c r="XZ120" s="3"/>
      <c r="YA120" s="3"/>
      <c r="YB120" s="3"/>
      <c r="YC120" s="3"/>
      <c r="YD120" s="3"/>
      <c r="YE120" s="3"/>
      <c r="YF120" s="3"/>
      <c r="YG120" s="3"/>
      <c r="YH120" s="3"/>
      <c r="YI120" s="3"/>
      <c r="YJ120" s="3"/>
      <c r="YK120" s="3"/>
      <c r="YL120" s="3"/>
      <c r="YM120" s="3"/>
      <c r="YN120" s="3"/>
      <c r="YO120" s="3"/>
      <c r="YP120" s="3"/>
      <c r="YQ120" s="3"/>
      <c r="YR120" s="3"/>
      <c r="YS120" s="3"/>
      <c r="YT120" s="3"/>
      <c r="YU120" s="3"/>
      <c r="YV120" s="3"/>
      <c r="YW120" s="3"/>
      <c r="YX120" s="3"/>
      <c r="YY120" s="3"/>
      <c r="YZ120" s="3"/>
      <c r="ZA120" s="3"/>
      <c r="ZB120" s="3"/>
      <c r="ZC120" s="3"/>
    </row>
    <row r="121" spans="1:679" s="2" customFormat="1" x14ac:dyDescent="0.45">
      <c r="A121" s="3" t="s">
        <v>11</v>
      </c>
      <c r="B121" s="4">
        <v>33819</v>
      </c>
      <c r="C121" s="7" t="s">
        <v>25</v>
      </c>
      <c r="D121" s="6" t="s">
        <v>136</v>
      </c>
      <c r="E121" s="3"/>
      <c r="F121" s="3">
        <v>14</v>
      </c>
      <c r="L121" s="3"/>
      <c r="M121" s="3"/>
      <c r="N121" s="48"/>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c r="DE121" s="3"/>
      <c r="DF121" s="3"/>
      <c r="DG121" s="3"/>
      <c r="DH121" s="3"/>
      <c r="DI121" s="3"/>
      <c r="DJ121" s="3"/>
      <c r="DK121" s="3"/>
      <c r="DL121" s="3"/>
      <c r="DM121" s="3"/>
      <c r="DN121" s="3"/>
      <c r="DO121" s="3"/>
      <c r="DP121" s="3"/>
      <c r="DQ121" s="3"/>
      <c r="DR121" s="3"/>
      <c r="DS121" s="3"/>
      <c r="DT121" s="3"/>
      <c r="DU121" s="3"/>
      <c r="DV121" s="3"/>
      <c r="DW121" s="3"/>
      <c r="DX121" s="3"/>
      <c r="DY121" s="3"/>
      <c r="DZ121" s="3"/>
      <c r="EA121" s="3"/>
      <c r="EB121" s="3"/>
      <c r="EC121" s="3"/>
      <c r="ED121" s="3"/>
      <c r="EE121" s="3"/>
      <c r="EF121" s="3"/>
      <c r="EG121" s="3"/>
      <c r="EH121" s="3"/>
      <c r="EI121" s="3"/>
      <c r="EJ121" s="3"/>
      <c r="EK121" s="3"/>
      <c r="EL121" s="3"/>
      <c r="EM121" s="3"/>
      <c r="EN121" s="3"/>
      <c r="EO121" s="3"/>
      <c r="EP121" s="3"/>
      <c r="EQ121" s="3"/>
      <c r="ER121" s="3"/>
      <c r="ES121" s="3"/>
      <c r="ET121" s="3"/>
      <c r="EU121" s="3"/>
      <c r="EV121" s="3"/>
      <c r="EW121" s="3"/>
      <c r="EX121" s="3"/>
      <c r="EY121" s="3"/>
      <c r="EZ121" s="3"/>
      <c r="FA121" s="3"/>
      <c r="FB121" s="3"/>
      <c r="FC121" s="3"/>
      <c r="FD121" s="3"/>
      <c r="FE121" s="3"/>
      <c r="FF121" s="3"/>
      <c r="FG121" s="3"/>
      <c r="FH121" s="3"/>
      <c r="FI121" s="3"/>
      <c r="FJ121" s="3"/>
      <c r="FK121" s="3"/>
      <c r="FL121" s="3"/>
      <c r="FM121" s="3"/>
      <c r="FN121" s="3"/>
      <c r="FO121" s="3"/>
      <c r="FP121" s="3"/>
      <c r="FQ121" s="3"/>
      <c r="FR121" s="3"/>
      <c r="FS121" s="3"/>
      <c r="FT121" s="3"/>
      <c r="FU121" s="3"/>
      <c r="FV121" s="3"/>
      <c r="FW121" s="3"/>
      <c r="FX121" s="3"/>
      <c r="FY121" s="3"/>
      <c r="FZ121" s="3"/>
      <c r="GA121" s="3"/>
      <c r="GB121" s="3"/>
      <c r="GC121" s="3"/>
      <c r="GD121" s="3"/>
      <c r="GE121" s="3"/>
      <c r="GF121" s="3"/>
      <c r="GG121" s="3"/>
      <c r="GH121" s="3"/>
      <c r="GI121" s="3"/>
      <c r="GJ121" s="3"/>
      <c r="GK121" s="3"/>
      <c r="GL121" s="3"/>
      <c r="GM121" s="3"/>
      <c r="GN121" s="3"/>
      <c r="GO121" s="3"/>
      <c r="GP121" s="3"/>
      <c r="GQ121" s="3"/>
      <c r="GR121" s="3"/>
      <c r="GS121" s="3"/>
      <c r="GT121" s="3"/>
      <c r="GU121" s="3"/>
      <c r="GV121" s="3"/>
      <c r="GW121" s="3"/>
      <c r="GX121" s="3"/>
      <c r="GY121" s="3"/>
      <c r="GZ121" s="3"/>
      <c r="HA121" s="3"/>
      <c r="HB121" s="3"/>
      <c r="HC121" s="3"/>
      <c r="HD121" s="3"/>
      <c r="HE121" s="3"/>
      <c r="HF121" s="3"/>
      <c r="HG121" s="3"/>
      <c r="HH121" s="3"/>
      <c r="HI121" s="3"/>
      <c r="HJ121" s="3"/>
      <c r="HK121" s="3"/>
      <c r="HL121" s="3"/>
      <c r="HM121" s="3"/>
      <c r="HN121" s="3"/>
      <c r="HO121" s="3"/>
      <c r="HP121" s="3"/>
      <c r="HQ121" s="3"/>
      <c r="HR121" s="3"/>
      <c r="HS121" s="3"/>
      <c r="HT121" s="3"/>
      <c r="HU121" s="3"/>
      <c r="HV121" s="3"/>
      <c r="HW121" s="3"/>
      <c r="HX121" s="3"/>
      <c r="HY121" s="3"/>
      <c r="HZ121" s="3"/>
      <c r="IA121" s="3"/>
      <c r="IB121" s="3"/>
      <c r="IC121" s="3"/>
      <c r="ID121" s="3"/>
      <c r="IE121" s="3"/>
      <c r="IF121" s="3"/>
      <c r="IG121" s="3"/>
      <c r="IH121" s="3"/>
      <c r="II121" s="3"/>
      <c r="IJ121" s="3"/>
      <c r="IK121" s="3"/>
      <c r="IL121" s="3"/>
      <c r="IM121" s="3"/>
      <c r="IN121" s="3"/>
      <c r="IO121" s="3"/>
      <c r="IP121" s="3"/>
      <c r="IQ121" s="3"/>
      <c r="IR121" s="3"/>
      <c r="IS121" s="3"/>
      <c r="IT121" s="3"/>
      <c r="IU121" s="3"/>
      <c r="IV121" s="3"/>
      <c r="IW121" s="3"/>
      <c r="IX121" s="3"/>
      <c r="IY121" s="3"/>
      <c r="IZ121" s="3"/>
      <c r="JA121" s="3"/>
      <c r="JB121" s="3"/>
      <c r="JC121" s="3"/>
      <c r="JD121" s="3"/>
      <c r="JE121" s="3"/>
      <c r="JF121" s="3"/>
      <c r="JG121" s="3"/>
      <c r="JH121" s="3"/>
      <c r="JI121" s="3"/>
      <c r="JJ121" s="3"/>
      <c r="JK121" s="3"/>
      <c r="JL121" s="3"/>
      <c r="JM121" s="3"/>
      <c r="JN121" s="3"/>
      <c r="JO121" s="3"/>
      <c r="JP121" s="3"/>
      <c r="JQ121" s="3"/>
      <c r="JR121" s="3"/>
      <c r="JS121" s="3"/>
      <c r="JT121" s="3"/>
      <c r="JU121" s="3"/>
      <c r="JV121" s="3"/>
      <c r="JW121" s="3"/>
      <c r="JX121" s="3"/>
      <c r="JY121" s="3"/>
      <c r="JZ121" s="3"/>
      <c r="KA121" s="3"/>
      <c r="KB121" s="3"/>
      <c r="KC121" s="3"/>
      <c r="KD121" s="3"/>
      <c r="KE121" s="3"/>
      <c r="KF121" s="3"/>
      <c r="KG121" s="3"/>
      <c r="KH121" s="3"/>
      <c r="KI121" s="3"/>
      <c r="KJ121" s="3"/>
      <c r="KK121" s="3"/>
      <c r="KL121" s="3"/>
      <c r="KM121" s="3"/>
      <c r="KN121" s="3"/>
      <c r="KO121" s="3"/>
      <c r="KP121" s="3"/>
      <c r="KQ121" s="3"/>
      <c r="KR121" s="3"/>
      <c r="KS121" s="3"/>
      <c r="KT121" s="3"/>
      <c r="KU121" s="3"/>
      <c r="KV121" s="3"/>
      <c r="KW121" s="3"/>
      <c r="KX121" s="3"/>
      <c r="KY121" s="3"/>
      <c r="KZ121" s="3"/>
      <c r="LA121" s="3"/>
      <c r="LB121" s="3"/>
      <c r="LC121" s="3"/>
      <c r="LD121" s="3"/>
      <c r="LE121" s="3"/>
      <c r="LF121" s="3"/>
      <c r="LG121" s="3"/>
      <c r="LH121" s="3"/>
      <c r="LI121" s="3"/>
      <c r="LJ121" s="3"/>
      <c r="LK121" s="3"/>
      <c r="LL121" s="3"/>
      <c r="LM121" s="3"/>
      <c r="LN121" s="3"/>
      <c r="LO121" s="3"/>
      <c r="LP121" s="3"/>
      <c r="LQ121" s="3"/>
      <c r="LR121" s="3"/>
      <c r="LS121" s="3"/>
      <c r="LT121" s="3"/>
      <c r="LU121" s="3"/>
      <c r="LV121" s="3"/>
      <c r="LW121" s="3"/>
      <c r="LX121" s="3"/>
      <c r="LY121" s="3"/>
      <c r="LZ121" s="3"/>
      <c r="MA121" s="3"/>
      <c r="MB121" s="3"/>
      <c r="MC121" s="3"/>
      <c r="MD121" s="3"/>
      <c r="ME121" s="3"/>
      <c r="MF121" s="3"/>
      <c r="MG121" s="3"/>
      <c r="MH121" s="3"/>
      <c r="MI121" s="3"/>
      <c r="MJ121" s="3"/>
      <c r="MK121" s="3"/>
      <c r="ML121" s="3"/>
      <c r="MM121" s="3"/>
      <c r="MN121" s="3"/>
      <c r="MO121" s="3"/>
      <c r="MP121" s="3"/>
      <c r="MQ121" s="3"/>
      <c r="MR121" s="3"/>
      <c r="MS121" s="3"/>
      <c r="MT121" s="3"/>
      <c r="MU121" s="3"/>
      <c r="MV121" s="3"/>
      <c r="MW121" s="3"/>
      <c r="MX121" s="3"/>
      <c r="MY121" s="3"/>
      <c r="MZ121" s="3"/>
      <c r="NA121" s="3"/>
      <c r="NB121" s="3"/>
      <c r="NC121" s="3"/>
      <c r="ND121" s="3"/>
      <c r="NE121" s="3"/>
      <c r="NF121" s="3"/>
      <c r="NG121" s="3"/>
      <c r="NH121" s="3"/>
      <c r="NI121" s="3"/>
      <c r="NJ121" s="3"/>
      <c r="NK121" s="3"/>
      <c r="NL121" s="3"/>
      <c r="NM121" s="3"/>
      <c r="NN121" s="3"/>
      <c r="NO121" s="3"/>
      <c r="NP121" s="3"/>
      <c r="NQ121" s="3"/>
      <c r="NR121" s="3"/>
      <c r="NS121" s="3"/>
      <c r="NT121" s="3"/>
      <c r="NU121" s="3"/>
      <c r="NV121" s="3"/>
      <c r="NW121" s="3"/>
      <c r="NX121" s="3"/>
      <c r="NY121" s="3"/>
      <c r="NZ121" s="3"/>
      <c r="OA121" s="3"/>
      <c r="OB121" s="3"/>
      <c r="OC121" s="3"/>
      <c r="OD121" s="3"/>
      <c r="OE121" s="3"/>
      <c r="OF121" s="3"/>
      <c r="OG121" s="3"/>
      <c r="OH121" s="3"/>
      <c r="OI121" s="3"/>
      <c r="OJ121" s="3"/>
      <c r="OK121" s="3"/>
      <c r="OL121" s="3"/>
      <c r="OM121" s="3"/>
      <c r="ON121" s="3"/>
      <c r="OO121" s="3"/>
      <c r="OP121" s="3"/>
      <c r="OQ121" s="3"/>
      <c r="OR121" s="3"/>
      <c r="OS121" s="3"/>
      <c r="OT121" s="3"/>
      <c r="OU121" s="3"/>
      <c r="OV121" s="3"/>
      <c r="OW121" s="3"/>
      <c r="OX121" s="3"/>
      <c r="OY121" s="3"/>
      <c r="OZ121" s="3"/>
      <c r="PA121" s="3"/>
      <c r="PB121" s="3"/>
      <c r="PC121" s="3"/>
      <c r="PD121" s="3"/>
      <c r="PE121" s="3"/>
      <c r="PF121" s="3"/>
      <c r="PG121" s="3"/>
      <c r="PH121" s="3"/>
      <c r="PI121" s="3"/>
      <c r="PJ121" s="3"/>
      <c r="PK121" s="3"/>
      <c r="PL121" s="3"/>
      <c r="PM121" s="3"/>
      <c r="PN121" s="3"/>
      <c r="PO121" s="3"/>
      <c r="PP121" s="3"/>
      <c r="PQ121" s="3"/>
      <c r="PR121" s="3"/>
      <c r="PS121" s="3"/>
      <c r="PT121" s="3"/>
      <c r="PU121" s="3"/>
      <c r="PV121" s="3"/>
      <c r="PW121" s="3"/>
      <c r="PX121" s="3"/>
      <c r="PY121" s="3"/>
      <c r="PZ121" s="3"/>
      <c r="QA121" s="3"/>
      <c r="QB121" s="3"/>
      <c r="QC121" s="3"/>
      <c r="QD121" s="3"/>
      <c r="QE121" s="3"/>
      <c r="QF121" s="3"/>
      <c r="QG121" s="3"/>
      <c r="QH121" s="3"/>
      <c r="QI121" s="3"/>
      <c r="QJ121" s="3"/>
      <c r="QK121" s="3"/>
      <c r="QL121" s="3"/>
      <c r="QM121" s="3"/>
      <c r="QN121" s="3"/>
      <c r="QO121" s="3"/>
      <c r="QP121" s="3"/>
      <c r="QQ121" s="3"/>
      <c r="QR121" s="3"/>
      <c r="QS121" s="3"/>
      <c r="QT121" s="3"/>
      <c r="QU121" s="3"/>
      <c r="QV121" s="3"/>
      <c r="QW121" s="3"/>
      <c r="QX121" s="3"/>
      <c r="QY121" s="3"/>
      <c r="QZ121" s="3"/>
      <c r="RA121" s="3"/>
      <c r="RB121" s="3"/>
      <c r="RC121" s="3"/>
      <c r="RD121" s="3"/>
      <c r="RE121" s="3"/>
      <c r="RF121" s="3"/>
      <c r="RG121" s="3"/>
      <c r="RH121" s="3"/>
      <c r="RI121" s="3"/>
      <c r="RJ121" s="3"/>
      <c r="RK121" s="3"/>
      <c r="RL121" s="3"/>
      <c r="RM121" s="3"/>
      <c r="RN121" s="3"/>
      <c r="RO121" s="3"/>
      <c r="RP121" s="3"/>
      <c r="RQ121" s="3"/>
      <c r="RR121" s="3"/>
      <c r="RS121" s="3"/>
      <c r="RT121" s="3"/>
      <c r="RU121" s="3"/>
      <c r="RV121" s="3"/>
      <c r="RW121" s="3"/>
      <c r="RX121" s="3"/>
      <c r="RY121" s="3"/>
      <c r="RZ121" s="3"/>
      <c r="SA121" s="3"/>
      <c r="SB121" s="3"/>
      <c r="SC121" s="3"/>
      <c r="SD121" s="3"/>
      <c r="SE121" s="3"/>
      <c r="SF121" s="3"/>
      <c r="SG121" s="3"/>
      <c r="SH121" s="3"/>
      <c r="SI121" s="3"/>
      <c r="SJ121" s="3"/>
      <c r="SK121" s="3"/>
      <c r="SL121" s="3"/>
      <c r="SM121" s="3"/>
      <c r="SN121" s="3"/>
      <c r="SO121" s="3"/>
      <c r="SP121" s="3"/>
      <c r="SQ121" s="3"/>
      <c r="SR121" s="3"/>
      <c r="SS121" s="3"/>
      <c r="ST121" s="3"/>
      <c r="SU121" s="3"/>
      <c r="SV121" s="3"/>
      <c r="SW121" s="3"/>
      <c r="SX121" s="3"/>
      <c r="SY121" s="3"/>
      <c r="SZ121" s="3"/>
      <c r="TA121" s="3"/>
      <c r="TB121" s="3"/>
      <c r="TC121" s="3"/>
      <c r="TD121" s="3"/>
      <c r="TE121" s="3"/>
      <c r="TF121" s="3"/>
      <c r="TG121" s="3"/>
      <c r="TH121" s="3"/>
      <c r="TI121" s="3"/>
      <c r="TJ121" s="3"/>
      <c r="TK121" s="3"/>
      <c r="TL121" s="3"/>
      <c r="TM121" s="3"/>
      <c r="TN121" s="3"/>
      <c r="TO121" s="3"/>
      <c r="TP121" s="3"/>
      <c r="TQ121" s="3"/>
      <c r="TR121" s="3"/>
      <c r="TS121" s="3"/>
      <c r="TT121" s="3"/>
      <c r="TU121" s="3"/>
      <c r="TV121" s="3"/>
      <c r="TW121" s="3"/>
      <c r="TX121" s="3"/>
      <c r="TY121" s="3"/>
      <c r="TZ121" s="3"/>
      <c r="UA121" s="3"/>
      <c r="UB121" s="3"/>
      <c r="UC121" s="3"/>
      <c r="UD121" s="3"/>
      <c r="UE121" s="3"/>
      <c r="UF121" s="3"/>
      <c r="UG121" s="3"/>
      <c r="UH121" s="3"/>
      <c r="UI121" s="3"/>
      <c r="UJ121" s="3"/>
      <c r="UK121" s="3"/>
      <c r="UL121" s="3"/>
      <c r="UM121" s="3"/>
      <c r="UN121" s="3"/>
      <c r="UO121" s="3"/>
      <c r="UP121" s="3"/>
      <c r="UQ121" s="3"/>
      <c r="UR121" s="3"/>
      <c r="US121" s="3"/>
      <c r="UT121" s="3"/>
      <c r="UU121" s="3"/>
      <c r="UV121" s="3"/>
      <c r="UW121" s="3"/>
      <c r="UX121" s="3"/>
      <c r="UY121" s="3"/>
      <c r="UZ121" s="3"/>
      <c r="VA121" s="3"/>
      <c r="VB121" s="3"/>
      <c r="VC121" s="3"/>
      <c r="VD121" s="3"/>
      <c r="VE121" s="3"/>
      <c r="VF121" s="3"/>
      <c r="VG121" s="3"/>
      <c r="VH121" s="3"/>
      <c r="VI121" s="3"/>
      <c r="VJ121" s="3"/>
      <c r="VK121" s="3"/>
      <c r="VL121" s="3"/>
      <c r="VM121" s="3"/>
      <c r="VN121" s="3"/>
      <c r="VO121" s="3"/>
      <c r="VP121" s="3"/>
      <c r="VQ121" s="3"/>
      <c r="VR121" s="3"/>
      <c r="VS121" s="3"/>
      <c r="VT121" s="3"/>
      <c r="VU121" s="3"/>
      <c r="VV121" s="3"/>
      <c r="VW121" s="3"/>
      <c r="VX121" s="3"/>
      <c r="VY121" s="3"/>
      <c r="VZ121" s="3"/>
      <c r="WA121" s="3"/>
      <c r="WB121" s="3"/>
      <c r="WC121" s="3"/>
      <c r="WD121" s="3"/>
      <c r="WE121" s="3"/>
      <c r="WF121" s="3"/>
      <c r="WG121" s="3"/>
      <c r="WH121" s="3"/>
      <c r="WI121" s="3"/>
      <c r="WJ121" s="3"/>
      <c r="WK121" s="3"/>
      <c r="WL121" s="3"/>
      <c r="WM121" s="3"/>
      <c r="WN121" s="3"/>
      <c r="WO121" s="3"/>
      <c r="WP121" s="3"/>
      <c r="WQ121" s="3"/>
      <c r="WR121" s="3"/>
      <c r="WS121" s="3"/>
      <c r="WT121" s="3"/>
      <c r="WU121" s="3"/>
      <c r="WV121" s="3"/>
      <c r="WW121" s="3"/>
      <c r="WX121" s="3"/>
      <c r="WY121" s="3"/>
      <c r="WZ121" s="3"/>
      <c r="XA121" s="3"/>
      <c r="XB121" s="3"/>
      <c r="XC121" s="3"/>
      <c r="XD121" s="3"/>
      <c r="XE121" s="3"/>
      <c r="XF121" s="3"/>
      <c r="XG121" s="3"/>
      <c r="XH121" s="3"/>
      <c r="XI121" s="3"/>
      <c r="XJ121" s="3"/>
      <c r="XK121" s="3"/>
      <c r="XL121" s="3"/>
      <c r="XM121" s="3"/>
      <c r="XN121" s="3"/>
      <c r="XO121" s="3"/>
      <c r="XP121" s="3"/>
      <c r="XQ121" s="3"/>
      <c r="XR121" s="3"/>
      <c r="XS121" s="3"/>
      <c r="XT121" s="3"/>
      <c r="XU121" s="3"/>
      <c r="XV121" s="3"/>
      <c r="XW121" s="3"/>
      <c r="XX121" s="3"/>
      <c r="XY121" s="3"/>
      <c r="XZ121" s="3"/>
      <c r="YA121" s="3"/>
      <c r="YB121" s="3"/>
      <c r="YC121" s="3"/>
      <c r="YD121" s="3"/>
      <c r="YE121" s="3"/>
      <c r="YF121" s="3"/>
      <c r="YG121" s="3"/>
      <c r="YH121" s="3"/>
      <c r="YI121" s="3"/>
      <c r="YJ121" s="3"/>
      <c r="YK121" s="3"/>
      <c r="YL121" s="3"/>
      <c r="YM121" s="3"/>
      <c r="YN121" s="3"/>
      <c r="YO121" s="3"/>
      <c r="YP121" s="3"/>
      <c r="YQ121" s="3"/>
      <c r="YR121" s="3"/>
      <c r="YS121" s="3"/>
      <c r="YT121" s="3"/>
      <c r="YU121" s="3"/>
      <c r="YV121" s="3"/>
      <c r="YW121" s="3"/>
      <c r="YX121" s="3"/>
      <c r="YY121" s="3"/>
      <c r="YZ121" s="3"/>
      <c r="ZA121" s="3"/>
      <c r="ZB121" s="3"/>
      <c r="ZC121" s="3"/>
    </row>
    <row r="122" spans="1:679" s="2" customFormat="1" x14ac:dyDescent="0.45">
      <c r="A122" s="3" t="s">
        <v>11</v>
      </c>
      <c r="B122" s="4">
        <v>33837</v>
      </c>
      <c r="C122" s="7" t="s">
        <v>21</v>
      </c>
      <c r="D122" s="6" t="s">
        <v>137</v>
      </c>
      <c r="E122" s="3"/>
      <c r="F122" s="3">
        <v>13</v>
      </c>
      <c r="L122" s="3"/>
      <c r="M122" s="3"/>
      <c r="N122" s="48"/>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c r="DW122" s="3"/>
      <c r="DX122" s="3"/>
      <c r="DY122" s="3"/>
      <c r="DZ122" s="3"/>
      <c r="EA122" s="3"/>
      <c r="EB122" s="3"/>
      <c r="EC122" s="3"/>
      <c r="ED122" s="3"/>
      <c r="EE122" s="3"/>
      <c r="EF122" s="3"/>
      <c r="EG122" s="3"/>
      <c r="EH122" s="3"/>
      <c r="EI122" s="3"/>
      <c r="EJ122" s="3"/>
      <c r="EK122" s="3"/>
      <c r="EL122" s="3"/>
      <c r="EM122" s="3"/>
      <c r="EN122" s="3"/>
      <c r="EO122" s="3"/>
      <c r="EP122" s="3"/>
      <c r="EQ122" s="3"/>
      <c r="ER122" s="3"/>
      <c r="ES122" s="3"/>
      <c r="ET122" s="3"/>
      <c r="EU122" s="3"/>
      <c r="EV122" s="3"/>
      <c r="EW122" s="3"/>
      <c r="EX122" s="3"/>
      <c r="EY122" s="3"/>
      <c r="EZ122" s="3"/>
      <c r="FA122" s="3"/>
      <c r="FB122" s="3"/>
      <c r="FC122" s="3"/>
      <c r="FD122" s="3"/>
      <c r="FE122" s="3"/>
      <c r="FF122" s="3"/>
      <c r="FG122" s="3"/>
      <c r="FH122" s="3"/>
      <c r="FI122" s="3"/>
      <c r="FJ122" s="3"/>
      <c r="FK122" s="3"/>
      <c r="FL122" s="3"/>
      <c r="FM122" s="3"/>
      <c r="FN122" s="3"/>
      <c r="FO122" s="3"/>
      <c r="FP122" s="3"/>
      <c r="FQ122" s="3"/>
      <c r="FR122" s="3"/>
      <c r="FS122" s="3"/>
      <c r="FT122" s="3"/>
      <c r="FU122" s="3"/>
      <c r="FV122" s="3"/>
      <c r="FW122" s="3"/>
      <c r="FX122" s="3"/>
      <c r="FY122" s="3"/>
      <c r="FZ122" s="3"/>
      <c r="GA122" s="3"/>
      <c r="GB122" s="3"/>
      <c r="GC122" s="3"/>
      <c r="GD122" s="3"/>
      <c r="GE122" s="3"/>
      <c r="GF122" s="3"/>
      <c r="GG122" s="3"/>
      <c r="GH122" s="3"/>
      <c r="GI122" s="3"/>
      <c r="GJ122" s="3"/>
      <c r="GK122" s="3"/>
      <c r="GL122" s="3"/>
      <c r="GM122" s="3"/>
      <c r="GN122" s="3"/>
      <c r="GO122" s="3"/>
      <c r="GP122" s="3"/>
      <c r="GQ122" s="3"/>
      <c r="GR122" s="3"/>
      <c r="GS122" s="3"/>
      <c r="GT122" s="3"/>
      <c r="GU122" s="3"/>
      <c r="GV122" s="3"/>
      <c r="GW122" s="3"/>
      <c r="GX122" s="3"/>
      <c r="GY122" s="3"/>
      <c r="GZ122" s="3"/>
      <c r="HA122" s="3"/>
      <c r="HB122" s="3"/>
      <c r="HC122" s="3"/>
      <c r="HD122" s="3"/>
      <c r="HE122" s="3"/>
      <c r="HF122" s="3"/>
      <c r="HG122" s="3"/>
      <c r="HH122" s="3"/>
      <c r="HI122" s="3"/>
      <c r="HJ122" s="3"/>
      <c r="HK122" s="3"/>
      <c r="HL122" s="3"/>
      <c r="HM122" s="3"/>
      <c r="HN122" s="3"/>
      <c r="HO122" s="3"/>
      <c r="HP122" s="3"/>
      <c r="HQ122" s="3"/>
      <c r="HR122" s="3"/>
      <c r="HS122" s="3"/>
      <c r="HT122" s="3"/>
      <c r="HU122" s="3"/>
      <c r="HV122" s="3"/>
      <c r="HW122" s="3"/>
      <c r="HX122" s="3"/>
      <c r="HY122" s="3"/>
      <c r="HZ122" s="3"/>
      <c r="IA122" s="3"/>
      <c r="IB122" s="3"/>
      <c r="IC122" s="3"/>
      <c r="ID122" s="3"/>
      <c r="IE122" s="3"/>
      <c r="IF122" s="3"/>
      <c r="IG122" s="3"/>
      <c r="IH122" s="3"/>
      <c r="II122" s="3"/>
      <c r="IJ122" s="3"/>
      <c r="IK122" s="3"/>
      <c r="IL122" s="3"/>
      <c r="IM122" s="3"/>
      <c r="IN122" s="3"/>
      <c r="IO122" s="3"/>
      <c r="IP122" s="3"/>
      <c r="IQ122" s="3"/>
      <c r="IR122" s="3"/>
      <c r="IS122" s="3"/>
      <c r="IT122" s="3"/>
      <c r="IU122" s="3"/>
      <c r="IV122" s="3"/>
      <c r="IW122" s="3"/>
      <c r="IX122" s="3"/>
      <c r="IY122" s="3"/>
      <c r="IZ122" s="3"/>
      <c r="JA122" s="3"/>
      <c r="JB122" s="3"/>
      <c r="JC122" s="3"/>
      <c r="JD122" s="3"/>
      <c r="JE122" s="3"/>
      <c r="JF122" s="3"/>
      <c r="JG122" s="3"/>
      <c r="JH122" s="3"/>
      <c r="JI122" s="3"/>
      <c r="JJ122" s="3"/>
      <c r="JK122" s="3"/>
      <c r="JL122" s="3"/>
      <c r="JM122" s="3"/>
      <c r="JN122" s="3"/>
      <c r="JO122" s="3"/>
      <c r="JP122" s="3"/>
      <c r="JQ122" s="3"/>
      <c r="JR122" s="3"/>
      <c r="JS122" s="3"/>
      <c r="JT122" s="3"/>
      <c r="JU122" s="3"/>
      <c r="JV122" s="3"/>
      <c r="JW122" s="3"/>
      <c r="JX122" s="3"/>
      <c r="JY122" s="3"/>
      <c r="JZ122" s="3"/>
      <c r="KA122" s="3"/>
      <c r="KB122" s="3"/>
      <c r="KC122" s="3"/>
      <c r="KD122" s="3"/>
      <c r="KE122" s="3"/>
      <c r="KF122" s="3"/>
      <c r="KG122" s="3"/>
      <c r="KH122" s="3"/>
      <c r="KI122" s="3"/>
      <c r="KJ122" s="3"/>
      <c r="KK122" s="3"/>
      <c r="KL122" s="3"/>
      <c r="KM122" s="3"/>
      <c r="KN122" s="3"/>
      <c r="KO122" s="3"/>
      <c r="KP122" s="3"/>
      <c r="KQ122" s="3"/>
      <c r="KR122" s="3"/>
      <c r="KS122" s="3"/>
      <c r="KT122" s="3"/>
      <c r="KU122" s="3"/>
      <c r="KV122" s="3"/>
      <c r="KW122" s="3"/>
      <c r="KX122" s="3"/>
      <c r="KY122" s="3"/>
      <c r="KZ122" s="3"/>
      <c r="LA122" s="3"/>
      <c r="LB122" s="3"/>
      <c r="LC122" s="3"/>
      <c r="LD122" s="3"/>
      <c r="LE122" s="3"/>
      <c r="LF122" s="3"/>
      <c r="LG122" s="3"/>
      <c r="LH122" s="3"/>
      <c r="LI122" s="3"/>
      <c r="LJ122" s="3"/>
      <c r="LK122" s="3"/>
      <c r="LL122" s="3"/>
      <c r="LM122" s="3"/>
      <c r="LN122" s="3"/>
      <c r="LO122" s="3"/>
      <c r="LP122" s="3"/>
      <c r="LQ122" s="3"/>
      <c r="LR122" s="3"/>
      <c r="LS122" s="3"/>
      <c r="LT122" s="3"/>
      <c r="LU122" s="3"/>
      <c r="LV122" s="3"/>
      <c r="LW122" s="3"/>
      <c r="LX122" s="3"/>
      <c r="LY122" s="3"/>
      <c r="LZ122" s="3"/>
      <c r="MA122" s="3"/>
      <c r="MB122" s="3"/>
      <c r="MC122" s="3"/>
      <c r="MD122" s="3"/>
      <c r="ME122" s="3"/>
      <c r="MF122" s="3"/>
      <c r="MG122" s="3"/>
      <c r="MH122" s="3"/>
      <c r="MI122" s="3"/>
      <c r="MJ122" s="3"/>
      <c r="MK122" s="3"/>
      <c r="ML122" s="3"/>
      <c r="MM122" s="3"/>
      <c r="MN122" s="3"/>
      <c r="MO122" s="3"/>
      <c r="MP122" s="3"/>
      <c r="MQ122" s="3"/>
      <c r="MR122" s="3"/>
      <c r="MS122" s="3"/>
      <c r="MT122" s="3"/>
      <c r="MU122" s="3"/>
      <c r="MV122" s="3"/>
      <c r="MW122" s="3"/>
      <c r="MX122" s="3"/>
      <c r="MY122" s="3"/>
      <c r="MZ122" s="3"/>
      <c r="NA122" s="3"/>
      <c r="NB122" s="3"/>
      <c r="NC122" s="3"/>
      <c r="ND122" s="3"/>
      <c r="NE122" s="3"/>
      <c r="NF122" s="3"/>
      <c r="NG122" s="3"/>
      <c r="NH122" s="3"/>
      <c r="NI122" s="3"/>
      <c r="NJ122" s="3"/>
      <c r="NK122" s="3"/>
      <c r="NL122" s="3"/>
      <c r="NM122" s="3"/>
      <c r="NN122" s="3"/>
      <c r="NO122" s="3"/>
      <c r="NP122" s="3"/>
      <c r="NQ122" s="3"/>
      <c r="NR122" s="3"/>
      <c r="NS122" s="3"/>
      <c r="NT122" s="3"/>
      <c r="NU122" s="3"/>
      <c r="NV122" s="3"/>
      <c r="NW122" s="3"/>
      <c r="NX122" s="3"/>
      <c r="NY122" s="3"/>
      <c r="NZ122" s="3"/>
      <c r="OA122" s="3"/>
      <c r="OB122" s="3"/>
      <c r="OC122" s="3"/>
      <c r="OD122" s="3"/>
      <c r="OE122" s="3"/>
      <c r="OF122" s="3"/>
      <c r="OG122" s="3"/>
      <c r="OH122" s="3"/>
      <c r="OI122" s="3"/>
      <c r="OJ122" s="3"/>
      <c r="OK122" s="3"/>
      <c r="OL122" s="3"/>
      <c r="OM122" s="3"/>
      <c r="ON122" s="3"/>
      <c r="OO122" s="3"/>
      <c r="OP122" s="3"/>
      <c r="OQ122" s="3"/>
      <c r="OR122" s="3"/>
      <c r="OS122" s="3"/>
      <c r="OT122" s="3"/>
      <c r="OU122" s="3"/>
      <c r="OV122" s="3"/>
      <c r="OW122" s="3"/>
      <c r="OX122" s="3"/>
      <c r="OY122" s="3"/>
      <c r="OZ122" s="3"/>
      <c r="PA122" s="3"/>
      <c r="PB122" s="3"/>
      <c r="PC122" s="3"/>
      <c r="PD122" s="3"/>
      <c r="PE122" s="3"/>
      <c r="PF122" s="3"/>
      <c r="PG122" s="3"/>
      <c r="PH122" s="3"/>
      <c r="PI122" s="3"/>
      <c r="PJ122" s="3"/>
      <c r="PK122" s="3"/>
      <c r="PL122" s="3"/>
      <c r="PM122" s="3"/>
      <c r="PN122" s="3"/>
      <c r="PO122" s="3"/>
      <c r="PP122" s="3"/>
      <c r="PQ122" s="3"/>
      <c r="PR122" s="3"/>
      <c r="PS122" s="3"/>
      <c r="PT122" s="3"/>
      <c r="PU122" s="3"/>
      <c r="PV122" s="3"/>
      <c r="PW122" s="3"/>
      <c r="PX122" s="3"/>
      <c r="PY122" s="3"/>
      <c r="PZ122" s="3"/>
      <c r="QA122" s="3"/>
      <c r="QB122" s="3"/>
      <c r="QC122" s="3"/>
      <c r="QD122" s="3"/>
      <c r="QE122" s="3"/>
      <c r="QF122" s="3"/>
      <c r="QG122" s="3"/>
      <c r="QH122" s="3"/>
      <c r="QI122" s="3"/>
      <c r="QJ122" s="3"/>
      <c r="QK122" s="3"/>
      <c r="QL122" s="3"/>
      <c r="QM122" s="3"/>
      <c r="QN122" s="3"/>
      <c r="QO122" s="3"/>
      <c r="QP122" s="3"/>
      <c r="QQ122" s="3"/>
      <c r="QR122" s="3"/>
      <c r="QS122" s="3"/>
      <c r="QT122" s="3"/>
      <c r="QU122" s="3"/>
      <c r="QV122" s="3"/>
      <c r="QW122" s="3"/>
      <c r="QX122" s="3"/>
      <c r="QY122" s="3"/>
      <c r="QZ122" s="3"/>
      <c r="RA122" s="3"/>
      <c r="RB122" s="3"/>
      <c r="RC122" s="3"/>
      <c r="RD122" s="3"/>
      <c r="RE122" s="3"/>
      <c r="RF122" s="3"/>
      <c r="RG122" s="3"/>
      <c r="RH122" s="3"/>
      <c r="RI122" s="3"/>
      <c r="RJ122" s="3"/>
      <c r="RK122" s="3"/>
      <c r="RL122" s="3"/>
      <c r="RM122" s="3"/>
      <c r="RN122" s="3"/>
      <c r="RO122" s="3"/>
      <c r="RP122" s="3"/>
      <c r="RQ122" s="3"/>
      <c r="RR122" s="3"/>
      <c r="RS122" s="3"/>
      <c r="RT122" s="3"/>
      <c r="RU122" s="3"/>
      <c r="RV122" s="3"/>
      <c r="RW122" s="3"/>
      <c r="RX122" s="3"/>
      <c r="RY122" s="3"/>
      <c r="RZ122" s="3"/>
      <c r="SA122" s="3"/>
      <c r="SB122" s="3"/>
      <c r="SC122" s="3"/>
      <c r="SD122" s="3"/>
      <c r="SE122" s="3"/>
      <c r="SF122" s="3"/>
      <c r="SG122" s="3"/>
      <c r="SH122" s="3"/>
      <c r="SI122" s="3"/>
      <c r="SJ122" s="3"/>
      <c r="SK122" s="3"/>
      <c r="SL122" s="3"/>
      <c r="SM122" s="3"/>
      <c r="SN122" s="3"/>
      <c r="SO122" s="3"/>
      <c r="SP122" s="3"/>
      <c r="SQ122" s="3"/>
      <c r="SR122" s="3"/>
      <c r="SS122" s="3"/>
      <c r="ST122" s="3"/>
      <c r="SU122" s="3"/>
      <c r="SV122" s="3"/>
      <c r="SW122" s="3"/>
      <c r="SX122" s="3"/>
      <c r="SY122" s="3"/>
      <c r="SZ122" s="3"/>
      <c r="TA122" s="3"/>
      <c r="TB122" s="3"/>
      <c r="TC122" s="3"/>
      <c r="TD122" s="3"/>
      <c r="TE122" s="3"/>
      <c r="TF122" s="3"/>
      <c r="TG122" s="3"/>
      <c r="TH122" s="3"/>
      <c r="TI122" s="3"/>
      <c r="TJ122" s="3"/>
      <c r="TK122" s="3"/>
      <c r="TL122" s="3"/>
      <c r="TM122" s="3"/>
      <c r="TN122" s="3"/>
      <c r="TO122" s="3"/>
      <c r="TP122" s="3"/>
      <c r="TQ122" s="3"/>
      <c r="TR122" s="3"/>
      <c r="TS122" s="3"/>
      <c r="TT122" s="3"/>
      <c r="TU122" s="3"/>
      <c r="TV122" s="3"/>
      <c r="TW122" s="3"/>
      <c r="TX122" s="3"/>
      <c r="TY122" s="3"/>
      <c r="TZ122" s="3"/>
      <c r="UA122" s="3"/>
      <c r="UB122" s="3"/>
      <c r="UC122" s="3"/>
      <c r="UD122" s="3"/>
      <c r="UE122" s="3"/>
      <c r="UF122" s="3"/>
      <c r="UG122" s="3"/>
      <c r="UH122" s="3"/>
      <c r="UI122" s="3"/>
      <c r="UJ122" s="3"/>
      <c r="UK122" s="3"/>
      <c r="UL122" s="3"/>
      <c r="UM122" s="3"/>
      <c r="UN122" s="3"/>
      <c r="UO122" s="3"/>
      <c r="UP122" s="3"/>
      <c r="UQ122" s="3"/>
      <c r="UR122" s="3"/>
      <c r="US122" s="3"/>
      <c r="UT122" s="3"/>
      <c r="UU122" s="3"/>
      <c r="UV122" s="3"/>
      <c r="UW122" s="3"/>
      <c r="UX122" s="3"/>
      <c r="UY122" s="3"/>
      <c r="UZ122" s="3"/>
      <c r="VA122" s="3"/>
      <c r="VB122" s="3"/>
      <c r="VC122" s="3"/>
      <c r="VD122" s="3"/>
      <c r="VE122" s="3"/>
      <c r="VF122" s="3"/>
      <c r="VG122" s="3"/>
      <c r="VH122" s="3"/>
      <c r="VI122" s="3"/>
      <c r="VJ122" s="3"/>
      <c r="VK122" s="3"/>
      <c r="VL122" s="3"/>
      <c r="VM122" s="3"/>
      <c r="VN122" s="3"/>
      <c r="VO122" s="3"/>
      <c r="VP122" s="3"/>
      <c r="VQ122" s="3"/>
      <c r="VR122" s="3"/>
      <c r="VS122" s="3"/>
      <c r="VT122" s="3"/>
      <c r="VU122" s="3"/>
      <c r="VV122" s="3"/>
      <c r="VW122" s="3"/>
      <c r="VX122" s="3"/>
      <c r="VY122" s="3"/>
      <c r="VZ122" s="3"/>
      <c r="WA122" s="3"/>
      <c r="WB122" s="3"/>
      <c r="WC122" s="3"/>
      <c r="WD122" s="3"/>
      <c r="WE122" s="3"/>
      <c r="WF122" s="3"/>
      <c r="WG122" s="3"/>
      <c r="WH122" s="3"/>
      <c r="WI122" s="3"/>
      <c r="WJ122" s="3"/>
      <c r="WK122" s="3"/>
      <c r="WL122" s="3"/>
      <c r="WM122" s="3"/>
      <c r="WN122" s="3"/>
      <c r="WO122" s="3"/>
      <c r="WP122" s="3"/>
      <c r="WQ122" s="3"/>
      <c r="WR122" s="3"/>
      <c r="WS122" s="3"/>
      <c r="WT122" s="3"/>
      <c r="WU122" s="3"/>
      <c r="WV122" s="3"/>
      <c r="WW122" s="3"/>
      <c r="WX122" s="3"/>
      <c r="WY122" s="3"/>
      <c r="WZ122" s="3"/>
      <c r="XA122" s="3"/>
      <c r="XB122" s="3"/>
      <c r="XC122" s="3"/>
      <c r="XD122" s="3"/>
      <c r="XE122" s="3"/>
      <c r="XF122" s="3"/>
      <c r="XG122" s="3"/>
      <c r="XH122" s="3"/>
      <c r="XI122" s="3"/>
      <c r="XJ122" s="3"/>
      <c r="XK122" s="3"/>
      <c r="XL122" s="3"/>
      <c r="XM122" s="3"/>
      <c r="XN122" s="3"/>
      <c r="XO122" s="3"/>
      <c r="XP122" s="3"/>
      <c r="XQ122" s="3"/>
      <c r="XR122" s="3"/>
      <c r="XS122" s="3"/>
      <c r="XT122" s="3"/>
      <c r="XU122" s="3"/>
      <c r="XV122" s="3"/>
      <c r="XW122" s="3"/>
      <c r="XX122" s="3"/>
      <c r="XY122" s="3"/>
      <c r="XZ122" s="3"/>
      <c r="YA122" s="3"/>
      <c r="YB122" s="3"/>
      <c r="YC122" s="3"/>
      <c r="YD122" s="3"/>
      <c r="YE122" s="3"/>
      <c r="YF122" s="3"/>
      <c r="YG122" s="3"/>
      <c r="YH122" s="3"/>
      <c r="YI122" s="3"/>
      <c r="YJ122" s="3"/>
      <c r="YK122" s="3"/>
      <c r="YL122" s="3"/>
      <c r="YM122" s="3"/>
      <c r="YN122" s="3"/>
      <c r="YO122" s="3"/>
      <c r="YP122" s="3"/>
      <c r="YQ122" s="3"/>
      <c r="YR122" s="3"/>
      <c r="YS122" s="3"/>
      <c r="YT122" s="3"/>
      <c r="YU122" s="3"/>
      <c r="YV122" s="3"/>
      <c r="YW122" s="3"/>
      <c r="YX122" s="3"/>
      <c r="YY122" s="3"/>
      <c r="YZ122" s="3"/>
      <c r="ZA122" s="3"/>
      <c r="ZB122" s="3"/>
      <c r="ZC122" s="3"/>
    </row>
    <row r="123" spans="1:679" s="2" customFormat="1" x14ac:dyDescent="0.45">
      <c r="A123" s="3" t="s">
        <v>11</v>
      </c>
      <c r="B123" s="4">
        <v>33878</v>
      </c>
      <c r="C123" s="7" t="s">
        <v>25</v>
      </c>
      <c r="D123" s="6" t="s">
        <v>138</v>
      </c>
      <c r="E123" s="3"/>
      <c r="F123" s="3">
        <v>14</v>
      </c>
      <c r="L123" s="3"/>
      <c r="M123" s="3"/>
      <c r="N123" s="48"/>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3"/>
      <c r="DN123" s="3"/>
      <c r="DO123" s="3"/>
      <c r="DP123" s="3"/>
      <c r="DQ123" s="3"/>
      <c r="DR123" s="3"/>
      <c r="DS123" s="3"/>
      <c r="DT123" s="3"/>
      <c r="DU123" s="3"/>
      <c r="DV123" s="3"/>
      <c r="DW123" s="3"/>
      <c r="DX123" s="3"/>
      <c r="DY123" s="3"/>
      <c r="DZ123" s="3"/>
      <c r="EA123" s="3"/>
      <c r="EB123" s="3"/>
      <c r="EC123" s="3"/>
      <c r="ED123" s="3"/>
      <c r="EE123" s="3"/>
      <c r="EF123" s="3"/>
      <c r="EG123" s="3"/>
      <c r="EH123" s="3"/>
      <c r="EI123" s="3"/>
      <c r="EJ123" s="3"/>
      <c r="EK123" s="3"/>
      <c r="EL123" s="3"/>
      <c r="EM123" s="3"/>
      <c r="EN123" s="3"/>
      <c r="EO123" s="3"/>
      <c r="EP123" s="3"/>
      <c r="EQ123" s="3"/>
      <c r="ER123" s="3"/>
      <c r="ES123" s="3"/>
      <c r="ET123" s="3"/>
      <c r="EU123" s="3"/>
      <c r="EV123" s="3"/>
      <c r="EW123" s="3"/>
      <c r="EX123" s="3"/>
      <c r="EY123" s="3"/>
      <c r="EZ123" s="3"/>
      <c r="FA123" s="3"/>
      <c r="FB123" s="3"/>
      <c r="FC123" s="3"/>
      <c r="FD123" s="3"/>
      <c r="FE123" s="3"/>
      <c r="FF123" s="3"/>
      <c r="FG123" s="3"/>
      <c r="FH123" s="3"/>
      <c r="FI123" s="3"/>
      <c r="FJ123" s="3"/>
      <c r="FK123" s="3"/>
      <c r="FL123" s="3"/>
      <c r="FM123" s="3"/>
      <c r="FN123" s="3"/>
      <c r="FO123" s="3"/>
      <c r="FP123" s="3"/>
      <c r="FQ123" s="3"/>
      <c r="FR123" s="3"/>
      <c r="FS123" s="3"/>
      <c r="FT123" s="3"/>
      <c r="FU123" s="3"/>
      <c r="FV123" s="3"/>
      <c r="FW123" s="3"/>
      <c r="FX123" s="3"/>
      <c r="FY123" s="3"/>
      <c r="FZ123" s="3"/>
      <c r="GA123" s="3"/>
      <c r="GB123" s="3"/>
      <c r="GC123" s="3"/>
      <c r="GD123" s="3"/>
      <c r="GE123" s="3"/>
      <c r="GF123" s="3"/>
      <c r="GG123" s="3"/>
      <c r="GH123" s="3"/>
      <c r="GI123" s="3"/>
      <c r="GJ123" s="3"/>
      <c r="GK123" s="3"/>
      <c r="GL123" s="3"/>
      <c r="GM123" s="3"/>
      <c r="GN123" s="3"/>
      <c r="GO123" s="3"/>
      <c r="GP123" s="3"/>
      <c r="GQ123" s="3"/>
      <c r="GR123" s="3"/>
      <c r="GS123" s="3"/>
      <c r="GT123" s="3"/>
      <c r="GU123" s="3"/>
      <c r="GV123" s="3"/>
      <c r="GW123" s="3"/>
      <c r="GX123" s="3"/>
      <c r="GY123" s="3"/>
      <c r="GZ123" s="3"/>
      <c r="HA123" s="3"/>
      <c r="HB123" s="3"/>
      <c r="HC123" s="3"/>
      <c r="HD123" s="3"/>
      <c r="HE123" s="3"/>
      <c r="HF123" s="3"/>
      <c r="HG123" s="3"/>
      <c r="HH123" s="3"/>
      <c r="HI123" s="3"/>
      <c r="HJ123" s="3"/>
      <c r="HK123" s="3"/>
      <c r="HL123" s="3"/>
      <c r="HM123" s="3"/>
      <c r="HN123" s="3"/>
      <c r="HO123" s="3"/>
      <c r="HP123" s="3"/>
      <c r="HQ123" s="3"/>
      <c r="HR123" s="3"/>
      <c r="HS123" s="3"/>
      <c r="HT123" s="3"/>
      <c r="HU123" s="3"/>
      <c r="HV123" s="3"/>
      <c r="HW123" s="3"/>
      <c r="HX123" s="3"/>
      <c r="HY123" s="3"/>
      <c r="HZ123" s="3"/>
      <c r="IA123" s="3"/>
      <c r="IB123" s="3"/>
      <c r="IC123" s="3"/>
      <c r="ID123" s="3"/>
      <c r="IE123" s="3"/>
      <c r="IF123" s="3"/>
      <c r="IG123" s="3"/>
      <c r="IH123" s="3"/>
      <c r="II123" s="3"/>
      <c r="IJ123" s="3"/>
      <c r="IK123" s="3"/>
      <c r="IL123" s="3"/>
      <c r="IM123" s="3"/>
      <c r="IN123" s="3"/>
      <c r="IO123" s="3"/>
      <c r="IP123" s="3"/>
      <c r="IQ123" s="3"/>
      <c r="IR123" s="3"/>
      <c r="IS123" s="3"/>
      <c r="IT123" s="3"/>
      <c r="IU123" s="3"/>
      <c r="IV123" s="3"/>
      <c r="IW123" s="3"/>
      <c r="IX123" s="3"/>
      <c r="IY123" s="3"/>
      <c r="IZ123" s="3"/>
      <c r="JA123" s="3"/>
      <c r="JB123" s="3"/>
      <c r="JC123" s="3"/>
      <c r="JD123" s="3"/>
      <c r="JE123" s="3"/>
      <c r="JF123" s="3"/>
      <c r="JG123" s="3"/>
      <c r="JH123" s="3"/>
      <c r="JI123" s="3"/>
      <c r="JJ123" s="3"/>
      <c r="JK123" s="3"/>
      <c r="JL123" s="3"/>
      <c r="JM123" s="3"/>
      <c r="JN123" s="3"/>
      <c r="JO123" s="3"/>
      <c r="JP123" s="3"/>
      <c r="JQ123" s="3"/>
      <c r="JR123" s="3"/>
      <c r="JS123" s="3"/>
      <c r="JT123" s="3"/>
      <c r="JU123" s="3"/>
      <c r="JV123" s="3"/>
      <c r="JW123" s="3"/>
      <c r="JX123" s="3"/>
      <c r="JY123" s="3"/>
      <c r="JZ123" s="3"/>
      <c r="KA123" s="3"/>
      <c r="KB123" s="3"/>
      <c r="KC123" s="3"/>
      <c r="KD123" s="3"/>
      <c r="KE123" s="3"/>
      <c r="KF123" s="3"/>
      <c r="KG123" s="3"/>
      <c r="KH123" s="3"/>
      <c r="KI123" s="3"/>
      <c r="KJ123" s="3"/>
      <c r="KK123" s="3"/>
      <c r="KL123" s="3"/>
      <c r="KM123" s="3"/>
      <c r="KN123" s="3"/>
      <c r="KO123" s="3"/>
      <c r="KP123" s="3"/>
      <c r="KQ123" s="3"/>
      <c r="KR123" s="3"/>
      <c r="KS123" s="3"/>
      <c r="KT123" s="3"/>
      <c r="KU123" s="3"/>
      <c r="KV123" s="3"/>
      <c r="KW123" s="3"/>
      <c r="KX123" s="3"/>
      <c r="KY123" s="3"/>
      <c r="KZ123" s="3"/>
      <c r="LA123" s="3"/>
      <c r="LB123" s="3"/>
      <c r="LC123" s="3"/>
      <c r="LD123" s="3"/>
      <c r="LE123" s="3"/>
      <c r="LF123" s="3"/>
      <c r="LG123" s="3"/>
      <c r="LH123" s="3"/>
      <c r="LI123" s="3"/>
      <c r="LJ123" s="3"/>
      <c r="LK123" s="3"/>
      <c r="LL123" s="3"/>
      <c r="LM123" s="3"/>
      <c r="LN123" s="3"/>
      <c r="LO123" s="3"/>
      <c r="LP123" s="3"/>
      <c r="LQ123" s="3"/>
      <c r="LR123" s="3"/>
      <c r="LS123" s="3"/>
      <c r="LT123" s="3"/>
      <c r="LU123" s="3"/>
      <c r="LV123" s="3"/>
      <c r="LW123" s="3"/>
      <c r="LX123" s="3"/>
      <c r="LY123" s="3"/>
      <c r="LZ123" s="3"/>
      <c r="MA123" s="3"/>
      <c r="MB123" s="3"/>
      <c r="MC123" s="3"/>
      <c r="MD123" s="3"/>
      <c r="ME123" s="3"/>
      <c r="MF123" s="3"/>
      <c r="MG123" s="3"/>
      <c r="MH123" s="3"/>
      <c r="MI123" s="3"/>
      <c r="MJ123" s="3"/>
      <c r="MK123" s="3"/>
      <c r="ML123" s="3"/>
      <c r="MM123" s="3"/>
      <c r="MN123" s="3"/>
      <c r="MO123" s="3"/>
      <c r="MP123" s="3"/>
      <c r="MQ123" s="3"/>
      <c r="MR123" s="3"/>
      <c r="MS123" s="3"/>
      <c r="MT123" s="3"/>
      <c r="MU123" s="3"/>
      <c r="MV123" s="3"/>
      <c r="MW123" s="3"/>
      <c r="MX123" s="3"/>
      <c r="MY123" s="3"/>
      <c r="MZ123" s="3"/>
      <c r="NA123" s="3"/>
      <c r="NB123" s="3"/>
      <c r="NC123" s="3"/>
      <c r="ND123" s="3"/>
      <c r="NE123" s="3"/>
      <c r="NF123" s="3"/>
      <c r="NG123" s="3"/>
      <c r="NH123" s="3"/>
      <c r="NI123" s="3"/>
      <c r="NJ123" s="3"/>
      <c r="NK123" s="3"/>
      <c r="NL123" s="3"/>
      <c r="NM123" s="3"/>
      <c r="NN123" s="3"/>
      <c r="NO123" s="3"/>
      <c r="NP123" s="3"/>
      <c r="NQ123" s="3"/>
      <c r="NR123" s="3"/>
      <c r="NS123" s="3"/>
      <c r="NT123" s="3"/>
      <c r="NU123" s="3"/>
      <c r="NV123" s="3"/>
      <c r="NW123" s="3"/>
      <c r="NX123" s="3"/>
      <c r="NY123" s="3"/>
      <c r="NZ123" s="3"/>
      <c r="OA123" s="3"/>
      <c r="OB123" s="3"/>
      <c r="OC123" s="3"/>
      <c r="OD123" s="3"/>
      <c r="OE123" s="3"/>
      <c r="OF123" s="3"/>
      <c r="OG123" s="3"/>
      <c r="OH123" s="3"/>
      <c r="OI123" s="3"/>
      <c r="OJ123" s="3"/>
      <c r="OK123" s="3"/>
      <c r="OL123" s="3"/>
      <c r="OM123" s="3"/>
      <c r="ON123" s="3"/>
      <c r="OO123" s="3"/>
      <c r="OP123" s="3"/>
      <c r="OQ123" s="3"/>
      <c r="OR123" s="3"/>
      <c r="OS123" s="3"/>
      <c r="OT123" s="3"/>
      <c r="OU123" s="3"/>
      <c r="OV123" s="3"/>
      <c r="OW123" s="3"/>
      <c r="OX123" s="3"/>
      <c r="OY123" s="3"/>
      <c r="OZ123" s="3"/>
      <c r="PA123" s="3"/>
      <c r="PB123" s="3"/>
      <c r="PC123" s="3"/>
      <c r="PD123" s="3"/>
      <c r="PE123" s="3"/>
      <c r="PF123" s="3"/>
      <c r="PG123" s="3"/>
      <c r="PH123" s="3"/>
      <c r="PI123" s="3"/>
      <c r="PJ123" s="3"/>
      <c r="PK123" s="3"/>
      <c r="PL123" s="3"/>
      <c r="PM123" s="3"/>
      <c r="PN123" s="3"/>
      <c r="PO123" s="3"/>
      <c r="PP123" s="3"/>
      <c r="PQ123" s="3"/>
      <c r="PR123" s="3"/>
      <c r="PS123" s="3"/>
      <c r="PT123" s="3"/>
      <c r="PU123" s="3"/>
      <c r="PV123" s="3"/>
      <c r="PW123" s="3"/>
      <c r="PX123" s="3"/>
      <c r="PY123" s="3"/>
      <c r="PZ123" s="3"/>
      <c r="QA123" s="3"/>
      <c r="QB123" s="3"/>
      <c r="QC123" s="3"/>
      <c r="QD123" s="3"/>
      <c r="QE123" s="3"/>
      <c r="QF123" s="3"/>
      <c r="QG123" s="3"/>
      <c r="QH123" s="3"/>
      <c r="QI123" s="3"/>
      <c r="QJ123" s="3"/>
      <c r="QK123" s="3"/>
      <c r="QL123" s="3"/>
      <c r="QM123" s="3"/>
      <c r="QN123" s="3"/>
      <c r="QO123" s="3"/>
      <c r="QP123" s="3"/>
      <c r="QQ123" s="3"/>
      <c r="QR123" s="3"/>
      <c r="QS123" s="3"/>
      <c r="QT123" s="3"/>
      <c r="QU123" s="3"/>
      <c r="QV123" s="3"/>
      <c r="QW123" s="3"/>
      <c r="QX123" s="3"/>
      <c r="QY123" s="3"/>
      <c r="QZ123" s="3"/>
      <c r="RA123" s="3"/>
      <c r="RB123" s="3"/>
      <c r="RC123" s="3"/>
      <c r="RD123" s="3"/>
      <c r="RE123" s="3"/>
      <c r="RF123" s="3"/>
      <c r="RG123" s="3"/>
      <c r="RH123" s="3"/>
      <c r="RI123" s="3"/>
      <c r="RJ123" s="3"/>
      <c r="RK123" s="3"/>
      <c r="RL123" s="3"/>
      <c r="RM123" s="3"/>
      <c r="RN123" s="3"/>
      <c r="RO123" s="3"/>
      <c r="RP123" s="3"/>
      <c r="RQ123" s="3"/>
      <c r="RR123" s="3"/>
      <c r="RS123" s="3"/>
      <c r="RT123" s="3"/>
      <c r="RU123" s="3"/>
      <c r="RV123" s="3"/>
      <c r="RW123" s="3"/>
      <c r="RX123" s="3"/>
      <c r="RY123" s="3"/>
      <c r="RZ123" s="3"/>
      <c r="SA123" s="3"/>
      <c r="SB123" s="3"/>
      <c r="SC123" s="3"/>
      <c r="SD123" s="3"/>
      <c r="SE123" s="3"/>
      <c r="SF123" s="3"/>
      <c r="SG123" s="3"/>
      <c r="SH123" s="3"/>
      <c r="SI123" s="3"/>
      <c r="SJ123" s="3"/>
      <c r="SK123" s="3"/>
      <c r="SL123" s="3"/>
      <c r="SM123" s="3"/>
      <c r="SN123" s="3"/>
      <c r="SO123" s="3"/>
      <c r="SP123" s="3"/>
      <c r="SQ123" s="3"/>
      <c r="SR123" s="3"/>
      <c r="SS123" s="3"/>
      <c r="ST123" s="3"/>
      <c r="SU123" s="3"/>
      <c r="SV123" s="3"/>
      <c r="SW123" s="3"/>
      <c r="SX123" s="3"/>
      <c r="SY123" s="3"/>
      <c r="SZ123" s="3"/>
      <c r="TA123" s="3"/>
      <c r="TB123" s="3"/>
      <c r="TC123" s="3"/>
      <c r="TD123" s="3"/>
      <c r="TE123" s="3"/>
      <c r="TF123" s="3"/>
      <c r="TG123" s="3"/>
      <c r="TH123" s="3"/>
      <c r="TI123" s="3"/>
      <c r="TJ123" s="3"/>
      <c r="TK123" s="3"/>
      <c r="TL123" s="3"/>
      <c r="TM123" s="3"/>
      <c r="TN123" s="3"/>
      <c r="TO123" s="3"/>
      <c r="TP123" s="3"/>
      <c r="TQ123" s="3"/>
      <c r="TR123" s="3"/>
      <c r="TS123" s="3"/>
      <c r="TT123" s="3"/>
      <c r="TU123" s="3"/>
      <c r="TV123" s="3"/>
      <c r="TW123" s="3"/>
      <c r="TX123" s="3"/>
      <c r="TY123" s="3"/>
      <c r="TZ123" s="3"/>
      <c r="UA123" s="3"/>
      <c r="UB123" s="3"/>
      <c r="UC123" s="3"/>
      <c r="UD123" s="3"/>
      <c r="UE123" s="3"/>
      <c r="UF123" s="3"/>
      <c r="UG123" s="3"/>
      <c r="UH123" s="3"/>
      <c r="UI123" s="3"/>
      <c r="UJ123" s="3"/>
      <c r="UK123" s="3"/>
      <c r="UL123" s="3"/>
      <c r="UM123" s="3"/>
      <c r="UN123" s="3"/>
      <c r="UO123" s="3"/>
      <c r="UP123" s="3"/>
      <c r="UQ123" s="3"/>
      <c r="UR123" s="3"/>
      <c r="US123" s="3"/>
      <c r="UT123" s="3"/>
      <c r="UU123" s="3"/>
      <c r="UV123" s="3"/>
      <c r="UW123" s="3"/>
      <c r="UX123" s="3"/>
      <c r="UY123" s="3"/>
      <c r="UZ123" s="3"/>
      <c r="VA123" s="3"/>
      <c r="VB123" s="3"/>
      <c r="VC123" s="3"/>
      <c r="VD123" s="3"/>
      <c r="VE123" s="3"/>
      <c r="VF123" s="3"/>
      <c r="VG123" s="3"/>
      <c r="VH123" s="3"/>
      <c r="VI123" s="3"/>
      <c r="VJ123" s="3"/>
      <c r="VK123" s="3"/>
      <c r="VL123" s="3"/>
      <c r="VM123" s="3"/>
      <c r="VN123" s="3"/>
      <c r="VO123" s="3"/>
      <c r="VP123" s="3"/>
      <c r="VQ123" s="3"/>
      <c r="VR123" s="3"/>
      <c r="VS123" s="3"/>
      <c r="VT123" s="3"/>
      <c r="VU123" s="3"/>
      <c r="VV123" s="3"/>
      <c r="VW123" s="3"/>
      <c r="VX123" s="3"/>
      <c r="VY123" s="3"/>
      <c r="VZ123" s="3"/>
      <c r="WA123" s="3"/>
      <c r="WB123" s="3"/>
      <c r="WC123" s="3"/>
      <c r="WD123" s="3"/>
      <c r="WE123" s="3"/>
      <c r="WF123" s="3"/>
      <c r="WG123" s="3"/>
      <c r="WH123" s="3"/>
      <c r="WI123" s="3"/>
      <c r="WJ123" s="3"/>
      <c r="WK123" s="3"/>
      <c r="WL123" s="3"/>
      <c r="WM123" s="3"/>
      <c r="WN123" s="3"/>
      <c r="WO123" s="3"/>
      <c r="WP123" s="3"/>
      <c r="WQ123" s="3"/>
      <c r="WR123" s="3"/>
      <c r="WS123" s="3"/>
      <c r="WT123" s="3"/>
      <c r="WU123" s="3"/>
      <c r="WV123" s="3"/>
      <c r="WW123" s="3"/>
      <c r="WX123" s="3"/>
      <c r="WY123" s="3"/>
      <c r="WZ123" s="3"/>
      <c r="XA123" s="3"/>
      <c r="XB123" s="3"/>
      <c r="XC123" s="3"/>
      <c r="XD123" s="3"/>
      <c r="XE123" s="3"/>
      <c r="XF123" s="3"/>
      <c r="XG123" s="3"/>
      <c r="XH123" s="3"/>
      <c r="XI123" s="3"/>
      <c r="XJ123" s="3"/>
      <c r="XK123" s="3"/>
      <c r="XL123" s="3"/>
      <c r="XM123" s="3"/>
      <c r="XN123" s="3"/>
      <c r="XO123" s="3"/>
      <c r="XP123" s="3"/>
      <c r="XQ123" s="3"/>
      <c r="XR123" s="3"/>
      <c r="XS123" s="3"/>
      <c r="XT123" s="3"/>
      <c r="XU123" s="3"/>
      <c r="XV123" s="3"/>
      <c r="XW123" s="3"/>
      <c r="XX123" s="3"/>
      <c r="XY123" s="3"/>
      <c r="XZ123" s="3"/>
      <c r="YA123" s="3"/>
      <c r="YB123" s="3"/>
      <c r="YC123" s="3"/>
      <c r="YD123" s="3"/>
      <c r="YE123" s="3"/>
      <c r="YF123" s="3"/>
      <c r="YG123" s="3"/>
      <c r="YH123" s="3"/>
      <c r="YI123" s="3"/>
      <c r="YJ123" s="3"/>
      <c r="YK123" s="3"/>
      <c r="YL123" s="3"/>
      <c r="YM123" s="3"/>
      <c r="YN123" s="3"/>
      <c r="YO123" s="3"/>
      <c r="YP123" s="3"/>
      <c r="YQ123" s="3"/>
      <c r="YR123" s="3"/>
      <c r="YS123" s="3"/>
      <c r="YT123" s="3"/>
      <c r="YU123" s="3"/>
      <c r="YV123" s="3"/>
      <c r="YW123" s="3"/>
      <c r="YX123" s="3"/>
      <c r="YY123" s="3"/>
      <c r="YZ123" s="3"/>
      <c r="ZA123" s="3"/>
      <c r="ZB123" s="3"/>
      <c r="ZC123" s="3"/>
    </row>
    <row r="124" spans="1:679" s="2" customFormat="1" x14ac:dyDescent="0.45">
      <c r="A124" s="3" t="s">
        <v>11</v>
      </c>
      <c r="B124" s="4">
        <v>33941</v>
      </c>
      <c r="C124" s="7" t="s">
        <v>21</v>
      </c>
      <c r="D124" s="6" t="s">
        <v>139</v>
      </c>
      <c r="E124" s="3"/>
      <c r="F124" s="3">
        <v>4</v>
      </c>
      <c r="L124" s="3"/>
      <c r="M124" s="3"/>
      <c r="N124" s="48"/>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c r="DQ124" s="3"/>
      <c r="DR124" s="3"/>
      <c r="DS124" s="3"/>
      <c r="DT124" s="3"/>
      <c r="DU124" s="3"/>
      <c r="DV124" s="3"/>
      <c r="DW124" s="3"/>
      <c r="DX124" s="3"/>
      <c r="DY124" s="3"/>
      <c r="DZ124" s="3"/>
      <c r="EA124" s="3"/>
      <c r="EB124" s="3"/>
      <c r="EC124" s="3"/>
      <c r="ED124" s="3"/>
      <c r="EE124" s="3"/>
      <c r="EF124" s="3"/>
      <c r="EG124" s="3"/>
      <c r="EH124" s="3"/>
      <c r="EI124" s="3"/>
      <c r="EJ124" s="3"/>
      <c r="EK124" s="3"/>
      <c r="EL124" s="3"/>
      <c r="EM124" s="3"/>
      <c r="EN124" s="3"/>
      <c r="EO124" s="3"/>
      <c r="EP124" s="3"/>
      <c r="EQ124" s="3"/>
      <c r="ER124" s="3"/>
      <c r="ES124" s="3"/>
      <c r="ET124" s="3"/>
      <c r="EU124" s="3"/>
      <c r="EV124" s="3"/>
      <c r="EW124" s="3"/>
      <c r="EX124" s="3"/>
      <c r="EY124" s="3"/>
      <c r="EZ124" s="3"/>
      <c r="FA124" s="3"/>
      <c r="FB124" s="3"/>
      <c r="FC124" s="3"/>
      <c r="FD124" s="3"/>
      <c r="FE124" s="3"/>
      <c r="FF124" s="3"/>
      <c r="FG124" s="3"/>
      <c r="FH124" s="3"/>
      <c r="FI124" s="3"/>
      <c r="FJ124" s="3"/>
      <c r="FK124" s="3"/>
      <c r="FL124" s="3"/>
      <c r="FM124" s="3"/>
      <c r="FN124" s="3"/>
      <c r="FO124" s="3"/>
      <c r="FP124" s="3"/>
      <c r="FQ124" s="3"/>
      <c r="FR124" s="3"/>
      <c r="FS124" s="3"/>
      <c r="FT124" s="3"/>
      <c r="FU124" s="3"/>
      <c r="FV124" s="3"/>
      <c r="FW124" s="3"/>
      <c r="FX124" s="3"/>
      <c r="FY124" s="3"/>
      <c r="FZ124" s="3"/>
      <c r="GA124" s="3"/>
      <c r="GB124" s="3"/>
      <c r="GC124" s="3"/>
      <c r="GD124" s="3"/>
      <c r="GE124" s="3"/>
      <c r="GF124" s="3"/>
      <c r="GG124" s="3"/>
      <c r="GH124" s="3"/>
      <c r="GI124" s="3"/>
      <c r="GJ124" s="3"/>
      <c r="GK124" s="3"/>
      <c r="GL124" s="3"/>
      <c r="GM124" s="3"/>
      <c r="GN124" s="3"/>
      <c r="GO124" s="3"/>
      <c r="GP124" s="3"/>
      <c r="GQ124" s="3"/>
      <c r="GR124" s="3"/>
      <c r="GS124" s="3"/>
      <c r="GT124" s="3"/>
      <c r="GU124" s="3"/>
      <c r="GV124" s="3"/>
      <c r="GW124" s="3"/>
      <c r="GX124" s="3"/>
      <c r="GY124" s="3"/>
      <c r="GZ124" s="3"/>
      <c r="HA124" s="3"/>
      <c r="HB124" s="3"/>
      <c r="HC124" s="3"/>
      <c r="HD124" s="3"/>
      <c r="HE124" s="3"/>
      <c r="HF124" s="3"/>
      <c r="HG124" s="3"/>
      <c r="HH124" s="3"/>
      <c r="HI124" s="3"/>
      <c r="HJ124" s="3"/>
      <c r="HK124" s="3"/>
      <c r="HL124" s="3"/>
      <c r="HM124" s="3"/>
      <c r="HN124" s="3"/>
      <c r="HO124" s="3"/>
      <c r="HP124" s="3"/>
      <c r="HQ124" s="3"/>
      <c r="HR124" s="3"/>
      <c r="HS124" s="3"/>
      <c r="HT124" s="3"/>
      <c r="HU124" s="3"/>
      <c r="HV124" s="3"/>
      <c r="HW124" s="3"/>
      <c r="HX124" s="3"/>
      <c r="HY124" s="3"/>
      <c r="HZ124" s="3"/>
      <c r="IA124" s="3"/>
      <c r="IB124" s="3"/>
      <c r="IC124" s="3"/>
      <c r="ID124" s="3"/>
      <c r="IE124" s="3"/>
      <c r="IF124" s="3"/>
      <c r="IG124" s="3"/>
      <c r="IH124" s="3"/>
      <c r="II124" s="3"/>
      <c r="IJ124" s="3"/>
      <c r="IK124" s="3"/>
      <c r="IL124" s="3"/>
      <c r="IM124" s="3"/>
      <c r="IN124" s="3"/>
      <c r="IO124" s="3"/>
      <c r="IP124" s="3"/>
      <c r="IQ124" s="3"/>
      <c r="IR124" s="3"/>
      <c r="IS124" s="3"/>
      <c r="IT124" s="3"/>
      <c r="IU124" s="3"/>
      <c r="IV124" s="3"/>
      <c r="IW124" s="3"/>
      <c r="IX124" s="3"/>
      <c r="IY124" s="3"/>
      <c r="IZ124" s="3"/>
      <c r="JA124" s="3"/>
      <c r="JB124" s="3"/>
      <c r="JC124" s="3"/>
      <c r="JD124" s="3"/>
      <c r="JE124" s="3"/>
      <c r="JF124" s="3"/>
      <c r="JG124" s="3"/>
      <c r="JH124" s="3"/>
      <c r="JI124" s="3"/>
      <c r="JJ124" s="3"/>
      <c r="JK124" s="3"/>
      <c r="JL124" s="3"/>
      <c r="JM124" s="3"/>
      <c r="JN124" s="3"/>
      <c r="JO124" s="3"/>
      <c r="JP124" s="3"/>
      <c r="JQ124" s="3"/>
      <c r="JR124" s="3"/>
      <c r="JS124" s="3"/>
      <c r="JT124" s="3"/>
      <c r="JU124" s="3"/>
      <c r="JV124" s="3"/>
      <c r="JW124" s="3"/>
      <c r="JX124" s="3"/>
      <c r="JY124" s="3"/>
      <c r="JZ124" s="3"/>
      <c r="KA124" s="3"/>
      <c r="KB124" s="3"/>
      <c r="KC124" s="3"/>
      <c r="KD124" s="3"/>
      <c r="KE124" s="3"/>
      <c r="KF124" s="3"/>
      <c r="KG124" s="3"/>
      <c r="KH124" s="3"/>
      <c r="KI124" s="3"/>
      <c r="KJ124" s="3"/>
      <c r="KK124" s="3"/>
      <c r="KL124" s="3"/>
      <c r="KM124" s="3"/>
      <c r="KN124" s="3"/>
      <c r="KO124" s="3"/>
      <c r="KP124" s="3"/>
      <c r="KQ124" s="3"/>
      <c r="KR124" s="3"/>
      <c r="KS124" s="3"/>
      <c r="KT124" s="3"/>
      <c r="KU124" s="3"/>
      <c r="KV124" s="3"/>
      <c r="KW124" s="3"/>
      <c r="KX124" s="3"/>
      <c r="KY124" s="3"/>
      <c r="KZ124" s="3"/>
      <c r="LA124" s="3"/>
      <c r="LB124" s="3"/>
      <c r="LC124" s="3"/>
      <c r="LD124" s="3"/>
      <c r="LE124" s="3"/>
      <c r="LF124" s="3"/>
      <c r="LG124" s="3"/>
      <c r="LH124" s="3"/>
      <c r="LI124" s="3"/>
      <c r="LJ124" s="3"/>
      <c r="LK124" s="3"/>
      <c r="LL124" s="3"/>
      <c r="LM124" s="3"/>
      <c r="LN124" s="3"/>
      <c r="LO124" s="3"/>
      <c r="LP124" s="3"/>
      <c r="LQ124" s="3"/>
      <c r="LR124" s="3"/>
      <c r="LS124" s="3"/>
      <c r="LT124" s="3"/>
      <c r="LU124" s="3"/>
      <c r="LV124" s="3"/>
      <c r="LW124" s="3"/>
      <c r="LX124" s="3"/>
      <c r="LY124" s="3"/>
      <c r="LZ124" s="3"/>
      <c r="MA124" s="3"/>
      <c r="MB124" s="3"/>
      <c r="MC124" s="3"/>
      <c r="MD124" s="3"/>
      <c r="ME124" s="3"/>
      <c r="MF124" s="3"/>
      <c r="MG124" s="3"/>
      <c r="MH124" s="3"/>
      <c r="MI124" s="3"/>
      <c r="MJ124" s="3"/>
      <c r="MK124" s="3"/>
      <c r="ML124" s="3"/>
      <c r="MM124" s="3"/>
      <c r="MN124" s="3"/>
      <c r="MO124" s="3"/>
      <c r="MP124" s="3"/>
      <c r="MQ124" s="3"/>
      <c r="MR124" s="3"/>
      <c r="MS124" s="3"/>
      <c r="MT124" s="3"/>
      <c r="MU124" s="3"/>
      <c r="MV124" s="3"/>
      <c r="MW124" s="3"/>
      <c r="MX124" s="3"/>
      <c r="MY124" s="3"/>
      <c r="MZ124" s="3"/>
      <c r="NA124" s="3"/>
      <c r="NB124" s="3"/>
      <c r="NC124" s="3"/>
      <c r="ND124" s="3"/>
      <c r="NE124" s="3"/>
      <c r="NF124" s="3"/>
      <c r="NG124" s="3"/>
      <c r="NH124" s="3"/>
      <c r="NI124" s="3"/>
      <c r="NJ124" s="3"/>
      <c r="NK124" s="3"/>
      <c r="NL124" s="3"/>
      <c r="NM124" s="3"/>
      <c r="NN124" s="3"/>
      <c r="NO124" s="3"/>
      <c r="NP124" s="3"/>
      <c r="NQ124" s="3"/>
      <c r="NR124" s="3"/>
      <c r="NS124" s="3"/>
      <c r="NT124" s="3"/>
      <c r="NU124" s="3"/>
      <c r="NV124" s="3"/>
      <c r="NW124" s="3"/>
      <c r="NX124" s="3"/>
      <c r="NY124" s="3"/>
      <c r="NZ124" s="3"/>
      <c r="OA124" s="3"/>
      <c r="OB124" s="3"/>
      <c r="OC124" s="3"/>
      <c r="OD124" s="3"/>
      <c r="OE124" s="3"/>
      <c r="OF124" s="3"/>
      <c r="OG124" s="3"/>
      <c r="OH124" s="3"/>
      <c r="OI124" s="3"/>
      <c r="OJ124" s="3"/>
      <c r="OK124" s="3"/>
      <c r="OL124" s="3"/>
      <c r="OM124" s="3"/>
      <c r="ON124" s="3"/>
      <c r="OO124" s="3"/>
      <c r="OP124" s="3"/>
      <c r="OQ124" s="3"/>
      <c r="OR124" s="3"/>
      <c r="OS124" s="3"/>
      <c r="OT124" s="3"/>
      <c r="OU124" s="3"/>
      <c r="OV124" s="3"/>
      <c r="OW124" s="3"/>
      <c r="OX124" s="3"/>
      <c r="OY124" s="3"/>
      <c r="OZ124" s="3"/>
      <c r="PA124" s="3"/>
      <c r="PB124" s="3"/>
      <c r="PC124" s="3"/>
      <c r="PD124" s="3"/>
      <c r="PE124" s="3"/>
      <c r="PF124" s="3"/>
      <c r="PG124" s="3"/>
      <c r="PH124" s="3"/>
      <c r="PI124" s="3"/>
      <c r="PJ124" s="3"/>
      <c r="PK124" s="3"/>
      <c r="PL124" s="3"/>
      <c r="PM124" s="3"/>
      <c r="PN124" s="3"/>
      <c r="PO124" s="3"/>
      <c r="PP124" s="3"/>
      <c r="PQ124" s="3"/>
      <c r="PR124" s="3"/>
      <c r="PS124" s="3"/>
      <c r="PT124" s="3"/>
      <c r="PU124" s="3"/>
      <c r="PV124" s="3"/>
      <c r="PW124" s="3"/>
      <c r="PX124" s="3"/>
      <c r="PY124" s="3"/>
      <c r="PZ124" s="3"/>
      <c r="QA124" s="3"/>
      <c r="QB124" s="3"/>
      <c r="QC124" s="3"/>
      <c r="QD124" s="3"/>
      <c r="QE124" s="3"/>
      <c r="QF124" s="3"/>
      <c r="QG124" s="3"/>
      <c r="QH124" s="3"/>
      <c r="QI124" s="3"/>
      <c r="QJ124" s="3"/>
      <c r="QK124" s="3"/>
      <c r="QL124" s="3"/>
      <c r="QM124" s="3"/>
      <c r="QN124" s="3"/>
      <c r="QO124" s="3"/>
      <c r="QP124" s="3"/>
      <c r="QQ124" s="3"/>
      <c r="QR124" s="3"/>
      <c r="QS124" s="3"/>
      <c r="QT124" s="3"/>
      <c r="QU124" s="3"/>
      <c r="QV124" s="3"/>
      <c r="QW124" s="3"/>
      <c r="QX124" s="3"/>
      <c r="QY124" s="3"/>
      <c r="QZ124" s="3"/>
      <c r="RA124" s="3"/>
      <c r="RB124" s="3"/>
      <c r="RC124" s="3"/>
      <c r="RD124" s="3"/>
      <c r="RE124" s="3"/>
      <c r="RF124" s="3"/>
      <c r="RG124" s="3"/>
      <c r="RH124" s="3"/>
      <c r="RI124" s="3"/>
      <c r="RJ124" s="3"/>
      <c r="RK124" s="3"/>
      <c r="RL124" s="3"/>
      <c r="RM124" s="3"/>
      <c r="RN124" s="3"/>
      <c r="RO124" s="3"/>
      <c r="RP124" s="3"/>
      <c r="RQ124" s="3"/>
      <c r="RR124" s="3"/>
      <c r="RS124" s="3"/>
      <c r="RT124" s="3"/>
      <c r="RU124" s="3"/>
      <c r="RV124" s="3"/>
      <c r="RW124" s="3"/>
      <c r="RX124" s="3"/>
      <c r="RY124" s="3"/>
      <c r="RZ124" s="3"/>
      <c r="SA124" s="3"/>
      <c r="SB124" s="3"/>
      <c r="SC124" s="3"/>
      <c r="SD124" s="3"/>
      <c r="SE124" s="3"/>
      <c r="SF124" s="3"/>
      <c r="SG124" s="3"/>
      <c r="SH124" s="3"/>
      <c r="SI124" s="3"/>
      <c r="SJ124" s="3"/>
      <c r="SK124" s="3"/>
      <c r="SL124" s="3"/>
      <c r="SM124" s="3"/>
      <c r="SN124" s="3"/>
      <c r="SO124" s="3"/>
      <c r="SP124" s="3"/>
      <c r="SQ124" s="3"/>
      <c r="SR124" s="3"/>
      <c r="SS124" s="3"/>
      <c r="ST124" s="3"/>
      <c r="SU124" s="3"/>
      <c r="SV124" s="3"/>
      <c r="SW124" s="3"/>
      <c r="SX124" s="3"/>
      <c r="SY124" s="3"/>
      <c r="SZ124" s="3"/>
      <c r="TA124" s="3"/>
      <c r="TB124" s="3"/>
      <c r="TC124" s="3"/>
      <c r="TD124" s="3"/>
      <c r="TE124" s="3"/>
      <c r="TF124" s="3"/>
      <c r="TG124" s="3"/>
      <c r="TH124" s="3"/>
      <c r="TI124" s="3"/>
      <c r="TJ124" s="3"/>
      <c r="TK124" s="3"/>
      <c r="TL124" s="3"/>
      <c r="TM124" s="3"/>
      <c r="TN124" s="3"/>
      <c r="TO124" s="3"/>
      <c r="TP124" s="3"/>
      <c r="TQ124" s="3"/>
      <c r="TR124" s="3"/>
      <c r="TS124" s="3"/>
      <c r="TT124" s="3"/>
      <c r="TU124" s="3"/>
      <c r="TV124" s="3"/>
      <c r="TW124" s="3"/>
      <c r="TX124" s="3"/>
      <c r="TY124" s="3"/>
      <c r="TZ124" s="3"/>
      <c r="UA124" s="3"/>
      <c r="UB124" s="3"/>
      <c r="UC124" s="3"/>
      <c r="UD124" s="3"/>
      <c r="UE124" s="3"/>
      <c r="UF124" s="3"/>
      <c r="UG124" s="3"/>
      <c r="UH124" s="3"/>
      <c r="UI124" s="3"/>
      <c r="UJ124" s="3"/>
      <c r="UK124" s="3"/>
      <c r="UL124" s="3"/>
      <c r="UM124" s="3"/>
      <c r="UN124" s="3"/>
      <c r="UO124" s="3"/>
      <c r="UP124" s="3"/>
      <c r="UQ124" s="3"/>
      <c r="UR124" s="3"/>
      <c r="US124" s="3"/>
      <c r="UT124" s="3"/>
      <c r="UU124" s="3"/>
      <c r="UV124" s="3"/>
      <c r="UW124" s="3"/>
      <c r="UX124" s="3"/>
      <c r="UY124" s="3"/>
      <c r="UZ124" s="3"/>
      <c r="VA124" s="3"/>
      <c r="VB124" s="3"/>
      <c r="VC124" s="3"/>
      <c r="VD124" s="3"/>
      <c r="VE124" s="3"/>
      <c r="VF124" s="3"/>
      <c r="VG124" s="3"/>
      <c r="VH124" s="3"/>
      <c r="VI124" s="3"/>
      <c r="VJ124" s="3"/>
      <c r="VK124" s="3"/>
      <c r="VL124" s="3"/>
      <c r="VM124" s="3"/>
      <c r="VN124" s="3"/>
      <c r="VO124" s="3"/>
      <c r="VP124" s="3"/>
      <c r="VQ124" s="3"/>
      <c r="VR124" s="3"/>
      <c r="VS124" s="3"/>
      <c r="VT124" s="3"/>
      <c r="VU124" s="3"/>
      <c r="VV124" s="3"/>
      <c r="VW124" s="3"/>
      <c r="VX124" s="3"/>
      <c r="VY124" s="3"/>
      <c r="VZ124" s="3"/>
      <c r="WA124" s="3"/>
      <c r="WB124" s="3"/>
      <c r="WC124" s="3"/>
      <c r="WD124" s="3"/>
      <c r="WE124" s="3"/>
      <c r="WF124" s="3"/>
      <c r="WG124" s="3"/>
      <c r="WH124" s="3"/>
      <c r="WI124" s="3"/>
      <c r="WJ124" s="3"/>
      <c r="WK124" s="3"/>
      <c r="WL124" s="3"/>
      <c r="WM124" s="3"/>
      <c r="WN124" s="3"/>
      <c r="WO124" s="3"/>
      <c r="WP124" s="3"/>
      <c r="WQ124" s="3"/>
      <c r="WR124" s="3"/>
      <c r="WS124" s="3"/>
      <c r="WT124" s="3"/>
      <c r="WU124" s="3"/>
      <c r="WV124" s="3"/>
      <c r="WW124" s="3"/>
      <c r="WX124" s="3"/>
      <c r="WY124" s="3"/>
      <c r="WZ124" s="3"/>
      <c r="XA124" s="3"/>
      <c r="XB124" s="3"/>
      <c r="XC124" s="3"/>
      <c r="XD124" s="3"/>
      <c r="XE124" s="3"/>
      <c r="XF124" s="3"/>
      <c r="XG124" s="3"/>
      <c r="XH124" s="3"/>
      <c r="XI124" s="3"/>
      <c r="XJ124" s="3"/>
      <c r="XK124" s="3"/>
      <c r="XL124" s="3"/>
      <c r="XM124" s="3"/>
      <c r="XN124" s="3"/>
      <c r="XO124" s="3"/>
      <c r="XP124" s="3"/>
      <c r="XQ124" s="3"/>
      <c r="XR124" s="3"/>
      <c r="XS124" s="3"/>
      <c r="XT124" s="3"/>
      <c r="XU124" s="3"/>
      <c r="XV124" s="3"/>
      <c r="XW124" s="3"/>
      <c r="XX124" s="3"/>
      <c r="XY124" s="3"/>
      <c r="XZ124" s="3"/>
      <c r="YA124" s="3"/>
      <c r="YB124" s="3"/>
      <c r="YC124" s="3"/>
      <c r="YD124" s="3"/>
      <c r="YE124" s="3"/>
      <c r="YF124" s="3"/>
      <c r="YG124" s="3"/>
      <c r="YH124" s="3"/>
      <c r="YI124" s="3"/>
      <c r="YJ124" s="3"/>
      <c r="YK124" s="3"/>
      <c r="YL124" s="3"/>
      <c r="YM124" s="3"/>
      <c r="YN124" s="3"/>
      <c r="YO124" s="3"/>
      <c r="YP124" s="3"/>
      <c r="YQ124" s="3"/>
      <c r="YR124" s="3"/>
      <c r="YS124" s="3"/>
      <c r="YT124" s="3"/>
      <c r="YU124" s="3"/>
      <c r="YV124" s="3"/>
      <c r="YW124" s="3"/>
      <c r="YX124" s="3"/>
      <c r="YY124" s="3"/>
      <c r="YZ124" s="3"/>
      <c r="ZA124" s="3"/>
      <c r="ZB124" s="3"/>
      <c r="ZC124" s="3"/>
    </row>
    <row r="125" spans="1:679" s="2" customFormat="1" x14ac:dyDescent="0.45">
      <c r="A125" s="3" t="s">
        <v>11</v>
      </c>
      <c r="B125" s="4">
        <v>33972</v>
      </c>
      <c r="C125" s="5" t="s">
        <v>12</v>
      </c>
      <c r="D125" s="6" t="s">
        <v>140</v>
      </c>
      <c r="E125" s="3"/>
      <c r="F125" s="3">
        <v>4</v>
      </c>
      <c r="L125" s="3"/>
      <c r="M125" s="3"/>
      <c r="N125" s="48"/>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c r="DW125" s="3"/>
      <c r="DX125" s="3"/>
      <c r="DY125" s="3"/>
      <c r="DZ125" s="3"/>
      <c r="EA125" s="3"/>
      <c r="EB125" s="3"/>
      <c r="EC125" s="3"/>
      <c r="ED125" s="3"/>
      <c r="EE125" s="3"/>
      <c r="EF125" s="3"/>
      <c r="EG125" s="3"/>
      <c r="EH125" s="3"/>
      <c r="EI125" s="3"/>
      <c r="EJ125" s="3"/>
      <c r="EK125" s="3"/>
      <c r="EL125" s="3"/>
      <c r="EM125" s="3"/>
      <c r="EN125" s="3"/>
      <c r="EO125" s="3"/>
      <c r="EP125" s="3"/>
      <c r="EQ125" s="3"/>
      <c r="ER125" s="3"/>
      <c r="ES125" s="3"/>
      <c r="ET125" s="3"/>
      <c r="EU125" s="3"/>
      <c r="EV125" s="3"/>
      <c r="EW125" s="3"/>
      <c r="EX125" s="3"/>
      <c r="EY125" s="3"/>
      <c r="EZ125" s="3"/>
      <c r="FA125" s="3"/>
      <c r="FB125" s="3"/>
      <c r="FC125" s="3"/>
      <c r="FD125" s="3"/>
      <c r="FE125" s="3"/>
      <c r="FF125" s="3"/>
      <c r="FG125" s="3"/>
      <c r="FH125" s="3"/>
      <c r="FI125" s="3"/>
      <c r="FJ125" s="3"/>
      <c r="FK125" s="3"/>
      <c r="FL125" s="3"/>
      <c r="FM125" s="3"/>
      <c r="FN125" s="3"/>
      <c r="FO125" s="3"/>
      <c r="FP125" s="3"/>
      <c r="FQ125" s="3"/>
      <c r="FR125" s="3"/>
      <c r="FS125" s="3"/>
      <c r="FT125" s="3"/>
      <c r="FU125" s="3"/>
      <c r="FV125" s="3"/>
      <c r="FW125" s="3"/>
      <c r="FX125" s="3"/>
      <c r="FY125" s="3"/>
      <c r="FZ125" s="3"/>
      <c r="GA125" s="3"/>
      <c r="GB125" s="3"/>
      <c r="GC125" s="3"/>
      <c r="GD125" s="3"/>
      <c r="GE125" s="3"/>
      <c r="GF125" s="3"/>
      <c r="GG125" s="3"/>
      <c r="GH125" s="3"/>
      <c r="GI125" s="3"/>
      <c r="GJ125" s="3"/>
      <c r="GK125" s="3"/>
      <c r="GL125" s="3"/>
      <c r="GM125" s="3"/>
      <c r="GN125" s="3"/>
      <c r="GO125" s="3"/>
      <c r="GP125" s="3"/>
      <c r="GQ125" s="3"/>
      <c r="GR125" s="3"/>
      <c r="GS125" s="3"/>
      <c r="GT125" s="3"/>
      <c r="GU125" s="3"/>
      <c r="GV125" s="3"/>
      <c r="GW125" s="3"/>
      <c r="GX125" s="3"/>
      <c r="GY125" s="3"/>
      <c r="GZ125" s="3"/>
      <c r="HA125" s="3"/>
      <c r="HB125" s="3"/>
      <c r="HC125" s="3"/>
      <c r="HD125" s="3"/>
      <c r="HE125" s="3"/>
      <c r="HF125" s="3"/>
      <c r="HG125" s="3"/>
      <c r="HH125" s="3"/>
      <c r="HI125" s="3"/>
      <c r="HJ125" s="3"/>
      <c r="HK125" s="3"/>
      <c r="HL125" s="3"/>
      <c r="HM125" s="3"/>
      <c r="HN125" s="3"/>
      <c r="HO125" s="3"/>
      <c r="HP125" s="3"/>
      <c r="HQ125" s="3"/>
      <c r="HR125" s="3"/>
      <c r="HS125" s="3"/>
      <c r="HT125" s="3"/>
      <c r="HU125" s="3"/>
      <c r="HV125" s="3"/>
      <c r="HW125" s="3"/>
      <c r="HX125" s="3"/>
      <c r="HY125" s="3"/>
      <c r="HZ125" s="3"/>
      <c r="IA125" s="3"/>
      <c r="IB125" s="3"/>
      <c r="IC125" s="3"/>
      <c r="ID125" s="3"/>
      <c r="IE125" s="3"/>
      <c r="IF125" s="3"/>
      <c r="IG125" s="3"/>
      <c r="IH125" s="3"/>
      <c r="II125" s="3"/>
      <c r="IJ125" s="3"/>
      <c r="IK125" s="3"/>
      <c r="IL125" s="3"/>
      <c r="IM125" s="3"/>
      <c r="IN125" s="3"/>
      <c r="IO125" s="3"/>
      <c r="IP125" s="3"/>
      <c r="IQ125" s="3"/>
      <c r="IR125" s="3"/>
      <c r="IS125" s="3"/>
      <c r="IT125" s="3"/>
      <c r="IU125" s="3"/>
      <c r="IV125" s="3"/>
      <c r="IW125" s="3"/>
      <c r="IX125" s="3"/>
      <c r="IY125" s="3"/>
      <c r="IZ125" s="3"/>
      <c r="JA125" s="3"/>
      <c r="JB125" s="3"/>
      <c r="JC125" s="3"/>
      <c r="JD125" s="3"/>
      <c r="JE125" s="3"/>
      <c r="JF125" s="3"/>
      <c r="JG125" s="3"/>
      <c r="JH125" s="3"/>
      <c r="JI125" s="3"/>
      <c r="JJ125" s="3"/>
      <c r="JK125" s="3"/>
      <c r="JL125" s="3"/>
      <c r="JM125" s="3"/>
      <c r="JN125" s="3"/>
      <c r="JO125" s="3"/>
      <c r="JP125" s="3"/>
      <c r="JQ125" s="3"/>
      <c r="JR125" s="3"/>
      <c r="JS125" s="3"/>
      <c r="JT125" s="3"/>
      <c r="JU125" s="3"/>
      <c r="JV125" s="3"/>
      <c r="JW125" s="3"/>
      <c r="JX125" s="3"/>
      <c r="JY125" s="3"/>
      <c r="JZ125" s="3"/>
      <c r="KA125" s="3"/>
      <c r="KB125" s="3"/>
      <c r="KC125" s="3"/>
      <c r="KD125" s="3"/>
      <c r="KE125" s="3"/>
      <c r="KF125" s="3"/>
      <c r="KG125" s="3"/>
      <c r="KH125" s="3"/>
      <c r="KI125" s="3"/>
      <c r="KJ125" s="3"/>
      <c r="KK125" s="3"/>
      <c r="KL125" s="3"/>
      <c r="KM125" s="3"/>
      <c r="KN125" s="3"/>
      <c r="KO125" s="3"/>
      <c r="KP125" s="3"/>
      <c r="KQ125" s="3"/>
      <c r="KR125" s="3"/>
      <c r="KS125" s="3"/>
      <c r="KT125" s="3"/>
      <c r="KU125" s="3"/>
      <c r="KV125" s="3"/>
      <c r="KW125" s="3"/>
      <c r="KX125" s="3"/>
      <c r="KY125" s="3"/>
      <c r="KZ125" s="3"/>
      <c r="LA125" s="3"/>
      <c r="LB125" s="3"/>
      <c r="LC125" s="3"/>
      <c r="LD125" s="3"/>
      <c r="LE125" s="3"/>
      <c r="LF125" s="3"/>
      <c r="LG125" s="3"/>
      <c r="LH125" s="3"/>
      <c r="LI125" s="3"/>
      <c r="LJ125" s="3"/>
      <c r="LK125" s="3"/>
      <c r="LL125" s="3"/>
      <c r="LM125" s="3"/>
      <c r="LN125" s="3"/>
      <c r="LO125" s="3"/>
      <c r="LP125" s="3"/>
      <c r="LQ125" s="3"/>
      <c r="LR125" s="3"/>
      <c r="LS125" s="3"/>
      <c r="LT125" s="3"/>
      <c r="LU125" s="3"/>
      <c r="LV125" s="3"/>
      <c r="LW125" s="3"/>
      <c r="LX125" s="3"/>
      <c r="LY125" s="3"/>
      <c r="LZ125" s="3"/>
      <c r="MA125" s="3"/>
      <c r="MB125" s="3"/>
      <c r="MC125" s="3"/>
      <c r="MD125" s="3"/>
      <c r="ME125" s="3"/>
      <c r="MF125" s="3"/>
      <c r="MG125" s="3"/>
      <c r="MH125" s="3"/>
      <c r="MI125" s="3"/>
      <c r="MJ125" s="3"/>
      <c r="MK125" s="3"/>
      <c r="ML125" s="3"/>
      <c r="MM125" s="3"/>
      <c r="MN125" s="3"/>
      <c r="MO125" s="3"/>
      <c r="MP125" s="3"/>
      <c r="MQ125" s="3"/>
      <c r="MR125" s="3"/>
      <c r="MS125" s="3"/>
      <c r="MT125" s="3"/>
      <c r="MU125" s="3"/>
      <c r="MV125" s="3"/>
      <c r="MW125" s="3"/>
      <c r="MX125" s="3"/>
      <c r="MY125" s="3"/>
      <c r="MZ125" s="3"/>
      <c r="NA125" s="3"/>
      <c r="NB125" s="3"/>
      <c r="NC125" s="3"/>
      <c r="ND125" s="3"/>
      <c r="NE125" s="3"/>
      <c r="NF125" s="3"/>
      <c r="NG125" s="3"/>
      <c r="NH125" s="3"/>
      <c r="NI125" s="3"/>
      <c r="NJ125" s="3"/>
      <c r="NK125" s="3"/>
      <c r="NL125" s="3"/>
      <c r="NM125" s="3"/>
      <c r="NN125" s="3"/>
      <c r="NO125" s="3"/>
      <c r="NP125" s="3"/>
      <c r="NQ125" s="3"/>
      <c r="NR125" s="3"/>
      <c r="NS125" s="3"/>
      <c r="NT125" s="3"/>
      <c r="NU125" s="3"/>
      <c r="NV125" s="3"/>
      <c r="NW125" s="3"/>
      <c r="NX125" s="3"/>
      <c r="NY125" s="3"/>
      <c r="NZ125" s="3"/>
      <c r="OA125" s="3"/>
      <c r="OB125" s="3"/>
      <c r="OC125" s="3"/>
      <c r="OD125" s="3"/>
      <c r="OE125" s="3"/>
      <c r="OF125" s="3"/>
      <c r="OG125" s="3"/>
      <c r="OH125" s="3"/>
      <c r="OI125" s="3"/>
      <c r="OJ125" s="3"/>
      <c r="OK125" s="3"/>
      <c r="OL125" s="3"/>
      <c r="OM125" s="3"/>
      <c r="ON125" s="3"/>
      <c r="OO125" s="3"/>
      <c r="OP125" s="3"/>
      <c r="OQ125" s="3"/>
      <c r="OR125" s="3"/>
      <c r="OS125" s="3"/>
      <c r="OT125" s="3"/>
      <c r="OU125" s="3"/>
      <c r="OV125" s="3"/>
      <c r="OW125" s="3"/>
      <c r="OX125" s="3"/>
      <c r="OY125" s="3"/>
      <c r="OZ125" s="3"/>
      <c r="PA125" s="3"/>
      <c r="PB125" s="3"/>
      <c r="PC125" s="3"/>
      <c r="PD125" s="3"/>
      <c r="PE125" s="3"/>
      <c r="PF125" s="3"/>
      <c r="PG125" s="3"/>
      <c r="PH125" s="3"/>
      <c r="PI125" s="3"/>
      <c r="PJ125" s="3"/>
      <c r="PK125" s="3"/>
      <c r="PL125" s="3"/>
      <c r="PM125" s="3"/>
      <c r="PN125" s="3"/>
      <c r="PO125" s="3"/>
      <c r="PP125" s="3"/>
      <c r="PQ125" s="3"/>
      <c r="PR125" s="3"/>
      <c r="PS125" s="3"/>
      <c r="PT125" s="3"/>
      <c r="PU125" s="3"/>
      <c r="PV125" s="3"/>
      <c r="PW125" s="3"/>
      <c r="PX125" s="3"/>
      <c r="PY125" s="3"/>
      <c r="PZ125" s="3"/>
      <c r="QA125" s="3"/>
      <c r="QB125" s="3"/>
      <c r="QC125" s="3"/>
      <c r="QD125" s="3"/>
      <c r="QE125" s="3"/>
      <c r="QF125" s="3"/>
      <c r="QG125" s="3"/>
      <c r="QH125" s="3"/>
      <c r="QI125" s="3"/>
      <c r="QJ125" s="3"/>
      <c r="QK125" s="3"/>
      <c r="QL125" s="3"/>
      <c r="QM125" s="3"/>
      <c r="QN125" s="3"/>
      <c r="QO125" s="3"/>
      <c r="QP125" s="3"/>
      <c r="QQ125" s="3"/>
      <c r="QR125" s="3"/>
      <c r="QS125" s="3"/>
      <c r="QT125" s="3"/>
      <c r="QU125" s="3"/>
      <c r="QV125" s="3"/>
      <c r="QW125" s="3"/>
      <c r="QX125" s="3"/>
      <c r="QY125" s="3"/>
      <c r="QZ125" s="3"/>
      <c r="RA125" s="3"/>
      <c r="RB125" s="3"/>
      <c r="RC125" s="3"/>
      <c r="RD125" s="3"/>
      <c r="RE125" s="3"/>
      <c r="RF125" s="3"/>
      <c r="RG125" s="3"/>
      <c r="RH125" s="3"/>
      <c r="RI125" s="3"/>
      <c r="RJ125" s="3"/>
      <c r="RK125" s="3"/>
      <c r="RL125" s="3"/>
      <c r="RM125" s="3"/>
      <c r="RN125" s="3"/>
      <c r="RO125" s="3"/>
      <c r="RP125" s="3"/>
      <c r="RQ125" s="3"/>
      <c r="RR125" s="3"/>
      <c r="RS125" s="3"/>
      <c r="RT125" s="3"/>
      <c r="RU125" s="3"/>
      <c r="RV125" s="3"/>
      <c r="RW125" s="3"/>
      <c r="RX125" s="3"/>
      <c r="RY125" s="3"/>
      <c r="RZ125" s="3"/>
      <c r="SA125" s="3"/>
      <c r="SB125" s="3"/>
      <c r="SC125" s="3"/>
      <c r="SD125" s="3"/>
      <c r="SE125" s="3"/>
      <c r="SF125" s="3"/>
      <c r="SG125" s="3"/>
      <c r="SH125" s="3"/>
      <c r="SI125" s="3"/>
      <c r="SJ125" s="3"/>
      <c r="SK125" s="3"/>
      <c r="SL125" s="3"/>
      <c r="SM125" s="3"/>
      <c r="SN125" s="3"/>
      <c r="SO125" s="3"/>
      <c r="SP125" s="3"/>
      <c r="SQ125" s="3"/>
      <c r="SR125" s="3"/>
      <c r="SS125" s="3"/>
      <c r="ST125" s="3"/>
      <c r="SU125" s="3"/>
      <c r="SV125" s="3"/>
      <c r="SW125" s="3"/>
      <c r="SX125" s="3"/>
      <c r="SY125" s="3"/>
      <c r="SZ125" s="3"/>
      <c r="TA125" s="3"/>
      <c r="TB125" s="3"/>
      <c r="TC125" s="3"/>
      <c r="TD125" s="3"/>
      <c r="TE125" s="3"/>
      <c r="TF125" s="3"/>
      <c r="TG125" s="3"/>
      <c r="TH125" s="3"/>
      <c r="TI125" s="3"/>
      <c r="TJ125" s="3"/>
      <c r="TK125" s="3"/>
      <c r="TL125" s="3"/>
      <c r="TM125" s="3"/>
      <c r="TN125" s="3"/>
      <c r="TO125" s="3"/>
      <c r="TP125" s="3"/>
      <c r="TQ125" s="3"/>
      <c r="TR125" s="3"/>
      <c r="TS125" s="3"/>
      <c r="TT125" s="3"/>
      <c r="TU125" s="3"/>
      <c r="TV125" s="3"/>
      <c r="TW125" s="3"/>
      <c r="TX125" s="3"/>
      <c r="TY125" s="3"/>
      <c r="TZ125" s="3"/>
      <c r="UA125" s="3"/>
      <c r="UB125" s="3"/>
      <c r="UC125" s="3"/>
      <c r="UD125" s="3"/>
      <c r="UE125" s="3"/>
      <c r="UF125" s="3"/>
      <c r="UG125" s="3"/>
      <c r="UH125" s="3"/>
      <c r="UI125" s="3"/>
      <c r="UJ125" s="3"/>
      <c r="UK125" s="3"/>
      <c r="UL125" s="3"/>
      <c r="UM125" s="3"/>
      <c r="UN125" s="3"/>
      <c r="UO125" s="3"/>
      <c r="UP125" s="3"/>
      <c r="UQ125" s="3"/>
      <c r="UR125" s="3"/>
      <c r="US125" s="3"/>
      <c r="UT125" s="3"/>
      <c r="UU125" s="3"/>
      <c r="UV125" s="3"/>
      <c r="UW125" s="3"/>
      <c r="UX125" s="3"/>
      <c r="UY125" s="3"/>
      <c r="UZ125" s="3"/>
      <c r="VA125" s="3"/>
      <c r="VB125" s="3"/>
      <c r="VC125" s="3"/>
      <c r="VD125" s="3"/>
      <c r="VE125" s="3"/>
      <c r="VF125" s="3"/>
      <c r="VG125" s="3"/>
      <c r="VH125" s="3"/>
      <c r="VI125" s="3"/>
      <c r="VJ125" s="3"/>
      <c r="VK125" s="3"/>
      <c r="VL125" s="3"/>
      <c r="VM125" s="3"/>
      <c r="VN125" s="3"/>
      <c r="VO125" s="3"/>
      <c r="VP125" s="3"/>
      <c r="VQ125" s="3"/>
      <c r="VR125" s="3"/>
      <c r="VS125" s="3"/>
      <c r="VT125" s="3"/>
      <c r="VU125" s="3"/>
      <c r="VV125" s="3"/>
      <c r="VW125" s="3"/>
      <c r="VX125" s="3"/>
      <c r="VY125" s="3"/>
      <c r="VZ125" s="3"/>
      <c r="WA125" s="3"/>
      <c r="WB125" s="3"/>
      <c r="WC125" s="3"/>
      <c r="WD125" s="3"/>
      <c r="WE125" s="3"/>
      <c r="WF125" s="3"/>
      <c r="WG125" s="3"/>
      <c r="WH125" s="3"/>
      <c r="WI125" s="3"/>
      <c r="WJ125" s="3"/>
      <c r="WK125" s="3"/>
      <c r="WL125" s="3"/>
      <c r="WM125" s="3"/>
      <c r="WN125" s="3"/>
      <c r="WO125" s="3"/>
      <c r="WP125" s="3"/>
      <c r="WQ125" s="3"/>
      <c r="WR125" s="3"/>
      <c r="WS125" s="3"/>
      <c r="WT125" s="3"/>
      <c r="WU125" s="3"/>
      <c r="WV125" s="3"/>
      <c r="WW125" s="3"/>
      <c r="WX125" s="3"/>
      <c r="WY125" s="3"/>
      <c r="WZ125" s="3"/>
      <c r="XA125" s="3"/>
      <c r="XB125" s="3"/>
      <c r="XC125" s="3"/>
      <c r="XD125" s="3"/>
      <c r="XE125" s="3"/>
      <c r="XF125" s="3"/>
      <c r="XG125" s="3"/>
      <c r="XH125" s="3"/>
      <c r="XI125" s="3"/>
      <c r="XJ125" s="3"/>
      <c r="XK125" s="3"/>
      <c r="XL125" s="3"/>
      <c r="XM125" s="3"/>
      <c r="XN125" s="3"/>
      <c r="XO125" s="3"/>
      <c r="XP125" s="3"/>
      <c r="XQ125" s="3"/>
      <c r="XR125" s="3"/>
      <c r="XS125" s="3"/>
      <c r="XT125" s="3"/>
      <c r="XU125" s="3"/>
      <c r="XV125" s="3"/>
      <c r="XW125" s="3"/>
      <c r="XX125" s="3"/>
      <c r="XY125" s="3"/>
      <c r="XZ125" s="3"/>
      <c r="YA125" s="3"/>
      <c r="YB125" s="3"/>
      <c r="YC125" s="3"/>
      <c r="YD125" s="3"/>
      <c r="YE125" s="3"/>
      <c r="YF125" s="3"/>
      <c r="YG125" s="3"/>
      <c r="YH125" s="3"/>
      <c r="YI125" s="3"/>
      <c r="YJ125" s="3"/>
      <c r="YK125" s="3"/>
      <c r="YL125" s="3"/>
      <c r="YM125" s="3"/>
      <c r="YN125" s="3"/>
      <c r="YO125" s="3"/>
      <c r="YP125" s="3"/>
      <c r="YQ125" s="3"/>
      <c r="YR125" s="3"/>
      <c r="YS125" s="3"/>
      <c r="YT125" s="3"/>
      <c r="YU125" s="3"/>
      <c r="YV125" s="3"/>
      <c r="YW125" s="3"/>
      <c r="YX125" s="3"/>
      <c r="YY125" s="3"/>
      <c r="YZ125" s="3"/>
      <c r="ZA125" s="3"/>
      <c r="ZB125" s="3"/>
      <c r="ZC125" s="3"/>
    </row>
    <row r="126" spans="1:679" s="2" customFormat="1" x14ac:dyDescent="0.45">
      <c r="A126" s="3" t="s">
        <v>11</v>
      </c>
      <c r="B126" s="4">
        <v>33984</v>
      </c>
      <c r="C126" s="7" t="s">
        <v>21</v>
      </c>
      <c r="D126" s="6" t="s">
        <v>141</v>
      </c>
      <c r="E126" s="3"/>
      <c r="F126" s="3">
        <v>18</v>
      </c>
      <c r="L126" s="3"/>
      <c r="M126" s="3"/>
      <c r="N126" s="48"/>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Q126" s="3"/>
      <c r="ER126" s="3"/>
      <c r="ES126" s="3"/>
      <c r="ET126" s="3"/>
      <c r="EU126" s="3"/>
      <c r="EV126" s="3"/>
      <c r="EW126" s="3"/>
      <c r="EX126" s="3"/>
      <c r="EY126" s="3"/>
      <c r="EZ126" s="3"/>
      <c r="FA126" s="3"/>
      <c r="FB126" s="3"/>
      <c r="FC126" s="3"/>
      <c r="FD126" s="3"/>
      <c r="FE126" s="3"/>
      <c r="FF126" s="3"/>
      <c r="FG126" s="3"/>
      <c r="FH126" s="3"/>
      <c r="FI126" s="3"/>
      <c r="FJ126" s="3"/>
      <c r="FK126" s="3"/>
      <c r="FL126" s="3"/>
      <c r="FM126" s="3"/>
      <c r="FN126" s="3"/>
      <c r="FO126" s="3"/>
      <c r="FP126" s="3"/>
      <c r="FQ126" s="3"/>
      <c r="FR126" s="3"/>
      <c r="FS126" s="3"/>
      <c r="FT126" s="3"/>
      <c r="FU126" s="3"/>
      <c r="FV126" s="3"/>
      <c r="FW126" s="3"/>
      <c r="FX126" s="3"/>
      <c r="FY126" s="3"/>
      <c r="FZ126" s="3"/>
      <c r="GA126" s="3"/>
      <c r="GB126" s="3"/>
      <c r="GC126" s="3"/>
      <c r="GD126" s="3"/>
      <c r="GE126" s="3"/>
      <c r="GF126" s="3"/>
      <c r="GG126" s="3"/>
      <c r="GH126" s="3"/>
      <c r="GI126" s="3"/>
      <c r="GJ126" s="3"/>
      <c r="GK126" s="3"/>
      <c r="GL126" s="3"/>
      <c r="GM126" s="3"/>
      <c r="GN126" s="3"/>
      <c r="GO126" s="3"/>
      <c r="GP126" s="3"/>
      <c r="GQ126" s="3"/>
      <c r="GR126" s="3"/>
      <c r="GS126" s="3"/>
      <c r="GT126" s="3"/>
      <c r="GU126" s="3"/>
      <c r="GV126" s="3"/>
      <c r="GW126" s="3"/>
      <c r="GX126" s="3"/>
      <c r="GY126" s="3"/>
      <c r="GZ126" s="3"/>
      <c r="HA126" s="3"/>
      <c r="HB126" s="3"/>
      <c r="HC126" s="3"/>
      <c r="HD126" s="3"/>
      <c r="HE126" s="3"/>
      <c r="HF126" s="3"/>
      <c r="HG126" s="3"/>
      <c r="HH126" s="3"/>
      <c r="HI126" s="3"/>
      <c r="HJ126" s="3"/>
      <c r="HK126" s="3"/>
      <c r="HL126" s="3"/>
      <c r="HM126" s="3"/>
      <c r="HN126" s="3"/>
      <c r="HO126" s="3"/>
      <c r="HP126" s="3"/>
      <c r="HQ126" s="3"/>
      <c r="HR126" s="3"/>
      <c r="HS126" s="3"/>
      <c r="HT126" s="3"/>
      <c r="HU126" s="3"/>
      <c r="HV126" s="3"/>
      <c r="HW126" s="3"/>
      <c r="HX126" s="3"/>
      <c r="HY126" s="3"/>
      <c r="HZ126" s="3"/>
      <c r="IA126" s="3"/>
      <c r="IB126" s="3"/>
      <c r="IC126" s="3"/>
      <c r="ID126" s="3"/>
      <c r="IE126" s="3"/>
      <c r="IF126" s="3"/>
      <c r="IG126" s="3"/>
      <c r="IH126" s="3"/>
      <c r="II126" s="3"/>
      <c r="IJ126" s="3"/>
      <c r="IK126" s="3"/>
      <c r="IL126" s="3"/>
      <c r="IM126" s="3"/>
      <c r="IN126" s="3"/>
      <c r="IO126" s="3"/>
      <c r="IP126" s="3"/>
      <c r="IQ126" s="3"/>
      <c r="IR126" s="3"/>
      <c r="IS126" s="3"/>
      <c r="IT126" s="3"/>
      <c r="IU126" s="3"/>
      <c r="IV126" s="3"/>
      <c r="IW126" s="3"/>
      <c r="IX126" s="3"/>
      <c r="IY126" s="3"/>
      <c r="IZ126" s="3"/>
      <c r="JA126" s="3"/>
      <c r="JB126" s="3"/>
      <c r="JC126" s="3"/>
      <c r="JD126" s="3"/>
      <c r="JE126" s="3"/>
      <c r="JF126" s="3"/>
      <c r="JG126" s="3"/>
      <c r="JH126" s="3"/>
      <c r="JI126" s="3"/>
      <c r="JJ126" s="3"/>
      <c r="JK126" s="3"/>
      <c r="JL126" s="3"/>
      <c r="JM126" s="3"/>
      <c r="JN126" s="3"/>
      <c r="JO126" s="3"/>
      <c r="JP126" s="3"/>
      <c r="JQ126" s="3"/>
      <c r="JR126" s="3"/>
      <c r="JS126" s="3"/>
      <c r="JT126" s="3"/>
      <c r="JU126" s="3"/>
      <c r="JV126" s="3"/>
      <c r="JW126" s="3"/>
      <c r="JX126" s="3"/>
      <c r="JY126" s="3"/>
      <c r="JZ126" s="3"/>
      <c r="KA126" s="3"/>
      <c r="KB126" s="3"/>
      <c r="KC126" s="3"/>
      <c r="KD126" s="3"/>
      <c r="KE126" s="3"/>
      <c r="KF126" s="3"/>
      <c r="KG126" s="3"/>
      <c r="KH126" s="3"/>
      <c r="KI126" s="3"/>
      <c r="KJ126" s="3"/>
      <c r="KK126" s="3"/>
      <c r="KL126" s="3"/>
      <c r="KM126" s="3"/>
      <c r="KN126" s="3"/>
      <c r="KO126" s="3"/>
      <c r="KP126" s="3"/>
      <c r="KQ126" s="3"/>
      <c r="KR126" s="3"/>
      <c r="KS126" s="3"/>
      <c r="KT126" s="3"/>
      <c r="KU126" s="3"/>
      <c r="KV126" s="3"/>
      <c r="KW126" s="3"/>
      <c r="KX126" s="3"/>
      <c r="KY126" s="3"/>
      <c r="KZ126" s="3"/>
      <c r="LA126" s="3"/>
      <c r="LB126" s="3"/>
      <c r="LC126" s="3"/>
      <c r="LD126" s="3"/>
      <c r="LE126" s="3"/>
      <c r="LF126" s="3"/>
      <c r="LG126" s="3"/>
      <c r="LH126" s="3"/>
      <c r="LI126" s="3"/>
      <c r="LJ126" s="3"/>
      <c r="LK126" s="3"/>
      <c r="LL126" s="3"/>
      <c r="LM126" s="3"/>
      <c r="LN126" s="3"/>
      <c r="LO126" s="3"/>
      <c r="LP126" s="3"/>
      <c r="LQ126" s="3"/>
      <c r="LR126" s="3"/>
      <c r="LS126" s="3"/>
      <c r="LT126" s="3"/>
      <c r="LU126" s="3"/>
      <c r="LV126" s="3"/>
      <c r="LW126" s="3"/>
      <c r="LX126" s="3"/>
      <c r="LY126" s="3"/>
      <c r="LZ126" s="3"/>
      <c r="MA126" s="3"/>
      <c r="MB126" s="3"/>
      <c r="MC126" s="3"/>
      <c r="MD126" s="3"/>
      <c r="ME126" s="3"/>
      <c r="MF126" s="3"/>
      <c r="MG126" s="3"/>
      <c r="MH126" s="3"/>
      <c r="MI126" s="3"/>
      <c r="MJ126" s="3"/>
      <c r="MK126" s="3"/>
      <c r="ML126" s="3"/>
      <c r="MM126" s="3"/>
      <c r="MN126" s="3"/>
      <c r="MO126" s="3"/>
      <c r="MP126" s="3"/>
      <c r="MQ126" s="3"/>
      <c r="MR126" s="3"/>
      <c r="MS126" s="3"/>
      <c r="MT126" s="3"/>
      <c r="MU126" s="3"/>
      <c r="MV126" s="3"/>
      <c r="MW126" s="3"/>
      <c r="MX126" s="3"/>
      <c r="MY126" s="3"/>
      <c r="MZ126" s="3"/>
      <c r="NA126" s="3"/>
      <c r="NB126" s="3"/>
      <c r="NC126" s="3"/>
      <c r="ND126" s="3"/>
      <c r="NE126" s="3"/>
      <c r="NF126" s="3"/>
      <c r="NG126" s="3"/>
      <c r="NH126" s="3"/>
      <c r="NI126" s="3"/>
      <c r="NJ126" s="3"/>
      <c r="NK126" s="3"/>
      <c r="NL126" s="3"/>
      <c r="NM126" s="3"/>
      <c r="NN126" s="3"/>
      <c r="NO126" s="3"/>
      <c r="NP126" s="3"/>
      <c r="NQ126" s="3"/>
      <c r="NR126" s="3"/>
      <c r="NS126" s="3"/>
      <c r="NT126" s="3"/>
      <c r="NU126" s="3"/>
      <c r="NV126" s="3"/>
      <c r="NW126" s="3"/>
      <c r="NX126" s="3"/>
      <c r="NY126" s="3"/>
      <c r="NZ126" s="3"/>
      <c r="OA126" s="3"/>
      <c r="OB126" s="3"/>
      <c r="OC126" s="3"/>
      <c r="OD126" s="3"/>
      <c r="OE126" s="3"/>
      <c r="OF126" s="3"/>
      <c r="OG126" s="3"/>
      <c r="OH126" s="3"/>
      <c r="OI126" s="3"/>
      <c r="OJ126" s="3"/>
      <c r="OK126" s="3"/>
      <c r="OL126" s="3"/>
      <c r="OM126" s="3"/>
      <c r="ON126" s="3"/>
      <c r="OO126" s="3"/>
      <c r="OP126" s="3"/>
      <c r="OQ126" s="3"/>
      <c r="OR126" s="3"/>
      <c r="OS126" s="3"/>
      <c r="OT126" s="3"/>
      <c r="OU126" s="3"/>
      <c r="OV126" s="3"/>
      <c r="OW126" s="3"/>
      <c r="OX126" s="3"/>
      <c r="OY126" s="3"/>
      <c r="OZ126" s="3"/>
      <c r="PA126" s="3"/>
      <c r="PB126" s="3"/>
      <c r="PC126" s="3"/>
      <c r="PD126" s="3"/>
      <c r="PE126" s="3"/>
      <c r="PF126" s="3"/>
      <c r="PG126" s="3"/>
      <c r="PH126" s="3"/>
      <c r="PI126" s="3"/>
      <c r="PJ126" s="3"/>
      <c r="PK126" s="3"/>
      <c r="PL126" s="3"/>
      <c r="PM126" s="3"/>
      <c r="PN126" s="3"/>
      <c r="PO126" s="3"/>
      <c r="PP126" s="3"/>
      <c r="PQ126" s="3"/>
      <c r="PR126" s="3"/>
      <c r="PS126" s="3"/>
      <c r="PT126" s="3"/>
      <c r="PU126" s="3"/>
      <c r="PV126" s="3"/>
      <c r="PW126" s="3"/>
      <c r="PX126" s="3"/>
      <c r="PY126" s="3"/>
      <c r="PZ126" s="3"/>
      <c r="QA126" s="3"/>
      <c r="QB126" s="3"/>
      <c r="QC126" s="3"/>
      <c r="QD126" s="3"/>
      <c r="QE126" s="3"/>
      <c r="QF126" s="3"/>
      <c r="QG126" s="3"/>
      <c r="QH126" s="3"/>
      <c r="QI126" s="3"/>
      <c r="QJ126" s="3"/>
      <c r="QK126" s="3"/>
      <c r="QL126" s="3"/>
      <c r="QM126" s="3"/>
      <c r="QN126" s="3"/>
      <c r="QO126" s="3"/>
      <c r="QP126" s="3"/>
      <c r="QQ126" s="3"/>
      <c r="QR126" s="3"/>
      <c r="QS126" s="3"/>
      <c r="QT126" s="3"/>
      <c r="QU126" s="3"/>
      <c r="QV126" s="3"/>
      <c r="QW126" s="3"/>
      <c r="QX126" s="3"/>
      <c r="QY126" s="3"/>
      <c r="QZ126" s="3"/>
      <c r="RA126" s="3"/>
      <c r="RB126" s="3"/>
      <c r="RC126" s="3"/>
      <c r="RD126" s="3"/>
      <c r="RE126" s="3"/>
      <c r="RF126" s="3"/>
      <c r="RG126" s="3"/>
      <c r="RH126" s="3"/>
      <c r="RI126" s="3"/>
      <c r="RJ126" s="3"/>
      <c r="RK126" s="3"/>
      <c r="RL126" s="3"/>
      <c r="RM126" s="3"/>
      <c r="RN126" s="3"/>
      <c r="RO126" s="3"/>
      <c r="RP126" s="3"/>
      <c r="RQ126" s="3"/>
      <c r="RR126" s="3"/>
      <c r="RS126" s="3"/>
      <c r="RT126" s="3"/>
      <c r="RU126" s="3"/>
      <c r="RV126" s="3"/>
      <c r="RW126" s="3"/>
      <c r="RX126" s="3"/>
      <c r="RY126" s="3"/>
      <c r="RZ126" s="3"/>
      <c r="SA126" s="3"/>
      <c r="SB126" s="3"/>
      <c r="SC126" s="3"/>
      <c r="SD126" s="3"/>
      <c r="SE126" s="3"/>
      <c r="SF126" s="3"/>
      <c r="SG126" s="3"/>
      <c r="SH126" s="3"/>
      <c r="SI126" s="3"/>
      <c r="SJ126" s="3"/>
      <c r="SK126" s="3"/>
      <c r="SL126" s="3"/>
      <c r="SM126" s="3"/>
      <c r="SN126" s="3"/>
      <c r="SO126" s="3"/>
      <c r="SP126" s="3"/>
      <c r="SQ126" s="3"/>
      <c r="SR126" s="3"/>
      <c r="SS126" s="3"/>
      <c r="ST126" s="3"/>
      <c r="SU126" s="3"/>
      <c r="SV126" s="3"/>
      <c r="SW126" s="3"/>
      <c r="SX126" s="3"/>
      <c r="SY126" s="3"/>
      <c r="SZ126" s="3"/>
      <c r="TA126" s="3"/>
      <c r="TB126" s="3"/>
      <c r="TC126" s="3"/>
      <c r="TD126" s="3"/>
      <c r="TE126" s="3"/>
      <c r="TF126" s="3"/>
      <c r="TG126" s="3"/>
      <c r="TH126" s="3"/>
      <c r="TI126" s="3"/>
      <c r="TJ126" s="3"/>
      <c r="TK126" s="3"/>
      <c r="TL126" s="3"/>
      <c r="TM126" s="3"/>
      <c r="TN126" s="3"/>
      <c r="TO126" s="3"/>
      <c r="TP126" s="3"/>
      <c r="TQ126" s="3"/>
      <c r="TR126" s="3"/>
      <c r="TS126" s="3"/>
      <c r="TT126" s="3"/>
      <c r="TU126" s="3"/>
      <c r="TV126" s="3"/>
      <c r="TW126" s="3"/>
      <c r="TX126" s="3"/>
      <c r="TY126" s="3"/>
      <c r="TZ126" s="3"/>
      <c r="UA126" s="3"/>
      <c r="UB126" s="3"/>
      <c r="UC126" s="3"/>
      <c r="UD126" s="3"/>
      <c r="UE126" s="3"/>
      <c r="UF126" s="3"/>
      <c r="UG126" s="3"/>
      <c r="UH126" s="3"/>
      <c r="UI126" s="3"/>
      <c r="UJ126" s="3"/>
      <c r="UK126" s="3"/>
      <c r="UL126" s="3"/>
      <c r="UM126" s="3"/>
      <c r="UN126" s="3"/>
      <c r="UO126" s="3"/>
      <c r="UP126" s="3"/>
      <c r="UQ126" s="3"/>
      <c r="UR126" s="3"/>
      <c r="US126" s="3"/>
      <c r="UT126" s="3"/>
      <c r="UU126" s="3"/>
      <c r="UV126" s="3"/>
      <c r="UW126" s="3"/>
      <c r="UX126" s="3"/>
      <c r="UY126" s="3"/>
      <c r="UZ126" s="3"/>
      <c r="VA126" s="3"/>
      <c r="VB126" s="3"/>
      <c r="VC126" s="3"/>
      <c r="VD126" s="3"/>
      <c r="VE126" s="3"/>
      <c r="VF126" s="3"/>
      <c r="VG126" s="3"/>
      <c r="VH126" s="3"/>
      <c r="VI126" s="3"/>
      <c r="VJ126" s="3"/>
      <c r="VK126" s="3"/>
      <c r="VL126" s="3"/>
      <c r="VM126" s="3"/>
      <c r="VN126" s="3"/>
      <c r="VO126" s="3"/>
      <c r="VP126" s="3"/>
      <c r="VQ126" s="3"/>
      <c r="VR126" s="3"/>
      <c r="VS126" s="3"/>
      <c r="VT126" s="3"/>
      <c r="VU126" s="3"/>
      <c r="VV126" s="3"/>
      <c r="VW126" s="3"/>
      <c r="VX126" s="3"/>
      <c r="VY126" s="3"/>
      <c r="VZ126" s="3"/>
      <c r="WA126" s="3"/>
      <c r="WB126" s="3"/>
      <c r="WC126" s="3"/>
      <c r="WD126" s="3"/>
      <c r="WE126" s="3"/>
      <c r="WF126" s="3"/>
      <c r="WG126" s="3"/>
      <c r="WH126" s="3"/>
      <c r="WI126" s="3"/>
      <c r="WJ126" s="3"/>
      <c r="WK126" s="3"/>
      <c r="WL126" s="3"/>
      <c r="WM126" s="3"/>
      <c r="WN126" s="3"/>
      <c r="WO126" s="3"/>
      <c r="WP126" s="3"/>
      <c r="WQ126" s="3"/>
      <c r="WR126" s="3"/>
      <c r="WS126" s="3"/>
      <c r="WT126" s="3"/>
      <c r="WU126" s="3"/>
      <c r="WV126" s="3"/>
      <c r="WW126" s="3"/>
      <c r="WX126" s="3"/>
      <c r="WY126" s="3"/>
      <c r="WZ126" s="3"/>
      <c r="XA126" s="3"/>
      <c r="XB126" s="3"/>
      <c r="XC126" s="3"/>
      <c r="XD126" s="3"/>
      <c r="XE126" s="3"/>
      <c r="XF126" s="3"/>
      <c r="XG126" s="3"/>
      <c r="XH126" s="3"/>
      <c r="XI126" s="3"/>
      <c r="XJ126" s="3"/>
      <c r="XK126" s="3"/>
      <c r="XL126" s="3"/>
      <c r="XM126" s="3"/>
      <c r="XN126" s="3"/>
      <c r="XO126" s="3"/>
      <c r="XP126" s="3"/>
      <c r="XQ126" s="3"/>
      <c r="XR126" s="3"/>
      <c r="XS126" s="3"/>
      <c r="XT126" s="3"/>
      <c r="XU126" s="3"/>
      <c r="XV126" s="3"/>
      <c r="XW126" s="3"/>
      <c r="XX126" s="3"/>
      <c r="XY126" s="3"/>
      <c r="XZ126" s="3"/>
      <c r="YA126" s="3"/>
      <c r="YB126" s="3"/>
      <c r="YC126" s="3"/>
      <c r="YD126" s="3"/>
      <c r="YE126" s="3"/>
      <c r="YF126" s="3"/>
      <c r="YG126" s="3"/>
      <c r="YH126" s="3"/>
      <c r="YI126" s="3"/>
      <c r="YJ126" s="3"/>
      <c r="YK126" s="3"/>
      <c r="YL126" s="3"/>
      <c r="YM126" s="3"/>
      <c r="YN126" s="3"/>
      <c r="YO126" s="3"/>
      <c r="YP126" s="3"/>
      <c r="YQ126" s="3"/>
      <c r="YR126" s="3"/>
      <c r="YS126" s="3"/>
      <c r="YT126" s="3"/>
      <c r="YU126" s="3"/>
      <c r="YV126" s="3"/>
      <c r="YW126" s="3"/>
      <c r="YX126" s="3"/>
      <c r="YY126" s="3"/>
      <c r="YZ126" s="3"/>
      <c r="ZA126" s="3"/>
      <c r="ZB126" s="3"/>
      <c r="ZC126" s="3"/>
    </row>
    <row r="127" spans="1:679" s="2" customFormat="1" x14ac:dyDescent="0.45">
      <c r="A127" s="3" t="s">
        <v>11</v>
      </c>
      <c r="B127" s="4">
        <v>34005</v>
      </c>
      <c r="C127" s="7" t="s">
        <v>25</v>
      </c>
      <c r="D127" s="6" t="s">
        <v>142</v>
      </c>
      <c r="E127" s="3"/>
      <c r="F127" s="3">
        <v>2</v>
      </c>
      <c r="L127" s="3"/>
      <c r="M127" s="3"/>
      <c r="N127" s="48"/>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3"/>
      <c r="DN127" s="3"/>
      <c r="DO127" s="3"/>
      <c r="DP127" s="3"/>
      <c r="DQ127" s="3"/>
      <c r="DR127" s="3"/>
      <c r="DS127" s="3"/>
      <c r="DT127" s="3"/>
      <c r="DU127" s="3"/>
      <c r="DV127" s="3"/>
      <c r="DW127" s="3"/>
      <c r="DX127" s="3"/>
      <c r="DY127" s="3"/>
      <c r="DZ127" s="3"/>
      <c r="EA127" s="3"/>
      <c r="EB127" s="3"/>
      <c r="EC127" s="3"/>
      <c r="ED127" s="3"/>
      <c r="EE127" s="3"/>
      <c r="EF127" s="3"/>
      <c r="EG127" s="3"/>
      <c r="EH127" s="3"/>
      <c r="EI127" s="3"/>
      <c r="EJ127" s="3"/>
      <c r="EK127" s="3"/>
      <c r="EL127" s="3"/>
      <c r="EM127" s="3"/>
      <c r="EN127" s="3"/>
      <c r="EO127" s="3"/>
      <c r="EP127" s="3"/>
      <c r="EQ127" s="3"/>
      <c r="ER127" s="3"/>
      <c r="ES127" s="3"/>
      <c r="ET127" s="3"/>
      <c r="EU127" s="3"/>
      <c r="EV127" s="3"/>
      <c r="EW127" s="3"/>
      <c r="EX127" s="3"/>
      <c r="EY127" s="3"/>
      <c r="EZ127" s="3"/>
      <c r="FA127" s="3"/>
      <c r="FB127" s="3"/>
      <c r="FC127" s="3"/>
      <c r="FD127" s="3"/>
      <c r="FE127" s="3"/>
      <c r="FF127" s="3"/>
      <c r="FG127" s="3"/>
      <c r="FH127" s="3"/>
      <c r="FI127" s="3"/>
      <c r="FJ127" s="3"/>
      <c r="FK127" s="3"/>
      <c r="FL127" s="3"/>
      <c r="FM127" s="3"/>
      <c r="FN127" s="3"/>
      <c r="FO127" s="3"/>
      <c r="FP127" s="3"/>
      <c r="FQ127" s="3"/>
      <c r="FR127" s="3"/>
      <c r="FS127" s="3"/>
      <c r="FT127" s="3"/>
      <c r="FU127" s="3"/>
      <c r="FV127" s="3"/>
      <c r="FW127" s="3"/>
      <c r="FX127" s="3"/>
      <c r="FY127" s="3"/>
      <c r="FZ127" s="3"/>
      <c r="GA127" s="3"/>
      <c r="GB127" s="3"/>
      <c r="GC127" s="3"/>
      <c r="GD127" s="3"/>
      <c r="GE127" s="3"/>
      <c r="GF127" s="3"/>
      <c r="GG127" s="3"/>
      <c r="GH127" s="3"/>
      <c r="GI127" s="3"/>
      <c r="GJ127" s="3"/>
      <c r="GK127" s="3"/>
      <c r="GL127" s="3"/>
      <c r="GM127" s="3"/>
      <c r="GN127" s="3"/>
      <c r="GO127" s="3"/>
      <c r="GP127" s="3"/>
      <c r="GQ127" s="3"/>
      <c r="GR127" s="3"/>
      <c r="GS127" s="3"/>
      <c r="GT127" s="3"/>
      <c r="GU127" s="3"/>
      <c r="GV127" s="3"/>
      <c r="GW127" s="3"/>
      <c r="GX127" s="3"/>
      <c r="GY127" s="3"/>
      <c r="GZ127" s="3"/>
      <c r="HA127" s="3"/>
      <c r="HB127" s="3"/>
      <c r="HC127" s="3"/>
      <c r="HD127" s="3"/>
      <c r="HE127" s="3"/>
      <c r="HF127" s="3"/>
      <c r="HG127" s="3"/>
      <c r="HH127" s="3"/>
      <c r="HI127" s="3"/>
      <c r="HJ127" s="3"/>
      <c r="HK127" s="3"/>
      <c r="HL127" s="3"/>
      <c r="HM127" s="3"/>
      <c r="HN127" s="3"/>
      <c r="HO127" s="3"/>
      <c r="HP127" s="3"/>
      <c r="HQ127" s="3"/>
      <c r="HR127" s="3"/>
      <c r="HS127" s="3"/>
      <c r="HT127" s="3"/>
      <c r="HU127" s="3"/>
      <c r="HV127" s="3"/>
      <c r="HW127" s="3"/>
      <c r="HX127" s="3"/>
      <c r="HY127" s="3"/>
      <c r="HZ127" s="3"/>
      <c r="IA127" s="3"/>
      <c r="IB127" s="3"/>
      <c r="IC127" s="3"/>
      <c r="ID127" s="3"/>
      <c r="IE127" s="3"/>
      <c r="IF127" s="3"/>
      <c r="IG127" s="3"/>
      <c r="IH127" s="3"/>
      <c r="II127" s="3"/>
      <c r="IJ127" s="3"/>
      <c r="IK127" s="3"/>
      <c r="IL127" s="3"/>
      <c r="IM127" s="3"/>
      <c r="IN127" s="3"/>
      <c r="IO127" s="3"/>
      <c r="IP127" s="3"/>
      <c r="IQ127" s="3"/>
      <c r="IR127" s="3"/>
      <c r="IS127" s="3"/>
      <c r="IT127" s="3"/>
      <c r="IU127" s="3"/>
      <c r="IV127" s="3"/>
      <c r="IW127" s="3"/>
      <c r="IX127" s="3"/>
      <c r="IY127" s="3"/>
      <c r="IZ127" s="3"/>
      <c r="JA127" s="3"/>
      <c r="JB127" s="3"/>
      <c r="JC127" s="3"/>
      <c r="JD127" s="3"/>
      <c r="JE127" s="3"/>
      <c r="JF127" s="3"/>
      <c r="JG127" s="3"/>
      <c r="JH127" s="3"/>
      <c r="JI127" s="3"/>
      <c r="JJ127" s="3"/>
      <c r="JK127" s="3"/>
      <c r="JL127" s="3"/>
      <c r="JM127" s="3"/>
      <c r="JN127" s="3"/>
      <c r="JO127" s="3"/>
      <c r="JP127" s="3"/>
      <c r="JQ127" s="3"/>
      <c r="JR127" s="3"/>
      <c r="JS127" s="3"/>
      <c r="JT127" s="3"/>
      <c r="JU127" s="3"/>
      <c r="JV127" s="3"/>
      <c r="JW127" s="3"/>
      <c r="JX127" s="3"/>
      <c r="JY127" s="3"/>
      <c r="JZ127" s="3"/>
      <c r="KA127" s="3"/>
      <c r="KB127" s="3"/>
      <c r="KC127" s="3"/>
      <c r="KD127" s="3"/>
      <c r="KE127" s="3"/>
      <c r="KF127" s="3"/>
      <c r="KG127" s="3"/>
      <c r="KH127" s="3"/>
      <c r="KI127" s="3"/>
      <c r="KJ127" s="3"/>
      <c r="KK127" s="3"/>
      <c r="KL127" s="3"/>
      <c r="KM127" s="3"/>
      <c r="KN127" s="3"/>
      <c r="KO127" s="3"/>
      <c r="KP127" s="3"/>
      <c r="KQ127" s="3"/>
      <c r="KR127" s="3"/>
      <c r="KS127" s="3"/>
      <c r="KT127" s="3"/>
      <c r="KU127" s="3"/>
      <c r="KV127" s="3"/>
      <c r="KW127" s="3"/>
      <c r="KX127" s="3"/>
      <c r="KY127" s="3"/>
      <c r="KZ127" s="3"/>
      <c r="LA127" s="3"/>
      <c r="LB127" s="3"/>
      <c r="LC127" s="3"/>
      <c r="LD127" s="3"/>
      <c r="LE127" s="3"/>
      <c r="LF127" s="3"/>
      <c r="LG127" s="3"/>
      <c r="LH127" s="3"/>
      <c r="LI127" s="3"/>
      <c r="LJ127" s="3"/>
      <c r="LK127" s="3"/>
      <c r="LL127" s="3"/>
      <c r="LM127" s="3"/>
      <c r="LN127" s="3"/>
      <c r="LO127" s="3"/>
      <c r="LP127" s="3"/>
      <c r="LQ127" s="3"/>
      <c r="LR127" s="3"/>
      <c r="LS127" s="3"/>
      <c r="LT127" s="3"/>
      <c r="LU127" s="3"/>
      <c r="LV127" s="3"/>
      <c r="LW127" s="3"/>
      <c r="LX127" s="3"/>
      <c r="LY127" s="3"/>
      <c r="LZ127" s="3"/>
      <c r="MA127" s="3"/>
      <c r="MB127" s="3"/>
      <c r="MC127" s="3"/>
      <c r="MD127" s="3"/>
      <c r="ME127" s="3"/>
      <c r="MF127" s="3"/>
      <c r="MG127" s="3"/>
      <c r="MH127" s="3"/>
      <c r="MI127" s="3"/>
      <c r="MJ127" s="3"/>
      <c r="MK127" s="3"/>
      <c r="ML127" s="3"/>
      <c r="MM127" s="3"/>
      <c r="MN127" s="3"/>
      <c r="MO127" s="3"/>
      <c r="MP127" s="3"/>
      <c r="MQ127" s="3"/>
      <c r="MR127" s="3"/>
      <c r="MS127" s="3"/>
      <c r="MT127" s="3"/>
      <c r="MU127" s="3"/>
      <c r="MV127" s="3"/>
      <c r="MW127" s="3"/>
      <c r="MX127" s="3"/>
      <c r="MY127" s="3"/>
      <c r="MZ127" s="3"/>
      <c r="NA127" s="3"/>
      <c r="NB127" s="3"/>
      <c r="NC127" s="3"/>
      <c r="ND127" s="3"/>
      <c r="NE127" s="3"/>
      <c r="NF127" s="3"/>
      <c r="NG127" s="3"/>
      <c r="NH127" s="3"/>
      <c r="NI127" s="3"/>
      <c r="NJ127" s="3"/>
      <c r="NK127" s="3"/>
      <c r="NL127" s="3"/>
      <c r="NM127" s="3"/>
      <c r="NN127" s="3"/>
      <c r="NO127" s="3"/>
      <c r="NP127" s="3"/>
      <c r="NQ127" s="3"/>
      <c r="NR127" s="3"/>
      <c r="NS127" s="3"/>
      <c r="NT127" s="3"/>
      <c r="NU127" s="3"/>
      <c r="NV127" s="3"/>
      <c r="NW127" s="3"/>
      <c r="NX127" s="3"/>
      <c r="NY127" s="3"/>
      <c r="NZ127" s="3"/>
      <c r="OA127" s="3"/>
      <c r="OB127" s="3"/>
      <c r="OC127" s="3"/>
      <c r="OD127" s="3"/>
      <c r="OE127" s="3"/>
      <c r="OF127" s="3"/>
      <c r="OG127" s="3"/>
      <c r="OH127" s="3"/>
      <c r="OI127" s="3"/>
      <c r="OJ127" s="3"/>
      <c r="OK127" s="3"/>
      <c r="OL127" s="3"/>
      <c r="OM127" s="3"/>
      <c r="ON127" s="3"/>
      <c r="OO127" s="3"/>
      <c r="OP127" s="3"/>
      <c r="OQ127" s="3"/>
      <c r="OR127" s="3"/>
      <c r="OS127" s="3"/>
      <c r="OT127" s="3"/>
      <c r="OU127" s="3"/>
      <c r="OV127" s="3"/>
      <c r="OW127" s="3"/>
      <c r="OX127" s="3"/>
      <c r="OY127" s="3"/>
      <c r="OZ127" s="3"/>
      <c r="PA127" s="3"/>
      <c r="PB127" s="3"/>
      <c r="PC127" s="3"/>
      <c r="PD127" s="3"/>
      <c r="PE127" s="3"/>
      <c r="PF127" s="3"/>
      <c r="PG127" s="3"/>
      <c r="PH127" s="3"/>
      <c r="PI127" s="3"/>
      <c r="PJ127" s="3"/>
      <c r="PK127" s="3"/>
      <c r="PL127" s="3"/>
      <c r="PM127" s="3"/>
      <c r="PN127" s="3"/>
      <c r="PO127" s="3"/>
      <c r="PP127" s="3"/>
      <c r="PQ127" s="3"/>
      <c r="PR127" s="3"/>
      <c r="PS127" s="3"/>
      <c r="PT127" s="3"/>
      <c r="PU127" s="3"/>
      <c r="PV127" s="3"/>
      <c r="PW127" s="3"/>
      <c r="PX127" s="3"/>
      <c r="PY127" s="3"/>
      <c r="PZ127" s="3"/>
      <c r="QA127" s="3"/>
      <c r="QB127" s="3"/>
      <c r="QC127" s="3"/>
      <c r="QD127" s="3"/>
      <c r="QE127" s="3"/>
      <c r="QF127" s="3"/>
      <c r="QG127" s="3"/>
      <c r="QH127" s="3"/>
      <c r="QI127" s="3"/>
      <c r="QJ127" s="3"/>
      <c r="QK127" s="3"/>
      <c r="QL127" s="3"/>
      <c r="QM127" s="3"/>
      <c r="QN127" s="3"/>
      <c r="QO127" s="3"/>
      <c r="QP127" s="3"/>
      <c r="QQ127" s="3"/>
      <c r="QR127" s="3"/>
      <c r="QS127" s="3"/>
      <c r="QT127" s="3"/>
      <c r="QU127" s="3"/>
      <c r="QV127" s="3"/>
      <c r="QW127" s="3"/>
      <c r="QX127" s="3"/>
      <c r="QY127" s="3"/>
      <c r="QZ127" s="3"/>
      <c r="RA127" s="3"/>
      <c r="RB127" s="3"/>
      <c r="RC127" s="3"/>
      <c r="RD127" s="3"/>
      <c r="RE127" s="3"/>
      <c r="RF127" s="3"/>
      <c r="RG127" s="3"/>
      <c r="RH127" s="3"/>
      <c r="RI127" s="3"/>
      <c r="RJ127" s="3"/>
      <c r="RK127" s="3"/>
      <c r="RL127" s="3"/>
      <c r="RM127" s="3"/>
      <c r="RN127" s="3"/>
      <c r="RO127" s="3"/>
      <c r="RP127" s="3"/>
      <c r="RQ127" s="3"/>
      <c r="RR127" s="3"/>
      <c r="RS127" s="3"/>
      <c r="RT127" s="3"/>
      <c r="RU127" s="3"/>
      <c r="RV127" s="3"/>
      <c r="RW127" s="3"/>
      <c r="RX127" s="3"/>
      <c r="RY127" s="3"/>
      <c r="RZ127" s="3"/>
      <c r="SA127" s="3"/>
      <c r="SB127" s="3"/>
      <c r="SC127" s="3"/>
      <c r="SD127" s="3"/>
      <c r="SE127" s="3"/>
      <c r="SF127" s="3"/>
      <c r="SG127" s="3"/>
      <c r="SH127" s="3"/>
      <c r="SI127" s="3"/>
      <c r="SJ127" s="3"/>
      <c r="SK127" s="3"/>
      <c r="SL127" s="3"/>
      <c r="SM127" s="3"/>
      <c r="SN127" s="3"/>
      <c r="SO127" s="3"/>
      <c r="SP127" s="3"/>
      <c r="SQ127" s="3"/>
      <c r="SR127" s="3"/>
      <c r="SS127" s="3"/>
      <c r="ST127" s="3"/>
      <c r="SU127" s="3"/>
      <c r="SV127" s="3"/>
      <c r="SW127" s="3"/>
      <c r="SX127" s="3"/>
      <c r="SY127" s="3"/>
      <c r="SZ127" s="3"/>
      <c r="TA127" s="3"/>
      <c r="TB127" s="3"/>
      <c r="TC127" s="3"/>
      <c r="TD127" s="3"/>
      <c r="TE127" s="3"/>
      <c r="TF127" s="3"/>
      <c r="TG127" s="3"/>
      <c r="TH127" s="3"/>
      <c r="TI127" s="3"/>
      <c r="TJ127" s="3"/>
      <c r="TK127" s="3"/>
      <c r="TL127" s="3"/>
      <c r="TM127" s="3"/>
      <c r="TN127" s="3"/>
      <c r="TO127" s="3"/>
      <c r="TP127" s="3"/>
      <c r="TQ127" s="3"/>
      <c r="TR127" s="3"/>
      <c r="TS127" s="3"/>
      <c r="TT127" s="3"/>
      <c r="TU127" s="3"/>
      <c r="TV127" s="3"/>
      <c r="TW127" s="3"/>
      <c r="TX127" s="3"/>
      <c r="TY127" s="3"/>
      <c r="TZ127" s="3"/>
      <c r="UA127" s="3"/>
      <c r="UB127" s="3"/>
      <c r="UC127" s="3"/>
      <c r="UD127" s="3"/>
      <c r="UE127" s="3"/>
      <c r="UF127" s="3"/>
      <c r="UG127" s="3"/>
      <c r="UH127" s="3"/>
      <c r="UI127" s="3"/>
      <c r="UJ127" s="3"/>
      <c r="UK127" s="3"/>
      <c r="UL127" s="3"/>
      <c r="UM127" s="3"/>
      <c r="UN127" s="3"/>
      <c r="UO127" s="3"/>
      <c r="UP127" s="3"/>
      <c r="UQ127" s="3"/>
      <c r="UR127" s="3"/>
      <c r="US127" s="3"/>
      <c r="UT127" s="3"/>
      <c r="UU127" s="3"/>
      <c r="UV127" s="3"/>
      <c r="UW127" s="3"/>
      <c r="UX127" s="3"/>
      <c r="UY127" s="3"/>
      <c r="UZ127" s="3"/>
      <c r="VA127" s="3"/>
      <c r="VB127" s="3"/>
      <c r="VC127" s="3"/>
      <c r="VD127" s="3"/>
      <c r="VE127" s="3"/>
      <c r="VF127" s="3"/>
      <c r="VG127" s="3"/>
      <c r="VH127" s="3"/>
      <c r="VI127" s="3"/>
      <c r="VJ127" s="3"/>
      <c r="VK127" s="3"/>
      <c r="VL127" s="3"/>
      <c r="VM127" s="3"/>
      <c r="VN127" s="3"/>
      <c r="VO127" s="3"/>
      <c r="VP127" s="3"/>
      <c r="VQ127" s="3"/>
      <c r="VR127" s="3"/>
      <c r="VS127" s="3"/>
      <c r="VT127" s="3"/>
      <c r="VU127" s="3"/>
      <c r="VV127" s="3"/>
      <c r="VW127" s="3"/>
      <c r="VX127" s="3"/>
      <c r="VY127" s="3"/>
      <c r="VZ127" s="3"/>
      <c r="WA127" s="3"/>
      <c r="WB127" s="3"/>
      <c r="WC127" s="3"/>
      <c r="WD127" s="3"/>
      <c r="WE127" s="3"/>
      <c r="WF127" s="3"/>
      <c r="WG127" s="3"/>
      <c r="WH127" s="3"/>
      <c r="WI127" s="3"/>
      <c r="WJ127" s="3"/>
      <c r="WK127" s="3"/>
      <c r="WL127" s="3"/>
      <c r="WM127" s="3"/>
      <c r="WN127" s="3"/>
      <c r="WO127" s="3"/>
      <c r="WP127" s="3"/>
      <c r="WQ127" s="3"/>
      <c r="WR127" s="3"/>
      <c r="WS127" s="3"/>
      <c r="WT127" s="3"/>
      <c r="WU127" s="3"/>
      <c r="WV127" s="3"/>
      <c r="WW127" s="3"/>
      <c r="WX127" s="3"/>
      <c r="WY127" s="3"/>
      <c r="WZ127" s="3"/>
      <c r="XA127" s="3"/>
      <c r="XB127" s="3"/>
      <c r="XC127" s="3"/>
      <c r="XD127" s="3"/>
      <c r="XE127" s="3"/>
      <c r="XF127" s="3"/>
      <c r="XG127" s="3"/>
      <c r="XH127" s="3"/>
      <c r="XI127" s="3"/>
      <c r="XJ127" s="3"/>
      <c r="XK127" s="3"/>
      <c r="XL127" s="3"/>
      <c r="XM127" s="3"/>
      <c r="XN127" s="3"/>
      <c r="XO127" s="3"/>
      <c r="XP127" s="3"/>
      <c r="XQ127" s="3"/>
      <c r="XR127" s="3"/>
      <c r="XS127" s="3"/>
      <c r="XT127" s="3"/>
      <c r="XU127" s="3"/>
      <c r="XV127" s="3"/>
      <c r="XW127" s="3"/>
      <c r="XX127" s="3"/>
      <c r="XY127" s="3"/>
      <c r="XZ127" s="3"/>
      <c r="YA127" s="3"/>
      <c r="YB127" s="3"/>
      <c r="YC127" s="3"/>
      <c r="YD127" s="3"/>
      <c r="YE127" s="3"/>
      <c r="YF127" s="3"/>
      <c r="YG127" s="3"/>
      <c r="YH127" s="3"/>
      <c r="YI127" s="3"/>
      <c r="YJ127" s="3"/>
      <c r="YK127" s="3"/>
      <c r="YL127" s="3"/>
      <c r="YM127" s="3"/>
      <c r="YN127" s="3"/>
      <c r="YO127" s="3"/>
      <c r="YP127" s="3"/>
      <c r="YQ127" s="3"/>
      <c r="YR127" s="3"/>
      <c r="YS127" s="3"/>
      <c r="YT127" s="3"/>
      <c r="YU127" s="3"/>
      <c r="YV127" s="3"/>
      <c r="YW127" s="3"/>
      <c r="YX127" s="3"/>
      <c r="YY127" s="3"/>
      <c r="YZ127" s="3"/>
      <c r="ZA127" s="3"/>
      <c r="ZB127" s="3"/>
      <c r="ZC127" s="3"/>
    </row>
    <row r="128" spans="1:679" s="2" customFormat="1" x14ac:dyDescent="0.45">
      <c r="A128" s="3" t="s">
        <v>11</v>
      </c>
      <c r="B128" s="4">
        <v>34025</v>
      </c>
      <c r="C128" s="7" t="s">
        <v>21</v>
      </c>
      <c r="D128" s="6" t="s">
        <v>143</v>
      </c>
      <c r="E128" s="3"/>
      <c r="F128" s="3">
        <v>2</v>
      </c>
      <c r="L128" s="3"/>
      <c r="M128" s="3"/>
      <c r="N128" s="48"/>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c r="EB128" s="3"/>
      <c r="EC128" s="3"/>
      <c r="ED128" s="3"/>
      <c r="EE128" s="3"/>
      <c r="EF128" s="3"/>
      <c r="EG128" s="3"/>
      <c r="EH128" s="3"/>
      <c r="EI128" s="3"/>
      <c r="EJ128" s="3"/>
      <c r="EK128" s="3"/>
      <c r="EL128" s="3"/>
      <c r="EM128" s="3"/>
      <c r="EN128" s="3"/>
      <c r="EO128" s="3"/>
      <c r="EP128" s="3"/>
      <c r="EQ128" s="3"/>
      <c r="ER128" s="3"/>
      <c r="ES128" s="3"/>
      <c r="ET128" s="3"/>
      <c r="EU128" s="3"/>
      <c r="EV128" s="3"/>
      <c r="EW128" s="3"/>
      <c r="EX128" s="3"/>
      <c r="EY128" s="3"/>
      <c r="EZ128" s="3"/>
      <c r="FA128" s="3"/>
      <c r="FB128" s="3"/>
      <c r="FC128" s="3"/>
      <c r="FD128" s="3"/>
      <c r="FE128" s="3"/>
      <c r="FF128" s="3"/>
      <c r="FG128" s="3"/>
      <c r="FH128" s="3"/>
      <c r="FI128" s="3"/>
      <c r="FJ128" s="3"/>
      <c r="FK128" s="3"/>
      <c r="FL128" s="3"/>
      <c r="FM128" s="3"/>
      <c r="FN128" s="3"/>
      <c r="FO128" s="3"/>
      <c r="FP128" s="3"/>
      <c r="FQ128" s="3"/>
      <c r="FR128" s="3"/>
      <c r="FS128" s="3"/>
      <c r="FT128" s="3"/>
      <c r="FU128" s="3"/>
      <c r="FV128" s="3"/>
      <c r="FW128" s="3"/>
      <c r="FX128" s="3"/>
      <c r="FY128" s="3"/>
      <c r="FZ128" s="3"/>
      <c r="GA128" s="3"/>
      <c r="GB128" s="3"/>
      <c r="GC128" s="3"/>
      <c r="GD128" s="3"/>
      <c r="GE128" s="3"/>
      <c r="GF128" s="3"/>
      <c r="GG128" s="3"/>
      <c r="GH128" s="3"/>
      <c r="GI128" s="3"/>
      <c r="GJ128" s="3"/>
      <c r="GK128" s="3"/>
      <c r="GL128" s="3"/>
      <c r="GM128" s="3"/>
      <c r="GN128" s="3"/>
      <c r="GO128" s="3"/>
      <c r="GP128" s="3"/>
      <c r="GQ128" s="3"/>
      <c r="GR128" s="3"/>
      <c r="GS128" s="3"/>
      <c r="GT128" s="3"/>
      <c r="GU128" s="3"/>
      <c r="GV128" s="3"/>
      <c r="GW128" s="3"/>
      <c r="GX128" s="3"/>
      <c r="GY128" s="3"/>
      <c r="GZ128" s="3"/>
      <c r="HA128" s="3"/>
      <c r="HB128" s="3"/>
      <c r="HC128" s="3"/>
      <c r="HD128" s="3"/>
      <c r="HE128" s="3"/>
      <c r="HF128" s="3"/>
      <c r="HG128" s="3"/>
      <c r="HH128" s="3"/>
      <c r="HI128" s="3"/>
      <c r="HJ128" s="3"/>
      <c r="HK128" s="3"/>
      <c r="HL128" s="3"/>
      <c r="HM128" s="3"/>
      <c r="HN128" s="3"/>
      <c r="HO128" s="3"/>
      <c r="HP128" s="3"/>
      <c r="HQ128" s="3"/>
      <c r="HR128" s="3"/>
      <c r="HS128" s="3"/>
      <c r="HT128" s="3"/>
      <c r="HU128" s="3"/>
      <c r="HV128" s="3"/>
      <c r="HW128" s="3"/>
      <c r="HX128" s="3"/>
      <c r="HY128" s="3"/>
      <c r="HZ128" s="3"/>
      <c r="IA128" s="3"/>
      <c r="IB128" s="3"/>
      <c r="IC128" s="3"/>
      <c r="ID128" s="3"/>
      <c r="IE128" s="3"/>
      <c r="IF128" s="3"/>
      <c r="IG128" s="3"/>
      <c r="IH128" s="3"/>
      <c r="II128" s="3"/>
      <c r="IJ128" s="3"/>
      <c r="IK128" s="3"/>
      <c r="IL128" s="3"/>
      <c r="IM128" s="3"/>
      <c r="IN128" s="3"/>
      <c r="IO128" s="3"/>
      <c r="IP128" s="3"/>
      <c r="IQ128" s="3"/>
      <c r="IR128" s="3"/>
      <c r="IS128" s="3"/>
      <c r="IT128" s="3"/>
      <c r="IU128" s="3"/>
      <c r="IV128" s="3"/>
      <c r="IW128" s="3"/>
      <c r="IX128" s="3"/>
      <c r="IY128" s="3"/>
      <c r="IZ128" s="3"/>
      <c r="JA128" s="3"/>
      <c r="JB128" s="3"/>
      <c r="JC128" s="3"/>
      <c r="JD128" s="3"/>
      <c r="JE128" s="3"/>
      <c r="JF128" s="3"/>
      <c r="JG128" s="3"/>
      <c r="JH128" s="3"/>
      <c r="JI128" s="3"/>
      <c r="JJ128" s="3"/>
      <c r="JK128" s="3"/>
      <c r="JL128" s="3"/>
      <c r="JM128" s="3"/>
      <c r="JN128" s="3"/>
      <c r="JO128" s="3"/>
      <c r="JP128" s="3"/>
      <c r="JQ128" s="3"/>
      <c r="JR128" s="3"/>
      <c r="JS128" s="3"/>
      <c r="JT128" s="3"/>
      <c r="JU128" s="3"/>
      <c r="JV128" s="3"/>
      <c r="JW128" s="3"/>
      <c r="JX128" s="3"/>
      <c r="JY128" s="3"/>
      <c r="JZ128" s="3"/>
      <c r="KA128" s="3"/>
      <c r="KB128" s="3"/>
      <c r="KC128" s="3"/>
      <c r="KD128" s="3"/>
      <c r="KE128" s="3"/>
      <c r="KF128" s="3"/>
      <c r="KG128" s="3"/>
      <c r="KH128" s="3"/>
      <c r="KI128" s="3"/>
      <c r="KJ128" s="3"/>
      <c r="KK128" s="3"/>
      <c r="KL128" s="3"/>
      <c r="KM128" s="3"/>
      <c r="KN128" s="3"/>
      <c r="KO128" s="3"/>
      <c r="KP128" s="3"/>
      <c r="KQ128" s="3"/>
      <c r="KR128" s="3"/>
      <c r="KS128" s="3"/>
      <c r="KT128" s="3"/>
      <c r="KU128" s="3"/>
      <c r="KV128" s="3"/>
      <c r="KW128" s="3"/>
      <c r="KX128" s="3"/>
      <c r="KY128" s="3"/>
      <c r="KZ128" s="3"/>
      <c r="LA128" s="3"/>
      <c r="LB128" s="3"/>
      <c r="LC128" s="3"/>
      <c r="LD128" s="3"/>
      <c r="LE128" s="3"/>
      <c r="LF128" s="3"/>
      <c r="LG128" s="3"/>
      <c r="LH128" s="3"/>
      <c r="LI128" s="3"/>
      <c r="LJ128" s="3"/>
      <c r="LK128" s="3"/>
      <c r="LL128" s="3"/>
      <c r="LM128" s="3"/>
      <c r="LN128" s="3"/>
      <c r="LO128" s="3"/>
      <c r="LP128" s="3"/>
      <c r="LQ128" s="3"/>
      <c r="LR128" s="3"/>
      <c r="LS128" s="3"/>
      <c r="LT128" s="3"/>
      <c r="LU128" s="3"/>
      <c r="LV128" s="3"/>
      <c r="LW128" s="3"/>
      <c r="LX128" s="3"/>
      <c r="LY128" s="3"/>
      <c r="LZ128" s="3"/>
      <c r="MA128" s="3"/>
      <c r="MB128" s="3"/>
      <c r="MC128" s="3"/>
      <c r="MD128" s="3"/>
      <c r="ME128" s="3"/>
      <c r="MF128" s="3"/>
      <c r="MG128" s="3"/>
      <c r="MH128" s="3"/>
      <c r="MI128" s="3"/>
      <c r="MJ128" s="3"/>
      <c r="MK128" s="3"/>
      <c r="ML128" s="3"/>
      <c r="MM128" s="3"/>
      <c r="MN128" s="3"/>
      <c r="MO128" s="3"/>
      <c r="MP128" s="3"/>
      <c r="MQ128" s="3"/>
      <c r="MR128" s="3"/>
      <c r="MS128" s="3"/>
      <c r="MT128" s="3"/>
      <c r="MU128" s="3"/>
      <c r="MV128" s="3"/>
      <c r="MW128" s="3"/>
      <c r="MX128" s="3"/>
      <c r="MY128" s="3"/>
      <c r="MZ128" s="3"/>
      <c r="NA128" s="3"/>
      <c r="NB128" s="3"/>
      <c r="NC128" s="3"/>
      <c r="ND128" s="3"/>
      <c r="NE128" s="3"/>
      <c r="NF128" s="3"/>
      <c r="NG128" s="3"/>
      <c r="NH128" s="3"/>
      <c r="NI128" s="3"/>
      <c r="NJ128" s="3"/>
      <c r="NK128" s="3"/>
      <c r="NL128" s="3"/>
      <c r="NM128" s="3"/>
      <c r="NN128" s="3"/>
      <c r="NO128" s="3"/>
      <c r="NP128" s="3"/>
      <c r="NQ128" s="3"/>
      <c r="NR128" s="3"/>
      <c r="NS128" s="3"/>
      <c r="NT128" s="3"/>
      <c r="NU128" s="3"/>
      <c r="NV128" s="3"/>
      <c r="NW128" s="3"/>
      <c r="NX128" s="3"/>
      <c r="NY128" s="3"/>
      <c r="NZ128" s="3"/>
      <c r="OA128" s="3"/>
      <c r="OB128" s="3"/>
      <c r="OC128" s="3"/>
      <c r="OD128" s="3"/>
      <c r="OE128" s="3"/>
      <c r="OF128" s="3"/>
      <c r="OG128" s="3"/>
      <c r="OH128" s="3"/>
      <c r="OI128" s="3"/>
      <c r="OJ128" s="3"/>
      <c r="OK128" s="3"/>
      <c r="OL128" s="3"/>
      <c r="OM128" s="3"/>
      <c r="ON128" s="3"/>
      <c r="OO128" s="3"/>
      <c r="OP128" s="3"/>
      <c r="OQ128" s="3"/>
      <c r="OR128" s="3"/>
      <c r="OS128" s="3"/>
      <c r="OT128" s="3"/>
      <c r="OU128" s="3"/>
      <c r="OV128" s="3"/>
      <c r="OW128" s="3"/>
      <c r="OX128" s="3"/>
      <c r="OY128" s="3"/>
      <c r="OZ128" s="3"/>
      <c r="PA128" s="3"/>
      <c r="PB128" s="3"/>
      <c r="PC128" s="3"/>
      <c r="PD128" s="3"/>
      <c r="PE128" s="3"/>
      <c r="PF128" s="3"/>
      <c r="PG128" s="3"/>
      <c r="PH128" s="3"/>
      <c r="PI128" s="3"/>
      <c r="PJ128" s="3"/>
      <c r="PK128" s="3"/>
      <c r="PL128" s="3"/>
      <c r="PM128" s="3"/>
      <c r="PN128" s="3"/>
      <c r="PO128" s="3"/>
      <c r="PP128" s="3"/>
      <c r="PQ128" s="3"/>
      <c r="PR128" s="3"/>
      <c r="PS128" s="3"/>
      <c r="PT128" s="3"/>
      <c r="PU128" s="3"/>
      <c r="PV128" s="3"/>
      <c r="PW128" s="3"/>
      <c r="PX128" s="3"/>
      <c r="PY128" s="3"/>
      <c r="PZ128" s="3"/>
      <c r="QA128" s="3"/>
      <c r="QB128" s="3"/>
      <c r="QC128" s="3"/>
      <c r="QD128" s="3"/>
      <c r="QE128" s="3"/>
      <c r="QF128" s="3"/>
      <c r="QG128" s="3"/>
      <c r="QH128" s="3"/>
      <c r="QI128" s="3"/>
      <c r="QJ128" s="3"/>
      <c r="QK128" s="3"/>
      <c r="QL128" s="3"/>
      <c r="QM128" s="3"/>
      <c r="QN128" s="3"/>
      <c r="QO128" s="3"/>
      <c r="QP128" s="3"/>
      <c r="QQ128" s="3"/>
      <c r="QR128" s="3"/>
      <c r="QS128" s="3"/>
      <c r="QT128" s="3"/>
      <c r="QU128" s="3"/>
      <c r="QV128" s="3"/>
      <c r="QW128" s="3"/>
      <c r="QX128" s="3"/>
      <c r="QY128" s="3"/>
      <c r="QZ128" s="3"/>
      <c r="RA128" s="3"/>
      <c r="RB128" s="3"/>
      <c r="RC128" s="3"/>
      <c r="RD128" s="3"/>
      <c r="RE128" s="3"/>
      <c r="RF128" s="3"/>
      <c r="RG128" s="3"/>
      <c r="RH128" s="3"/>
      <c r="RI128" s="3"/>
      <c r="RJ128" s="3"/>
      <c r="RK128" s="3"/>
      <c r="RL128" s="3"/>
      <c r="RM128" s="3"/>
      <c r="RN128" s="3"/>
      <c r="RO128" s="3"/>
      <c r="RP128" s="3"/>
      <c r="RQ128" s="3"/>
      <c r="RR128" s="3"/>
      <c r="RS128" s="3"/>
      <c r="RT128" s="3"/>
      <c r="RU128" s="3"/>
      <c r="RV128" s="3"/>
      <c r="RW128" s="3"/>
      <c r="RX128" s="3"/>
      <c r="RY128" s="3"/>
      <c r="RZ128" s="3"/>
      <c r="SA128" s="3"/>
      <c r="SB128" s="3"/>
      <c r="SC128" s="3"/>
      <c r="SD128" s="3"/>
      <c r="SE128" s="3"/>
      <c r="SF128" s="3"/>
      <c r="SG128" s="3"/>
      <c r="SH128" s="3"/>
      <c r="SI128" s="3"/>
      <c r="SJ128" s="3"/>
      <c r="SK128" s="3"/>
      <c r="SL128" s="3"/>
      <c r="SM128" s="3"/>
      <c r="SN128" s="3"/>
      <c r="SO128" s="3"/>
      <c r="SP128" s="3"/>
      <c r="SQ128" s="3"/>
      <c r="SR128" s="3"/>
      <c r="SS128" s="3"/>
      <c r="ST128" s="3"/>
      <c r="SU128" s="3"/>
      <c r="SV128" s="3"/>
      <c r="SW128" s="3"/>
      <c r="SX128" s="3"/>
      <c r="SY128" s="3"/>
      <c r="SZ128" s="3"/>
      <c r="TA128" s="3"/>
      <c r="TB128" s="3"/>
      <c r="TC128" s="3"/>
      <c r="TD128" s="3"/>
      <c r="TE128" s="3"/>
      <c r="TF128" s="3"/>
      <c r="TG128" s="3"/>
      <c r="TH128" s="3"/>
      <c r="TI128" s="3"/>
      <c r="TJ128" s="3"/>
      <c r="TK128" s="3"/>
      <c r="TL128" s="3"/>
      <c r="TM128" s="3"/>
      <c r="TN128" s="3"/>
      <c r="TO128" s="3"/>
      <c r="TP128" s="3"/>
      <c r="TQ128" s="3"/>
      <c r="TR128" s="3"/>
      <c r="TS128" s="3"/>
      <c r="TT128" s="3"/>
      <c r="TU128" s="3"/>
      <c r="TV128" s="3"/>
      <c r="TW128" s="3"/>
      <c r="TX128" s="3"/>
      <c r="TY128" s="3"/>
      <c r="TZ128" s="3"/>
      <c r="UA128" s="3"/>
      <c r="UB128" s="3"/>
      <c r="UC128" s="3"/>
      <c r="UD128" s="3"/>
      <c r="UE128" s="3"/>
      <c r="UF128" s="3"/>
      <c r="UG128" s="3"/>
      <c r="UH128" s="3"/>
      <c r="UI128" s="3"/>
      <c r="UJ128" s="3"/>
      <c r="UK128" s="3"/>
      <c r="UL128" s="3"/>
      <c r="UM128" s="3"/>
      <c r="UN128" s="3"/>
      <c r="UO128" s="3"/>
      <c r="UP128" s="3"/>
      <c r="UQ128" s="3"/>
      <c r="UR128" s="3"/>
      <c r="US128" s="3"/>
      <c r="UT128" s="3"/>
      <c r="UU128" s="3"/>
      <c r="UV128" s="3"/>
      <c r="UW128" s="3"/>
      <c r="UX128" s="3"/>
      <c r="UY128" s="3"/>
      <c r="UZ128" s="3"/>
      <c r="VA128" s="3"/>
      <c r="VB128" s="3"/>
      <c r="VC128" s="3"/>
      <c r="VD128" s="3"/>
      <c r="VE128" s="3"/>
      <c r="VF128" s="3"/>
      <c r="VG128" s="3"/>
      <c r="VH128" s="3"/>
      <c r="VI128" s="3"/>
      <c r="VJ128" s="3"/>
      <c r="VK128" s="3"/>
      <c r="VL128" s="3"/>
      <c r="VM128" s="3"/>
      <c r="VN128" s="3"/>
      <c r="VO128" s="3"/>
      <c r="VP128" s="3"/>
      <c r="VQ128" s="3"/>
      <c r="VR128" s="3"/>
      <c r="VS128" s="3"/>
      <c r="VT128" s="3"/>
      <c r="VU128" s="3"/>
      <c r="VV128" s="3"/>
      <c r="VW128" s="3"/>
      <c r="VX128" s="3"/>
      <c r="VY128" s="3"/>
      <c r="VZ128" s="3"/>
      <c r="WA128" s="3"/>
      <c r="WB128" s="3"/>
      <c r="WC128" s="3"/>
      <c r="WD128" s="3"/>
      <c r="WE128" s="3"/>
      <c r="WF128" s="3"/>
      <c r="WG128" s="3"/>
      <c r="WH128" s="3"/>
      <c r="WI128" s="3"/>
      <c r="WJ128" s="3"/>
      <c r="WK128" s="3"/>
      <c r="WL128" s="3"/>
      <c r="WM128" s="3"/>
      <c r="WN128" s="3"/>
      <c r="WO128" s="3"/>
      <c r="WP128" s="3"/>
      <c r="WQ128" s="3"/>
      <c r="WR128" s="3"/>
      <c r="WS128" s="3"/>
      <c r="WT128" s="3"/>
      <c r="WU128" s="3"/>
      <c r="WV128" s="3"/>
      <c r="WW128" s="3"/>
      <c r="WX128" s="3"/>
      <c r="WY128" s="3"/>
      <c r="WZ128" s="3"/>
      <c r="XA128" s="3"/>
      <c r="XB128" s="3"/>
      <c r="XC128" s="3"/>
      <c r="XD128" s="3"/>
      <c r="XE128" s="3"/>
      <c r="XF128" s="3"/>
      <c r="XG128" s="3"/>
      <c r="XH128" s="3"/>
      <c r="XI128" s="3"/>
      <c r="XJ128" s="3"/>
      <c r="XK128" s="3"/>
      <c r="XL128" s="3"/>
      <c r="XM128" s="3"/>
      <c r="XN128" s="3"/>
      <c r="XO128" s="3"/>
      <c r="XP128" s="3"/>
      <c r="XQ128" s="3"/>
      <c r="XR128" s="3"/>
      <c r="XS128" s="3"/>
      <c r="XT128" s="3"/>
      <c r="XU128" s="3"/>
      <c r="XV128" s="3"/>
      <c r="XW128" s="3"/>
      <c r="XX128" s="3"/>
      <c r="XY128" s="3"/>
      <c r="XZ128" s="3"/>
      <c r="YA128" s="3"/>
      <c r="YB128" s="3"/>
      <c r="YC128" s="3"/>
      <c r="YD128" s="3"/>
      <c r="YE128" s="3"/>
      <c r="YF128" s="3"/>
      <c r="YG128" s="3"/>
      <c r="YH128" s="3"/>
      <c r="YI128" s="3"/>
      <c r="YJ128" s="3"/>
      <c r="YK128" s="3"/>
      <c r="YL128" s="3"/>
      <c r="YM128" s="3"/>
      <c r="YN128" s="3"/>
      <c r="YO128" s="3"/>
      <c r="YP128" s="3"/>
      <c r="YQ128" s="3"/>
      <c r="YR128" s="3"/>
      <c r="YS128" s="3"/>
      <c r="YT128" s="3"/>
      <c r="YU128" s="3"/>
      <c r="YV128" s="3"/>
      <c r="YW128" s="3"/>
      <c r="YX128" s="3"/>
      <c r="YY128" s="3"/>
      <c r="YZ128" s="3"/>
      <c r="ZA128" s="3"/>
      <c r="ZB128" s="3"/>
      <c r="ZC128" s="3"/>
    </row>
    <row r="129" spans="1:679" s="2" customFormat="1" x14ac:dyDescent="0.45">
      <c r="A129" s="3" t="s">
        <v>11</v>
      </c>
      <c r="B129" s="4">
        <v>34100</v>
      </c>
      <c r="C129" s="7" t="s">
        <v>21</v>
      </c>
      <c r="D129" s="6" t="s">
        <v>144</v>
      </c>
      <c r="E129" s="3"/>
      <c r="F129" s="3">
        <v>2</v>
      </c>
      <c r="L129" s="3"/>
      <c r="M129" s="3"/>
      <c r="N129" s="48"/>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c r="DO129" s="3"/>
      <c r="DP129" s="3"/>
      <c r="DQ129" s="3"/>
      <c r="DR129" s="3"/>
      <c r="DS129" s="3"/>
      <c r="DT129" s="3"/>
      <c r="DU129" s="3"/>
      <c r="DV129" s="3"/>
      <c r="DW129" s="3"/>
      <c r="DX129" s="3"/>
      <c r="DY129" s="3"/>
      <c r="DZ129" s="3"/>
      <c r="EA129" s="3"/>
      <c r="EB129" s="3"/>
      <c r="EC129" s="3"/>
      <c r="ED129" s="3"/>
      <c r="EE129" s="3"/>
      <c r="EF129" s="3"/>
      <c r="EG129" s="3"/>
      <c r="EH129" s="3"/>
      <c r="EI129" s="3"/>
      <c r="EJ129" s="3"/>
      <c r="EK129" s="3"/>
      <c r="EL129" s="3"/>
      <c r="EM129" s="3"/>
      <c r="EN129" s="3"/>
      <c r="EO129" s="3"/>
      <c r="EP129" s="3"/>
      <c r="EQ129" s="3"/>
      <c r="ER129" s="3"/>
      <c r="ES129" s="3"/>
      <c r="ET129" s="3"/>
      <c r="EU129" s="3"/>
      <c r="EV129" s="3"/>
      <c r="EW129" s="3"/>
      <c r="EX129" s="3"/>
      <c r="EY129" s="3"/>
      <c r="EZ129" s="3"/>
      <c r="FA129" s="3"/>
      <c r="FB129" s="3"/>
      <c r="FC129" s="3"/>
      <c r="FD129" s="3"/>
      <c r="FE129" s="3"/>
      <c r="FF129" s="3"/>
      <c r="FG129" s="3"/>
      <c r="FH129" s="3"/>
      <c r="FI129" s="3"/>
      <c r="FJ129" s="3"/>
      <c r="FK129" s="3"/>
      <c r="FL129" s="3"/>
      <c r="FM129" s="3"/>
      <c r="FN129" s="3"/>
      <c r="FO129" s="3"/>
      <c r="FP129" s="3"/>
      <c r="FQ129" s="3"/>
      <c r="FR129" s="3"/>
      <c r="FS129" s="3"/>
      <c r="FT129" s="3"/>
      <c r="FU129" s="3"/>
      <c r="FV129" s="3"/>
      <c r="FW129" s="3"/>
      <c r="FX129" s="3"/>
      <c r="FY129" s="3"/>
      <c r="FZ129" s="3"/>
      <c r="GA129" s="3"/>
      <c r="GB129" s="3"/>
      <c r="GC129" s="3"/>
      <c r="GD129" s="3"/>
      <c r="GE129" s="3"/>
      <c r="GF129" s="3"/>
      <c r="GG129" s="3"/>
      <c r="GH129" s="3"/>
      <c r="GI129" s="3"/>
      <c r="GJ129" s="3"/>
      <c r="GK129" s="3"/>
      <c r="GL129" s="3"/>
      <c r="GM129" s="3"/>
      <c r="GN129" s="3"/>
      <c r="GO129" s="3"/>
      <c r="GP129" s="3"/>
      <c r="GQ129" s="3"/>
      <c r="GR129" s="3"/>
      <c r="GS129" s="3"/>
      <c r="GT129" s="3"/>
      <c r="GU129" s="3"/>
      <c r="GV129" s="3"/>
      <c r="GW129" s="3"/>
      <c r="GX129" s="3"/>
      <c r="GY129" s="3"/>
      <c r="GZ129" s="3"/>
      <c r="HA129" s="3"/>
      <c r="HB129" s="3"/>
      <c r="HC129" s="3"/>
      <c r="HD129" s="3"/>
      <c r="HE129" s="3"/>
      <c r="HF129" s="3"/>
      <c r="HG129" s="3"/>
      <c r="HH129" s="3"/>
      <c r="HI129" s="3"/>
      <c r="HJ129" s="3"/>
      <c r="HK129" s="3"/>
      <c r="HL129" s="3"/>
      <c r="HM129" s="3"/>
      <c r="HN129" s="3"/>
      <c r="HO129" s="3"/>
      <c r="HP129" s="3"/>
      <c r="HQ129" s="3"/>
      <c r="HR129" s="3"/>
      <c r="HS129" s="3"/>
      <c r="HT129" s="3"/>
      <c r="HU129" s="3"/>
      <c r="HV129" s="3"/>
      <c r="HW129" s="3"/>
      <c r="HX129" s="3"/>
      <c r="HY129" s="3"/>
      <c r="HZ129" s="3"/>
      <c r="IA129" s="3"/>
      <c r="IB129" s="3"/>
      <c r="IC129" s="3"/>
      <c r="ID129" s="3"/>
      <c r="IE129" s="3"/>
      <c r="IF129" s="3"/>
      <c r="IG129" s="3"/>
      <c r="IH129" s="3"/>
      <c r="II129" s="3"/>
      <c r="IJ129" s="3"/>
      <c r="IK129" s="3"/>
      <c r="IL129" s="3"/>
      <c r="IM129" s="3"/>
      <c r="IN129" s="3"/>
      <c r="IO129" s="3"/>
      <c r="IP129" s="3"/>
      <c r="IQ129" s="3"/>
      <c r="IR129" s="3"/>
      <c r="IS129" s="3"/>
      <c r="IT129" s="3"/>
      <c r="IU129" s="3"/>
      <c r="IV129" s="3"/>
      <c r="IW129" s="3"/>
      <c r="IX129" s="3"/>
      <c r="IY129" s="3"/>
      <c r="IZ129" s="3"/>
      <c r="JA129" s="3"/>
      <c r="JB129" s="3"/>
      <c r="JC129" s="3"/>
      <c r="JD129" s="3"/>
      <c r="JE129" s="3"/>
      <c r="JF129" s="3"/>
      <c r="JG129" s="3"/>
      <c r="JH129" s="3"/>
      <c r="JI129" s="3"/>
      <c r="JJ129" s="3"/>
      <c r="JK129" s="3"/>
      <c r="JL129" s="3"/>
      <c r="JM129" s="3"/>
      <c r="JN129" s="3"/>
      <c r="JO129" s="3"/>
      <c r="JP129" s="3"/>
      <c r="JQ129" s="3"/>
      <c r="JR129" s="3"/>
      <c r="JS129" s="3"/>
      <c r="JT129" s="3"/>
      <c r="JU129" s="3"/>
      <c r="JV129" s="3"/>
      <c r="JW129" s="3"/>
      <c r="JX129" s="3"/>
      <c r="JY129" s="3"/>
      <c r="JZ129" s="3"/>
      <c r="KA129" s="3"/>
      <c r="KB129" s="3"/>
      <c r="KC129" s="3"/>
      <c r="KD129" s="3"/>
      <c r="KE129" s="3"/>
      <c r="KF129" s="3"/>
      <c r="KG129" s="3"/>
      <c r="KH129" s="3"/>
      <c r="KI129" s="3"/>
      <c r="KJ129" s="3"/>
      <c r="KK129" s="3"/>
      <c r="KL129" s="3"/>
      <c r="KM129" s="3"/>
      <c r="KN129" s="3"/>
      <c r="KO129" s="3"/>
      <c r="KP129" s="3"/>
      <c r="KQ129" s="3"/>
      <c r="KR129" s="3"/>
      <c r="KS129" s="3"/>
      <c r="KT129" s="3"/>
      <c r="KU129" s="3"/>
      <c r="KV129" s="3"/>
      <c r="KW129" s="3"/>
      <c r="KX129" s="3"/>
      <c r="KY129" s="3"/>
      <c r="KZ129" s="3"/>
      <c r="LA129" s="3"/>
      <c r="LB129" s="3"/>
      <c r="LC129" s="3"/>
      <c r="LD129" s="3"/>
      <c r="LE129" s="3"/>
      <c r="LF129" s="3"/>
      <c r="LG129" s="3"/>
      <c r="LH129" s="3"/>
      <c r="LI129" s="3"/>
      <c r="LJ129" s="3"/>
      <c r="LK129" s="3"/>
      <c r="LL129" s="3"/>
      <c r="LM129" s="3"/>
      <c r="LN129" s="3"/>
      <c r="LO129" s="3"/>
      <c r="LP129" s="3"/>
      <c r="LQ129" s="3"/>
      <c r="LR129" s="3"/>
      <c r="LS129" s="3"/>
      <c r="LT129" s="3"/>
      <c r="LU129" s="3"/>
      <c r="LV129" s="3"/>
      <c r="LW129" s="3"/>
      <c r="LX129" s="3"/>
      <c r="LY129" s="3"/>
      <c r="LZ129" s="3"/>
      <c r="MA129" s="3"/>
      <c r="MB129" s="3"/>
      <c r="MC129" s="3"/>
      <c r="MD129" s="3"/>
      <c r="ME129" s="3"/>
      <c r="MF129" s="3"/>
      <c r="MG129" s="3"/>
      <c r="MH129" s="3"/>
      <c r="MI129" s="3"/>
      <c r="MJ129" s="3"/>
      <c r="MK129" s="3"/>
      <c r="ML129" s="3"/>
      <c r="MM129" s="3"/>
      <c r="MN129" s="3"/>
      <c r="MO129" s="3"/>
      <c r="MP129" s="3"/>
      <c r="MQ129" s="3"/>
      <c r="MR129" s="3"/>
      <c r="MS129" s="3"/>
      <c r="MT129" s="3"/>
      <c r="MU129" s="3"/>
      <c r="MV129" s="3"/>
      <c r="MW129" s="3"/>
      <c r="MX129" s="3"/>
      <c r="MY129" s="3"/>
      <c r="MZ129" s="3"/>
      <c r="NA129" s="3"/>
      <c r="NB129" s="3"/>
      <c r="NC129" s="3"/>
      <c r="ND129" s="3"/>
      <c r="NE129" s="3"/>
      <c r="NF129" s="3"/>
      <c r="NG129" s="3"/>
      <c r="NH129" s="3"/>
      <c r="NI129" s="3"/>
      <c r="NJ129" s="3"/>
      <c r="NK129" s="3"/>
      <c r="NL129" s="3"/>
      <c r="NM129" s="3"/>
      <c r="NN129" s="3"/>
      <c r="NO129" s="3"/>
      <c r="NP129" s="3"/>
      <c r="NQ129" s="3"/>
      <c r="NR129" s="3"/>
      <c r="NS129" s="3"/>
      <c r="NT129" s="3"/>
      <c r="NU129" s="3"/>
      <c r="NV129" s="3"/>
      <c r="NW129" s="3"/>
      <c r="NX129" s="3"/>
      <c r="NY129" s="3"/>
      <c r="NZ129" s="3"/>
      <c r="OA129" s="3"/>
      <c r="OB129" s="3"/>
      <c r="OC129" s="3"/>
      <c r="OD129" s="3"/>
      <c r="OE129" s="3"/>
      <c r="OF129" s="3"/>
      <c r="OG129" s="3"/>
      <c r="OH129" s="3"/>
      <c r="OI129" s="3"/>
      <c r="OJ129" s="3"/>
      <c r="OK129" s="3"/>
      <c r="OL129" s="3"/>
      <c r="OM129" s="3"/>
      <c r="ON129" s="3"/>
      <c r="OO129" s="3"/>
      <c r="OP129" s="3"/>
      <c r="OQ129" s="3"/>
      <c r="OR129" s="3"/>
      <c r="OS129" s="3"/>
      <c r="OT129" s="3"/>
      <c r="OU129" s="3"/>
      <c r="OV129" s="3"/>
      <c r="OW129" s="3"/>
      <c r="OX129" s="3"/>
      <c r="OY129" s="3"/>
      <c r="OZ129" s="3"/>
      <c r="PA129" s="3"/>
      <c r="PB129" s="3"/>
      <c r="PC129" s="3"/>
      <c r="PD129" s="3"/>
      <c r="PE129" s="3"/>
      <c r="PF129" s="3"/>
      <c r="PG129" s="3"/>
      <c r="PH129" s="3"/>
      <c r="PI129" s="3"/>
      <c r="PJ129" s="3"/>
      <c r="PK129" s="3"/>
      <c r="PL129" s="3"/>
      <c r="PM129" s="3"/>
      <c r="PN129" s="3"/>
      <c r="PO129" s="3"/>
      <c r="PP129" s="3"/>
      <c r="PQ129" s="3"/>
      <c r="PR129" s="3"/>
      <c r="PS129" s="3"/>
      <c r="PT129" s="3"/>
      <c r="PU129" s="3"/>
      <c r="PV129" s="3"/>
      <c r="PW129" s="3"/>
      <c r="PX129" s="3"/>
      <c r="PY129" s="3"/>
      <c r="PZ129" s="3"/>
      <c r="QA129" s="3"/>
      <c r="QB129" s="3"/>
      <c r="QC129" s="3"/>
      <c r="QD129" s="3"/>
      <c r="QE129" s="3"/>
      <c r="QF129" s="3"/>
      <c r="QG129" s="3"/>
      <c r="QH129" s="3"/>
      <c r="QI129" s="3"/>
      <c r="QJ129" s="3"/>
      <c r="QK129" s="3"/>
      <c r="QL129" s="3"/>
      <c r="QM129" s="3"/>
      <c r="QN129" s="3"/>
      <c r="QO129" s="3"/>
      <c r="QP129" s="3"/>
      <c r="QQ129" s="3"/>
      <c r="QR129" s="3"/>
      <c r="QS129" s="3"/>
      <c r="QT129" s="3"/>
      <c r="QU129" s="3"/>
      <c r="QV129" s="3"/>
      <c r="QW129" s="3"/>
      <c r="QX129" s="3"/>
      <c r="QY129" s="3"/>
      <c r="QZ129" s="3"/>
      <c r="RA129" s="3"/>
      <c r="RB129" s="3"/>
      <c r="RC129" s="3"/>
      <c r="RD129" s="3"/>
      <c r="RE129" s="3"/>
      <c r="RF129" s="3"/>
      <c r="RG129" s="3"/>
      <c r="RH129" s="3"/>
      <c r="RI129" s="3"/>
      <c r="RJ129" s="3"/>
      <c r="RK129" s="3"/>
      <c r="RL129" s="3"/>
      <c r="RM129" s="3"/>
      <c r="RN129" s="3"/>
      <c r="RO129" s="3"/>
      <c r="RP129" s="3"/>
      <c r="RQ129" s="3"/>
      <c r="RR129" s="3"/>
      <c r="RS129" s="3"/>
      <c r="RT129" s="3"/>
      <c r="RU129" s="3"/>
      <c r="RV129" s="3"/>
      <c r="RW129" s="3"/>
      <c r="RX129" s="3"/>
      <c r="RY129" s="3"/>
      <c r="RZ129" s="3"/>
      <c r="SA129" s="3"/>
      <c r="SB129" s="3"/>
      <c r="SC129" s="3"/>
      <c r="SD129" s="3"/>
      <c r="SE129" s="3"/>
      <c r="SF129" s="3"/>
      <c r="SG129" s="3"/>
      <c r="SH129" s="3"/>
      <c r="SI129" s="3"/>
      <c r="SJ129" s="3"/>
      <c r="SK129" s="3"/>
      <c r="SL129" s="3"/>
      <c r="SM129" s="3"/>
      <c r="SN129" s="3"/>
      <c r="SO129" s="3"/>
      <c r="SP129" s="3"/>
      <c r="SQ129" s="3"/>
      <c r="SR129" s="3"/>
      <c r="SS129" s="3"/>
      <c r="ST129" s="3"/>
      <c r="SU129" s="3"/>
      <c r="SV129" s="3"/>
      <c r="SW129" s="3"/>
      <c r="SX129" s="3"/>
      <c r="SY129" s="3"/>
      <c r="SZ129" s="3"/>
      <c r="TA129" s="3"/>
      <c r="TB129" s="3"/>
      <c r="TC129" s="3"/>
      <c r="TD129" s="3"/>
      <c r="TE129" s="3"/>
      <c r="TF129" s="3"/>
      <c r="TG129" s="3"/>
      <c r="TH129" s="3"/>
      <c r="TI129" s="3"/>
      <c r="TJ129" s="3"/>
      <c r="TK129" s="3"/>
      <c r="TL129" s="3"/>
      <c r="TM129" s="3"/>
      <c r="TN129" s="3"/>
      <c r="TO129" s="3"/>
      <c r="TP129" s="3"/>
      <c r="TQ129" s="3"/>
      <c r="TR129" s="3"/>
      <c r="TS129" s="3"/>
      <c r="TT129" s="3"/>
      <c r="TU129" s="3"/>
      <c r="TV129" s="3"/>
      <c r="TW129" s="3"/>
      <c r="TX129" s="3"/>
      <c r="TY129" s="3"/>
      <c r="TZ129" s="3"/>
      <c r="UA129" s="3"/>
      <c r="UB129" s="3"/>
      <c r="UC129" s="3"/>
      <c r="UD129" s="3"/>
      <c r="UE129" s="3"/>
      <c r="UF129" s="3"/>
      <c r="UG129" s="3"/>
      <c r="UH129" s="3"/>
      <c r="UI129" s="3"/>
      <c r="UJ129" s="3"/>
      <c r="UK129" s="3"/>
      <c r="UL129" s="3"/>
      <c r="UM129" s="3"/>
      <c r="UN129" s="3"/>
      <c r="UO129" s="3"/>
      <c r="UP129" s="3"/>
      <c r="UQ129" s="3"/>
      <c r="UR129" s="3"/>
      <c r="US129" s="3"/>
      <c r="UT129" s="3"/>
      <c r="UU129" s="3"/>
      <c r="UV129" s="3"/>
      <c r="UW129" s="3"/>
      <c r="UX129" s="3"/>
      <c r="UY129" s="3"/>
      <c r="UZ129" s="3"/>
      <c r="VA129" s="3"/>
      <c r="VB129" s="3"/>
      <c r="VC129" s="3"/>
      <c r="VD129" s="3"/>
      <c r="VE129" s="3"/>
      <c r="VF129" s="3"/>
      <c r="VG129" s="3"/>
      <c r="VH129" s="3"/>
      <c r="VI129" s="3"/>
      <c r="VJ129" s="3"/>
      <c r="VK129" s="3"/>
      <c r="VL129" s="3"/>
      <c r="VM129" s="3"/>
      <c r="VN129" s="3"/>
      <c r="VO129" s="3"/>
      <c r="VP129" s="3"/>
      <c r="VQ129" s="3"/>
      <c r="VR129" s="3"/>
      <c r="VS129" s="3"/>
      <c r="VT129" s="3"/>
      <c r="VU129" s="3"/>
      <c r="VV129" s="3"/>
      <c r="VW129" s="3"/>
      <c r="VX129" s="3"/>
      <c r="VY129" s="3"/>
      <c r="VZ129" s="3"/>
      <c r="WA129" s="3"/>
      <c r="WB129" s="3"/>
      <c r="WC129" s="3"/>
      <c r="WD129" s="3"/>
      <c r="WE129" s="3"/>
      <c r="WF129" s="3"/>
      <c r="WG129" s="3"/>
      <c r="WH129" s="3"/>
      <c r="WI129" s="3"/>
      <c r="WJ129" s="3"/>
      <c r="WK129" s="3"/>
      <c r="WL129" s="3"/>
      <c r="WM129" s="3"/>
      <c r="WN129" s="3"/>
      <c r="WO129" s="3"/>
      <c r="WP129" s="3"/>
      <c r="WQ129" s="3"/>
      <c r="WR129" s="3"/>
      <c r="WS129" s="3"/>
      <c r="WT129" s="3"/>
      <c r="WU129" s="3"/>
      <c r="WV129" s="3"/>
      <c r="WW129" s="3"/>
      <c r="WX129" s="3"/>
      <c r="WY129" s="3"/>
      <c r="WZ129" s="3"/>
      <c r="XA129" s="3"/>
      <c r="XB129" s="3"/>
      <c r="XC129" s="3"/>
      <c r="XD129" s="3"/>
      <c r="XE129" s="3"/>
      <c r="XF129" s="3"/>
      <c r="XG129" s="3"/>
      <c r="XH129" s="3"/>
      <c r="XI129" s="3"/>
      <c r="XJ129" s="3"/>
      <c r="XK129" s="3"/>
      <c r="XL129" s="3"/>
      <c r="XM129" s="3"/>
      <c r="XN129" s="3"/>
      <c r="XO129" s="3"/>
      <c r="XP129" s="3"/>
      <c r="XQ129" s="3"/>
      <c r="XR129" s="3"/>
      <c r="XS129" s="3"/>
      <c r="XT129" s="3"/>
      <c r="XU129" s="3"/>
      <c r="XV129" s="3"/>
      <c r="XW129" s="3"/>
      <c r="XX129" s="3"/>
      <c r="XY129" s="3"/>
      <c r="XZ129" s="3"/>
      <c r="YA129" s="3"/>
      <c r="YB129" s="3"/>
      <c r="YC129" s="3"/>
      <c r="YD129" s="3"/>
      <c r="YE129" s="3"/>
      <c r="YF129" s="3"/>
      <c r="YG129" s="3"/>
      <c r="YH129" s="3"/>
      <c r="YI129" s="3"/>
      <c r="YJ129" s="3"/>
      <c r="YK129" s="3"/>
      <c r="YL129" s="3"/>
      <c r="YM129" s="3"/>
      <c r="YN129" s="3"/>
      <c r="YO129" s="3"/>
      <c r="YP129" s="3"/>
      <c r="YQ129" s="3"/>
      <c r="YR129" s="3"/>
      <c r="YS129" s="3"/>
      <c r="YT129" s="3"/>
      <c r="YU129" s="3"/>
      <c r="YV129" s="3"/>
      <c r="YW129" s="3"/>
      <c r="YX129" s="3"/>
      <c r="YY129" s="3"/>
      <c r="YZ129" s="3"/>
      <c r="ZA129" s="3"/>
      <c r="ZB129" s="3"/>
      <c r="ZC129" s="3"/>
    </row>
    <row r="130" spans="1:679" s="2" customFormat="1" x14ac:dyDescent="0.45">
      <c r="A130" s="3" t="s">
        <v>11</v>
      </c>
      <c r="B130" s="4">
        <v>34108</v>
      </c>
      <c r="C130" s="7" t="s">
        <v>21</v>
      </c>
      <c r="D130" s="6" t="s">
        <v>145</v>
      </c>
      <c r="E130" s="3"/>
      <c r="F130" s="3">
        <v>14</v>
      </c>
      <c r="L130" s="3"/>
      <c r="M130" s="3"/>
      <c r="N130" s="48"/>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c r="DU130" s="3"/>
      <c r="DV130" s="3"/>
      <c r="DW130" s="3"/>
      <c r="DX130" s="3"/>
      <c r="DY130" s="3"/>
      <c r="DZ130" s="3"/>
      <c r="EA130" s="3"/>
      <c r="EB130" s="3"/>
      <c r="EC130" s="3"/>
      <c r="ED130" s="3"/>
      <c r="EE130" s="3"/>
      <c r="EF130" s="3"/>
      <c r="EG130" s="3"/>
      <c r="EH130" s="3"/>
      <c r="EI130" s="3"/>
      <c r="EJ130" s="3"/>
      <c r="EK130" s="3"/>
      <c r="EL130" s="3"/>
      <c r="EM130" s="3"/>
      <c r="EN130" s="3"/>
      <c r="EO130" s="3"/>
      <c r="EP130" s="3"/>
      <c r="EQ130" s="3"/>
      <c r="ER130" s="3"/>
      <c r="ES130" s="3"/>
      <c r="ET130" s="3"/>
      <c r="EU130" s="3"/>
      <c r="EV130" s="3"/>
      <c r="EW130" s="3"/>
      <c r="EX130" s="3"/>
      <c r="EY130" s="3"/>
      <c r="EZ130" s="3"/>
      <c r="FA130" s="3"/>
      <c r="FB130" s="3"/>
      <c r="FC130" s="3"/>
      <c r="FD130" s="3"/>
      <c r="FE130" s="3"/>
      <c r="FF130" s="3"/>
      <c r="FG130" s="3"/>
      <c r="FH130" s="3"/>
      <c r="FI130" s="3"/>
      <c r="FJ130" s="3"/>
      <c r="FK130" s="3"/>
      <c r="FL130" s="3"/>
      <c r="FM130" s="3"/>
      <c r="FN130" s="3"/>
      <c r="FO130" s="3"/>
      <c r="FP130" s="3"/>
      <c r="FQ130" s="3"/>
      <c r="FR130" s="3"/>
      <c r="FS130" s="3"/>
      <c r="FT130" s="3"/>
      <c r="FU130" s="3"/>
      <c r="FV130" s="3"/>
      <c r="FW130" s="3"/>
      <c r="FX130" s="3"/>
      <c r="FY130" s="3"/>
      <c r="FZ130" s="3"/>
      <c r="GA130" s="3"/>
      <c r="GB130" s="3"/>
      <c r="GC130" s="3"/>
      <c r="GD130" s="3"/>
      <c r="GE130" s="3"/>
      <c r="GF130" s="3"/>
      <c r="GG130" s="3"/>
      <c r="GH130" s="3"/>
      <c r="GI130" s="3"/>
      <c r="GJ130" s="3"/>
      <c r="GK130" s="3"/>
      <c r="GL130" s="3"/>
      <c r="GM130" s="3"/>
      <c r="GN130" s="3"/>
      <c r="GO130" s="3"/>
      <c r="GP130" s="3"/>
      <c r="GQ130" s="3"/>
      <c r="GR130" s="3"/>
      <c r="GS130" s="3"/>
      <c r="GT130" s="3"/>
      <c r="GU130" s="3"/>
      <c r="GV130" s="3"/>
      <c r="GW130" s="3"/>
      <c r="GX130" s="3"/>
      <c r="GY130" s="3"/>
      <c r="GZ130" s="3"/>
      <c r="HA130" s="3"/>
      <c r="HB130" s="3"/>
      <c r="HC130" s="3"/>
      <c r="HD130" s="3"/>
      <c r="HE130" s="3"/>
      <c r="HF130" s="3"/>
      <c r="HG130" s="3"/>
      <c r="HH130" s="3"/>
      <c r="HI130" s="3"/>
      <c r="HJ130" s="3"/>
      <c r="HK130" s="3"/>
      <c r="HL130" s="3"/>
      <c r="HM130" s="3"/>
      <c r="HN130" s="3"/>
      <c r="HO130" s="3"/>
      <c r="HP130" s="3"/>
      <c r="HQ130" s="3"/>
      <c r="HR130" s="3"/>
      <c r="HS130" s="3"/>
      <c r="HT130" s="3"/>
      <c r="HU130" s="3"/>
      <c r="HV130" s="3"/>
      <c r="HW130" s="3"/>
      <c r="HX130" s="3"/>
      <c r="HY130" s="3"/>
      <c r="HZ130" s="3"/>
      <c r="IA130" s="3"/>
      <c r="IB130" s="3"/>
      <c r="IC130" s="3"/>
      <c r="ID130" s="3"/>
      <c r="IE130" s="3"/>
      <c r="IF130" s="3"/>
      <c r="IG130" s="3"/>
      <c r="IH130" s="3"/>
      <c r="II130" s="3"/>
      <c r="IJ130" s="3"/>
      <c r="IK130" s="3"/>
      <c r="IL130" s="3"/>
      <c r="IM130" s="3"/>
      <c r="IN130" s="3"/>
      <c r="IO130" s="3"/>
      <c r="IP130" s="3"/>
      <c r="IQ130" s="3"/>
      <c r="IR130" s="3"/>
      <c r="IS130" s="3"/>
      <c r="IT130" s="3"/>
      <c r="IU130" s="3"/>
      <c r="IV130" s="3"/>
      <c r="IW130" s="3"/>
      <c r="IX130" s="3"/>
      <c r="IY130" s="3"/>
      <c r="IZ130" s="3"/>
      <c r="JA130" s="3"/>
      <c r="JB130" s="3"/>
      <c r="JC130" s="3"/>
      <c r="JD130" s="3"/>
      <c r="JE130" s="3"/>
      <c r="JF130" s="3"/>
      <c r="JG130" s="3"/>
      <c r="JH130" s="3"/>
      <c r="JI130" s="3"/>
      <c r="JJ130" s="3"/>
      <c r="JK130" s="3"/>
      <c r="JL130" s="3"/>
      <c r="JM130" s="3"/>
      <c r="JN130" s="3"/>
      <c r="JO130" s="3"/>
      <c r="JP130" s="3"/>
      <c r="JQ130" s="3"/>
      <c r="JR130" s="3"/>
      <c r="JS130" s="3"/>
      <c r="JT130" s="3"/>
      <c r="JU130" s="3"/>
      <c r="JV130" s="3"/>
      <c r="JW130" s="3"/>
      <c r="JX130" s="3"/>
      <c r="JY130" s="3"/>
      <c r="JZ130" s="3"/>
      <c r="KA130" s="3"/>
      <c r="KB130" s="3"/>
      <c r="KC130" s="3"/>
      <c r="KD130" s="3"/>
      <c r="KE130" s="3"/>
      <c r="KF130" s="3"/>
      <c r="KG130" s="3"/>
      <c r="KH130" s="3"/>
      <c r="KI130" s="3"/>
      <c r="KJ130" s="3"/>
      <c r="KK130" s="3"/>
      <c r="KL130" s="3"/>
      <c r="KM130" s="3"/>
      <c r="KN130" s="3"/>
      <c r="KO130" s="3"/>
      <c r="KP130" s="3"/>
      <c r="KQ130" s="3"/>
      <c r="KR130" s="3"/>
      <c r="KS130" s="3"/>
      <c r="KT130" s="3"/>
      <c r="KU130" s="3"/>
      <c r="KV130" s="3"/>
      <c r="KW130" s="3"/>
      <c r="KX130" s="3"/>
      <c r="KY130" s="3"/>
      <c r="KZ130" s="3"/>
      <c r="LA130" s="3"/>
      <c r="LB130" s="3"/>
      <c r="LC130" s="3"/>
      <c r="LD130" s="3"/>
      <c r="LE130" s="3"/>
      <c r="LF130" s="3"/>
      <c r="LG130" s="3"/>
      <c r="LH130" s="3"/>
      <c r="LI130" s="3"/>
      <c r="LJ130" s="3"/>
      <c r="LK130" s="3"/>
      <c r="LL130" s="3"/>
      <c r="LM130" s="3"/>
      <c r="LN130" s="3"/>
      <c r="LO130" s="3"/>
      <c r="LP130" s="3"/>
      <c r="LQ130" s="3"/>
      <c r="LR130" s="3"/>
      <c r="LS130" s="3"/>
      <c r="LT130" s="3"/>
      <c r="LU130" s="3"/>
      <c r="LV130" s="3"/>
      <c r="LW130" s="3"/>
      <c r="LX130" s="3"/>
      <c r="LY130" s="3"/>
      <c r="LZ130" s="3"/>
      <c r="MA130" s="3"/>
      <c r="MB130" s="3"/>
      <c r="MC130" s="3"/>
      <c r="MD130" s="3"/>
      <c r="ME130" s="3"/>
      <c r="MF130" s="3"/>
      <c r="MG130" s="3"/>
      <c r="MH130" s="3"/>
      <c r="MI130" s="3"/>
      <c r="MJ130" s="3"/>
      <c r="MK130" s="3"/>
      <c r="ML130" s="3"/>
      <c r="MM130" s="3"/>
      <c r="MN130" s="3"/>
      <c r="MO130" s="3"/>
      <c r="MP130" s="3"/>
      <c r="MQ130" s="3"/>
      <c r="MR130" s="3"/>
      <c r="MS130" s="3"/>
      <c r="MT130" s="3"/>
      <c r="MU130" s="3"/>
      <c r="MV130" s="3"/>
      <c r="MW130" s="3"/>
      <c r="MX130" s="3"/>
      <c r="MY130" s="3"/>
      <c r="MZ130" s="3"/>
      <c r="NA130" s="3"/>
      <c r="NB130" s="3"/>
      <c r="NC130" s="3"/>
      <c r="ND130" s="3"/>
      <c r="NE130" s="3"/>
      <c r="NF130" s="3"/>
      <c r="NG130" s="3"/>
      <c r="NH130" s="3"/>
      <c r="NI130" s="3"/>
      <c r="NJ130" s="3"/>
      <c r="NK130" s="3"/>
      <c r="NL130" s="3"/>
      <c r="NM130" s="3"/>
      <c r="NN130" s="3"/>
      <c r="NO130" s="3"/>
      <c r="NP130" s="3"/>
      <c r="NQ130" s="3"/>
      <c r="NR130" s="3"/>
      <c r="NS130" s="3"/>
      <c r="NT130" s="3"/>
      <c r="NU130" s="3"/>
      <c r="NV130" s="3"/>
      <c r="NW130" s="3"/>
      <c r="NX130" s="3"/>
      <c r="NY130" s="3"/>
      <c r="NZ130" s="3"/>
      <c r="OA130" s="3"/>
      <c r="OB130" s="3"/>
      <c r="OC130" s="3"/>
      <c r="OD130" s="3"/>
      <c r="OE130" s="3"/>
      <c r="OF130" s="3"/>
      <c r="OG130" s="3"/>
      <c r="OH130" s="3"/>
      <c r="OI130" s="3"/>
      <c r="OJ130" s="3"/>
      <c r="OK130" s="3"/>
      <c r="OL130" s="3"/>
      <c r="OM130" s="3"/>
      <c r="ON130" s="3"/>
      <c r="OO130" s="3"/>
      <c r="OP130" s="3"/>
      <c r="OQ130" s="3"/>
      <c r="OR130" s="3"/>
      <c r="OS130" s="3"/>
      <c r="OT130" s="3"/>
      <c r="OU130" s="3"/>
      <c r="OV130" s="3"/>
      <c r="OW130" s="3"/>
      <c r="OX130" s="3"/>
      <c r="OY130" s="3"/>
      <c r="OZ130" s="3"/>
      <c r="PA130" s="3"/>
      <c r="PB130" s="3"/>
      <c r="PC130" s="3"/>
      <c r="PD130" s="3"/>
      <c r="PE130" s="3"/>
      <c r="PF130" s="3"/>
      <c r="PG130" s="3"/>
      <c r="PH130" s="3"/>
      <c r="PI130" s="3"/>
      <c r="PJ130" s="3"/>
      <c r="PK130" s="3"/>
      <c r="PL130" s="3"/>
      <c r="PM130" s="3"/>
      <c r="PN130" s="3"/>
      <c r="PO130" s="3"/>
      <c r="PP130" s="3"/>
      <c r="PQ130" s="3"/>
      <c r="PR130" s="3"/>
      <c r="PS130" s="3"/>
      <c r="PT130" s="3"/>
      <c r="PU130" s="3"/>
      <c r="PV130" s="3"/>
      <c r="PW130" s="3"/>
      <c r="PX130" s="3"/>
      <c r="PY130" s="3"/>
      <c r="PZ130" s="3"/>
      <c r="QA130" s="3"/>
      <c r="QB130" s="3"/>
      <c r="QC130" s="3"/>
      <c r="QD130" s="3"/>
      <c r="QE130" s="3"/>
      <c r="QF130" s="3"/>
      <c r="QG130" s="3"/>
      <c r="QH130" s="3"/>
      <c r="QI130" s="3"/>
      <c r="QJ130" s="3"/>
      <c r="QK130" s="3"/>
      <c r="QL130" s="3"/>
      <c r="QM130" s="3"/>
      <c r="QN130" s="3"/>
      <c r="QO130" s="3"/>
      <c r="QP130" s="3"/>
      <c r="QQ130" s="3"/>
      <c r="QR130" s="3"/>
      <c r="QS130" s="3"/>
      <c r="QT130" s="3"/>
      <c r="QU130" s="3"/>
      <c r="QV130" s="3"/>
      <c r="QW130" s="3"/>
      <c r="QX130" s="3"/>
      <c r="QY130" s="3"/>
      <c r="QZ130" s="3"/>
      <c r="RA130" s="3"/>
      <c r="RB130" s="3"/>
      <c r="RC130" s="3"/>
      <c r="RD130" s="3"/>
      <c r="RE130" s="3"/>
      <c r="RF130" s="3"/>
      <c r="RG130" s="3"/>
      <c r="RH130" s="3"/>
      <c r="RI130" s="3"/>
      <c r="RJ130" s="3"/>
      <c r="RK130" s="3"/>
      <c r="RL130" s="3"/>
      <c r="RM130" s="3"/>
      <c r="RN130" s="3"/>
      <c r="RO130" s="3"/>
      <c r="RP130" s="3"/>
      <c r="RQ130" s="3"/>
      <c r="RR130" s="3"/>
      <c r="RS130" s="3"/>
      <c r="RT130" s="3"/>
      <c r="RU130" s="3"/>
      <c r="RV130" s="3"/>
      <c r="RW130" s="3"/>
      <c r="RX130" s="3"/>
      <c r="RY130" s="3"/>
      <c r="RZ130" s="3"/>
      <c r="SA130" s="3"/>
      <c r="SB130" s="3"/>
      <c r="SC130" s="3"/>
      <c r="SD130" s="3"/>
      <c r="SE130" s="3"/>
      <c r="SF130" s="3"/>
      <c r="SG130" s="3"/>
      <c r="SH130" s="3"/>
      <c r="SI130" s="3"/>
      <c r="SJ130" s="3"/>
      <c r="SK130" s="3"/>
      <c r="SL130" s="3"/>
      <c r="SM130" s="3"/>
      <c r="SN130" s="3"/>
      <c r="SO130" s="3"/>
      <c r="SP130" s="3"/>
      <c r="SQ130" s="3"/>
      <c r="SR130" s="3"/>
      <c r="SS130" s="3"/>
      <c r="ST130" s="3"/>
      <c r="SU130" s="3"/>
      <c r="SV130" s="3"/>
      <c r="SW130" s="3"/>
      <c r="SX130" s="3"/>
      <c r="SY130" s="3"/>
      <c r="SZ130" s="3"/>
      <c r="TA130" s="3"/>
      <c r="TB130" s="3"/>
      <c r="TC130" s="3"/>
      <c r="TD130" s="3"/>
      <c r="TE130" s="3"/>
      <c r="TF130" s="3"/>
      <c r="TG130" s="3"/>
      <c r="TH130" s="3"/>
      <c r="TI130" s="3"/>
      <c r="TJ130" s="3"/>
      <c r="TK130" s="3"/>
      <c r="TL130" s="3"/>
      <c r="TM130" s="3"/>
      <c r="TN130" s="3"/>
      <c r="TO130" s="3"/>
      <c r="TP130" s="3"/>
      <c r="TQ130" s="3"/>
      <c r="TR130" s="3"/>
      <c r="TS130" s="3"/>
      <c r="TT130" s="3"/>
      <c r="TU130" s="3"/>
      <c r="TV130" s="3"/>
      <c r="TW130" s="3"/>
      <c r="TX130" s="3"/>
      <c r="TY130" s="3"/>
      <c r="TZ130" s="3"/>
      <c r="UA130" s="3"/>
      <c r="UB130" s="3"/>
      <c r="UC130" s="3"/>
      <c r="UD130" s="3"/>
      <c r="UE130" s="3"/>
      <c r="UF130" s="3"/>
      <c r="UG130" s="3"/>
      <c r="UH130" s="3"/>
      <c r="UI130" s="3"/>
      <c r="UJ130" s="3"/>
      <c r="UK130" s="3"/>
      <c r="UL130" s="3"/>
      <c r="UM130" s="3"/>
      <c r="UN130" s="3"/>
      <c r="UO130" s="3"/>
      <c r="UP130" s="3"/>
      <c r="UQ130" s="3"/>
      <c r="UR130" s="3"/>
      <c r="US130" s="3"/>
      <c r="UT130" s="3"/>
      <c r="UU130" s="3"/>
      <c r="UV130" s="3"/>
      <c r="UW130" s="3"/>
      <c r="UX130" s="3"/>
      <c r="UY130" s="3"/>
      <c r="UZ130" s="3"/>
      <c r="VA130" s="3"/>
      <c r="VB130" s="3"/>
      <c r="VC130" s="3"/>
      <c r="VD130" s="3"/>
      <c r="VE130" s="3"/>
      <c r="VF130" s="3"/>
      <c r="VG130" s="3"/>
      <c r="VH130" s="3"/>
      <c r="VI130" s="3"/>
      <c r="VJ130" s="3"/>
      <c r="VK130" s="3"/>
      <c r="VL130" s="3"/>
      <c r="VM130" s="3"/>
      <c r="VN130" s="3"/>
      <c r="VO130" s="3"/>
      <c r="VP130" s="3"/>
      <c r="VQ130" s="3"/>
      <c r="VR130" s="3"/>
      <c r="VS130" s="3"/>
      <c r="VT130" s="3"/>
      <c r="VU130" s="3"/>
      <c r="VV130" s="3"/>
      <c r="VW130" s="3"/>
      <c r="VX130" s="3"/>
      <c r="VY130" s="3"/>
      <c r="VZ130" s="3"/>
      <c r="WA130" s="3"/>
      <c r="WB130" s="3"/>
      <c r="WC130" s="3"/>
      <c r="WD130" s="3"/>
      <c r="WE130" s="3"/>
      <c r="WF130" s="3"/>
      <c r="WG130" s="3"/>
      <c r="WH130" s="3"/>
      <c r="WI130" s="3"/>
      <c r="WJ130" s="3"/>
      <c r="WK130" s="3"/>
      <c r="WL130" s="3"/>
      <c r="WM130" s="3"/>
      <c r="WN130" s="3"/>
      <c r="WO130" s="3"/>
      <c r="WP130" s="3"/>
      <c r="WQ130" s="3"/>
      <c r="WR130" s="3"/>
      <c r="WS130" s="3"/>
      <c r="WT130" s="3"/>
      <c r="WU130" s="3"/>
      <c r="WV130" s="3"/>
      <c r="WW130" s="3"/>
      <c r="WX130" s="3"/>
      <c r="WY130" s="3"/>
      <c r="WZ130" s="3"/>
      <c r="XA130" s="3"/>
      <c r="XB130" s="3"/>
      <c r="XC130" s="3"/>
      <c r="XD130" s="3"/>
      <c r="XE130" s="3"/>
      <c r="XF130" s="3"/>
      <c r="XG130" s="3"/>
      <c r="XH130" s="3"/>
      <c r="XI130" s="3"/>
      <c r="XJ130" s="3"/>
      <c r="XK130" s="3"/>
      <c r="XL130" s="3"/>
      <c r="XM130" s="3"/>
      <c r="XN130" s="3"/>
      <c r="XO130" s="3"/>
      <c r="XP130" s="3"/>
      <c r="XQ130" s="3"/>
      <c r="XR130" s="3"/>
      <c r="XS130" s="3"/>
      <c r="XT130" s="3"/>
      <c r="XU130" s="3"/>
      <c r="XV130" s="3"/>
      <c r="XW130" s="3"/>
      <c r="XX130" s="3"/>
      <c r="XY130" s="3"/>
      <c r="XZ130" s="3"/>
      <c r="YA130" s="3"/>
      <c r="YB130" s="3"/>
      <c r="YC130" s="3"/>
      <c r="YD130" s="3"/>
      <c r="YE130" s="3"/>
      <c r="YF130" s="3"/>
      <c r="YG130" s="3"/>
      <c r="YH130" s="3"/>
      <c r="YI130" s="3"/>
      <c r="YJ130" s="3"/>
      <c r="YK130" s="3"/>
      <c r="YL130" s="3"/>
      <c r="YM130" s="3"/>
      <c r="YN130" s="3"/>
      <c r="YO130" s="3"/>
      <c r="YP130" s="3"/>
      <c r="YQ130" s="3"/>
      <c r="YR130" s="3"/>
      <c r="YS130" s="3"/>
      <c r="YT130" s="3"/>
      <c r="YU130" s="3"/>
      <c r="YV130" s="3"/>
      <c r="YW130" s="3"/>
      <c r="YX130" s="3"/>
      <c r="YY130" s="3"/>
      <c r="YZ130" s="3"/>
      <c r="ZA130" s="3"/>
      <c r="ZB130" s="3"/>
      <c r="ZC130" s="3"/>
    </row>
    <row r="131" spans="1:679" s="2" customFormat="1" x14ac:dyDescent="0.45">
      <c r="A131" s="3" t="s">
        <v>11</v>
      </c>
      <c r="B131" s="4">
        <v>34144</v>
      </c>
      <c r="C131" s="7" t="s">
        <v>21</v>
      </c>
      <c r="D131" s="6" t="s">
        <v>146</v>
      </c>
      <c r="E131" s="3"/>
      <c r="F131" s="3">
        <v>11</v>
      </c>
      <c r="L131" s="3"/>
      <c r="M131" s="3"/>
      <c r="N131" s="48"/>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c r="DF131" s="3"/>
      <c r="DG131" s="3"/>
      <c r="DH131" s="3"/>
      <c r="DI131" s="3"/>
      <c r="DJ131" s="3"/>
      <c r="DK131" s="3"/>
      <c r="DL131" s="3"/>
      <c r="DM131" s="3"/>
      <c r="DN131" s="3"/>
      <c r="DO131" s="3"/>
      <c r="DP131" s="3"/>
      <c r="DQ131" s="3"/>
      <c r="DR131" s="3"/>
      <c r="DS131" s="3"/>
      <c r="DT131" s="3"/>
      <c r="DU131" s="3"/>
      <c r="DV131" s="3"/>
      <c r="DW131" s="3"/>
      <c r="DX131" s="3"/>
      <c r="DY131" s="3"/>
      <c r="DZ131" s="3"/>
      <c r="EA131" s="3"/>
      <c r="EB131" s="3"/>
      <c r="EC131" s="3"/>
      <c r="ED131" s="3"/>
      <c r="EE131" s="3"/>
      <c r="EF131" s="3"/>
      <c r="EG131" s="3"/>
      <c r="EH131" s="3"/>
      <c r="EI131" s="3"/>
      <c r="EJ131" s="3"/>
      <c r="EK131" s="3"/>
      <c r="EL131" s="3"/>
      <c r="EM131" s="3"/>
      <c r="EN131" s="3"/>
      <c r="EO131" s="3"/>
      <c r="EP131" s="3"/>
      <c r="EQ131" s="3"/>
      <c r="ER131" s="3"/>
      <c r="ES131" s="3"/>
      <c r="ET131" s="3"/>
      <c r="EU131" s="3"/>
      <c r="EV131" s="3"/>
      <c r="EW131" s="3"/>
      <c r="EX131" s="3"/>
      <c r="EY131" s="3"/>
      <c r="EZ131" s="3"/>
      <c r="FA131" s="3"/>
      <c r="FB131" s="3"/>
      <c r="FC131" s="3"/>
      <c r="FD131" s="3"/>
      <c r="FE131" s="3"/>
      <c r="FF131" s="3"/>
      <c r="FG131" s="3"/>
      <c r="FH131" s="3"/>
      <c r="FI131" s="3"/>
      <c r="FJ131" s="3"/>
      <c r="FK131" s="3"/>
      <c r="FL131" s="3"/>
      <c r="FM131" s="3"/>
      <c r="FN131" s="3"/>
      <c r="FO131" s="3"/>
      <c r="FP131" s="3"/>
      <c r="FQ131" s="3"/>
      <c r="FR131" s="3"/>
      <c r="FS131" s="3"/>
      <c r="FT131" s="3"/>
      <c r="FU131" s="3"/>
      <c r="FV131" s="3"/>
      <c r="FW131" s="3"/>
      <c r="FX131" s="3"/>
      <c r="FY131" s="3"/>
      <c r="FZ131" s="3"/>
      <c r="GA131" s="3"/>
      <c r="GB131" s="3"/>
      <c r="GC131" s="3"/>
      <c r="GD131" s="3"/>
      <c r="GE131" s="3"/>
      <c r="GF131" s="3"/>
      <c r="GG131" s="3"/>
      <c r="GH131" s="3"/>
      <c r="GI131" s="3"/>
      <c r="GJ131" s="3"/>
      <c r="GK131" s="3"/>
      <c r="GL131" s="3"/>
      <c r="GM131" s="3"/>
      <c r="GN131" s="3"/>
      <c r="GO131" s="3"/>
      <c r="GP131" s="3"/>
      <c r="GQ131" s="3"/>
      <c r="GR131" s="3"/>
      <c r="GS131" s="3"/>
      <c r="GT131" s="3"/>
      <c r="GU131" s="3"/>
      <c r="GV131" s="3"/>
      <c r="GW131" s="3"/>
      <c r="GX131" s="3"/>
      <c r="GY131" s="3"/>
      <c r="GZ131" s="3"/>
      <c r="HA131" s="3"/>
      <c r="HB131" s="3"/>
      <c r="HC131" s="3"/>
      <c r="HD131" s="3"/>
      <c r="HE131" s="3"/>
      <c r="HF131" s="3"/>
      <c r="HG131" s="3"/>
      <c r="HH131" s="3"/>
      <c r="HI131" s="3"/>
      <c r="HJ131" s="3"/>
      <c r="HK131" s="3"/>
      <c r="HL131" s="3"/>
      <c r="HM131" s="3"/>
      <c r="HN131" s="3"/>
      <c r="HO131" s="3"/>
      <c r="HP131" s="3"/>
      <c r="HQ131" s="3"/>
      <c r="HR131" s="3"/>
      <c r="HS131" s="3"/>
      <c r="HT131" s="3"/>
      <c r="HU131" s="3"/>
      <c r="HV131" s="3"/>
      <c r="HW131" s="3"/>
      <c r="HX131" s="3"/>
      <c r="HY131" s="3"/>
      <c r="HZ131" s="3"/>
      <c r="IA131" s="3"/>
      <c r="IB131" s="3"/>
      <c r="IC131" s="3"/>
      <c r="ID131" s="3"/>
      <c r="IE131" s="3"/>
      <c r="IF131" s="3"/>
      <c r="IG131" s="3"/>
      <c r="IH131" s="3"/>
      <c r="II131" s="3"/>
      <c r="IJ131" s="3"/>
      <c r="IK131" s="3"/>
      <c r="IL131" s="3"/>
      <c r="IM131" s="3"/>
      <c r="IN131" s="3"/>
      <c r="IO131" s="3"/>
      <c r="IP131" s="3"/>
      <c r="IQ131" s="3"/>
      <c r="IR131" s="3"/>
      <c r="IS131" s="3"/>
      <c r="IT131" s="3"/>
      <c r="IU131" s="3"/>
      <c r="IV131" s="3"/>
      <c r="IW131" s="3"/>
      <c r="IX131" s="3"/>
      <c r="IY131" s="3"/>
      <c r="IZ131" s="3"/>
      <c r="JA131" s="3"/>
      <c r="JB131" s="3"/>
      <c r="JC131" s="3"/>
      <c r="JD131" s="3"/>
      <c r="JE131" s="3"/>
      <c r="JF131" s="3"/>
      <c r="JG131" s="3"/>
      <c r="JH131" s="3"/>
      <c r="JI131" s="3"/>
      <c r="JJ131" s="3"/>
      <c r="JK131" s="3"/>
      <c r="JL131" s="3"/>
      <c r="JM131" s="3"/>
      <c r="JN131" s="3"/>
      <c r="JO131" s="3"/>
      <c r="JP131" s="3"/>
      <c r="JQ131" s="3"/>
      <c r="JR131" s="3"/>
      <c r="JS131" s="3"/>
      <c r="JT131" s="3"/>
      <c r="JU131" s="3"/>
      <c r="JV131" s="3"/>
      <c r="JW131" s="3"/>
      <c r="JX131" s="3"/>
      <c r="JY131" s="3"/>
      <c r="JZ131" s="3"/>
      <c r="KA131" s="3"/>
      <c r="KB131" s="3"/>
      <c r="KC131" s="3"/>
      <c r="KD131" s="3"/>
      <c r="KE131" s="3"/>
      <c r="KF131" s="3"/>
      <c r="KG131" s="3"/>
      <c r="KH131" s="3"/>
      <c r="KI131" s="3"/>
      <c r="KJ131" s="3"/>
      <c r="KK131" s="3"/>
      <c r="KL131" s="3"/>
      <c r="KM131" s="3"/>
      <c r="KN131" s="3"/>
      <c r="KO131" s="3"/>
      <c r="KP131" s="3"/>
      <c r="KQ131" s="3"/>
      <c r="KR131" s="3"/>
      <c r="KS131" s="3"/>
      <c r="KT131" s="3"/>
      <c r="KU131" s="3"/>
      <c r="KV131" s="3"/>
      <c r="KW131" s="3"/>
      <c r="KX131" s="3"/>
      <c r="KY131" s="3"/>
      <c r="KZ131" s="3"/>
      <c r="LA131" s="3"/>
      <c r="LB131" s="3"/>
      <c r="LC131" s="3"/>
      <c r="LD131" s="3"/>
      <c r="LE131" s="3"/>
      <c r="LF131" s="3"/>
      <c r="LG131" s="3"/>
      <c r="LH131" s="3"/>
      <c r="LI131" s="3"/>
      <c r="LJ131" s="3"/>
      <c r="LK131" s="3"/>
      <c r="LL131" s="3"/>
      <c r="LM131" s="3"/>
      <c r="LN131" s="3"/>
      <c r="LO131" s="3"/>
      <c r="LP131" s="3"/>
      <c r="LQ131" s="3"/>
      <c r="LR131" s="3"/>
      <c r="LS131" s="3"/>
      <c r="LT131" s="3"/>
      <c r="LU131" s="3"/>
      <c r="LV131" s="3"/>
      <c r="LW131" s="3"/>
      <c r="LX131" s="3"/>
      <c r="LY131" s="3"/>
      <c r="LZ131" s="3"/>
      <c r="MA131" s="3"/>
      <c r="MB131" s="3"/>
      <c r="MC131" s="3"/>
      <c r="MD131" s="3"/>
      <c r="ME131" s="3"/>
      <c r="MF131" s="3"/>
      <c r="MG131" s="3"/>
      <c r="MH131" s="3"/>
      <c r="MI131" s="3"/>
      <c r="MJ131" s="3"/>
      <c r="MK131" s="3"/>
      <c r="ML131" s="3"/>
      <c r="MM131" s="3"/>
      <c r="MN131" s="3"/>
      <c r="MO131" s="3"/>
      <c r="MP131" s="3"/>
      <c r="MQ131" s="3"/>
      <c r="MR131" s="3"/>
      <c r="MS131" s="3"/>
      <c r="MT131" s="3"/>
      <c r="MU131" s="3"/>
      <c r="MV131" s="3"/>
      <c r="MW131" s="3"/>
      <c r="MX131" s="3"/>
      <c r="MY131" s="3"/>
      <c r="MZ131" s="3"/>
      <c r="NA131" s="3"/>
      <c r="NB131" s="3"/>
      <c r="NC131" s="3"/>
      <c r="ND131" s="3"/>
      <c r="NE131" s="3"/>
      <c r="NF131" s="3"/>
      <c r="NG131" s="3"/>
      <c r="NH131" s="3"/>
      <c r="NI131" s="3"/>
      <c r="NJ131" s="3"/>
      <c r="NK131" s="3"/>
      <c r="NL131" s="3"/>
      <c r="NM131" s="3"/>
      <c r="NN131" s="3"/>
      <c r="NO131" s="3"/>
      <c r="NP131" s="3"/>
      <c r="NQ131" s="3"/>
      <c r="NR131" s="3"/>
      <c r="NS131" s="3"/>
      <c r="NT131" s="3"/>
      <c r="NU131" s="3"/>
      <c r="NV131" s="3"/>
      <c r="NW131" s="3"/>
      <c r="NX131" s="3"/>
      <c r="NY131" s="3"/>
      <c r="NZ131" s="3"/>
      <c r="OA131" s="3"/>
      <c r="OB131" s="3"/>
      <c r="OC131" s="3"/>
      <c r="OD131" s="3"/>
      <c r="OE131" s="3"/>
      <c r="OF131" s="3"/>
      <c r="OG131" s="3"/>
      <c r="OH131" s="3"/>
      <c r="OI131" s="3"/>
      <c r="OJ131" s="3"/>
      <c r="OK131" s="3"/>
      <c r="OL131" s="3"/>
      <c r="OM131" s="3"/>
      <c r="ON131" s="3"/>
      <c r="OO131" s="3"/>
      <c r="OP131" s="3"/>
      <c r="OQ131" s="3"/>
      <c r="OR131" s="3"/>
      <c r="OS131" s="3"/>
      <c r="OT131" s="3"/>
      <c r="OU131" s="3"/>
      <c r="OV131" s="3"/>
      <c r="OW131" s="3"/>
      <c r="OX131" s="3"/>
      <c r="OY131" s="3"/>
      <c r="OZ131" s="3"/>
      <c r="PA131" s="3"/>
      <c r="PB131" s="3"/>
      <c r="PC131" s="3"/>
      <c r="PD131" s="3"/>
      <c r="PE131" s="3"/>
      <c r="PF131" s="3"/>
      <c r="PG131" s="3"/>
      <c r="PH131" s="3"/>
      <c r="PI131" s="3"/>
      <c r="PJ131" s="3"/>
      <c r="PK131" s="3"/>
      <c r="PL131" s="3"/>
      <c r="PM131" s="3"/>
      <c r="PN131" s="3"/>
      <c r="PO131" s="3"/>
      <c r="PP131" s="3"/>
      <c r="PQ131" s="3"/>
      <c r="PR131" s="3"/>
      <c r="PS131" s="3"/>
      <c r="PT131" s="3"/>
      <c r="PU131" s="3"/>
      <c r="PV131" s="3"/>
      <c r="PW131" s="3"/>
      <c r="PX131" s="3"/>
      <c r="PY131" s="3"/>
      <c r="PZ131" s="3"/>
      <c r="QA131" s="3"/>
      <c r="QB131" s="3"/>
      <c r="QC131" s="3"/>
      <c r="QD131" s="3"/>
      <c r="QE131" s="3"/>
      <c r="QF131" s="3"/>
      <c r="QG131" s="3"/>
      <c r="QH131" s="3"/>
      <c r="QI131" s="3"/>
      <c r="QJ131" s="3"/>
      <c r="QK131" s="3"/>
      <c r="QL131" s="3"/>
      <c r="QM131" s="3"/>
      <c r="QN131" s="3"/>
      <c r="QO131" s="3"/>
      <c r="QP131" s="3"/>
      <c r="QQ131" s="3"/>
      <c r="QR131" s="3"/>
      <c r="QS131" s="3"/>
      <c r="QT131" s="3"/>
      <c r="QU131" s="3"/>
      <c r="QV131" s="3"/>
      <c r="QW131" s="3"/>
      <c r="QX131" s="3"/>
      <c r="QY131" s="3"/>
      <c r="QZ131" s="3"/>
      <c r="RA131" s="3"/>
      <c r="RB131" s="3"/>
      <c r="RC131" s="3"/>
      <c r="RD131" s="3"/>
      <c r="RE131" s="3"/>
      <c r="RF131" s="3"/>
      <c r="RG131" s="3"/>
      <c r="RH131" s="3"/>
      <c r="RI131" s="3"/>
      <c r="RJ131" s="3"/>
      <c r="RK131" s="3"/>
      <c r="RL131" s="3"/>
      <c r="RM131" s="3"/>
      <c r="RN131" s="3"/>
      <c r="RO131" s="3"/>
      <c r="RP131" s="3"/>
      <c r="RQ131" s="3"/>
      <c r="RR131" s="3"/>
      <c r="RS131" s="3"/>
      <c r="RT131" s="3"/>
      <c r="RU131" s="3"/>
      <c r="RV131" s="3"/>
      <c r="RW131" s="3"/>
      <c r="RX131" s="3"/>
      <c r="RY131" s="3"/>
      <c r="RZ131" s="3"/>
      <c r="SA131" s="3"/>
      <c r="SB131" s="3"/>
      <c r="SC131" s="3"/>
      <c r="SD131" s="3"/>
      <c r="SE131" s="3"/>
      <c r="SF131" s="3"/>
      <c r="SG131" s="3"/>
      <c r="SH131" s="3"/>
      <c r="SI131" s="3"/>
      <c r="SJ131" s="3"/>
      <c r="SK131" s="3"/>
      <c r="SL131" s="3"/>
      <c r="SM131" s="3"/>
      <c r="SN131" s="3"/>
      <c r="SO131" s="3"/>
      <c r="SP131" s="3"/>
      <c r="SQ131" s="3"/>
      <c r="SR131" s="3"/>
      <c r="SS131" s="3"/>
      <c r="ST131" s="3"/>
      <c r="SU131" s="3"/>
      <c r="SV131" s="3"/>
      <c r="SW131" s="3"/>
      <c r="SX131" s="3"/>
      <c r="SY131" s="3"/>
      <c r="SZ131" s="3"/>
      <c r="TA131" s="3"/>
      <c r="TB131" s="3"/>
      <c r="TC131" s="3"/>
      <c r="TD131" s="3"/>
      <c r="TE131" s="3"/>
      <c r="TF131" s="3"/>
      <c r="TG131" s="3"/>
      <c r="TH131" s="3"/>
      <c r="TI131" s="3"/>
      <c r="TJ131" s="3"/>
      <c r="TK131" s="3"/>
      <c r="TL131" s="3"/>
      <c r="TM131" s="3"/>
      <c r="TN131" s="3"/>
      <c r="TO131" s="3"/>
      <c r="TP131" s="3"/>
      <c r="TQ131" s="3"/>
      <c r="TR131" s="3"/>
      <c r="TS131" s="3"/>
      <c r="TT131" s="3"/>
      <c r="TU131" s="3"/>
      <c r="TV131" s="3"/>
      <c r="TW131" s="3"/>
      <c r="TX131" s="3"/>
      <c r="TY131" s="3"/>
      <c r="TZ131" s="3"/>
      <c r="UA131" s="3"/>
      <c r="UB131" s="3"/>
      <c r="UC131" s="3"/>
      <c r="UD131" s="3"/>
      <c r="UE131" s="3"/>
      <c r="UF131" s="3"/>
      <c r="UG131" s="3"/>
      <c r="UH131" s="3"/>
      <c r="UI131" s="3"/>
      <c r="UJ131" s="3"/>
      <c r="UK131" s="3"/>
      <c r="UL131" s="3"/>
      <c r="UM131" s="3"/>
      <c r="UN131" s="3"/>
      <c r="UO131" s="3"/>
      <c r="UP131" s="3"/>
      <c r="UQ131" s="3"/>
      <c r="UR131" s="3"/>
      <c r="US131" s="3"/>
      <c r="UT131" s="3"/>
      <c r="UU131" s="3"/>
      <c r="UV131" s="3"/>
      <c r="UW131" s="3"/>
      <c r="UX131" s="3"/>
      <c r="UY131" s="3"/>
      <c r="UZ131" s="3"/>
      <c r="VA131" s="3"/>
      <c r="VB131" s="3"/>
      <c r="VC131" s="3"/>
      <c r="VD131" s="3"/>
      <c r="VE131" s="3"/>
      <c r="VF131" s="3"/>
      <c r="VG131" s="3"/>
      <c r="VH131" s="3"/>
      <c r="VI131" s="3"/>
      <c r="VJ131" s="3"/>
      <c r="VK131" s="3"/>
      <c r="VL131" s="3"/>
      <c r="VM131" s="3"/>
      <c r="VN131" s="3"/>
      <c r="VO131" s="3"/>
      <c r="VP131" s="3"/>
      <c r="VQ131" s="3"/>
      <c r="VR131" s="3"/>
      <c r="VS131" s="3"/>
      <c r="VT131" s="3"/>
      <c r="VU131" s="3"/>
      <c r="VV131" s="3"/>
      <c r="VW131" s="3"/>
      <c r="VX131" s="3"/>
      <c r="VY131" s="3"/>
      <c r="VZ131" s="3"/>
      <c r="WA131" s="3"/>
      <c r="WB131" s="3"/>
      <c r="WC131" s="3"/>
      <c r="WD131" s="3"/>
      <c r="WE131" s="3"/>
      <c r="WF131" s="3"/>
      <c r="WG131" s="3"/>
      <c r="WH131" s="3"/>
      <c r="WI131" s="3"/>
      <c r="WJ131" s="3"/>
      <c r="WK131" s="3"/>
      <c r="WL131" s="3"/>
      <c r="WM131" s="3"/>
      <c r="WN131" s="3"/>
      <c r="WO131" s="3"/>
      <c r="WP131" s="3"/>
      <c r="WQ131" s="3"/>
      <c r="WR131" s="3"/>
      <c r="WS131" s="3"/>
      <c r="WT131" s="3"/>
      <c r="WU131" s="3"/>
      <c r="WV131" s="3"/>
      <c r="WW131" s="3"/>
      <c r="WX131" s="3"/>
      <c r="WY131" s="3"/>
      <c r="WZ131" s="3"/>
      <c r="XA131" s="3"/>
      <c r="XB131" s="3"/>
      <c r="XC131" s="3"/>
      <c r="XD131" s="3"/>
      <c r="XE131" s="3"/>
      <c r="XF131" s="3"/>
      <c r="XG131" s="3"/>
      <c r="XH131" s="3"/>
      <c r="XI131" s="3"/>
      <c r="XJ131" s="3"/>
      <c r="XK131" s="3"/>
      <c r="XL131" s="3"/>
      <c r="XM131" s="3"/>
      <c r="XN131" s="3"/>
      <c r="XO131" s="3"/>
      <c r="XP131" s="3"/>
      <c r="XQ131" s="3"/>
      <c r="XR131" s="3"/>
      <c r="XS131" s="3"/>
      <c r="XT131" s="3"/>
      <c r="XU131" s="3"/>
      <c r="XV131" s="3"/>
      <c r="XW131" s="3"/>
      <c r="XX131" s="3"/>
      <c r="XY131" s="3"/>
      <c r="XZ131" s="3"/>
      <c r="YA131" s="3"/>
      <c r="YB131" s="3"/>
      <c r="YC131" s="3"/>
      <c r="YD131" s="3"/>
      <c r="YE131" s="3"/>
      <c r="YF131" s="3"/>
      <c r="YG131" s="3"/>
      <c r="YH131" s="3"/>
      <c r="YI131" s="3"/>
      <c r="YJ131" s="3"/>
      <c r="YK131" s="3"/>
      <c r="YL131" s="3"/>
      <c r="YM131" s="3"/>
      <c r="YN131" s="3"/>
      <c r="YO131" s="3"/>
      <c r="YP131" s="3"/>
      <c r="YQ131" s="3"/>
      <c r="YR131" s="3"/>
      <c r="YS131" s="3"/>
      <c r="YT131" s="3"/>
      <c r="YU131" s="3"/>
      <c r="YV131" s="3"/>
      <c r="YW131" s="3"/>
      <c r="YX131" s="3"/>
      <c r="YY131" s="3"/>
      <c r="YZ131" s="3"/>
      <c r="ZA131" s="3"/>
      <c r="ZB131" s="3"/>
      <c r="ZC131" s="3"/>
    </row>
    <row r="132" spans="1:679" s="2" customFormat="1" x14ac:dyDescent="0.45">
      <c r="A132" s="3" t="s">
        <v>11</v>
      </c>
      <c r="B132" s="4">
        <v>34180</v>
      </c>
      <c r="C132" s="7" t="s">
        <v>25</v>
      </c>
      <c r="D132" s="6" t="s">
        <v>147</v>
      </c>
      <c r="E132" s="3"/>
      <c r="F132" s="3">
        <v>12</v>
      </c>
      <c r="L132" s="3"/>
      <c r="M132" s="3"/>
      <c r="N132" s="48"/>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c r="DQ132" s="3"/>
      <c r="DR132" s="3"/>
      <c r="DS132" s="3"/>
      <c r="DT132" s="3"/>
      <c r="DU132" s="3"/>
      <c r="DV132" s="3"/>
      <c r="DW132" s="3"/>
      <c r="DX132" s="3"/>
      <c r="DY132" s="3"/>
      <c r="DZ132" s="3"/>
      <c r="EA132" s="3"/>
      <c r="EB132" s="3"/>
      <c r="EC132" s="3"/>
      <c r="ED132" s="3"/>
      <c r="EE132" s="3"/>
      <c r="EF132" s="3"/>
      <c r="EG132" s="3"/>
      <c r="EH132" s="3"/>
      <c r="EI132" s="3"/>
      <c r="EJ132" s="3"/>
      <c r="EK132" s="3"/>
      <c r="EL132" s="3"/>
      <c r="EM132" s="3"/>
      <c r="EN132" s="3"/>
      <c r="EO132" s="3"/>
      <c r="EP132" s="3"/>
      <c r="EQ132" s="3"/>
      <c r="ER132" s="3"/>
      <c r="ES132" s="3"/>
      <c r="ET132" s="3"/>
      <c r="EU132" s="3"/>
      <c r="EV132" s="3"/>
      <c r="EW132" s="3"/>
      <c r="EX132" s="3"/>
      <c r="EY132" s="3"/>
      <c r="EZ132" s="3"/>
      <c r="FA132" s="3"/>
      <c r="FB132" s="3"/>
      <c r="FC132" s="3"/>
      <c r="FD132" s="3"/>
      <c r="FE132" s="3"/>
      <c r="FF132" s="3"/>
      <c r="FG132" s="3"/>
      <c r="FH132" s="3"/>
      <c r="FI132" s="3"/>
      <c r="FJ132" s="3"/>
      <c r="FK132" s="3"/>
      <c r="FL132" s="3"/>
      <c r="FM132" s="3"/>
      <c r="FN132" s="3"/>
      <c r="FO132" s="3"/>
      <c r="FP132" s="3"/>
      <c r="FQ132" s="3"/>
      <c r="FR132" s="3"/>
      <c r="FS132" s="3"/>
      <c r="FT132" s="3"/>
      <c r="FU132" s="3"/>
      <c r="FV132" s="3"/>
      <c r="FW132" s="3"/>
      <c r="FX132" s="3"/>
      <c r="FY132" s="3"/>
      <c r="FZ132" s="3"/>
      <c r="GA132" s="3"/>
      <c r="GB132" s="3"/>
      <c r="GC132" s="3"/>
      <c r="GD132" s="3"/>
      <c r="GE132" s="3"/>
      <c r="GF132" s="3"/>
      <c r="GG132" s="3"/>
      <c r="GH132" s="3"/>
      <c r="GI132" s="3"/>
      <c r="GJ132" s="3"/>
      <c r="GK132" s="3"/>
      <c r="GL132" s="3"/>
      <c r="GM132" s="3"/>
      <c r="GN132" s="3"/>
      <c r="GO132" s="3"/>
      <c r="GP132" s="3"/>
      <c r="GQ132" s="3"/>
      <c r="GR132" s="3"/>
      <c r="GS132" s="3"/>
      <c r="GT132" s="3"/>
      <c r="GU132" s="3"/>
      <c r="GV132" s="3"/>
      <c r="GW132" s="3"/>
      <c r="GX132" s="3"/>
      <c r="GY132" s="3"/>
      <c r="GZ132" s="3"/>
      <c r="HA132" s="3"/>
      <c r="HB132" s="3"/>
      <c r="HC132" s="3"/>
      <c r="HD132" s="3"/>
      <c r="HE132" s="3"/>
      <c r="HF132" s="3"/>
      <c r="HG132" s="3"/>
      <c r="HH132" s="3"/>
      <c r="HI132" s="3"/>
      <c r="HJ132" s="3"/>
      <c r="HK132" s="3"/>
      <c r="HL132" s="3"/>
      <c r="HM132" s="3"/>
      <c r="HN132" s="3"/>
      <c r="HO132" s="3"/>
      <c r="HP132" s="3"/>
      <c r="HQ132" s="3"/>
      <c r="HR132" s="3"/>
      <c r="HS132" s="3"/>
      <c r="HT132" s="3"/>
      <c r="HU132" s="3"/>
      <c r="HV132" s="3"/>
      <c r="HW132" s="3"/>
      <c r="HX132" s="3"/>
      <c r="HY132" s="3"/>
      <c r="HZ132" s="3"/>
      <c r="IA132" s="3"/>
      <c r="IB132" s="3"/>
      <c r="IC132" s="3"/>
      <c r="ID132" s="3"/>
      <c r="IE132" s="3"/>
      <c r="IF132" s="3"/>
      <c r="IG132" s="3"/>
      <c r="IH132" s="3"/>
      <c r="II132" s="3"/>
      <c r="IJ132" s="3"/>
      <c r="IK132" s="3"/>
      <c r="IL132" s="3"/>
      <c r="IM132" s="3"/>
      <c r="IN132" s="3"/>
      <c r="IO132" s="3"/>
      <c r="IP132" s="3"/>
      <c r="IQ132" s="3"/>
      <c r="IR132" s="3"/>
      <c r="IS132" s="3"/>
      <c r="IT132" s="3"/>
      <c r="IU132" s="3"/>
      <c r="IV132" s="3"/>
      <c r="IW132" s="3"/>
      <c r="IX132" s="3"/>
      <c r="IY132" s="3"/>
      <c r="IZ132" s="3"/>
      <c r="JA132" s="3"/>
      <c r="JB132" s="3"/>
      <c r="JC132" s="3"/>
      <c r="JD132" s="3"/>
      <c r="JE132" s="3"/>
      <c r="JF132" s="3"/>
      <c r="JG132" s="3"/>
      <c r="JH132" s="3"/>
      <c r="JI132" s="3"/>
      <c r="JJ132" s="3"/>
      <c r="JK132" s="3"/>
      <c r="JL132" s="3"/>
      <c r="JM132" s="3"/>
      <c r="JN132" s="3"/>
      <c r="JO132" s="3"/>
      <c r="JP132" s="3"/>
      <c r="JQ132" s="3"/>
      <c r="JR132" s="3"/>
      <c r="JS132" s="3"/>
      <c r="JT132" s="3"/>
      <c r="JU132" s="3"/>
      <c r="JV132" s="3"/>
      <c r="JW132" s="3"/>
      <c r="JX132" s="3"/>
      <c r="JY132" s="3"/>
      <c r="JZ132" s="3"/>
      <c r="KA132" s="3"/>
      <c r="KB132" s="3"/>
      <c r="KC132" s="3"/>
      <c r="KD132" s="3"/>
      <c r="KE132" s="3"/>
      <c r="KF132" s="3"/>
      <c r="KG132" s="3"/>
      <c r="KH132" s="3"/>
      <c r="KI132" s="3"/>
      <c r="KJ132" s="3"/>
      <c r="KK132" s="3"/>
      <c r="KL132" s="3"/>
      <c r="KM132" s="3"/>
      <c r="KN132" s="3"/>
      <c r="KO132" s="3"/>
      <c r="KP132" s="3"/>
      <c r="KQ132" s="3"/>
      <c r="KR132" s="3"/>
      <c r="KS132" s="3"/>
      <c r="KT132" s="3"/>
      <c r="KU132" s="3"/>
      <c r="KV132" s="3"/>
      <c r="KW132" s="3"/>
      <c r="KX132" s="3"/>
      <c r="KY132" s="3"/>
      <c r="KZ132" s="3"/>
      <c r="LA132" s="3"/>
      <c r="LB132" s="3"/>
      <c r="LC132" s="3"/>
      <c r="LD132" s="3"/>
      <c r="LE132" s="3"/>
      <c r="LF132" s="3"/>
      <c r="LG132" s="3"/>
      <c r="LH132" s="3"/>
      <c r="LI132" s="3"/>
      <c r="LJ132" s="3"/>
      <c r="LK132" s="3"/>
      <c r="LL132" s="3"/>
      <c r="LM132" s="3"/>
      <c r="LN132" s="3"/>
      <c r="LO132" s="3"/>
      <c r="LP132" s="3"/>
      <c r="LQ132" s="3"/>
      <c r="LR132" s="3"/>
      <c r="LS132" s="3"/>
      <c r="LT132" s="3"/>
      <c r="LU132" s="3"/>
      <c r="LV132" s="3"/>
      <c r="LW132" s="3"/>
      <c r="LX132" s="3"/>
      <c r="LY132" s="3"/>
      <c r="LZ132" s="3"/>
      <c r="MA132" s="3"/>
      <c r="MB132" s="3"/>
      <c r="MC132" s="3"/>
      <c r="MD132" s="3"/>
      <c r="ME132" s="3"/>
      <c r="MF132" s="3"/>
      <c r="MG132" s="3"/>
      <c r="MH132" s="3"/>
      <c r="MI132" s="3"/>
      <c r="MJ132" s="3"/>
      <c r="MK132" s="3"/>
      <c r="ML132" s="3"/>
      <c r="MM132" s="3"/>
      <c r="MN132" s="3"/>
      <c r="MO132" s="3"/>
      <c r="MP132" s="3"/>
      <c r="MQ132" s="3"/>
      <c r="MR132" s="3"/>
      <c r="MS132" s="3"/>
      <c r="MT132" s="3"/>
      <c r="MU132" s="3"/>
      <c r="MV132" s="3"/>
      <c r="MW132" s="3"/>
      <c r="MX132" s="3"/>
      <c r="MY132" s="3"/>
      <c r="MZ132" s="3"/>
      <c r="NA132" s="3"/>
      <c r="NB132" s="3"/>
      <c r="NC132" s="3"/>
      <c r="ND132" s="3"/>
      <c r="NE132" s="3"/>
      <c r="NF132" s="3"/>
      <c r="NG132" s="3"/>
      <c r="NH132" s="3"/>
      <c r="NI132" s="3"/>
      <c r="NJ132" s="3"/>
      <c r="NK132" s="3"/>
      <c r="NL132" s="3"/>
      <c r="NM132" s="3"/>
      <c r="NN132" s="3"/>
      <c r="NO132" s="3"/>
      <c r="NP132" s="3"/>
      <c r="NQ132" s="3"/>
      <c r="NR132" s="3"/>
      <c r="NS132" s="3"/>
      <c r="NT132" s="3"/>
      <c r="NU132" s="3"/>
      <c r="NV132" s="3"/>
      <c r="NW132" s="3"/>
      <c r="NX132" s="3"/>
      <c r="NY132" s="3"/>
      <c r="NZ132" s="3"/>
      <c r="OA132" s="3"/>
      <c r="OB132" s="3"/>
      <c r="OC132" s="3"/>
      <c r="OD132" s="3"/>
      <c r="OE132" s="3"/>
      <c r="OF132" s="3"/>
      <c r="OG132" s="3"/>
      <c r="OH132" s="3"/>
      <c r="OI132" s="3"/>
      <c r="OJ132" s="3"/>
      <c r="OK132" s="3"/>
      <c r="OL132" s="3"/>
      <c r="OM132" s="3"/>
      <c r="ON132" s="3"/>
      <c r="OO132" s="3"/>
      <c r="OP132" s="3"/>
      <c r="OQ132" s="3"/>
      <c r="OR132" s="3"/>
      <c r="OS132" s="3"/>
      <c r="OT132" s="3"/>
      <c r="OU132" s="3"/>
      <c r="OV132" s="3"/>
      <c r="OW132" s="3"/>
      <c r="OX132" s="3"/>
      <c r="OY132" s="3"/>
      <c r="OZ132" s="3"/>
      <c r="PA132" s="3"/>
      <c r="PB132" s="3"/>
      <c r="PC132" s="3"/>
      <c r="PD132" s="3"/>
      <c r="PE132" s="3"/>
      <c r="PF132" s="3"/>
      <c r="PG132" s="3"/>
      <c r="PH132" s="3"/>
      <c r="PI132" s="3"/>
      <c r="PJ132" s="3"/>
      <c r="PK132" s="3"/>
      <c r="PL132" s="3"/>
      <c r="PM132" s="3"/>
      <c r="PN132" s="3"/>
      <c r="PO132" s="3"/>
      <c r="PP132" s="3"/>
      <c r="PQ132" s="3"/>
      <c r="PR132" s="3"/>
      <c r="PS132" s="3"/>
      <c r="PT132" s="3"/>
      <c r="PU132" s="3"/>
      <c r="PV132" s="3"/>
      <c r="PW132" s="3"/>
      <c r="PX132" s="3"/>
      <c r="PY132" s="3"/>
      <c r="PZ132" s="3"/>
      <c r="QA132" s="3"/>
      <c r="QB132" s="3"/>
      <c r="QC132" s="3"/>
      <c r="QD132" s="3"/>
      <c r="QE132" s="3"/>
      <c r="QF132" s="3"/>
      <c r="QG132" s="3"/>
      <c r="QH132" s="3"/>
      <c r="QI132" s="3"/>
      <c r="QJ132" s="3"/>
      <c r="QK132" s="3"/>
      <c r="QL132" s="3"/>
      <c r="QM132" s="3"/>
      <c r="QN132" s="3"/>
      <c r="QO132" s="3"/>
      <c r="QP132" s="3"/>
      <c r="QQ132" s="3"/>
      <c r="QR132" s="3"/>
      <c r="QS132" s="3"/>
      <c r="QT132" s="3"/>
      <c r="QU132" s="3"/>
      <c r="QV132" s="3"/>
      <c r="QW132" s="3"/>
      <c r="QX132" s="3"/>
      <c r="QY132" s="3"/>
      <c r="QZ132" s="3"/>
      <c r="RA132" s="3"/>
      <c r="RB132" s="3"/>
      <c r="RC132" s="3"/>
      <c r="RD132" s="3"/>
      <c r="RE132" s="3"/>
      <c r="RF132" s="3"/>
      <c r="RG132" s="3"/>
      <c r="RH132" s="3"/>
      <c r="RI132" s="3"/>
      <c r="RJ132" s="3"/>
      <c r="RK132" s="3"/>
      <c r="RL132" s="3"/>
      <c r="RM132" s="3"/>
      <c r="RN132" s="3"/>
      <c r="RO132" s="3"/>
      <c r="RP132" s="3"/>
      <c r="RQ132" s="3"/>
      <c r="RR132" s="3"/>
      <c r="RS132" s="3"/>
      <c r="RT132" s="3"/>
      <c r="RU132" s="3"/>
      <c r="RV132" s="3"/>
      <c r="RW132" s="3"/>
      <c r="RX132" s="3"/>
      <c r="RY132" s="3"/>
      <c r="RZ132" s="3"/>
      <c r="SA132" s="3"/>
      <c r="SB132" s="3"/>
      <c r="SC132" s="3"/>
      <c r="SD132" s="3"/>
      <c r="SE132" s="3"/>
      <c r="SF132" s="3"/>
      <c r="SG132" s="3"/>
      <c r="SH132" s="3"/>
      <c r="SI132" s="3"/>
      <c r="SJ132" s="3"/>
      <c r="SK132" s="3"/>
      <c r="SL132" s="3"/>
      <c r="SM132" s="3"/>
      <c r="SN132" s="3"/>
      <c r="SO132" s="3"/>
      <c r="SP132" s="3"/>
      <c r="SQ132" s="3"/>
      <c r="SR132" s="3"/>
      <c r="SS132" s="3"/>
      <c r="ST132" s="3"/>
      <c r="SU132" s="3"/>
      <c r="SV132" s="3"/>
      <c r="SW132" s="3"/>
      <c r="SX132" s="3"/>
      <c r="SY132" s="3"/>
      <c r="SZ132" s="3"/>
      <c r="TA132" s="3"/>
      <c r="TB132" s="3"/>
      <c r="TC132" s="3"/>
      <c r="TD132" s="3"/>
      <c r="TE132" s="3"/>
      <c r="TF132" s="3"/>
      <c r="TG132" s="3"/>
      <c r="TH132" s="3"/>
      <c r="TI132" s="3"/>
      <c r="TJ132" s="3"/>
      <c r="TK132" s="3"/>
      <c r="TL132" s="3"/>
      <c r="TM132" s="3"/>
      <c r="TN132" s="3"/>
      <c r="TO132" s="3"/>
      <c r="TP132" s="3"/>
      <c r="TQ132" s="3"/>
      <c r="TR132" s="3"/>
      <c r="TS132" s="3"/>
      <c r="TT132" s="3"/>
      <c r="TU132" s="3"/>
      <c r="TV132" s="3"/>
      <c r="TW132" s="3"/>
      <c r="TX132" s="3"/>
      <c r="TY132" s="3"/>
      <c r="TZ132" s="3"/>
      <c r="UA132" s="3"/>
      <c r="UB132" s="3"/>
      <c r="UC132" s="3"/>
      <c r="UD132" s="3"/>
      <c r="UE132" s="3"/>
      <c r="UF132" s="3"/>
      <c r="UG132" s="3"/>
      <c r="UH132" s="3"/>
      <c r="UI132" s="3"/>
      <c r="UJ132" s="3"/>
      <c r="UK132" s="3"/>
      <c r="UL132" s="3"/>
      <c r="UM132" s="3"/>
      <c r="UN132" s="3"/>
      <c r="UO132" s="3"/>
      <c r="UP132" s="3"/>
      <c r="UQ132" s="3"/>
      <c r="UR132" s="3"/>
      <c r="US132" s="3"/>
      <c r="UT132" s="3"/>
      <c r="UU132" s="3"/>
      <c r="UV132" s="3"/>
      <c r="UW132" s="3"/>
      <c r="UX132" s="3"/>
      <c r="UY132" s="3"/>
      <c r="UZ132" s="3"/>
      <c r="VA132" s="3"/>
      <c r="VB132" s="3"/>
      <c r="VC132" s="3"/>
      <c r="VD132" s="3"/>
      <c r="VE132" s="3"/>
      <c r="VF132" s="3"/>
      <c r="VG132" s="3"/>
      <c r="VH132" s="3"/>
      <c r="VI132" s="3"/>
      <c r="VJ132" s="3"/>
      <c r="VK132" s="3"/>
      <c r="VL132" s="3"/>
      <c r="VM132" s="3"/>
      <c r="VN132" s="3"/>
      <c r="VO132" s="3"/>
      <c r="VP132" s="3"/>
      <c r="VQ132" s="3"/>
      <c r="VR132" s="3"/>
      <c r="VS132" s="3"/>
      <c r="VT132" s="3"/>
      <c r="VU132" s="3"/>
      <c r="VV132" s="3"/>
      <c r="VW132" s="3"/>
      <c r="VX132" s="3"/>
      <c r="VY132" s="3"/>
      <c r="VZ132" s="3"/>
      <c r="WA132" s="3"/>
      <c r="WB132" s="3"/>
      <c r="WC132" s="3"/>
      <c r="WD132" s="3"/>
      <c r="WE132" s="3"/>
      <c r="WF132" s="3"/>
      <c r="WG132" s="3"/>
      <c r="WH132" s="3"/>
      <c r="WI132" s="3"/>
      <c r="WJ132" s="3"/>
      <c r="WK132" s="3"/>
      <c r="WL132" s="3"/>
      <c r="WM132" s="3"/>
      <c r="WN132" s="3"/>
      <c r="WO132" s="3"/>
      <c r="WP132" s="3"/>
      <c r="WQ132" s="3"/>
      <c r="WR132" s="3"/>
      <c r="WS132" s="3"/>
      <c r="WT132" s="3"/>
      <c r="WU132" s="3"/>
      <c r="WV132" s="3"/>
      <c r="WW132" s="3"/>
      <c r="WX132" s="3"/>
      <c r="WY132" s="3"/>
      <c r="WZ132" s="3"/>
      <c r="XA132" s="3"/>
      <c r="XB132" s="3"/>
      <c r="XC132" s="3"/>
      <c r="XD132" s="3"/>
      <c r="XE132" s="3"/>
      <c r="XF132" s="3"/>
      <c r="XG132" s="3"/>
      <c r="XH132" s="3"/>
      <c r="XI132" s="3"/>
      <c r="XJ132" s="3"/>
      <c r="XK132" s="3"/>
      <c r="XL132" s="3"/>
      <c r="XM132" s="3"/>
      <c r="XN132" s="3"/>
      <c r="XO132" s="3"/>
      <c r="XP132" s="3"/>
      <c r="XQ132" s="3"/>
      <c r="XR132" s="3"/>
      <c r="XS132" s="3"/>
      <c r="XT132" s="3"/>
      <c r="XU132" s="3"/>
      <c r="XV132" s="3"/>
      <c r="XW132" s="3"/>
      <c r="XX132" s="3"/>
      <c r="XY132" s="3"/>
      <c r="XZ132" s="3"/>
      <c r="YA132" s="3"/>
      <c r="YB132" s="3"/>
      <c r="YC132" s="3"/>
      <c r="YD132" s="3"/>
      <c r="YE132" s="3"/>
      <c r="YF132" s="3"/>
      <c r="YG132" s="3"/>
      <c r="YH132" s="3"/>
      <c r="YI132" s="3"/>
      <c r="YJ132" s="3"/>
      <c r="YK132" s="3"/>
      <c r="YL132" s="3"/>
      <c r="YM132" s="3"/>
      <c r="YN132" s="3"/>
      <c r="YO132" s="3"/>
      <c r="YP132" s="3"/>
      <c r="YQ132" s="3"/>
      <c r="YR132" s="3"/>
      <c r="YS132" s="3"/>
      <c r="YT132" s="3"/>
      <c r="YU132" s="3"/>
      <c r="YV132" s="3"/>
      <c r="YW132" s="3"/>
      <c r="YX132" s="3"/>
      <c r="YY132" s="3"/>
      <c r="YZ132" s="3"/>
      <c r="ZA132" s="3"/>
      <c r="ZB132" s="3"/>
      <c r="ZC132" s="3"/>
    </row>
    <row r="133" spans="1:679" s="2" customFormat="1" x14ac:dyDescent="0.45">
      <c r="A133" s="3" t="s">
        <v>11</v>
      </c>
      <c r="B133" s="4">
        <v>34207</v>
      </c>
      <c r="C133" s="7" t="s">
        <v>25</v>
      </c>
      <c r="D133" s="6" t="s">
        <v>148</v>
      </c>
      <c r="E133" s="3"/>
      <c r="F133" s="3">
        <v>2</v>
      </c>
      <c r="L133" s="3"/>
      <c r="M133" s="3"/>
      <c r="N133" s="48"/>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c r="DI133" s="3"/>
      <c r="DJ133" s="3"/>
      <c r="DK133" s="3"/>
      <c r="DL133" s="3"/>
      <c r="DM133" s="3"/>
      <c r="DN133" s="3"/>
      <c r="DO133" s="3"/>
      <c r="DP133" s="3"/>
      <c r="DQ133" s="3"/>
      <c r="DR133" s="3"/>
      <c r="DS133" s="3"/>
      <c r="DT133" s="3"/>
      <c r="DU133" s="3"/>
      <c r="DV133" s="3"/>
      <c r="DW133" s="3"/>
      <c r="DX133" s="3"/>
      <c r="DY133" s="3"/>
      <c r="DZ133" s="3"/>
      <c r="EA133" s="3"/>
      <c r="EB133" s="3"/>
      <c r="EC133" s="3"/>
      <c r="ED133" s="3"/>
      <c r="EE133" s="3"/>
      <c r="EF133" s="3"/>
      <c r="EG133" s="3"/>
      <c r="EH133" s="3"/>
      <c r="EI133" s="3"/>
      <c r="EJ133" s="3"/>
      <c r="EK133" s="3"/>
      <c r="EL133" s="3"/>
      <c r="EM133" s="3"/>
      <c r="EN133" s="3"/>
      <c r="EO133" s="3"/>
      <c r="EP133" s="3"/>
      <c r="EQ133" s="3"/>
      <c r="ER133" s="3"/>
      <c r="ES133" s="3"/>
      <c r="ET133" s="3"/>
      <c r="EU133" s="3"/>
      <c r="EV133" s="3"/>
      <c r="EW133" s="3"/>
      <c r="EX133" s="3"/>
      <c r="EY133" s="3"/>
      <c r="EZ133" s="3"/>
      <c r="FA133" s="3"/>
      <c r="FB133" s="3"/>
      <c r="FC133" s="3"/>
      <c r="FD133" s="3"/>
      <c r="FE133" s="3"/>
      <c r="FF133" s="3"/>
      <c r="FG133" s="3"/>
      <c r="FH133" s="3"/>
      <c r="FI133" s="3"/>
      <c r="FJ133" s="3"/>
      <c r="FK133" s="3"/>
      <c r="FL133" s="3"/>
      <c r="FM133" s="3"/>
      <c r="FN133" s="3"/>
      <c r="FO133" s="3"/>
      <c r="FP133" s="3"/>
      <c r="FQ133" s="3"/>
      <c r="FR133" s="3"/>
      <c r="FS133" s="3"/>
      <c r="FT133" s="3"/>
      <c r="FU133" s="3"/>
      <c r="FV133" s="3"/>
      <c r="FW133" s="3"/>
      <c r="FX133" s="3"/>
      <c r="FY133" s="3"/>
      <c r="FZ133" s="3"/>
      <c r="GA133" s="3"/>
      <c r="GB133" s="3"/>
      <c r="GC133" s="3"/>
      <c r="GD133" s="3"/>
      <c r="GE133" s="3"/>
      <c r="GF133" s="3"/>
      <c r="GG133" s="3"/>
      <c r="GH133" s="3"/>
      <c r="GI133" s="3"/>
      <c r="GJ133" s="3"/>
      <c r="GK133" s="3"/>
      <c r="GL133" s="3"/>
      <c r="GM133" s="3"/>
      <c r="GN133" s="3"/>
      <c r="GO133" s="3"/>
      <c r="GP133" s="3"/>
      <c r="GQ133" s="3"/>
      <c r="GR133" s="3"/>
      <c r="GS133" s="3"/>
      <c r="GT133" s="3"/>
      <c r="GU133" s="3"/>
      <c r="GV133" s="3"/>
      <c r="GW133" s="3"/>
      <c r="GX133" s="3"/>
      <c r="GY133" s="3"/>
      <c r="GZ133" s="3"/>
      <c r="HA133" s="3"/>
      <c r="HB133" s="3"/>
      <c r="HC133" s="3"/>
      <c r="HD133" s="3"/>
      <c r="HE133" s="3"/>
      <c r="HF133" s="3"/>
      <c r="HG133" s="3"/>
      <c r="HH133" s="3"/>
      <c r="HI133" s="3"/>
      <c r="HJ133" s="3"/>
      <c r="HK133" s="3"/>
      <c r="HL133" s="3"/>
      <c r="HM133" s="3"/>
      <c r="HN133" s="3"/>
      <c r="HO133" s="3"/>
      <c r="HP133" s="3"/>
      <c r="HQ133" s="3"/>
      <c r="HR133" s="3"/>
      <c r="HS133" s="3"/>
      <c r="HT133" s="3"/>
      <c r="HU133" s="3"/>
      <c r="HV133" s="3"/>
      <c r="HW133" s="3"/>
      <c r="HX133" s="3"/>
      <c r="HY133" s="3"/>
      <c r="HZ133" s="3"/>
      <c r="IA133" s="3"/>
      <c r="IB133" s="3"/>
      <c r="IC133" s="3"/>
      <c r="ID133" s="3"/>
      <c r="IE133" s="3"/>
      <c r="IF133" s="3"/>
      <c r="IG133" s="3"/>
      <c r="IH133" s="3"/>
      <c r="II133" s="3"/>
      <c r="IJ133" s="3"/>
      <c r="IK133" s="3"/>
      <c r="IL133" s="3"/>
      <c r="IM133" s="3"/>
      <c r="IN133" s="3"/>
      <c r="IO133" s="3"/>
      <c r="IP133" s="3"/>
      <c r="IQ133" s="3"/>
      <c r="IR133" s="3"/>
      <c r="IS133" s="3"/>
      <c r="IT133" s="3"/>
      <c r="IU133" s="3"/>
      <c r="IV133" s="3"/>
      <c r="IW133" s="3"/>
      <c r="IX133" s="3"/>
      <c r="IY133" s="3"/>
      <c r="IZ133" s="3"/>
      <c r="JA133" s="3"/>
      <c r="JB133" s="3"/>
      <c r="JC133" s="3"/>
      <c r="JD133" s="3"/>
      <c r="JE133" s="3"/>
      <c r="JF133" s="3"/>
      <c r="JG133" s="3"/>
      <c r="JH133" s="3"/>
      <c r="JI133" s="3"/>
      <c r="JJ133" s="3"/>
      <c r="JK133" s="3"/>
      <c r="JL133" s="3"/>
      <c r="JM133" s="3"/>
      <c r="JN133" s="3"/>
      <c r="JO133" s="3"/>
      <c r="JP133" s="3"/>
      <c r="JQ133" s="3"/>
      <c r="JR133" s="3"/>
      <c r="JS133" s="3"/>
      <c r="JT133" s="3"/>
      <c r="JU133" s="3"/>
      <c r="JV133" s="3"/>
      <c r="JW133" s="3"/>
      <c r="JX133" s="3"/>
      <c r="JY133" s="3"/>
      <c r="JZ133" s="3"/>
      <c r="KA133" s="3"/>
      <c r="KB133" s="3"/>
      <c r="KC133" s="3"/>
      <c r="KD133" s="3"/>
      <c r="KE133" s="3"/>
      <c r="KF133" s="3"/>
      <c r="KG133" s="3"/>
      <c r="KH133" s="3"/>
      <c r="KI133" s="3"/>
      <c r="KJ133" s="3"/>
      <c r="KK133" s="3"/>
      <c r="KL133" s="3"/>
      <c r="KM133" s="3"/>
      <c r="KN133" s="3"/>
      <c r="KO133" s="3"/>
      <c r="KP133" s="3"/>
      <c r="KQ133" s="3"/>
      <c r="KR133" s="3"/>
      <c r="KS133" s="3"/>
      <c r="KT133" s="3"/>
      <c r="KU133" s="3"/>
      <c r="KV133" s="3"/>
      <c r="KW133" s="3"/>
      <c r="KX133" s="3"/>
      <c r="KY133" s="3"/>
      <c r="KZ133" s="3"/>
      <c r="LA133" s="3"/>
      <c r="LB133" s="3"/>
      <c r="LC133" s="3"/>
      <c r="LD133" s="3"/>
      <c r="LE133" s="3"/>
      <c r="LF133" s="3"/>
      <c r="LG133" s="3"/>
      <c r="LH133" s="3"/>
      <c r="LI133" s="3"/>
      <c r="LJ133" s="3"/>
      <c r="LK133" s="3"/>
      <c r="LL133" s="3"/>
      <c r="LM133" s="3"/>
      <c r="LN133" s="3"/>
      <c r="LO133" s="3"/>
      <c r="LP133" s="3"/>
      <c r="LQ133" s="3"/>
      <c r="LR133" s="3"/>
      <c r="LS133" s="3"/>
      <c r="LT133" s="3"/>
      <c r="LU133" s="3"/>
      <c r="LV133" s="3"/>
      <c r="LW133" s="3"/>
      <c r="LX133" s="3"/>
      <c r="LY133" s="3"/>
      <c r="LZ133" s="3"/>
      <c r="MA133" s="3"/>
      <c r="MB133" s="3"/>
      <c r="MC133" s="3"/>
      <c r="MD133" s="3"/>
      <c r="ME133" s="3"/>
      <c r="MF133" s="3"/>
      <c r="MG133" s="3"/>
      <c r="MH133" s="3"/>
      <c r="MI133" s="3"/>
      <c r="MJ133" s="3"/>
      <c r="MK133" s="3"/>
      <c r="ML133" s="3"/>
      <c r="MM133" s="3"/>
      <c r="MN133" s="3"/>
      <c r="MO133" s="3"/>
      <c r="MP133" s="3"/>
      <c r="MQ133" s="3"/>
      <c r="MR133" s="3"/>
      <c r="MS133" s="3"/>
      <c r="MT133" s="3"/>
      <c r="MU133" s="3"/>
      <c r="MV133" s="3"/>
      <c r="MW133" s="3"/>
      <c r="MX133" s="3"/>
      <c r="MY133" s="3"/>
      <c r="MZ133" s="3"/>
      <c r="NA133" s="3"/>
      <c r="NB133" s="3"/>
      <c r="NC133" s="3"/>
      <c r="ND133" s="3"/>
      <c r="NE133" s="3"/>
      <c r="NF133" s="3"/>
      <c r="NG133" s="3"/>
      <c r="NH133" s="3"/>
      <c r="NI133" s="3"/>
      <c r="NJ133" s="3"/>
      <c r="NK133" s="3"/>
      <c r="NL133" s="3"/>
      <c r="NM133" s="3"/>
      <c r="NN133" s="3"/>
      <c r="NO133" s="3"/>
      <c r="NP133" s="3"/>
      <c r="NQ133" s="3"/>
      <c r="NR133" s="3"/>
      <c r="NS133" s="3"/>
      <c r="NT133" s="3"/>
      <c r="NU133" s="3"/>
      <c r="NV133" s="3"/>
      <c r="NW133" s="3"/>
      <c r="NX133" s="3"/>
      <c r="NY133" s="3"/>
      <c r="NZ133" s="3"/>
      <c r="OA133" s="3"/>
      <c r="OB133" s="3"/>
      <c r="OC133" s="3"/>
      <c r="OD133" s="3"/>
      <c r="OE133" s="3"/>
      <c r="OF133" s="3"/>
      <c r="OG133" s="3"/>
      <c r="OH133" s="3"/>
      <c r="OI133" s="3"/>
      <c r="OJ133" s="3"/>
      <c r="OK133" s="3"/>
      <c r="OL133" s="3"/>
      <c r="OM133" s="3"/>
      <c r="ON133" s="3"/>
      <c r="OO133" s="3"/>
      <c r="OP133" s="3"/>
      <c r="OQ133" s="3"/>
      <c r="OR133" s="3"/>
      <c r="OS133" s="3"/>
      <c r="OT133" s="3"/>
      <c r="OU133" s="3"/>
      <c r="OV133" s="3"/>
      <c r="OW133" s="3"/>
      <c r="OX133" s="3"/>
      <c r="OY133" s="3"/>
      <c r="OZ133" s="3"/>
      <c r="PA133" s="3"/>
      <c r="PB133" s="3"/>
      <c r="PC133" s="3"/>
      <c r="PD133" s="3"/>
      <c r="PE133" s="3"/>
      <c r="PF133" s="3"/>
      <c r="PG133" s="3"/>
      <c r="PH133" s="3"/>
      <c r="PI133" s="3"/>
      <c r="PJ133" s="3"/>
      <c r="PK133" s="3"/>
      <c r="PL133" s="3"/>
      <c r="PM133" s="3"/>
      <c r="PN133" s="3"/>
      <c r="PO133" s="3"/>
      <c r="PP133" s="3"/>
      <c r="PQ133" s="3"/>
      <c r="PR133" s="3"/>
      <c r="PS133" s="3"/>
      <c r="PT133" s="3"/>
      <c r="PU133" s="3"/>
      <c r="PV133" s="3"/>
      <c r="PW133" s="3"/>
      <c r="PX133" s="3"/>
      <c r="PY133" s="3"/>
      <c r="PZ133" s="3"/>
      <c r="QA133" s="3"/>
      <c r="QB133" s="3"/>
      <c r="QC133" s="3"/>
      <c r="QD133" s="3"/>
      <c r="QE133" s="3"/>
      <c r="QF133" s="3"/>
      <c r="QG133" s="3"/>
      <c r="QH133" s="3"/>
      <c r="QI133" s="3"/>
      <c r="QJ133" s="3"/>
      <c r="QK133" s="3"/>
      <c r="QL133" s="3"/>
      <c r="QM133" s="3"/>
      <c r="QN133" s="3"/>
      <c r="QO133" s="3"/>
      <c r="QP133" s="3"/>
      <c r="QQ133" s="3"/>
      <c r="QR133" s="3"/>
      <c r="QS133" s="3"/>
      <c r="QT133" s="3"/>
      <c r="QU133" s="3"/>
      <c r="QV133" s="3"/>
      <c r="QW133" s="3"/>
      <c r="QX133" s="3"/>
      <c r="QY133" s="3"/>
      <c r="QZ133" s="3"/>
      <c r="RA133" s="3"/>
      <c r="RB133" s="3"/>
      <c r="RC133" s="3"/>
      <c r="RD133" s="3"/>
      <c r="RE133" s="3"/>
      <c r="RF133" s="3"/>
      <c r="RG133" s="3"/>
      <c r="RH133" s="3"/>
      <c r="RI133" s="3"/>
      <c r="RJ133" s="3"/>
      <c r="RK133" s="3"/>
      <c r="RL133" s="3"/>
      <c r="RM133" s="3"/>
      <c r="RN133" s="3"/>
      <c r="RO133" s="3"/>
      <c r="RP133" s="3"/>
      <c r="RQ133" s="3"/>
      <c r="RR133" s="3"/>
      <c r="RS133" s="3"/>
      <c r="RT133" s="3"/>
      <c r="RU133" s="3"/>
      <c r="RV133" s="3"/>
      <c r="RW133" s="3"/>
      <c r="RX133" s="3"/>
      <c r="RY133" s="3"/>
      <c r="RZ133" s="3"/>
      <c r="SA133" s="3"/>
      <c r="SB133" s="3"/>
      <c r="SC133" s="3"/>
      <c r="SD133" s="3"/>
      <c r="SE133" s="3"/>
      <c r="SF133" s="3"/>
      <c r="SG133" s="3"/>
      <c r="SH133" s="3"/>
      <c r="SI133" s="3"/>
      <c r="SJ133" s="3"/>
      <c r="SK133" s="3"/>
      <c r="SL133" s="3"/>
      <c r="SM133" s="3"/>
      <c r="SN133" s="3"/>
      <c r="SO133" s="3"/>
      <c r="SP133" s="3"/>
      <c r="SQ133" s="3"/>
      <c r="SR133" s="3"/>
      <c r="SS133" s="3"/>
      <c r="ST133" s="3"/>
      <c r="SU133" s="3"/>
      <c r="SV133" s="3"/>
      <c r="SW133" s="3"/>
      <c r="SX133" s="3"/>
      <c r="SY133" s="3"/>
      <c r="SZ133" s="3"/>
      <c r="TA133" s="3"/>
      <c r="TB133" s="3"/>
      <c r="TC133" s="3"/>
      <c r="TD133" s="3"/>
      <c r="TE133" s="3"/>
      <c r="TF133" s="3"/>
      <c r="TG133" s="3"/>
      <c r="TH133" s="3"/>
      <c r="TI133" s="3"/>
      <c r="TJ133" s="3"/>
      <c r="TK133" s="3"/>
      <c r="TL133" s="3"/>
      <c r="TM133" s="3"/>
      <c r="TN133" s="3"/>
      <c r="TO133" s="3"/>
      <c r="TP133" s="3"/>
      <c r="TQ133" s="3"/>
      <c r="TR133" s="3"/>
      <c r="TS133" s="3"/>
      <c r="TT133" s="3"/>
      <c r="TU133" s="3"/>
      <c r="TV133" s="3"/>
      <c r="TW133" s="3"/>
      <c r="TX133" s="3"/>
      <c r="TY133" s="3"/>
      <c r="TZ133" s="3"/>
      <c r="UA133" s="3"/>
      <c r="UB133" s="3"/>
      <c r="UC133" s="3"/>
      <c r="UD133" s="3"/>
      <c r="UE133" s="3"/>
      <c r="UF133" s="3"/>
      <c r="UG133" s="3"/>
      <c r="UH133" s="3"/>
      <c r="UI133" s="3"/>
      <c r="UJ133" s="3"/>
      <c r="UK133" s="3"/>
      <c r="UL133" s="3"/>
      <c r="UM133" s="3"/>
      <c r="UN133" s="3"/>
      <c r="UO133" s="3"/>
      <c r="UP133" s="3"/>
      <c r="UQ133" s="3"/>
      <c r="UR133" s="3"/>
      <c r="US133" s="3"/>
      <c r="UT133" s="3"/>
      <c r="UU133" s="3"/>
      <c r="UV133" s="3"/>
      <c r="UW133" s="3"/>
      <c r="UX133" s="3"/>
      <c r="UY133" s="3"/>
      <c r="UZ133" s="3"/>
      <c r="VA133" s="3"/>
      <c r="VB133" s="3"/>
      <c r="VC133" s="3"/>
      <c r="VD133" s="3"/>
      <c r="VE133" s="3"/>
      <c r="VF133" s="3"/>
      <c r="VG133" s="3"/>
      <c r="VH133" s="3"/>
      <c r="VI133" s="3"/>
      <c r="VJ133" s="3"/>
      <c r="VK133" s="3"/>
      <c r="VL133" s="3"/>
      <c r="VM133" s="3"/>
      <c r="VN133" s="3"/>
      <c r="VO133" s="3"/>
      <c r="VP133" s="3"/>
      <c r="VQ133" s="3"/>
      <c r="VR133" s="3"/>
      <c r="VS133" s="3"/>
      <c r="VT133" s="3"/>
      <c r="VU133" s="3"/>
      <c r="VV133" s="3"/>
      <c r="VW133" s="3"/>
      <c r="VX133" s="3"/>
      <c r="VY133" s="3"/>
      <c r="VZ133" s="3"/>
      <c r="WA133" s="3"/>
      <c r="WB133" s="3"/>
      <c r="WC133" s="3"/>
      <c r="WD133" s="3"/>
      <c r="WE133" s="3"/>
      <c r="WF133" s="3"/>
      <c r="WG133" s="3"/>
      <c r="WH133" s="3"/>
      <c r="WI133" s="3"/>
      <c r="WJ133" s="3"/>
      <c r="WK133" s="3"/>
      <c r="WL133" s="3"/>
      <c r="WM133" s="3"/>
      <c r="WN133" s="3"/>
      <c r="WO133" s="3"/>
      <c r="WP133" s="3"/>
      <c r="WQ133" s="3"/>
      <c r="WR133" s="3"/>
      <c r="WS133" s="3"/>
      <c r="WT133" s="3"/>
      <c r="WU133" s="3"/>
      <c r="WV133" s="3"/>
      <c r="WW133" s="3"/>
      <c r="WX133" s="3"/>
      <c r="WY133" s="3"/>
      <c r="WZ133" s="3"/>
      <c r="XA133" s="3"/>
      <c r="XB133" s="3"/>
      <c r="XC133" s="3"/>
      <c r="XD133" s="3"/>
      <c r="XE133" s="3"/>
      <c r="XF133" s="3"/>
      <c r="XG133" s="3"/>
      <c r="XH133" s="3"/>
      <c r="XI133" s="3"/>
      <c r="XJ133" s="3"/>
      <c r="XK133" s="3"/>
      <c r="XL133" s="3"/>
      <c r="XM133" s="3"/>
      <c r="XN133" s="3"/>
      <c r="XO133" s="3"/>
      <c r="XP133" s="3"/>
      <c r="XQ133" s="3"/>
      <c r="XR133" s="3"/>
      <c r="XS133" s="3"/>
      <c r="XT133" s="3"/>
      <c r="XU133" s="3"/>
      <c r="XV133" s="3"/>
      <c r="XW133" s="3"/>
      <c r="XX133" s="3"/>
      <c r="XY133" s="3"/>
      <c r="XZ133" s="3"/>
      <c r="YA133" s="3"/>
      <c r="YB133" s="3"/>
      <c r="YC133" s="3"/>
      <c r="YD133" s="3"/>
      <c r="YE133" s="3"/>
      <c r="YF133" s="3"/>
      <c r="YG133" s="3"/>
      <c r="YH133" s="3"/>
      <c r="YI133" s="3"/>
      <c r="YJ133" s="3"/>
      <c r="YK133" s="3"/>
      <c r="YL133" s="3"/>
      <c r="YM133" s="3"/>
      <c r="YN133" s="3"/>
      <c r="YO133" s="3"/>
      <c r="YP133" s="3"/>
      <c r="YQ133" s="3"/>
      <c r="YR133" s="3"/>
      <c r="YS133" s="3"/>
      <c r="YT133" s="3"/>
      <c r="YU133" s="3"/>
      <c r="YV133" s="3"/>
      <c r="YW133" s="3"/>
      <c r="YX133" s="3"/>
      <c r="YY133" s="3"/>
      <c r="YZ133" s="3"/>
      <c r="ZA133" s="3"/>
      <c r="ZB133" s="3"/>
      <c r="ZC133" s="3"/>
    </row>
    <row r="134" spans="1:679" s="2" customFormat="1" x14ac:dyDescent="0.45">
      <c r="A134" s="3" t="s">
        <v>11</v>
      </c>
      <c r="B134" s="4">
        <v>34233</v>
      </c>
      <c r="C134" s="7" t="s">
        <v>25</v>
      </c>
      <c r="D134" s="6" t="s">
        <v>149</v>
      </c>
      <c r="E134" s="3"/>
      <c r="F134" s="3">
        <v>2</v>
      </c>
      <c r="L134" s="3"/>
      <c r="M134" s="3"/>
      <c r="N134" s="48"/>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c r="DR134" s="3"/>
      <c r="DS134" s="3"/>
      <c r="DT134" s="3"/>
      <c r="DU134" s="3"/>
      <c r="DV134" s="3"/>
      <c r="DW134" s="3"/>
      <c r="DX134" s="3"/>
      <c r="DY134" s="3"/>
      <c r="DZ134" s="3"/>
      <c r="EA134" s="3"/>
      <c r="EB134" s="3"/>
      <c r="EC134" s="3"/>
      <c r="ED134" s="3"/>
      <c r="EE134" s="3"/>
      <c r="EF134" s="3"/>
      <c r="EG134" s="3"/>
      <c r="EH134" s="3"/>
      <c r="EI134" s="3"/>
      <c r="EJ134" s="3"/>
      <c r="EK134" s="3"/>
      <c r="EL134" s="3"/>
      <c r="EM134" s="3"/>
      <c r="EN134" s="3"/>
      <c r="EO134" s="3"/>
      <c r="EP134" s="3"/>
      <c r="EQ134" s="3"/>
      <c r="ER134" s="3"/>
      <c r="ES134" s="3"/>
      <c r="ET134" s="3"/>
      <c r="EU134" s="3"/>
      <c r="EV134" s="3"/>
      <c r="EW134" s="3"/>
      <c r="EX134" s="3"/>
      <c r="EY134" s="3"/>
      <c r="EZ134" s="3"/>
      <c r="FA134" s="3"/>
      <c r="FB134" s="3"/>
      <c r="FC134" s="3"/>
      <c r="FD134" s="3"/>
      <c r="FE134" s="3"/>
      <c r="FF134" s="3"/>
      <c r="FG134" s="3"/>
      <c r="FH134" s="3"/>
      <c r="FI134" s="3"/>
      <c r="FJ134" s="3"/>
      <c r="FK134" s="3"/>
      <c r="FL134" s="3"/>
      <c r="FM134" s="3"/>
      <c r="FN134" s="3"/>
      <c r="FO134" s="3"/>
      <c r="FP134" s="3"/>
      <c r="FQ134" s="3"/>
      <c r="FR134" s="3"/>
      <c r="FS134" s="3"/>
      <c r="FT134" s="3"/>
      <c r="FU134" s="3"/>
      <c r="FV134" s="3"/>
      <c r="FW134" s="3"/>
      <c r="FX134" s="3"/>
      <c r="FY134" s="3"/>
      <c r="FZ134" s="3"/>
      <c r="GA134" s="3"/>
      <c r="GB134" s="3"/>
      <c r="GC134" s="3"/>
      <c r="GD134" s="3"/>
      <c r="GE134" s="3"/>
      <c r="GF134" s="3"/>
      <c r="GG134" s="3"/>
      <c r="GH134" s="3"/>
      <c r="GI134" s="3"/>
      <c r="GJ134" s="3"/>
      <c r="GK134" s="3"/>
      <c r="GL134" s="3"/>
      <c r="GM134" s="3"/>
      <c r="GN134" s="3"/>
      <c r="GO134" s="3"/>
      <c r="GP134" s="3"/>
      <c r="GQ134" s="3"/>
      <c r="GR134" s="3"/>
      <c r="GS134" s="3"/>
      <c r="GT134" s="3"/>
      <c r="GU134" s="3"/>
      <c r="GV134" s="3"/>
      <c r="GW134" s="3"/>
      <c r="GX134" s="3"/>
      <c r="GY134" s="3"/>
      <c r="GZ134" s="3"/>
      <c r="HA134" s="3"/>
      <c r="HB134" s="3"/>
      <c r="HC134" s="3"/>
      <c r="HD134" s="3"/>
      <c r="HE134" s="3"/>
      <c r="HF134" s="3"/>
      <c r="HG134" s="3"/>
      <c r="HH134" s="3"/>
      <c r="HI134" s="3"/>
      <c r="HJ134" s="3"/>
      <c r="HK134" s="3"/>
      <c r="HL134" s="3"/>
      <c r="HM134" s="3"/>
      <c r="HN134" s="3"/>
      <c r="HO134" s="3"/>
      <c r="HP134" s="3"/>
      <c r="HQ134" s="3"/>
      <c r="HR134" s="3"/>
      <c r="HS134" s="3"/>
      <c r="HT134" s="3"/>
      <c r="HU134" s="3"/>
      <c r="HV134" s="3"/>
      <c r="HW134" s="3"/>
      <c r="HX134" s="3"/>
      <c r="HY134" s="3"/>
      <c r="HZ134" s="3"/>
      <c r="IA134" s="3"/>
      <c r="IB134" s="3"/>
      <c r="IC134" s="3"/>
      <c r="ID134" s="3"/>
      <c r="IE134" s="3"/>
      <c r="IF134" s="3"/>
      <c r="IG134" s="3"/>
      <c r="IH134" s="3"/>
      <c r="II134" s="3"/>
      <c r="IJ134" s="3"/>
      <c r="IK134" s="3"/>
      <c r="IL134" s="3"/>
      <c r="IM134" s="3"/>
      <c r="IN134" s="3"/>
      <c r="IO134" s="3"/>
      <c r="IP134" s="3"/>
      <c r="IQ134" s="3"/>
      <c r="IR134" s="3"/>
      <c r="IS134" s="3"/>
      <c r="IT134" s="3"/>
      <c r="IU134" s="3"/>
      <c r="IV134" s="3"/>
      <c r="IW134" s="3"/>
      <c r="IX134" s="3"/>
      <c r="IY134" s="3"/>
      <c r="IZ134" s="3"/>
      <c r="JA134" s="3"/>
      <c r="JB134" s="3"/>
      <c r="JC134" s="3"/>
      <c r="JD134" s="3"/>
      <c r="JE134" s="3"/>
      <c r="JF134" s="3"/>
      <c r="JG134" s="3"/>
      <c r="JH134" s="3"/>
      <c r="JI134" s="3"/>
      <c r="JJ134" s="3"/>
      <c r="JK134" s="3"/>
      <c r="JL134" s="3"/>
      <c r="JM134" s="3"/>
      <c r="JN134" s="3"/>
      <c r="JO134" s="3"/>
      <c r="JP134" s="3"/>
      <c r="JQ134" s="3"/>
      <c r="JR134" s="3"/>
      <c r="JS134" s="3"/>
      <c r="JT134" s="3"/>
      <c r="JU134" s="3"/>
      <c r="JV134" s="3"/>
      <c r="JW134" s="3"/>
      <c r="JX134" s="3"/>
      <c r="JY134" s="3"/>
      <c r="JZ134" s="3"/>
      <c r="KA134" s="3"/>
      <c r="KB134" s="3"/>
      <c r="KC134" s="3"/>
      <c r="KD134" s="3"/>
      <c r="KE134" s="3"/>
      <c r="KF134" s="3"/>
      <c r="KG134" s="3"/>
      <c r="KH134" s="3"/>
      <c r="KI134" s="3"/>
      <c r="KJ134" s="3"/>
      <c r="KK134" s="3"/>
      <c r="KL134" s="3"/>
      <c r="KM134" s="3"/>
      <c r="KN134" s="3"/>
      <c r="KO134" s="3"/>
      <c r="KP134" s="3"/>
      <c r="KQ134" s="3"/>
      <c r="KR134" s="3"/>
      <c r="KS134" s="3"/>
      <c r="KT134" s="3"/>
      <c r="KU134" s="3"/>
      <c r="KV134" s="3"/>
      <c r="KW134" s="3"/>
      <c r="KX134" s="3"/>
      <c r="KY134" s="3"/>
      <c r="KZ134" s="3"/>
      <c r="LA134" s="3"/>
      <c r="LB134" s="3"/>
      <c r="LC134" s="3"/>
      <c r="LD134" s="3"/>
      <c r="LE134" s="3"/>
      <c r="LF134" s="3"/>
      <c r="LG134" s="3"/>
      <c r="LH134" s="3"/>
      <c r="LI134" s="3"/>
      <c r="LJ134" s="3"/>
      <c r="LK134" s="3"/>
      <c r="LL134" s="3"/>
      <c r="LM134" s="3"/>
      <c r="LN134" s="3"/>
      <c r="LO134" s="3"/>
      <c r="LP134" s="3"/>
      <c r="LQ134" s="3"/>
      <c r="LR134" s="3"/>
      <c r="LS134" s="3"/>
      <c r="LT134" s="3"/>
      <c r="LU134" s="3"/>
      <c r="LV134" s="3"/>
      <c r="LW134" s="3"/>
      <c r="LX134" s="3"/>
      <c r="LY134" s="3"/>
      <c r="LZ134" s="3"/>
      <c r="MA134" s="3"/>
      <c r="MB134" s="3"/>
      <c r="MC134" s="3"/>
      <c r="MD134" s="3"/>
      <c r="ME134" s="3"/>
      <c r="MF134" s="3"/>
      <c r="MG134" s="3"/>
      <c r="MH134" s="3"/>
      <c r="MI134" s="3"/>
      <c r="MJ134" s="3"/>
      <c r="MK134" s="3"/>
      <c r="ML134" s="3"/>
      <c r="MM134" s="3"/>
      <c r="MN134" s="3"/>
      <c r="MO134" s="3"/>
      <c r="MP134" s="3"/>
      <c r="MQ134" s="3"/>
      <c r="MR134" s="3"/>
      <c r="MS134" s="3"/>
      <c r="MT134" s="3"/>
      <c r="MU134" s="3"/>
      <c r="MV134" s="3"/>
      <c r="MW134" s="3"/>
      <c r="MX134" s="3"/>
      <c r="MY134" s="3"/>
      <c r="MZ134" s="3"/>
      <c r="NA134" s="3"/>
      <c r="NB134" s="3"/>
      <c r="NC134" s="3"/>
      <c r="ND134" s="3"/>
      <c r="NE134" s="3"/>
      <c r="NF134" s="3"/>
      <c r="NG134" s="3"/>
      <c r="NH134" s="3"/>
      <c r="NI134" s="3"/>
      <c r="NJ134" s="3"/>
      <c r="NK134" s="3"/>
      <c r="NL134" s="3"/>
      <c r="NM134" s="3"/>
      <c r="NN134" s="3"/>
      <c r="NO134" s="3"/>
      <c r="NP134" s="3"/>
      <c r="NQ134" s="3"/>
      <c r="NR134" s="3"/>
      <c r="NS134" s="3"/>
      <c r="NT134" s="3"/>
      <c r="NU134" s="3"/>
      <c r="NV134" s="3"/>
      <c r="NW134" s="3"/>
      <c r="NX134" s="3"/>
      <c r="NY134" s="3"/>
      <c r="NZ134" s="3"/>
      <c r="OA134" s="3"/>
      <c r="OB134" s="3"/>
      <c r="OC134" s="3"/>
      <c r="OD134" s="3"/>
      <c r="OE134" s="3"/>
      <c r="OF134" s="3"/>
      <c r="OG134" s="3"/>
      <c r="OH134" s="3"/>
      <c r="OI134" s="3"/>
      <c r="OJ134" s="3"/>
      <c r="OK134" s="3"/>
      <c r="OL134" s="3"/>
      <c r="OM134" s="3"/>
      <c r="ON134" s="3"/>
      <c r="OO134" s="3"/>
      <c r="OP134" s="3"/>
      <c r="OQ134" s="3"/>
      <c r="OR134" s="3"/>
      <c r="OS134" s="3"/>
      <c r="OT134" s="3"/>
      <c r="OU134" s="3"/>
      <c r="OV134" s="3"/>
      <c r="OW134" s="3"/>
      <c r="OX134" s="3"/>
      <c r="OY134" s="3"/>
      <c r="OZ134" s="3"/>
      <c r="PA134" s="3"/>
      <c r="PB134" s="3"/>
      <c r="PC134" s="3"/>
      <c r="PD134" s="3"/>
      <c r="PE134" s="3"/>
      <c r="PF134" s="3"/>
      <c r="PG134" s="3"/>
      <c r="PH134" s="3"/>
      <c r="PI134" s="3"/>
      <c r="PJ134" s="3"/>
      <c r="PK134" s="3"/>
      <c r="PL134" s="3"/>
      <c r="PM134" s="3"/>
      <c r="PN134" s="3"/>
      <c r="PO134" s="3"/>
      <c r="PP134" s="3"/>
      <c r="PQ134" s="3"/>
      <c r="PR134" s="3"/>
      <c r="PS134" s="3"/>
      <c r="PT134" s="3"/>
      <c r="PU134" s="3"/>
      <c r="PV134" s="3"/>
      <c r="PW134" s="3"/>
      <c r="PX134" s="3"/>
      <c r="PY134" s="3"/>
      <c r="PZ134" s="3"/>
      <c r="QA134" s="3"/>
      <c r="QB134" s="3"/>
      <c r="QC134" s="3"/>
      <c r="QD134" s="3"/>
      <c r="QE134" s="3"/>
      <c r="QF134" s="3"/>
      <c r="QG134" s="3"/>
      <c r="QH134" s="3"/>
      <c r="QI134" s="3"/>
      <c r="QJ134" s="3"/>
      <c r="QK134" s="3"/>
      <c r="QL134" s="3"/>
      <c r="QM134" s="3"/>
      <c r="QN134" s="3"/>
      <c r="QO134" s="3"/>
      <c r="QP134" s="3"/>
      <c r="QQ134" s="3"/>
      <c r="QR134" s="3"/>
      <c r="QS134" s="3"/>
      <c r="QT134" s="3"/>
      <c r="QU134" s="3"/>
      <c r="QV134" s="3"/>
      <c r="QW134" s="3"/>
      <c r="QX134" s="3"/>
      <c r="QY134" s="3"/>
      <c r="QZ134" s="3"/>
      <c r="RA134" s="3"/>
      <c r="RB134" s="3"/>
      <c r="RC134" s="3"/>
      <c r="RD134" s="3"/>
      <c r="RE134" s="3"/>
      <c r="RF134" s="3"/>
      <c r="RG134" s="3"/>
      <c r="RH134" s="3"/>
      <c r="RI134" s="3"/>
      <c r="RJ134" s="3"/>
      <c r="RK134" s="3"/>
      <c r="RL134" s="3"/>
      <c r="RM134" s="3"/>
      <c r="RN134" s="3"/>
      <c r="RO134" s="3"/>
      <c r="RP134" s="3"/>
      <c r="RQ134" s="3"/>
      <c r="RR134" s="3"/>
      <c r="RS134" s="3"/>
      <c r="RT134" s="3"/>
      <c r="RU134" s="3"/>
      <c r="RV134" s="3"/>
      <c r="RW134" s="3"/>
      <c r="RX134" s="3"/>
      <c r="RY134" s="3"/>
      <c r="RZ134" s="3"/>
      <c r="SA134" s="3"/>
      <c r="SB134" s="3"/>
      <c r="SC134" s="3"/>
      <c r="SD134" s="3"/>
      <c r="SE134" s="3"/>
      <c r="SF134" s="3"/>
      <c r="SG134" s="3"/>
      <c r="SH134" s="3"/>
      <c r="SI134" s="3"/>
      <c r="SJ134" s="3"/>
      <c r="SK134" s="3"/>
      <c r="SL134" s="3"/>
      <c r="SM134" s="3"/>
      <c r="SN134" s="3"/>
      <c r="SO134" s="3"/>
      <c r="SP134" s="3"/>
      <c r="SQ134" s="3"/>
      <c r="SR134" s="3"/>
      <c r="SS134" s="3"/>
      <c r="ST134" s="3"/>
      <c r="SU134" s="3"/>
      <c r="SV134" s="3"/>
      <c r="SW134" s="3"/>
      <c r="SX134" s="3"/>
      <c r="SY134" s="3"/>
      <c r="SZ134" s="3"/>
      <c r="TA134" s="3"/>
      <c r="TB134" s="3"/>
      <c r="TC134" s="3"/>
      <c r="TD134" s="3"/>
      <c r="TE134" s="3"/>
      <c r="TF134" s="3"/>
      <c r="TG134" s="3"/>
      <c r="TH134" s="3"/>
      <c r="TI134" s="3"/>
      <c r="TJ134" s="3"/>
      <c r="TK134" s="3"/>
      <c r="TL134" s="3"/>
      <c r="TM134" s="3"/>
      <c r="TN134" s="3"/>
      <c r="TO134" s="3"/>
      <c r="TP134" s="3"/>
      <c r="TQ134" s="3"/>
      <c r="TR134" s="3"/>
      <c r="TS134" s="3"/>
      <c r="TT134" s="3"/>
      <c r="TU134" s="3"/>
      <c r="TV134" s="3"/>
      <c r="TW134" s="3"/>
      <c r="TX134" s="3"/>
      <c r="TY134" s="3"/>
      <c r="TZ134" s="3"/>
      <c r="UA134" s="3"/>
      <c r="UB134" s="3"/>
      <c r="UC134" s="3"/>
      <c r="UD134" s="3"/>
      <c r="UE134" s="3"/>
      <c r="UF134" s="3"/>
      <c r="UG134" s="3"/>
      <c r="UH134" s="3"/>
      <c r="UI134" s="3"/>
      <c r="UJ134" s="3"/>
      <c r="UK134" s="3"/>
      <c r="UL134" s="3"/>
      <c r="UM134" s="3"/>
      <c r="UN134" s="3"/>
      <c r="UO134" s="3"/>
      <c r="UP134" s="3"/>
      <c r="UQ134" s="3"/>
      <c r="UR134" s="3"/>
      <c r="US134" s="3"/>
      <c r="UT134" s="3"/>
      <c r="UU134" s="3"/>
      <c r="UV134" s="3"/>
      <c r="UW134" s="3"/>
      <c r="UX134" s="3"/>
      <c r="UY134" s="3"/>
      <c r="UZ134" s="3"/>
      <c r="VA134" s="3"/>
      <c r="VB134" s="3"/>
      <c r="VC134" s="3"/>
      <c r="VD134" s="3"/>
      <c r="VE134" s="3"/>
      <c r="VF134" s="3"/>
      <c r="VG134" s="3"/>
      <c r="VH134" s="3"/>
      <c r="VI134" s="3"/>
      <c r="VJ134" s="3"/>
      <c r="VK134" s="3"/>
      <c r="VL134" s="3"/>
      <c r="VM134" s="3"/>
      <c r="VN134" s="3"/>
      <c r="VO134" s="3"/>
      <c r="VP134" s="3"/>
      <c r="VQ134" s="3"/>
      <c r="VR134" s="3"/>
      <c r="VS134" s="3"/>
      <c r="VT134" s="3"/>
      <c r="VU134" s="3"/>
      <c r="VV134" s="3"/>
      <c r="VW134" s="3"/>
      <c r="VX134" s="3"/>
      <c r="VY134" s="3"/>
      <c r="VZ134" s="3"/>
      <c r="WA134" s="3"/>
      <c r="WB134" s="3"/>
      <c r="WC134" s="3"/>
      <c r="WD134" s="3"/>
      <c r="WE134" s="3"/>
      <c r="WF134" s="3"/>
      <c r="WG134" s="3"/>
      <c r="WH134" s="3"/>
      <c r="WI134" s="3"/>
      <c r="WJ134" s="3"/>
      <c r="WK134" s="3"/>
      <c r="WL134" s="3"/>
      <c r="WM134" s="3"/>
      <c r="WN134" s="3"/>
      <c r="WO134" s="3"/>
      <c r="WP134" s="3"/>
      <c r="WQ134" s="3"/>
      <c r="WR134" s="3"/>
      <c r="WS134" s="3"/>
      <c r="WT134" s="3"/>
      <c r="WU134" s="3"/>
      <c r="WV134" s="3"/>
      <c r="WW134" s="3"/>
      <c r="WX134" s="3"/>
      <c r="WY134" s="3"/>
      <c r="WZ134" s="3"/>
      <c r="XA134" s="3"/>
      <c r="XB134" s="3"/>
      <c r="XC134" s="3"/>
      <c r="XD134" s="3"/>
      <c r="XE134" s="3"/>
      <c r="XF134" s="3"/>
      <c r="XG134" s="3"/>
      <c r="XH134" s="3"/>
      <c r="XI134" s="3"/>
      <c r="XJ134" s="3"/>
      <c r="XK134" s="3"/>
      <c r="XL134" s="3"/>
      <c r="XM134" s="3"/>
      <c r="XN134" s="3"/>
      <c r="XO134" s="3"/>
      <c r="XP134" s="3"/>
      <c r="XQ134" s="3"/>
      <c r="XR134" s="3"/>
      <c r="XS134" s="3"/>
      <c r="XT134" s="3"/>
      <c r="XU134" s="3"/>
      <c r="XV134" s="3"/>
      <c r="XW134" s="3"/>
      <c r="XX134" s="3"/>
      <c r="XY134" s="3"/>
      <c r="XZ134" s="3"/>
      <c r="YA134" s="3"/>
      <c r="YB134" s="3"/>
      <c r="YC134" s="3"/>
      <c r="YD134" s="3"/>
      <c r="YE134" s="3"/>
      <c r="YF134" s="3"/>
      <c r="YG134" s="3"/>
      <c r="YH134" s="3"/>
      <c r="YI134" s="3"/>
      <c r="YJ134" s="3"/>
      <c r="YK134" s="3"/>
      <c r="YL134" s="3"/>
      <c r="YM134" s="3"/>
      <c r="YN134" s="3"/>
      <c r="YO134" s="3"/>
      <c r="YP134" s="3"/>
      <c r="YQ134" s="3"/>
      <c r="YR134" s="3"/>
      <c r="YS134" s="3"/>
      <c r="YT134" s="3"/>
      <c r="YU134" s="3"/>
      <c r="YV134" s="3"/>
      <c r="YW134" s="3"/>
      <c r="YX134" s="3"/>
      <c r="YY134" s="3"/>
      <c r="YZ134" s="3"/>
      <c r="ZA134" s="3"/>
      <c r="ZB134" s="3"/>
      <c r="ZC134" s="3"/>
    </row>
    <row r="135" spans="1:679" s="2" customFormat="1" x14ac:dyDescent="0.45">
      <c r="A135" s="3" t="s">
        <v>11</v>
      </c>
      <c r="B135" s="4">
        <v>34248</v>
      </c>
      <c r="C135" s="7" t="s">
        <v>25</v>
      </c>
      <c r="D135" s="6" t="s">
        <v>150</v>
      </c>
      <c r="E135" s="3"/>
      <c r="F135" s="3">
        <v>2</v>
      </c>
      <c r="L135" s="3"/>
      <c r="M135" s="3"/>
      <c r="N135" s="48"/>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3"/>
      <c r="DN135" s="3"/>
      <c r="DO135" s="3"/>
      <c r="DP135" s="3"/>
      <c r="DQ135" s="3"/>
      <c r="DR135" s="3"/>
      <c r="DS135" s="3"/>
      <c r="DT135" s="3"/>
      <c r="DU135" s="3"/>
      <c r="DV135" s="3"/>
      <c r="DW135" s="3"/>
      <c r="DX135" s="3"/>
      <c r="DY135" s="3"/>
      <c r="DZ135" s="3"/>
      <c r="EA135" s="3"/>
      <c r="EB135" s="3"/>
      <c r="EC135" s="3"/>
      <c r="ED135" s="3"/>
      <c r="EE135" s="3"/>
      <c r="EF135" s="3"/>
      <c r="EG135" s="3"/>
      <c r="EH135" s="3"/>
      <c r="EI135" s="3"/>
      <c r="EJ135" s="3"/>
      <c r="EK135" s="3"/>
      <c r="EL135" s="3"/>
      <c r="EM135" s="3"/>
      <c r="EN135" s="3"/>
      <c r="EO135" s="3"/>
      <c r="EP135" s="3"/>
      <c r="EQ135" s="3"/>
      <c r="ER135" s="3"/>
      <c r="ES135" s="3"/>
      <c r="ET135" s="3"/>
      <c r="EU135" s="3"/>
      <c r="EV135" s="3"/>
      <c r="EW135" s="3"/>
      <c r="EX135" s="3"/>
      <c r="EY135" s="3"/>
      <c r="EZ135" s="3"/>
      <c r="FA135" s="3"/>
      <c r="FB135" s="3"/>
      <c r="FC135" s="3"/>
      <c r="FD135" s="3"/>
      <c r="FE135" s="3"/>
      <c r="FF135" s="3"/>
      <c r="FG135" s="3"/>
      <c r="FH135" s="3"/>
      <c r="FI135" s="3"/>
      <c r="FJ135" s="3"/>
      <c r="FK135" s="3"/>
      <c r="FL135" s="3"/>
      <c r="FM135" s="3"/>
      <c r="FN135" s="3"/>
      <c r="FO135" s="3"/>
      <c r="FP135" s="3"/>
      <c r="FQ135" s="3"/>
      <c r="FR135" s="3"/>
      <c r="FS135" s="3"/>
      <c r="FT135" s="3"/>
      <c r="FU135" s="3"/>
      <c r="FV135" s="3"/>
      <c r="FW135" s="3"/>
      <c r="FX135" s="3"/>
      <c r="FY135" s="3"/>
      <c r="FZ135" s="3"/>
      <c r="GA135" s="3"/>
      <c r="GB135" s="3"/>
      <c r="GC135" s="3"/>
      <c r="GD135" s="3"/>
      <c r="GE135" s="3"/>
      <c r="GF135" s="3"/>
      <c r="GG135" s="3"/>
      <c r="GH135" s="3"/>
      <c r="GI135" s="3"/>
      <c r="GJ135" s="3"/>
      <c r="GK135" s="3"/>
      <c r="GL135" s="3"/>
      <c r="GM135" s="3"/>
      <c r="GN135" s="3"/>
      <c r="GO135" s="3"/>
      <c r="GP135" s="3"/>
      <c r="GQ135" s="3"/>
      <c r="GR135" s="3"/>
      <c r="GS135" s="3"/>
      <c r="GT135" s="3"/>
      <c r="GU135" s="3"/>
      <c r="GV135" s="3"/>
      <c r="GW135" s="3"/>
      <c r="GX135" s="3"/>
      <c r="GY135" s="3"/>
      <c r="GZ135" s="3"/>
      <c r="HA135" s="3"/>
      <c r="HB135" s="3"/>
      <c r="HC135" s="3"/>
      <c r="HD135" s="3"/>
      <c r="HE135" s="3"/>
      <c r="HF135" s="3"/>
      <c r="HG135" s="3"/>
      <c r="HH135" s="3"/>
      <c r="HI135" s="3"/>
      <c r="HJ135" s="3"/>
      <c r="HK135" s="3"/>
      <c r="HL135" s="3"/>
      <c r="HM135" s="3"/>
      <c r="HN135" s="3"/>
      <c r="HO135" s="3"/>
      <c r="HP135" s="3"/>
      <c r="HQ135" s="3"/>
      <c r="HR135" s="3"/>
      <c r="HS135" s="3"/>
      <c r="HT135" s="3"/>
      <c r="HU135" s="3"/>
      <c r="HV135" s="3"/>
      <c r="HW135" s="3"/>
      <c r="HX135" s="3"/>
      <c r="HY135" s="3"/>
      <c r="HZ135" s="3"/>
      <c r="IA135" s="3"/>
      <c r="IB135" s="3"/>
      <c r="IC135" s="3"/>
      <c r="ID135" s="3"/>
      <c r="IE135" s="3"/>
      <c r="IF135" s="3"/>
      <c r="IG135" s="3"/>
      <c r="IH135" s="3"/>
      <c r="II135" s="3"/>
      <c r="IJ135" s="3"/>
      <c r="IK135" s="3"/>
      <c r="IL135" s="3"/>
      <c r="IM135" s="3"/>
      <c r="IN135" s="3"/>
      <c r="IO135" s="3"/>
      <c r="IP135" s="3"/>
      <c r="IQ135" s="3"/>
      <c r="IR135" s="3"/>
      <c r="IS135" s="3"/>
      <c r="IT135" s="3"/>
      <c r="IU135" s="3"/>
      <c r="IV135" s="3"/>
      <c r="IW135" s="3"/>
      <c r="IX135" s="3"/>
      <c r="IY135" s="3"/>
      <c r="IZ135" s="3"/>
      <c r="JA135" s="3"/>
      <c r="JB135" s="3"/>
      <c r="JC135" s="3"/>
      <c r="JD135" s="3"/>
      <c r="JE135" s="3"/>
      <c r="JF135" s="3"/>
      <c r="JG135" s="3"/>
      <c r="JH135" s="3"/>
      <c r="JI135" s="3"/>
      <c r="JJ135" s="3"/>
      <c r="JK135" s="3"/>
      <c r="JL135" s="3"/>
      <c r="JM135" s="3"/>
      <c r="JN135" s="3"/>
      <c r="JO135" s="3"/>
      <c r="JP135" s="3"/>
      <c r="JQ135" s="3"/>
      <c r="JR135" s="3"/>
      <c r="JS135" s="3"/>
      <c r="JT135" s="3"/>
      <c r="JU135" s="3"/>
      <c r="JV135" s="3"/>
      <c r="JW135" s="3"/>
      <c r="JX135" s="3"/>
      <c r="JY135" s="3"/>
      <c r="JZ135" s="3"/>
      <c r="KA135" s="3"/>
      <c r="KB135" s="3"/>
      <c r="KC135" s="3"/>
      <c r="KD135" s="3"/>
      <c r="KE135" s="3"/>
      <c r="KF135" s="3"/>
      <c r="KG135" s="3"/>
      <c r="KH135" s="3"/>
      <c r="KI135" s="3"/>
      <c r="KJ135" s="3"/>
      <c r="KK135" s="3"/>
      <c r="KL135" s="3"/>
      <c r="KM135" s="3"/>
      <c r="KN135" s="3"/>
      <c r="KO135" s="3"/>
      <c r="KP135" s="3"/>
      <c r="KQ135" s="3"/>
      <c r="KR135" s="3"/>
      <c r="KS135" s="3"/>
      <c r="KT135" s="3"/>
      <c r="KU135" s="3"/>
      <c r="KV135" s="3"/>
      <c r="KW135" s="3"/>
      <c r="KX135" s="3"/>
      <c r="KY135" s="3"/>
      <c r="KZ135" s="3"/>
      <c r="LA135" s="3"/>
      <c r="LB135" s="3"/>
      <c r="LC135" s="3"/>
      <c r="LD135" s="3"/>
      <c r="LE135" s="3"/>
      <c r="LF135" s="3"/>
      <c r="LG135" s="3"/>
      <c r="LH135" s="3"/>
      <c r="LI135" s="3"/>
      <c r="LJ135" s="3"/>
      <c r="LK135" s="3"/>
      <c r="LL135" s="3"/>
      <c r="LM135" s="3"/>
      <c r="LN135" s="3"/>
      <c r="LO135" s="3"/>
      <c r="LP135" s="3"/>
      <c r="LQ135" s="3"/>
      <c r="LR135" s="3"/>
      <c r="LS135" s="3"/>
      <c r="LT135" s="3"/>
      <c r="LU135" s="3"/>
      <c r="LV135" s="3"/>
      <c r="LW135" s="3"/>
      <c r="LX135" s="3"/>
      <c r="LY135" s="3"/>
      <c r="LZ135" s="3"/>
      <c r="MA135" s="3"/>
      <c r="MB135" s="3"/>
      <c r="MC135" s="3"/>
      <c r="MD135" s="3"/>
      <c r="ME135" s="3"/>
      <c r="MF135" s="3"/>
      <c r="MG135" s="3"/>
      <c r="MH135" s="3"/>
      <c r="MI135" s="3"/>
      <c r="MJ135" s="3"/>
      <c r="MK135" s="3"/>
      <c r="ML135" s="3"/>
      <c r="MM135" s="3"/>
      <c r="MN135" s="3"/>
      <c r="MO135" s="3"/>
      <c r="MP135" s="3"/>
      <c r="MQ135" s="3"/>
      <c r="MR135" s="3"/>
      <c r="MS135" s="3"/>
      <c r="MT135" s="3"/>
      <c r="MU135" s="3"/>
      <c r="MV135" s="3"/>
      <c r="MW135" s="3"/>
      <c r="MX135" s="3"/>
      <c r="MY135" s="3"/>
      <c r="MZ135" s="3"/>
      <c r="NA135" s="3"/>
      <c r="NB135" s="3"/>
      <c r="NC135" s="3"/>
      <c r="ND135" s="3"/>
      <c r="NE135" s="3"/>
      <c r="NF135" s="3"/>
      <c r="NG135" s="3"/>
      <c r="NH135" s="3"/>
      <c r="NI135" s="3"/>
      <c r="NJ135" s="3"/>
      <c r="NK135" s="3"/>
      <c r="NL135" s="3"/>
      <c r="NM135" s="3"/>
      <c r="NN135" s="3"/>
      <c r="NO135" s="3"/>
      <c r="NP135" s="3"/>
      <c r="NQ135" s="3"/>
      <c r="NR135" s="3"/>
      <c r="NS135" s="3"/>
      <c r="NT135" s="3"/>
      <c r="NU135" s="3"/>
      <c r="NV135" s="3"/>
      <c r="NW135" s="3"/>
      <c r="NX135" s="3"/>
      <c r="NY135" s="3"/>
      <c r="NZ135" s="3"/>
      <c r="OA135" s="3"/>
      <c r="OB135" s="3"/>
      <c r="OC135" s="3"/>
      <c r="OD135" s="3"/>
      <c r="OE135" s="3"/>
      <c r="OF135" s="3"/>
      <c r="OG135" s="3"/>
      <c r="OH135" s="3"/>
      <c r="OI135" s="3"/>
      <c r="OJ135" s="3"/>
      <c r="OK135" s="3"/>
      <c r="OL135" s="3"/>
      <c r="OM135" s="3"/>
      <c r="ON135" s="3"/>
      <c r="OO135" s="3"/>
      <c r="OP135" s="3"/>
      <c r="OQ135" s="3"/>
      <c r="OR135" s="3"/>
      <c r="OS135" s="3"/>
      <c r="OT135" s="3"/>
      <c r="OU135" s="3"/>
      <c r="OV135" s="3"/>
      <c r="OW135" s="3"/>
      <c r="OX135" s="3"/>
      <c r="OY135" s="3"/>
      <c r="OZ135" s="3"/>
      <c r="PA135" s="3"/>
      <c r="PB135" s="3"/>
      <c r="PC135" s="3"/>
      <c r="PD135" s="3"/>
      <c r="PE135" s="3"/>
      <c r="PF135" s="3"/>
      <c r="PG135" s="3"/>
      <c r="PH135" s="3"/>
      <c r="PI135" s="3"/>
      <c r="PJ135" s="3"/>
      <c r="PK135" s="3"/>
      <c r="PL135" s="3"/>
      <c r="PM135" s="3"/>
      <c r="PN135" s="3"/>
      <c r="PO135" s="3"/>
      <c r="PP135" s="3"/>
      <c r="PQ135" s="3"/>
      <c r="PR135" s="3"/>
      <c r="PS135" s="3"/>
      <c r="PT135" s="3"/>
      <c r="PU135" s="3"/>
      <c r="PV135" s="3"/>
      <c r="PW135" s="3"/>
      <c r="PX135" s="3"/>
      <c r="PY135" s="3"/>
      <c r="PZ135" s="3"/>
      <c r="QA135" s="3"/>
      <c r="QB135" s="3"/>
      <c r="QC135" s="3"/>
      <c r="QD135" s="3"/>
      <c r="QE135" s="3"/>
      <c r="QF135" s="3"/>
      <c r="QG135" s="3"/>
      <c r="QH135" s="3"/>
      <c r="QI135" s="3"/>
      <c r="QJ135" s="3"/>
      <c r="QK135" s="3"/>
      <c r="QL135" s="3"/>
      <c r="QM135" s="3"/>
      <c r="QN135" s="3"/>
      <c r="QO135" s="3"/>
      <c r="QP135" s="3"/>
      <c r="QQ135" s="3"/>
      <c r="QR135" s="3"/>
      <c r="QS135" s="3"/>
      <c r="QT135" s="3"/>
      <c r="QU135" s="3"/>
      <c r="QV135" s="3"/>
      <c r="QW135" s="3"/>
      <c r="QX135" s="3"/>
      <c r="QY135" s="3"/>
      <c r="QZ135" s="3"/>
      <c r="RA135" s="3"/>
      <c r="RB135" s="3"/>
      <c r="RC135" s="3"/>
      <c r="RD135" s="3"/>
      <c r="RE135" s="3"/>
      <c r="RF135" s="3"/>
      <c r="RG135" s="3"/>
      <c r="RH135" s="3"/>
      <c r="RI135" s="3"/>
      <c r="RJ135" s="3"/>
      <c r="RK135" s="3"/>
      <c r="RL135" s="3"/>
      <c r="RM135" s="3"/>
      <c r="RN135" s="3"/>
      <c r="RO135" s="3"/>
      <c r="RP135" s="3"/>
      <c r="RQ135" s="3"/>
      <c r="RR135" s="3"/>
      <c r="RS135" s="3"/>
      <c r="RT135" s="3"/>
      <c r="RU135" s="3"/>
      <c r="RV135" s="3"/>
      <c r="RW135" s="3"/>
      <c r="RX135" s="3"/>
      <c r="RY135" s="3"/>
      <c r="RZ135" s="3"/>
      <c r="SA135" s="3"/>
      <c r="SB135" s="3"/>
      <c r="SC135" s="3"/>
      <c r="SD135" s="3"/>
      <c r="SE135" s="3"/>
      <c r="SF135" s="3"/>
      <c r="SG135" s="3"/>
      <c r="SH135" s="3"/>
      <c r="SI135" s="3"/>
      <c r="SJ135" s="3"/>
      <c r="SK135" s="3"/>
      <c r="SL135" s="3"/>
      <c r="SM135" s="3"/>
      <c r="SN135" s="3"/>
      <c r="SO135" s="3"/>
      <c r="SP135" s="3"/>
      <c r="SQ135" s="3"/>
      <c r="SR135" s="3"/>
      <c r="SS135" s="3"/>
      <c r="ST135" s="3"/>
      <c r="SU135" s="3"/>
      <c r="SV135" s="3"/>
      <c r="SW135" s="3"/>
      <c r="SX135" s="3"/>
      <c r="SY135" s="3"/>
      <c r="SZ135" s="3"/>
      <c r="TA135" s="3"/>
      <c r="TB135" s="3"/>
      <c r="TC135" s="3"/>
      <c r="TD135" s="3"/>
      <c r="TE135" s="3"/>
      <c r="TF135" s="3"/>
      <c r="TG135" s="3"/>
      <c r="TH135" s="3"/>
      <c r="TI135" s="3"/>
      <c r="TJ135" s="3"/>
      <c r="TK135" s="3"/>
      <c r="TL135" s="3"/>
      <c r="TM135" s="3"/>
      <c r="TN135" s="3"/>
      <c r="TO135" s="3"/>
      <c r="TP135" s="3"/>
      <c r="TQ135" s="3"/>
      <c r="TR135" s="3"/>
      <c r="TS135" s="3"/>
      <c r="TT135" s="3"/>
      <c r="TU135" s="3"/>
      <c r="TV135" s="3"/>
      <c r="TW135" s="3"/>
      <c r="TX135" s="3"/>
      <c r="TY135" s="3"/>
      <c r="TZ135" s="3"/>
      <c r="UA135" s="3"/>
      <c r="UB135" s="3"/>
      <c r="UC135" s="3"/>
      <c r="UD135" s="3"/>
      <c r="UE135" s="3"/>
      <c r="UF135" s="3"/>
      <c r="UG135" s="3"/>
      <c r="UH135" s="3"/>
      <c r="UI135" s="3"/>
      <c r="UJ135" s="3"/>
      <c r="UK135" s="3"/>
      <c r="UL135" s="3"/>
      <c r="UM135" s="3"/>
      <c r="UN135" s="3"/>
      <c r="UO135" s="3"/>
      <c r="UP135" s="3"/>
      <c r="UQ135" s="3"/>
      <c r="UR135" s="3"/>
      <c r="US135" s="3"/>
      <c r="UT135" s="3"/>
      <c r="UU135" s="3"/>
      <c r="UV135" s="3"/>
      <c r="UW135" s="3"/>
      <c r="UX135" s="3"/>
      <c r="UY135" s="3"/>
      <c r="UZ135" s="3"/>
      <c r="VA135" s="3"/>
      <c r="VB135" s="3"/>
      <c r="VC135" s="3"/>
      <c r="VD135" s="3"/>
      <c r="VE135" s="3"/>
      <c r="VF135" s="3"/>
      <c r="VG135" s="3"/>
      <c r="VH135" s="3"/>
      <c r="VI135" s="3"/>
      <c r="VJ135" s="3"/>
      <c r="VK135" s="3"/>
      <c r="VL135" s="3"/>
      <c r="VM135" s="3"/>
      <c r="VN135" s="3"/>
      <c r="VO135" s="3"/>
      <c r="VP135" s="3"/>
      <c r="VQ135" s="3"/>
      <c r="VR135" s="3"/>
      <c r="VS135" s="3"/>
      <c r="VT135" s="3"/>
      <c r="VU135" s="3"/>
      <c r="VV135" s="3"/>
      <c r="VW135" s="3"/>
      <c r="VX135" s="3"/>
      <c r="VY135" s="3"/>
      <c r="VZ135" s="3"/>
      <c r="WA135" s="3"/>
      <c r="WB135" s="3"/>
      <c r="WC135" s="3"/>
      <c r="WD135" s="3"/>
      <c r="WE135" s="3"/>
      <c r="WF135" s="3"/>
      <c r="WG135" s="3"/>
      <c r="WH135" s="3"/>
      <c r="WI135" s="3"/>
      <c r="WJ135" s="3"/>
      <c r="WK135" s="3"/>
      <c r="WL135" s="3"/>
      <c r="WM135" s="3"/>
      <c r="WN135" s="3"/>
      <c r="WO135" s="3"/>
      <c r="WP135" s="3"/>
      <c r="WQ135" s="3"/>
      <c r="WR135" s="3"/>
      <c r="WS135" s="3"/>
      <c r="WT135" s="3"/>
      <c r="WU135" s="3"/>
      <c r="WV135" s="3"/>
      <c r="WW135" s="3"/>
      <c r="WX135" s="3"/>
      <c r="WY135" s="3"/>
      <c r="WZ135" s="3"/>
      <c r="XA135" s="3"/>
      <c r="XB135" s="3"/>
      <c r="XC135" s="3"/>
      <c r="XD135" s="3"/>
      <c r="XE135" s="3"/>
      <c r="XF135" s="3"/>
      <c r="XG135" s="3"/>
      <c r="XH135" s="3"/>
      <c r="XI135" s="3"/>
      <c r="XJ135" s="3"/>
      <c r="XK135" s="3"/>
      <c r="XL135" s="3"/>
      <c r="XM135" s="3"/>
      <c r="XN135" s="3"/>
      <c r="XO135" s="3"/>
      <c r="XP135" s="3"/>
      <c r="XQ135" s="3"/>
      <c r="XR135" s="3"/>
      <c r="XS135" s="3"/>
      <c r="XT135" s="3"/>
      <c r="XU135" s="3"/>
      <c r="XV135" s="3"/>
      <c r="XW135" s="3"/>
      <c r="XX135" s="3"/>
      <c r="XY135" s="3"/>
      <c r="XZ135" s="3"/>
      <c r="YA135" s="3"/>
      <c r="YB135" s="3"/>
      <c r="YC135" s="3"/>
      <c r="YD135" s="3"/>
      <c r="YE135" s="3"/>
      <c r="YF135" s="3"/>
      <c r="YG135" s="3"/>
      <c r="YH135" s="3"/>
      <c r="YI135" s="3"/>
      <c r="YJ135" s="3"/>
      <c r="YK135" s="3"/>
      <c r="YL135" s="3"/>
      <c r="YM135" s="3"/>
      <c r="YN135" s="3"/>
      <c r="YO135" s="3"/>
      <c r="YP135" s="3"/>
      <c r="YQ135" s="3"/>
      <c r="YR135" s="3"/>
      <c r="YS135" s="3"/>
      <c r="YT135" s="3"/>
      <c r="YU135" s="3"/>
      <c r="YV135" s="3"/>
      <c r="YW135" s="3"/>
      <c r="YX135" s="3"/>
      <c r="YY135" s="3"/>
      <c r="YZ135" s="3"/>
      <c r="ZA135" s="3"/>
      <c r="ZB135" s="3"/>
      <c r="ZC135" s="3"/>
    </row>
    <row r="136" spans="1:679" s="2" customFormat="1" x14ac:dyDescent="0.45">
      <c r="A136" s="3" t="s">
        <v>11</v>
      </c>
      <c r="B136" s="4">
        <v>34313</v>
      </c>
      <c r="C136" s="7" t="s">
        <v>21</v>
      </c>
      <c r="D136" s="6" t="s">
        <v>151</v>
      </c>
      <c r="E136" s="3"/>
      <c r="F136" s="3">
        <v>22</v>
      </c>
      <c r="L136" s="3"/>
      <c r="M136" s="3"/>
      <c r="N136" s="48"/>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c r="DQ136" s="3"/>
      <c r="DR136" s="3"/>
      <c r="DS136" s="3"/>
      <c r="DT136" s="3"/>
      <c r="DU136" s="3"/>
      <c r="DV136" s="3"/>
      <c r="DW136" s="3"/>
      <c r="DX136" s="3"/>
      <c r="DY136" s="3"/>
      <c r="DZ136" s="3"/>
      <c r="EA136" s="3"/>
      <c r="EB136" s="3"/>
      <c r="EC136" s="3"/>
      <c r="ED136" s="3"/>
      <c r="EE136" s="3"/>
      <c r="EF136" s="3"/>
      <c r="EG136" s="3"/>
      <c r="EH136" s="3"/>
      <c r="EI136" s="3"/>
      <c r="EJ136" s="3"/>
      <c r="EK136" s="3"/>
      <c r="EL136" s="3"/>
      <c r="EM136" s="3"/>
      <c r="EN136" s="3"/>
      <c r="EO136" s="3"/>
      <c r="EP136" s="3"/>
      <c r="EQ136" s="3"/>
      <c r="ER136" s="3"/>
      <c r="ES136" s="3"/>
      <c r="ET136" s="3"/>
      <c r="EU136" s="3"/>
      <c r="EV136" s="3"/>
      <c r="EW136" s="3"/>
      <c r="EX136" s="3"/>
      <c r="EY136" s="3"/>
      <c r="EZ136" s="3"/>
      <c r="FA136" s="3"/>
      <c r="FB136" s="3"/>
      <c r="FC136" s="3"/>
      <c r="FD136" s="3"/>
      <c r="FE136" s="3"/>
      <c r="FF136" s="3"/>
      <c r="FG136" s="3"/>
      <c r="FH136" s="3"/>
      <c r="FI136" s="3"/>
      <c r="FJ136" s="3"/>
      <c r="FK136" s="3"/>
      <c r="FL136" s="3"/>
      <c r="FM136" s="3"/>
      <c r="FN136" s="3"/>
      <c r="FO136" s="3"/>
      <c r="FP136" s="3"/>
      <c r="FQ136" s="3"/>
      <c r="FR136" s="3"/>
      <c r="FS136" s="3"/>
      <c r="FT136" s="3"/>
      <c r="FU136" s="3"/>
      <c r="FV136" s="3"/>
      <c r="FW136" s="3"/>
      <c r="FX136" s="3"/>
      <c r="FY136" s="3"/>
      <c r="FZ136" s="3"/>
      <c r="GA136" s="3"/>
      <c r="GB136" s="3"/>
      <c r="GC136" s="3"/>
      <c r="GD136" s="3"/>
      <c r="GE136" s="3"/>
      <c r="GF136" s="3"/>
      <c r="GG136" s="3"/>
      <c r="GH136" s="3"/>
      <c r="GI136" s="3"/>
      <c r="GJ136" s="3"/>
      <c r="GK136" s="3"/>
      <c r="GL136" s="3"/>
      <c r="GM136" s="3"/>
      <c r="GN136" s="3"/>
      <c r="GO136" s="3"/>
      <c r="GP136" s="3"/>
      <c r="GQ136" s="3"/>
      <c r="GR136" s="3"/>
      <c r="GS136" s="3"/>
      <c r="GT136" s="3"/>
      <c r="GU136" s="3"/>
      <c r="GV136" s="3"/>
      <c r="GW136" s="3"/>
      <c r="GX136" s="3"/>
      <c r="GY136" s="3"/>
      <c r="GZ136" s="3"/>
      <c r="HA136" s="3"/>
      <c r="HB136" s="3"/>
      <c r="HC136" s="3"/>
      <c r="HD136" s="3"/>
      <c r="HE136" s="3"/>
      <c r="HF136" s="3"/>
      <c r="HG136" s="3"/>
      <c r="HH136" s="3"/>
      <c r="HI136" s="3"/>
      <c r="HJ136" s="3"/>
      <c r="HK136" s="3"/>
      <c r="HL136" s="3"/>
      <c r="HM136" s="3"/>
      <c r="HN136" s="3"/>
      <c r="HO136" s="3"/>
      <c r="HP136" s="3"/>
      <c r="HQ136" s="3"/>
      <c r="HR136" s="3"/>
      <c r="HS136" s="3"/>
      <c r="HT136" s="3"/>
      <c r="HU136" s="3"/>
      <c r="HV136" s="3"/>
      <c r="HW136" s="3"/>
      <c r="HX136" s="3"/>
      <c r="HY136" s="3"/>
      <c r="HZ136" s="3"/>
      <c r="IA136" s="3"/>
      <c r="IB136" s="3"/>
      <c r="IC136" s="3"/>
      <c r="ID136" s="3"/>
      <c r="IE136" s="3"/>
      <c r="IF136" s="3"/>
      <c r="IG136" s="3"/>
      <c r="IH136" s="3"/>
      <c r="II136" s="3"/>
      <c r="IJ136" s="3"/>
      <c r="IK136" s="3"/>
      <c r="IL136" s="3"/>
      <c r="IM136" s="3"/>
      <c r="IN136" s="3"/>
      <c r="IO136" s="3"/>
      <c r="IP136" s="3"/>
      <c r="IQ136" s="3"/>
      <c r="IR136" s="3"/>
      <c r="IS136" s="3"/>
      <c r="IT136" s="3"/>
      <c r="IU136" s="3"/>
      <c r="IV136" s="3"/>
      <c r="IW136" s="3"/>
      <c r="IX136" s="3"/>
      <c r="IY136" s="3"/>
      <c r="IZ136" s="3"/>
      <c r="JA136" s="3"/>
      <c r="JB136" s="3"/>
      <c r="JC136" s="3"/>
      <c r="JD136" s="3"/>
      <c r="JE136" s="3"/>
      <c r="JF136" s="3"/>
      <c r="JG136" s="3"/>
      <c r="JH136" s="3"/>
      <c r="JI136" s="3"/>
      <c r="JJ136" s="3"/>
      <c r="JK136" s="3"/>
      <c r="JL136" s="3"/>
      <c r="JM136" s="3"/>
      <c r="JN136" s="3"/>
      <c r="JO136" s="3"/>
      <c r="JP136" s="3"/>
      <c r="JQ136" s="3"/>
      <c r="JR136" s="3"/>
      <c r="JS136" s="3"/>
      <c r="JT136" s="3"/>
      <c r="JU136" s="3"/>
      <c r="JV136" s="3"/>
      <c r="JW136" s="3"/>
      <c r="JX136" s="3"/>
      <c r="JY136" s="3"/>
      <c r="JZ136" s="3"/>
      <c r="KA136" s="3"/>
      <c r="KB136" s="3"/>
      <c r="KC136" s="3"/>
      <c r="KD136" s="3"/>
      <c r="KE136" s="3"/>
      <c r="KF136" s="3"/>
      <c r="KG136" s="3"/>
      <c r="KH136" s="3"/>
      <c r="KI136" s="3"/>
      <c r="KJ136" s="3"/>
      <c r="KK136" s="3"/>
      <c r="KL136" s="3"/>
      <c r="KM136" s="3"/>
      <c r="KN136" s="3"/>
      <c r="KO136" s="3"/>
      <c r="KP136" s="3"/>
      <c r="KQ136" s="3"/>
      <c r="KR136" s="3"/>
      <c r="KS136" s="3"/>
      <c r="KT136" s="3"/>
      <c r="KU136" s="3"/>
      <c r="KV136" s="3"/>
      <c r="KW136" s="3"/>
      <c r="KX136" s="3"/>
      <c r="KY136" s="3"/>
      <c r="KZ136" s="3"/>
      <c r="LA136" s="3"/>
      <c r="LB136" s="3"/>
      <c r="LC136" s="3"/>
      <c r="LD136" s="3"/>
      <c r="LE136" s="3"/>
      <c r="LF136" s="3"/>
      <c r="LG136" s="3"/>
      <c r="LH136" s="3"/>
      <c r="LI136" s="3"/>
      <c r="LJ136" s="3"/>
      <c r="LK136" s="3"/>
      <c r="LL136" s="3"/>
      <c r="LM136" s="3"/>
      <c r="LN136" s="3"/>
      <c r="LO136" s="3"/>
      <c r="LP136" s="3"/>
      <c r="LQ136" s="3"/>
      <c r="LR136" s="3"/>
      <c r="LS136" s="3"/>
      <c r="LT136" s="3"/>
      <c r="LU136" s="3"/>
      <c r="LV136" s="3"/>
      <c r="LW136" s="3"/>
      <c r="LX136" s="3"/>
      <c r="LY136" s="3"/>
      <c r="LZ136" s="3"/>
      <c r="MA136" s="3"/>
      <c r="MB136" s="3"/>
      <c r="MC136" s="3"/>
      <c r="MD136" s="3"/>
      <c r="ME136" s="3"/>
      <c r="MF136" s="3"/>
      <c r="MG136" s="3"/>
      <c r="MH136" s="3"/>
      <c r="MI136" s="3"/>
      <c r="MJ136" s="3"/>
      <c r="MK136" s="3"/>
      <c r="ML136" s="3"/>
      <c r="MM136" s="3"/>
      <c r="MN136" s="3"/>
      <c r="MO136" s="3"/>
      <c r="MP136" s="3"/>
      <c r="MQ136" s="3"/>
      <c r="MR136" s="3"/>
      <c r="MS136" s="3"/>
      <c r="MT136" s="3"/>
      <c r="MU136" s="3"/>
      <c r="MV136" s="3"/>
      <c r="MW136" s="3"/>
      <c r="MX136" s="3"/>
      <c r="MY136" s="3"/>
      <c r="MZ136" s="3"/>
      <c r="NA136" s="3"/>
      <c r="NB136" s="3"/>
      <c r="NC136" s="3"/>
      <c r="ND136" s="3"/>
      <c r="NE136" s="3"/>
      <c r="NF136" s="3"/>
      <c r="NG136" s="3"/>
      <c r="NH136" s="3"/>
      <c r="NI136" s="3"/>
      <c r="NJ136" s="3"/>
      <c r="NK136" s="3"/>
      <c r="NL136" s="3"/>
      <c r="NM136" s="3"/>
      <c r="NN136" s="3"/>
      <c r="NO136" s="3"/>
      <c r="NP136" s="3"/>
      <c r="NQ136" s="3"/>
      <c r="NR136" s="3"/>
      <c r="NS136" s="3"/>
      <c r="NT136" s="3"/>
      <c r="NU136" s="3"/>
      <c r="NV136" s="3"/>
      <c r="NW136" s="3"/>
      <c r="NX136" s="3"/>
      <c r="NY136" s="3"/>
      <c r="NZ136" s="3"/>
      <c r="OA136" s="3"/>
      <c r="OB136" s="3"/>
      <c r="OC136" s="3"/>
      <c r="OD136" s="3"/>
      <c r="OE136" s="3"/>
      <c r="OF136" s="3"/>
      <c r="OG136" s="3"/>
      <c r="OH136" s="3"/>
      <c r="OI136" s="3"/>
      <c r="OJ136" s="3"/>
      <c r="OK136" s="3"/>
      <c r="OL136" s="3"/>
      <c r="OM136" s="3"/>
      <c r="ON136" s="3"/>
      <c r="OO136" s="3"/>
      <c r="OP136" s="3"/>
      <c r="OQ136" s="3"/>
      <c r="OR136" s="3"/>
      <c r="OS136" s="3"/>
      <c r="OT136" s="3"/>
      <c r="OU136" s="3"/>
      <c r="OV136" s="3"/>
      <c r="OW136" s="3"/>
      <c r="OX136" s="3"/>
      <c r="OY136" s="3"/>
      <c r="OZ136" s="3"/>
      <c r="PA136" s="3"/>
      <c r="PB136" s="3"/>
      <c r="PC136" s="3"/>
      <c r="PD136" s="3"/>
      <c r="PE136" s="3"/>
      <c r="PF136" s="3"/>
      <c r="PG136" s="3"/>
      <c r="PH136" s="3"/>
      <c r="PI136" s="3"/>
      <c r="PJ136" s="3"/>
      <c r="PK136" s="3"/>
      <c r="PL136" s="3"/>
      <c r="PM136" s="3"/>
      <c r="PN136" s="3"/>
      <c r="PO136" s="3"/>
      <c r="PP136" s="3"/>
      <c r="PQ136" s="3"/>
      <c r="PR136" s="3"/>
      <c r="PS136" s="3"/>
      <c r="PT136" s="3"/>
      <c r="PU136" s="3"/>
      <c r="PV136" s="3"/>
      <c r="PW136" s="3"/>
      <c r="PX136" s="3"/>
      <c r="PY136" s="3"/>
      <c r="PZ136" s="3"/>
      <c r="QA136" s="3"/>
      <c r="QB136" s="3"/>
      <c r="QC136" s="3"/>
      <c r="QD136" s="3"/>
      <c r="QE136" s="3"/>
      <c r="QF136" s="3"/>
      <c r="QG136" s="3"/>
      <c r="QH136" s="3"/>
      <c r="QI136" s="3"/>
      <c r="QJ136" s="3"/>
      <c r="QK136" s="3"/>
      <c r="QL136" s="3"/>
      <c r="QM136" s="3"/>
      <c r="QN136" s="3"/>
      <c r="QO136" s="3"/>
      <c r="QP136" s="3"/>
      <c r="QQ136" s="3"/>
      <c r="QR136" s="3"/>
      <c r="QS136" s="3"/>
      <c r="QT136" s="3"/>
      <c r="QU136" s="3"/>
      <c r="QV136" s="3"/>
      <c r="QW136" s="3"/>
      <c r="QX136" s="3"/>
      <c r="QY136" s="3"/>
      <c r="QZ136" s="3"/>
      <c r="RA136" s="3"/>
      <c r="RB136" s="3"/>
      <c r="RC136" s="3"/>
      <c r="RD136" s="3"/>
      <c r="RE136" s="3"/>
      <c r="RF136" s="3"/>
      <c r="RG136" s="3"/>
      <c r="RH136" s="3"/>
      <c r="RI136" s="3"/>
      <c r="RJ136" s="3"/>
      <c r="RK136" s="3"/>
      <c r="RL136" s="3"/>
      <c r="RM136" s="3"/>
      <c r="RN136" s="3"/>
      <c r="RO136" s="3"/>
      <c r="RP136" s="3"/>
      <c r="RQ136" s="3"/>
      <c r="RR136" s="3"/>
      <c r="RS136" s="3"/>
      <c r="RT136" s="3"/>
      <c r="RU136" s="3"/>
      <c r="RV136" s="3"/>
      <c r="RW136" s="3"/>
      <c r="RX136" s="3"/>
      <c r="RY136" s="3"/>
      <c r="RZ136" s="3"/>
      <c r="SA136" s="3"/>
      <c r="SB136" s="3"/>
      <c r="SC136" s="3"/>
      <c r="SD136" s="3"/>
      <c r="SE136" s="3"/>
      <c r="SF136" s="3"/>
      <c r="SG136" s="3"/>
      <c r="SH136" s="3"/>
      <c r="SI136" s="3"/>
      <c r="SJ136" s="3"/>
      <c r="SK136" s="3"/>
      <c r="SL136" s="3"/>
      <c r="SM136" s="3"/>
      <c r="SN136" s="3"/>
      <c r="SO136" s="3"/>
      <c r="SP136" s="3"/>
      <c r="SQ136" s="3"/>
      <c r="SR136" s="3"/>
      <c r="SS136" s="3"/>
      <c r="ST136" s="3"/>
      <c r="SU136" s="3"/>
      <c r="SV136" s="3"/>
      <c r="SW136" s="3"/>
      <c r="SX136" s="3"/>
      <c r="SY136" s="3"/>
      <c r="SZ136" s="3"/>
      <c r="TA136" s="3"/>
      <c r="TB136" s="3"/>
      <c r="TC136" s="3"/>
      <c r="TD136" s="3"/>
      <c r="TE136" s="3"/>
      <c r="TF136" s="3"/>
      <c r="TG136" s="3"/>
      <c r="TH136" s="3"/>
      <c r="TI136" s="3"/>
      <c r="TJ136" s="3"/>
      <c r="TK136" s="3"/>
      <c r="TL136" s="3"/>
      <c r="TM136" s="3"/>
      <c r="TN136" s="3"/>
      <c r="TO136" s="3"/>
      <c r="TP136" s="3"/>
      <c r="TQ136" s="3"/>
      <c r="TR136" s="3"/>
      <c r="TS136" s="3"/>
      <c r="TT136" s="3"/>
      <c r="TU136" s="3"/>
      <c r="TV136" s="3"/>
      <c r="TW136" s="3"/>
      <c r="TX136" s="3"/>
      <c r="TY136" s="3"/>
      <c r="TZ136" s="3"/>
      <c r="UA136" s="3"/>
      <c r="UB136" s="3"/>
      <c r="UC136" s="3"/>
      <c r="UD136" s="3"/>
      <c r="UE136" s="3"/>
      <c r="UF136" s="3"/>
      <c r="UG136" s="3"/>
      <c r="UH136" s="3"/>
      <c r="UI136" s="3"/>
      <c r="UJ136" s="3"/>
      <c r="UK136" s="3"/>
      <c r="UL136" s="3"/>
      <c r="UM136" s="3"/>
      <c r="UN136" s="3"/>
      <c r="UO136" s="3"/>
      <c r="UP136" s="3"/>
      <c r="UQ136" s="3"/>
      <c r="UR136" s="3"/>
      <c r="US136" s="3"/>
      <c r="UT136" s="3"/>
      <c r="UU136" s="3"/>
      <c r="UV136" s="3"/>
      <c r="UW136" s="3"/>
      <c r="UX136" s="3"/>
      <c r="UY136" s="3"/>
      <c r="UZ136" s="3"/>
      <c r="VA136" s="3"/>
      <c r="VB136" s="3"/>
      <c r="VC136" s="3"/>
      <c r="VD136" s="3"/>
      <c r="VE136" s="3"/>
      <c r="VF136" s="3"/>
      <c r="VG136" s="3"/>
      <c r="VH136" s="3"/>
      <c r="VI136" s="3"/>
      <c r="VJ136" s="3"/>
      <c r="VK136" s="3"/>
      <c r="VL136" s="3"/>
      <c r="VM136" s="3"/>
      <c r="VN136" s="3"/>
      <c r="VO136" s="3"/>
      <c r="VP136" s="3"/>
      <c r="VQ136" s="3"/>
      <c r="VR136" s="3"/>
      <c r="VS136" s="3"/>
      <c r="VT136" s="3"/>
      <c r="VU136" s="3"/>
      <c r="VV136" s="3"/>
      <c r="VW136" s="3"/>
      <c r="VX136" s="3"/>
      <c r="VY136" s="3"/>
      <c r="VZ136" s="3"/>
      <c r="WA136" s="3"/>
      <c r="WB136" s="3"/>
      <c r="WC136" s="3"/>
      <c r="WD136" s="3"/>
      <c r="WE136" s="3"/>
      <c r="WF136" s="3"/>
      <c r="WG136" s="3"/>
      <c r="WH136" s="3"/>
      <c r="WI136" s="3"/>
      <c r="WJ136" s="3"/>
      <c r="WK136" s="3"/>
      <c r="WL136" s="3"/>
      <c r="WM136" s="3"/>
      <c r="WN136" s="3"/>
      <c r="WO136" s="3"/>
      <c r="WP136" s="3"/>
      <c r="WQ136" s="3"/>
      <c r="WR136" s="3"/>
      <c r="WS136" s="3"/>
      <c r="WT136" s="3"/>
      <c r="WU136" s="3"/>
      <c r="WV136" s="3"/>
      <c r="WW136" s="3"/>
      <c r="WX136" s="3"/>
      <c r="WY136" s="3"/>
      <c r="WZ136" s="3"/>
      <c r="XA136" s="3"/>
      <c r="XB136" s="3"/>
      <c r="XC136" s="3"/>
      <c r="XD136" s="3"/>
      <c r="XE136" s="3"/>
      <c r="XF136" s="3"/>
      <c r="XG136" s="3"/>
      <c r="XH136" s="3"/>
      <c r="XI136" s="3"/>
      <c r="XJ136" s="3"/>
      <c r="XK136" s="3"/>
      <c r="XL136" s="3"/>
      <c r="XM136" s="3"/>
      <c r="XN136" s="3"/>
      <c r="XO136" s="3"/>
      <c r="XP136" s="3"/>
      <c r="XQ136" s="3"/>
      <c r="XR136" s="3"/>
      <c r="XS136" s="3"/>
      <c r="XT136" s="3"/>
      <c r="XU136" s="3"/>
      <c r="XV136" s="3"/>
      <c r="XW136" s="3"/>
      <c r="XX136" s="3"/>
      <c r="XY136" s="3"/>
      <c r="XZ136" s="3"/>
      <c r="YA136" s="3"/>
      <c r="YB136" s="3"/>
      <c r="YC136" s="3"/>
      <c r="YD136" s="3"/>
      <c r="YE136" s="3"/>
      <c r="YF136" s="3"/>
      <c r="YG136" s="3"/>
      <c r="YH136" s="3"/>
      <c r="YI136" s="3"/>
      <c r="YJ136" s="3"/>
      <c r="YK136" s="3"/>
      <c r="YL136" s="3"/>
      <c r="YM136" s="3"/>
      <c r="YN136" s="3"/>
      <c r="YO136" s="3"/>
      <c r="YP136" s="3"/>
      <c r="YQ136" s="3"/>
      <c r="YR136" s="3"/>
      <c r="YS136" s="3"/>
      <c r="YT136" s="3"/>
      <c r="YU136" s="3"/>
      <c r="YV136" s="3"/>
      <c r="YW136" s="3"/>
      <c r="YX136" s="3"/>
      <c r="YY136" s="3"/>
      <c r="YZ136" s="3"/>
      <c r="ZA136" s="3"/>
      <c r="ZB136" s="3"/>
      <c r="ZC136" s="3"/>
    </row>
    <row r="137" spans="1:679" s="2" customFormat="1" x14ac:dyDescent="0.45">
      <c r="A137" s="3" t="s">
        <v>11</v>
      </c>
      <c r="B137" s="4">
        <v>34331</v>
      </c>
      <c r="C137" s="7" t="s">
        <v>25</v>
      </c>
      <c r="D137" s="6" t="s">
        <v>152</v>
      </c>
      <c r="E137" s="3"/>
      <c r="F137" s="3">
        <v>2</v>
      </c>
      <c r="L137" s="3"/>
      <c r="M137" s="3"/>
      <c r="N137" s="48"/>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3"/>
      <c r="DK137" s="3"/>
      <c r="DL137" s="3"/>
      <c r="DM137" s="3"/>
      <c r="DN137" s="3"/>
      <c r="DO137" s="3"/>
      <c r="DP137" s="3"/>
      <c r="DQ137" s="3"/>
      <c r="DR137" s="3"/>
      <c r="DS137" s="3"/>
      <c r="DT137" s="3"/>
      <c r="DU137" s="3"/>
      <c r="DV137" s="3"/>
      <c r="DW137" s="3"/>
      <c r="DX137" s="3"/>
      <c r="DY137" s="3"/>
      <c r="DZ137" s="3"/>
      <c r="EA137" s="3"/>
      <c r="EB137" s="3"/>
      <c r="EC137" s="3"/>
      <c r="ED137" s="3"/>
      <c r="EE137" s="3"/>
      <c r="EF137" s="3"/>
      <c r="EG137" s="3"/>
      <c r="EH137" s="3"/>
      <c r="EI137" s="3"/>
      <c r="EJ137" s="3"/>
      <c r="EK137" s="3"/>
      <c r="EL137" s="3"/>
      <c r="EM137" s="3"/>
      <c r="EN137" s="3"/>
      <c r="EO137" s="3"/>
      <c r="EP137" s="3"/>
      <c r="EQ137" s="3"/>
      <c r="ER137" s="3"/>
      <c r="ES137" s="3"/>
      <c r="ET137" s="3"/>
      <c r="EU137" s="3"/>
      <c r="EV137" s="3"/>
      <c r="EW137" s="3"/>
      <c r="EX137" s="3"/>
      <c r="EY137" s="3"/>
      <c r="EZ137" s="3"/>
      <c r="FA137" s="3"/>
      <c r="FB137" s="3"/>
      <c r="FC137" s="3"/>
      <c r="FD137" s="3"/>
      <c r="FE137" s="3"/>
      <c r="FF137" s="3"/>
      <c r="FG137" s="3"/>
      <c r="FH137" s="3"/>
      <c r="FI137" s="3"/>
      <c r="FJ137" s="3"/>
      <c r="FK137" s="3"/>
      <c r="FL137" s="3"/>
      <c r="FM137" s="3"/>
      <c r="FN137" s="3"/>
      <c r="FO137" s="3"/>
      <c r="FP137" s="3"/>
      <c r="FQ137" s="3"/>
      <c r="FR137" s="3"/>
      <c r="FS137" s="3"/>
      <c r="FT137" s="3"/>
      <c r="FU137" s="3"/>
      <c r="FV137" s="3"/>
      <c r="FW137" s="3"/>
      <c r="FX137" s="3"/>
      <c r="FY137" s="3"/>
      <c r="FZ137" s="3"/>
      <c r="GA137" s="3"/>
      <c r="GB137" s="3"/>
      <c r="GC137" s="3"/>
      <c r="GD137" s="3"/>
      <c r="GE137" s="3"/>
      <c r="GF137" s="3"/>
      <c r="GG137" s="3"/>
      <c r="GH137" s="3"/>
      <c r="GI137" s="3"/>
      <c r="GJ137" s="3"/>
      <c r="GK137" s="3"/>
      <c r="GL137" s="3"/>
      <c r="GM137" s="3"/>
      <c r="GN137" s="3"/>
      <c r="GO137" s="3"/>
      <c r="GP137" s="3"/>
      <c r="GQ137" s="3"/>
      <c r="GR137" s="3"/>
      <c r="GS137" s="3"/>
      <c r="GT137" s="3"/>
      <c r="GU137" s="3"/>
      <c r="GV137" s="3"/>
      <c r="GW137" s="3"/>
      <c r="GX137" s="3"/>
      <c r="GY137" s="3"/>
      <c r="GZ137" s="3"/>
      <c r="HA137" s="3"/>
      <c r="HB137" s="3"/>
      <c r="HC137" s="3"/>
      <c r="HD137" s="3"/>
      <c r="HE137" s="3"/>
      <c r="HF137" s="3"/>
      <c r="HG137" s="3"/>
      <c r="HH137" s="3"/>
      <c r="HI137" s="3"/>
      <c r="HJ137" s="3"/>
      <c r="HK137" s="3"/>
      <c r="HL137" s="3"/>
      <c r="HM137" s="3"/>
      <c r="HN137" s="3"/>
      <c r="HO137" s="3"/>
      <c r="HP137" s="3"/>
      <c r="HQ137" s="3"/>
      <c r="HR137" s="3"/>
      <c r="HS137" s="3"/>
      <c r="HT137" s="3"/>
      <c r="HU137" s="3"/>
      <c r="HV137" s="3"/>
      <c r="HW137" s="3"/>
      <c r="HX137" s="3"/>
      <c r="HY137" s="3"/>
      <c r="HZ137" s="3"/>
      <c r="IA137" s="3"/>
      <c r="IB137" s="3"/>
      <c r="IC137" s="3"/>
      <c r="ID137" s="3"/>
      <c r="IE137" s="3"/>
      <c r="IF137" s="3"/>
      <c r="IG137" s="3"/>
      <c r="IH137" s="3"/>
      <c r="II137" s="3"/>
      <c r="IJ137" s="3"/>
      <c r="IK137" s="3"/>
      <c r="IL137" s="3"/>
      <c r="IM137" s="3"/>
      <c r="IN137" s="3"/>
      <c r="IO137" s="3"/>
      <c r="IP137" s="3"/>
      <c r="IQ137" s="3"/>
      <c r="IR137" s="3"/>
      <c r="IS137" s="3"/>
      <c r="IT137" s="3"/>
      <c r="IU137" s="3"/>
      <c r="IV137" s="3"/>
      <c r="IW137" s="3"/>
      <c r="IX137" s="3"/>
      <c r="IY137" s="3"/>
      <c r="IZ137" s="3"/>
      <c r="JA137" s="3"/>
      <c r="JB137" s="3"/>
      <c r="JC137" s="3"/>
      <c r="JD137" s="3"/>
      <c r="JE137" s="3"/>
      <c r="JF137" s="3"/>
      <c r="JG137" s="3"/>
      <c r="JH137" s="3"/>
      <c r="JI137" s="3"/>
      <c r="JJ137" s="3"/>
      <c r="JK137" s="3"/>
      <c r="JL137" s="3"/>
      <c r="JM137" s="3"/>
      <c r="JN137" s="3"/>
      <c r="JO137" s="3"/>
      <c r="JP137" s="3"/>
      <c r="JQ137" s="3"/>
      <c r="JR137" s="3"/>
      <c r="JS137" s="3"/>
      <c r="JT137" s="3"/>
      <c r="JU137" s="3"/>
      <c r="JV137" s="3"/>
      <c r="JW137" s="3"/>
      <c r="JX137" s="3"/>
      <c r="JY137" s="3"/>
      <c r="JZ137" s="3"/>
      <c r="KA137" s="3"/>
      <c r="KB137" s="3"/>
      <c r="KC137" s="3"/>
      <c r="KD137" s="3"/>
      <c r="KE137" s="3"/>
      <c r="KF137" s="3"/>
      <c r="KG137" s="3"/>
      <c r="KH137" s="3"/>
      <c r="KI137" s="3"/>
      <c r="KJ137" s="3"/>
      <c r="KK137" s="3"/>
      <c r="KL137" s="3"/>
      <c r="KM137" s="3"/>
      <c r="KN137" s="3"/>
      <c r="KO137" s="3"/>
      <c r="KP137" s="3"/>
      <c r="KQ137" s="3"/>
      <c r="KR137" s="3"/>
      <c r="KS137" s="3"/>
      <c r="KT137" s="3"/>
      <c r="KU137" s="3"/>
      <c r="KV137" s="3"/>
      <c r="KW137" s="3"/>
      <c r="KX137" s="3"/>
      <c r="KY137" s="3"/>
      <c r="KZ137" s="3"/>
      <c r="LA137" s="3"/>
      <c r="LB137" s="3"/>
      <c r="LC137" s="3"/>
      <c r="LD137" s="3"/>
      <c r="LE137" s="3"/>
      <c r="LF137" s="3"/>
      <c r="LG137" s="3"/>
      <c r="LH137" s="3"/>
      <c r="LI137" s="3"/>
      <c r="LJ137" s="3"/>
      <c r="LK137" s="3"/>
      <c r="LL137" s="3"/>
      <c r="LM137" s="3"/>
      <c r="LN137" s="3"/>
      <c r="LO137" s="3"/>
      <c r="LP137" s="3"/>
      <c r="LQ137" s="3"/>
      <c r="LR137" s="3"/>
      <c r="LS137" s="3"/>
      <c r="LT137" s="3"/>
      <c r="LU137" s="3"/>
      <c r="LV137" s="3"/>
      <c r="LW137" s="3"/>
      <c r="LX137" s="3"/>
      <c r="LY137" s="3"/>
      <c r="LZ137" s="3"/>
      <c r="MA137" s="3"/>
      <c r="MB137" s="3"/>
      <c r="MC137" s="3"/>
      <c r="MD137" s="3"/>
      <c r="ME137" s="3"/>
      <c r="MF137" s="3"/>
      <c r="MG137" s="3"/>
      <c r="MH137" s="3"/>
      <c r="MI137" s="3"/>
      <c r="MJ137" s="3"/>
      <c r="MK137" s="3"/>
      <c r="ML137" s="3"/>
      <c r="MM137" s="3"/>
      <c r="MN137" s="3"/>
      <c r="MO137" s="3"/>
      <c r="MP137" s="3"/>
      <c r="MQ137" s="3"/>
      <c r="MR137" s="3"/>
      <c r="MS137" s="3"/>
      <c r="MT137" s="3"/>
      <c r="MU137" s="3"/>
      <c r="MV137" s="3"/>
      <c r="MW137" s="3"/>
      <c r="MX137" s="3"/>
      <c r="MY137" s="3"/>
      <c r="MZ137" s="3"/>
      <c r="NA137" s="3"/>
      <c r="NB137" s="3"/>
      <c r="NC137" s="3"/>
      <c r="ND137" s="3"/>
      <c r="NE137" s="3"/>
      <c r="NF137" s="3"/>
      <c r="NG137" s="3"/>
      <c r="NH137" s="3"/>
      <c r="NI137" s="3"/>
      <c r="NJ137" s="3"/>
      <c r="NK137" s="3"/>
      <c r="NL137" s="3"/>
      <c r="NM137" s="3"/>
      <c r="NN137" s="3"/>
      <c r="NO137" s="3"/>
      <c r="NP137" s="3"/>
      <c r="NQ137" s="3"/>
      <c r="NR137" s="3"/>
      <c r="NS137" s="3"/>
      <c r="NT137" s="3"/>
      <c r="NU137" s="3"/>
      <c r="NV137" s="3"/>
      <c r="NW137" s="3"/>
      <c r="NX137" s="3"/>
      <c r="NY137" s="3"/>
      <c r="NZ137" s="3"/>
      <c r="OA137" s="3"/>
      <c r="OB137" s="3"/>
      <c r="OC137" s="3"/>
      <c r="OD137" s="3"/>
      <c r="OE137" s="3"/>
      <c r="OF137" s="3"/>
      <c r="OG137" s="3"/>
      <c r="OH137" s="3"/>
      <c r="OI137" s="3"/>
      <c r="OJ137" s="3"/>
      <c r="OK137" s="3"/>
      <c r="OL137" s="3"/>
      <c r="OM137" s="3"/>
      <c r="ON137" s="3"/>
      <c r="OO137" s="3"/>
      <c r="OP137" s="3"/>
      <c r="OQ137" s="3"/>
      <c r="OR137" s="3"/>
      <c r="OS137" s="3"/>
      <c r="OT137" s="3"/>
      <c r="OU137" s="3"/>
      <c r="OV137" s="3"/>
      <c r="OW137" s="3"/>
      <c r="OX137" s="3"/>
      <c r="OY137" s="3"/>
      <c r="OZ137" s="3"/>
      <c r="PA137" s="3"/>
      <c r="PB137" s="3"/>
      <c r="PC137" s="3"/>
      <c r="PD137" s="3"/>
      <c r="PE137" s="3"/>
      <c r="PF137" s="3"/>
      <c r="PG137" s="3"/>
      <c r="PH137" s="3"/>
      <c r="PI137" s="3"/>
      <c r="PJ137" s="3"/>
      <c r="PK137" s="3"/>
      <c r="PL137" s="3"/>
      <c r="PM137" s="3"/>
      <c r="PN137" s="3"/>
      <c r="PO137" s="3"/>
      <c r="PP137" s="3"/>
      <c r="PQ137" s="3"/>
      <c r="PR137" s="3"/>
      <c r="PS137" s="3"/>
      <c r="PT137" s="3"/>
      <c r="PU137" s="3"/>
      <c r="PV137" s="3"/>
      <c r="PW137" s="3"/>
      <c r="PX137" s="3"/>
      <c r="PY137" s="3"/>
      <c r="PZ137" s="3"/>
      <c r="QA137" s="3"/>
      <c r="QB137" s="3"/>
      <c r="QC137" s="3"/>
      <c r="QD137" s="3"/>
      <c r="QE137" s="3"/>
      <c r="QF137" s="3"/>
      <c r="QG137" s="3"/>
      <c r="QH137" s="3"/>
      <c r="QI137" s="3"/>
      <c r="QJ137" s="3"/>
      <c r="QK137" s="3"/>
      <c r="QL137" s="3"/>
      <c r="QM137" s="3"/>
      <c r="QN137" s="3"/>
      <c r="QO137" s="3"/>
      <c r="QP137" s="3"/>
      <c r="QQ137" s="3"/>
      <c r="QR137" s="3"/>
      <c r="QS137" s="3"/>
      <c r="QT137" s="3"/>
      <c r="QU137" s="3"/>
      <c r="QV137" s="3"/>
      <c r="QW137" s="3"/>
      <c r="QX137" s="3"/>
      <c r="QY137" s="3"/>
      <c r="QZ137" s="3"/>
      <c r="RA137" s="3"/>
      <c r="RB137" s="3"/>
      <c r="RC137" s="3"/>
      <c r="RD137" s="3"/>
      <c r="RE137" s="3"/>
      <c r="RF137" s="3"/>
      <c r="RG137" s="3"/>
      <c r="RH137" s="3"/>
      <c r="RI137" s="3"/>
      <c r="RJ137" s="3"/>
      <c r="RK137" s="3"/>
      <c r="RL137" s="3"/>
      <c r="RM137" s="3"/>
      <c r="RN137" s="3"/>
      <c r="RO137" s="3"/>
      <c r="RP137" s="3"/>
      <c r="RQ137" s="3"/>
      <c r="RR137" s="3"/>
      <c r="RS137" s="3"/>
      <c r="RT137" s="3"/>
      <c r="RU137" s="3"/>
      <c r="RV137" s="3"/>
      <c r="RW137" s="3"/>
      <c r="RX137" s="3"/>
      <c r="RY137" s="3"/>
      <c r="RZ137" s="3"/>
      <c r="SA137" s="3"/>
      <c r="SB137" s="3"/>
      <c r="SC137" s="3"/>
      <c r="SD137" s="3"/>
      <c r="SE137" s="3"/>
      <c r="SF137" s="3"/>
      <c r="SG137" s="3"/>
      <c r="SH137" s="3"/>
      <c r="SI137" s="3"/>
      <c r="SJ137" s="3"/>
      <c r="SK137" s="3"/>
      <c r="SL137" s="3"/>
      <c r="SM137" s="3"/>
      <c r="SN137" s="3"/>
      <c r="SO137" s="3"/>
      <c r="SP137" s="3"/>
      <c r="SQ137" s="3"/>
      <c r="SR137" s="3"/>
      <c r="SS137" s="3"/>
      <c r="ST137" s="3"/>
      <c r="SU137" s="3"/>
      <c r="SV137" s="3"/>
      <c r="SW137" s="3"/>
      <c r="SX137" s="3"/>
      <c r="SY137" s="3"/>
      <c r="SZ137" s="3"/>
      <c r="TA137" s="3"/>
      <c r="TB137" s="3"/>
      <c r="TC137" s="3"/>
      <c r="TD137" s="3"/>
      <c r="TE137" s="3"/>
      <c r="TF137" s="3"/>
      <c r="TG137" s="3"/>
      <c r="TH137" s="3"/>
      <c r="TI137" s="3"/>
      <c r="TJ137" s="3"/>
      <c r="TK137" s="3"/>
      <c r="TL137" s="3"/>
      <c r="TM137" s="3"/>
      <c r="TN137" s="3"/>
      <c r="TO137" s="3"/>
      <c r="TP137" s="3"/>
      <c r="TQ137" s="3"/>
      <c r="TR137" s="3"/>
      <c r="TS137" s="3"/>
      <c r="TT137" s="3"/>
      <c r="TU137" s="3"/>
      <c r="TV137" s="3"/>
      <c r="TW137" s="3"/>
      <c r="TX137" s="3"/>
      <c r="TY137" s="3"/>
      <c r="TZ137" s="3"/>
      <c r="UA137" s="3"/>
      <c r="UB137" s="3"/>
      <c r="UC137" s="3"/>
      <c r="UD137" s="3"/>
      <c r="UE137" s="3"/>
      <c r="UF137" s="3"/>
      <c r="UG137" s="3"/>
      <c r="UH137" s="3"/>
      <c r="UI137" s="3"/>
      <c r="UJ137" s="3"/>
      <c r="UK137" s="3"/>
      <c r="UL137" s="3"/>
      <c r="UM137" s="3"/>
      <c r="UN137" s="3"/>
      <c r="UO137" s="3"/>
      <c r="UP137" s="3"/>
      <c r="UQ137" s="3"/>
      <c r="UR137" s="3"/>
      <c r="US137" s="3"/>
      <c r="UT137" s="3"/>
      <c r="UU137" s="3"/>
      <c r="UV137" s="3"/>
      <c r="UW137" s="3"/>
      <c r="UX137" s="3"/>
      <c r="UY137" s="3"/>
      <c r="UZ137" s="3"/>
      <c r="VA137" s="3"/>
      <c r="VB137" s="3"/>
      <c r="VC137" s="3"/>
      <c r="VD137" s="3"/>
      <c r="VE137" s="3"/>
      <c r="VF137" s="3"/>
      <c r="VG137" s="3"/>
      <c r="VH137" s="3"/>
      <c r="VI137" s="3"/>
      <c r="VJ137" s="3"/>
      <c r="VK137" s="3"/>
      <c r="VL137" s="3"/>
      <c r="VM137" s="3"/>
      <c r="VN137" s="3"/>
      <c r="VO137" s="3"/>
      <c r="VP137" s="3"/>
      <c r="VQ137" s="3"/>
      <c r="VR137" s="3"/>
      <c r="VS137" s="3"/>
      <c r="VT137" s="3"/>
      <c r="VU137" s="3"/>
      <c r="VV137" s="3"/>
      <c r="VW137" s="3"/>
      <c r="VX137" s="3"/>
      <c r="VY137" s="3"/>
      <c r="VZ137" s="3"/>
      <c r="WA137" s="3"/>
      <c r="WB137" s="3"/>
      <c r="WC137" s="3"/>
      <c r="WD137" s="3"/>
      <c r="WE137" s="3"/>
      <c r="WF137" s="3"/>
      <c r="WG137" s="3"/>
      <c r="WH137" s="3"/>
      <c r="WI137" s="3"/>
      <c r="WJ137" s="3"/>
      <c r="WK137" s="3"/>
      <c r="WL137" s="3"/>
      <c r="WM137" s="3"/>
      <c r="WN137" s="3"/>
      <c r="WO137" s="3"/>
      <c r="WP137" s="3"/>
      <c r="WQ137" s="3"/>
      <c r="WR137" s="3"/>
      <c r="WS137" s="3"/>
      <c r="WT137" s="3"/>
      <c r="WU137" s="3"/>
      <c r="WV137" s="3"/>
      <c r="WW137" s="3"/>
      <c r="WX137" s="3"/>
      <c r="WY137" s="3"/>
      <c r="WZ137" s="3"/>
      <c r="XA137" s="3"/>
      <c r="XB137" s="3"/>
      <c r="XC137" s="3"/>
      <c r="XD137" s="3"/>
      <c r="XE137" s="3"/>
      <c r="XF137" s="3"/>
      <c r="XG137" s="3"/>
      <c r="XH137" s="3"/>
      <c r="XI137" s="3"/>
      <c r="XJ137" s="3"/>
      <c r="XK137" s="3"/>
      <c r="XL137" s="3"/>
      <c r="XM137" s="3"/>
      <c r="XN137" s="3"/>
      <c r="XO137" s="3"/>
      <c r="XP137" s="3"/>
      <c r="XQ137" s="3"/>
      <c r="XR137" s="3"/>
      <c r="XS137" s="3"/>
      <c r="XT137" s="3"/>
      <c r="XU137" s="3"/>
      <c r="XV137" s="3"/>
      <c r="XW137" s="3"/>
      <c r="XX137" s="3"/>
      <c r="XY137" s="3"/>
      <c r="XZ137" s="3"/>
      <c r="YA137" s="3"/>
      <c r="YB137" s="3"/>
      <c r="YC137" s="3"/>
      <c r="YD137" s="3"/>
      <c r="YE137" s="3"/>
      <c r="YF137" s="3"/>
      <c r="YG137" s="3"/>
      <c r="YH137" s="3"/>
      <c r="YI137" s="3"/>
      <c r="YJ137" s="3"/>
      <c r="YK137" s="3"/>
      <c r="YL137" s="3"/>
      <c r="YM137" s="3"/>
      <c r="YN137" s="3"/>
      <c r="YO137" s="3"/>
      <c r="YP137" s="3"/>
      <c r="YQ137" s="3"/>
      <c r="YR137" s="3"/>
      <c r="YS137" s="3"/>
      <c r="YT137" s="3"/>
      <c r="YU137" s="3"/>
      <c r="YV137" s="3"/>
      <c r="YW137" s="3"/>
      <c r="YX137" s="3"/>
      <c r="YY137" s="3"/>
      <c r="YZ137" s="3"/>
      <c r="ZA137" s="3"/>
      <c r="ZB137" s="3"/>
      <c r="ZC137" s="3"/>
    </row>
    <row r="138" spans="1:679" s="2" customFormat="1" x14ac:dyDescent="0.45">
      <c r="A138" s="3" t="s">
        <v>11</v>
      </c>
      <c r="B138" s="4">
        <v>34352</v>
      </c>
      <c r="C138" s="7" t="s">
        <v>21</v>
      </c>
      <c r="D138" s="6" t="s">
        <v>153</v>
      </c>
      <c r="E138" s="3"/>
      <c r="F138" s="3">
        <v>26</v>
      </c>
      <c r="L138" s="3"/>
      <c r="M138" s="3"/>
      <c r="N138" s="48"/>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c r="DQ138" s="3"/>
      <c r="DR138" s="3"/>
      <c r="DS138" s="3"/>
      <c r="DT138" s="3"/>
      <c r="DU138" s="3"/>
      <c r="DV138" s="3"/>
      <c r="DW138" s="3"/>
      <c r="DX138" s="3"/>
      <c r="DY138" s="3"/>
      <c r="DZ138" s="3"/>
      <c r="EA138" s="3"/>
      <c r="EB138" s="3"/>
      <c r="EC138" s="3"/>
      <c r="ED138" s="3"/>
      <c r="EE138" s="3"/>
      <c r="EF138" s="3"/>
      <c r="EG138" s="3"/>
      <c r="EH138" s="3"/>
      <c r="EI138" s="3"/>
      <c r="EJ138" s="3"/>
      <c r="EK138" s="3"/>
      <c r="EL138" s="3"/>
      <c r="EM138" s="3"/>
      <c r="EN138" s="3"/>
      <c r="EO138" s="3"/>
      <c r="EP138" s="3"/>
      <c r="EQ138" s="3"/>
      <c r="ER138" s="3"/>
      <c r="ES138" s="3"/>
      <c r="ET138" s="3"/>
      <c r="EU138" s="3"/>
      <c r="EV138" s="3"/>
      <c r="EW138" s="3"/>
      <c r="EX138" s="3"/>
      <c r="EY138" s="3"/>
      <c r="EZ138" s="3"/>
      <c r="FA138" s="3"/>
      <c r="FB138" s="3"/>
      <c r="FC138" s="3"/>
      <c r="FD138" s="3"/>
      <c r="FE138" s="3"/>
      <c r="FF138" s="3"/>
      <c r="FG138" s="3"/>
      <c r="FH138" s="3"/>
      <c r="FI138" s="3"/>
      <c r="FJ138" s="3"/>
      <c r="FK138" s="3"/>
      <c r="FL138" s="3"/>
      <c r="FM138" s="3"/>
      <c r="FN138" s="3"/>
      <c r="FO138" s="3"/>
      <c r="FP138" s="3"/>
      <c r="FQ138" s="3"/>
      <c r="FR138" s="3"/>
      <c r="FS138" s="3"/>
      <c r="FT138" s="3"/>
      <c r="FU138" s="3"/>
      <c r="FV138" s="3"/>
      <c r="FW138" s="3"/>
      <c r="FX138" s="3"/>
      <c r="FY138" s="3"/>
      <c r="FZ138" s="3"/>
      <c r="GA138" s="3"/>
      <c r="GB138" s="3"/>
      <c r="GC138" s="3"/>
      <c r="GD138" s="3"/>
      <c r="GE138" s="3"/>
      <c r="GF138" s="3"/>
      <c r="GG138" s="3"/>
      <c r="GH138" s="3"/>
      <c r="GI138" s="3"/>
      <c r="GJ138" s="3"/>
      <c r="GK138" s="3"/>
      <c r="GL138" s="3"/>
      <c r="GM138" s="3"/>
      <c r="GN138" s="3"/>
      <c r="GO138" s="3"/>
      <c r="GP138" s="3"/>
      <c r="GQ138" s="3"/>
      <c r="GR138" s="3"/>
      <c r="GS138" s="3"/>
      <c r="GT138" s="3"/>
      <c r="GU138" s="3"/>
      <c r="GV138" s="3"/>
      <c r="GW138" s="3"/>
      <c r="GX138" s="3"/>
      <c r="GY138" s="3"/>
      <c r="GZ138" s="3"/>
      <c r="HA138" s="3"/>
      <c r="HB138" s="3"/>
      <c r="HC138" s="3"/>
      <c r="HD138" s="3"/>
      <c r="HE138" s="3"/>
      <c r="HF138" s="3"/>
      <c r="HG138" s="3"/>
      <c r="HH138" s="3"/>
      <c r="HI138" s="3"/>
      <c r="HJ138" s="3"/>
      <c r="HK138" s="3"/>
      <c r="HL138" s="3"/>
      <c r="HM138" s="3"/>
      <c r="HN138" s="3"/>
      <c r="HO138" s="3"/>
      <c r="HP138" s="3"/>
      <c r="HQ138" s="3"/>
      <c r="HR138" s="3"/>
      <c r="HS138" s="3"/>
      <c r="HT138" s="3"/>
      <c r="HU138" s="3"/>
      <c r="HV138" s="3"/>
      <c r="HW138" s="3"/>
      <c r="HX138" s="3"/>
      <c r="HY138" s="3"/>
      <c r="HZ138" s="3"/>
      <c r="IA138" s="3"/>
      <c r="IB138" s="3"/>
      <c r="IC138" s="3"/>
      <c r="ID138" s="3"/>
      <c r="IE138" s="3"/>
      <c r="IF138" s="3"/>
      <c r="IG138" s="3"/>
      <c r="IH138" s="3"/>
      <c r="II138" s="3"/>
      <c r="IJ138" s="3"/>
      <c r="IK138" s="3"/>
      <c r="IL138" s="3"/>
      <c r="IM138" s="3"/>
      <c r="IN138" s="3"/>
      <c r="IO138" s="3"/>
      <c r="IP138" s="3"/>
      <c r="IQ138" s="3"/>
      <c r="IR138" s="3"/>
      <c r="IS138" s="3"/>
      <c r="IT138" s="3"/>
      <c r="IU138" s="3"/>
      <c r="IV138" s="3"/>
      <c r="IW138" s="3"/>
      <c r="IX138" s="3"/>
      <c r="IY138" s="3"/>
      <c r="IZ138" s="3"/>
      <c r="JA138" s="3"/>
      <c r="JB138" s="3"/>
      <c r="JC138" s="3"/>
      <c r="JD138" s="3"/>
      <c r="JE138" s="3"/>
      <c r="JF138" s="3"/>
      <c r="JG138" s="3"/>
      <c r="JH138" s="3"/>
      <c r="JI138" s="3"/>
      <c r="JJ138" s="3"/>
      <c r="JK138" s="3"/>
      <c r="JL138" s="3"/>
      <c r="JM138" s="3"/>
      <c r="JN138" s="3"/>
      <c r="JO138" s="3"/>
      <c r="JP138" s="3"/>
      <c r="JQ138" s="3"/>
      <c r="JR138" s="3"/>
      <c r="JS138" s="3"/>
      <c r="JT138" s="3"/>
      <c r="JU138" s="3"/>
      <c r="JV138" s="3"/>
      <c r="JW138" s="3"/>
      <c r="JX138" s="3"/>
      <c r="JY138" s="3"/>
      <c r="JZ138" s="3"/>
      <c r="KA138" s="3"/>
      <c r="KB138" s="3"/>
      <c r="KC138" s="3"/>
      <c r="KD138" s="3"/>
      <c r="KE138" s="3"/>
      <c r="KF138" s="3"/>
      <c r="KG138" s="3"/>
      <c r="KH138" s="3"/>
      <c r="KI138" s="3"/>
      <c r="KJ138" s="3"/>
      <c r="KK138" s="3"/>
      <c r="KL138" s="3"/>
      <c r="KM138" s="3"/>
      <c r="KN138" s="3"/>
      <c r="KO138" s="3"/>
      <c r="KP138" s="3"/>
      <c r="KQ138" s="3"/>
      <c r="KR138" s="3"/>
      <c r="KS138" s="3"/>
      <c r="KT138" s="3"/>
      <c r="KU138" s="3"/>
      <c r="KV138" s="3"/>
      <c r="KW138" s="3"/>
      <c r="KX138" s="3"/>
      <c r="KY138" s="3"/>
      <c r="KZ138" s="3"/>
      <c r="LA138" s="3"/>
      <c r="LB138" s="3"/>
      <c r="LC138" s="3"/>
      <c r="LD138" s="3"/>
      <c r="LE138" s="3"/>
      <c r="LF138" s="3"/>
      <c r="LG138" s="3"/>
      <c r="LH138" s="3"/>
      <c r="LI138" s="3"/>
      <c r="LJ138" s="3"/>
      <c r="LK138" s="3"/>
      <c r="LL138" s="3"/>
      <c r="LM138" s="3"/>
      <c r="LN138" s="3"/>
      <c r="LO138" s="3"/>
      <c r="LP138" s="3"/>
      <c r="LQ138" s="3"/>
      <c r="LR138" s="3"/>
      <c r="LS138" s="3"/>
      <c r="LT138" s="3"/>
      <c r="LU138" s="3"/>
      <c r="LV138" s="3"/>
      <c r="LW138" s="3"/>
      <c r="LX138" s="3"/>
      <c r="LY138" s="3"/>
      <c r="LZ138" s="3"/>
      <c r="MA138" s="3"/>
      <c r="MB138" s="3"/>
      <c r="MC138" s="3"/>
      <c r="MD138" s="3"/>
      <c r="ME138" s="3"/>
      <c r="MF138" s="3"/>
      <c r="MG138" s="3"/>
      <c r="MH138" s="3"/>
      <c r="MI138" s="3"/>
      <c r="MJ138" s="3"/>
      <c r="MK138" s="3"/>
      <c r="ML138" s="3"/>
      <c r="MM138" s="3"/>
      <c r="MN138" s="3"/>
      <c r="MO138" s="3"/>
      <c r="MP138" s="3"/>
      <c r="MQ138" s="3"/>
      <c r="MR138" s="3"/>
      <c r="MS138" s="3"/>
      <c r="MT138" s="3"/>
      <c r="MU138" s="3"/>
      <c r="MV138" s="3"/>
      <c r="MW138" s="3"/>
      <c r="MX138" s="3"/>
      <c r="MY138" s="3"/>
      <c r="MZ138" s="3"/>
      <c r="NA138" s="3"/>
      <c r="NB138" s="3"/>
      <c r="NC138" s="3"/>
      <c r="ND138" s="3"/>
      <c r="NE138" s="3"/>
      <c r="NF138" s="3"/>
      <c r="NG138" s="3"/>
      <c r="NH138" s="3"/>
      <c r="NI138" s="3"/>
      <c r="NJ138" s="3"/>
      <c r="NK138" s="3"/>
      <c r="NL138" s="3"/>
      <c r="NM138" s="3"/>
      <c r="NN138" s="3"/>
      <c r="NO138" s="3"/>
      <c r="NP138" s="3"/>
      <c r="NQ138" s="3"/>
      <c r="NR138" s="3"/>
      <c r="NS138" s="3"/>
      <c r="NT138" s="3"/>
      <c r="NU138" s="3"/>
      <c r="NV138" s="3"/>
      <c r="NW138" s="3"/>
      <c r="NX138" s="3"/>
      <c r="NY138" s="3"/>
      <c r="NZ138" s="3"/>
      <c r="OA138" s="3"/>
      <c r="OB138" s="3"/>
      <c r="OC138" s="3"/>
      <c r="OD138" s="3"/>
      <c r="OE138" s="3"/>
      <c r="OF138" s="3"/>
      <c r="OG138" s="3"/>
      <c r="OH138" s="3"/>
      <c r="OI138" s="3"/>
      <c r="OJ138" s="3"/>
      <c r="OK138" s="3"/>
      <c r="OL138" s="3"/>
      <c r="OM138" s="3"/>
      <c r="ON138" s="3"/>
      <c r="OO138" s="3"/>
      <c r="OP138" s="3"/>
      <c r="OQ138" s="3"/>
      <c r="OR138" s="3"/>
      <c r="OS138" s="3"/>
      <c r="OT138" s="3"/>
      <c r="OU138" s="3"/>
      <c r="OV138" s="3"/>
      <c r="OW138" s="3"/>
      <c r="OX138" s="3"/>
      <c r="OY138" s="3"/>
      <c r="OZ138" s="3"/>
      <c r="PA138" s="3"/>
      <c r="PB138" s="3"/>
      <c r="PC138" s="3"/>
      <c r="PD138" s="3"/>
      <c r="PE138" s="3"/>
      <c r="PF138" s="3"/>
      <c r="PG138" s="3"/>
      <c r="PH138" s="3"/>
      <c r="PI138" s="3"/>
      <c r="PJ138" s="3"/>
      <c r="PK138" s="3"/>
      <c r="PL138" s="3"/>
      <c r="PM138" s="3"/>
      <c r="PN138" s="3"/>
      <c r="PO138" s="3"/>
      <c r="PP138" s="3"/>
      <c r="PQ138" s="3"/>
      <c r="PR138" s="3"/>
      <c r="PS138" s="3"/>
      <c r="PT138" s="3"/>
      <c r="PU138" s="3"/>
      <c r="PV138" s="3"/>
      <c r="PW138" s="3"/>
      <c r="PX138" s="3"/>
      <c r="PY138" s="3"/>
      <c r="PZ138" s="3"/>
      <c r="QA138" s="3"/>
      <c r="QB138" s="3"/>
      <c r="QC138" s="3"/>
      <c r="QD138" s="3"/>
      <c r="QE138" s="3"/>
      <c r="QF138" s="3"/>
      <c r="QG138" s="3"/>
      <c r="QH138" s="3"/>
      <c r="QI138" s="3"/>
      <c r="QJ138" s="3"/>
      <c r="QK138" s="3"/>
      <c r="QL138" s="3"/>
      <c r="QM138" s="3"/>
      <c r="QN138" s="3"/>
      <c r="QO138" s="3"/>
      <c r="QP138" s="3"/>
      <c r="QQ138" s="3"/>
      <c r="QR138" s="3"/>
      <c r="QS138" s="3"/>
      <c r="QT138" s="3"/>
      <c r="QU138" s="3"/>
      <c r="QV138" s="3"/>
      <c r="QW138" s="3"/>
      <c r="QX138" s="3"/>
      <c r="QY138" s="3"/>
      <c r="QZ138" s="3"/>
      <c r="RA138" s="3"/>
      <c r="RB138" s="3"/>
      <c r="RC138" s="3"/>
      <c r="RD138" s="3"/>
      <c r="RE138" s="3"/>
      <c r="RF138" s="3"/>
      <c r="RG138" s="3"/>
      <c r="RH138" s="3"/>
      <c r="RI138" s="3"/>
      <c r="RJ138" s="3"/>
      <c r="RK138" s="3"/>
      <c r="RL138" s="3"/>
      <c r="RM138" s="3"/>
      <c r="RN138" s="3"/>
      <c r="RO138" s="3"/>
      <c r="RP138" s="3"/>
      <c r="RQ138" s="3"/>
      <c r="RR138" s="3"/>
      <c r="RS138" s="3"/>
      <c r="RT138" s="3"/>
      <c r="RU138" s="3"/>
      <c r="RV138" s="3"/>
      <c r="RW138" s="3"/>
      <c r="RX138" s="3"/>
      <c r="RY138" s="3"/>
      <c r="RZ138" s="3"/>
      <c r="SA138" s="3"/>
      <c r="SB138" s="3"/>
      <c r="SC138" s="3"/>
      <c r="SD138" s="3"/>
      <c r="SE138" s="3"/>
      <c r="SF138" s="3"/>
      <c r="SG138" s="3"/>
      <c r="SH138" s="3"/>
      <c r="SI138" s="3"/>
      <c r="SJ138" s="3"/>
      <c r="SK138" s="3"/>
      <c r="SL138" s="3"/>
      <c r="SM138" s="3"/>
      <c r="SN138" s="3"/>
      <c r="SO138" s="3"/>
      <c r="SP138" s="3"/>
      <c r="SQ138" s="3"/>
      <c r="SR138" s="3"/>
      <c r="SS138" s="3"/>
      <c r="ST138" s="3"/>
      <c r="SU138" s="3"/>
      <c r="SV138" s="3"/>
      <c r="SW138" s="3"/>
      <c r="SX138" s="3"/>
      <c r="SY138" s="3"/>
      <c r="SZ138" s="3"/>
      <c r="TA138" s="3"/>
      <c r="TB138" s="3"/>
      <c r="TC138" s="3"/>
      <c r="TD138" s="3"/>
      <c r="TE138" s="3"/>
      <c r="TF138" s="3"/>
      <c r="TG138" s="3"/>
      <c r="TH138" s="3"/>
      <c r="TI138" s="3"/>
      <c r="TJ138" s="3"/>
      <c r="TK138" s="3"/>
      <c r="TL138" s="3"/>
      <c r="TM138" s="3"/>
      <c r="TN138" s="3"/>
      <c r="TO138" s="3"/>
      <c r="TP138" s="3"/>
      <c r="TQ138" s="3"/>
      <c r="TR138" s="3"/>
      <c r="TS138" s="3"/>
      <c r="TT138" s="3"/>
      <c r="TU138" s="3"/>
      <c r="TV138" s="3"/>
      <c r="TW138" s="3"/>
      <c r="TX138" s="3"/>
      <c r="TY138" s="3"/>
      <c r="TZ138" s="3"/>
      <c r="UA138" s="3"/>
      <c r="UB138" s="3"/>
      <c r="UC138" s="3"/>
      <c r="UD138" s="3"/>
      <c r="UE138" s="3"/>
      <c r="UF138" s="3"/>
      <c r="UG138" s="3"/>
      <c r="UH138" s="3"/>
      <c r="UI138" s="3"/>
      <c r="UJ138" s="3"/>
      <c r="UK138" s="3"/>
      <c r="UL138" s="3"/>
      <c r="UM138" s="3"/>
      <c r="UN138" s="3"/>
      <c r="UO138" s="3"/>
      <c r="UP138" s="3"/>
      <c r="UQ138" s="3"/>
      <c r="UR138" s="3"/>
      <c r="US138" s="3"/>
      <c r="UT138" s="3"/>
      <c r="UU138" s="3"/>
      <c r="UV138" s="3"/>
      <c r="UW138" s="3"/>
      <c r="UX138" s="3"/>
      <c r="UY138" s="3"/>
      <c r="UZ138" s="3"/>
      <c r="VA138" s="3"/>
      <c r="VB138" s="3"/>
      <c r="VC138" s="3"/>
      <c r="VD138" s="3"/>
      <c r="VE138" s="3"/>
      <c r="VF138" s="3"/>
      <c r="VG138" s="3"/>
      <c r="VH138" s="3"/>
      <c r="VI138" s="3"/>
      <c r="VJ138" s="3"/>
      <c r="VK138" s="3"/>
      <c r="VL138" s="3"/>
      <c r="VM138" s="3"/>
      <c r="VN138" s="3"/>
      <c r="VO138" s="3"/>
      <c r="VP138" s="3"/>
      <c r="VQ138" s="3"/>
      <c r="VR138" s="3"/>
      <c r="VS138" s="3"/>
      <c r="VT138" s="3"/>
      <c r="VU138" s="3"/>
      <c r="VV138" s="3"/>
      <c r="VW138" s="3"/>
      <c r="VX138" s="3"/>
      <c r="VY138" s="3"/>
      <c r="VZ138" s="3"/>
      <c r="WA138" s="3"/>
      <c r="WB138" s="3"/>
      <c r="WC138" s="3"/>
      <c r="WD138" s="3"/>
      <c r="WE138" s="3"/>
      <c r="WF138" s="3"/>
      <c r="WG138" s="3"/>
      <c r="WH138" s="3"/>
      <c r="WI138" s="3"/>
      <c r="WJ138" s="3"/>
      <c r="WK138" s="3"/>
      <c r="WL138" s="3"/>
      <c r="WM138" s="3"/>
      <c r="WN138" s="3"/>
      <c r="WO138" s="3"/>
      <c r="WP138" s="3"/>
      <c r="WQ138" s="3"/>
      <c r="WR138" s="3"/>
      <c r="WS138" s="3"/>
      <c r="WT138" s="3"/>
      <c r="WU138" s="3"/>
      <c r="WV138" s="3"/>
      <c r="WW138" s="3"/>
      <c r="WX138" s="3"/>
      <c r="WY138" s="3"/>
      <c r="WZ138" s="3"/>
      <c r="XA138" s="3"/>
      <c r="XB138" s="3"/>
      <c r="XC138" s="3"/>
      <c r="XD138" s="3"/>
      <c r="XE138" s="3"/>
      <c r="XF138" s="3"/>
      <c r="XG138" s="3"/>
      <c r="XH138" s="3"/>
      <c r="XI138" s="3"/>
      <c r="XJ138" s="3"/>
      <c r="XK138" s="3"/>
      <c r="XL138" s="3"/>
      <c r="XM138" s="3"/>
      <c r="XN138" s="3"/>
      <c r="XO138" s="3"/>
      <c r="XP138" s="3"/>
      <c r="XQ138" s="3"/>
      <c r="XR138" s="3"/>
      <c r="XS138" s="3"/>
      <c r="XT138" s="3"/>
      <c r="XU138" s="3"/>
      <c r="XV138" s="3"/>
      <c r="XW138" s="3"/>
      <c r="XX138" s="3"/>
      <c r="XY138" s="3"/>
      <c r="XZ138" s="3"/>
      <c r="YA138" s="3"/>
      <c r="YB138" s="3"/>
      <c r="YC138" s="3"/>
      <c r="YD138" s="3"/>
      <c r="YE138" s="3"/>
      <c r="YF138" s="3"/>
      <c r="YG138" s="3"/>
      <c r="YH138" s="3"/>
      <c r="YI138" s="3"/>
      <c r="YJ138" s="3"/>
      <c r="YK138" s="3"/>
      <c r="YL138" s="3"/>
      <c r="YM138" s="3"/>
      <c r="YN138" s="3"/>
      <c r="YO138" s="3"/>
      <c r="YP138" s="3"/>
      <c r="YQ138" s="3"/>
      <c r="YR138" s="3"/>
      <c r="YS138" s="3"/>
      <c r="YT138" s="3"/>
      <c r="YU138" s="3"/>
      <c r="YV138" s="3"/>
      <c r="YW138" s="3"/>
      <c r="YX138" s="3"/>
      <c r="YY138" s="3"/>
      <c r="YZ138" s="3"/>
      <c r="ZA138" s="3"/>
      <c r="ZB138" s="3"/>
      <c r="ZC138" s="3"/>
    </row>
    <row r="139" spans="1:679" s="2" customFormat="1" x14ac:dyDescent="0.45">
      <c r="A139" s="3" t="s">
        <v>11</v>
      </c>
      <c r="B139" s="4">
        <v>34352</v>
      </c>
      <c r="C139" s="7" t="s">
        <v>21</v>
      </c>
      <c r="D139" s="6" t="s">
        <v>154</v>
      </c>
      <c r="E139" s="3"/>
      <c r="F139" s="3">
        <v>3</v>
      </c>
      <c r="L139" s="3"/>
      <c r="M139" s="3"/>
      <c r="N139" s="48"/>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3"/>
      <c r="DI139" s="3"/>
      <c r="DJ139" s="3"/>
      <c r="DK139" s="3"/>
      <c r="DL139" s="3"/>
      <c r="DM139" s="3"/>
      <c r="DN139" s="3"/>
      <c r="DO139" s="3"/>
      <c r="DP139" s="3"/>
      <c r="DQ139" s="3"/>
      <c r="DR139" s="3"/>
      <c r="DS139" s="3"/>
      <c r="DT139" s="3"/>
      <c r="DU139" s="3"/>
      <c r="DV139" s="3"/>
      <c r="DW139" s="3"/>
      <c r="DX139" s="3"/>
      <c r="DY139" s="3"/>
      <c r="DZ139" s="3"/>
      <c r="EA139" s="3"/>
      <c r="EB139" s="3"/>
      <c r="EC139" s="3"/>
      <c r="ED139" s="3"/>
      <c r="EE139" s="3"/>
      <c r="EF139" s="3"/>
      <c r="EG139" s="3"/>
      <c r="EH139" s="3"/>
      <c r="EI139" s="3"/>
      <c r="EJ139" s="3"/>
      <c r="EK139" s="3"/>
      <c r="EL139" s="3"/>
      <c r="EM139" s="3"/>
      <c r="EN139" s="3"/>
      <c r="EO139" s="3"/>
      <c r="EP139" s="3"/>
      <c r="EQ139" s="3"/>
      <c r="ER139" s="3"/>
      <c r="ES139" s="3"/>
      <c r="ET139" s="3"/>
      <c r="EU139" s="3"/>
      <c r="EV139" s="3"/>
      <c r="EW139" s="3"/>
      <c r="EX139" s="3"/>
      <c r="EY139" s="3"/>
      <c r="EZ139" s="3"/>
      <c r="FA139" s="3"/>
      <c r="FB139" s="3"/>
      <c r="FC139" s="3"/>
      <c r="FD139" s="3"/>
      <c r="FE139" s="3"/>
      <c r="FF139" s="3"/>
      <c r="FG139" s="3"/>
      <c r="FH139" s="3"/>
      <c r="FI139" s="3"/>
      <c r="FJ139" s="3"/>
      <c r="FK139" s="3"/>
      <c r="FL139" s="3"/>
      <c r="FM139" s="3"/>
      <c r="FN139" s="3"/>
      <c r="FO139" s="3"/>
      <c r="FP139" s="3"/>
      <c r="FQ139" s="3"/>
      <c r="FR139" s="3"/>
      <c r="FS139" s="3"/>
      <c r="FT139" s="3"/>
      <c r="FU139" s="3"/>
      <c r="FV139" s="3"/>
      <c r="FW139" s="3"/>
      <c r="FX139" s="3"/>
      <c r="FY139" s="3"/>
      <c r="FZ139" s="3"/>
      <c r="GA139" s="3"/>
      <c r="GB139" s="3"/>
      <c r="GC139" s="3"/>
      <c r="GD139" s="3"/>
      <c r="GE139" s="3"/>
      <c r="GF139" s="3"/>
      <c r="GG139" s="3"/>
      <c r="GH139" s="3"/>
      <c r="GI139" s="3"/>
      <c r="GJ139" s="3"/>
      <c r="GK139" s="3"/>
      <c r="GL139" s="3"/>
      <c r="GM139" s="3"/>
      <c r="GN139" s="3"/>
      <c r="GO139" s="3"/>
      <c r="GP139" s="3"/>
      <c r="GQ139" s="3"/>
      <c r="GR139" s="3"/>
      <c r="GS139" s="3"/>
      <c r="GT139" s="3"/>
      <c r="GU139" s="3"/>
      <c r="GV139" s="3"/>
      <c r="GW139" s="3"/>
      <c r="GX139" s="3"/>
      <c r="GY139" s="3"/>
      <c r="GZ139" s="3"/>
      <c r="HA139" s="3"/>
      <c r="HB139" s="3"/>
      <c r="HC139" s="3"/>
      <c r="HD139" s="3"/>
      <c r="HE139" s="3"/>
      <c r="HF139" s="3"/>
      <c r="HG139" s="3"/>
      <c r="HH139" s="3"/>
      <c r="HI139" s="3"/>
      <c r="HJ139" s="3"/>
      <c r="HK139" s="3"/>
      <c r="HL139" s="3"/>
      <c r="HM139" s="3"/>
      <c r="HN139" s="3"/>
      <c r="HO139" s="3"/>
      <c r="HP139" s="3"/>
      <c r="HQ139" s="3"/>
      <c r="HR139" s="3"/>
      <c r="HS139" s="3"/>
      <c r="HT139" s="3"/>
      <c r="HU139" s="3"/>
      <c r="HV139" s="3"/>
      <c r="HW139" s="3"/>
      <c r="HX139" s="3"/>
      <c r="HY139" s="3"/>
      <c r="HZ139" s="3"/>
      <c r="IA139" s="3"/>
      <c r="IB139" s="3"/>
      <c r="IC139" s="3"/>
      <c r="ID139" s="3"/>
      <c r="IE139" s="3"/>
      <c r="IF139" s="3"/>
      <c r="IG139" s="3"/>
      <c r="IH139" s="3"/>
      <c r="II139" s="3"/>
      <c r="IJ139" s="3"/>
      <c r="IK139" s="3"/>
      <c r="IL139" s="3"/>
      <c r="IM139" s="3"/>
      <c r="IN139" s="3"/>
      <c r="IO139" s="3"/>
      <c r="IP139" s="3"/>
      <c r="IQ139" s="3"/>
      <c r="IR139" s="3"/>
      <c r="IS139" s="3"/>
      <c r="IT139" s="3"/>
      <c r="IU139" s="3"/>
      <c r="IV139" s="3"/>
      <c r="IW139" s="3"/>
      <c r="IX139" s="3"/>
      <c r="IY139" s="3"/>
      <c r="IZ139" s="3"/>
      <c r="JA139" s="3"/>
      <c r="JB139" s="3"/>
      <c r="JC139" s="3"/>
      <c r="JD139" s="3"/>
      <c r="JE139" s="3"/>
      <c r="JF139" s="3"/>
      <c r="JG139" s="3"/>
      <c r="JH139" s="3"/>
      <c r="JI139" s="3"/>
      <c r="JJ139" s="3"/>
      <c r="JK139" s="3"/>
      <c r="JL139" s="3"/>
      <c r="JM139" s="3"/>
      <c r="JN139" s="3"/>
      <c r="JO139" s="3"/>
      <c r="JP139" s="3"/>
      <c r="JQ139" s="3"/>
      <c r="JR139" s="3"/>
      <c r="JS139" s="3"/>
      <c r="JT139" s="3"/>
      <c r="JU139" s="3"/>
      <c r="JV139" s="3"/>
      <c r="JW139" s="3"/>
      <c r="JX139" s="3"/>
      <c r="JY139" s="3"/>
      <c r="JZ139" s="3"/>
      <c r="KA139" s="3"/>
      <c r="KB139" s="3"/>
      <c r="KC139" s="3"/>
      <c r="KD139" s="3"/>
      <c r="KE139" s="3"/>
      <c r="KF139" s="3"/>
      <c r="KG139" s="3"/>
      <c r="KH139" s="3"/>
      <c r="KI139" s="3"/>
      <c r="KJ139" s="3"/>
      <c r="KK139" s="3"/>
      <c r="KL139" s="3"/>
      <c r="KM139" s="3"/>
      <c r="KN139" s="3"/>
      <c r="KO139" s="3"/>
      <c r="KP139" s="3"/>
      <c r="KQ139" s="3"/>
      <c r="KR139" s="3"/>
      <c r="KS139" s="3"/>
      <c r="KT139" s="3"/>
      <c r="KU139" s="3"/>
      <c r="KV139" s="3"/>
      <c r="KW139" s="3"/>
      <c r="KX139" s="3"/>
      <c r="KY139" s="3"/>
      <c r="KZ139" s="3"/>
      <c r="LA139" s="3"/>
      <c r="LB139" s="3"/>
      <c r="LC139" s="3"/>
      <c r="LD139" s="3"/>
      <c r="LE139" s="3"/>
      <c r="LF139" s="3"/>
      <c r="LG139" s="3"/>
      <c r="LH139" s="3"/>
      <c r="LI139" s="3"/>
      <c r="LJ139" s="3"/>
      <c r="LK139" s="3"/>
      <c r="LL139" s="3"/>
      <c r="LM139" s="3"/>
      <c r="LN139" s="3"/>
      <c r="LO139" s="3"/>
      <c r="LP139" s="3"/>
      <c r="LQ139" s="3"/>
      <c r="LR139" s="3"/>
      <c r="LS139" s="3"/>
      <c r="LT139" s="3"/>
      <c r="LU139" s="3"/>
      <c r="LV139" s="3"/>
      <c r="LW139" s="3"/>
      <c r="LX139" s="3"/>
      <c r="LY139" s="3"/>
      <c r="LZ139" s="3"/>
      <c r="MA139" s="3"/>
      <c r="MB139" s="3"/>
      <c r="MC139" s="3"/>
      <c r="MD139" s="3"/>
      <c r="ME139" s="3"/>
      <c r="MF139" s="3"/>
      <c r="MG139" s="3"/>
      <c r="MH139" s="3"/>
      <c r="MI139" s="3"/>
      <c r="MJ139" s="3"/>
      <c r="MK139" s="3"/>
      <c r="ML139" s="3"/>
      <c r="MM139" s="3"/>
      <c r="MN139" s="3"/>
      <c r="MO139" s="3"/>
      <c r="MP139" s="3"/>
      <c r="MQ139" s="3"/>
      <c r="MR139" s="3"/>
      <c r="MS139" s="3"/>
      <c r="MT139" s="3"/>
      <c r="MU139" s="3"/>
      <c r="MV139" s="3"/>
      <c r="MW139" s="3"/>
      <c r="MX139" s="3"/>
      <c r="MY139" s="3"/>
      <c r="MZ139" s="3"/>
      <c r="NA139" s="3"/>
      <c r="NB139" s="3"/>
      <c r="NC139" s="3"/>
      <c r="ND139" s="3"/>
      <c r="NE139" s="3"/>
      <c r="NF139" s="3"/>
      <c r="NG139" s="3"/>
      <c r="NH139" s="3"/>
      <c r="NI139" s="3"/>
      <c r="NJ139" s="3"/>
      <c r="NK139" s="3"/>
      <c r="NL139" s="3"/>
      <c r="NM139" s="3"/>
      <c r="NN139" s="3"/>
      <c r="NO139" s="3"/>
      <c r="NP139" s="3"/>
      <c r="NQ139" s="3"/>
      <c r="NR139" s="3"/>
      <c r="NS139" s="3"/>
      <c r="NT139" s="3"/>
      <c r="NU139" s="3"/>
      <c r="NV139" s="3"/>
      <c r="NW139" s="3"/>
      <c r="NX139" s="3"/>
      <c r="NY139" s="3"/>
      <c r="NZ139" s="3"/>
      <c r="OA139" s="3"/>
      <c r="OB139" s="3"/>
      <c r="OC139" s="3"/>
      <c r="OD139" s="3"/>
      <c r="OE139" s="3"/>
      <c r="OF139" s="3"/>
      <c r="OG139" s="3"/>
      <c r="OH139" s="3"/>
      <c r="OI139" s="3"/>
      <c r="OJ139" s="3"/>
      <c r="OK139" s="3"/>
      <c r="OL139" s="3"/>
      <c r="OM139" s="3"/>
      <c r="ON139" s="3"/>
      <c r="OO139" s="3"/>
      <c r="OP139" s="3"/>
      <c r="OQ139" s="3"/>
      <c r="OR139" s="3"/>
      <c r="OS139" s="3"/>
      <c r="OT139" s="3"/>
      <c r="OU139" s="3"/>
      <c r="OV139" s="3"/>
      <c r="OW139" s="3"/>
      <c r="OX139" s="3"/>
      <c r="OY139" s="3"/>
      <c r="OZ139" s="3"/>
      <c r="PA139" s="3"/>
      <c r="PB139" s="3"/>
      <c r="PC139" s="3"/>
      <c r="PD139" s="3"/>
      <c r="PE139" s="3"/>
      <c r="PF139" s="3"/>
      <c r="PG139" s="3"/>
      <c r="PH139" s="3"/>
      <c r="PI139" s="3"/>
      <c r="PJ139" s="3"/>
      <c r="PK139" s="3"/>
      <c r="PL139" s="3"/>
      <c r="PM139" s="3"/>
      <c r="PN139" s="3"/>
      <c r="PO139" s="3"/>
      <c r="PP139" s="3"/>
      <c r="PQ139" s="3"/>
      <c r="PR139" s="3"/>
      <c r="PS139" s="3"/>
      <c r="PT139" s="3"/>
      <c r="PU139" s="3"/>
      <c r="PV139" s="3"/>
      <c r="PW139" s="3"/>
      <c r="PX139" s="3"/>
      <c r="PY139" s="3"/>
      <c r="PZ139" s="3"/>
      <c r="QA139" s="3"/>
      <c r="QB139" s="3"/>
      <c r="QC139" s="3"/>
      <c r="QD139" s="3"/>
      <c r="QE139" s="3"/>
      <c r="QF139" s="3"/>
      <c r="QG139" s="3"/>
      <c r="QH139" s="3"/>
      <c r="QI139" s="3"/>
      <c r="QJ139" s="3"/>
      <c r="QK139" s="3"/>
      <c r="QL139" s="3"/>
      <c r="QM139" s="3"/>
      <c r="QN139" s="3"/>
      <c r="QO139" s="3"/>
      <c r="QP139" s="3"/>
      <c r="QQ139" s="3"/>
      <c r="QR139" s="3"/>
      <c r="QS139" s="3"/>
      <c r="QT139" s="3"/>
      <c r="QU139" s="3"/>
      <c r="QV139" s="3"/>
      <c r="QW139" s="3"/>
      <c r="QX139" s="3"/>
      <c r="QY139" s="3"/>
      <c r="QZ139" s="3"/>
      <c r="RA139" s="3"/>
      <c r="RB139" s="3"/>
      <c r="RC139" s="3"/>
      <c r="RD139" s="3"/>
      <c r="RE139" s="3"/>
      <c r="RF139" s="3"/>
      <c r="RG139" s="3"/>
      <c r="RH139" s="3"/>
      <c r="RI139" s="3"/>
      <c r="RJ139" s="3"/>
      <c r="RK139" s="3"/>
      <c r="RL139" s="3"/>
      <c r="RM139" s="3"/>
      <c r="RN139" s="3"/>
      <c r="RO139" s="3"/>
      <c r="RP139" s="3"/>
      <c r="RQ139" s="3"/>
      <c r="RR139" s="3"/>
      <c r="RS139" s="3"/>
      <c r="RT139" s="3"/>
      <c r="RU139" s="3"/>
      <c r="RV139" s="3"/>
      <c r="RW139" s="3"/>
      <c r="RX139" s="3"/>
      <c r="RY139" s="3"/>
      <c r="RZ139" s="3"/>
      <c r="SA139" s="3"/>
      <c r="SB139" s="3"/>
      <c r="SC139" s="3"/>
      <c r="SD139" s="3"/>
      <c r="SE139" s="3"/>
      <c r="SF139" s="3"/>
      <c r="SG139" s="3"/>
      <c r="SH139" s="3"/>
      <c r="SI139" s="3"/>
      <c r="SJ139" s="3"/>
      <c r="SK139" s="3"/>
      <c r="SL139" s="3"/>
      <c r="SM139" s="3"/>
      <c r="SN139" s="3"/>
      <c r="SO139" s="3"/>
      <c r="SP139" s="3"/>
      <c r="SQ139" s="3"/>
      <c r="SR139" s="3"/>
      <c r="SS139" s="3"/>
      <c r="ST139" s="3"/>
      <c r="SU139" s="3"/>
      <c r="SV139" s="3"/>
      <c r="SW139" s="3"/>
      <c r="SX139" s="3"/>
      <c r="SY139" s="3"/>
      <c r="SZ139" s="3"/>
      <c r="TA139" s="3"/>
      <c r="TB139" s="3"/>
      <c r="TC139" s="3"/>
      <c r="TD139" s="3"/>
      <c r="TE139" s="3"/>
      <c r="TF139" s="3"/>
      <c r="TG139" s="3"/>
      <c r="TH139" s="3"/>
      <c r="TI139" s="3"/>
      <c r="TJ139" s="3"/>
      <c r="TK139" s="3"/>
      <c r="TL139" s="3"/>
      <c r="TM139" s="3"/>
      <c r="TN139" s="3"/>
      <c r="TO139" s="3"/>
      <c r="TP139" s="3"/>
      <c r="TQ139" s="3"/>
      <c r="TR139" s="3"/>
      <c r="TS139" s="3"/>
      <c r="TT139" s="3"/>
      <c r="TU139" s="3"/>
      <c r="TV139" s="3"/>
      <c r="TW139" s="3"/>
      <c r="TX139" s="3"/>
      <c r="TY139" s="3"/>
      <c r="TZ139" s="3"/>
      <c r="UA139" s="3"/>
      <c r="UB139" s="3"/>
      <c r="UC139" s="3"/>
      <c r="UD139" s="3"/>
      <c r="UE139" s="3"/>
      <c r="UF139" s="3"/>
      <c r="UG139" s="3"/>
      <c r="UH139" s="3"/>
      <c r="UI139" s="3"/>
      <c r="UJ139" s="3"/>
      <c r="UK139" s="3"/>
      <c r="UL139" s="3"/>
      <c r="UM139" s="3"/>
      <c r="UN139" s="3"/>
      <c r="UO139" s="3"/>
      <c r="UP139" s="3"/>
      <c r="UQ139" s="3"/>
      <c r="UR139" s="3"/>
      <c r="US139" s="3"/>
      <c r="UT139" s="3"/>
      <c r="UU139" s="3"/>
      <c r="UV139" s="3"/>
      <c r="UW139" s="3"/>
      <c r="UX139" s="3"/>
      <c r="UY139" s="3"/>
      <c r="UZ139" s="3"/>
      <c r="VA139" s="3"/>
      <c r="VB139" s="3"/>
      <c r="VC139" s="3"/>
      <c r="VD139" s="3"/>
      <c r="VE139" s="3"/>
      <c r="VF139" s="3"/>
      <c r="VG139" s="3"/>
      <c r="VH139" s="3"/>
      <c r="VI139" s="3"/>
      <c r="VJ139" s="3"/>
      <c r="VK139" s="3"/>
      <c r="VL139" s="3"/>
      <c r="VM139" s="3"/>
      <c r="VN139" s="3"/>
      <c r="VO139" s="3"/>
      <c r="VP139" s="3"/>
      <c r="VQ139" s="3"/>
      <c r="VR139" s="3"/>
      <c r="VS139" s="3"/>
      <c r="VT139" s="3"/>
      <c r="VU139" s="3"/>
      <c r="VV139" s="3"/>
      <c r="VW139" s="3"/>
      <c r="VX139" s="3"/>
      <c r="VY139" s="3"/>
      <c r="VZ139" s="3"/>
      <c r="WA139" s="3"/>
      <c r="WB139" s="3"/>
      <c r="WC139" s="3"/>
      <c r="WD139" s="3"/>
      <c r="WE139" s="3"/>
      <c r="WF139" s="3"/>
      <c r="WG139" s="3"/>
      <c r="WH139" s="3"/>
      <c r="WI139" s="3"/>
      <c r="WJ139" s="3"/>
      <c r="WK139" s="3"/>
      <c r="WL139" s="3"/>
      <c r="WM139" s="3"/>
      <c r="WN139" s="3"/>
      <c r="WO139" s="3"/>
      <c r="WP139" s="3"/>
      <c r="WQ139" s="3"/>
      <c r="WR139" s="3"/>
      <c r="WS139" s="3"/>
      <c r="WT139" s="3"/>
      <c r="WU139" s="3"/>
      <c r="WV139" s="3"/>
      <c r="WW139" s="3"/>
      <c r="WX139" s="3"/>
      <c r="WY139" s="3"/>
      <c r="WZ139" s="3"/>
      <c r="XA139" s="3"/>
      <c r="XB139" s="3"/>
      <c r="XC139" s="3"/>
      <c r="XD139" s="3"/>
      <c r="XE139" s="3"/>
      <c r="XF139" s="3"/>
      <c r="XG139" s="3"/>
      <c r="XH139" s="3"/>
      <c r="XI139" s="3"/>
      <c r="XJ139" s="3"/>
      <c r="XK139" s="3"/>
      <c r="XL139" s="3"/>
      <c r="XM139" s="3"/>
      <c r="XN139" s="3"/>
      <c r="XO139" s="3"/>
      <c r="XP139" s="3"/>
      <c r="XQ139" s="3"/>
      <c r="XR139" s="3"/>
      <c r="XS139" s="3"/>
      <c r="XT139" s="3"/>
      <c r="XU139" s="3"/>
      <c r="XV139" s="3"/>
      <c r="XW139" s="3"/>
      <c r="XX139" s="3"/>
      <c r="XY139" s="3"/>
      <c r="XZ139" s="3"/>
      <c r="YA139" s="3"/>
      <c r="YB139" s="3"/>
      <c r="YC139" s="3"/>
      <c r="YD139" s="3"/>
      <c r="YE139" s="3"/>
      <c r="YF139" s="3"/>
      <c r="YG139" s="3"/>
      <c r="YH139" s="3"/>
      <c r="YI139" s="3"/>
      <c r="YJ139" s="3"/>
      <c r="YK139" s="3"/>
      <c r="YL139" s="3"/>
      <c r="YM139" s="3"/>
      <c r="YN139" s="3"/>
      <c r="YO139" s="3"/>
      <c r="YP139" s="3"/>
      <c r="YQ139" s="3"/>
      <c r="YR139" s="3"/>
      <c r="YS139" s="3"/>
      <c r="YT139" s="3"/>
      <c r="YU139" s="3"/>
      <c r="YV139" s="3"/>
      <c r="YW139" s="3"/>
      <c r="YX139" s="3"/>
      <c r="YY139" s="3"/>
      <c r="YZ139" s="3"/>
      <c r="ZA139" s="3"/>
      <c r="ZB139" s="3"/>
      <c r="ZC139" s="3"/>
    </row>
    <row r="140" spans="1:679" s="2" customFormat="1" x14ac:dyDescent="0.45">
      <c r="A140" s="3" t="s">
        <v>11</v>
      </c>
      <c r="B140" s="4">
        <v>34352</v>
      </c>
      <c r="C140" s="7" t="s">
        <v>21</v>
      </c>
      <c r="D140" s="6" t="s">
        <v>155</v>
      </c>
      <c r="E140" s="3"/>
      <c r="F140" s="3">
        <v>21</v>
      </c>
      <c r="L140" s="3"/>
      <c r="M140" s="3"/>
      <c r="N140" s="48"/>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c r="DW140" s="3"/>
      <c r="DX140" s="3"/>
      <c r="DY140" s="3"/>
      <c r="DZ140" s="3"/>
      <c r="EA140" s="3"/>
      <c r="EB140" s="3"/>
      <c r="EC140" s="3"/>
      <c r="ED140" s="3"/>
      <c r="EE140" s="3"/>
      <c r="EF140" s="3"/>
      <c r="EG140" s="3"/>
      <c r="EH140" s="3"/>
      <c r="EI140" s="3"/>
      <c r="EJ140" s="3"/>
      <c r="EK140" s="3"/>
      <c r="EL140" s="3"/>
      <c r="EM140" s="3"/>
      <c r="EN140" s="3"/>
      <c r="EO140" s="3"/>
      <c r="EP140" s="3"/>
      <c r="EQ140" s="3"/>
      <c r="ER140" s="3"/>
      <c r="ES140" s="3"/>
      <c r="ET140" s="3"/>
      <c r="EU140" s="3"/>
      <c r="EV140" s="3"/>
      <c r="EW140" s="3"/>
      <c r="EX140" s="3"/>
      <c r="EY140" s="3"/>
      <c r="EZ140" s="3"/>
      <c r="FA140" s="3"/>
      <c r="FB140" s="3"/>
      <c r="FC140" s="3"/>
      <c r="FD140" s="3"/>
      <c r="FE140" s="3"/>
      <c r="FF140" s="3"/>
      <c r="FG140" s="3"/>
      <c r="FH140" s="3"/>
      <c r="FI140" s="3"/>
      <c r="FJ140" s="3"/>
      <c r="FK140" s="3"/>
      <c r="FL140" s="3"/>
      <c r="FM140" s="3"/>
      <c r="FN140" s="3"/>
      <c r="FO140" s="3"/>
      <c r="FP140" s="3"/>
      <c r="FQ140" s="3"/>
      <c r="FR140" s="3"/>
      <c r="FS140" s="3"/>
      <c r="FT140" s="3"/>
      <c r="FU140" s="3"/>
      <c r="FV140" s="3"/>
      <c r="FW140" s="3"/>
      <c r="FX140" s="3"/>
      <c r="FY140" s="3"/>
      <c r="FZ140" s="3"/>
      <c r="GA140" s="3"/>
      <c r="GB140" s="3"/>
      <c r="GC140" s="3"/>
      <c r="GD140" s="3"/>
      <c r="GE140" s="3"/>
      <c r="GF140" s="3"/>
      <c r="GG140" s="3"/>
      <c r="GH140" s="3"/>
      <c r="GI140" s="3"/>
      <c r="GJ140" s="3"/>
      <c r="GK140" s="3"/>
      <c r="GL140" s="3"/>
      <c r="GM140" s="3"/>
      <c r="GN140" s="3"/>
      <c r="GO140" s="3"/>
      <c r="GP140" s="3"/>
      <c r="GQ140" s="3"/>
      <c r="GR140" s="3"/>
      <c r="GS140" s="3"/>
      <c r="GT140" s="3"/>
      <c r="GU140" s="3"/>
      <c r="GV140" s="3"/>
      <c r="GW140" s="3"/>
      <c r="GX140" s="3"/>
      <c r="GY140" s="3"/>
      <c r="GZ140" s="3"/>
      <c r="HA140" s="3"/>
      <c r="HB140" s="3"/>
      <c r="HC140" s="3"/>
      <c r="HD140" s="3"/>
      <c r="HE140" s="3"/>
      <c r="HF140" s="3"/>
      <c r="HG140" s="3"/>
      <c r="HH140" s="3"/>
      <c r="HI140" s="3"/>
      <c r="HJ140" s="3"/>
      <c r="HK140" s="3"/>
      <c r="HL140" s="3"/>
      <c r="HM140" s="3"/>
      <c r="HN140" s="3"/>
      <c r="HO140" s="3"/>
      <c r="HP140" s="3"/>
      <c r="HQ140" s="3"/>
      <c r="HR140" s="3"/>
      <c r="HS140" s="3"/>
      <c r="HT140" s="3"/>
      <c r="HU140" s="3"/>
      <c r="HV140" s="3"/>
      <c r="HW140" s="3"/>
      <c r="HX140" s="3"/>
      <c r="HY140" s="3"/>
      <c r="HZ140" s="3"/>
      <c r="IA140" s="3"/>
      <c r="IB140" s="3"/>
      <c r="IC140" s="3"/>
      <c r="ID140" s="3"/>
      <c r="IE140" s="3"/>
      <c r="IF140" s="3"/>
      <c r="IG140" s="3"/>
      <c r="IH140" s="3"/>
      <c r="II140" s="3"/>
      <c r="IJ140" s="3"/>
      <c r="IK140" s="3"/>
      <c r="IL140" s="3"/>
      <c r="IM140" s="3"/>
      <c r="IN140" s="3"/>
      <c r="IO140" s="3"/>
      <c r="IP140" s="3"/>
      <c r="IQ140" s="3"/>
      <c r="IR140" s="3"/>
      <c r="IS140" s="3"/>
      <c r="IT140" s="3"/>
      <c r="IU140" s="3"/>
      <c r="IV140" s="3"/>
      <c r="IW140" s="3"/>
      <c r="IX140" s="3"/>
      <c r="IY140" s="3"/>
      <c r="IZ140" s="3"/>
      <c r="JA140" s="3"/>
      <c r="JB140" s="3"/>
      <c r="JC140" s="3"/>
      <c r="JD140" s="3"/>
      <c r="JE140" s="3"/>
      <c r="JF140" s="3"/>
      <c r="JG140" s="3"/>
      <c r="JH140" s="3"/>
      <c r="JI140" s="3"/>
      <c r="JJ140" s="3"/>
      <c r="JK140" s="3"/>
      <c r="JL140" s="3"/>
      <c r="JM140" s="3"/>
      <c r="JN140" s="3"/>
      <c r="JO140" s="3"/>
      <c r="JP140" s="3"/>
      <c r="JQ140" s="3"/>
      <c r="JR140" s="3"/>
      <c r="JS140" s="3"/>
      <c r="JT140" s="3"/>
      <c r="JU140" s="3"/>
      <c r="JV140" s="3"/>
      <c r="JW140" s="3"/>
      <c r="JX140" s="3"/>
      <c r="JY140" s="3"/>
      <c r="JZ140" s="3"/>
      <c r="KA140" s="3"/>
      <c r="KB140" s="3"/>
      <c r="KC140" s="3"/>
      <c r="KD140" s="3"/>
      <c r="KE140" s="3"/>
      <c r="KF140" s="3"/>
      <c r="KG140" s="3"/>
      <c r="KH140" s="3"/>
      <c r="KI140" s="3"/>
      <c r="KJ140" s="3"/>
      <c r="KK140" s="3"/>
      <c r="KL140" s="3"/>
      <c r="KM140" s="3"/>
      <c r="KN140" s="3"/>
      <c r="KO140" s="3"/>
      <c r="KP140" s="3"/>
      <c r="KQ140" s="3"/>
      <c r="KR140" s="3"/>
      <c r="KS140" s="3"/>
      <c r="KT140" s="3"/>
      <c r="KU140" s="3"/>
      <c r="KV140" s="3"/>
      <c r="KW140" s="3"/>
      <c r="KX140" s="3"/>
      <c r="KY140" s="3"/>
      <c r="KZ140" s="3"/>
      <c r="LA140" s="3"/>
      <c r="LB140" s="3"/>
      <c r="LC140" s="3"/>
      <c r="LD140" s="3"/>
      <c r="LE140" s="3"/>
      <c r="LF140" s="3"/>
      <c r="LG140" s="3"/>
      <c r="LH140" s="3"/>
      <c r="LI140" s="3"/>
      <c r="LJ140" s="3"/>
      <c r="LK140" s="3"/>
      <c r="LL140" s="3"/>
      <c r="LM140" s="3"/>
      <c r="LN140" s="3"/>
      <c r="LO140" s="3"/>
      <c r="LP140" s="3"/>
      <c r="LQ140" s="3"/>
      <c r="LR140" s="3"/>
      <c r="LS140" s="3"/>
      <c r="LT140" s="3"/>
      <c r="LU140" s="3"/>
      <c r="LV140" s="3"/>
      <c r="LW140" s="3"/>
      <c r="LX140" s="3"/>
      <c r="LY140" s="3"/>
      <c r="LZ140" s="3"/>
      <c r="MA140" s="3"/>
      <c r="MB140" s="3"/>
      <c r="MC140" s="3"/>
      <c r="MD140" s="3"/>
      <c r="ME140" s="3"/>
      <c r="MF140" s="3"/>
      <c r="MG140" s="3"/>
      <c r="MH140" s="3"/>
      <c r="MI140" s="3"/>
      <c r="MJ140" s="3"/>
      <c r="MK140" s="3"/>
      <c r="ML140" s="3"/>
      <c r="MM140" s="3"/>
      <c r="MN140" s="3"/>
      <c r="MO140" s="3"/>
      <c r="MP140" s="3"/>
      <c r="MQ140" s="3"/>
      <c r="MR140" s="3"/>
      <c r="MS140" s="3"/>
      <c r="MT140" s="3"/>
      <c r="MU140" s="3"/>
      <c r="MV140" s="3"/>
      <c r="MW140" s="3"/>
      <c r="MX140" s="3"/>
      <c r="MY140" s="3"/>
      <c r="MZ140" s="3"/>
      <c r="NA140" s="3"/>
      <c r="NB140" s="3"/>
      <c r="NC140" s="3"/>
      <c r="ND140" s="3"/>
      <c r="NE140" s="3"/>
      <c r="NF140" s="3"/>
      <c r="NG140" s="3"/>
      <c r="NH140" s="3"/>
      <c r="NI140" s="3"/>
      <c r="NJ140" s="3"/>
      <c r="NK140" s="3"/>
      <c r="NL140" s="3"/>
      <c r="NM140" s="3"/>
      <c r="NN140" s="3"/>
      <c r="NO140" s="3"/>
      <c r="NP140" s="3"/>
      <c r="NQ140" s="3"/>
      <c r="NR140" s="3"/>
      <c r="NS140" s="3"/>
      <c r="NT140" s="3"/>
      <c r="NU140" s="3"/>
      <c r="NV140" s="3"/>
      <c r="NW140" s="3"/>
      <c r="NX140" s="3"/>
      <c r="NY140" s="3"/>
      <c r="NZ140" s="3"/>
      <c r="OA140" s="3"/>
      <c r="OB140" s="3"/>
      <c r="OC140" s="3"/>
      <c r="OD140" s="3"/>
      <c r="OE140" s="3"/>
      <c r="OF140" s="3"/>
      <c r="OG140" s="3"/>
      <c r="OH140" s="3"/>
      <c r="OI140" s="3"/>
      <c r="OJ140" s="3"/>
      <c r="OK140" s="3"/>
      <c r="OL140" s="3"/>
      <c r="OM140" s="3"/>
      <c r="ON140" s="3"/>
      <c r="OO140" s="3"/>
      <c r="OP140" s="3"/>
      <c r="OQ140" s="3"/>
      <c r="OR140" s="3"/>
      <c r="OS140" s="3"/>
      <c r="OT140" s="3"/>
      <c r="OU140" s="3"/>
      <c r="OV140" s="3"/>
      <c r="OW140" s="3"/>
      <c r="OX140" s="3"/>
      <c r="OY140" s="3"/>
      <c r="OZ140" s="3"/>
      <c r="PA140" s="3"/>
      <c r="PB140" s="3"/>
      <c r="PC140" s="3"/>
      <c r="PD140" s="3"/>
      <c r="PE140" s="3"/>
      <c r="PF140" s="3"/>
      <c r="PG140" s="3"/>
      <c r="PH140" s="3"/>
      <c r="PI140" s="3"/>
      <c r="PJ140" s="3"/>
      <c r="PK140" s="3"/>
      <c r="PL140" s="3"/>
      <c r="PM140" s="3"/>
      <c r="PN140" s="3"/>
      <c r="PO140" s="3"/>
      <c r="PP140" s="3"/>
      <c r="PQ140" s="3"/>
      <c r="PR140" s="3"/>
      <c r="PS140" s="3"/>
      <c r="PT140" s="3"/>
      <c r="PU140" s="3"/>
      <c r="PV140" s="3"/>
      <c r="PW140" s="3"/>
      <c r="PX140" s="3"/>
      <c r="PY140" s="3"/>
      <c r="PZ140" s="3"/>
      <c r="QA140" s="3"/>
      <c r="QB140" s="3"/>
      <c r="QC140" s="3"/>
      <c r="QD140" s="3"/>
      <c r="QE140" s="3"/>
      <c r="QF140" s="3"/>
      <c r="QG140" s="3"/>
      <c r="QH140" s="3"/>
      <c r="QI140" s="3"/>
      <c r="QJ140" s="3"/>
      <c r="QK140" s="3"/>
      <c r="QL140" s="3"/>
      <c r="QM140" s="3"/>
      <c r="QN140" s="3"/>
      <c r="QO140" s="3"/>
      <c r="QP140" s="3"/>
      <c r="QQ140" s="3"/>
      <c r="QR140" s="3"/>
      <c r="QS140" s="3"/>
      <c r="QT140" s="3"/>
      <c r="QU140" s="3"/>
      <c r="QV140" s="3"/>
      <c r="QW140" s="3"/>
      <c r="QX140" s="3"/>
      <c r="QY140" s="3"/>
      <c r="QZ140" s="3"/>
      <c r="RA140" s="3"/>
      <c r="RB140" s="3"/>
      <c r="RC140" s="3"/>
      <c r="RD140" s="3"/>
      <c r="RE140" s="3"/>
      <c r="RF140" s="3"/>
      <c r="RG140" s="3"/>
      <c r="RH140" s="3"/>
      <c r="RI140" s="3"/>
      <c r="RJ140" s="3"/>
      <c r="RK140" s="3"/>
      <c r="RL140" s="3"/>
      <c r="RM140" s="3"/>
      <c r="RN140" s="3"/>
      <c r="RO140" s="3"/>
      <c r="RP140" s="3"/>
      <c r="RQ140" s="3"/>
      <c r="RR140" s="3"/>
      <c r="RS140" s="3"/>
      <c r="RT140" s="3"/>
      <c r="RU140" s="3"/>
      <c r="RV140" s="3"/>
      <c r="RW140" s="3"/>
      <c r="RX140" s="3"/>
      <c r="RY140" s="3"/>
      <c r="RZ140" s="3"/>
      <c r="SA140" s="3"/>
      <c r="SB140" s="3"/>
      <c r="SC140" s="3"/>
      <c r="SD140" s="3"/>
      <c r="SE140" s="3"/>
      <c r="SF140" s="3"/>
      <c r="SG140" s="3"/>
      <c r="SH140" s="3"/>
      <c r="SI140" s="3"/>
      <c r="SJ140" s="3"/>
      <c r="SK140" s="3"/>
      <c r="SL140" s="3"/>
      <c r="SM140" s="3"/>
      <c r="SN140" s="3"/>
      <c r="SO140" s="3"/>
      <c r="SP140" s="3"/>
      <c r="SQ140" s="3"/>
      <c r="SR140" s="3"/>
      <c r="SS140" s="3"/>
      <c r="ST140" s="3"/>
      <c r="SU140" s="3"/>
      <c r="SV140" s="3"/>
      <c r="SW140" s="3"/>
      <c r="SX140" s="3"/>
      <c r="SY140" s="3"/>
      <c r="SZ140" s="3"/>
      <c r="TA140" s="3"/>
      <c r="TB140" s="3"/>
      <c r="TC140" s="3"/>
      <c r="TD140" s="3"/>
      <c r="TE140" s="3"/>
      <c r="TF140" s="3"/>
      <c r="TG140" s="3"/>
      <c r="TH140" s="3"/>
      <c r="TI140" s="3"/>
      <c r="TJ140" s="3"/>
      <c r="TK140" s="3"/>
      <c r="TL140" s="3"/>
      <c r="TM140" s="3"/>
      <c r="TN140" s="3"/>
      <c r="TO140" s="3"/>
      <c r="TP140" s="3"/>
      <c r="TQ140" s="3"/>
      <c r="TR140" s="3"/>
      <c r="TS140" s="3"/>
      <c r="TT140" s="3"/>
      <c r="TU140" s="3"/>
      <c r="TV140" s="3"/>
      <c r="TW140" s="3"/>
      <c r="TX140" s="3"/>
      <c r="TY140" s="3"/>
      <c r="TZ140" s="3"/>
      <c r="UA140" s="3"/>
      <c r="UB140" s="3"/>
      <c r="UC140" s="3"/>
      <c r="UD140" s="3"/>
      <c r="UE140" s="3"/>
      <c r="UF140" s="3"/>
      <c r="UG140" s="3"/>
      <c r="UH140" s="3"/>
      <c r="UI140" s="3"/>
      <c r="UJ140" s="3"/>
      <c r="UK140" s="3"/>
      <c r="UL140" s="3"/>
      <c r="UM140" s="3"/>
      <c r="UN140" s="3"/>
      <c r="UO140" s="3"/>
      <c r="UP140" s="3"/>
      <c r="UQ140" s="3"/>
      <c r="UR140" s="3"/>
      <c r="US140" s="3"/>
      <c r="UT140" s="3"/>
      <c r="UU140" s="3"/>
      <c r="UV140" s="3"/>
      <c r="UW140" s="3"/>
      <c r="UX140" s="3"/>
      <c r="UY140" s="3"/>
      <c r="UZ140" s="3"/>
      <c r="VA140" s="3"/>
      <c r="VB140" s="3"/>
      <c r="VC140" s="3"/>
      <c r="VD140" s="3"/>
      <c r="VE140" s="3"/>
      <c r="VF140" s="3"/>
      <c r="VG140" s="3"/>
      <c r="VH140" s="3"/>
      <c r="VI140" s="3"/>
      <c r="VJ140" s="3"/>
      <c r="VK140" s="3"/>
      <c r="VL140" s="3"/>
      <c r="VM140" s="3"/>
      <c r="VN140" s="3"/>
      <c r="VO140" s="3"/>
      <c r="VP140" s="3"/>
      <c r="VQ140" s="3"/>
      <c r="VR140" s="3"/>
      <c r="VS140" s="3"/>
      <c r="VT140" s="3"/>
      <c r="VU140" s="3"/>
      <c r="VV140" s="3"/>
      <c r="VW140" s="3"/>
      <c r="VX140" s="3"/>
      <c r="VY140" s="3"/>
      <c r="VZ140" s="3"/>
      <c r="WA140" s="3"/>
      <c r="WB140" s="3"/>
      <c r="WC140" s="3"/>
      <c r="WD140" s="3"/>
      <c r="WE140" s="3"/>
      <c r="WF140" s="3"/>
      <c r="WG140" s="3"/>
      <c r="WH140" s="3"/>
      <c r="WI140" s="3"/>
      <c r="WJ140" s="3"/>
      <c r="WK140" s="3"/>
      <c r="WL140" s="3"/>
      <c r="WM140" s="3"/>
      <c r="WN140" s="3"/>
      <c r="WO140" s="3"/>
      <c r="WP140" s="3"/>
      <c r="WQ140" s="3"/>
      <c r="WR140" s="3"/>
      <c r="WS140" s="3"/>
      <c r="WT140" s="3"/>
      <c r="WU140" s="3"/>
      <c r="WV140" s="3"/>
      <c r="WW140" s="3"/>
      <c r="WX140" s="3"/>
      <c r="WY140" s="3"/>
      <c r="WZ140" s="3"/>
      <c r="XA140" s="3"/>
      <c r="XB140" s="3"/>
      <c r="XC140" s="3"/>
      <c r="XD140" s="3"/>
      <c r="XE140" s="3"/>
      <c r="XF140" s="3"/>
      <c r="XG140" s="3"/>
      <c r="XH140" s="3"/>
      <c r="XI140" s="3"/>
      <c r="XJ140" s="3"/>
      <c r="XK140" s="3"/>
      <c r="XL140" s="3"/>
      <c r="XM140" s="3"/>
      <c r="XN140" s="3"/>
      <c r="XO140" s="3"/>
      <c r="XP140" s="3"/>
      <c r="XQ140" s="3"/>
      <c r="XR140" s="3"/>
      <c r="XS140" s="3"/>
      <c r="XT140" s="3"/>
      <c r="XU140" s="3"/>
      <c r="XV140" s="3"/>
      <c r="XW140" s="3"/>
      <c r="XX140" s="3"/>
      <c r="XY140" s="3"/>
      <c r="XZ140" s="3"/>
      <c r="YA140" s="3"/>
      <c r="YB140" s="3"/>
      <c r="YC140" s="3"/>
      <c r="YD140" s="3"/>
      <c r="YE140" s="3"/>
      <c r="YF140" s="3"/>
      <c r="YG140" s="3"/>
      <c r="YH140" s="3"/>
      <c r="YI140" s="3"/>
      <c r="YJ140" s="3"/>
      <c r="YK140" s="3"/>
      <c r="YL140" s="3"/>
      <c r="YM140" s="3"/>
      <c r="YN140" s="3"/>
      <c r="YO140" s="3"/>
      <c r="YP140" s="3"/>
      <c r="YQ140" s="3"/>
      <c r="YR140" s="3"/>
      <c r="YS140" s="3"/>
      <c r="YT140" s="3"/>
      <c r="YU140" s="3"/>
      <c r="YV140" s="3"/>
      <c r="YW140" s="3"/>
      <c r="YX140" s="3"/>
      <c r="YY140" s="3"/>
      <c r="YZ140" s="3"/>
      <c r="ZA140" s="3"/>
      <c r="ZB140" s="3"/>
      <c r="ZC140" s="3"/>
    </row>
    <row r="141" spans="1:679" s="2" customFormat="1" x14ac:dyDescent="0.45">
      <c r="A141" s="3" t="s">
        <v>11</v>
      </c>
      <c r="B141" s="4">
        <v>34434</v>
      </c>
      <c r="C141" s="7" t="s">
        <v>25</v>
      </c>
      <c r="D141" s="6" t="s">
        <v>156</v>
      </c>
      <c r="E141" s="3"/>
      <c r="F141" s="3">
        <v>26</v>
      </c>
      <c r="L141" s="3"/>
      <c r="M141" s="3"/>
      <c r="N141" s="48"/>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c r="DW141" s="3"/>
      <c r="DX141" s="3"/>
      <c r="DY141" s="3"/>
      <c r="DZ141" s="3"/>
      <c r="EA141" s="3"/>
      <c r="EB141" s="3"/>
      <c r="EC141" s="3"/>
      <c r="ED141" s="3"/>
      <c r="EE141" s="3"/>
      <c r="EF141" s="3"/>
      <c r="EG141" s="3"/>
      <c r="EH141" s="3"/>
      <c r="EI141" s="3"/>
      <c r="EJ141" s="3"/>
      <c r="EK141" s="3"/>
      <c r="EL141" s="3"/>
      <c r="EM141" s="3"/>
      <c r="EN141" s="3"/>
      <c r="EO141" s="3"/>
      <c r="EP141" s="3"/>
      <c r="EQ141" s="3"/>
      <c r="ER141" s="3"/>
      <c r="ES141" s="3"/>
      <c r="ET141" s="3"/>
      <c r="EU141" s="3"/>
      <c r="EV141" s="3"/>
      <c r="EW141" s="3"/>
      <c r="EX141" s="3"/>
      <c r="EY141" s="3"/>
      <c r="EZ141" s="3"/>
      <c r="FA141" s="3"/>
      <c r="FB141" s="3"/>
      <c r="FC141" s="3"/>
      <c r="FD141" s="3"/>
      <c r="FE141" s="3"/>
      <c r="FF141" s="3"/>
      <c r="FG141" s="3"/>
      <c r="FH141" s="3"/>
      <c r="FI141" s="3"/>
      <c r="FJ141" s="3"/>
      <c r="FK141" s="3"/>
      <c r="FL141" s="3"/>
      <c r="FM141" s="3"/>
      <c r="FN141" s="3"/>
      <c r="FO141" s="3"/>
      <c r="FP141" s="3"/>
      <c r="FQ141" s="3"/>
      <c r="FR141" s="3"/>
      <c r="FS141" s="3"/>
      <c r="FT141" s="3"/>
      <c r="FU141" s="3"/>
      <c r="FV141" s="3"/>
      <c r="FW141" s="3"/>
      <c r="FX141" s="3"/>
      <c r="FY141" s="3"/>
      <c r="FZ141" s="3"/>
      <c r="GA141" s="3"/>
      <c r="GB141" s="3"/>
      <c r="GC141" s="3"/>
      <c r="GD141" s="3"/>
      <c r="GE141" s="3"/>
      <c r="GF141" s="3"/>
      <c r="GG141" s="3"/>
      <c r="GH141" s="3"/>
      <c r="GI141" s="3"/>
      <c r="GJ141" s="3"/>
      <c r="GK141" s="3"/>
      <c r="GL141" s="3"/>
      <c r="GM141" s="3"/>
      <c r="GN141" s="3"/>
      <c r="GO141" s="3"/>
      <c r="GP141" s="3"/>
      <c r="GQ141" s="3"/>
      <c r="GR141" s="3"/>
      <c r="GS141" s="3"/>
      <c r="GT141" s="3"/>
      <c r="GU141" s="3"/>
      <c r="GV141" s="3"/>
      <c r="GW141" s="3"/>
      <c r="GX141" s="3"/>
      <c r="GY141" s="3"/>
      <c r="GZ141" s="3"/>
      <c r="HA141" s="3"/>
      <c r="HB141" s="3"/>
      <c r="HC141" s="3"/>
      <c r="HD141" s="3"/>
      <c r="HE141" s="3"/>
      <c r="HF141" s="3"/>
      <c r="HG141" s="3"/>
      <c r="HH141" s="3"/>
      <c r="HI141" s="3"/>
      <c r="HJ141" s="3"/>
      <c r="HK141" s="3"/>
      <c r="HL141" s="3"/>
      <c r="HM141" s="3"/>
      <c r="HN141" s="3"/>
      <c r="HO141" s="3"/>
      <c r="HP141" s="3"/>
      <c r="HQ141" s="3"/>
      <c r="HR141" s="3"/>
      <c r="HS141" s="3"/>
      <c r="HT141" s="3"/>
      <c r="HU141" s="3"/>
      <c r="HV141" s="3"/>
      <c r="HW141" s="3"/>
      <c r="HX141" s="3"/>
      <c r="HY141" s="3"/>
      <c r="HZ141" s="3"/>
      <c r="IA141" s="3"/>
      <c r="IB141" s="3"/>
      <c r="IC141" s="3"/>
      <c r="ID141" s="3"/>
      <c r="IE141" s="3"/>
      <c r="IF141" s="3"/>
      <c r="IG141" s="3"/>
      <c r="IH141" s="3"/>
      <c r="II141" s="3"/>
      <c r="IJ141" s="3"/>
      <c r="IK141" s="3"/>
      <c r="IL141" s="3"/>
      <c r="IM141" s="3"/>
      <c r="IN141" s="3"/>
      <c r="IO141" s="3"/>
      <c r="IP141" s="3"/>
      <c r="IQ141" s="3"/>
      <c r="IR141" s="3"/>
      <c r="IS141" s="3"/>
      <c r="IT141" s="3"/>
      <c r="IU141" s="3"/>
      <c r="IV141" s="3"/>
      <c r="IW141" s="3"/>
      <c r="IX141" s="3"/>
      <c r="IY141" s="3"/>
      <c r="IZ141" s="3"/>
      <c r="JA141" s="3"/>
      <c r="JB141" s="3"/>
      <c r="JC141" s="3"/>
      <c r="JD141" s="3"/>
      <c r="JE141" s="3"/>
      <c r="JF141" s="3"/>
      <c r="JG141" s="3"/>
      <c r="JH141" s="3"/>
      <c r="JI141" s="3"/>
      <c r="JJ141" s="3"/>
      <c r="JK141" s="3"/>
      <c r="JL141" s="3"/>
      <c r="JM141" s="3"/>
      <c r="JN141" s="3"/>
      <c r="JO141" s="3"/>
      <c r="JP141" s="3"/>
      <c r="JQ141" s="3"/>
      <c r="JR141" s="3"/>
      <c r="JS141" s="3"/>
      <c r="JT141" s="3"/>
      <c r="JU141" s="3"/>
      <c r="JV141" s="3"/>
      <c r="JW141" s="3"/>
      <c r="JX141" s="3"/>
      <c r="JY141" s="3"/>
      <c r="JZ141" s="3"/>
      <c r="KA141" s="3"/>
      <c r="KB141" s="3"/>
      <c r="KC141" s="3"/>
      <c r="KD141" s="3"/>
      <c r="KE141" s="3"/>
      <c r="KF141" s="3"/>
      <c r="KG141" s="3"/>
      <c r="KH141" s="3"/>
      <c r="KI141" s="3"/>
      <c r="KJ141" s="3"/>
      <c r="KK141" s="3"/>
      <c r="KL141" s="3"/>
      <c r="KM141" s="3"/>
      <c r="KN141" s="3"/>
      <c r="KO141" s="3"/>
      <c r="KP141" s="3"/>
      <c r="KQ141" s="3"/>
      <c r="KR141" s="3"/>
      <c r="KS141" s="3"/>
      <c r="KT141" s="3"/>
      <c r="KU141" s="3"/>
      <c r="KV141" s="3"/>
      <c r="KW141" s="3"/>
      <c r="KX141" s="3"/>
      <c r="KY141" s="3"/>
      <c r="KZ141" s="3"/>
      <c r="LA141" s="3"/>
      <c r="LB141" s="3"/>
      <c r="LC141" s="3"/>
      <c r="LD141" s="3"/>
      <c r="LE141" s="3"/>
      <c r="LF141" s="3"/>
      <c r="LG141" s="3"/>
      <c r="LH141" s="3"/>
      <c r="LI141" s="3"/>
      <c r="LJ141" s="3"/>
      <c r="LK141" s="3"/>
      <c r="LL141" s="3"/>
      <c r="LM141" s="3"/>
      <c r="LN141" s="3"/>
      <c r="LO141" s="3"/>
      <c r="LP141" s="3"/>
      <c r="LQ141" s="3"/>
      <c r="LR141" s="3"/>
      <c r="LS141" s="3"/>
      <c r="LT141" s="3"/>
      <c r="LU141" s="3"/>
      <c r="LV141" s="3"/>
      <c r="LW141" s="3"/>
      <c r="LX141" s="3"/>
      <c r="LY141" s="3"/>
      <c r="LZ141" s="3"/>
      <c r="MA141" s="3"/>
      <c r="MB141" s="3"/>
      <c r="MC141" s="3"/>
      <c r="MD141" s="3"/>
      <c r="ME141" s="3"/>
      <c r="MF141" s="3"/>
      <c r="MG141" s="3"/>
      <c r="MH141" s="3"/>
      <c r="MI141" s="3"/>
      <c r="MJ141" s="3"/>
      <c r="MK141" s="3"/>
      <c r="ML141" s="3"/>
      <c r="MM141" s="3"/>
      <c r="MN141" s="3"/>
      <c r="MO141" s="3"/>
      <c r="MP141" s="3"/>
      <c r="MQ141" s="3"/>
      <c r="MR141" s="3"/>
      <c r="MS141" s="3"/>
      <c r="MT141" s="3"/>
      <c r="MU141" s="3"/>
      <c r="MV141" s="3"/>
      <c r="MW141" s="3"/>
      <c r="MX141" s="3"/>
      <c r="MY141" s="3"/>
      <c r="MZ141" s="3"/>
      <c r="NA141" s="3"/>
      <c r="NB141" s="3"/>
      <c r="NC141" s="3"/>
      <c r="ND141" s="3"/>
      <c r="NE141" s="3"/>
      <c r="NF141" s="3"/>
      <c r="NG141" s="3"/>
      <c r="NH141" s="3"/>
      <c r="NI141" s="3"/>
      <c r="NJ141" s="3"/>
      <c r="NK141" s="3"/>
      <c r="NL141" s="3"/>
      <c r="NM141" s="3"/>
      <c r="NN141" s="3"/>
      <c r="NO141" s="3"/>
      <c r="NP141" s="3"/>
      <c r="NQ141" s="3"/>
      <c r="NR141" s="3"/>
      <c r="NS141" s="3"/>
      <c r="NT141" s="3"/>
      <c r="NU141" s="3"/>
      <c r="NV141" s="3"/>
      <c r="NW141" s="3"/>
      <c r="NX141" s="3"/>
      <c r="NY141" s="3"/>
      <c r="NZ141" s="3"/>
      <c r="OA141" s="3"/>
      <c r="OB141" s="3"/>
      <c r="OC141" s="3"/>
      <c r="OD141" s="3"/>
      <c r="OE141" s="3"/>
      <c r="OF141" s="3"/>
      <c r="OG141" s="3"/>
      <c r="OH141" s="3"/>
      <c r="OI141" s="3"/>
      <c r="OJ141" s="3"/>
      <c r="OK141" s="3"/>
      <c r="OL141" s="3"/>
      <c r="OM141" s="3"/>
      <c r="ON141" s="3"/>
      <c r="OO141" s="3"/>
      <c r="OP141" s="3"/>
      <c r="OQ141" s="3"/>
      <c r="OR141" s="3"/>
      <c r="OS141" s="3"/>
      <c r="OT141" s="3"/>
      <c r="OU141" s="3"/>
      <c r="OV141" s="3"/>
      <c r="OW141" s="3"/>
      <c r="OX141" s="3"/>
      <c r="OY141" s="3"/>
      <c r="OZ141" s="3"/>
      <c r="PA141" s="3"/>
      <c r="PB141" s="3"/>
      <c r="PC141" s="3"/>
      <c r="PD141" s="3"/>
      <c r="PE141" s="3"/>
      <c r="PF141" s="3"/>
      <c r="PG141" s="3"/>
      <c r="PH141" s="3"/>
      <c r="PI141" s="3"/>
      <c r="PJ141" s="3"/>
      <c r="PK141" s="3"/>
      <c r="PL141" s="3"/>
      <c r="PM141" s="3"/>
      <c r="PN141" s="3"/>
      <c r="PO141" s="3"/>
      <c r="PP141" s="3"/>
      <c r="PQ141" s="3"/>
      <c r="PR141" s="3"/>
      <c r="PS141" s="3"/>
      <c r="PT141" s="3"/>
      <c r="PU141" s="3"/>
      <c r="PV141" s="3"/>
      <c r="PW141" s="3"/>
      <c r="PX141" s="3"/>
      <c r="PY141" s="3"/>
      <c r="PZ141" s="3"/>
      <c r="QA141" s="3"/>
      <c r="QB141" s="3"/>
      <c r="QC141" s="3"/>
      <c r="QD141" s="3"/>
      <c r="QE141" s="3"/>
      <c r="QF141" s="3"/>
      <c r="QG141" s="3"/>
      <c r="QH141" s="3"/>
      <c r="QI141" s="3"/>
      <c r="QJ141" s="3"/>
      <c r="QK141" s="3"/>
      <c r="QL141" s="3"/>
      <c r="QM141" s="3"/>
      <c r="QN141" s="3"/>
      <c r="QO141" s="3"/>
      <c r="QP141" s="3"/>
      <c r="QQ141" s="3"/>
      <c r="QR141" s="3"/>
      <c r="QS141" s="3"/>
      <c r="QT141" s="3"/>
      <c r="QU141" s="3"/>
      <c r="QV141" s="3"/>
      <c r="QW141" s="3"/>
      <c r="QX141" s="3"/>
      <c r="QY141" s="3"/>
      <c r="QZ141" s="3"/>
      <c r="RA141" s="3"/>
      <c r="RB141" s="3"/>
      <c r="RC141" s="3"/>
      <c r="RD141" s="3"/>
      <c r="RE141" s="3"/>
      <c r="RF141" s="3"/>
      <c r="RG141" s="3"/>
      <c r="RH141" s="3"/>
      <c r="RI141" s="3"/>
      <c r="RJ141" s="3"/>
      <c r="RK141" s="3"/>
      <c r="RL141" s="3"/>
      <c r="RM141" s="3"/>
      <c r="RN141" s="3"/>
      <c r="RO141" s="3"/>
      <c r="RP141" s="3"/>
      <c r="RQ141" s="3"/>
      <c r="RR141" s="3"/>
      <c r="RS141" s="3"/>
      <c r="RT141" s="3"/>
      <c r="RU141" s="3"/>
      <c r="RV141" s="3"/>
      <c r="RW141" s="3"/>
      <c r="RX141" s="3"/>
      <c r="RY141" s="3"/>
      <c r="RZ141" s="3"/>
      <c r="SA141" s="3"/>
      <c r="SB141" s="3"/>
      <c r="SC141" s="3"/>
      <c r="SD141" s="3"/>
      <c r="SE141" s="3"/>
      <c r="SF141" s="3"/>
      <c r="SG141" s="3"/>
      <c r="SH141" s="3"/>
      <c r="SI141" s="3"/>
      <c r="SJ141" s="3"/>
      <c r="SK141" s="3"/>
      <c r="SL141" s="3"/>
      <c r="SM141" s="3"/>
      <c r="SN141" s="3"/>
      <c r="SO141" s="3"/>
      <c r="SP141" s="3"/>
      <c r="SQ141" s="3"/>
      <c r="SR141" s="3"/>
      <c r="SS141" s="3"/>
      <c r="ST141" s="3"/>
      <c r="SU141" s="3"/>
      <c r="SV141" s="3"/>
      <c r="SW141" s="3"/>
      <c r="SX141" s="3"/>
      <c r="SY141" s="3"/>
      <c r="SZ141" s="3"/>
      <c r="TA141" s="3"/>
      <c r="TB141" s="3"/>
      <c r="TC141" s="3"/>
      <c r="TD141" s="3"/>
      <c r="TE141" s="3"/>
      <c r="TF141" s="3"/>
      <c r="TG141" s="3"/>
      <c r="TH141" s="3"/>
      <c r="TI141" s="3"/>
      <c r="TJ141" s="3"/>
      <c r="TK141" s="3"/>
      <c r="TL141" s="3"/>
      <c r="TM141" s="3"/>
      <c r="TN141" s="3"/>
      <c r="TO141" s="3"/>
      <c r="TP141" s="3"/>
      <c r="TQ141" s="3"/>
      <c r="TR141" s="3"/>
      <c r="TS141" s="3"/>
      <c r="TT141" s="3"/>
      <c r="TU141" s="3"/>
      <c r="TV141" s="3"/>
      <c r="TW141" s="3"/>
      <c r="TX141" s="3"/>
      <c r="TY141" s="3"/>
      <c r="TZ141" s="3"/>
      <c r="UA141" s="3"/>
      <c r="UB141" s="3"/>
      <c r="UC141" s="3"/>
      <c r="UD141" s="3"/>
      <c r="UE141" s="3"/>
      <c r="UF141" s="3"/>
      <c r="UG141" s="3"/>
      <c r="UH141" s="3"/>
      <c r="UI141" s="3"/>
      <c r="UJ141" s="3"/>
      <c r="UK141" s="3"/>
      <c r="UL141" s="3"/>
      <c r="UM141" s="3"/>
      <c r="UN141" s="3"/>
      <c r="UO141" s="3"/>
      <c r="UP141" s="3"/>
      <c r="UQ141" s="3"/>
      <c r="UR141" s="3"/>
      <c r="US141" s="3"/>
      <c r="UT141" s="3"/>
      <c r="UU141" s="3"/>
      <c r="UV141" s="3"/>
      <c r="UW141" s="3"/>
      <c r="UX141" s="3"/>
      <c r="UY141" s="3"/>
      <c r="UZ141" s="3"/>
      <c r="VA141" s="3"/>
      <c r="VB141" s="3"/>
      <c r="VC141" s="3"/>
      <c r="VD141" s="3"/>
      <c r="VE141" s="3"/>
      <c r="VF141" s="3"/>
      <c r="VG141" s="3"/>
      <c r="VH141" s="3"/>
      <c r="VI141" s="3"/>
      <c r="VJ141" s="3"/>
      <c r="VK141" s="3"/>
      <c r="VL141" s="3"/>
      <c r="VM141" s="3"/>
      <c r="VN141" s="3"/>
      <c r="VO141" s="3"/>
      <c r="VP141" s="3"/>
      <c r="VQ141" s="3"/>
      <c r="VR141" s="3"/>
      <c r="VS141" s="3"/>
      <c r="VT141" s="3"/>
      <c r="VU141" s="3"/>
      <c r="VV141" s="3"/>
      <c r="VW141" s="3"/>
      <c r="VX141" s="3"/>
      <c r="VY141" s="3"/>
      <c r="VZ141" s="3"/>
      <c r="WA141" s="3"/>
      <c r="WB141" s="3"/>
      <c r="WC141" s="3"/>
      <c r="WD141" s="3"/>
      <c r="WE141" s="3"/>
      <c r="WF141" s="3"/>
      <c r="WG141" s="3"/>
      <c r="WH141" s="3"/>
      <c r="WI141" s="3"/>
      <c r="WJ141" s="3"/>
      <c r="WK141" s="3"/>
      <c r="WL141" s="3"/>
      <c r="WM141" s="3"/>
      <c r="WN141" s="3"/>
      <c r="WO141" s="3"/>
      <c r="WP141" s="3"/>
      <c r="WQ141" s="3"/>
      <c r="WR141" s="3"/>
      <c r="WS141" s="3"/>
      <c r="WT141" s="3"/>
      <c r="WU141" s="3"/>
      <c r="WV141" s="3"/>
      <c r="WW141" s="3"/>
      <c r="WX141" s="3"/>
      <c r="WY141" s="3"/>
      <c r="WZ141" s="3"/>
      <c r="XA141" s="3"/>
      <c r="XB141" s="3"/>
      <c r="XC141" s="3"/>
      <c r="XD141" s="3"/>
      <c r="XE141" s="3"/>
      <c r="XF141" s="3"/>
      <c r="XG141" s="3"/>
      <c r="XH141" s="3"/>
      <c r="XI141" s="3"/>
      <c r="XJ141" s="3"/>
      <c r="XK141" s="3"/>
      <c r="XL141" s="3"/>
      <c r="XM141" s="3"/>
      <c r="XN141" s="3"/>
      <c r="XO141" s="3"/>
      <c r="XP141" s="3"/>
      <c r="XQ141" s="3"/>
      <c r="XR141" s="3"/>
      <c r="XS141" s="3"/>
      <c r="XT141" s="3"/>
      <c r="XU141" s="3"/>
      <c r="XV141" s="3"/>
      <c r="XW141" s="3"/>
      <c r="XX141" s="3"/>
      <c r="XY141" s="3"/>
      <c r="XZ141" s="3"/>
      <c r="YA141" s="3"/>
      <c r="YB141" s="3"/>
      <c r="YC141" s="3"/>
      <c r="YD141" s="3"/>
      <c r="YE141" s="3"/>
      <c r="YF141" s="3"/>
      <c r="YG141" s="3"/>
      <c r="YH141" s="3"/>
      <c r="YI141" s="3"/>
      <c r="YJ141" s="3"/>
      <c r="YK141" s="3"/>
      <c r="YL141" s="3"/>
      <c r="YM141" s="3"/>
      <c r="YN141" s="3"/>
      <c r="YO141" s="3"/>
      <c r="YP141" s="3"/>
      <c r="YQ141" s="3"/>
      <c r="YR141" s="3"/>
      <c r="YS141" s="3"/>
      <c r="YT141" s="3"/>
      <c r="YU141" s="3"/>
      <c r="YV141" s="3"/>
      <c r="YW141" s="3"/>
      <c r="YX141" s="3"/>
      <c r="YY141" s="3"/>
      <c r="YZ141" s="3"/>
      <c r="ZA141" s="3"/>
      <c r="ZB141" s="3"/>
      <c r="ZC141" s="3"/>
    </row>
    <row r="142" spans="1:679" s="2" customFormat="1" x14ac:dyDescent="0.45">
      <c r="A142" s="3" t="s">
        <v>11</v>
      </c>
      <c r="B142" s="4">
        <v>34512</v>
      </c>
      <c r="C142" s="7" t="s">
        <v>21</v>
      </c>
      <c r="D142" s="6" t="s">
        <v>157</v>
      </c>
      <c r="E142" s="3"/>
      <c r="F142" s="3">
        <v>37</v>
      </c>
      <c r="L142" s="3"/>
      <c r="M142" s="3"/>
      <c r="N142" s="48"/>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c r="DK142" s="3"/>
      <c r="DL142" s="3"/>
      <c r="DM142" s="3"/>
      <c r="DN142" s="3"/>
      <c r="DO142" s="3"/>
      <c r="DP142" s="3"/>
      <c r="DQ142" s="3"/>
      <c r="DR142" s="3"/>
      <c r="DS142" s="3"/>
      <c r="DT142" s="3"/>
      <c r="DU142" s="3"/>
      <c r="DV142" s="3"/>
      <c r="DW142" s="3"/>
      <c r="DX142" s="3"/>
      <c r="DY142" s="3"/>
      <c r="DZ142" s="3"/>
      <c r="EA142" s="3"/>
      <c r="EB142" s="3"/>
      <c r="EC142" s="3"/>
      <c r="ED142" s="3"/>
      <c r="EE142" s="3"/>
      <c r="EF142" s="3"/>
      <c r="EG142" s="3"/>
      <c r="EH142" s="3"/>
      <c r="EI142" s="3"/>
      <c r="EJ142" s="3"/>
      <c r="EK142" s="3"/>
      <c r="EL142" s="3"/>
      <c r="EM142" s="3"/>
      <c r="EN142" s="3"/>
      <c r="EO142" s="3"/>
      <c r="EP142" s="3"/>
      <c r="EQ142" s="3"/>
      <c r="ER142" s="3"/>
      <c r="ES142" s="3"/>
      <c r="ET142" s="3"/>
      <c r="EU142" s="3"/>
      <c r="EV142" s="3"/>
      <c r="EW142" s="3"/>
      <c r="EX142" s="3"/>
      <c r="EY142" s="3"/>
      <c r="EZ142" s="3"/>
      <c r="FA142" s="3"/>
      <c r="FB142" s="3"/>
      <c r="FC142" s="3"/>
      <c r="FD142" s="3"/>
      <c r="FE142" s="3"/>
      <c r="FF142" s="3"/>
      <c r="FG142" s="3"/>
      <c r="FH142" s="3"/>
      <c r="FI142" s="3"/>
      <c r="FJ142" s="3"/>
      <c r="FK142" s="3"/>
      <c r="FL142" s="3"/>
      <c r="FM142" s="3"/>
      <c r="FN142" s="3"/>
      <c r="FO142" s="3"/>
      <c r="FP142" s="3"/>
      <c r="FQ142" s="3"/>
      <c r="FR142" s="3"/>
      <c r="FS142" s="3"/>
      <c r="FT142" s="3"/>
      <c r="FU142" s="3"/>
      <c r="FV142" s="3"/>
      <c r="FW142" s="3"/>
      <c r="FX142" s="3"/>
      <c r="FY142" s="3"/>
      <c r="FZ142" s="3"/>
      <c r="GA142" s="3"/>
      <c r="GB142" s="3"/>
      <c r="GC142" s="3"/>
      <c r="GD142" s="3"/>
      <c r="GE142" s="3"/>
      <c r="GF142" s="3"/>
      <c r="GG142" s="3"/>
      <c r="GH142" s="3"/>
      <c r="GI142" s="3"/>
      <c r="GJ142" s="3"/>
      <c r="GK142" s="3"/>
      <c r="GL142" s="3"/>
      <c r="GM142" s="3"/>
      <c r="GN142" s="3"/>
      <c r="GO142" s="3"/>
      <c r="GP142" s="3"/>
      <c r="GQ142" s="3"/>
      <c r="GR142" s="3"/>
      <c r="GS142" s="3"/>
      <c r="GT142" s="3"/>
      <c r="GU142" s="3"/>
      <c r="GV142" s="3"/>
      <c r="GW142" s="3"/>
      <c r="GX142" s="3"/>
      <c r="GY142" s="3"/>
      <c r="GZ142" s="3"/>
      <c r="HA142" s="3"/>
      <c r="HB142" s="3"/>
      <c r="HC142" s="3"/>
      <c r="HD142" s="3"/>
      <c r="HE142" s="3"/>
      <c r="HF142" s="3"/>
      <c r="HG142" s="3"/>
      <c r="HH142" s="3"/>
      <c r="HI142" s="3"/>
      <c r="HJ142" s="3"/>
      <c r="HK142" s="3"/>
      <c r="HL142" s="3"/>
      <c r="HM142" s="3"/>
      <c r="HN142" s="3"/>
      <c r="HO142" s="3"/>
      <c r="HP142" s="3"/>
      <c r="HQ142" s="3"/>
      <c r="HR142" s="3"/>
      <c r="HS142" s="3"/>
      <c r="HT142" s="3"/>
      <c r="HU142" s="3"/>
      <c r="HV142" s="3"/>
      <c r="HW142" s="3"/>
      <c r="HX142" s="3"/>
      <c r="HY142" s="3"/>
      <c r="HZ142" s="3"/>
      <c r="IA142" s="3"/>
      <c r="IB142" s="3"/>
      <c r="IC142" s="3"/>
      <c r="ID142" s="3"/>
      <c r="IE142" s="3"/>
      <c r="IF142" s="3"/>
      <c r="IG142" s="3"/>
      <c r="IH142" s="3"/>
      <c r="II142" s="3"/>
      <c r="IJ142" s="3"/>
      <c r="IK142" s="3"/>
      <c r="IL142" s="3"/>
      <c r="IM142" s="3"/>
      <c r="IN142" s="3"/>
      <c r="IO142" s="3"/>
      <c r="IP142" s="3"/>
      <c r="IQ142" s="3"/>
      <c r="IR142" s="3"/>
      <c r="IS142" s="3"/>
      <c r="IT142" s="3"/>
      <c r="IU142" s="3"/>
      <c r="IV142" s="3"/>
      <c r="IW142" s="3"/>
      <c r="IX142" s="3"/>
      <c r="IY142" s="3"/>
      <c r="IZ142" s="3"/>
      <c r="JA142" s="3"/>
      <c r="JB142" s="3"/>
      <c r="JC142" s="3"/>
      <c r="JD142" s="3"/>
      <c r="JE142" s="3"/>
      <c r="JF142" s="3"/>
      <c r="JG142" s="3"/>
      <c r="JH142" s="3"/>
      <c r="JI142" s="3"/>
      <c r="JJ142" s="3"/>
      <c r="JK142" s="3"/>
      <c r="JL142" s="3"/>
      <c r="JM142" s="3"/>
      <c r="JN142" s="3"/>
      <c r="JO142" s="3"/>
      <c r="JP142" s="3"/>
      <c r="JQ142" s="3"/>
      <c r="JR142" s="3"/>
      <c r="JS142" s="3"/>
      <c r="JT142" s="3"/>
      <c r="JU142" s="3"/>
      <c r="JV142" s="3"/>
      <c r="JW142" s="3"/>
      <c r="JX142" s="3"/>
      <c r="JY142" s="3"/>
      <c r="JZ142" s="3"/>
      <c r="KA142" s="3"/>
      <c r="KB142" s="3"/>
      <c r="KC142" s="3"/>
      <c r="KD142" s="3"/>
      <c r="KE142" s="3"/>
      <c r="KF142" s="3"/>
      <c r="KG142" s="3"/>
      <c r="KH142" s="3"/>
      <c r="KI142" s="3"/>
      <c r="KJ142" s="3"/>
      <c r="KK142" s="3"/>
      <c r="KL142" s="3"/>
      <c r="KM142" s="3"/>
      <c r="KN142" s="3"/>
      <c r="KO142" s="3"/>
      <c r="KP142" s="3"/>
      <c r="KQ142" s="3"/>
      <c r="KR142" s="3"/>
      <c r="KS142" s="3"/>
      <c r="KT142" s="3"/>
      <c r="KU142" s="3"/>
      <c r="KV142" s="3"/>
      <c r="KW142" s="3"/>
      <c r="KX142" s="3"/>
      <c r="KY142" s="3"/>
      <c r="KZ142" s="3"/>
      <c r="LA142" s="3"/>
      <c r="LB142" s="3"/>
      <c r="LC142" s="3"/>
      <c r="LD142" s="3"/>
      <c r="LE142" s="3"/>
      <c r="LF142" s="3"/>
      <c r="LG142" s="3"/>
      <c r="LH142" s="3"/>
      <c r="LI142" s="3"/>
      <c r="LJ142" s="3"/>
      <c r="LK142" s="3"/>
      <c r="LL142" s="3"/>
      <c r="LM142" s="3"/>
      <c r="LN142" s="3"/>
      <c r="LO142" s="3"/>
      <c r="LP142" s="3"/>
      <c r="LQ142" s="3"/>
      <c r="LR142" s="3"/>
      <c r="LS142" s="3"/>
      <c r="LT142" s="3"/>
      <c r="LU142" s="3"/>
      <c r="LV142" s="3"/>
      <c r="LW142" s="3"/>
      <c r="LX142" s="3"/>
      <c r="LY142" s="3"/>
      <c r="LZ142" s="3"/>
      <c r="MA142" s="3"/>
      <c r="MB142" s="3"/>
      <c r="MC142" s="3"/>
      <c r="MD142" s="3"/>
      <c r="ME142" s="3"/>
      <c r="MF142" s="3"/>
      <c r="MG142" s="3"/>
      <c r="MH142" s="3"/>
      <c r="MI142" s="3"/>
      <c r="MJ142" s="3"/>
      <c r="MK142" s="3"/>
      <c r="ML142" s="3"/>
      <c r="MM142" s="3"/>
      <c r="MN142" s="3"/>
      <c r="MO142" s="3"/>
      <c r="MP142" s="3"/>
      <c r="MQ142" s="3"/>
      <c r="MR142" s="3"/>
      <c r="MS142" s="3"/>
      <c r="MT142" s="3"/>
      <c r="MU142" s="3"/>
      <c r="MV142" s="3"/>
      <c r="MW142" s="3"/>
      <c r="MX142" s="3"/>
      <c r="MY142" s="3"/>
      <c r="MZ142" s="3"/>
      <c r="NA142" s="3"/>
      <c r="NB142" s="3"/>
      <c r="NC142" s="3"/>
      <c r="ND142" s="3"/>
      <c r="NE142" s="3"/>
      <c r="NF142" s="3"/>
      <c r="NG142" s="3"/>
      <c r="NH142" s="3"/>
      <c r="NI142" s="3"/>
      <c r="NJ142" s="3"/>
      <c r="NK142" s="3"/>
      <c r="NL142" s="3"/>
      <c r="NM142" s="3"/>
      <c r="NN142" s="3"/>
      <c r="NO142" s="3"/>
      <c r="NP142" s="3"/>
      <c r="NQ142" s="3"/>
      <c r="NR142" s="3"/>
      <c r="NS142" s="3"/>
      <c r="NT142" s="3"/>
      <c r="NU142" s="3"/>
      <c r="NV142" s="3"/>
      <c r="NW142" s="3"/>
      <c r="NX142" s="3"/>
      <c r="NY142" s="3"/>
      <c r="NZ142" s="3"/>
      <c r="OA142" s="3"/>
      <c r="OB142" s="3"/>
      <c r="OC142" s="3"/>
      <c r="OD142" s="3"/>
      <c r="OE142" s="3"/>
      <c r="OF142" s="3"/>
      <c r="OG142" s="3"/>
      <c r="OH142" s="3"/>
      <c r="OI142" s="3"/>
      <c r="OJ142" s="3"/>
      <c r="OK142" s="3"/>
      <c r="OL142" s="3"/>
      <c r="OM142" s="3"/>
      <c r="ON142" s="3"/>
      <c r="OO142" s="3"/>
      <c r="OP142" s="3"/>
      <c r="OQ142" s="3"/>
      <c r="OR142" s="3"/>
      <c r="OS142" s="3"/>
      <c r="OT142" s="3"/>
      <c r="OU142" s="3"/>
      <c r="OV142" s="3"/>
      <c r="OW142" s="3"/>
      <c r="OX142" s="3"/>
      <c r="OY142" s="3"/>
      <c r="OZ142" s="3"/>
      <c r="PA142" s="3"/>
      <c r="PB142" s="3"/>
      <c r="PC142" s="3"/>
      <c r="PD142" s="3"/>
      <c r="PE142" s="3"/>
      <c r="PF142" s="3"/>
      <c r="PG142" s="3"/>
      <c r="PH142" s="3"/>
      <c r="PI142" s="3"/>
      <c r="PJ142" s="3"/>
      <c r="PK142" s="3"/>
      <c r="PL142" s="3"/>
      <c r="PM142" s="3"/>
      <c r="PN142" s="3"/>
      <c r="PO142" s="3"/>
      <c r="PP142" s="3"/>
      <c r="PQ142" s="3"/>
      <c r="PR142" s="3"/>
      <c r="PS142" s="3"/>
      <c r="PT142" s="3"/>
      <c r="PU142" s="3"/>
      <c r="PV142" s="3"/>
      <c r="PW142" s="3"/>
      <c r="PX142" s="3"/>
      <c r="PY142" s="3"/>
      <c r="PZ142" s="3"/>
      <c r="QA142" s="3"/>
      <c r="QB142" s="3"/>
      <c r="QC142" s="3"/>
      <c r="QD142" s="3"/>
      <c r="QE142" s="3"/>
      <c r="QF142" s="3"/>
      <c r="QG142" s="3"/>
      <c r="QH142" s="3"/>
      <c r="QI142" s="3"/>
      <c r="QJ142" s="3"/>
      <c r="QK142" s="3"/>
      <c r="QL142" s="3"/>
      <c r="QM142" s="3"/>
      <c r="QN142" s="3"/>
      <c r="QO142" s="3"/>
      <c r="QP142" s="3"/>
      <c r="QQ142" s="3"/>
      <c r="QR142" s="3"/>
      <c r="QS142" s="3"/>
      <c r="QT142" s="3"/>
      <c r="QU142" s="3"/>
      <c r="QV142" s="3"/>
      <c r="QW142" s="3"/>
      <c r="QX142" s="3"/>
      <c r="QY142" s="3"/>
      <c r="QZ142" s="3"/>
      <c r="RA142" s="3"/>
      <c r="RB142" s="3"/>
      <c r="RC142" s="3"/>
      <c r="RD142" s="3"/>
      <c r="RE142" s="3"/>
      <c r="RF142" s="3"/>
      <c r="RG142" s="3"/>
      <c r="RH142" s="3"/>
      <c r="RI142" s="3"/>
      <c r="RJ142" s="3"/>
      <c r="RK142" s="3"/>
      <c r="RL142" s="3"/>
      <c r="RM142" s="3"/>
      <c r="RN142" s="3"/>
      <c r="RO142" s="3"/>
      <c r="RP142" s="3"/>
      <c r="RQ142" s="3"/>
      <c r="RR142" s="3"/>
      <c r="RS142" s="3"/>
      <c r="RT142" s="3"/>
      <c r="RU142" s="3"/>
      <c r="RV142" s="3"/>
      <c r="RW142" s="3"/>
      <c r="RX142" s="3"/>
      <c r="RY142" s="3"/>
      <c r="RZ142" s="3"/>
      <c r="SA142" s="3"/>
      <c r="SB142" s="3"/>
      <c r="SC142" s="3"/>
      <c r="SD142" s="3"/>
      <c r="SE142" s="3"/>
      <c r="SF142" s="3"/>
      <c r="SG142" s="3"/>
      <c r="SH142" s="3"/>
      <c r="SI142" s="3"/>
      <c r="SJ142" s="3"/>
      <c r="SK142" s="3"/>
      <c r="SL142" s="3"/>
      <c r="SM142" s="3"/>
      <c r="SN142" s="3"/>
      <c r="SO142" s="3"/>
      <c r="SP142" s="3"/>
      <c r="SQ142" s="3"/>
      <c r="SR142" s="3"/>
      <c r="SS142" s="3"/>
      <c r="ST142" s="3"/>
      <c r="SU142" s="3"/>
      <c r="SV142" s="3"/>
      <c r="SW142" s="3"/>
      <c r="SX142" s="3"/>
      <c r="SY142" s="3"/>
      <c r="SZ142" s="3"/>
      <c r="TA142" s="3"/>
      <c r="TB142" s="3"/>
      <c r="TC142" s="3"/>
      <c r="TD142" s="3"/>
      <c r="TE142" s="3"/>
      <c r="TF142" s="3"/>
      <c r="TG142" s="3"/>
      <c r="TH142" s="3"/>
      <c r="TI142" s="3"/>
      <c r="TJ142" s="3"/>
      <c r="TK142" s="3"/>
      <c r="TL142" s="3"/>
      <c r="TM142" s="3"/>
      <c r="TN142" s="3"/>
      <c r="TO142" s="3"/>
      <c r="TP142" s="3"/>
      <c r="TQ142" s="3"/>
      <c r="TR142" s="3"/>
      <c r="TS142" s="3"/>
      <c r="TT142" s="3"/>
      <c r="TU142" s="3"/>
      <c r="TV142" s="3"/>
      <c r="TW142" s="3"/>
      <c r="TX142" s="3"/>
      <c r="TY142" s="3"/>
      <c r="TZ142" s="3"/>
      <c r="UA142" s="3"/>
      <c r="UB142" s="3"/>
      <c r="UC142" s="3"/>
      <c r="UD142" s="3"/>
      <c r="UE142" s="3"/>
      <c r="UF142" s="3"/>
      <c r="UG142" s="3"/>
      <c r="UH142" s="3"/>
      <c r="UI142" s="3"/>
      <c r="UJ142" s="3"/>
      <c r="UK142" s="3"/>
      <c r="UL142" s="3"/>
      <c r="UM142" s="3"/>
      <c r="UN142" s="3"/>
      <c r="UO142" s="3"/>
      <c r="UP142" s="3"/>
      <c r="UQ142" s="3"/>
      <c r="UR142" s="3"/>
      <c r="US142" s="3"/>
      <c r="UT142" s="3"/>
      <c r="UU142" s="3"/>
      <c r="UV142" s="3"/>
      <c r="UW142" s="3"/>
      <c r="UX142" s="3"/>
      <c r="UY142" s="3"/>
      <c r="UZ142" s="3"/>
      <c r="VA142" s="3"/>
      <c r="VB142" s="3"/>
      <c r="VC142" s="3"/>
      <c r="VD142" s="3"/>
      <c r="VE142" s="3"/>
      <c r="VF142" s="3"/>
      <c r="VG142" s="3"/>
      <c r="VH142" s="3"/>
      <c r="VI142" s="3"/>
      <c r="VJ142" s="3"/>
      <c r="VK142" s="3"/>
      <c r="VL142" s="3"/>
      <c r="VM142" s="3"/>
      <c r="VN142" s="3"/>
      <c r="VO142" s="3"/>
      <c r="VP142" s="3"/>
      <c r="VQ142" s="3"/>
      <c r="VR142" s="3"/>
      <c r="VS142" s="3"/>
      <c r="VT142" s="3"/>
      <c r="VU142" s="3"/>
      <c r="VV142" s="3"/>
      <c r="VW142" s="3"/>
      <c r="VX142" s="3"/>
      <c r="VY142" s="3"/>
      <c r="VZ142" s="3"/>
      <c r="WA142" s="3"/>
      <c r="WB142" s="3"/>
      <c r="WC142" s="3"/>
      <c r="WD142" s="3"/>
      <c r="WE142" s="3"/>
      <c r="WF142" s="3"/>
      <c r="WG142" s="3"/>
      <c r="WH142" s="3"/>
      <c r="WI142" s="3"/>
      <c r="WJ142" s="3"/>
      <c r="WK142" s="3"/>
      <c r="WL142" s="3"/>
      <c r="WM142" s="3"/>
      <c r="WN142" s="3"/>
      <c r="WO142" s="3"/>
      <c r="WP142" s="3"/>
      <c r="WQ142" s="3"/>
      <c r="WR142" s="3"/>
      <c r="WS142" s="3"/>
      <c r="WT142" s="3"/>
      <c r="WU142" s="3"/>
      <c r="WV142" s="3"/>
      <c r="WW142" s="3"/>
      <c r="WX142" s="3"/>
      <c r="WY142" s="3"/>
      <c r="WZ142" s="3"/>
      <c r="XA142" s="3"/>
      <c r="XB142" s="3"/>
      <c r="XC142" s="3"/>
      <c r="XD142" s="3"/>
      <c r="XE142" s="3"/>
      <c r="XF142" s="3"/>
      <c r="XG142" s="3"/>
      <c r="XH142" s="3"/>
      <c r="XI142" s="3"/>
      <c r="XJ142" s="3"/>
      <c r="XK142" s="3"/>
      <c r="XL142" s="3"/>
      <c r="XM142" s="3"/>
      <c r="XN142" s="3"/>
      <c r="XO142" s="3"/>
      <c r="XP142" s="3"/>
      <c r="XQ142" s="3"/>
      <c r="XR142" s="3"/>
      <c r="XS142" s="3"/>
      <c r="XT142" s="3"/>
      <c r="XU142" s="3"/>
      <c r="XV142" s="3"/>
      <c r="XW142" s="3"/>
      <c r="XX142" s="3"/>
      <c r="XY142" s="3"/>
      <c r="XZ142" s="3"/>
      <c r="YA142" s="3"/>
      <c r="YB142" s="3"/>
      <c r="YC142" s="3"/>
      <c r="YD142" s="3"/>
      <c r="YE142" s="3"/>
      <c r="YF142" s="3"/>
      <c r="YG142" s="3"/>
      <c r="YH142" s="3"/>
      <c r="YI142" s="3"/>
      <c r="YJ142" s="3"/>
      <c r="YK142" s="3"/>
      <c r="YL142" s="3"/>
      <c r="YM142" s="3"/>
      <c r="YN142" s="3"/>
      <c r="YO142" s="3"/>
      <c r="YP142" s="3"/>
      <c r="YQ142" s="3"/>
      <c r="YR142" s="3"/>
      <c r="YS142" s="3"/>
      <c r="YT142" s="3"/>
      <c r="YU142" s="3"/>
      <c r="YV142" s="3"/>
      <c r="YW142" s="3"/>
      <c r="YX142" s="3"/>
      <c r="YY142" s="3"/>
      <c r="YZ142" s="3"/>
      <c r="ZA142" s="3"/>
      <c r="ZB142" s="3"/>
      <c r="ZC142" s="3"/>
    </row>
    <row r="143" spans="1:679" s="2" customFormat="1" x14ac:dyDescent="0.45">
      <c r="A143" s="3" t="s">
        <v>11</v>
      </c>
      <c r="B143" s="4">
        <v>34537</v>
      </c>
      <c r="C143" s="5" t="s">
        <v>12</v>
      </c>
      <c r="D143" s="6" t="s">
        <v>158</v>
      </c>
      <c r="E143" s="3"/>
      <c r="F143" s="3">
        <v>6</v>
      </c>
      <c r="L143" s="3"/>
      <c r="M143" s="3"/>
      <c r="N143" s="48"/>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c r="DL143" s="3"/>
      <c r="DM143" s="3"/>
      <c r="DN143" s="3"/>
      <c r="DO143" s="3"/>
      <c r="DP143" s="3"/>
      <c r="DQ143" s="3"/>
      <c r="DR143" s="3"/>
      <c r="DS143" s="3"/>
      <c r="DT143" s="3"/>
      <c r="DU143" s="3"/>
      <c r="DV143" s="3"/>
      <c r="DW143" s="3"/>
      <c r="DX143" s="3"/>
      <c r="DY143" s="3"/>
      <c r="DZ143" s="3"/>
      <c r="EA143" s="3"/>
      <c r="EB143" s="3"/>
      <c r="EC143" s="3"/>
      <c r="ED143" s="3"/>
      <c r="EE143" s="3"/>
      <c r="EF143" s="3"/>
      <c r="EG143" s="3"/>
      <c r="EH143" s="3"/>
      <c r="EI143" s="3"/>
      <c r="EJ143" s="3"/>
      <c r="EK143" s="3"/>
      <c r="EL143" s="3"/>
      <c r="EM143" s="3"/>
      <c r="EN143" s="3"/>
      <c r="EO143" s="3"/>
      <c r="EP143" s="3"/>
      <c r="EQ143" s="3"/>
      <c r="ER143" s="3"/>
      <c r="ES143" s="3"/>
      <c r="ET143" s="3"/>
      <c r="EU143" s="3"/>
      <c r="EV143" s="3"/>
      <c r="EW143" s="3"/>
      <c r="EX143" s="3"/>
      <c r="EY143" s="3"/>
      <c r="EZ143" s="3"/>
      <c r="FA143" s="3"/>
      <c r="FB143" s="3"/>
      <c r="FC143" s="3"/>
      <c r="FD143" s="3"/>
      <c r="FE143" s="3"/>
      <c r="FF143" s="3"/>
      <c r="FG143" s="3"/>
      <c r="FH143" s="3"/>
      <c r="FI143" s="3"/>
      <c r="FJ143" s="3"/>
      <c r="FK143" s="3"/>
      <c r="FL143" s="3"/>
      <c r="FM143" s="3"/>
      <c r="FN143" s="3"/>
      <c r="FO143" s="3"/>
      <c r="FP143" s="3"/>
      <c r="FQ143" s="3"/>
      <c r="FR143" s="3"/>
      <c r="FS143" s="3"/>
      <c r="FT143" s="3"/>
      <c r="FU143" s="3"/>
      <c r="FV143" s="3"/>
      <c r="FW143" s="3"/>
      <c r="FX143" s="3"/>
      <c r="FY143" s="3"/>
      <c r="FZ143" s="3"/>
      <c r="GA143" s="3"/>
      <c r="GB143" s="3"/>
      <c r="GC143" s="3"/>
      <c r="GD143" s="3"/>
      <c r="GE143" s="3"/>
      <c r="GF143" s="3"/>
      <c r="GG143" s="3"/>
      <c r="GH143" s="3"/>
      <c r="GI143" s="3"/>
      <c r="GJ143" s="3"/>
      <c r="GK143" s="3"/>
      <c r="GL143" s="3"/>
      <c r="GM143" s="3"/>
      <c r="GN143" s="3"/>
      <c r="GO143" s="3"/>
      <c r="GP143" s="3"/>
      <c r="GQ143" s="3"/>
      <c r="GR143" s="3"/>
      <c r="GS143" s="3"/>
      <c r="GT143" s="3"/>
      <c r="GU143" s="3"/>
      <c r="GV143" s="3"/>
      <c r="GW143" s="3"/>
      <c r="GX143" s="3"/>
      <c r="GY143" s="3"/>
      <c r="GZ143" s="3"/>
      <c r="HA143" s="3"/>
      <c r="HB143" s="3"/>
      <c r="HC143" s="3"/>
      <c r="HD143" s="3"/>
      <c r="HE143" s="3"/>
      <c r="HF143" s="3"/>
      <c r="HG143" s="3"/>
      <c r="HH143" s="3"/>
      <c r="HI143" s="3"/>
      <c r="HJ143" s="3"/>
      <c r="HK143" s="3"/>
      <c r="HL143" s="3"/>
      <c r="HM143" s="3"/>
      <c r="HN143" s="3"/>
      <c r="HO143" s="3"/>
      <c r="HP143" s="3"/>
      <c r="HQ143" s="3"/>
      <c r="HR143" s="3"/>
      <c r="HS143" s="3"/>
      <c r="HT143" s="3"/>
      <c r="HU143" s="3"/>
      <c r="HV143" s="3"/>
      <c r="HW143" s="3"/>
      <c r="HX143" s="3"/>
      <c r="HY143" s="3"/>
      <c r="HZ143" s="3"/>
      <c r="IA143" s="3"/>
      <c r="IB143" s="3"/>
      <c r="IC143" s="3"/>
      <c r="ID143" s="3"/>
      <c r="IE143" s="3"/>
      <c r="IF143" s="3"/>
      <c r="IG143" s="3"/>
      <c r="IH143" s="3"/>
      <c r="II143" s="3"/>
      <c r="IJ143" s="3"/>
      <c r="IK143" s="3"/>
      <c r="IL143" s="3"/>
      <c r="IM143" s="3"/>
      <c r="IN143" s="3"/>
      <c r="IO143" s="3"/>
      <c r="IP143" s="3"/>
      <c r="IQ143" s="3"/>
      <c r="IR143" s="3"/>
      <c r="IS143" s="3"/>
      <c r="IT143" s="3"/>
      <c r="IU143" s="3"/>
      <c r="IV143" s="3"/>
      <c r="IW143" s="3"/>
      <c r="IX143" s="3"/>
      <c r="IY143" s="3"/>
      <c r="IZ143" s="3"/>
      <c r="JA143" s="3"/>
      <c r="JB143" s="3"/>
      <c r="JC143" s="3"/>
      <c r="JD143" s="3"/>
      <c r="JE143" s="3"/>
      <c r="JF143" s="3"/>
      <c r="JG143" s="3"/>
      <c r="JH143" s="3"/>
      <c r="JI143" s="3"/>
      <c r="JJ143" s="3"/>
      <c r="JK143" s="3"/>
      <c r="JL143" s="3"/>
      <c r="JM143" s="3"/>
      <c r="JN143" s="3"/>
      <c r="JO143" s="3"/>
      <c r="JP143" s="3"/>
      <c r="JQ143" s="3"/>
      <c r="JR143" s="3"/>
      <c r="JS143" s="3"/>
      <c r="JT143" s="3"/>
      <c r="JU143" s="3"/>
      <c r="JV143" s="3"/>
      <c r="JW143" s="3"/>
      <c r="JX143" s="3"/>
      <c r="JY143" s="3"/>
      <c r="JZ143" s="3"/>
      <c r="KA143" s="3"/>
      <c r="KB143" s="3"/>
      <c r="KC143" s="3"/>
      <c r="KD143" s="3"/>
      <c r="KE143" s="3"/>
      <c r="KF143" s="3"/>
      <c r="KG143" s="3"/>
      <c r="KH143" s="3"/>
      <c r="KI143" s="3"/>
      <c r="KJ143" s="3"/>
      <c r="KK143" s="3"/>
      <c r="KL143" s="3"/>
      <c r="KM143" s="3"/>
      <c r="KN143" s="3"/>
      <c r="KO143" s="3"/>
      <c r="KP143" s="3"/>
      <c r="KQ143" s="3"/>
      <c r="KR143" s="3"/>
      <c r="KS143" s="3"/>
      <c r="KT143" s="3"/>
      <c r="KU143" s="3"/>
      <c r="KV143" s="3"/>
      <c r="KW143" s="3"/>
      <c r="KX143" s="3"/>
      <c r="KY143" s="3"/>
      <c r="KZ143" s="3"/>
      <c r="LA143" s="3"/>
      <c r="LB143" s="3"/>
      <c r="LC143" s="3"/>
      <c r="LD143" s="3"/>
      <c r="LE143" s="3"/>
      <c r="LF143" s="3"/>
      <c r="LG143" s="3"/>
      <c r="LH143" s="3"/>
      <c r="LI143" s="3"/>
      <c r="LJ143" s="3"/>
      <c r="LK143" s="3"/>
      <c r="LL143" s="3"/>
      <c r="LM143" s="3"/>
      <c r="LN143" s="3"/>
      <c r="LO143" s="3"/>
      <c r="LP143" s="3"/>
      <c r="LQ143" s="3"/>
      <c r="LR143" s="3"/>
      <c r="LS143" s="3"/>
      <c r="LT143" s="3"/>
      <c r="LU143" s="3"/>
      <c r="LV143" s="3"/>
      <c r="LW143" s="3"/>
      <c r="LX143" s="3"/>
      <c r="LY143" s="3"/>
      <c r="LZ143" s="3"/>
      <c r="MA143" s="3"/>
      <c r="MB143" s="3"/>
      <c r="MC143" s="3"/>
      <c r="MD143" s="3"/>
      <c r="ME143" s="3"/>
      <c r="MF143" s="3"/>
      <c r="MG143" s="3"/>
      <c r="MH143" s="3"/>
      <c r="MI143" s="3"/>
      <c r="MJ143" s="3"/>
      <c r="MK143" s="3"/>
      <c r="ML143" s="3"/>
      <c r="MM143" s="3"/>
      <c r="MN143" s="3"/>
      <c r="MO143" s="3"/>
      <c r="MP143" s="3"/>
      <c r="MQ143" s="3"/>
      <c r="MR143" s="3"/>
      <c r="MS143" s="3"/>
      <c r="MT143" s="3"/>
      <c r="MU143" s="3"/>
      <c r="MV143" s="3"/>
      <c r="MW143" s="3"/>
      <c r="MX143" s="3"/>
      <c r="MY143" s="3"/>
      <c r="MZ143" s="3"/>
      <c r="NA143" s="3"/>
      <c r="NB143" s="3"/>
      <c r="NC143" s="3"/>
      <c r="ND143" s="3"/>
      <c r="NE143" s="3"/>
      <c r="NF143" s="3"/>
      <c r="NG143" s="3"/>
      <c r="NH143" s="3"/>
      <c r="NI143" s="3"/>
      <c r="NJ143" s="3"/>
      <c r="NK143" s="3"/>
      <c r="NL143" s="3"/>
      <c r="NM143" s="3"/>
      <c r="NN143" s="3"/>
      <c r="NO143" s="3"/>
      <c r="NP143" s="3"/>
      <c r="NQ143" s="3"/>
      <c r="NR143" s="3"/>
      <c r="NS143" s="3"/>
      <c r="NT143" s="3"/>
      <c r="NU143" s="3"/>
      <c r="NV143" s="3"/>
      <c r="NW143" s="3"/>
      <c r="NX143" s="3"/>
      <c r="NY143" s="3"/>
      <c r="NZ143" s="3"/>
      <c r="OA143" s="3"/>
      <c r="OB143" s="3"/>
      <c r="OC143" s="3"/>
      <c r="OD143" s="3"/>
      <c r="OE143" s="3"/>
      <c r="OF143" s="3"/>
      <c r="OG143" s="3"/>
      <c r="OH143" s="3"/>
      <c r="OI143" s="3"/>
      <c r="OJ143" s="3"/>
      <c r="OK143" s="3"/>
      <c r="OL143" s="3"/>
      <c r="OM143" s="3"/>
      <c r="ON143" s="3"/>
      <c r="OO143" s="3"/>
      <c r="OP143" s="3"/>
      <c r="OQ143" s="3"/>
      <c r="OR143" s="3"/>
      <c r="OS143" s="3"/>
      <c r="OT143" s="3"/>
      <c r="OU143" s="3"/>
      <c r="OV143" s="3"/>
      <c r="OW143" s="3"/>
      <c r="OX143" s="3"/>
      <c r="OY143" s="3"/>
      <c r="OZ143" s="3"/>
      <c r="PA143" s="3"/>
      <c r="PB143" s="3"/>
      <c r="PC143" s="3"/>
      <c r="PD143" s="3"/>
      <c r="PE143" s="3"/>
      <c r="PF143" s="3"/>
      <c r="PG143" s="3"/>
      <c r="PH143" s="3"/>
      <c r="PI143" s="3"/>
      <c r="PJ143" s="3"/>
      <c r="PK143" s="3"/>
      <c r="PL143" s="3"/>
      <c r="PM143" s="3"/>
      <c r="PN143" s="3"/>
      <c r="PO143" s="3"/>
      <c r="PP143" s="3"/>
      <c r="PQ143" s="3"/>
      <c r="PR143" s="3"/>
      <c r="PS143" s="3"/>
      <c r="PT143" s="3"/>
      <c r="PU143" s="3"/>
      <c r="PV143" s="3"/>
      <c r="PW143" s="3"/>
      <c r="PX143" s="3"/>
      <c r="PY143" s="3"/>
      <c r="PZ143" s="3"/>
      <c r="QA143" s="3"/>
      <c r="QB143" s="3"/>
      <c r="QC143" s="3"/>
      <c r="QD143" s="3"/>
      <c r="QE143" s="3"/>
      <c r="QF143" s="3"/>
      <c r="QG143" s="3"/>
      <c r="QH143" s="3"/>
      <c r="QI143" s="3"/>
      <c r="QJ143" s="3"/>
      <c r="QK143" s="3"/>
      <c r="QL143" s="3"/>
      <c r="QM143" s="3"/>
      <c r="QN143" s="3"/>
      <c r="QO143" s="3"/>
      <c r="QP143" s="3"/>
      <c r="QQ143" s="3"/>
      <c r="QR143" s="3"/>
      <c r="QS143" s="3"/>
      <c r="QT143" s="3"/>
      <c r="QU143" s="3"/>
      <c r="QV143" s="3"/>
      <c r="QW143" s="3"/>
      <c r="QX143" s="3"/>
      <c r="QY143" s="3"/>
      <c r="QZ143" s="3"/>
      <c r="RA143" s="3"/>
      <c r="RB143" s="3"/>
      <c r="RC143" s="3"/>
      <c r="RD143" s="3"/>
      <c r="RE143" s="3"/>
      <c r="RF143" s="3"/>
      <c r="RG143" s="3"/>
      <c r="RH143" s="3"/>
      <c r="RI143" s="3"/>
      <c r="RJ143" s="3"/>
      <c r="RK143" s="3"/>
      <c r="RL143" s="3"/>
      <c r="RM143" s="3"/>
      <c r="RN143" s="3"/>
      <c r="RO143" s="3"/>
      <c r="RP143" s="3"/>
      <c r="RQ143" s="3"/>
      <c r="RR143" s="3"/>
      <c r="RS143" s="3"/>
      <c r="RT143" s="3"/>
      <c r="RU143" s="3"/>
      <c r="RV143" s="3"/>
      <c r="RW143" s="3"/>
      <c r="RX143" s="3"/>
      <c r="RY143" s="3"/>
      <c r="RZ143" s="3"/>
      <c r="SA143" s="3"/>
      <c r="SB143" s="3"/>
      <c r="SC143" s="3"/>
      <c r="SD143" s="3"/>
      <c r="SE143" s="3"/>
      <c r="SF143" s="3"/>
      <c r="SG143" s="3"/>
      <c r="SH143" s="3"/>
      <c r="SI143" s="3"/>
      <c r="SJ143" s="3"/>
      <c r="SK143" s="3"/>
      <c r="SL143" s="3"/>
      <c r="SM143" s="3"/>
      <c r="SN143" s="3"/>
      <c r="SO143" s="3"/>
      <c r="SP143" s="3"/>
      <c r="SQ143" s="3"/>
      <c r="SR143" s="3"/>
      <c r="SS143" s="3"/>
      <c r="ST143" s="3"/>
      <c r="SU143" s="3"/>
      <c r="SV143" s="3"/>
      <c r="SW143" s="3"/>
      <c r="SX143" s="3"/>
      <c r="SY143" s="3"/>
      <c r="SZ143" s="3"/>
      <c r="TA143" s="3"/>
      <c r="TB143" s="3"/>
      <c r="TC143" s="3"/>
      <c r="TD143" s="3"/>
      <c r="TE143" s="3"/>
      <c r="TF143" s="3"/>
      <c r="TG143" s="3"/>
      <c r="TH143" s="3"/>
      <c r="TI143" s="3"/>
      <c r="TJ143" s="3"/>
      <c r="TK143" s="3"/>
      <c r="TL143" s="3"/>
      <c r="TM143" s="3"/>
      <c r="TN143" s="3"/>
      <c r="TO143" s="3"/>
      <c r="TP143" s="3"/>
      <c r="TQ143" s="3"/>
      <c r="TR143" s="3"/>
      <c r="TS143" s="3"/>
      <c r="TT143" s="3"/>
      <c r="TU143" s="3"/>
      <c r="TV143" s="3"/>
      <c r="TW143" s="3"/>
      <c r="TX143" s="3"/>
      <c r="TY143" s="3"/>
      <c r="TZ143" s="3"/>
      <c r="UA143" s="3"/>
      <c r="UB143" s="3"/>
      <c r="UC143" s="3"/>
      <c r="UD143" s="3"/>
      <c r="UE143" s="3"/>
      <c r="UF143" s="3"/>
      <c r="UG143" s="3"/>
      <c r="UH143" s="3"/>
      <c r="UI143" s="3"/>
      <c r="UJ143" s="3"/>
      <c r="UK143" s="3"/>
      <c r="UL143" s="3"/>
      <c r="UM143" s="3"/>
      <c r="UN143" s="3"/>
      <c r="UO143" s="3"/>
      <c r="UP143" s="3"/>
      <c r="UQ143" s="3"/>
      <c r="UR143" s="3"/>
      <c r="US143" s="3"/>
      <c r="UT143" s="3"/>
      <c r="UU143" s="3"/>
      <c r="UV143" s="3"/>
      <c r="UW143" s="3"/>
      <c r="UX143" s="3"/>
      <c r="UY143" s="3"/>
      <c r="UZ143" s="3"/>
      <c r="VA143" s="3"/>
      <c r="VB143" s="3"/>
      <c r="VC143" s="3"/>
      <c r="VD143" s="3"/>
      <c r="VE143" s="3"/>
      <c r="VF143" s="3"/>
      <c r="VG143" s="3"/>
      <c r="VH143" s="3"/>
      <c r="VI143" s="3"/>
      <c r="VJ143" s="3"/>
      <c r="VK143" s="3"/>
      <c r="VL143" s="3"/>
      <c r="VM143" s="3"/>
      <c r="VN143" s="3"/>
      <c r="VO143" s="3"/>
      <c r="VP143" s="3"/>
      <c r="VQ143" s="3"/>
      <c r="VR143" s="3"/>
      <c r="VS143" s="3"/>
      <c r="VT143" s="3"/>
      <c r="VU143" s="3"/>
      <c r="VV143" s="3"/>
      <c r="VW143" s="3"/>
      <c r="VX143" s="3"/>
      <c r="VY143" s="3"/>
      <c r="VZ143" s="3"/>
      <c r="WA143" s="3"/>
      <c r="WB143" s="3"/>
      <c r="WC143" s="3"/>
      <c r="WD143" s="3"/>
      <c r="WE143" s="3"/>
      <c r="WF143" s="3"/>
      <c r="WG143" s="3"/>
      <c r="WH143" s="3"/>
      <c r="WI143" s="3"/>
      <c r="WJ143" s="3"/>
      <c r="WK143" s="3"/>
      <c r="WL143" s="3"/>
      <c r="WM143" s="3"/>
      <c r="WN143" s="3"/>
      <c r="WO143" s="3"/>
      <c r="WP143" s="3"/>
      <c r="WQ143" s="3"/>
      <c r="WR143" s="3"/>
      <c r="WS143" s="3"/>
      <c r="WT143" s="3"/>
      <c r="WU143" s="3"/>
      <c r="WV143" s="3"/>
      <c r="WW143" s="3"/>
      <c r="WX143" s="3"/>
      <c r="WY143" s="3"/>
      <c r="WZ143" s="3"/>
      <c r="XA143" s="3"/>
      <c r="XB143" s="3"/>
      <c r="XC143" s="3"/>
      <c r="XD143" s="3"/>
      <c r="XE143" s="3"/>
      <c r="XF143" s="3"/>
      <c r="XG143" s="3"/>
      <c r="XH143" s="3"/>
      <c r="XI143" s="3"/>
      <c r="XJ143" s="3"/>
      <c r="XK143" s="3"/>
      <c r="XL143" s="3"/>
      <c r="XM143" s="3"/>
      <c r="XN143" s="3"/>
      <c r="XO143" s="3"/>
      <c r="XP143" s="3"/>
      <c r="XQ143" s="3"/>
      <c r="XR143" s="3"/>
      <c r="XS143" s="3"/>
      <c r="XT143" s="3"/>
      <c r="XU143" s="3"/>
      <c r="XV143" s="3"/>
      <c r="XW143" s="3"/>
      <c r="XX143" s="3"/>
      <c r="XY143" s="3"/>
      <c r="XZ143" s="3"/>
      <c r="YA143" s="3"/>
      <c r="YB143" s="3"/>
      <c r="YC143" s="3"/>
      <c r="YD143" s="3"/>
      <c r="YE143" s="3"/>
      <c r="YF143" s="3"/>
      <c r="YG143" s="3"/>
      <c r="YH143" s="3"/>
      <c r="YI143" s="3"/>
      <c r="YJ143" s="3"/>
      <c r="YK143" s="3"/>
      <c r="YL143" s="3"/>
      <c r="YM143" s="3"/>
      <c r="YN143" s="3"/>
      <c r="YO143" s="3"/>
      <c r="YP143" s="3"/>
      <c r="YQ143" s="3"/>
      <c r="YR143" s="3"/>
      <c r="YS143" s="3"/>
      <c r="YT143" s="3"/>
      <c r="YU143" s="3"/>
      <c r="YV143" s="3"/>
      <c r="YW143" s="3"/>
      <c r="YX143" s="3"/>
      <c r="YY143" s="3"/>
      <c r="YZ143" s="3"/>
      <c r="ZA143" s="3"/>
      <c r="ZB143" s="3"/>
      <c r="ZC143" s="3"/>
    </row>
    <row r="144" spans="1:679" s="2" customFormat="1" x14ac:dyDescent="0.45">
      <c r="A144" s="3" t="s">
        <v>11</v>
      </c>
      <c r="B144" s="4">
        <v>34551</v>
      </c>
      <c r="C144" s="7" t="s">
        <v>25</v>
      </c>
      <c r="D144" s="6" t="s">
        <v>159</v>
      </c>
      <c r="E144" s="3"/>
      <c r="F144" s="3">
        <v>15</v>
      </c>
      <c r="L144" s="3"/>
      <c r="M144" s="3"/>
      <c r="N144" s="48"/>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c r="DK144" s="3"/>
      <c r="DL144" s="3"/>
      <c r="DM144" s="3"/>
      <c r="DN144" s="3"/>
      <c r="DO144" s="3"/>
      <c r="DP144" s="3"/>
      <c r="DQ144" s="3"/>
      <c r="DR144" s="3"/>
      <c r="DS144" s="3"/>
      <c r="DT144" s="3"/>
      <c r="DU144" s="3"/>
      <c r="DV144" s="3"/>
      <c r="DW144" s="3"/>
      <c r="DX144" s="3"/>
      <c r="DY144" s="3"/>
      <c r="DZ144" s="3"/>
      <c r="EA144" s="3"/>
      <c r="EB144" s="3"/>
      <c r="EC144" s="3"/>
      <c r="ED144" s="3"/>
      <c r="EE144" s="3"/>
      <c r="EF144" s="3"/>
      <c r="EG144" s="3"/>
      <c r="EH144" s="3"/>
      <c r="EI144" s="3"/>
      <c r="EJ144" s="3"/>
      <c r="EK144" s="3"/>
      <c r="EL144" s="3"/>
      <c r="EM144" s="3"/>
      <c r="EN144" s="3"/>
      <c r="EO144" s="3"/>
      <c r="EP144" s="3"/>
      <c r="EQ144" s="3"/>
      <c r="ER144" s="3"/>
      <c r="ES144" s="3"/>
      <c r="ET144" s="3"/>
      <c r="EU144" s="3"/>
      <c r="EV144" s="3"/>
      <c r="EW144" s="3"/>
      <c r="EX144" s="3"/>
      <c r="EY144" s="3"/>
      <c r="EZ144" s="3"/>
      <c r="FA144" s="3"/>
      <c r="FB144" s="3"/>
      <c r="FC144" s="3"/>
      <c r="FD144" s="3"/>
      <c r="FE144" s="3"/>
      <c r="FF144" s="3"/>
      <c r="FG144" s="3"/>
      <c r="FH144" s="3"/>
      <c r="FI144" s="3"/>
      <c r="FJ144" s="3"/>
      <c r="FK144" s="3"/>
      <c r="FL144" s="3"/>
      <c r="FM144" s="3"/>
      <c r="FN144" s="3"/>
      <c r="FO144" s="3"/>
      <c r="FP144" s="3"/>
      <c r="FQ144" s="3"/>
      <c r="FR144" s="3"/>
      <c r="FS144" s="3"/>
      <c r="FT144" s="3"/>
      <c r="FU144" s="3"/>
      <c r="FV144" s="3"/>
      <c r="FW144" s="3"/>
      <c r="FX144" s="3"/>
      <c r="FY144" s="3"/>
      <c r="FZ144" s="3"/>
      <c r="GA144" s="3"/>
      <c r="GB144" s="3"/>
      <c r="GC144" s="3"/>
      <c r="GD144" s="3"/>
      <c r="GE144" s="3"/>
      <c r="GF144" s="3"/>
      <c r="GG144" s="3"/>
      <c r="GH144" s="3"/>
      <c r="GI144" s="3"/>
      <c r="GJ144" s="3"/>
      <c r="GK144" s="3"/>
      <c r="GL144" s="3"/>
      <c r="GM144" s="3"/>
      <c r="GN144" s="3"/>
      <c r="GO144" s="3"/>
      <c r="GP144" s="3"/>
      <c r="GQ144" s="3"/>
      <c r="GR144" s="3"/>
      <c r="GS144" s="3"/>
      <c r="GT144" s="3"/>
      <c r="GU144" s="3"/>
      <c r="GV144" s="3"/>
      <c r="GW144" s="3"/>
      <c r="GX144" s="3"/>
      <c r="GY144" s="3"/>
      <c r="GZ144" s="3"/>
      <c r="HA144" s="3"/>
      <c r="HB144" s="3"/>
      <c r="HC144" s="3"/>
      <c r="HD144" s="3"/>
      <c r="HE144" s="3"/>
      <c r="HF144" s="3"/>
      <c r="HG144" s="3"/>
      <c r="HH144" s="3"/>
      <c r="HI144" s="3"/>
      <c r="HJ144" s="3"/>
      <c r="HK144" s="3"/>
      <c r="HL144" s="3"/>
      <c r="HM144" s="3"/>
      <c r="HN144" s="3"/>
      <c r="HO144" s="3"/>
      <c r="HP144" s="3"/>
      <c r="HQ144" s="3"/>
      <c r="HR144" s="3"/>
      <c r="HS144" s="3"/>
      <c r="HT144" s="3"/>
      <c r="HU144" s="3"/>
      <c r="HV144" s="3"/>
      <c r="HW144" s="3"/>
      <c r="HX144" s="3"/>
      <c r="HY144" s="3"/>
      <c r="HZ144" s="3"/>
      <c r="IA144" s="3"/>
      <c r="IB144" s="3"/>
      <c r="IC144" s="3"/>
      <c r="ID144" s="3"/>
      <c r="IE144" s="3"/>
      <c r="IF144" s="3"/>
      <c r="IG144" s="3"/>
      <c r="IH144" s="3"/>
      <c r="II144" s="3"/>
      <c r="IJ144" s="3"/>
      <c r="IK144" s="3"/>
      <c r="IL144" s="3"/>
      <c r="IM144" s="3"/>
      <c r="IN144" s="3"/>
      <c r="IO144" s="3"/>
      <c r="IP144" s="3"/>
      <c r="IQ144" s="3"/>
      <c r="IR144" s="3"/>
      <c r="IS144" s="3"/>
      <c r="IT144" s="3"/>
      <c r="IU144" s="3"/>
      <c r="IV144" s="3"/>
      <c r="IW144" s="3"/>
      <c r="IX144" s="3"/>
      <c r="IY144" s="3"/>
      <c r="IZ144" s="3"/>
      <c r="JA144" s="3"/>
      <c r="JB144" s="3"/>
      <c r="JC144" s="3"/>
      <c r="JD144" s="3"/>
      <c r="JE144" s="3"/>
      <c r="JF144" s="3"/>
      <c r="JG144" s="3"/>
      <c r="JH144" s="3"/>
      <c r="JI144" s="3"/>
      <c r="JJ144" s="3"/>
      <c r="JK144" s="3"/>
      <c r="JL144" s="3"/>
      <c r="JM144" s="3"/>
      <c r="JN144" s="3"/>
      <c r="JO144" s="3"/>
      <c r="JP144" s="3"/>
      <c r="JQ144" s="3"/>
      <c r="JR144" s="3"/>
      <c r="JS144" s="3"/>
      <c r="JT144" s="3"/>
      <c r="JU144" s="3"/>
      <c r="JV144" s="3"/>
      <c r="JW144" s="3"/>
      <c r="JX144" s="3"/>
      <c r="JY144" s="3"/>
      <c r="JZ144" s="3"/>
      <c r="KA144" s="3"/>
      <c r="KB144" s="3"/>
      <c r="KC144" s="3"/>
      <c r="KD144" s="3"/>
      <c r="KE144" s="3"/>
      <c r="KF144" s="3"/>
      <c r="KG144" s="3"/>
      <c r="KH144" s="3"/>
      <c r="KI144" s="3"/>
      <c r="KJ144" s="3"/>
      <c r="KK144" s="3"/>
      <c r="KL144" s="3"/>
      <c r="KM144" s="3"/>
      <c r="KN144" s="3"/>
      <c r="KO144" s="3"/>
      <c r="KP144" s="3"/>
      <c r="KQ144" s="3"/>
      <c r="KR144" s="3"/>
      <c r="KS144" s="3"/>
      <c r="KT144" s="3"/>
      <c r="KU144" s="3"/>
      <c r="KV144" s="3"/>
      <c r="KW144" s="3"/>
      <c r="KX144" s="3"/>
      <c r="KY144" s="3"/>
      <c r="KZ144" s="3"/>
      <c r="LA144" s="3"/>
      <c r="LB144" s="3"/>
      <c r="LC144" s="3"/>
      <c r="LD144" s="3"/>
      <c r="LE144" s="3"/>
      <c r="LF144" s="3"/>
      <c r="LG144" s="3"/>
      <c r="LH144" s="3"/>
      <c r="LI144" s="3"/>
      <c r="LJ144" s="3"/>
      <c r="LK144" s="3"/>
      <c r="LL144" s="3"/>
      <c r="LM144" s="3"/>
      <c r="LN144" s="3"/>
      <c r="LO144" s="3"/>
      <c r="LP144" s="3"/>
      <c r="LQ144" s="3"/>
      <c r="LR144" s="3"/>
      <c r="LS144" s="3"/>
      <c r="LT144" s="3"/>
      <c r="LU144" s="3"/>
      <c r="LV144" s="3"/>
      <c r="LW144" s="3"/>
      <c r="LX144" s="3"/>
      <c r="LY144" s="3"/>
      <c r="LZ144" s="3"/>
      <c r="MA144" s="3"/>
      <c r="MB144" s="3"/>
      <c r="MC144" s="3"/>
      <c r="MD144" s="3"/>
      <c r="ME144" s="3"/>
      <c r="MF144" s="3"/>
      <c r="MG144" s="3"/>
      <c r="MH144" s="3"/>
      <c r="MI144" s="3"/>
      <c r="MJ144" s="3"/>
      <c r="MK144" s="3"/>
      <c r="ML144" s="3"/>
      <c r="MM144" s="3"/>
      <c r="MN144" s="3"/>
      <c r="MO144" s="3"/>
      <c r="MP144" s="3"/>
      <c r="MQ144" s="3"/>
      <c r="MR144" s="3"/>
      <c r="MS144" s="3"/>
      <c r="MT144" s="3"/>
      <c r="MU144" s="3"/>
      <c r="MV144" s="3"/>
      <c r="MW144" s="3"/>
      <c r="MX144" s="3"/>
      <c r="MY144" s="3"/>
      <c r="MZ144" s="3"/>
      <c r="NA144" s="3"/>
      <c r="NB144" s="3"/>
      <c r="NC144" s="3"/>
      <c r="ND144" s="3"/>
      <c r="NE144" s="3"/>
      <c r="NF144" s="3"/>
      <c r="NG144" s="3"/>
      <c r="NH144" s="3"/>
      <c r="NI144" s="3"/>
      <c r="NJ144" s="3"/>
      <c r="NK144" s="3"/>
      <c r="NL144" s="3"/>
      <c r="NM144" s="3"/>
      <c r="NN144" s="3"/>
      <c r="NO144" s="3"/>
      <c r="NP144" s="3"/>
      <c r="NQ144" s="3"/>
      <c r="NR144" s="3"/>
      <c r="NS144" s="3"/>
      <c r="NT144" s="3"/>
      <c r="NU144" s="3"/>
      <c r="NV144" s="3"/>
      <c r="NW144" s="3"/>
      <c r="NX144" s="3"/>
      <c r="NY144" s="3"/>
      <c r="NZ144" s="3"/>
      <c r="OA144" s="3"/>
      <c r="OB144" s="3"/>
      <c r="OC144" s="3"/>
      <c r="OD144" s="3"/>
      <c r="OE144" s="3"/>
      <c r="OF144" s="3"/>
      <c r="OG144" s="3"/>
      <c r="OH144" s="3"/>
      <c r="OI144" s="3"/>
      <c r="OJ144" s="3"/>
      <c r="OK144" s="3"/>
      <c r="OL144" s="3"/>
      <c r="OM144" s="3"/>
      <c r="ON144" s="3"/>
      <c r="OO144" s="3"/>
      <c r="OP144" s="3"/>
      <c r="OQ144" s="3"/>
      <c r="OR144" s="3"/>
      <c r="OS144" s="3"/>
      <c r="OT144" s="3"/>
      <c r="OU144" s="3"/>
      <c r="OV144" s="3"/>
      <c r="OW144" s="3"/>
      <c r="OX144" s="3"/>
      <c r="OY144" s="3"/>
      <c r="OZ144" s="3"/>
      <c r="PA144" s="3"/>
      <c r="PB144" s="3"/>
      <c r="PC144" s="3"/>
      <c r="PD144" s="3"/>
      <c r="PE144" s="3"/>
      <c r="PF144" s="3"/>
      <c r="PG144" s="3"/>
      <c r="PH144" s="3"/>
      <c r="PI144" s="3"/>
      <c r="PJ144" s="3"/>
      <c r="PK144" s="3"/>
      <c r="PL144" s="3"/>
      <c r="PM144" s="3"/>
      <c r="PN144" s="3"/>
      <c r="PO144" s="3"/>
      <c r="PP144" s="3"/>
      <c r="PQ144" s="3"/>
      <c r="PR144" s="3"/>
      <c r="PS144" s="3"/>
      <c r="PT144" s="3"/>
      <c r="PU144" s="3"/>
      <c r="PV144" s="3"/>
      <c r="PW144" s="3"/>
      <c r="PX144" s="3"/>
      <c r="PY144" s="3"/>
      <c r="PZ144" s="3"/>
      <c r="QA144" s="3"/>
      <c r="QB144" s="3"/>
      <c r="QC144" s="3"/>
      <c r="QD144" s="3"/>
      <c r="QE144" s="3"/>
      <c r="QF144" s="3"/>
      <c r="QG144" s="3"/>
      <c r="QH144" s="3"/>
      <c r="QI144" s="3"/>
      <c r="QJ144" s="3"/>
      <c r="QK144" s="3"/>
      <c r="QL144" s="3"/>
      <c r="QM144" s="3"/>
      <c r="QN144" s="3"/>
      <c r="QO144" s="3"/>
      <c r="QP144" s="3"/>
      <c r="QQ144" s="3"/>
      <c r="QR144" s="3"/>
      <c r="QS144" s="3"/>
      <c r="QT144" s="3"/>
      <c r="QU144" s="3"/>
      <c r="QV144" s="3"/>
      <c r="QW144" s="3"/>
      <c r="QX144" s="3"/>
      <c r="QY144" s="3"/>
      <c r="QZ144" s="3"/>
      <c r="RA144" s="3"/>
      <c r="RB144" s="3"/>
      <c r="RC144" s="3"/>
      <c r="RD144" s="3"/>
      <c r="RE144" s="3"/>
      <c r="RF144" s="3"/>
      <c r="RG144" s="3"/>
      <c r="RH144" s="3"/>
      <c r="RI144" s="3"/>
      <c r="RJ144" s="3"/>
      <c r="RK144" s="3"/>
      <c r="RL144" s="3"/>
      <c r="RM144" s="3"/>
      <c r="RN144" s="3"/>
      <c r="RO144" s="3"/>
      <c r="RP144" s="3"/>
      <c r="RQ144" s="3"/>
      <c r="RR144" s="3"/>
      <c r="RS144" s="3"/>
      <c r="RT144" s="3"/>
      <c r="RU144" s="3"/>
      <c r="RV144" s="3"/>
      <c r="RW144" s="3"/>
      <c r="RX144" s="3"/>
      <c r="RY144" s="3"/>
      <c r="RZ144" s="3"/>
      <c r="SA144" s="3"/>
      <c r="SB144" s="3"/>
      <c r="SC144" s="3"/>
      <c r="SD144" s="3"/>
      <c r="SE144" s="3"/>
      <c r="SF144" s="3"/>
      <c r="SG144" s="3"/>
      <c r="SH144" s="3"/>
      <c r="SI144" s="3"/>
      <c r="SJ144" s="3"/>
      <c r="SK144" s="3"/>
      <c r="SL144" s="3"/>
      <c r="SM144" s="3"/>
      <c r="SN144" s="3"/>
      <c r="SO144" s="3"/>
      <c r="SP144" s="3"/>
      <c r="SQ144" s="3"/>
      <c r="SR144" s="3"/>
      <c r="SS144" s="3"/>
      <c r="ST144" s="3"/>
      <c r="SU144" s="3"/>
      <c r="SV144" s="3"/>
      <c r="SW144" s="3"/>
      <c r="SX144" s="3"/>
      <c r="SY144" s="3"/>
      <c r="SZ144" s="3"/>
      <c r="TA144" s="3"/>
      <c r="TB144" s="3"/>
      <c r="TC144" s="3"/>
      <c r="TD144" s="3"/>
      <c r="TE144" s="3"/>
      <c r="TF144" s="3"/>
      <c r="TG144" s="3"/>
      <c r="TH144" s="3"/>
      <c r="TI144" s="3"/>
      <c r="TJ144" s="3"/>
      <c r="TK144" s="3"/>
      <c r="TL144" s="3"/>
      <c r="TM144" s="3"/>
      <c r="TN144" s="3"/>
      <c r="TO144" s="3"/>
      <c r="TP144" s="3"/>
      <c r="TQ144" s="3"/>
      <c r="TR144" s="3"/>
      <c r="TS144" s="3"/>
      <c r="TT144" s="3"/>
      <c r="TU144" s="3"/>
      <c r="TV144" s="3"/>
      <c r="TW144" s="3"/>
      <c r="TX144" s="3"/>
      <c r="TY144" s="3"/>
      <c r="TZ144" s="3"/>
      <c r="UA144" s="3"/>
      <c r="UB144" s="3"/>
      <c r="UC144" s="3"/>
      <c r="UD144" s="3"/>
      <c r="UE144" s="3"/>
      <c r="UF144" s="3"/>
      <c r="UG144" s="3"/>
      <c r="UH144" s="3"/>
      <c r="UI144" s="3"/>
      <c r="UJ144" s="3"/>
      <c r="UK144" s="3"/>
      <c r="UL144" s="3"/>
      <c r="UM144" s="3"/>
      <c r="UN144" s="3"/>
      <c r="UO144" s="3"/>
      <c r="UP144" s="3"/>
      <c r="UQ144" s="3"/>
      <c r="UR144" s="3"/>
      <c r="US144" s="3"/>
      <c r="UT144" s="3"/>
      <c r="UU144" s="3"/>
      <c r="UV144" s="3"/>
      <c r="UW144" s="3"/>
      <c r="UX144" s="3"/>
      <c r="UY144" s="3"/>
      <c r="UZ144" s="3"/>
      <c r="VA144" s="3"/>
      <c r="VB144" s="3"/>
      <c r="VC144" s="3"/>
      <c r="VD144" s="3"/>
      <c r="VE144" s="3"/>
      <c r="VF144" s="3"/>
      <c r="VG144" s="3"/>
      <c r="VH144" s="3"/>
      <c r="VI144" s="3"/>
      <c r="VJ144" s="3"/>
      <c r="VK144" s="3"/>
      <c r="VL144" s="3"/>
      <c r="VM144" s="3"/>
      <c r="VN144" s="3"/>
      <c r="VO144" s="3"/>
      <c r="VP144" s="3"/>
      <c r="VQ144" s="3"/>
      <c r="VR144" s="3"/>
      <c r="VS144" s="3"/>
      <c r="VT144" s="3"/>
      <c r="VU144" s="3"/>
      <c r="VV144" s="3"/>
      <c r="VW144" s="3"/>
      <c r="VX144" s="3"/>
      <c r="VY144" s="3"/>
      <c r="VZ144" s="3"/>
      <c r="WA144" s="3"/>
      <c r="WB144" s="3"/>
      <c r="WC144" s="3"/>
      <c r="WD144" s="3"/>
      <c r="WE144" s="3"/>
      <c r="WF144" s="3"/>
      <c r="WG144" s="3"/>
      <c r="WH144" s="3"/>
      <c r="WI144" s="3"/>
      <c r="WJ144" s="3"/>
      <c r="WK144" s="3"/>
      <c r="WL144" s="3"/>
      <c r="WM144" s="3"/>
      <c r="WN144" s="3"/>
      <c r="WO144" s="3"/>
      <c r="WP144" s="3"/>
      <c r="WQ144" s="3"/>
      <c r="WR144" s="3"/>
      <c r="WS144" s="3"/>
      <c r="WT144" s="3"/>
      <c r="WU144" s="3"/>
      <c r="WV144" s="3"/>
      <c r="WW144" s="3"/>
      <c r="WX144" s="3"/>
      <c r="WY144" s="3"/>
      <c r="WZ144" s="3"/>
      <c r="XA144" s="3"/>
      <c r="XB144" s="3"/>
      <c r="XC144" s="3"/>
      <c r="XD144" s="3"/>
      <c r="XE144" s="3"/>
      <c r="XF144" s="3"/>
      <c r="XG144" s="3"/>
      <c r="XH144" s="3"/>
      <c r="XI144" s="3"/>
      <c r="XJ144" s="3"/>
      <c r="XK144" s="3"/>
      <c r="XL144" s="3"/>
      <c r="XM144" s="3"/>
      <c r="XN144" s="3"/>
      <c r="XO144" s="3"/>
      <c r="XP144" s="3"/>
      <c r="XQ144" s="3"/>
      <c r="XR144" s="3"/>
      <c r="XS144" s="3"/>
      <c r="XT144" s="3"/>
      <c r="XU144" s="3"/>
      <c r="XV144" s="3"/>
      <c r="XW144" s="3"/>
      <c r="XX144" s="3"/>
      <c r="XY144" s="3"/>
      <c r="XZ144" s="3"/>
      <c r="YA144" s="3"/>
      <c r="YB144" s="3"/>
      <c r="YC144" s="3"/>
      <c r="YD144" s="3"/>
      <c r="YE144" s="3"/>
      <c r="YF144" s="3"/>
      <c r="YG144" s="3"/>
      <c r="YH144" s="3"/>
      <c r="YI144" s="3"/>
      <c r="YJ144" s="3"/>
      <c r="YK144" s="3"/>
      <c r="YL144" s="3"/>
      <c r="YM144" s="3"/>
      <c r="YN144" s="3"/>
      <c r="YO144" s="3"/>
      <c r="YP144" s="3"/>
      <c r="YQ144" s="3"/>
      <c r="YR144" s="3"/>
      <c r="YS144" s="3"/>
      <c r="YT144" s="3"/>
      <c r="YU144" s="3"/>
      <c r="YV144" s="3"/>
      <c r="YW144" s="3"/>
      <c r="YX144" s="3"/>
      <c r="YY144" s="3"/>
      <c r="YZ144" s="3"/>
      <c r="ZA144" s="3"/>
      <c r="ZB144" s="3"/>
      <c r="ZC144" s="3"/>
    </row>
    <row r="145" spans="1:679" s="2" customFormat="1" x14ac:dyDescent="0.45">
      <c r="A145" s="3" t="s">
        <v>11</v>
      </c>
      <c r="B145" s="4">
        <v>34554</v>
      </c>
      <c r="C145" s="7" t="s">
        <v>21</v>
      </c>
      <c r="D145" s="6" t="s">
        <v>160</v>
      </c>
      <c r="E145" s="3"/>
      <c r="F145" s="3">
        <v>2</v>
      </c>
      <c r="L145" s="3"/>
      <c r="M145" s="3"/>
      <c r="N145" s="48"/>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c r="DK145" s="3"/>
      <c r="DL145" s="3"/>
      <c r="DM145" s="3"/>
      <c r="DN145" s="3"/>
      <c r="DO145" s="3"/>
      <c r="DP145" s="3"/>
      <c r="DQ145" s="3"/>
      <c r="DR145" s="3"/>
      <c r="DS145" s="3"/>
      <c r="DT145" s="3"/>
      <c r="DU145" s="3"/>
      <c r="DV145" s="3"/>
      <c r="DW145" s="3"/>
      <c r="DX145" s="3"/>
      <c r="DY145" s="3"/>
      <c r="DZ145" s="3"/>
      <c r="EA145" s="3"/>
      <c r="EB145" s="3"/>
      <c r="EC145" s="3"/>
      <c r="ED145" s="3"/>
      <c r="EE145" s="3"/>
      <c r="EF145" s="3"/>
      <c r="EG145" s="3"/>
      <c r="EH145" s="3"/>
      <c r="EI145" s="3"/>
      <c r="EJ145" s="3"/>
      <c r="EK145" s="3"/>
      <c r="EL145" s="3"/>
      <c r="EM145" s="3"/>
      <c r="EN145" s="3"/>
      <c r="EO145" s="3"/>
      <c r="EP145" s="3"/>
      <c r="EQ145" s="3"/>
      <c r="ER145" s="3"/>
      <c r="ES145" s="3"/>
      <c r="ET145" s="3"/>
      <c r="EU145" s="3"/>
      <c r="EV145" s="3"/>
      <c r="EW145" s="3"/>
      <c r="EX145" s="3"/>
      <c r="EY145" s="3"/>
      <c r="EZ145" s="3"/>
      <c r="FA145" s="3"/>
      <c r="FB145" s="3"/>
      <c r="FC145" s="3"/>
      <c r="FD145" s="3"/>
      <c r="FE145" s="3"/>
      <c r="FF145" s="3"/>
      <c r="FG145" s="3"/>
      <c r="FH145" s="3"/>
      <c r="FI145" s="3"/>
      <c r="FJ145" s="3"/>
      <c r="FK145" s="3"/>
      <c r="FL145" s="3"/>
      <c r="FM145" s="3"/>
      <c r="FN145" s="3"/>
      <c r="FO145" s="3"/>
      <c r="FP145" s="3"/>
      <c r="FQ145" s="3"/>
      <c r="FR145" s="3"/>
      <c r="FS145" s="3"/>
      <c r="FT145" s="3"/>
      <c r="FU145" s="3"/>
      <c r="FV145" s="3"/>
      <c r="FW145" s="3"/>
      <c r="FX145" s="3"/>
      <c r="FY145" s="3"/>
      <c r="FZ145" s="3"/>
      <c r="GA145" s="3"/>
      <c r="GB145" s="3"/>
      <c r="GC145" s="3"/>
      <c r="GD145" s="3"/>
      <c r="GE145" s="3"/>
      <c r="GF145" s="3"/>
      <c r="GG145" s="3"/>
      <c r="GH145" s="3"/>
      <c r="GI145" s="3"/>
      <c r="GJ145" s="3"/>
      <c r="GK145" s="3"/>
      <c r="GL145" s="3"/>
      <c r="GM145" s="3"/>
      <c r="GN145" s="3"/>
      <c r="GO145" s="3"/>
      <c r="GP145" s="3"/>
      <c r="GQ145" s="3"/>
      <c r="GR145" s="3"/>
      <c r="GS145" s="3"/>
      <c r="GT145" s="3"/>
      <c r="GU145" s="3"/>
      <c r="GV145" s="3"/>
      <c r="GW145" s="3"/>
      <c r="GX145" s="3"/>
      <c r="GY145" s="3"/>
      <c r="GZ145" s="3"/>
      <c r="HA145" s="3"/>
      <c r="HB145" s="3"/>
      <c r="HC145" s="3"/>
      <c r="HD145" s="3"/>
      <c r="HE145" s="3"/>
      <c r="HF145" s="3"/>
      <c r="HG145" s="3"/>
      <c r="HH145" s="3"/>
      <c r="HI145" s="3"/>
      <c r="HJ145" s="3"/>
      <c r="HK145" s="3"/>
      <c r="HL145" s="3"/>
      <c r="HM145" s="3"/>
      <c r="HN145" s="3"/>
      <c r="HO145" s="3"/>
      <c r="HP145" s="3"/>
      <c r="HQ145" s="3"/>
      <c r="HR145" s="3"/>
      <c r="HS145" s="3"/>
      <c r="HT145" s="3"/>
      <c r="HU145" s="3"/>
      <c r="HV145" s="3"/>
      <c r="HW145" s="3"/>
      <c r="HX145" s="3"/>
      <c r="HY145" s="3"/>
      <c r="HZ145" s="3"/>
      <c r="IA145" s="3"/>
      <c r="IB145" s="3"/>
      <c r="IC145" s="3"/>
      <c r="ID145" s="3"/>
      <c r="IE145" s="3"/>
      <c r="IF145" s="3"/>
      <c r="IG145" s="3"/>
      <c r="IH145" s="3"/>
      <c r="II145" s="3"/>
      <c r="IJ145" s="3"/>
      <c r="IK145" s="3"/>
      <c r="IL145" s="3"/>
      <c r="IM145" s="3"/>
      <c r="IN145" s="3"/>
      <c r="IO145" s="3"/>
      <c r="IP145" s="3"/>
      <c r="IQ145" s="3"/>
      <c r="IR145" s="3"/>
      <c r="IS145" s="3"/>
      <c r="IT145" s="3"/>
      <c r="IU145" s="3"/>
      <c r="IV145" s="3"/>
      <c r="IW145" s="3"/>
      <c r="IX145" s="3"/>
      <c r="IY145" s="3"/>
      <c r="IZ145" s="3"/>
      <c r="JA145" s="3"/>
      <c r="JB145" s="3"/>
      <c r="JC145" s="3"/>
      <c r="JD145" s="3"/>
      <c r="JE145" s="3"/>
      <c r="JF145" s="3"/>
      <c r="JG145" s="3"/>
      <c r="JH145" s="3"/>
      <c r="JI145" s="3"/>
      <c r="JJ145" s="3"/>
      <c r="JK145" s="3"/>
      <c r="JL145" s="3"/>
      <c r="JM145" s="3"/>
      <c r="JN145" s="3"/>
      <c r="JO145" s="3"/>
      <c r="JP145" s="3"/>
      <c r="JQ145" s="3"/>
      <c r="JR145" s="3"/>
      <c r="JS145" s="3"/>
      <c r="JT145" s="3"/>
      <c r="JU145" s="3"/>
      <c r="JV145" s="3"/>
      <c r="JW145" s="3"/>
      <c r="JX145" s="3"/>
      <c r="JY145" s="3"/>
      <c r="JZ145" s="3"/>
      <c r="KA145" s="3"/>
      <c r="KB145" s="3"/>
      <c r="KC145" s="3"/>
      <c r="KD145" s="3"/>
      <c r="KE145" s="3"/>
      <c r="KF145" s="3"/>
      <c r="KG145" s="3"/>
      <c r="KH145" s="3"/>
      <c r="KI145" s="3"/>
      <c r="KJ145" s="3"/>
      <c r="KK145" s="3"/>
      <c r="KL145" s="3"/>
      <c r="KM145" s="3"/>
      <c r="KN145" s="3"/>
      <c r="KO145" s="3"/>
      <c r="KP145" s="3"/>
      <c r="KQ145" s="3"/>
      <c r="KR145" s="3"/>
      <c r="KS145" s="3"/>
      <c r="KT145" s="3"/>
      <c r="KU145" s="3"/>
      <c r="KV145" s="3"/>
      <c r="KW145" s="3"/>
      <c r="KX145" s="3"/>
      <c r="KY145" s="3"/>
      <c r="KZ145" s="3"/>
      <c r="LA145" s="3"/>
      <c r="LB145" s="3"/>
      <c r="LC145" s="3"/>
      <c r="LD145" s="3"/>
      <c r="LE145" s="3"/>
      <c r="LF145" s="3"/>
      <c r="LG145" s="3"/>
      <c r="LH145" s="3"/>
      <c r="LI145" s="3"/>
      <c r="LJ145" s="3"/>
      <c r="LK145" s="3"/>
      <c r="LL145" s="3"/>
      <c r="LM145" s="3"/>
      <c r="LN145" s="3"/>
      <c r="LO145" s="3"/>
      <c r="LP145" s="3"/>
      <c r="LQ145" s="3"/>
      <c r="LR145" s="3"/>
      <c r="LS145" s="3"/>
      <c r="LT145" s="3"/>
      <c r="LU145" s="3"/>
      <c r="LV145" s="3"/>
      <c r="LW145" s="3"/>
      <c r="LX145" s="3"/>
      <c r="LY145" s="3"/>
      <c r="LZ145" s="3"/>
      <c r="MA145" s="3"/>
      <c r="MB145" s="3"/>
      <c r="MC145" s="3"/>
      <c r="MD145" s="3"/>
      <c r="ME145" s="3"/>
      <c r="MF145" s="3"/>
      <c r="MG145" s="3"/>
      <c r="MH145" s="3"/>
      <c r="MI145" s="3"/>
      <c r="MJ145" s="3"/>
      <c r="MK145" s="3"/>
      <c r="ML145" s="3"/>
      <c r="MM145" s="3"/>
      <c r="MN145" s="3"/>
      <c r="MO145" s="3"/>
      <c r="MP145" s="3"/>
      <c r="MQ145" s="3"/>
      <c r="MR145" s="3"/>
      <c r="MS145" s="3"/>
      <c r="MT145" s="3"/>
      <c r="MU145" s="3"/>
      <c r="MV145" s="3"/>
      <c r="MW145" s="3"/>
      <c r="MX145" s="3"/>
      <c r="MY145" s="3"/>
      <c r="MZ145" s="3"/>
      <c r="NA145" s="3"/>
      <c r="NB145" s="3"/>
      <c r="NC145" s="3"/>
      <c r="ND145" s="3"/>
      <c r="NE145" s="3"/>
      <c r="NF145" s="3"/>
      <c r="NG145" s="3"/>
      <c r="NH145" s="3"/>
      <c r="NI145" s="3"/>
      <c r="NJ145" s="3"/>
      <c r="NK145" s="3"/>
      <c r="NL145" s="3"/>
      <c r="NM145" s="3"/>
      <c r="NN145" s="3"/>
      <c r="NO145" s="3"/>
      <c r="NP145" s="3"/>
      <c r="NQ145" s="3"/>
      <c r="NR145" s="3"/>
      <c r="NS145" s="3"/>
      <c r="NT145" s="3"/>
      <c r="NU145" s="3"/>
      <c r="NV145" s="3"/>
      <c r="NW145" s="3"/>
      <c r="NX145" s="3"/>
      <c r="NY145" s="3"/>
      <c r="NZ145" s="3"/>
      <c r="OA145" s="3"/>
      <c r="OB145" s="3"/>
      <c r="OC145" s="3"/>
      <c r="OD145" s="3"/>
      <c r="OE145" s="3"/>
      <c r="OF145" s="3"/>
      <c r="OG145" s="3"/>
      <c r="OH145" s="3"/>
      <c r="OI145" s="3"/>
      <c r="OJ145" s="3"/>
      <c r="OK145" s="3"/>
      <c r="OL145" s="3"/>
      <c r="OM145" s="3"/>
      <c r="ON145" s="3"/>
      <c r="OO145" s="3"/>
      <c r="OP145" s="3"/>
      <c r="OQ145" s="3"/>
      <c r="OR145" s="3"/>
      <c r="OS145" s="3"/>
      <c r="OT145" s="3"/>
      <c r="OU145" s="3"/>
      <c r="OV145" s="3"/>
      <c r="OW145" s="3"/>
      <c r="OX145" s="3"/>
      <c r="OY145" s="3"/>
      <c r="OZ145" s="3"/>
      <c r="PA145" s="3"/>
      <c r="PB145" s="3"/>
      <c r="PC145" s="3"/>
      <c r="PD145" s="3"/>
      <c r="PE145" s="3"/>
      <c r="PF145" s="3"/>
      <c r="PG145" s="3"/>
      <c r="PH145" s="3"/>
      <c r="PI145" s="3"/>
      <c r="PJ145" s="3"/>
      <c r="PK145" s="3"/>
      <c r="PL145" s="3"/>
      <c r="PM145" s="3"/>
      <c r="PN145" s="3"/>
      <c r="PO145" s="3"/>
      <c r="PP145" s="3"/>
      <c r="PQ145" s="3"/>
      <c r="PR145" s="3"/>
      <c r="PS145" s="3"/>
      <c r="PT145" s="3"/>
      <c r="PU145" s="3"/>
      <c r="PV145" s="3"/>
      <c r="PW145" s="3"/>
      <c r="PX145" s="3"/>
      <c r="PY145" s="3"/>
      <c r="PZ145" s="3"/>
      <c r="QA145" s="3"/>
      <c r="QB145" s="3"/>
      <c r="QC145" s="3"/>
      <c r="QD145" s="3"/>
      <c r="QE145" s="3"/>
      <c r="QF145" s="3"/>
      <c r="QG145" s="3"/>
      <c r="QH145" s="3"/>
      <c r="QI145" s="3"/>
      <c r="QJ145" s="3"/>
      <c r="QK145" s="3"/>
      <c r="QL145" s="3"/>
      <c r="QM145" s="3"/>
      <c r="QN145" s="3"/>
      <c r="QO145" s="3"/>
      <c r="QP145" s="3"/>
      <c r="QQ145" s="3"/>
      <c r="QR145" s="3"/>
      <c r="QS145" s="3"/>
      <c r="QT145" s="3"/>
      <c r="QU145" s="3"/>
      <c r="QV145" s="3"/>
      <c r="QW145" s="3"/>
      <c r="QX145" s="3"/>
      <c r="QY145" s="3"/>
      <c r="QZ145" s="3"/>
      <c r="RA145" s="3"/>
      <c r="RB145" s="3"/>
      <c r="RC145" s="3"/>
      <c r="RD145" s="3"/>
      <c r="RE145" s="3"/>
      <c r="RF145" s="3"/>
      <c r="RG145" s="3"/>
      <c r="RH145" s="3"/>
      <c r="RI145" s="3"/>
      <c r="RJ145" s="3"/>
      <c r="RK145" s="3"/>
      <c r="RL145" s="3"/>
      <c r="RM145" s="3"/>
      <c r="RN145" s="3"/>
      <c r="RO145" s="3"/>
      <c r="RP145" s="3"/>
      <c r="RQ145" s="3"/>
      <c r="RR145" s="3"/>
      <c r="RS145" s="3"/>
      <c r="RT145" s="3"/>
      <c r="RU145" s="3"/>
      <c r="RV145" s="3"/>
      <c r="RW145" s="3"/>
      <c r="RX145" s="3"/>
      <c r="RY145" s="3"/>
      <c r="RZ145" s="3"/>
      <c r="SA145" s="3"/>
      <c r="SB145" s="3"/>
      <c r="SC145" s="3"/>
      <c r="SD145" s="3"/>
      <c r="SE145" s="3"/>
      <c r="SF145" s="3"/>
      <c r="SG145" s="3"/>
      <c r="SH145" s="3"/>
      <c r="SI145" s="3"/>
      <c r="SJ145" s="3"/>
      <c r="SK145" s="3"/>
      <c r="SL145" s="3"/>
      <c r="SM145" s="3"/>
      <c r="SN145" s="3"/>
      <c r="SO145" s="3"/>
      <c r="SP145" s="3"/>
      <c r="SQ145" s="3"/>
      <c r="SR145" s="3"/>
      <c r="SS145" s="3"/>
      <c r="ST145" s="3"/>
      <c r="SU145" s="3"/>
      <c r="SV145" s="3"/>
      <c r="SW145" s="3"/>
      <c r="SX145" s="3"/>
      <c r="SY145" s="3"/>
      <c r="SZ145" s="3"/>
      <c r="TA145" s="3"/>
      <c r="TB145" s="3"/>
      <c r="TC145" s="3"/>
      <c r="TD145" s="3"/>
      <c r="TE145" s="3"/>
      <c r="TF145" s="3"/>
      <c r="TG145" s="3"/>
      <c r="TH145" s="3"/>
      <c r="TI145" s="3"/>
      <c r="TJ145" s="3"/>
      <c r="TK145" s="3"/>
      <c r="TL145" s="3"/>
      <c r="TM145" s="3"/>
      <c r="TN145" s="3"/>
      <c r="TO145" s="3"/>
      <c r="TP145" s="3"/>
      <c r="TQ145" s="3"/>
      <c r="TR145" s="3"/>
      <c r="TS145" s="3"/>
      <c r="TT145" s="3"/>
      <c r="TU145" s="3"/>
      <c r="TV145" s="3"/>
      <c r="TW145" s="3"/>
      <c r="TX145" s="3"/>
      <c r="TY145" s="3"/>
      <c r="TZ145" s="3"/>
      <c r="UA145" s="3"/>
      <c r="UB145" s="3"/>
      <c r="UC145" s="3"/>
      <c r="UD145" s="3"/>
      <c r="UE145" s="3"/>
      <c r="UF145" s="3"/>
      <c r="UG145" s="3"/>
      <c r="UH145" s="3"/>
      <c r="UI145" s="3"/>
      <c r="UJ145" s="3"/>
      <c r="UK145" s="3"/>
      <c r="UL145" s="3"/>
      <c r="UM145" s="3"/>
      <c r="UN145" s="3"/>
      <c r="UO145" s="3"/>
      <c r="UP145" s="3"/>
      <c r="UQ145" s="3"/>
      <c r="UR145" s="3"/>
      <c r="US145" s="3"/>
      <c r="UT145" s="3"/>
      <c r="UU145" s="3"/>
      <c r="UV145" s="3"/>
      <c r="UW145" s="3"/>
      <c r="UX145" s="3"/>
      <c r="UY145" s="3"/>
      <c r="UZ145" s="3"/>
      <c r="VA145" s="3"/>
      <c r="VB145" s="3"/>
      <c r="VC145" s="3"/>
      <c r="VD145" s="3"/>
      <c r="VE145" s="3"/>
      <c r="VF145" s="3"/>
      <c r="VG145" s="3"/>
      <c r="VH145" s="3"/>
      <c r="VI145" s="3"/>
      <c r="VJ145" s="3"/>
      <c r="VK145" s="3"/>
      <c r="VL145" s="3"/>
      <c r="VM145" s="3"/>
      <c r="VN145" s="3"/>
      <c r="VO145" s="3"/>
      <c r="VP145" s="3"/>
      <c r="VQ145" s="3"/>
      <c r="VR145" s="3"/>
      <c r="VS145" s="3"/>
      <c r="VT145" s="3"/>
      <c r="VU145" s="3"/>
      <c r="VV145" s="3"/>
      <c r="VW145" s="3"/>
      <c r="VX145" s="3"/>
      <c r="VY145" s="3"/>
      <c r="VZ145" s="3"/>
      <c r="WA145" s="3"/>
      <c r="WB145" s="3"/>
      <c r="WC145" s="3"/>
      <c r="WD145" s="3"/>
      <c r="WE145" s="3"/>
      <c r="WF145" s="3"/>
      <c r="WG145" s="3"/>
      <c r="WH145" s="3"/>
      <c r="WI145" s="3"/>
      <c r="WJ145" s="3"/>
      <c r="WK145" s="3"/>
      <c r="WL145" s="3"/>
      <c r="WM145" s="3"/>
      <c r="WN145" s="3"/>
      <c r="WO145" s="3"/>
      <c r="WP145" s="3"/>
      <c r="WQ145" s="3"/>
      <c r="WR145" s="3"/>
      <c r="WS145" s="3"/>
      <c r="WT145" s="3"/>
      <c r="WU145" s="3"/>
      <c r="WV145" s="3"/>
      <c r="WW145" s="3"/>
      <c r="WX145" s="3"/>
      <c r="WY145" s="3"/>
      <c r="WZ145" s="3"/>
      <c r="XA145" s="3"/>
      <c r="XB145" s="3"/>
      <c r="XC145" s="3"/>
      <c r="XD145" s="3"/>
      <c r="XE145" s="3"/>
      <c r="XF145" s="3"/>
      <c r="XG145" s="3"/>
      <c r="XH145" s="3"/>
      <c r="XI145" s="3"/>
      <c r="XJ145" s="3"/>
      <c r="XK145" s="3"/>
      <c r="XL145" s="3"/>
      <c r="XM145" s="3"/>
      <c r="XN145" s="3"/>
      <c r="XO145" s="3"/>
      <c r="XP145" s="3"/>
      <c r="XQ145" s="3"/>
      <c r="XR145" s="3"/>
      <c r="XS145" s="3"/>
      <c r="XT145" s="3"/>
      <c r="XU145" s="3"/>
      <c r="XV145" s="3"/>
      <c r="XW145" s="3"/>
      <c r="XX145" s="3"/>
      <c r="XY145" s="3"/>
      <c r="XZ145" s="3"/>
      <c r="YA145" s="3"/>
      <c r="YB145" s="3"/>
      <c r="YC145" s="3"/>
      <c r="YD145" s="3"/>
      <c r="YE145" s="3"/>
      <c r="YF145" s="3"/>
      <c r="YG145" s="3"/>
      <c r="YH145" s="3"/>
      <c r="YI145" s="3"/>
      <c r="YJ145" s="3"/>
      <c r="YK145" s="3"/>
      <c r="YL145" s="3"/>
      <c r="YM145" s="3"/>
      <c r="YN145" s="3"/>
      <c r="YO145" s="3"/>
      <c r="YP145" s="3"/>
      <c r="YQ145" s="3"/>
      <c r="YR145" s="3"/>
      <c r="YS145" s="3"/>
      <c r="YT145" s="3"/>
      <c r="YU145" s="3"/>
      <c r="YV145" s="3"/>
      <c r="YW145" s="3"/>
      <c r="YX145" s="3"/>
      <c r="YY145" s="3"/>
      <c r="YZ145" s="3"/>
      <c r="ZA145" s="3"/>
      <c r="ZB145" s="3"/>
      <c r="ZC145" s="3"/>
    </row>
    <row r="146" spans="1:679" s="2" customFormat="1" x14ac:dyDescent="0.45">
      <c r="A146" s="3" t="s">
        <v>11</v>
      </c>
      <c r="B146" s="4">
        <v>34633</v>
      </c>
      <c r="C146" s="7" t="s">
        <v>25</v>
      </c>
      <c r="D146" s="6" t="s">
        <v>161</v>
      </c>
      <c r="E146" s="3"/>
      <c r="F146" s="3">
        <v>3</v>
      </c>
      <c r="L146" s="3"/>
      <c r="M146" s="3"/>
      <c r="N146" s="48"/>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c r="DL146" s="3"/>
      <c r="DM146" s="3"/>
      <c r="DN146" s="3"/>
      <c r="DO146" s="3"/>
      <c r="DP146" s="3"/>
      <c r="DQ146" s="3"/>
      <c r="DR146" s="3"/>
      <c r="DS146" s="3"/>
      <c r="DT146" s="3"/>
      <c r="DU146" s="3"/>
      <c r="DV146" s="3"/>
      <c r="DW146" s="3"/>
      <c r="DX146" s="3"/>
      <c r="DY146" s="3"/>
      <c r="DZ146" s="3"/>
      <c r="EA146" s="3"/>
      <c r="EB146" s="3"/>
      <c r="EC146" s="3"/>
      <c r="ED146" s="3"/>
      <c r="EE146" s="3"/>
      <c r="EF146" s="3"/>
      <c r="EG146" s="3"/>
      <c r="EH146" s="3"/>
      <c r="EI146" s="3"/>
      <c r="EJ146" s="3"/>
      <c r="EK146" s="3"/>
      <c r="EL146" s="3"/>
      <c r="EM146" s="3"/>
      <c r="EN146" s="3"/>
      <c r="EO146" s="3"/>
      <c r="EP146" s="3"/>
      <c r="EQ146" s="3"/>
      <c r="ER146" s="3"/>
      <c r="ES146" s="3"/>
      <c r="ET146" s="3"/>
      <c r="EU146" s="3"/>
      <c r="EV146" s="3"/>
      <c r="EW146" s="3"/>
      <c r="EX146" s="3"/>
      <c r="EY146" s="3"/>
      <c r="EZ146" s="3"/>
      <c r="FA146" s="3"/>
      <c r="FB146" s="3"/>
      <c r="FC146" s="3"/>
      <c r="FD146" s="3"/>
      <c r="FE146" s="3"/>
      <c r="FF146" s="3"/>
      <c r="FG146" s="3"/>
      <c r="FH146" s="3"/>
      <c r="FI146" s="3"/>
      <c r="FJ146" s="3"/>
      <c r="FK146" s="3"/>
      <c r="FL146" s="3"/>
      <c r="FM146" s="3"/>
      <c r="FN146" s="3"/>
      <c r="FO146" s="3"/>
      <c r="FP146" s="3"/>
      <c r="FQ146" s="3"/>
      <c r="FR146" s="3"/>
      <c r="FS146" s="3"/>
      <c r="FT146" s="3"/>
      <c r="FU146" s="3"/>
      <c r="FV146" s="3"/>
      <c r="FW146" s="3"/>
      <c r="FX146" s="3"/>
      <c r="FY146" s="3"/>
      <c r="FZ146" s="3"/>
      <c r="GA146" s="3"/>
      <c r="GB146" s="3"/>
      <c r="GC146" s="3"/>
      <c r="GD146" s="3"/>
      <c r="GE146" s="3"/>
      <c r="GF146" s="3"/>
      <c r="GG146" s="3"/>
      <c r="GH146" s="3"/>
      <c r="GI146" s="3"/>
      <c r="GJ146" s="3"/>
      <c r="GK146" s="3"/>
      <c r="GL146" s="3"/>
      <c r="GM146" s="3"/>
      <c r="GN146" s="3"/>
      <c r="GO146" s="3"/>
      <c r="GP146" s="3"/>
      <c r="GQ146" s="3"/>
      <c r="GR146" s="3"/>
      <c r="GS146" s="3"/>
      <c r="GT146" s="3"/>
      <c r="GU146" s="3"/>
      <c r="GV146" s="3"/>
      <c r="GW146" s="3"/>
      <c r="GX146" s="3"/>
      <c r="GY146" s="3"/>
      <c r="GZ146" s="3"/>
      <c r="HA146" s="3"/>
      <c r="HB146" s="3"/>
      <c r="HC146" s="3"/>
      <c r="HD146" s="3"/>
      <c r="HE146" s="3"/>
      <c r="HF146" s="3"/>
      <c r="HG146" s="3"/>
      <c r="HH146" s="3"/>
      <c r="HI146" s="3"/>
      <c r="HJ146" s="3"/>
      <c r="HK146" s="3"/>
      <c r="HL146" s="3"/>
      <c r="HM146" s="3"/>
      <c r="HN146" s="3"/>
      <c r="HO146" s="3"/>
      <c r="HP146" s="3"/>
      <c r="HQ146" s="3"/>
      <c r="HR146" s="3"/>
      <c r="HS146" s="3"/>
      <c r="HT146" s="3"/>
      <c r="HU146" s="3"/>
      <c r="HV146" s="3"/>
      <c r="HW146" s="3"/>
      <c r="HX146" s="3"/>
      <c r="HY146" s="3"/>
      <c r="HZ146" s="3"/>
      <c r="IA146" s="3"/>
      <c r="IB146" s="3"/>
      <c r="IC146" s="3"/>
      <c r="ID146" s="3"/>
      <c r="IE146" s="3"/>
      <c r="IF146" s="3"/>
      <c r="IG146" s="3"/>
      <c r="IH146" s="3"/>
      <c r="II146" s="3"/>
      <c r="IJ146" s="3"/>
      <c r="IK146" s="3"/>
      <c r="IL146" s="3"/>
      <c r="IM146" s="3"/>
      <c r="IN146" s="3"/>
      <c r="IO146" s="3"/>
      <c r="IP146" s="3"/>
      <c r="IQ146" s="3"/>
      <c r="IR146" s="3"/>
      <c r="IS146" s="3"/>
      <c r="IT146" s="3"/>
      <c r="IU146" s="3"/>
      <c r="IV146" s="3"/>
      <c r="IW146" s="3"/>
      <c r="IX146" s="3"/>
      <c r="IY146" s="3"/>
      <c r="IZ146" s="3"/>
      <c r="JA146" s="3"/>
      <c r="JB146" s="3"/>
      <c r="JC146" s="3"/>
      <c r="JD146" s="3"/>
      <c r="JE146" s="3"/>
      <c r="JF146" s="3"/>
      <c r="JG146" s="3"/>
      <c r="JH146" s="3"/>
      <c r="JI146" s="3"/>
      <c r="JJ146" s="3"/>
      <c r="JK146" s="3"/>
      <c r="JL146" s="3"/>
      <c r="JM146" s="3"/>
      <c r="JN146" s="3"/>
      <c r="JO146" s="3"/>
      <c r="JP146" s="3"/>
      <c r="JQ146" s="3"/>
      <c r="JR146" s="3"/>
      <c r="JS146" s="3"/>
      <c r="JT146" s="3"/>
      <c r="JU146" s="3"/>
      <c r="JV146" s="3"/>
      <c r="JW146" s="3"/>
      <c r="JX146" s="3"/>
      <c r="JY146" s="3"/>
      <c r="JZ146" s="3"/>
      <c r="KA146" s="3"/>
      <c r="KB146" s="3"/>
      <c r="KC146" s="3"/>
      <c r="KD146" s="3"/>
      <c r="KE146" s="3"/>
      <c r="KF146" s="3"/>
      <c r="KG146" s="3"/>
      <c r="KH146" s="3"/>
      <c r="KI146" s="3"/>
      <c r="KJ146" s="3"/>
      <c r="KK146" s="3"/>
      <c r="KL146" s="3"/>
      <c r="KM146" s="3"/>
      <c r="KN146" s="3"/>
      <c r="KO146" s="3"/>
      <c r="KP146" s="3"/>
      <c r="KQ146" s="3"/>
      <c r="KR146" s="3"/>
      <c r="KS146" s="3"/>
      <c r="KT146" s="3"/>
      <c r="KU146" s="3"/>
      <c r="KV146" s="3"/>
      <c r="KW146" s="3"/>
      <c r="KX146" s="3"/>
      <c r="KY146" s="3"/>
      <c r="KZ146" s="3"/>
      <c r="LA146" s="3"/>
      <c r="LB146" s="3"/>
      <c r="LC146" s="3"/>
      <c r="LD146" s="3"/>
      <c r="LE146" s="3"/>
      <c r="LF146" s="3"/>
      <c r="LG146" s="3"/>
      <c r="LH146" s="3"/>
      <c r="LI146" s="3"/>
      <c r="LJ146" s="3"/>
      <c r="LK146" s="3"/>
      <c r="LL146" s="3"/>
      <c r="LM146" s="3"/>
      <c r="LN146" s="3"/>
      <c r="LO146" s="3"/>
      <c r="LP146" s="3"/>
      <c r="LQ146" s="3"/>
      <c r="LR146" s="3"/>
      <c r="LS146" s="3"/>
      <c r="LT146" s="3"/>
      <c r="LU146" s="3"/>
      <c r="LV146" s="3"/>
      <c r="LW146" s="3"/>
      <c r="LX146" s="3"/>
      <c r="LY146" s="3"/>
      <c r="LZ146" s="3"/>
      <c r="MA146" s="3"/>
      <c r="MB146" s="3"/>
      <c r="MC146" s="3"/>
      <c r="MD146" s="3"/>
      <c r="ME146" s="3"/>
      <c r="MF146" s="3"/>
      <c r="MG146" s="3"/>
      <c r="MH146" s="3"/>
      <c r="MI146" s="3"/>
      <c r="MJ146" s="3"/>
      <c r="MK146" s="3"/>
      <c r="ML146" s="3"/>
      <c r="MM146" s="3"/>
      <c r="MN146" s="3"/>
      <c r="MO146" s="3"/>
      <c r="MP146" s="3"/>
      <c r="MQ146" s="3"/>
      <c r="MR146" s="3"/>
      <c r="MS146" s="3"/>
      <c r="MT146" s="3"/>
      <c r="MU146" s="3"/>
      <c r="MV146" s="3"/>
      <c r="MW146" s="3"/>
      <c r="MX146" s="3"/>
      <c r="MY146" s="3"/>
      <c r="MZ146" s="3"/>
      <c r="NA146" s="3"/>
      <c r="NB146" s="3"/>
      <c r="NC146" s="3"/>
      <c r="ND146" s="3"/>
      <c r="NE146" s="3"/>
      <c r="NF146" s="3"/>
      <c r="NG146" s="3"/>
      <c r="NH146" s="3"/>
      <c r="NI146" s="3"/>
      <c r="NJ146" s="3"/>
      <c r="NK146" s="3"/>
      <c r="NL146" s="3"/>
      <c r="NM146" s="3"/>
      <c r="NN146" s="3"/>
      <c r="NO146" s="3"/>
      <c r="NP146" s="3"/>
      <c r="NQ146" s="3"/>
      <c r="NR146" s="3"/>
      <c r="NS146" s="3"/>
      <c r="NT146" s="3"/>
      <c r="NU146" s="3"/>
      <c r="NV146" s="3"/>
      <c r="NW146" s="3"/>
      <c r="NX146" s="3"/>
      <c r="NY146" s="3"/>
      <c r="NZ146" s="3"/>
      <c r="OA146" s="3"/>
      <c r="OB146" s="3"/>
      <c r="OC146" s="3"/>
      <c r="OD146" s="3"/>
      <c r="OE146" s="3"/>
      <c r="OF146" s="3"/>
      <c r="OG146" s="3"/>
      <c r="OH146" s="3"/>
      <c r="OI146" s="3"/>
      <c r="OJ146" s="3"/>
      <c r="OK146" s="3"/>
      <c r="OL146" s="3"/>
      <c r="OM146" s="3"/>
      <c r="ON146" s="3"/>
      <c r="OO146" s="3"/>
      <c r="OP146" s="3"/>
      <c r="OQ146" s="3"/>
      <c r="OR146" s="3"/>
      <c r="OS146" s="3"/>
      <c r="OT146" s="3"/>
      <c r="OU146" s="3"/>
      <c r="OV146" s="3"/>
      <c r="OW146" s="3"/>
      <c r="OX146" s="3"/>
      <c r="OY146" s="3"/>
      <c r="OZ146" s="3"/>
      <c r="PA146" s="3"/>
      <c r="PB146" s="3"/>
      <c r="PC146" s="3"/>
      <c r="PD146" s="3"/>
      <c r="PE146" s="3"/>
      <c r="PF146" s="3"/>
      <c r="PG146" s="3"/>
      <c r="PH146" s="3"/>
      <c r="PI146" s="3"/>
      <c r="PJ146" s="3"/>
      <c r="PK146" s="3"/>
      <c r="PL146" s="3"/>
      <c r="PM146" s="3"/>
      <c r="PN146" s="3"/>
      <c r="PO146" s="3"/>
      <c r="PP146" s="3"/>
      <c r="PQ146" s="3"/>
      <c r="PR146" s="3"/>
      <c r="PS146" s="3"/>
      <c r="PT146" s="3"/>
      <c r="PU146" s="3"/>
      <c r="PV146" s="3"/>
      <c r="PW146" s="3"/>
      <c r="PX146" s="3"/>
      <c r="PY146" s="3"/>
      <c r="PZ146" s="3"/>
      <c r="QA146" s="3"/>
      <c r="QB146" s="3"/>
      <c r="QC146" s="3"/>
      <c r="QD146" s="3"/>
      <c r="QE146" s="3"/>
      <c r="QF146" s="3"/>
      <c r="QG146" s="3"/>
      <c r="QH146" s="3"/>
      <c r="QI146" s="3"/>
      <c r="QJ146" s="3"/>
      <c r="QK146" s="3"/>
      <c r="QL146" s="3"/>
      <c r="QM146" s="3"/>
      <c r="QN146" s="3"/>
      <c r="QO146" s="3"/>
      <c r="QP146" s="3"/>
      <c r="QQ146" s="3"/>
      <c r="QR146" s="3"/>
      <c r="QS146" s="3"/>
      <c r="QT146" s="3"/>
      <c r="QU146" s="3"/>
      <c r="QV146" s="3"/>
      <c r="QW146" s="3"/>
      <c r="QX146" s="3"/>
      <c r="QY146" s="3"/>
      <c r="QZ146" s="3"/>
      <c r="RA146" s="3"/>
      <c r="RB146" s="3"/>
      <c r="RC146" s="3"/>
      <c r="RD146" s="3"/>
      <c r="RE146" s="3"/>
      <c r="RF146" s="3"/>
      <c r="RG146" s="3"/>
      <c r="RH146" s="3"/>
      <c r="RI146" s="3"/>
      <c r="RJ146" s="3"/>
      <c r="RK146" s="3"/>
      <c r="RL146" s="3"/>
      <c r="RM146" s="3"/>
      <c r="RN146" s="3"/>
      <c r="RO146" s="3"/>
      <c r="RP146" s="3"/>
      <c r="RQ146" s="3"/>
      <c r="RR146" s="3"/>
      <c r="RS146" s="3"/>
      <c r="RT146" s="3"/>
      <c r="RU146" s="3"/>
      <c r="RV146" s="3"/>
      <c r="RW146" s="3"/>
      <c r="RX146" s="3"/>
      <c r="RY146" s="3"/>
      <c r="RZ146" s="3"/>
      <c r="SA146" s="3"/>
      <c r="SB146" s="3"/>
      <c r="SC146" s="3"/>
      <c r="SD146" s="3"/>
      <c r="SE146" s="3"/>
      <c r="SF146" s="3"/>
      <c r="SG146" s="3"/>
      <c r="SH146" s="3"/>
      <c r="SI146" s="3"/>
      <c r="SJ146" s="3"/>
      <c r="SK146" s="3"/>
      <c r="SL146" s="3"/>
      <c r="SM146" s="3"/>
      <c r="SN146" s="3"/>
      <c r="SO146" s="3"/>
      <c r="SP146" s="3"/>
      <c r="SQ146" s="3"/>
      <c r="SR146" s="3"/>
      <c r="SS146" s="3"/>
      <c r="ST146" s="3"/>
      <c r="SU146" s="3"/>
      <c r="SV146" s="3"/>
      <c r="SW146" s="3"/>
      <c r="SX146" s="3"/>
      <c r="SY146" s="3"/>
      <c r="SZ146" s="3"/>
      <c r="TA146" s="3"/>
      <c r="TB146" s="3"/>
      <c r="TC146" s="3"/>
      <c r="TD146" s="3"/>
      <c r="TE146" s="3"/>
      <c r="TF146" s="3"/>
      <c r="TG146" s="3"/>
      <c r="TH146" s="3"/>
      <c r="TI146" s="3"/>
      <c r="TJ146" s="3"/>
      <c r="TK146" s="3"/>
      <c r="TL146" s="3"/>
      <c r="TM146" s="3"/>
      <c r="TN146" s="3"/>
      <c r="TO146" s="3"/>
      <c r="TP146" s="3"/>
      <c r="TQ146" s="3"/>
      <c r="TR146" s="3"/>
      <c r="TS146" s="3"/>
      <c r="TT146" s="3"/>
      <c r="TU146" s="3"/>
      <c r="TV146" s="3"/>
      <c r="TW146" s="3"/>
      <c r="TX146" s="3"/>
      <c r="TY146" s="3"/>
      <c r="TZ146" s="3"/>
      <c r="UA146" s="3"/>
      <c r="UB146" s="3"/>
      <c r="UC146" s="3"/>
      <c r="UD146" s="3"/>
      <c r="UE146" s="3"/>
      <c r="UF146" s="3"/>
      <c r="UG146" s="3"/>
      <c r="UH146" s="3"/>
      <c r="UI146" s="3"/>
      <c r="UJ146" s="3"/>
      <c r="UK146" s="3"/>
      <c r="UL146" s="3"/>
      <c r="UM146" s="3"/>
      <c r="UN146" s="3"/>
      <c r="UO146" s="3"/>
      <c r="UP146" s="3"/>
      <c r="UQ146" s="3"/>
      <c r="UR146" s="3"/>
      <c r="US146" s="3"/>
      <c r="UT146" s="3"/>
      <c r="UU146" s="3"/>
      <c r="UV146" s="3"/>
      <c r="UW146" s="3"/>
      <c r="UX146" s="3"/>
      <c r="UY146" s="3"/>
      <c r="UZ146" s="3"/>
      <c r="VA146" s="3"/>
      <c r="VB146" s="3"/>
      <c r="VC146" s="3"/>
      <c r="VD146" s="3"/>
      <c r="VE146" s="3"/>
      <c r="VF146" s="3"/>
      <c r="VG146" s="3"/>
      <c r="VH146" s="3"/>
      <c r="VI146" s="3"/>
      <c r="VJ146" s="3"/>
      <c r="VK146" s="3"/>
      <c r="VL146" s="3"/>
      <c r="VM146" s="3"/>
      <c r="VN146" s="3"/>
      <c r="VO146" s="3"/>
      <c r="VP146" s="3"/>
      <c r="VQ146" s="3"/>
      <c r="VR146" s="3"/>
      <c r="VS146" s="3"/>
      <c r="VT146" s="3"/>
      <c r="VU146" s="3"/>
      <c r="VV146" s="3"/>
      <c r="VW146" s="3"/>
      <c r="VX146" s="3"/>
      <c r="VY146" s="3"/>
      <c r="VZ146" s="3"/>
      <c r="WA146" s="3"/>
      <c r="WB146" s="3"/>
      <c r="WC146" s="3"/>
      <c r="WD146" s="3"/>
      <c r="WE146" s="3"/>
      <c r="WF146" s="3"/>
      <c r="WG146" s="3"/>
      <c r="WH146" s="3"/>
      <c r="WI146" s="3"/>
      <c r="WJ146" s="3"/>
      <c r="WK146" s="3"/>
      <c r="WL146" s="3"/>
      <c r="WM146" s="3"/>
      <c r="WN146" s="3"/>
      <c r="WO146" s="3"/>
      <c r="WP146" s="3"/>
      <c r="WQ146" s="3"/>
      <c r="WR146" s="3"/>
      <c r="WS146" s="3"/>
      <c r="WT146" s="3"/>
      <c r="WU146" s="3"/>
      <c r="WV146" s="3"/>
      <c r="WW146" s="3"/>
      <c r="WX146" s="3"/>
      <c r="WY146" s="3"/>
      <c r="WZ146" s="3"/>
      <c r="XA146" s="3"/>
      <c r="XB146" s="3"/>
      <c r="XC146" s="3"/>
      <c r="XD146" s="3"/>
      <c r="XE146" s="3"/>
      <c r="XF146" s="3"/>
      <c r="XG146" s="3"/>
      <c r="XH146" s="3"/>
      <c r="XI146" s="3"/>
      <c r="XJ146" s="3"/>
      <c r="XK146" s="3"/>
      <c r="XL146" s="3"/>
      <c r="XM146" s="3"/>
      <c r="XN146" s="3"/>
      <c r="XO146" s="3"/>
      <c r="XP146" s="3"/>
      <c r="XQ146" s="3"/>
      <c r="XR146" s="3"/>
      <c r="XS146" s="3"/>
      <c r="XT146" s="3"/>
      <c r="XU146" s="3"/>
      <c r="XV146" s="3"/>
      <c r="XW146" s="3"/>
      <c r="XX146" s="3"/>
      <c r="XY146" s="3"/>
      <c r="XZ146" s="3"/>
      <c r="YA146" s="3"/>
      <c r="YB146" s="3"/>
      <c r="YC146" s="3"/>
      <c r="YD146" s="3"/>
      <c r="YE146" s="3"/>
      <c r="YF146" s="3"/>
      <c r="YG146" s="3"/>
      <c r="YH146" s="3"/>
      <c r="YI146" s="3"/>
      <c r="YJ146" s="3"/>
      <c r="YK146" s="3"/>
      <c r="YL146" s="3"/>
      <c r="YM146" s="3"/>
      <c r="YN146" s="3"/>
      <c r="YO146" s="3"/>
      <c r="YP146" s="3"/>
      <c r="YQ146" s="3"/>
      <c r="YR146" s="3"/>
      <c r="YS146" s="3"/>
      <c r="YT146" s="3"/>
      <c r="YU146" s="3"/>
      <c r="YV146" s="3"/>
      <c r="YW146" s="3"/>
      <c r="YX146" s="3"/>
      <c r="YY146" s="3"/>
      <c r="YZ146" s="3"/>
      <c r="ZA146" s="3"/>
      <c r="ZB146" s="3"/>
      <c r="ZC146" s="3"/>
    </row>
    <row r="147" spans="1:679" s="2" customFormat="1" x14ac:dyDescent="0.45">
      <c r="A147" s="3" t="s">
        <v>11</v>
      </c>
      <c r="B147" s="4">
        <v>34669</v>
      </c>
      <c r="C147" s="7" t="s">
        <v>25</v>
      </c>
      <c r="D147" s="6" t="s">
        <v>162</v>
      </c>
      <c r="E147" s="3"/>
      <c r="F147" s="3">
        <v>5</v>
      </c>
      <c r="L147" s="3"/>
      <c r="M147" s="3"/>
      <c r="N147" s="48"/>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3"/>
      <c r="DI147" s="3"/>
      <c r="DJ147" s="3"/>
      <c r="DK147" s="3"/>
      <c r="DL147" s="3"/>
      <c r="DM147" s="3"/>
      <c r="DN147" s="3"/>
      <c r="DO147" s="3"/>
      <c r="DP147" s="3"/>
      <c r="DQ147" s="3"/>
      <c r="DR147" s="3"/>
      <c r="DS147" s="3"/>
      <c r="DT147" s="3"/>
      <c r="DU147" s="3"/>
      <c r="DV147" s="3"/>
      <c r="DW147" s="3"/>
      <c r="DX147" s="3"/>
      <c r="DY147" s="3"/>
      <c r="DZ147" s="3"/>
      <c r="EA147" s="3"/>
      <c r="EB147" s="3"/>
      <c r="EC147" s="3"/>
      <c r="ED147" s="3"/>
      <c r="EE147" s="3"/>
      <c r="EF147" s="3"/>
      <c r="EG147" s="3"/>
      <c r="EH147" s="3"/>
      <c r="EI147" s="3"/>
      <c r="EJ147" s="3"/>
      <c r="EK147" s="3"/>
      <c r="EL147" s="3"/>
      <c r="EM147" s="3"/>
      <c r="EN147" s="3"/>
      <c r="EO147" s="3"/>
      <c r="EP147" s="3"/>
      <c r="EQ147" s="3"/>
      <c r="ER147" s="3"/>
      <c r="ES147" s="3"/>
      <c r="ET147" s="3"/>
      <c r="EU147" s="3"/>
      <c r="EV147" s="3"/>
      <c r="EW147" s="3"/>
      <c r="EX147" s="3"/>
      <c r="EY147" s="3"/>
      <c r="EZ147" s="3"/>
      <c r="FA147" s="3"/>
      <c r="FB147" s="3"/>
      <c r="FC147" s="3"/>
      <c r="FD147" s="3"/>
      <c r="FE147" s="3"/>
      <c r="FF147" s="3"/>
      <c r="FG147" s="3"/>
      <c r="FH147" s="3"/>
      <c r="FI147" s="3"/>
      <c r="FJ147" s="3"/>
      <c r="FK147" s="3"/>
      <c r="FL147" s="3"/>
      <c r="FM147" s="3"/>
      <c r="FN147" s="3"/>
      <c r="FO147" s="3"/>
      <c r="FP147" s="3"/>
      <c r="FQ147" s="3"/>
      <c r="FR147" s="3"/>
      <c r="FS147" s="3"/>
      <c r="FT147" s="3"/>
      <c r="FU147" s="3"/>
      <c r="FV147" s="3"/>
      <c r="FW147" s="3"/>
      <c r="FX147" s="3"/>
      <c r="FY147" s="3"/>
      <c r="FZ147" s="3"/>
      <c r="GA147" s="3"/>
      <c r="GB147" s="3"/>
      <c r="GC147" s="3"/>
      <c r="GD147" s="3"/>
      <c r="GE147" s="3"/>
      <c r="GF147" s="3"/>
      <c r="GG147" s="3"/>
      <c r="GH147" s="3"/>
      <c r="GI147" s="3"/>
      <c r="GJ147" s="3"/>
      <c r="GK147" s="3"/>
      <c r="GL147" s="3"/>
      <c r="GM147" s="3"/>
      <c r="GN147" s="3"/>
      <c r="GO147" s="3"/>
      <c r="GP147" s="3"/>
      <c r="GQ147" s="3"/>
      <c r="GR147" s="3"/>
      <c r="GS147" s="3"/>
      <c r="GT147" s="3"/>
      <c r="GU147" s="3"/>
      <c r="GV147" s="3"/>
      <c r="GW147" s="3"/>
      <c r="GX147" s="3"/>
      <c r="GY147" s="3"/>
      <c r="GZ147" s="3"/>
      <c r="HA147" s="3"/>
      <c r="HB147" s="3"/>
      <c r="HC147" s="3"/>
      <c r="HD147" s="3"/>
      <c r="HE147" s="3"/>
      <c r="HF147" s="3"/>
      <c r="HG147" s="3"/>
      <c r="HH147" s="3"/>
      <c r="HI147" s="3"/>
      <c r="HJ147" s="3"/>
      <c r="HK147" s="3"/>
      <c r="HL147" s="3"/>
      <c r="HM147" s="3"/>
      <c r="HN147" s="3"/>
      <c r="HO147" s="3"/>
      <c r="HP147" s="3"/>
      <c r="HQ147" s="3"/>
      <c r="HR147" s="3"/>
      <c r="HS147" s="3"/>
      <c r="HT147" s="3"/>
      <c r="HU147" s="3"/>
      <c r="HV147" s="3"/>
      <c r="HW147" s="3"/>
      <c r="HX147" s="3"/>
      <c r="HY147" s="3"/>
      <c r="HZ147" s="3"/>
      <c r="IA147" s="3"/>
      <c r="IB147" s="3"/>
      <c r="IC147" s="3"/>
      <c r="ID147" s="3"/>
      <c r="IE147" s="3"/>
      <c r="IF147" s="3"/>
      <c r="IG147" s="3"/>
      <c r="IH147" s="3"/>
      <c r="II147" s="3"/>
      <c r="IJ147" s="3"/>
      <c r="IK147" s="3"/>
      <c r="IL147" s="3"/>
      <c r="IM147" s="3"/>
      <c r="IN147" s="3"/>
      <c r="IO147" s="3"/>
      <c r="IP147" s="3"/>
      <c r="IQ147" s="3"/>
      <c r="IR147" s="3"/>
      <c r="IS147" s="3"/>
      <c r="IT147" s="3"/>
      <c r="IU147" s="3"/>
      <c r="IV147" s="3"/>
      <c r="IW147" s="3"/>
      <c r="IX147" s="3"/>
      <c r="IY147" s="3"/>
      <c r="IZ147" s="3"/>
      <c r="JA147" s="3"/>
      <c r="JB147" s="3"/>
      <c r="JC147" s="3"/>
      <c r="JD147" s="3"/>
      <c r="JE147" s="3"/>
      <c r="JF147" s="3"/>
      <c r="JG147" s="3"/>
      <c r="JH147" s="3"/>
      <c r="JI147" s="3"/>
      <c r="JJ147" s="3"/>
      <c r="JK147" s="3"/>
      <c r="JL147" s="3"/>
      <c r="JM147" s="3"/>
      <c r="JN147" s="3"/>
      <c r="JO147" s="3"/>
      <c r="JP147" s="3"/>
      <c r="JQ147" s="3"/>
      <c r="JR147" s="3"/>
      <c r="JS147" s="3"/>
      <c r="JT147" s="3"/>
      <c r="JU147" s="3"/>
      <c r="JV147" s="3"/>
      <c r="JW147" s="3"/>
      <c r="JX147" s="3"/>
      <c r="JY147" s="3"/>
      <c r="JZ147" s="3"/>
      <c r="KA147" s="3"/>
      <c r="KB147" s="3"/>
      <c r="KC147" s="3"/>
      <c r="KD147" s="3"/>
      <c r="KE147" s="3"/>
      <c r="KF147" s="3"/>
      <c r="KG147" s="3"/>
      <c r="KH147" s="3"/>
      <c r="KI147" s="3"/>
      <c r="KJ147" s="3"/>
      <c r="KK147" s="3"/>
      <c r="KL147" s="3"/>
      <c r="KM147" s="3"/>
      <c r="KN147" s="3"/>
      <c r="KO147" s="3"/>
      <c r="KP147" s="3"/>
      <c r="KQ147" s="3"/>
      <c r="KR147" s="3"/>
      <c r="KS147" s="3"/>
      <c r="KT147" s="3"/>
      <c r="KU147" s="3"/>
      <c r="KV147" s="3"/>
      <c r="KW147" s="3"/>
      <c r="KX147" s="3"/>
      <c r="KY147" s="3"/>
      <c r="KZ147" s="3"/>
      <c r="LA147" s="3"/>
      <c r="LB147" s="3"/>
      <c r="LC147" s="3"/>
      <c r="LD147" s="3"/>
      <c r="LE147" s="3"/>
      <c r="LF147" s="3"/>
      <c r="LG147" s="3"/>
      <c r="LH147" s="3"/>
      <c r="LI147" s="3"/>
      <c r="LJ147" s="3"/>
      <c r="LK147" s="3"/>
      <c r="LL147" s="3"/>
      <c r="LM147" s="3"/>
      <c r="LN147" s="3"/>
      <c r="LO147" s="3"/>
      <c r="LP147" s="3"/>
      <c r="LQ147" s="3"/>
      <c r="LR147" s="3"/>
      <c r="LS147" s="3"/>
      <c r="LT147" s="3"/>
      <c r="LU147" s="3"/>
      <c r="LV147" s="3"/>
      <c r="LW147" s="3"/>
      <c r="LX147" s="3"/>
      <c r="LY147" s="3"/>
      <c r="LZ147" s="3"/>
      <c r="MA147" s="3"/>
      <c r="MB147" s="3"/>
      <c r="MC147" s="3"/>
      <c r="MD147" s="3"/>
      <c r="ME147" s="3"/>
      <c r="MF147" s="3"/>
      <c r="MG147" s="3"/>
      <c r="MH147" s="3"/>
      <c r="MI147" s="3"/>
      <c r="MJ147" s="3"/>
      <c r="MK147" s="3"/>
      <c r="ML147" s="3"/>
      <c r="MM147" s="3"/>
      <c r="MN147" s="3"/>
      <c r="MO147" s="3"/>
      <c r="MP147" s="3"/>
      <c r="MQ147" s="3"/>
      <c r="MR147" s="3"/>
      <c r="MS147" s="3"/>
      <c r="MT147" s="3"/>
      <c r="MU147" s="3"/>
      <c r="MV147" s="3"/>
      <c r="MW147" s="3"/>
      <c r="MX147" s="3"/>
      <c r="MY147" s="3"/>
      <c r="MZ147" s="3"/>
      <c r="NA147" s="3"/>
      <c r="NB147" s="3"/>
      <c r="NC147" s="3"/>
      <c r="ND147" s="3"/>
      <c r="NE147" s="3"/>
      <c r="NF147" s="3"/>
      <c r="NG147" s="3"/>
      <c r="NH147" s="3"/>
      <c r="NI147" s="3"/>
      <c r="NJ147" s="3"/>
      <c r="NK147" s="3"/>
      <c r="NL147" s="3"/>
      <c r="NM147" s="3"/>
      <c r="NN147" s="3"/>
      <c r="NO147" s="3"/>
      <c r="NP147" s="3"/>
      <c r="NQ147" s="3"/>
      <c r="NR147" s="3"/>
      <c r="NS147" s="3"/>
      <c r="NT147" s="3"/>
      <c r="NU147" s="3"/>
      <c r="NV147" s="3"/>
      <c r="NW147" s="3"/>
      <c r="NX147" s="3"/>
      <c r="NY147" s="3"/>
      <c r="NZ147" s="3"/>
      <c r="OA147" s="3"/>
      <c r="OB147" s="3"/>
      <c r="OC147" s="3"/>
      <c r="OD147" s="3"/>
      <c r="OE147" s="3"/>
      <c r="OF147" s="3"/>
      <c r="OG147" s="3"/>
      <c r="OH147" s="3"/>
      <c r="OI147" s="3"/>
      <c r="OJ147" s="3"/>
      <c r="OK147" s="3"/>
      <c r="OL147" s="3"/>
      <c r="OM147" s="3"/>
      <c r="ON147" s="3"/>
      <c r="OO147" s="3"/>
      <c r="OP147" s="3"/>
      <c r="OQ147" s="3"/>
      <c r="OR147" s="3"/>
      <c r="OS147" s="3"/>
      <c r="OT147" s="3"/>
      <c r="OU147" s="3"/>
      <c r="OV147" s="3"/>
      <c r="OW147" s="3"/>
      <c r="OX147" s="3"/>
      <c r="OY147" s="3"/>
      <c r="OZ147" s="3"/>
      <c r="PA147" s="3"/>
      <c r="PB147" s="3"/>
      <c r="PC147" s="3"/>
      <c r="PD147" s="3"/>
      <c r="PE147" s="3"/>
      <c r="PF147" s="3"/>
      <c r="PG147" s="3"/>
      <c r="PH147" s="3"/>
      <c r="PI147" s="3"/>
      <c r="PJ147" s="3"/>
      <c r="PK147" s="3"/>
      <c r="PL147" s="3"/>
      <c r="PM147" s="3"/>
      <c r="PN147" s="3"/>
      <c r="PO147" s="3"/>
      <c r="PP147" s="3"/>
      <c r="PQ147" s="3"/>
      <c r="PR147" s="3"/>
      <c r="PS147" s="3"/>
      <c r="PT147" s="3"/>
      <c r="PU147" s="3"/>
      <c r="PV147" s="3"/>
      <c r="PW147" s="3"/>
      <c r="PX147" s="3"/>
      <c r="PY147" s="3"/>
      <c r="PZ147" s="3"/>
      <c r="QA147" s="3"/>
      <c r="QB147" s="3"/>
      <c r="QC147" s="3"/>
      <c r="QD147" s="3"/>
      <c r="QE147" s="3"/>
      <c r="QF147" s="3"/>
      <c r="QG147" s="3"/>
      <c r="QH147" s="3"/>
      <c r="QI147" s="3"/>
      <c r="QJ147" s="3"/>
      <c r="QK147" s="3"/>
      <c r="QL147" s="3"/>
      <c r="QM147" s="3"/>
      <c r="QN147" s="3"/>
      <c r="QO147" s="3"/>
      <c r="QP147" s="3"/>
      <c r="QQ147" s="3"/>
      <c r="QR147" s="3"/>
      <c r="QS147" s="3"/>
      <c r="QT147" s="3"/>
      <c r="QU147" s="3"/>
      <c r="QV147" s="3"/>
      <c r="QW147" s="3"/>
      <c r="QX147" s="3"/>
      <c r="QY147" s="3"/>
      <c r="QZ147" s="3"/>
      <c r="RA147" s="3"/>
      <c r="RB147" s="3"/>
      <c r="RC147" s="3"/>
      <c r="RD147" s="3"/>
      <c r="RE147" s="3"/>
      <c r="RF147" s="3"/>
      <c r="RG147" s="3"/>
      <c r="RH147" s="3"/>
      <c r="RI147" s="3"/>
      <c r="RJ147" s="3"/>
      <c r="RK147" s="3"/>
      <c r="RL147" s="3"/>
      <c r="RM147" s="3"/>
      <c r="RN147" s="3"/>
      <c r="RO147" s="3"/>
      <c r="RP147" s="3"/>
      <c r="RQ147" s="3"/>
      <c r="RR147" s="3"/>
      <c r="RS147" s="3"/>
      <c r="RT147" s="3"/>
      <c r="RU147" s="3"/>
      <c r="RV147" s="3"/>
      <c r="RW147" s="3"/>
      <c r="RX147" s="3"/>
      <c r="RY147" s="3"/>
      <c r="RZ147" s="3"/>
      <c r="SA147" s="3"/>
      <c r="SB147" s="3"/>
      <c r="SC147" s="3"/>
      <c r="SD147" s="3"/>
      <c r="SE147" s="3"/>
      <c r="SF147" s="3"/>
      <c r="SG147" s="3"/>
      <c r="SH147" s="3"/>
      <c r="SI147" s="3"/>
      <c r="SJ147" s="3"/>
      <c r="SK147" s="3"/>
      <c r="SL147" s="3"/>
      <c r="SM147" s="3"/>
      <c r="SN147" s="3"/>
      <c r="SO147" s="3"/>
      <c r="SP147" s="3"/>
      <c r="SQ147" s="3"/>
      <c r="SR147" s="3"/>
      <c r="SS147" s="3"/>
      <c r="ST147" s="3"/>
      <c r="SU147" s="3"/>
      <c r="SV147" s="3"/>
      <c r="SW147" s="3"/>
      <c r="SX147" s="3"/>
      <c r="SY147" s="3"/>
      <c r="SZ147" s="3"/>
      <c r="TA147" s="3"/>
      <c r="TB147" s="3"/>
      <c r="TC147" s="3"/>
      <c r="TD147" s="3"/>
      <c r="TE147" s="3"/>
      <c r="TF147" s="3"/>
      <c r="TG147" s="3"/>
      <c r="TH147" s="3"/>
      <c r="TI147" s="3"/>
      <c r="TJ147" s="3"/>
      <c r="TK147" s="3"/>
      <c r="TL147" s="3"/>
      <c r="TM147" s="3"/>
      <c r="TN147" s="3"/>
      <c r="TO147" s="3"/>
      <c r="TP147" s="3"/>
      <c r="TQ147" s="3"/>
      <c r="TR147" s="3"/>
      <c r="TS147" s="3"/>
      <c r="TT147" s="3"/>
      <c r="TU147" s="3"/>
      <c r="TV147" s="3"/>
      <c r="TW147" s="3"/>
      <c r="TX147" s="3"/>
      <c r="TY147" s="3"/>
      <c r="TZ147" s="3"/>
      <c r="UA147" s="3"/>
      <c r="UB147" s="3"/>
      <c r="UC147" s="3"/>
      <c r="UD147" s="3"/>
      <c r="UE147" s="3"/>
      <c r="UF147" s="3"/>
      <c r="UG147" s="3"/>
      <c r="UH147" s="3"/>
      <c r="UI147" s="3"/>
      <c r="UJ147" s="3"/>
      <c r="UK147" s="3"/>
      <c r="UL147" s="3"/>
      <c r="UM147" s="3"/>
      <c r="UN147" s="3"/>
      <c r="UO147" s="3"/>
      <c r="UP147" s="3"/>
      <c r="UQ147" s="3"/>
      <c r="UR147" s="3"/>
      <c r="US147" s="3"/>
      <c r="UT147" s="3"/>
      <c r="UU147" s="3"/>
      <c r="UV147" s="3"/>
      <c r="UW147" s="3"/>
      <c r="UX147" s="3"/>
      <c r="UY147" s="3"/>
      <c r="UZ147" s="3"/>
      <c r="VA147" s="3"/>
      <c r="VB147" s="3"/>
      <c r="VC147" s="3"/>
      <c r="VD147" s="3"/>
      <c r="VE147" s="3"/>
      <c r="VF147" s="3"/>
      <c r="VG147" s="3"/>
      <c r="VH147" s="3"/>
      <c r="VI147" s="3"/>
      <c r="VJ147" s="3"/>
      <c r="VK147" s="3"/>
      <c r="VL147" s="3"/>
      <c r="VM147" s="3"/>
      <c r="VN147" s="3"/>
      <c r="VO147" s="3"/>
      <c r="VP147" s="3"/>
      <c r="VQ147" s="3"/>
      <c r="VR147" s="3"/>
      <c r="VS147" s="3"/>
      <c r="VT147" s="3"/>
      <c r="VU147" s="3"/>
      <c r="VV147" s="3"/>
      <c r="VW147" s="3"/>
      <c r="VX147" s="3"/>
      <c r="VY147" s="3"/>
      <c r="VZ147" s="3"/>
      <c r="WA147" s="3"/>
      <c r="WB147" s="3"/>
      <c r="WC147" s="3"/>
      <c r="WD147" s="3"/>
      <c r="WE147" s="3"/>
      <c r="WF147" s="3"/>
      <c r="WG147" s="3"/>
      <c r="WH147" s="3"/>
      <c r="WI147" s="3"/>
      <c r="WJ147" s="3"/>
      <c r="WK147" s="3"/>
      <c r="WL147" s="3"/>
      <c r="WM147" s="3"/>
      <c r="WN147" s="3"/>
      <c r="WO147" s="3"/>
      <c r="WP147" s="3"/>
      <c r="WQ147" s="3"/>
      <c r="WR147" s="3"/>
      <c r="WS147" s="3"/>
      <c r="WT147" s="3"/>
      <c r="WU147" s="3"/>
      <c r="WV147" s="3"/>
      <c r="WW147" s="3"/>
      <c r="WX147" s="3"/>
      <c r="WY147" s="3"/>
      <c r="WZ147" s="3"/>
      <c r="XA147" s="3"/>
      <c r="XB147" s="3"/>
      <c r="XC147" s="3"/>
      <c r="XD147" s="3"/>
      <c r="XE147" s="3"/>
      <c r="XF147" s="3"/>
      <c r="XG147" s="3"/>
      <c r="XH147" s="3"/>
      <c r="XI147" s="3"/>
      <c r="XJ147" s="3"/>
      <c r="XK147" s="3"/>
      <c r="XL147" s="3"/>
      <c r="XM147" s="3"/>
      <c r="XN147" s="3"/>
      <c r="XO147" s="3"/>
      <c r="XP147" s="3"/>
      <c r="XQ147" s="3"/>
      <c r="XR147" s="3"/>
      <c r="XS147" s="3"/>
      <c r="XT147" s="3"/>
      <c r="XU147" s="3"/>
      <c r="XV147" s="3"/>
      <c r="XW147" s="3"/>
      <c r="XX147" s="3"/>
      <c r="XY147" s="3"/>
      <c r="XZ147" s="3"/>
      <c r="YA147" s="3"/>
      <c r="YB147" s="3"/>
      <c r="YC147" s="3"/>
      <c r="YD147" s="3"/>
      <c r="YE147" s="3"/>
      <c r="YF147" s="3"/>
      <c r="YG147" s="3"/>
      <c r="YH147" s="3"/>
      <c r="YI147" s="3"/>
      <c r="YJ147" s="3"/>
      <c r="YK147" s="3"/>
      <c r="YL147" s="3"/>
      <c r="YM147" s="3"/>
      <c r="YN147" s="3"/>
      <c r="YO147" s="3"/>
      <c r="YP147" s="3"/>
      <c r="YQ147" s="3"/>
      <c r="YR147" s="3"/>
      <c r="YS147" s="3"/>
      <c r="YT147" s="3"/>
      <c r="YU147" s="3"/>
      <c r="YV147" s="3"/>
      <c r="YW147" s="3"/>
      <c r="YX147" s="3"/>
      <c r="YY147" s="3"/>
      <c r="YZ147" s="3"/>
      <c r="ZA147" s="3"/>
      <c r="ZB147" s="3"/>
      <c r="ZC147" s="3"/>
    </row>
    <row r="148" spans="1:679" s="2" customFormat="1" x14ac:dyDescent="0.45">
      <c r="A148" s="3" t="s">
        <v>11</v>
      </c>
      <c r="B148" s="4">
        <v>34677</v>
      </c>
      <c r="C148" s="7" t="s">
        <v>25</v>
      </c>
      <c r="D148" s="6" t="s">
        <v>163</v>
      </c>
      <c r="E148" s="3"/>
      <c r="F148" s="3">
        <v>13</v>
      </c>
      <c r="L148" s="3"/>
      <c r="M148" s="3"/>
      <c r="N148" s="48"/>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c r="DI148" s="3"/>
      <c r="DJ148" s="3"/>
      <c r="DK148" s="3"/>
      <c r="DL148" s="3"/>
      <c r="DM148" s="3"/>
      <c r="DN148" s="3"/>
      <c r="DO148" s="3"/>
      <c r="DP148" s="3"/>
      <c r="DQ148" s="3"/>
      <c r="DR148" s="3"/>
      <c r="DS148" s="3"/>
      <c r="DT148" s="3"/>
      <c r="DU148" s="3"/>
      <c r="DV148" s="3"/>
      <c r="DW148" s="3"/>
      <c r="DX148" s="3"/>
      <c r="DY148" s="3"/>
      <c r="DZ148" s="3"/>
      <c r="EA148" s="3"/>
      <c r="EB148" s="3"/>
      <c r="EC148" s="3"/>
      <c r="ED148" s="3"/>
      <c r="EE148" s="3"/>
      <c r="EF148" s="3"/>
      <c r="EG148" s="3"/>
      <c r="EH148" s="3"/>
      <c r="EI148" s="3"/>
      <c r="EJ148" s="3"/>
      <c r="EK148" s="3"/>
      <c r="EL148" s="3"/>
      <c r="EM148" s="3"/>
      <c r="EN148" s="3"/>
      <c r="EO148" s="3"/>
      <c r="EP148" s="3"/>
      <c r="EQ148" s="3"/>
      <c r="ER148" s="3"/>
      <c r="ES148" s="3"/>
      <c r="ET148" s="3"/>
      <c r="EU148" s="3"/>
      <c r="EV148" s="3"/>
      <c r="EW148" s="3"/>
      <c r="EX148" s="3"/>
      <c r="EY148" s="3"/>
      <c r="EZ148" s="3"/>
      <c r="FA148" s="3"/>
      <c r="FB148" s="3"/>
      <c r="FC148" s="3"/>
      <c r="FD148" s="3"/>
      <c r="FE148" s="3"/>
      <c r="FF148" s="3"/>
      <c r="FG148" s="3"/>
      <c r="FH148" s="3"/>
      <c r="FI148" s="3"/>
      <c r="FJ148" s="3"/>
      <c r="FK148" s="3"/>
      <c r="FL148" s="3"/>
      <c r="FM148" s="3"/>
      <c r="FN148" s="3"/>
      <c r="FO148" s="3"/>
      <c r="FP148" s="3"/>
      <c r="FQ148" s="3"/>
      <c r="FR148" s="3"/>
      <c r="FS148" s="3"/>
      <c r="FT148" s="3"/>
      <c r="FU148" s="3"/>
      <c r="FV148" s="3"/>
      <c r="FW148" s="3"/>
      <c r="FX148" s="3"/>
      <c r="FY148" s="3"/>
      <c r="FZ148" s="3"/>
      <c r="GA148" s="3"/>
      <c r="GB148" s="3"/>
      <c r="GC148" s="3"/>
      <c r="GD148" s="3"/>
      <c r="GE148" s="3"/>
      <c r="GF148" s="3"/>
      <c r="GG148" s="3"/>
      <c r="GH148" s="3"/>
      <c r="GI148" s="3"/>
      <c r="GJ148" s="3"/>
      <c r="GK148" s="3"/>
      <c r="GL148" s="3"/>
      <c r="GM148" s="3"/>
      <c r="GN148" s="3"/>
      <c r="GO148" s="3"/>
      <c r="GP148" s="3"/>
      <c r="GQ148" s="3"/>
      <c r="GR148" s="3"/>
      <c r="GS148" s="3"/>
      <c r="GT148" s="3"/>
      <c r="GU148" s="3"/>
      <c r="GV148" s="3"/>
      <c r="GW148" s="3"/>
      <c r="GX148" s="3"/>
      <c r="GY148" s="3"/>
      <c r="GZ148" s="3"/>
      <c r="HA148" s="3"/>
      <c r="HB148" s="3"/>
      <c r="HC148" s="3"/>
      <c r="HD148" s="3"/>
      <c r="HE148" s="3"/>
      <c r="HF148" s="3"/>
      <c r="HG148" s="3"/>
      <c r="HH148" s="3"/>
      <c r="HI148" s="3"/>
      <c r="HJ148" s="3"/>
      <c r="HK148" s="3"/>
      <c r="HL148" s="3"/>
      <c r="HM148" s="3"/>
      <c r="HN148" s="3"/>
      <c r="HO148" s="3"/>
      <c r="HP148" s="3"/>
      <c r="HQ148" s="3"/>
      <c r="HR148" s="3"/>
      <c r="HS148" s="3"/>
      <c r="HT148" s="3"/>
      <c r="HU148" s="3"/>
      <c r="HV148" s="3"/>
      <c r="HW148" s="3"/>
      <c r="HX148" s="3"/>
      <c r="HY148" s="3"/>
      <c r="HZ148" s="3"/>
      <c r="IA148" s="3"/>
      <c r="IB148" s="3"/>
      <c r="IC148" s="3"/>
      <c r="ID148" s="3"/>
      <c r="IE148" s="3"/>
      <c r="IF148" s="3"/>
      <c r="IG148" s="3"/>
      <c r="IH148" s="3"/>
      <c r="II148" s="3"/>
      <c r="IJ148" s="3"/>
      <c r="IK148" s="3"/>
      <c r="IL148" s="3"/>
      <c r="IM148" s="3"/>
      <c r="IN148" s="3"/>
      <c r="IO148" s="3"/>
      <c r="IP148" s="3"/>
      <c r="IQ148" s="3"/>
      <c r="IR148" s="3"/>
      <c r="IS148" s="3"/>
      <c r="IT148" s="3"/>
      <c r="IU148" s="3"/>
      <c r="IV148" s="3"/>
      <c r="IW148" s="3"/>
      <c r="IX148" s="3"/>
      <c r="IY148" s="3"/>
      <c r="IZ148" s="3"/>
      <c r="JA148" s="3"/>
      <c r="JB148" s="3"/>
      <c r="JC148" s="3"/>
      <c r="JD148" s="3"/>
      <c r="JE148" s="3"/>
      <c r="JF148" s="3"/>
      <c r="JG148" s="3"/>
      <c r="JH148" s="3"/>
      <c r="JI148" s="3"/>
      <c r="JJ148" s="3"/>
      <c r="JK148" s="3"/>
      <c r="JL148" s="3"/>
      <c r="JM148" s="3"/>
      <c r="JN148" s="3"/>
      <c r="JO148" s="3"/>
      <c r="JP148" s="3"/>
      <c r="JQ148" s="3"/>
      <c r="JR148" s="3"/>
      <c r="JS148" s="3"/>
      <c r="JT148" s="3"/>
      <c r="JU148" s="3"/>
      <c r="JV148" s="3"/>
      <c r="JW148" s="3"/>
      <c r="JX148" s="3"/>
      <c r="JY148" s="3"/>
      <c r="JZ148" s="3"/>
      <c r="KA148" s="3"/>
      <c r="KB148" s="3"/>
      <c r="KC148" s="3"/>
      <c r="KD148" s="3"/>
      <c r="KE148" s="3"/>
      <c r="KF148" s="3"/>
      <c r="KG148" s="3"/>
      <c r="KH148" s="3"/>
      <c r="KI148" s="3"/>
      <c r="KJ148" s="3"/>
      <c r="KK148" s="3"/>
      <c r="KL148" s="3"/>
      <c r="KM148" s="3"/>
      <c r="KN148" s="3"/>
      <c r="KO148" s="3"/>
      <c r="KP148" s="3"/>
      <c r="KQ148" s="3"/>
      <c r="KR148" s="3"/>
      <c r="KS148" s="3"/>
      <c r="KT148" s="3"/>
      <c r="KU148" s="3"/>
      <c r="KV148" s="3"/>
      <c r="KW148" s="3"/>
      <c r="KX148" s="3"/>
      <c r="KY148" s="3"/>
      <c r="KZ148" s="3"/>
      <c r="LA148" s="3"/>
      <c r="LB148" s="3"/>
      <c r="LC148" s="3"/>
      <c r="LD148" s="3"/>
      <c r="LE148" s="3"/>
      <c r="LF148" s="3"/>
      <c r="LG148" s="3"/>
      <c r="LH148" s="3"/>
      <c r="LI148" s="3"/>
      <c r="LJ148" s="3"/>
      <c r="LK148" s="3"/>
      <c r="LL148" s="3"/>
      <c r="LM148" s="3"/>
      <c r="LN148" s="3"/>
      <c r="LO148" s="3"/>
      <c r="LP148" s="3"/>
      <c r="LQ148" s="3"/>
      <c r="LR148" s="3"/>
      <c r="LS148" s="3"/>
      <c r="LT148" s="3"/>
      <c r="LU148" s="3"/>
      <c r="LV148" s="3"/>
      <c r="LW148" s="3"/>
      <c r="LX148" s="3"/>
      <c r="LY148" s="3"/>
      <c r="LZ148" s="3"/>
      <c r="MA148" s="3"/>
      <c r="MB148" s="3"/>
      <c r="MC148" s="3"/>
      <c r="MD148" s="3"/>
      <c r="ME148" s="3"/>
      <c r="MF148" s="3"/>
      <c r="MG148" s="3"/>
      <c r="MH148" s="3"/>
      <c r="MI148" s="3"/>
      <c r="MJ148" s="3"/>
      <c r="MK148" s="3"/>
      <c r="ML148" s="3"/>
      <c r="MM148" s="3"/>
      <c r="MN148" s="3"/>
      <c r="MO148" s="3"/>
      <c r="MP148" s="3"/>
      <c r="MQ148" s="3"/>
      <c r="MR148" s="3"/>
      <c r="MS148" s="3"/>
      <c r="MT148" s="3"/>
      <c r="MU148" s="3"/>
      <c r="MV148" s="3"/>
      <c r="MW148" s="3"/>
      <c r="MX148" s="3"/>
      <c r="MY148" s="3"/>
      <c r="MZ148" s="3"/>
      <c r="NA148" s="3"/>
      <c r="NB148" s="3"/>
      <c r="NC148" s="3"/>
      <c r="ND148" s="3"/>
      <c r="NE148" s="3"/>
      <c r="NF148" s="3"/>
      <c r="NG148" s="3"/>
      <c r="NH148" s="3"/>
      <c r="NI148" s="3"/>
      <c r="NJ148" s="3"/>
      <c r="NK148" s="3"/>
      <c r="NL148" s="3"/>
      <c r="NM148" s="3"/>
      <c r="NN148" s="3"/>
      <c r="NO148" s="3"/>
      <c r="NP148" s="3"/>
      <c r="NQ148" s="3"/>
      <c r="NR148" s="3"/>
      <c r="NS148" s="3"/>
      <c r="NT148" s="3"/>
      <c r="NU148" s="3"/>
      <c r="NV148" s="3"/>
      <c r="NW148" s="3"/>
      <c r="NX148" s="3"/>
      <c r="NY148" s="3"/>
      <c r="NZ148" s="3"/>
      <c r="OA148" s="3"/>
      <c r="OB148" s="3"/>
      <c r="OC148" s="3"/>
      <c r="OD148" s="3"/>
      <c r="OE148" s="3"/>
      <c r="OF148" s="3"/>
      <c r="OG148" s="3"/>
      <c r="OH148" s="3"/>
      <c r="OI148" s="3"/>
      <c r="OJ148" s="3"/>
      <c r="OK148" s="3"/>
      <c r="OL148" s="3"/>
      <c r="OM148" s="3"/>
      <c r="ON148" s="3"/>
      <c r="OO148" s="3"/>
      <c r="OP148" s="3"/>
      <c r="OQ148" s="3"/>
      <c r="OR148" s="3"/>
      <c r="OS148" s="3"/>
      <c r="OT148" s="3"/>
      <c r="OU148" s="3"/>
      <c r="OV148" s="3"/>
      <c r="OW148" s="3"/>
      <c r="OX148" s="3"/>
      <c r="OY148" s="3"/>
      <c r="OZ148" s="3"/>
      <c r="PA148" s="3"/>
      <c r="PB148" s="3"/>
      <c r="PC148" s="3"/>
      <c r="PD148" s="3"/>
      <c r="PE148" s="3"/>
      <c r="PF148" s="3"/>
      <c r="PG148" s="3"/>
      <c r="PH148" s="3"/>
      <c r="PI148" s="3"/>
      <c r="PJ148" s="3"/>
      <c r="PK148" s="3"/>
      <c r="PL148" s="3"/>
      <c r="PM148" s="3"/>
      <c r="PN148" s="3"/>
      <c r="PO148" s="3"/>
      <c r="PP148" s="3"/>
      <c r="PQ148" s="3"/>
      <c r="PR148" s="3"/>
      <c r="PS148" s="3"/>
      <c r="PT148" s="3"/>
      <c r="PU148" s="3"/>
      <c r="PV148" s="3"/>
      <c r="PW148" s="3"/>
      <c r="PX148" s="3"/>
      <c r="PY148" s="3"/>
      <c r="PZ148" s="3"/>
      <c r="QA148" s="3"/>
      <c r="QB148" s="3"/>
      <c r="QC148" s="3"/>
      <c r="QD148" s="3"/>
      <c r="QE148" s="3"/>
      <c r="QF148" s="3"/>
      <c r="QG148" s="3"/>
      <c r="QH148" s="3"/>
      <c r="QI148" s="3"/>
      <c r="QJ148" s="3"/>
      <c r="QK148" s="3"/>
      <c r="QL148" s="3"/>
      <c r="QM148" s="3"/>
      <c r="QN148" s="3"/>
      <c r="QO148" s="3"/>
      <c r="QP148" s="3"/>
      <c r="QQ148" s="3"/>
      <c r="QR148" s="3"/>
      <c r="QS148" s="3"/>
      <c r="QT148" s="3"/>
      <c r="QU148" s="3"/>
      <c r="QV148" s="3"/>
      <c r="QW148" s="3"/>
      <c r="QX148" s="3"/>
      <c r="QY148" s="3"/>
      <c r="QZ148" s="3"/>
      <c r="RA148" s="3"/>
      <c r="RB148" s="3"/>
      <c r="RC148" s="3"/>
      <c r="RD148" s="3"/>
      <c r="RE148" s="3"/>
      <c r="RF148" s="3"/>
      <c r="RG148" s="3"/>
      <c r="RH148" s="3"/>
      <c r="RI148" s="3"/>
      <c r="RJ148" s="3"/>
      <c r="RK148" s="3"/>
      <c r="RL148" s="3"/>
      <c r="RM148" s="3"/>
      <c r="RN148" s="3"/>
      <c r="RO148" s="3"/>
      <c r="RP148" s="3"/>
      <c r="RQ148" s="3"/>
      <c r="RR148" s="3"/>
      <c r="RS148" s="3"/>
      <c r="RT148" s="3"/>
      <c r="RU148" s="3"/>
      <c r="RV148" s="3"/>
      <c r="RW148" s="3"/>
      <c r="RX148" s="3"/>
      <c r="RY148" s="3"/>
      <c r="RZ148" s="3"/>
      <c r="SA148" s="3"/>
      <c r="SB148" s="3"/>
      <c r="SC148" s="3"/>
      <c r="SD148" s="3"/>
      <c r="SE148" s="3"/>
      <c r="SF148" s="3"/>
      <c r="SG148" s="3"/>
      <c r="SH148" s="3"/>
      <c r="SI148" s="3"/>
      <c r="SJ148" s="3"/>
      <c r="SK148" s="3"/>
      <c r="SL148" s="3"/>
      <c r="SM148" s="3"/>
      <c r="SN148" s="3"/>
      <c r="SO148" s="3"/>
      <c r="SP148" s="3"/>
      <c r="SQ148" s="3"/>
      <c r="SR148" s="3"/>
      <c r="SS148" s="3"/>
      <c r="ST148" s="3"/>
      <c r="SU148" s="3"/>
      <c r="SV148" s="3"/>
      <c r="SW148" s="3"/>
      <c r="SX148" s="3"/>
      <c r="SY148" s="3"/>
      <c r="SZ148" s="3"/>
      <c r="TA148" s="3"/>
      <c r="TB148" s="3"/>
      <c r="TC148" s="3"/>
      <c r="TD148" s="3"/>
      <c r="TE148" s="3"/>
      <c r="TF148" s="3"/>
      <c r="TG148" s="3"/>
      <c r="TH148" s="3"/>
      <c r="TI148" s="3"/>
      <c r="TJ148" s="3"/>
      <c r="TK148" s="3"/>
      <c r="TL148" s="3"/>
      <c r="TM148" s="3"/>
      <c r="TN148" s="3"/>
      <c r="TO148" s="3"/>
      <c r="TP148" s="3"/>
      <c r="TQ148" s="3"/>
      <c r="TR148" s="3"/>
      <c r="TS148" s="3"/>
      <c r="TT148" s="3"/>
      <c r="TU148" s="3"/>
      <c r="TV148" s="3"/>
      <c r="TW148" s="3"/>
      <c r="TX148" s="3"/>
      <c r="TY148" s="3"/>
      <c r="TZ148" s="3"/>
      <c r="UA148" s="3"/>
      <c r="UB148" s="3"/>
      <c r="UC148" s="3"/>
      <c r="UD148" s="3"/>
      <c r="UE148" s="3"/>
      <c r="UF148" s="3"/>
      <c r="UG148" s="3"/>
      <c r="UH148" s="3"/>
      <c r="UI148" s="3"/>
      <c r="UJ148" s="3"/>
      <c r="UK148" s="3"/>
      <c r="UL148" s="3"/>
      <c r="UM148" s="3"/>
      <c r="UN148" s="3"/>
      <c r="UO148" s="3"/>
      <c r="UP148" s="3"/>
      <c r="UQ148" s="3"/>
      <c r="UR148" s="3"/>
      <c r="US148" s="3"/>
      <c r="UT148" s="3"/>
      <c r="UU148" s="3"/>
      <c r="UV148" s="3"/>
      <c r="UW148" s="3"/>
      <c r="UX148" s="3"/>
      <c r="UY148" s="3"/>
      <c r="UZ148" s="3"/>
      <c r="VA148" s="3"/>
      <c r="VB148" s="3"/>
      <c r="VC148" s="3"/>
      <c r="VD148" s="3"/>
      <c r="VE148" s="3"/>
      <c r="VF148" s="3"/>
      <c r="VG148" s="3"/>
      <c r="VH148" s="3"/>
      <c r="VI148" s="3"/>
      <c r="VJ148" s="3"/>
      <c r="VK148" s="3"/>
      <c r="VL148" s="3"/>
      <c r="VM148" s="3"/>
      <c r="VN148" s="3"/>
      <c r="VO148" s="3"/>
      <c r="VP148" s="3"/>
      <c r="VQ148" s="3"/>
      <c r="VR148" s="3"/>
      <c r="VS148" s="3"/>
      <c r="VT148" s="3"/>
      <c r="VU148" s="3"/>
      <c r="VV148" s="3"/>
      <c r="VW148" s="3"/>
      <c r="VX148" s="3"/>
      <c r="VY148" s="3"/>
      <c r="VZ148" s="3"/>
      <c r="WA148" s="3"/>
      <c r="WB148" s="3"/>
      <c r="WC148" s="3"/>
      <c r="WD148" s="3"/>
      <c r="WE148" s="3"/>
      <c r="WF148" s="3"/>
      <c r="WG148" s="3"/>
      <c r="WH148" s="3"/>
      <c r="WI148" s="3"/>
      <c r="WJ148" s="3"/>
      <c r="WK148" s="3"/>
      <c r="WL148" s="3"/>
      <c r="WM148" s="3"/>
      <c r="WN148" s="3"/>
      <c r="WO148" s="3"/>
      <c r="WP148" s="3"/>
      <c r="WQ148" s="3"/>
      <c r="WR148" s="3"/>
      <c r="WS148" s="3"/>
      <c r="WT148" s="3"/>
      <c r="WU148" s="3"/>
      <c r="WV148" s="3"/>
      <c r="WW148" s="3"/>
      <c r="WX148" s="3"/>
      <c r="WY148" s="3"/>
      <c r="WZ148" s="3"/>
      <c r="XA148" s="3"/>
      <c r="XB148" s="3"/>
      <c r="XC148" s="3"/>
      <c r="XD148" s="3"/>
      <c r="XE148" s="3"/>
      <c r="XF148" s="3"/>
      <c r="XG148" s="3"/>
      <c r="XH148" s="3"/>
      <c r="XI148" s="3"/>
      <c r="XJ148" s="3"/>
      <c r="XK148" s="3"/>
      <c r="XL148" s="3"/>
      <c r="XM148" s="3"/>
      <c r="XN148" s="3"/>
      <c r="XO148" s="3"/>
      <c r="XP148" s="3"/>
      <c r="XQ148" s="3"/>
      <c r="XR148" s="3"/>
      <c r="XS148" s="3"/>
      <c r="XT148" s="3"/>
      <c r="XU148" s="3"/>
      <c r="XV148" s="3"/>
      <c r="XW148" s="3"/>
      <c r="XX148" s="3"/>
      <c r="XY148" s="3"/>
      <c r="XZ148" s="3"/>
      <c r="YA148" s="3"/>
      <c r="YB148" s="3"/>
      <c r="YC148" s="3"/>
      <c r="YD148" s="3"/>
      <c r="YE148" s="3"/>
      <c r="YF148" s="3"/>
      <c r="YG148" s="3"/>
      <c r="YH148" s="3"/>
      <c r="YI148" s="3"/>
      <c r="YJ148" s="3"/>
      <c r="YK148" s="3"/>
      <c r="YL148" s="3"/>
      <c r="YM148" s="3"/>
      <c r="YN148" s="3"/>
      <c r="YO148" s="3"/>
      <c r="YP148" s="3"/>
      <c r="YQ148" s="3"/>
      <c r="YR148" s="3"/>
      <c r="YS148" s="3"/>
      <c r="YT148" s="3"/>
      <c r="YU148" s="3"/>
      <c r="YV148" s="3"/>
      <c r="YW148" s="3"/>
      <c r="YX148" s="3"/>
      <c r="YY148" s="3"/>
      <c r="YZ148" s="3"/>
      <c r="ZA148" s="3"/>
      <c r="ZB148" s="3"/>
      <c r="ZC148" s="3"/>
    </row>
    <row r="149" spans="1:679" s="2" customFormat="1" x14ac:dyDescent="0.45">
      <c r="A149" s="3" t="s">
        <v>11</v>
      </c>
      <c r="B149" s="4">
        <v>34732</v>
      </c>
      <c r="C149" s="7" t="s">
        <v>25</v>
      </c>
      <c r="D149" s="6" t="s">
        <v>164</v>
      </c>
      <c r="E149" s="3"/>
      <c r="F149" s="3">
        <v>12</v>
      </c>
      <c r="L149" s="3"/>
      <c r="M149" s="3"/>
      <c r="N149" s="48"/>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3"/>
      <c r="DI149" s="3"/>
      <c r="DJ149" s="3"/>
      <c r="DK149" s="3"/>
      <c r="DL149" s="3"/>
      <c r="DM149" s="3"/>
      <c r="DN149" s="3"/>
      <c r="DO149" s="3"/>
      <c r="DP149" s="3"/>
      <c r="DQ149" s="3"/>
      <c r="DR149" s="3"/>
      <c r="DS149" s="3"/>
      <c r="DT149" s="3"/>
      <c r="DU149" s="3"/>
      <c r="DV149" s="3"/>
      <c r="DW149" s="3"/>
      <c r="DX149" s="3"/>
      <c r="DY149" s="3"/>
      <c r="DZ149" s="3"/>
      <c r="EA149" s="3"/>
      <c r="EB149" s="3"/>
      <c r="EC149" s="3"/>
      <c r="ED149" s="3"/>
      <c r="EE149" s="3"/>
      <c r="EF149" s="3"/>
      <c r="EG149" s="3"/>
      <c r="EH149" s="3"/>
      <c r="EI149" s="3"/>
      <c r="EJ149" s="3"/>
      <c r="EK149" s="3"/>
      <c r="EL149" s="3"/>
      <c r="EM149" s="3"/>
      <c r="EN149" s="3"/>
      <c r="EO149" s="3"/>
      <c r="EP149" s="3"/>
      <c r="EQ149" s="3"/>
      <c r="ER149" s="3"/>
      <c r="ES149" s="3"/>
      <c r="ET149" s="3"/>
      <c r="EU149" s="3"/>
      <c r="EV149" s="3"/>
      <c r="EW149" s="3"/>
      <c r="EX149" s="3"/>
      <c r="EY149" s="3"/>
      <c r="EZ149" s="3"/>
      <c r="FA149" s="3"/>
      <c r="FB149" s="3"/>
      <c r="FC149" s="3"/>
      <c r="FD149" s="3"/>
      <c r="FE149" s="3"/>
      <c r="FF149" s="3"/>
      <c r="FG149" s="3"/>
      <c r="FH149" s="3"/>
      <c r="FI149" s="3"/>
      <c r="FJ149" s="3"/>
      <c r="FK149" s="3"/>
      <c r="FL149" s="3"/>
      <c r="FM149" s="3"/>
      <c r="FN149" s="3"/>
      <c r="FO149" s="3"/>
      <c r="FP149" s="3"/>
      <c r="FQ149" s="3"/>
      <c r="FR149" s="3"/>
      <c r="FS149" s="3"/>
      <c r="FT149" s="3"/>
      <c r="FU149" s="3"/>
      <c r="FV149" s="3"/>
      <c r="FW149" s="3"/>
      <c r="FX149" s="3"/>
      <c r="FY149" s="3"/>
      <c r="FZ149" s="3"/>
      <c r="GA149" s="3"/>
      <c r="GB149" s="3"/>
      <c r="GC149" s="3"/>
      <c r="GD149" s="3"/>
      <c r="GE149" s="3"/>
      <c r="GF149" s="3"/>
      <c r="GG149" s="3"/>
      <c r="GH149" s="3"/>
      <c r="GI149" s="3"/>
      <c r="GJ149" s="3"/>
      <c r="GK149" s="3"/>
      <c r="GL149" s="3"/>
      <c r="GM149" s="3"/>
      <c r="GN149" s="3"/>
      <c r="GO149" s="3"/>
      <c r="GP149" s="3"/>
      <c r="GQ149" s="3"/>
      <c r="GR149" s="3"/>
      <c r="GS149" s="3"/>
      <c r="GT149" s="3"/>
      <c r="GU149" s="3"/>
      <c r="GV149" s="3"/>
      <c r="GW149" s="3"/>
      <c r="GX149" s="3"/>
      <c r="GY149" s="3"/>
      <c r="GZ149" s="3"/>
      <c r="HA149" s="3"/>
      <c r="HB149" s="3"/>
      <c r="HC149" s="3"/>
      <c r="HD149" s="3"/>
      <c r="HE149" s="3"/>
      <c r="HF149" s="3"/>
      <c r="HG149" s="3"/>
      <c r="HH149" s="3"/>
      <c r="HI149" s="3"/>
      <c r="HJ149" s="3"/>
      <c r="HK149" s="3"/>
      <c r="HL149" s="3"/>
      <c r="HM149" s="3"/>
      <c r="HN149" s="3"/>
      <c r="HO149" s="3"/>
      <c r="HP149" s="3"/>
      <c r="HQ149" s="3"/>
      <c r="HR149" s="3"/>
      <c r="HS149" s="3"/>
      <c r="HT149" s="3"/>
      <c r="HU149" s="3"/>
      <c r="HV149" s="3"/>
      <c r="HW149" s="3"/>
      <c r="HX149" s="3"/>
      <c r="HY149" s="3"/>
      <c r="HZ149" s="3"/>
      <c r="IA149" s="3"/>
      <c r="IB149" s="3"/>
      <c r="IC149" s="3"/>
      <c r="ID149" s="3"/>
      <c r="IE149" s="3"/>
      <c r="IF149" s="3"/>
      <c r="IG149" s="3"/>
      <c r="IH149" s="3"/>
      <c r="II149" s="3"/>
      <c r="IJ149" s="3"/>
      <c r="IK149" s="3"/>
      <c r="IL149" s="3"/>
      <c r="IM149" s="3"/>
      <c r="IN149" s="3"/>
      <c r="IO149" s="3"/>
      <c r="IP149" s="3"/>
      <c r="IQ149" s="3"/>
      <c r="IR149" s="3"/>
      <c r="IS149" s="3"/>
      <c r="IT149" s="3"/>
      <c r="IU149" s="3"/>
      <c r="IV149" s="3"/>
      <c r="IW149" s="3"/>
      <c r="IX149" s="3"/>
      <c r="IY149" s="3"/>
      <c r="IZ149" s="3"/>
      <c r="JA149" s="3"/>
      <c r="JB149" s="3"/>
      <c r="JC149" s="3"/>
      <c r="JD149" s="3"/>
      <c r="JE149" s="3"/>
      <c r="JF149" s="3"/>
      <c r="JG149" s="3"/>
      <c r="JH149" s="3"/>
      <c r="JI149" s="3"/>
      <c r="JJ149" s="3"/>
      <c r="JK149" s="3"/>
      <c r="JL149" s="3"/>
      <c r="JM149" s="3"/>
      <c r="JN149" s="3"/>
      <c r="JO149" s="3"/>
      <c r="JP149" s="3"/>
      <c r="JQ149" s="3"/>
      <c r="JR149" s="3"/>
      <c r="JS149" s="3"/>
      <c r="JT149" s="3"/>
      <c r="JU149" s="3"/>
      <c r="JV149" s="3"/>
      <c r="JW149" s="3"/>
      <c r="JX149" s="3"/>
      <c r="JY149" s="3"/>
      <c r="JZ149" s="3"/>
      <c r="KA149" s="3"/>
      <c r="KB149" s="3"/>
      <c r="KC149" s="3"/>
      <c r="KD149" s="3"/>
      <c r="KE149" s="3"/>
      <c r="KF149" s="3"/>
      <c r="KG149" s="3"/>
      <c r="KH149" s="3"/>
      <c r="KI149" s="3"/>
      <c r="KJ149" s="3"/>
      <c r="KK149" s="3"/>
      <c r="KL149" s="3"/>
      <c r="KM149" s="3"/>
      <c r="KN149" s="3"/>
      <c r="KO149" s="3"/>
      <c r="KP149" s="3"/>
      <c r="KQ149" s="3"/>
      <c r="KR149" s="3"/>
      <c r="KS149" s="3"/>
      <c r="KT149" s="3"/>
      <c r="KU149" s="3"/>
      <c r="KV149" s="3"/>
      <c r="KW149" s="3"/>
      <c r="KX149" s="3"/>
      <c r="KY149" s="3"/>
      <c r="KZ149" s="3"/>
      <c r="LA149" s="3"/>
      <c r="LB149" s="3"/>
      <c r="LC149" s="3"/>
      <c r="LD149" s="3"/>
      <c r="LE149" s="3"/>
      <c r="LF149" s="3"/>
      <c r="LG149" s="3"/>
      <c r="LH149" s="3"/>
      <c r="LI149" s="3"/>
      <c r="LJ149" s="3"/>
      <c r="LK149" s="3"/>
      <c r="LL149" s="3"/>
      <c r="LM149" s="3"/>
      <c r="LN149" s="3"/>
      <c r="LO149" s="3"/>
      <c r="LP149" s="3"/>
      <c r="LQ149" s="3"/>
      <c r="LR149" s="3"/>
      <c r="LS149" s="3"/>
      <c r="LT149" s="3"/>
      <c r="LU149" s="3"/>
      <c r="LV149" s="3"/>
      <c r="LW149" s="3"/>
      <c r="LX149" s="3"/>
      <c r="LY149" s="3"/>
      <c r="LZ149" s="3"/>
      <c r="MA149" s="3"/>
      <c r="MB149" s="3"/>
      <c r="MC149" s="3"/>
      <c r="MD149" s="3"/>
      <c r="ME149" s="3"/>
      <c r="MF149" s="3"/>
      <c r="MG149" s="3"/>
      <c r="MH149" s="3"/>
      <c r="MI149" s="3"/>
      <c r="MJ149" s="3"/>
      <c r="MK149" s="3"/>
      <c r="ML149" s="3"/>
      <c r="MM149" s="3"/>
      <c r="MN149" s="3"/>
      <c r="MO149" s="3"/>
      <c r="MP149" s="3"/>
      <c r="MQ149" s="3"/>
      <c r="MR149" s="3"/>
      <c r="MS149" s="3"/>
      <c r="MT149" s="3"/>
      <c r="MU149" s="3"/>
      <c r="MV149" s="3"/>
      <c r="MW149" s="3"/>
      <c r="MX149" s="3"/>
      <c r="MY149" s="3"/>
      <c r="MZ149" s="3"/>
      <c r="NA149" s="3"/>
      <c r="NB149" s="3"/>
      <c r="NC149" s="3"/>
      <c r="ND149" s="3"/>
      <c r="NE149" s="3"/>
      <c r="NF149" s="3"/>
      <c r="NG149" s="3"/>
      <c r="NH149" s="3"/>
      <c r="NI149" s="3"/>
      <c r="NJ149" s="3"/>
      <c r="NK149" s="3"/>
      <c r="NL149" s="3"/>
      <c r="NM149" s="3"/>
      <c r="NN149" s="3"/>
      <c r="NO149" s="3"/>
      <c r="NP149" s="3"/>
      <c r="NQ149" s="3"/>
      <c r="NR149" s="3"/>
      <c r="NS149" s="3"/>
      <c r="NT149" s="3"/>
      <c r="NU149" s="3"/>
      <c r="NV149" s="3"/>
      <c r="NW149" s="3"/>
      <c r="NX149" s="3"/>
      <c r="NY149" s="3"/>
      <c r="NZ149" s="3"/>
      <c r="OA149" s="3"/>
      <c r="OB149" s="3"/>
      <c r="OC149" s="3"/>
      <c r="OD149" s="3"/>
      <c r="OE149" s="3"/>
      <c r="OF149" s="3"/>
      <c r="OG149" s="3"/>
      <c r="OH149" s="3"/>
      <c r="OI149" s="3"/>
      <c r="OJ149" s="3"/>
      <c r="OK149" s="3"/>
      <c r="OL149" s="3"/>
      <c r="OM149" s="3"/>
      <c r="ON149" s="3"/>
      <c r="OO149" s="3"/>
      <c r="OP149" s="3"/>
      <c r="OQ149" s="3"/>
      <c r="OR149" s="3"/>
      <c r="OS149" s="3"/>
      <c r="OT149" s="3"/>
      <c r="OU149" s="3"/>
      <c r="OV149" s="3"/>
      <c r="OW149" s="3"/>
      <c r="OX149" s="3"/>
      <c r="OY149" s="3"/>
      <c r="OZ149" s="3"/>
      <c r="PA149" s="3"/>
      <c r="PB149" s="3"/>
      <c r="PC149" s="3"/>
      <c r="PD149" s="3"/>
      <c r="PE149" s="3"/>
      <c r="PF149" s="3"/>
      <c r="PG149" s="3"/>
      <c r="PH149" s="3"/>
      <c r="PI149" s="3"/>
      <c r="PJ149" s="3"/>
      <c r="PK149" s="3"/>
      <c r="PL149" s="3"/>
      <c r="PM149" s="3"/>
      <c r="PN149" s="3"/>
      <c r="PO149" s="3"/>
      <c r="PP149" s="3"/>
      <c r="PQ149" s="3"/>
      <c r="PR149" s="3"/>
      <c r="PS149" s="3"/>
      <c r="PT149" s="3"/>
      <c r="PU149" s="3"/>
      <c r="PV149" s="3"/>
      <c r="PW149" s="3"/>
      <c r="PX149" s="3"/>
      <c r="PY149" s="3"/>
      <c r="PZ149" s="3"/>
      <c r="QA149" s="3"/>
      <c r="QB149" s="3"/>
      <c r="QC149" s="3"/>
      <c r="QD149" s="3"/>
      <c r="QE149" s="3"/>
      <c r="QF149" s="3"/>
      <c r="QG149" s="3"/>
      <c r="QH149" s="3"/>
      <c r="QI149" s="3"/>
      <c r="QJ149" s="3"/>
      <c r="QK149" s="3"/>
      <c r="QL149" s="3"/>
      <c r="QM149" s="3"/>
      <c r="QN149" s="3"/>
      <c r="QO149" s="3"/>
      <c r="QP149" s="3"/>
      <c r="QQ149" s="3"/>
      <c r="QR149" s="3"/>
      <c r="QS149" s="3"/>
      <c r="QT149" s="3"/>
      <c r="QU149" s="3"/>
      <c r="QV149" s="3"/>
      <c r="QW149" s="3"/>
      <c r="QX149" s="3"/>
      <c r="QY149" s="3"/>
      <c r="QZ149" s="3"/>
      <c r="RA149" s="3"/>
      <c r="RB149" s="3"/>
      <c r="RC149" s="3"/>
      <c r="RD149" s="3"/>
      <c r="RE149" s="3"/>
      <c r="RF149" s="3"/>
      <c r="RG149" s="3"/>
      <c r="RH149" s="3"/>
      <c r="RI149" s="3"/>
      <c r="RJ149" s="3"/>
      <c r="RK149" s="3"/>
      <c r="RL149" s="3"/>
      <c r="RM149" s="3"/>
      <c r="RN149" s="3"/>
      <c r="RO149" s="3"/>
      <c r="RP149" s="3"/>
      <c r="RQ149" s="3"/>
      <c r="RR149" s="3"/>
      <c r="RS149" s="3"/>
      <c r="RT149" s="3"/>
      <c r="RU149" s="3"/>
      <c r="RV149" s="3"/>
      <c r="RW149" s="3"/>
      <c r="RX149" s="3"/>
      <c r="RY149" s="3"/>
      <c r="RZ149" s="3"/>
      <c r="SA149" s="3"/>
      <c r="SB149" s="3"/>
      <c r="SC149" s="3"/>
      <c r="SD149" s="3"/>
      <c r="SE149" s="3"/>
      <c r="SF149" s="3"/>
      <c r="SG149" s="3"/>
      <c r="SH149" s="3"/>
      <c r="SI149" s="3"/>
      <c r="SJ149" s="3"/>
      <c r="SK149" s="3"/>
      <c r="SL149" s="3"/>
      <c r="SM149" s="3"/>
      <c r="SN149" s="3"/>
      <c r="SO149" s="3"/>
      <c r="SP149" s="3"/>
      <c r="SQ149" s="3"/>
      <c r="SR149" s="3"/>
      <c r="SS149" s="3"/>
      <c r="ST149" s="3"/>
      <c r="SU149" s="3"/>
      <c r="SV149" s="3"/>
      <c r="SW149" s="3"/>
      <c r="SX149" s="3"/>
      <c r="SY149" s="3"/>
      <c r="SZ149" s="3"/>
      <c r="TA149" s="3"/>
      <c r="TB149" s="3"/>
      <c r="TC149" s="3"/>
      <c r="TD149" s="3"/>
      <c r="TE149" s="3"/>
      <c r="TF149" s="3"/>
      <c r="TG149" s="3"/>
      <c r="TH149" s="3"/>
      <c r="TI149" s="3"/>
      <c r="TJ149" s="3"/>
      <c r="TK149" s="3"/>
      <c r="TL149" s="3"/>
      <c r="TM149" s="3"/>
      <c r="TN149" s="3"/>
      <c r="TO149" s="3"/>
      <c r="TP149" s="3"/>
      <c r="TQ149" s="3"/>
      <c r="TR149" s="3"/>
      <c r="TS149" s="3"/>
      <c r="TT149" s="3"/>
      <c r="TU149" s="3"/>
      <c r="TV149" s="3"/>
      <c r="TW149" s="3"/>
      <c r="TX149" s="3"/>
      <c r="TY149" s="3"/>
      <c r="TZ149" s="3"/>
      <c r="UA149" s="3"/>
      <c r="UB149" s="3"/>
      <c r="UC149" s="3"/>
      <c r="UD149" s="3"/>
      <c r="UE149" s="3"/>
      <c r="UF149" s="3"/>
      <c r="UG149" s="3"/>
      <c r="UH149" s="3"/>
      <c r="UI149" s="3"/>
      <c r="UJ149" s="3"/>
      <c r="UK149" s="3"/>
      <c r="UL149" s="3"/>
      <c r="UM149" s="3"/>
      <c r="UN149" s="3"/>
      <c r="UO149" s="3"/>
      <c r="UP149" s="3"/>
      <c r="UQ149" s="3"/>
      <c r="UR149" s="3"/>
      <c r="US149" s="3"/>
      <c r="UT149" s="3"/>
      <c r="UU149" s="3"/>
      <c r="UV149" s="3"/>
      <c r="UW149" s="3"/>
      <c r="UX149" s="3"/>
      <c r="UY149" s="3"/>
      <c r="UZ149" s="3"/>
      <c r="VA149" s="3"/>
      <c r="VB149" s="3"/>
      <c r="VC149" s="3"/>
      <c r="VD149" s="3"/>
      <c r="VE149" s="3"/>
      <c r="VF149" s="3"/>
      <c r="VG149" s="3"/>
      <c r="VH149" s="3"/>
      <c r="VI149" s="3"/>
      <c r="VJ149" s="3"/>
      <c r="VK149" s="3"/>
      <c r="VL149" s="3"/>
      <c r="VM149" s="3"/>
      <c r="VN149" s="3"/>
      <c r="VO149" s="3"/>
      <c r="VP149" s="3"/>
      <c r="VQ149" s="3"/>
      <c r="VR149" s="3"/>
      <c r="VS149" s="3"/>
      <c r="VT149" s="3"/>
      <c r="VU149" s="3"/>
      <c r="VV149" s="3"/>
      <c r="VW149" s="3"/>
      <c r="VX149" s="3"/>
      <c r="VY149" s="3"/>
      <c r="VZ149" s="3"/>
      <c r="WA149" s="3"/>
      <c r="WB149" s="3"/>
      <c r="WC149" s="3"/>
      <c r="WD149" s="3"/>
      <c r="WE149" s="3"/>
      <c r="WF149" s="3"/>
      <c r="WG149" s="3"/>
      <c r="WH149" s="3"/>
      <c r="WI149" s="3"/>
      <c r="WJ149" s="3"/>
      <c r="WK149" s="3"/>
      <c r="WL149" s="3"/>
      <c r="WM149" s="3"/>
      <c r="WN149" s="3"/>
      <c r="WO149" s="3"/>
      <c r="WP149" s="3"/>
      <c r="WQ149" s="3"/>
      <c r="WR149" s="3"/>
      <c r="WS149" s="3"/>
      <c r="WT149" s="3"/>
      <c r="WU149" s="3"/>
      <c r="WV149" s="3"/>
      <c r="WW149" s="3"/>
      <c r="WX149" s="3"/>
      <c r="WY149" s="3"/>
      <c r="WZ149" s="3"/>
      <c r="XA149" s="3"/>
      <c r="XB149" s="3"/>
      <c r="XC149" s="3"/>
      <c r="XD149" s="3"/>
      <c r="XE149" s="3"/>
      <c r="XF149" s="3"/>
      <c r="XG149" s="3"/>
      <c r="XH149" s="3"/>
      <c r="XI149" s="3"/>
      <c r="XJ149" s="3"/>
      <c r="XK149" s="3"/>
      <c r="XL149" s="3"/>
      <c r="XM149" s="3"/>
      <c r="XN149" s="3"/>
      <c r="XO149" s="3"/>
      <c r="XP149" s="3"/>
      <c r="XQ149" s="3"/>
      <c r="XR149" s="3"/>
      <c r="XS149" s="3"/>
      <c r="XT149" s="3"/>
      <c r="XU149" s="3"/>
      <c r="XV149" s="3"/>
      <c r="XW149" s="3"/>
      <c r="XX149" s="3"/>
      <c r="XY149" s="3"/>
      <c r="XZ149" s="3"/>
      <c r="YA149" s="3"/>
      <c r="YB149" s="3"/>
      <c r="YC149" s="3"/>
      <c r="YD149" s="3"/>
      <c r="YE149" s="3"/>
      <c r="YF149" s="3"/>
      <c r="YG149" s="3"/>
      <c r="YH149" s="3"/>
      <c r="YI149" s="3"/>
      <c r="YJ149" s="3"/>
      <c r="YK149" s="3"/>
      <c r="YL149" s="3"/>
      <c r="YM149" s="3"/>
      <c r="YN149" s="3"/>
      <c r="YO149" s="3"/>
      <c r="YP149" s="3"/>
      <c r="YQ149" s="3"/>
      <c r="YR149" s="3"/>
      <c r="YS149" s="3"/>
      <c r="YT149" s="3"/>
      <c r="YU149" s="3"/>
      <c r="YV149" s="3"/>
      <c r="YW149" s="3"/>
      <c r="YX149" s="3"/>
      <c r="YY149" s="3"/>
      <c r="YZ149" s="3"/>
      <c r="ZA149" s="3"/>
      <c r="ZB149" s="3"/>
      <c r="ZC149" s="3"/>
    </row>
    <row r="150" spans="1:679" s="2" customFormat="1" x14ac:dyDescent="0.45">
      <c r="A150" s="3" t="s">
        <v>11</v>
      </c>
      <c r="B150" s="4">
        <v>34754</v>
      </c>
      <c r="C150" s="5" t="s">
        <v>12</v>
      </c>
      <c r="D150" s="6" t="s">
        <v>165</v>
      </c>
      <c r="E150" s="3"/>
      <c r="F150" s="3">
        <v>25</v>
      </c>
      <c r="L150" s="3"/>
      <c r="M150" s="3"/>
      <c r="N150" s="48"/>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3"/>
      <c r="DI150" s="3"/>
      <c r="DJ150" s="3"/>
      <c r="DK150" s="3"/>
      <c r="DL150" s="3"/>
      <c r="DM150" s="3"/>
      <c r="DN150" s="3"/>
      <c r="DO150" s="3"/>
      <c r="DP150" s="3"/>
      <c r="DQ150" s="3"/>
      <c r="DR150" s="3"/>
      <c r="DS150" s="3"/>
      <c r="DT150" s="3"/>
      <c r="DU150" s="3"/>
      <c r="DV150" s="3"/>
      <c r="DW150" s="3"/>
      <c r="DX150" s="3"/>
      <c r="DY150" s="3"/>
      <c r="DZ150" s="3"/>
      <c r="EA150" s="3"/>
      <c r="EB150" s="3"/>
      <c r="EC150" s="3"/>
      <c r="ED150" s="3"/>
      <c r="EE150" s="3"/>
      <c r="EF150" s="3"/>
      <c r="EG150" s="3"/>
      <c r="EH150" s="3"/>
      <c r="EI150" s="3"/>
      <c r="EJ150" s="3"/>
      <c r="EK150" s="3"/>
      <c r="EL150" s="3"/>
      <c r="EM150" s="3"/>
      <c r="EN150" s="3"/>
      <c r="EO150" s="3"/>
      <c r="EP150" s="3"/>
      <c r="EQ150" s="3"/>
      <c r="ER150" s="3"/>
      <c r="ES150" s="3"/>
      <c r="ET150" s="3"/>
      <c r="EU150" s="3"/>
      <c r="EV150" s="3"/>
      <c r="EW150" s="3"/>
      <c r="EX150" s="3"/>
      <c r="EY150" s="3"/>
      <c r="EZ150" s="3"/>
      <c r="FA150" s="3"/>
      <c r="FB150" s="3"/>
      <c r="FC150" s="3"/>
      <c r="FD150" s="3"/>
      <c r="FE150" s="3"/>
      <c r="FF150" s="3"/>
      <c r="FG150" s="3"/>
      <c r="FH150" s="3"/>
      <c r="FI150" s="3"/>
      <c r="FJ150" s="3"/>
      <c r="FK150" s="3"/>
      <c r="FL150" s="3"/>
      <c r="FM150" s="3"/>
      <c r="FN150" s="3"/>
      <c r="FO150" s="3"/>
      <c r="FP150" s="3"/>
      <c r="FQ150" s="3"/>
      <c r="FR150" s="3"/>
      <c r="FS150" s="3"/>
      <c r="FT150" s="3"/>
      <c r="FU150" s="3"/>
      <c r="FV150" s="3"/>
      <c r="FW150" s="3"/>
      <c r="FX150" s="3"/>
      <c r="FY150" s="3"/>
      <c r="FZ150" s="3"/>
      <c r="GA150" s="3"/>
      <c r="GB150" s="3"/>
      <c r="GC150" s="3"/>
      <c r="GD150" s="3"/>
      <c r="GE150" s="3"/>
      <c r="GF150" s="3"/>
      <c r="GG150" s="3"/>
      <c r="GH150" s="3"/>
      <c r="GI150" s="3"/>
      <c r="GJ150" s="3"/>
      <c r="GK150" s="3"/>
      <c r="GL150" s="3"/>
      <c r="GM150" s="3"/>
      <c r="GN150" s="3"/>
      <c r="GO150" s="3"/>
      <c r="GP150" s="3"/>
      <c r="GQ150" s="3"/>
      <c r="GR150" s="3"/>
      <c r="GS150" s="3"/>
      <c r="GT150" s="3"/>
      <c r="GU150" s="3"/>
      <c r="GV150" s="3"/>
      <c r="GW150" s="3"/>
      <c r="GX150" s="3"/>
      <c r="GY150" s="3"/>
      <c r="GZ150" s="3"/>
      <c r="HA150" s="3"/>
      <c r="HB150" s="3"/>
      <c r="HC150" s="3"/>
      <c r="HD150" s="3"/>
      <c r="HE150" s="3"/>
      <c r="HF150" s="3"/>
      <c r="HG150" s="3"/>
      <c r="HH150" s="3"/>
      <c r="HI150" s="3"/>
      <c r="HJ150" s="3"/>
      <c r="HK150" s="3"/>
      <c r="HL150" s="3"/>
      <c r="HM150" s="3"/>
      <c r="HN150" s="3"/>
      <c r="HO150" s="3"/>
      <c r="HP150" s="3"/>
      <c r="HQ150" s="3"/>
      <c r="HR150" s="3"/>
      <c r="HS150" s="3"/>
      <c r="HT150" s="3"/>
      <c r="HU150" s="3"/>
      <c r="HV150" s="3"/>
      <c r="HW150" s="3"/>
      <c r="HX150" s="3"/>
      <c r="HY150" s="3"/>
      <c r="HZ150" s="3"/>
      <c r="IA150" s="3"/>
      <c r="IB150" s="3"/>
      <c r="IC150" s="3"/>
      <c r="ID150" s="3"/>
      <c r="IE150" s="3"/>
      <c r="IF150" s="3"/>
      <c r="IG150" s="3"/>
      <c r="IH150" s="3"/>
      <c r="II150" s="3"/>
      <c r="IJ150" s="3"/>
      <c r="IK150" s="3"/>
      <c r="IL150" s="3"/>
      <c r="IM150" s="3"/>
      <c r="IN150" s="3"/>
      <c r="IO150" s="3"/>
      <c r="IP150" s="3"/>
      <c r="IQ150" s="3"/>
      <c r="IR150" s="3"/>
      <c r="IS150" s="3"/>
      <c r="IT150" s="3"/>
      <c r="IU150" s="3"/>
      <c r="IV150" s="3"/>
      <c r="IW150" s="3"/>
      <c r="IX150" s="3"/>
      <c r="IY150" s="3"/>
      <c r="IZ150" s="3"/>
      <c r="JA150" s="3"/>
      <c r="JB150" s="3"/>
      <c r="JC150" s="3"/>
      <c r="JD150" s="3"/>
      <c r="JE150" s="3"/>
      <c r="JF150" s="3"/>
      <c r="JG150" s="3"/>
      <c r="JH150" s="3"/>
      <c r="JI150" s="3"/>
      <c r="JJ150" s="3"/>
      <c r="JK150" s="3"/>
      <c r="JL150" s="3"/>
      <c r="JM150" s="3"/>
      <c r="JN150" s="3"/>
      <c r="JO150" s="3"/>
      <c r="JP150" s="3"/>
      <c r="JQ150" s="3"/>
      <c r="JR150" s="3"/>
      <c r="JS150" s="3"/>
      <c r="JT150" s="3"/>
      <c r="JU150" s="3"/>
      <c r="JV150" s="3"/>
      <c r="JW150" s="3"/>
      <c r="JX150" s="3"/>
      <c r="JY150" s="3"/>
      <c r="JZ150" s="3"/>
      <c r="KA150" s="3"/>
      <c r="KB150" s="3"/>
      <c r="KC150" s="3"/>
      <c r="KD150" s="3"/>
      <c r="KE150" s="3"/>
      <c r="KF150" s="3"/>
      <c r="KG150" s="3"/>
      <c r="KH150" s="3"/>
      <c r="KI150" s="3"/>
      <c r="KJ150" s="3"/>
      <c r="KK150" s="3"/>
      <c r="KL150" s="3"/>
      <c r="KM150" s="3"/>
      <c r="KN150" s="3"/>
      <c r="KO150" s="3"/>
      <c r="KP150" s="3"/>
      <c r="KQ150" s="3"/>
      <c r="KR150" s="3"/>
      <c r="KS150" s="3"/>
      <c r="KT150" s="3"/>
      <c r="KU150" s="3"/>
      <c r="KV150" s="3"/>
      <c r="KW150" s="3"/>
      <c r="KX150" s="3"/>
      <c r="KY150" s="3"/>
      <c r="KZ150" s="3"/>
      <c r="LA150" s="3"/>
      <c r="LB150" s="3"/>
      <c r="LC150" s="3"/>
      <c r="LD150" s="3"/>
      <c r="LE150" s="3"/>
      <c r="LF150" s="3"/>
      <c r="LG150" s="3"/>
      <c r="LH150" s="3"/>
      <c r="LI150" s="3"/>
      <c r="LJ150" s="3"/>
      <c r="LK150" s="3"/>
      <c r="LL150" s="3"/>
      <c r="LM150" s="3"/>
      <c r="LN150" s="3"/>
      <c r="LO150" s="3"/>
      <c r="LP150" s="3"/>
      <c r="LQ150" s="3"/>
      <c r="LR150" s="3"/>
      <c r="LS150" s="3"/>
      <c r="LT150" s="3"/>
      <c r="LU150" s="3"/>
      <c r="LV150" s="3"/>
      <c r="LW150" s="3"/>
      <c r="LX150" s="3"/>
      <c r="LY150" s="3"/>
      <c r="LZ150" s="3"/>
      <c r="MA150" s="3"/>
      <c r="MB150" s="3"/>
      <c r="MC150" s="3"/>
      <c r="MD150" s="3"/>
      <c r="ME150" s="3"/>
      <c r="MF150" s="3"/>
      <c r="MG150" s="3"/>
      <c r="MH150" s="3"/>
      <c r="MI150" s="3"/>
      <c r="MJ150" s="3"/>
      <c r="MK150" s="3"/>
      <c r="ML150" s="3"/>
      <c r="MM150" s="3"/>
      <c r="MN150" s="3"/>
      <c r="MO150" s="3"/>
      <c r="MP150" s="3"/>
      <c r="MQ150" s="3"/>
      <c r="MR150" s="3"/>
      <c r="MS150" s="3"/>
      <c r="MT150" s="3"/>
      <c r="MU150" s="3"/>
      <c r="MV150" s="3"/>
      <c r="MW150" s="3"/>
      <c r="MX150" s="3"/>
      <c r="MY150" s="3"/>
      <c r="MZ150" s="3"/>
      <c r="NA150" s="3"/>
      <c r="NB150" s="3"/>
      <c r="NC150" s="3"/>
      <c r="ND150" s="3"/>
      <c r="NE150" s="3"/>
      <c r="NF150" s="3"/>
      <c r="NG150" s="3"/>
      <c r="NH150" s="3"/>
      <c r="NI150" s="3"/>
      <c r="NJ150" s="3"/>
      <c r="NK150" s="3"/>
      <c r="NL150" s="3"/>
      <c r="NM150" s="3"/>
      <c r="NN150" s="3"/>
      <c r="NO150" s="3"/>
      <c r="NP150" s="3"/>
      <c r="NQ150" s="3"/>
      <c r="NR150" s="3"/>
      <c r="NS150" s="3"/>
      <c r="NT150" s="3"/>
      <c r="NU150" s="3"/>
      <c r="NV150" s="3"/>
      <c r="NW150" s="3"/>
      <c r="NX150" s="3"/>
      <c r="NY150" s="3"/>
      <c r="NZ150" s="3"/>
      <c r="OA150" s="3"/>
      <c r="OB150" s="3"/>
      <c r="OC150" s="3"/>
      <c r="OD150" s="3"/>
      <c r="OE150" s="3"/>
      <c r="OF150" s="3"/>
      <c r="OG150" s="3"/>
      <c r="OH150" s="3"/>
      <c r="OI150" s="3"/>
      <c r="OJ150" s="3"/>
      <c r="OK150" s="3"/>
      <c r="OL150" s="3"/>
      <c r="OM150" s="3"/>
      <c r="ON150" s="3"/>
      <c r="OO150" s="3"/>
      <c r="OP150" s="3"/>
      <c r="OQ150" s="3"/>
      <c r="OR150" s="3"/>
      <c r="OS150" s="3"/>
      <c r="OT150" s="3"/>
      <c r="OU150" s="3"/>
      <c r="OV150" s="3"/>
      <c r="OW150" s="3"/>
      <c r="OX150" s="3"/>
      <c r="OY150" s="3"/>
      <c r="OZ150" s="3"/>
      <c r="PA150" s="3"/>
      <c r="PB150" s="3"/>
      <c r="PC150" s="3"/>
      <c r="PD150" s="3"/>
      <c r="PE150" s="3"/>
      <c r="PF150" s="3"/>
      <c r="PG150" s="3"/>
      <c r="PH150" s="3"/>
      <c r="PI150" s="3"/>
      <c r="PJ150" s="3"/>
      <c r="PK150" s="3"/>
      <c r="PL150" s="3"/>
      <c r="PM150" s="3"/>
      <c r="PN150" s="3"/>
      <c r="PO150" s="3"/>
      <c r="PP150" s="3"/>
      <c r="PQ150" s="3"/>
      <c r="PR150" s="3"/>
      <c r="PS150" s="3"/>
      <c r="PT150" s="3"/>
      <c r="PU150" s="3"/>
      <c r="PV150" s="3"/>
      <c r="PW150" s="3"/>
      <c r="PX150" s="3"/>
      <c r="PY150" s="3"/>
      <c r="PZ150" s="3"/>
      <c r="QA150" s="3"/>
      <c r="QB150" s="3"/>
      <c r="QC150" s="3"/>
      <c r="QD150" s="3"/>
      <c r="QE150" s="3"/>
      <c r="QF150" s="3"/>
      <c r="QG150" s="3"/>
      <c r="QH150" s="3"/>
      <c r="QI150" s="3"/>
      <c r="QJ150" s="3"/>
      <c r="QK150" s="3"/>
      <c r="QL150" s="3"/>
      <c r="QM150" s="3"/>
      <c r="QN150" s="3"/>
      <c r="QO150" s="3"/>
      <c r="QP150" s="3"/>
      <c r="QQ150" s="3"/>
      <c r="QR150" s="3"/>
      <c r="QS150" s="3"/>
      <c r="QT150" s="3"/>
      <c r="QU150" s="3"/>
      <c r="QV150" s="3"/>
      <c r="QW150" s="3"/>
      <c r="QX150" s="3"/>
      <c r="QY150" s="3"/>
      <c r="QZ150" s="3"/>
      <c r="RA150" s="3"/>
      <c r="RB150" s="3"/>
      <c r="RC150" s="3"/>
      <c r="RD150" s="3"/>
      <c r="RE150" s="3"/>
      <c r="RF150" s="3"/>
      <c r="RG150" s="3"/>
      <c r="RH150" s="3"/>
      <c r="RI150" s="3"/>
      <c r="RJ150" s="3"/>
      <c r="RK150" s="3"/>
      <c r="RL150" s="3"/>
      <c r="RM150" s="3"/>
      <c r="RN150" s="3"/>
      <c r="RO150" s="3"/>
      <c r="RP150" s="3"/>
      <c r="RQ150" s="3"/>
      <c r="RR150" s="3"/>
      <c r="RS150" s="3"/>
      <c r="RT150" s="3"/>
      <c r="RU150" s="3"/>
      <c r="RV150" s="3"/>
      <c r="RW150" s="3"/>
      <c r="RX150" s="3"/>
      <c r="RY150" s="3"/>
      <c r="RZ150" s="3"/>
      <c r="SA150" s="3"/>
      <c r="SB150" s="3"/>
      <c r="SC150" s="3"/>
      <c r="SD150" s="3"/>
      <c r="SE150" s="3"/>
      <c r="SF150" s="3"/>
      <c r="SG150" s="3"/>
      <c r="SH150" s="3"/>
      <c r="SI150" s="3"/>
      <c r="SJ150" s="3"/>
      <c r="SK150" s="3"/>
      <c r="SL150" s="3"/>
      <c r="SM150" s="3"/>
      <c r="SN150" s="3"/>
      <c r="SO150" s="3"/>
      <c r="SP150" s="3"/>
      <c r="SQ150" s="3"/>
      <c r="SR150" s="3"/>
      <c r="SS150" s="3"/>
      <c r="ST150" s="3"/>
      <c r="SU150" s="3"/>
      <c r="SV150" s="3"/>
      <c r="SW150" s="3"/>
      <c r="SX150" s="3"/>
      <c r="SY150" s="3"/>
      <c r="SZ150" s="3"/>
      <c r="TA150" s="3"/>
      <c r="TB150" s="3"/>
      <c r="TC150" s="3"/>
      <c r="TD150" s="3"/>
      <c r="TE150" s="3"/>
      <c r="TF150" s="3"/>
      <c r="TG150" s="3"/>
      <c r="TH150" s="3"/>
      <c r="TI150" s="3"/>
      <c r="TJ150" s="3"/>
      <c r="TK150" s="3"/>
      <c r="TL150" s="3"/>
      <c r="TM150" s="3"/>
      <c r="TN150" s="3"/>
      <c r="TO150" s="3"/>
      <c r="TP150" s="3"/>
      <c r="TQ150" s="3"/>
      <c r="TR150" s="3"/>
      <c r="TS150" s="3"/>
      <c r="TT150" s="3"/>
      <c r="TU150" s="3"/>
      <c r="TV150" s="3"/>
      <c r="TW150" s="3"/>
      <c r="TX150" s="3"/>
      <c r="TY150" s="3"/>
      <c r="TZ150" s="3"/>
      <c r="UA150" s="3"/>
      <c r="UB150" s="3"/>
      <c r="UC150" s="3"/>
      <c r="UD150" s="3"/>
      <c r="UE150" s="3"/>
      <c r="UF150" s="3"/>
      <c r="UG150" s="3"/>
      <c r="UH150" s="3"/>
      <c r="UI150" s="3"/>
      <c r="UJ150" s="3"/>
      <c r="UK150" s="3"/>
      <c r="UL150" s="3"/>
      <c r="UM150" s="3"/>
      <c r="UN150" s="3"/>
      <c r="UO150" s="3"/>
      <c r="UP150" s="3"/>
      <c r="UQ150" s="3"/>
      <c r="UR150" s="3"/>
      <c r="US150" s="3"/>
      <c r="UT150" s="3"/>
      <c r="UU150" s="3"/>
      <c r="UV150" s="3"/>
      <c r="UW150" s="3"/>
      <c r="UX150" s="3"/>
      <c r="UY150" s="3"/>
      <c r="UZ150" s="3"/>
      <c r="VA150" s="3"/>
      <c r="VB150" s="3"/>
      <c r="VC150" s="3"/>
      <c r="VD150" s="3"/>
      <c r="VE150" s="3"/>
      <c r="VF150" s="3"/>
      <c r="VG150" s="3"/>
      <c r="VH150" s="3"/>
      <c r="VI150" s="3"/>
      <c r="VJ150" s="3"/>
      <c r="VK150" s="3"/>
      <c r="VL150" s="3"/>
      <c r="VM150" s="3"/>
      <c r="VN150" s="3"/>
      <c r="VO150" s="3"/>
      <c r="VP150" s="3"/>
      <c r="VQ150" s="3"/>
      <c r="VR150" s="3"/>
      <c r="VS150" s="3"/>
      <c r="VT150" s="3"/>
      <c r="VU150" s="3"/>
      <c r="VV150" s="3"/>
      <c r="VW150" s="3"/>
      <c r="VX150" s="3"/>
      <c r="VY150" s="3"/>
      <c r="VZ150" s="3"/>
      <c r="WA150" s="3"/>
      <c r="WB150" s="3"/>
      <c r="WC150" s="3"/>
      <c r="WD150" s="3"/>
      <c r="WE150" s="3"/>
      <c r="WF150" s="3"/>
      <c r="WG150" s="3"/>
      <c r="WH150" s="3"/>
      <c r="WI150" s="3"/>
      <c r="WJ150" s="3"/>
      <c r="WK150" s="3"/>
      <c r="WL150" s="3"/>
      <c r="WM150" s="3"/>
      <c r="WN150" s="3"/>
      <c r="WO150" s="3"/>
      <c r="WP150" s="3"/>
      <c r="WQ150" s="3"/>
      <c r="WR150" s="3"/>
      <c r="WS150" s="3"/>
      <c r="WT150" s="3"/>
      <c r="WU150" s="3"/>
      <c r="WV150" s="3"/>
      <c r="WW150" s="3"/>
      <c r="WX150" s="3"/>
      <c r="WY150" s="3"/>
      <c r="WZ150" s="3"/>
      <c r="XA150" s="3"/>
      <c r="XB150" s="3"/>
      <c r="XC150" s="3"/>
      <c r="XD150" s="3"/>
      <c r="XE150" s="3"/>
      <c r="XF150" s="3"/>
      <c r="XG150" s="3"/>
      <c r="XH150" s="3"/>
      <c r="XI150" s="3"/>
      <c r="XJ150" s="3"/>
      <c r="XK150" s="3"/>
      <c r="XL150" s="3"/>
      <c r="XM150" s="3"/>
      <c r="XN150" s="3"/>
      <c r="XO150" s="3"/>
      <c r="XP150" s="3"/>
      <c r="XQ150" s="3"/>
      <c r="XR150" s="3"/>
      <c r="XS150" s="3"/>
      <c r="XT150" s="3"/>
      <c r="XU150" s="3"/>
      <c r="XV150" s="3"/>
      <c r="XW150" s="3"/>
      <c r="XX150" s="3"/>
      <c r="XY150" s="3"/>
      <c r="XZ150" s="3"/>
      <c r="YA150" s="3"/>
      <c r="YB150" s="3"/>
      <c r="YC150" s="3"/>
      <c r="YD150" s="3"/>
      <c r="YE150" s="3"/>
      <c r="YF150" s="3"/>
      <c r="YG150" s="3"/>
      <c r="YH150" s="3"/>
      <c r="YI150" s="3"/>
      <c r="YJ150" s="3"/>
      <c r="YK150" s="3"/>
      <c r="YL150" s="3"/>
      <c r="YM150" s="3"/>
      <c r="YN150" s="3"/>
      <c r="YO150" s="3"/>
      <c r="YP150" s="3"/>
      <c r="YQ150" s="3"/>
      <c r="YR150" s="3"/>
      <c r="YS150" s="3"/>
      <c r="YT150" s="3"/>
      <c r="YU150" s="3"/>
      <c r="YV150" s="3"/>
      <c r="YW150" s="3"/>
      <c r="YX150" s="3"/>
      <c r="YY150" s="3"/>
      <c r="YZ150" s="3"/>
      <c r="ZA150" s="3"/>
      <c r="ZB150" s="3"/>
      <c r="ZC150" s="3"/>
    </row>
    <row r="151" spans="1:679" s="2" customFormat="1" x14ac:dyDescent="0.45">
      <c r="A151" s="3" t="s">
        <v>11</v>
      </c>
      <c r="B151" s="4">
        <v>34767</v>
      </c>
      <c r="C151" s="7" t="s">
        <v>25</v>
      </c>
      <c r="D151" s="6" t="s">
        <v>166</v>
      </c>
      <c r="E151" s="3"/>
      <c r="F151" s="3">
        <v>4</v>
      </c>
      <c r="L151" s="3"/>
      <c r="M151" s="3"/>
      <c r="N151" s="48"/>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c r="DF151" s="3"/>
      <c r="DG151" s="3"/>
      <c r="DH151" s="3"/>
      <c r="DI151" s="3"/>
      <c r="DJ151" s="3"/>
      <c r="DK151" s="3"/>
      <c r="DL151" s="3"/>
      <c r="DM151" s="3"/>
      <c r="DN151" s="3"/>
      <c r="DO151" s="3"/>
      <c r="DP151" s="3"/>
      <c r="DQ151" s="3"/>
      <c r="DR151" s="3"/>
      <c r="DS151" s="3"/>
      <c r="DT151" s="3"/>
      <c r="DU151" s="3"/>
      <c r="DV151" s="3"/>
      <c r="DW151" s="3"/>
      <c r="DX151" s="3"/>
      <c r="DY151" s="3"/>
      <c r="DZ151" s="3"/>
      <c r="EA151" s="3"/>
      <c r="EB151" s="3"/>
      <c r="EC151" s="3"/>
      <c r="ED151" s="3"/>
      <c r="EE151" s="3"/>
      <c r="EF151" s="3"/>
      <c r="EG151" s="3"/>
      <c r="EH151" s="3"/>
      <c r="EI151" s="3"/>
      <c r="EJ151" s="3"/>
      <c r="EK151" s="3"/>
      <c r="EL151" s="3"/>
      <c r="EM151" s="3"/>
      <c r="EN151" s="3"/>
      <c r="EO151" s="3"/>
      <c r="EP151" s="3"/>
      <c r="EQ151" s="3"/>
      <c r="ER151" s="3"/>
      <c r="ES151" s="3"/>
      <c r="ET151" s="3"/>
      <c r="EU151" s="3"/>
      <c r="EV151" s="3"/>
      <c r="EW151" s="3"/>
      <c r="EX151" s="3"/>
      <c r="EY151" s="3"/>
      <c r="EZ151" s="3"/>
      <c r="FA151" s="3"/>
      <c r="FB151" s="3"/>
      <c r="FC151" s="3"/>
      <c r="FD151" s="3"/>
      <c r="FE151" s="3"/>
      <c r="FF151" s="3"/>
      <c r="FG151" s="3"/>
      <c r="FH151" s="3"/>
      <c r="FI151" s="3"/>
      <c r="FJ151" s="3"/>
      <c r="FK151" s="3"/>
      <c r="FL151" s="3"/>
      <c r="FM151" s="3"/>
      <c r="FN151" s="3"/>
      <c r="FO151" s="3"/>
      <c r="FP151" s="3"/>
      <c r="FQ151" s="3"/>
      <c r="FR151" s="3"/>
      <c r="FS151" s="3"/>
      <c r="FT151" s="3"/>
      <c r="FU151" s="3"/>
      <c r="FV151" s="3"/>
      <c r="FW151" s="3"/>
      <c r="FX151" s="3"/>
      <c r="FY151" s="3"/>
      <c r="FZ151" s="3"/>
      <c r="GA151" s="3"/>
      <c r="GB151" s="3"/>
      <c r="GC151" s="3"/>
      <c r="GD151" s="3"/>
      <c r="GE151" s="3"/>
      <c r="GF151" s="3"/>
      <c r="GG151" s="3"/>
      <c r="GH151" s="3"/>
      <c r="GI151" s="3"/>
      <c r="GJ151" s="3"/>
      <c r="GK151" s="3"/>
      <c r="GL151" s="3"/>
      <c r="GM151" s="3"/>
      <c r="GN151" s="3"/>
      <c r="GO151" s="3"/>
      <c r="GP151" s="3"/>
      <c r="GQ151" s="3"/>
      <c r="GR151" s="3"/>
      <c r="GS151" s="3"/>
      <c r="GT151" s="3"/>
      <c r="GU151" s="3"/>
      <c r="GV151" s="3"/>
      <c r="GW151" s="3"/>
      <c r="GX151" s="3"/>
      <c r="GY151" s="3"/>
      <c r="GZ151" s="3"/>
      <c r="HA151" s="3"/>
      <c r="HB151" s="3"/>
      <c r="HC151" s="3"/>
      <c r="HD151" s="3"/>
      <c r="HE151" s="3"/>
      <c r="HF151" s="3"/>
      <c r="HG151" s="3"/>
      <c r="HH151" s="3"/>
      <c r="HI151" s="3"/>
      <c r="HJ151" s="3"/>
      <c r="HK151" s="3"/>
      <c r="HL151" s="3"/>
      <c r="HM151" s="3"/>
      <c r="HN151" s="3"/>
      <c r="HO151" s="3"/>
      <c r="HP151" s="3"/>
      <c r="HQ151" s="3"/>
      <c r="HR151" s="3"/>
      <c r="HS151" s="3"/>
      <c r="HT151" s="3"/>
      <c r="HU151" s="3"/>
      <c r="HV151" s="3"/>
      <c r="HW151" s="3"/>
      <c r="HX151" s="3"/>
      <c r="HY151" s="3"/>
      <c r="HZ151" s="3"/>
      <c r="IA151" s="3"/>
      <c r="IB151" s="3"/>
      <c r="IC151" s="3"/>
      <c r="ID151" s="3"/>
      <c r="IE151" s="3"/>
      <c r="IF151" s="3"/>
      <c r="IG151" s="3"/>
      <c r="IH151" s="3"/>
      <c r="II151" s="3"/>
      <c r="IJ151" s="3"/>
      <c r="IK151" s="3"/>
      <c r="IL151" s="3"/>
      <c r="IM151" s="3"/>
      <c r="IN151" s="3"/>
      <c r="IO151" s="3"/>
      <c r="IP151" s="3"/>
      <c r="IQ151" s="3"/>
      <c r="IR151" s="3"/>
      <c r="IS151" s="3"/>
      <c r="IT151" s="3"/>
      <c r="IU151" s="3"/>
      <c r="IV151" s="3"/>
      <c r="IW151" s="3"/>
      <c r="IX151" s="3"/>
      <c r="IY151" s="3"/>
      <c r="IZ151" s="3"/>
      <c r="JA151" s="3"/>
      <c r="JB151" s="3"/>
      <c r="JC151" s="3"/>
      <c r="JD151" s="3"/>
      <c r="JE151" s="3"/>
      <c r="JF151" s="3"/>
      <c r="JG151" s="3"/>
      <c r="JH151" s="3"/>
      <c r="JI151" s="3"/>
      <c r="JJ151" s="3"/>
      <c r="JK151" s="3"/>
      <c r="JL151" s="3"/>
      <c r="JM151" s="3"/>
      <c r="JN151" s="3"/>
      <c r="JO151" s="3"/>
      <c r="JP151" s="3"/>
      <c r="JQ151" s="3"/>
      <c r="JR151" s="3"/>
      <c r="JS151" s="3"/>
      <c r="JT151" s="3"/>
      <c r="JU151" s="3"/>
      <c r="JV151" s="3"/>
      <c r="JW151" s="3"/>
      <c r="JX151" s="3"/>
      <c r="JY151" s="3"/>
      <c r="JZ151" s="3"/>
      <c r="KA151" s="3"/>
      <c r="KB151" s="3"/>
      <c r="KC151" s="3"/>
      <c r="KD151" s="3"/>
      <c r="KE151" s="3"/>
      <c r="KF151" s="3"/>
      <c r="KG151" s="3"/>
      <c r="KH151" s="3"/>
      <c r="KI151" s="3"/>
      <c r="KJ151" s="3"/>
      <c r="KK151" s="3"/>
      <c r="KL151" s="3"/>
      <c r="KM151" s="3"/>
      <c r="KN151" s="3"/>
      <c r="KO151" s="3"/>
      <c r="KP151" s="3"/>
      <c r="KQ151" s="3"/>
      <c r="KR151" s="3"/>
      <c r="KS151" s="3"/>
      <c r="KT151" s="3"/>
      <c r="KU151" s="3"/>
      <c r="KV151" s="3"/>
      <c r="KW151" s="3"/>
      <c r="KX151" s="3"/>
      <c r="KY151" s="3"/>
      <c r="KZ151" s="3"/>
      <c r="LA151" s="3"/>
      <c r="LB151" s="3"/>
      <c r="LC151" s="3"/>
      <c r="LD151" s="3"/>
      <c r="LE151" s="3"/>
      <c r="LF151" s="3"/>
      <c r="LG151" s="3"/>
      <c r="LH151" s="3"/>
      <c r="LI151" s="3"/>
      <c r="LJ151" s="3"/>
      <c r="LK151" s="3"/>
      <c r="LL151" s="3"/>
      <c r="LM151" s="3"/>
      <c r="LN151" s="3"/>
      <c r="LO151" s="3"/>
      <c r="LP151" s="3"/>
      <c r="LQ151" s="3"/>
      <c r="LR151" s="3"/>
      <c r="LS151" s="3"/>
      <c r="LT151" s="3"/>
      <c r="LU151" s="3"/>
      <c r="LV151" s="3"/>
      <c r="LW151" s="3"/>
      <c r="LX151" s="3"/>
      <c r="LY151" s="3"/>
      <c r="LZ151" s="3"/>
      <c r="MA151" s="3"/>
      <c r="MB151" s="3"/>
      <c r="MC151" s="3"/>
      <c r="MD151" s="3"/>
      <c r="ME151" s="3"/>
      <c r="MF151" s="3"/>
      <c r="MG151" s="3"/>
      <c r="MH151" s="3"/>
      <c r="MI151" s="3"/>
      <c r="MJ151" s="3"/>
      <c r="MK151" s="3"/>
      <c r="ML151" s="3"/>
      <c r="MM151" s="3"/>
      <c r="MN151" s="3"/>
      <c r="MO151" s="3"/>
      <c r="MP151" s="3"/>
      <c r="MQ151" s="3"/>
      <c r="MR151" s="3"/>
      <c r="MS151" s="3"/>
      <c r="MT151" s="3"/>
      <c r="MU151" s="3"/>
      <c r="MV151" s="3"/>
      <c r="MW151" s="3"/>
      <c r="MX151" s="3"/>
      <c r="MY151" s="3"/>
      <c r="MZ151" s="3"/>
      <c r="NA151" s="3"/>
      <c r="NB151" s="3"/>
      <c r="NC151" s="3"/>
      <c r="ND151" s="3"/>
      <c r="NE151" s="3"/>
      <c r="NF151" s="3"/>
      <c r="NG151" s="3"/>
      <c r="NH151" s="3"/>
      <c r="NI151" s="3"/>
      <c r="NJ151" s="3"/>
      <c r="NK151" s="3"/>
      <c r="NL151" s="3"/>
      <c r="NM151" s="3"/>
      <c r="NN151" s="3"/>
      <c r="NO151" s="3"/>
      <c r="NP151" s="3"/>
      <c r="NQ151" s="3"/>
      <c r="NR151" s="3"/>
      <c r="NS151" s="3"/>
      <c r="NT151" s="3"/>
      <c r="NU151" s="3"/>
      <c r="NV151" s="3"/>
      <c r="NW151" s="3"/>
      <c r="NX151" s="3"/>
      <c r="NY151" s="3"/>
      <c r="NZ151" s="3"/>
      <c r="OA151" s="3"/>
      <c r="OB151" s="3"/>
      <c r="OC151" s="3"/>
      <c r="OD151" s="3"/>
      <c r="OE151" s="3"/>
      <c r="OF151" s="3"/>
      <c r="OG151" s="3"/>
      <c r="OH151" s="3"/>
      <c r="OI151" s="3"/>
      <c r="OJ151" s="3"/>
      <c r="OK151" s="3"/>
      <c r="OL151" s="3"/>
      <c r="OM151" s="3"/>
      <c r="ON151" s="3"/>
      <c r="OO151" s="3"/>
      <c r="OP151" s="3"/>
      <c r="OQ151" s="3"/>
      <c r="OR151" s="3"/>
      <c r="OS151" s="3"/>
      <c r="OT151" s="3"/>
      <c r="OU151" s="3"/>
      <c r="OV151" s="3"/>
      <c r="OW151" s="3"/>
      <c r="OX151" s="3"/>
      <c r="OY151" s="3"/>
      <c r="OZ151" s="3"/>
      <c r="PA151" s="3"/>
      <c r="PB151" s="3"/>
      <c r="PC151" s="3"/>
      <c r="PD151" s="3"/>
      <c r="PE151" s="3"/>
      <c r="PF151" s="3"/>
      <c r="PG151" s="3"/>
      <c r="PH151" s="3"/>
      <c r="PI151" s="3"/>
      <c r="PJ151" s="3"/>
      <c r="PK151" s="3"/>
      <c r="PL151" s="3"/>
      <c r="PM151" s="3"/>
      <c r="PN151" s="3"/>
      <c r="PO151" s="3"/>
      <c r="PP151" s="3"/>
      <c r="PQ151" s="3"/>
      <c r="PR151" s="3"/>
      <c r="PS151" s="3"/>
      <c r="PT151" s="3"/>
      <c r="PU151" s="3"/>
      <c r="PV151" s="3"/>
      <c r="PW151" s="3"/>
      <c r="PX151" s="3"/>
      <c r="PY151" s="3"/>
      <c r="PZ151" s="3"/>
      <c r="QA151" s="3"/>
      <c r="QB151" s="3"/>
      <c r="QC151" s="3"/>
      <c r="QD151" s="3"/>
      <c r="QE151" s="3"/>
      <c r="QF151" s="3"/>
      <c r="QG151" s="3"/>
      <c r="QH151" s="3"/>
      <c r="QI151" s="3"/>
      <c r="QJ151" s="3"/>
      <c r="QK151" s="3"/>
      <c r="QL151" s="3"/>
      <c r="QM151" s="3"/>
      <c r="QN151" s="3"/>
      <c r="QO151" s="3"/>
      <c r="QP151" s="3"/>
      <c r="QQ151" s="3"/>
      <c r="QR151" s="3"/>
      <c r="QS151" s="3"/>
      <c r="QT151" s="3"/>
      <c r="QU151" s="3"/>
      <c r="QV151" s="3"/>
      <c r="QW151" s="3"/>
      <c r="QX151" s="3"/>
      <c r="QY151" s="3"/>
      <c r="QZ151" s="3"/>
      <c r="RA151" s="3"/>
      <c r="RB151" s="3"/>
      <c r="RC151" s="3"/>
      <c r="RD151" s="3"/>
      <c r="RE151" s="3"/>
      <c r="RF151" s="3"/>
      <c r="RG151" s="3"/>
      <c r="RH151" s="3"/>
      <c r="RI151" s="3"/>
      <c r="RJ151" s="3"/>
      <c r="RK151" s="3"/>
      <c r="RL151" s="3"/>
      <c r="RM151" s="3"/>
      <c r="RN151" s="3"/>
      <c r="RO151" s="3"/>
      <c r="RP151" s="3"/>
      <c r="RQ151" s="3"/>
      <c r="RR151" s="3"/>
      <c r="RS151" s="3"/>
      <c r="RT151" s="3"/>
      <c r="RU151" s="3"/>
      <c r="RV151" s="3"/>
      <c r="RW151" s="3"/>
      <c r="RX151" s="3"/>
      <c r="RY151" s="3"/>
      <c r="RZ151" s="3"/>
      <c r="SA151" s="3"/>
      <c r="SB151" s="3"/>
      <c r="SC151" s="3"/>
      <c r="SD151" s="3"/>
      <c r="SE151" s="3"/>
      <c r="SF151" s="3"/>
      <c r="SG151" s="3"/>
      <c r="SH151" s="3"/>
      <c r="SI151" s="3"/>
      <c r="SJ151" s="3"/>
      <c r="SK151" s="3"/>
      <c r="SL151" s="3"/>
      <c r="SM151" s="3"/>
      <c r="SN151" s="3"/>
      <c r="SO151" s="3"/>
      <c r="SP151" s="3"/>
      <c r="SQ151" s="3"/>
      <c r="SR151" s="3"/>
      <c r="SS151" s="3"/>
      <c r="ST151" s="3"/>
      <c r="SU151" s="3"/>
      <c r="SV151" s="3"/>
      <c r="SW151" s="3"/>
      <c r="SX151" s="3"/>
      <c r="SY151" s="3"/>
      <c r="SZ151" s="3"/>
      <c r="TA151" s="3"/>
      <c r="TB151" s="3"/>
      <c r="TC151" s="3"/>
      <c r="TD151" s="3"/>
      <c r="TE151" s="3"/>
      <c r="TF151" s="3"/>
      <c r="TG151" s="3"/>
      <c r="TH151" s="3"/>
      <c r="TI151" s="3"/>
      <c r="TJ151" s="3"/>
      <c r="TK151" s="3"/>
      <c r="TL151" s="3"/>
      <c r="TM151" s="3"/>
      <c r="TN151" s="3"/>
      <c r="TO151" s="3"/>
      <c r="TP151" s="3"/>
      <c r="TQ151" s="3"/>
      <c r="TR151" s="3"/>
      <c r="TS151" s="3"/>
      <c r="TT151" s="3"/>
      <c r="TU151" s="3"/>
      <c r="TV151" s="3"/>
      <c r="TW151" s="3"/>
      <c r="TX151" s="3"/>
      <c r="TY151" s="3"/>
      <c r="TZ151" s="3"/>
      <c r="UA151" s="3"/>
      <c r="UB151" s="3"/>
      <c r="UC151" s="3"/>
      <c r="UD151" s="3"/>
      <c r="UE151" s="3"/>
      <c r="UF151" s="3"/>
      <c r="UG151" s="3"/>
      <c r="UH151" s="3"/>
      <c r="UI151" s="3"/>
      <c r="UJ151" s="3"/>
      <c r="UK151" s="3"/>
      <c r="UL151" s="3"/>
      <c r="UM151" s="3"/>
      <c r="UN151" s="3"/>
      <c r="UO151" s="3"/>
      <c r="UP151" s="3"/>
      <c r="UQ151" s="3"/>
      <c r="UR151" s="3"/>
      <c r="US151" s="3"/>
      <c r="UT151" s="3"/>
      <c r="UU151" s="3"/>
      <c r="UV151" s="3"/>
      <c r="UW151" s="3"/>
      <c r="UX151" s="3"/>
      <c r="UY151" s="3"/>
      <c r="UZ151" s="3"/>
      <c r="VA151" s="3"/>
      <c r="VB151" s="3"/>
      <c r="VC151" s="3"/>
      <c r="VD151" s="3"/>
      <c r="VE151" s="3"/>
      <c r="VF151" s="3"/>
      <c r="VG151" s="3"/>
      <c r="VH151" s="3"/>
      <c r="VI151" s="3"/>
      <c r="VJ151" s="3"/>
      <c r="VK151" s="3"/>
      <c r="VL151" s="3"/>
      <c r="VM151" s="3"/>
      <c r="VN151" s="3"/>
      <c r="VO151" s="3"/>
      <c r="VP151" s="3"/>
      <c r="VQ151" s="3"/>
      <c r="VR151" s="3"/>
      <c r="VS151" s="3"/>
      <c r="VT151" s="3"/>
      <c r="VU151" s="3"/>
      <c r="VV151" s="3"/>
      <c r="VW151" s="3"/>
      <c r="VX151" s="3"/>
      <c r="VY151" s="3"/>
      <c r="VZ151" s="3"/>
      <c r="WA151" s="3"/>
      <c r="WB151" s="3"/>
      <c r="WC151" s="3"/>
      <c r="WD151" s="3"/>
      <c r="WE151" s="3"/>
      <c r="WF151" s="3"/>
      <c r="WG151" s="3"/>
      <c r="WH151" s="3"/>
      <c r="WI151" s="3"/>
      <c r="WJ151" s="3"/>
      <c r="WK151" s="3"/>
      <c r="WL151" s="3"/>
      <c r="WM151" s="3"/>
      <c r="WN151" s="3"/>
      <c r="WO151" s="3"/>
      <c r="WP151" s="3"/>
      <c r="WQ151" s="3"/>
      <c r="WR151" s="3"/>
      <c r="WS151" s="3"/>
      <c r="WT151" s="3"/>
      <c r="WU151" s="3"/>
      <c r="WV151" s="3"/>
      <c r="WW151" s="3"/>
      <c r="WX151" s="3"/>
      <c r="WY151" s="3"/>
      <c r="WZ151" s="3"/>
      <c r="XA151" s="3"/>
      <c r="XB151" s="3"/>
      <c r="XC151" s="3"/>
      <c r="XD151" s="3"/>
      <c r="XE151" s="3"/>
      <c r="XF151" s="3"/>
      <c r="XG151" s="3"/>
      <c r="XH151" s="3"/>
      <c r="XI151" s="3"/>
      <c r="XJ151" s="3"/>
      <c r="XK151" s="3"/>
      <c r="XL151" s="3"/>
      <c r="XM151" s="3"/>
      <c r="XN151" s="3"/>
      <c r="XO151" s="3"/>
      <c r="XP151" s="3"/>
      <c r="XQ151" s="3"/>
      <c r="XR151" s="3"/>
      <c r="XS151" s="3"/>
      <c r="XT151" s="3"/>
      <c r="XU151" s="3"/>
      <c r="XV151" s="3"/>
      <c r="XW151" s="3"/>
      <c r="XX151" s="3"/>
      <c r="XY151" s="3"/>
      <c r="XZ151" s="3"/>
      <c r="YA151" s="3"/>
      <c r="YB151" s="3"/>
      <c r="YC151" s="3"/>
      <c r="YD151" s="3"/>
      <c r="YE151" s="3"/>
      <c r="YF151" s="3"/>
      <c r="YG151" s="3"/>
      <c r="YH151" s="3"/>
      <c r="YI151" s="3"/>
      <c r="YJ151" s="3"/>
      <c r="YK151" s="3"/>
      <c r="YL151" s="3"/>
      <c r="YM151" s="3"/>
      <c r="YN151" s="3"/>
      <c r="YO151" s="3"/>
      <c r="YP151" s="3"/>
      <c r="YQ151" s="3"/>
      <c r="YR151" s="3"/>
      <c r="YS151" s="3"/>
      <c r="YT151" s="3"/>
      <c r="YU151" s="3"/>
      <c r="YV151" s="3"/>
      <c r="YW151" s="3"/>
      <c r="YX151" s="3"/>
      <c r="YY151" s="3"/>
      <c r="YZ151" s="3"/>
      <c r="ZA151" s="3"/>
      <c r="ZB151" s="3"/>
      <c r="ZC151" s="3"/>
    </row>
    <row r="152" spans="1:679" s="2" customFormat="1" x14ac:dyDescent="0.45">
      <c r="A152" s="3" t="s">
        <v>11</v>
      </c>
      <c r="B152" s="4">
        <v>34768</v>
      </c>
      <c r="C152" s="7" t="s">
        <v>25</v>
      </c>
      <c r="D152" s="6" t="s">
        <v>167</v>
      </c>
      <c r="E152" s="3"/>
      <c r="F152" s="3">
        <v>4</v>
      </c>
      <c r="L152" s="3"/>
      <c r="M152" s="3"/>
      <c r="N152" s="48"/>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3"/>
      <c r="CW152" s="3"/>
      <c r="CX152" s="3"/>
      <c r="CY152" s="3"/>
      <c r="CZ152" s="3"/>
      <c r="DA152" s="3"/>
      <c r="DB152" s="3"/>
      <c r="DC152" s="3"/>
      <c r="DD152" s="3"/>
      <c r="DE152" s="3"/>
      <c r="DF152" s="3"/>
      <c r="DG152" s="3"/>
      <c r="DH152" s="3"/>
      <c r="DI152" s="3"/>
      <c r="DJ152" s="3"/>
      <c r="DK152" s="3"/>
      <c r="DL152" s="3"/>
      <c r="DM152" s="3"/>
      <c r="DN152" s="3"/>
      <c r="DO152" s="3"/>
      <c r="DP152" s="3"/>
      <c r="DQ152" s="3"/>
      <c r="DR152" s="3"/>
      <c r="DS152" s="3"/>
      <c r="DT152" s="3"/>
      <c r="DU152" s="3"/>
      <c r="DV152" s="3"/>
      <c r="DW152" s="3"/>
      <c r="DX152" s="3"/>
      <c r="DY152" s="3"/>
      <c r="DZ152" s="3"/>
      <c r="EA152" s="3"/>
      <c r="EB152" s="3"/>
      <c r="EC152" s="3"/>
      <c r="ED152" s="3"/>
      <c r="EE152" s="3"/>
      <c r="EF152" s="3"/>
      <c r="EG152" s="3"/>
      <c r="EH152" s="3"/>
      <c r="EI152" s="3"/>
      <c r="EJ152" s="3"/>
      <c r="EK152" s="3"/>
      <c r="EL152" s="3"/>
      <c r="EM152" s="3"/>
      <c r="EN152" s="3"/>
      <c r="EO152" s="3"/>
      <c r="EP152" s="3"/>
      <c r="EQ152" s="3"/>
      <c r="ER152" s="3"/>
      <c r="ES152" s="3"/>
      <c r="ET152" s="3"/>
      <c r="EU152" s="3"/>
      <c r="EV152" s="3"/>
      <c r="EW152" s="3"/>
      <c r="EX152" s="3"/>
      <c r="EY152" s="3"/>
      <c r="EZ152" s="3"/>
      <c r="FA152" s="3"/>
      <c r="FB152" s="3"/>
      <c r="FC152" s="3"/>
      <c r="FD152" s="3"/>
      <c r="FE152" s="3"/>
      <c r="FF152" s="3"/>
      <c r="FG152" s="3"/>
      <c r="FH152" s="3"/>
      <c r="FI152" s="3"/>
      <c r="FJ152" s="3"/>
      <c r="FK152" s="3"/>
      <c r="FL152" s="3"/>
      <c r="FM152" s="3"/>
      <c r="FN152" s="3"/>
      <c r="FO152" s="3"/>
      <c r="FP152" s="3"/>
      <c r="FQ152" s="3"/>
      <c r="FR152" s="3"/>
      <c r="FS152" s="3"/>
      <c r="FT152" s="3"/>
      <c r="FU152" s="3"/>
      <c r="FV152" s="3"/>
      <c r="FW152" s="3"/>
      <c r="FX152" s="3"/>
      <c r="FY152" s="3"/>
      <c r="FZ152" s="3"/>
      <c r="GA152" s="3"/>
      <c r="GB152" s="3"/>
      <c r="GC152" s="3"/>
      <c r="GD152" s="3"/>
      <c r="GE152" s="3"/>
      <c r="GF152" s="3"/>
      <c r="GG152" s="3"/>
      <c r="GH152" s="3"/>
      <c r="GI152" s="3"/>
      <c r="GJ152" s="3"/>
      <c r="GK152" s="3"/>
      <c r="GL152" s="3"/>
      <c r="GM152" s="3"/>
      <c r="GN152" s="3"/>
      <c r="GO152" s="3"/>
      <c r="GP152" s="3"/>
      <c r="GQ152" s="3"/>
      <c r="GR152" s="3"/>
      <c r="GS152" s="3"/>
      <c r="GT152" s="3"/>
      <c r="GU152" s="3"/>
      <c r="GV152" s="3"/>
      <c r="GW152" s="3"/>
      <c r="GX152" s="3"/>
      <c r="GY152" s="3"/>
      <c r="GZ152" s="3"/>
      <c r="HA152" s="3"/>
      <c r="HB152" s="3"/>
      <c r="HC152" s="3"/>
      <c r="HD152" s="3"/>
      <c r="HE152" s="3"/>
      <c r="HF152" s="3"/>
      <c r="HG152" s="3"/>
      <c r="HH152" s="3"/>
      <c r="HI152" s="3"/>
      <c r="HJ152" s="3"/>
      <c r="HK152" s="3"/>
      <c r="HL152" s="3"/>
      <c r="HM152" s="3"/>
      <c r="HN152" s="3"/>
      <c r="HO152" s="3"/>
      <c r="HP152" s="3"/>
      <c r="HQ152" s="3"/>
      <c r="HR152" s="3"/>
      <c r="HS152" s="3"/>
      <c r="HT152" s="3"/>
      <c r="HU152" s="3"/>
      <c r="HV152" s="3"/>
      <c r="HW152" s="3"/>
      <c r="HX152" s="3"/>
      <c r="HY152" s="3"/>
      <c r="HZ152" s="3"/>
      <c r="IA152" s="3"/>
      <c r="IB152" s="3"/>
      <c r="IC152" s="3"/>
      <c r="ID152" s="3"/>
      <c r="IE152" s="3"/>
      <c r="IF152" s="3"/>
      <c r="IG152" s="3"/>
      <c r="IH152" s="3"/>
      <c r="II152" s="3"/>
      <c r="IJ152" s="3"/>
      <c r="IK152" s="3"/>
      <c r="IL152" s="3"/>
      <c r="IM152" s="3"/>
      <c r="IN152" s="3"/>
      <c r="IO152" s="3"/>
      <c r="IP152" s="3"/>
      <c r="IQ152" s="3"/>
      <c r="IR152" s="3"/>
      <c r="IS152" s="3"/>
      <c r="IT152" s="3"/>
      <c r="IU152" s="3"/>
      <c r="IV152" s="3"/>
      <c r="IW152" s="3"/>
      <c r="IX152" s="3"/>
      <c r="IY152" s="3"/>
      <c r="IZ152" s="3"/>
      <c r="JA152" s="3"/>
      <c r="JB152" s="3"/>
      <c r="JC152" s="3"/>
      <c r="JD152" s="3"/>
      <c r="JE152" s="3"/>
      <c r="JF152" s="3"/>
      <c r="JG152" s="3"/>
      <c r="JH152" s="3"/>
      <c r="JI152" s="3"/>
      <c r="JJ152" s="3"/>
      <c r="JK152" s="3"/>
      <c r="JL152" s="3"/>
      <c r="JM152" s="3"/>
      <c r="JN152" s="3"/>
      <c r="JO152" s="3"/>
      <c r="JP152" s="3"/>
      <c r="JQ152" s="3"/>
      <c r="JR152" s="3"/>
      <c r="JS152" s="3"/>
      <c r="JT152" s="3"/>
      <c r="JU152" s="3"/>
      <c r="JV152" s="3"/>
      <c r="JW152" s="3"/>
      <c r="JX152" s="3"/>
      <c r="JY152" s="3"/>
      <c r="JZ152" s="3"/>
      <c r="KA152" s="3"/>
      <c r="KB152" s="3"/>
      <c r="KC152" s="3"/>
      <c r="KD152" s="3"/>
      <c r="KE152" s="3"/>
      <c r="KF152" s="3"/>
      <c r="KG152" s="3"/>
      <c r="KH152" s="3"/>
      <c r="KI152" s="3"/>
      <c r="KJ152" s="3"/>
      <c r="KK152" s="3"/>
      <c r="KL152" s="3"/>
      <c r="KM152" s="3"/>
      <c r="KN152" s="3"/>
      <c r="KO152" s="3"/>
      <c r="KP152" s="3"/>
      <c r="KQ152" s="3"/>
      <c r="KR152" s="3"/>
      <c r="KS152" s="3"/>
      <c r="KT152" s="3"/>
      <c r="KU152" s="3"/>
      <c r="KV152" s="3"/>
      <c r="KW152" s="3"/>
      <c r="KX152" s="3"/>
      <c r="KY152" s="3"/>
      <c r="KZ152" s="3"/>
      <c r="LA152" s="3"/>
      <c r="LB152" s="3"/>
      <c r="LC152" s="3"/>
      <c r="LD152" s="3"/>
      <c r="LE152" s="3"/>
      <c r="LF152" s="3"/>
      <c r="LG152" s="3"/>
      <c r="LH152" s="3"/>
      <c r="LI152" s="3"/>
      <c r="LJ152" s="3"/>
      <c r="LK152" s="3"/>
      <c r="LL152" s="3"/>
      <c r="LM152" s="3"/>
      <c r="LN152" s="3"/>
      <c r="LO152" s="3"/>
      <c r="LP152" s="3"/>
      <c r="LQ152" s="3"/>
      <c r="LR152" s="3"/>
      <c r="LS152" s="3"/>
      <c r="LT152" s="3"/>
      <c r="LU152" s="3"/>
      <c r="LV152" s="3"/>
      <c r="LW152" s="3"/>
      <c r="LX152" s="3"/>
      <c r="LY152" s="3"/>
      <c r="LZ152" s="3"/>
      <c r="MA152" s="3"/>
      <c r="MB152" s="3"/>
      <c r="MC152" s="3"/>
      <c r="MD152" s="3"/>
      <c r="ME152" s="3"/>
      <c r="MF152" s="3"/>
      <c r="MG152" s="3"/>
      <c r="MH152" s="3"/>
      <c r="MI152" s="3"/>
      <c r="MJ152" s="3"/>
      <c r="MK152" s="3"/>
      <c r="ML152" s="3"/>
      <c r="MM152" s="3"/>
      <c r="MN152" s="3"/>
      <c r="MO152" s="3"/>
      <c r="MP152" s="3"/>
      <c r="MQ152" s="3"/>
      <c r="MR152" s="3"/>
      <c r="MS152" s="3"/>
      <c r="MT152" s="3"/>
      <c r="MU152" s="3"/>
      <c r="MV152" s="3"/>
      <c r="MW152" s="3"/>
      <c r="MX152" s="3"/>
      <c r="MY152" s="3"/>
      <c r="MZ152" s="3"/>
      <c r="NA152" s="3"/>
      <c r="NB152" s="3"/>
      <c r="NC152" s="3"/>
      <c r="ND152" s="3"/>
      <c r="NE152" s="3"/>
      <c r="NF152" s="3"/>
      <c r="NG152" s="3"/>
      <c r="NH152" s="3"/>
      <c r="NI152" s="3"/>
      <c r="NJ152" s="3"/>
      <c r="NK152" s="3"/>
      <c r="NL152" s="3"/>
      <c r="NM152" s="3"/>
      <c r="NN152" s="3"/>
      <c r="NO152" s="3"/>
      <c r="NP152" s="3"/>
      <c r="NQ152" s="3"/>
      <c r="NR152" s="3"/>
      <c r="NS152" s="3"/>
      <c r="NT152" s="3"/>
      <c r="NU152" s="3"/>
      <c r="NV152" s="3"/>
      <c r="NW152" s="3"/>
      <c r="NX152" s="3"/>
      <c r="NY152" s="3"/>
      <c r="NZ152" s="3"/>
      <c r="OA152" s="3"/>
      <c r="OB152" s="3"/>
      <c r="OC152" s="3"/>
      <c r="OD152" s="3"/>
      <c r="OE152" s="3"/>
      <c r="OF152" s="3"/>
      <c r="OG152" s="3"/>
      <c r="OH152" s="3"/>
      <c r="OI152" s="3"/>
      <c r="OJ152" s="3"/>
      <c r="OK152" s="3"/>
      <c r="OL152" s="3"/>
      <c r="OM152" s="3"/>
      <c r="ON152" s="3"/>
      <c r="OO152" s="3"/>
      <c r="OP152" s="3"/>
      <c r="OQ152" s="3"/>
      <c r="OR152" s="3"/>
      <c r="OS152" s="3"/>
      <c r="OT152" s="3"/>
      <c r="OU152" s="3"/>
      <c r="OV152" s="3"/>
      <c r="OW152" s="3"/>
      <c r="OX152" s="3"/>
      <c r="OY152" s="3"/>
      <c r="OZ152" s="3"/>
      <c r="PA152" s="3"/>
      <c r="PB152" s="3"/>
      <c r="PC152" s="3"/>
      <c r="PD152" s="3"/>
      <c r="PE152" s="3"/>
      <c r="PF152" s="3"/>
      <c r="PG152" s="3"/>
      <c r="PH152" s="3"/>
      <c r="PI152" s="3"/>
      <c r="PJ152" s="3"/>
      <c r="PK152" s="3"/>
      <c r="PL152" s="3"/>
      <c r="PM152" s="3"/>
      <c r="PN152" s="3"/>
      <c r="PO152" s="3"/>
      <c r="PP152" s="3"/>
      <c r="PQ152" s="3"/>
      <c r="PR152" s="3"/>
      <c r="PS152" s="3"/>
      <c r="PT152" s="3"/>
      <c r="PU152" s="3"/>
      <c r="PV152" s="3"/>
      <c r="PW152" s="3"/>
      <c r="PX152" s="3"/>
      <c r="PY152" s="3"/>
      <c r="PZ152" s="3"/>
      <c r="QA152" s="3"/>
      <c r="QB152" s="3"/>
      <c r="QC152" s="3"/>
      <c r="QD152" s="3"/>
      <c r="QE152" s="3"/>
      <c r="QF152" s="3"/>
      <c r="QG152" s="3"/>
      <c r="QH152" s="3"/>
      <c r="QI152" s="3"/>
      <c r="QJ152" s="3"/>
      <c r="QK152" s="3"/>
      <c r="QL152" s="3"/>
      <c r="QM152" s="3"/>
      <c r="QN152" s="3"/>
      <c r="QO152" s="3"/>
      <c r="QP152" s="3"/>
      <c r="QQ152" s="3"/>
      <c r="QR152" s="3"/>
      <c r="QS152" s="3"/>
      <c r="QT152" s="3"/>
      <c r="QU152" s="3"/>
      <c r="QV152" s="3"/>
      <c r="QW152" s="3"/>
      <c r="QX152" s="3"/>
      <c r="QY152" s="3"/>
      <c r="QZ152" s="3"/>
      <c r="RA152" s="3"/>
      <c r="RB152" s="3"/>
      <c r="RC152" s="3"/>
      <c r="RD152" s="3"/>
      <c r="RE152" s="3"/>
      <c r="RF152" s="3"/>
      <c r="RG152" s="3"/>
      <c r="RH152" s="3"/>
      <c r="RI152" s="3"/>
      <c r="RJ152" s="3"/>
      <c r="RK152" s="3"/>
      <c r="RL152" s="3"/>
      <c r="RM152" s="3"/>
      <c r="RN152" s="3"/>
      <c r="RO152" s="3"/>
      <c r="RP152" s="3"/>
      <c r="RQ152" s="3"/>
      <c r="RR152" s="3"/>
      <c r="RS152" s="3"/>
      <c r="RT152" s="3"/>
      <c r="RU152" s="3"/>
      <c r="RV152" s="3"/>
      <c r="RW152" s="3"/>
      <c r="RX152" s="3"/>
      <c r="RY152" s="3"/>
      <c r="RZ152" s="3"/>
      <c r="SA152" s="3"/>
      <c r="SB152" s="3"/>
      <c r="SC152" s="3"/>
      <c r="SD152" s="3"/>
      <c r="SE152" s="3"/>
      <c r="SF152" s="3"/>
      <c r="SG152" s="3"/>
      <c r="SH152" s="3"/>
      <c r="SI152" s="3"/>
      <c r="SJ152" s="3"/>
      <c r="SK152" s="3"/>
      <c r="SL152" s="3"/>
      <c r="SM152" s="3"/>
      <c r="SN152" s="3"/>
      <c r="SO152" s="3"/>
      <c r="SP152" s="3"/>
      <c r="SQ152" s="3"/>
      <c r="SR152" s="3"/>
      <c r="SS152" s="3"/>
      <c r="ST152" s="3"/>
      <c r="SU152" s="3"/>
      <c r="SV152" s="3"/>
      <c r="SW152" s="3"/>
      <c r="SX152" s="3"/>
      <c r="SY152" s="3"/>
      <c r="SZ152" s="3"/>
      <c r="TA152" s="3"/>
      <c r="TB152" s="3"/>
      <c r="TC152" s="3"/>
      <c r="TD152" s="3"/>
      <c r="TE152" s="3"/>
      <c r="TF152" s="3"/>
      <c r="TG152" s="3"/>
      <c r="TH152" s="3"/>
      <c r="TI152" s="3"/>
      <c r="TJ152" s="3"/>
      <c r="TK152" s="3"/>
      <c r="TL152" s="3"/>
      <c r="TM152" s="3"/>
      <c r="TN152" s="3"/>
      <c r="TO152" s="3"/>
      <c r="TP152" s="3"/>
      <c r="TQ152" s="3"/>
      <c r="TR152" s="3"/>
      <c r="TS152" s="3"/>
      <c r="TT152" s="3"/>
      <c r="TU152" s="3"/>
      <c r="TV152" s="3"/>
      <c r="TW152" s="3"/>
      <c r="TX152" s="3"/>
      <c r="TY152" s="3"/>
      <c r="TZ152" s="3"/>
      <c r="UA152" s="3"/>
      <c r="UB152" s="3"/>
      <c r="UC152" s="3"/>
      <c r="UD152" s="3"/>
      <c r="UE152" s="3"/>
      <c r="UF152" s="3"/>
      <c r="UG152" s="3"/>
      <c r="UH152" s="3"/>
      <c r="UI152" s="3"/>
      <c r="UJ152" s="3"/>
      <c r="UK152" s="3"/>
      <c r="UL152" s="3"/>
      <c r="UM152" s="3"/>
      <c r="UN152" s="3"/>
      <c r="UO152" s="3"/>
      <c r="UP152" s="3"/>
      <c r="UQ152" s="3"/>
      <c r="UR152" s="3"/>
      <c r="US152" s="3"/>
      <c r="UT152" s="3"/>
      <c r="UU152" s="3"/>
      <c r="UV152" s="3"/>
      <c r="UW152" s="3"/>
      <c r="UX152" s="3"/>
      <c r="UY152" s="3"/>
      <c r="UZ152" s="3"/>
      <c r="VA152" s="3"/>
      <c r="VB152" s="3"/>
      <c r="VC152" s="3"/>
      <c r="VD152" s="3"/>
      <c r="VE152" s="3"/>
      <c r="VF152" s="3"/>
      <c r="VG152" s="3"/>
      <c r="VH152" s="3"/>
      <c r="VI152" s="3"/>
      <c r="VJ152" s="3"/>
      <c r="VK152" s="3"/>
      <c r="VL152" s="3"/>
      <c r="VM152" s="3"/>
      <c r="VN152" s="3"/>
      <c r="VO152" s="3"/>
      <c r="VP152" s="3"/>
      <c r="VQ152" s="3"/>
      <c r="VR152" s="3"/>
      <c r="VS152" s="3"/>
      <c r="VT152" s="3"/>
      <c r="VU152" s="3"/>
      <c r="VV152" s="3"/>
      <c r="VW152" s="3"/>
      <c r="VX152" s="3"/>
      <c r="VY152" s="3"/>
      <c r="VZ152" s="3"/>
      <c r="WA152" s="3"/>
      <c r="WB152" s="3"/>
      <c r="WC152" s="3"/>
      <c r="WD152" s="3"/>
      <c r="WE152" s="3"/>
      <c r="WF152" s="3"/>
      <c r="WG152" s="3"/>
      <c r="WH152" s="3"/>
      <c r="WI152" s="3"/>
      <c r="WJ152" s="3"/>
      <c r="WK152" s="3"/>
      <c r="WL152" s="3"/>
      <c r="WM152" s="3"/>
      <c r="WN152" s="3"/>
      <c r="WO152" s="3"/>
      <c r="WP152" s="3"/>
      <c r="WQ152" s="3"/>
      <c r="WR152" s="3"/>
      <c r="WS152" s="3"/>
      <c r="WT152" s="3"/>
      <c r="WU152" s="3"/>
      <c r="WV152" s="3"/>
      <c r="WW152" s="3"/>
      <c r="WX152" s="3"/>
      <c r="WY152" s="3"/>
      <c r="WZ152" s="3"/>
      <c r="XA152" s="3"/>
      <c r="XB152" s="3"/>
      <c r="XC152" s="3"/>
      <c r="XD152" s="3"/>
      <c r="XE152" s="3"/>
      <c r="XF152" s="3"/>
      <c r="XG152" s="3"/>
      <c r="XH152" s="3"/>
      <c r="XI152" s="3"/>
      <c r="XJ152" s="3"/>
      <c r="XK152" s="3"/>
      <c r="XL152" s="3"/>
      <c r="XM152" s="3"/>
      <c r="XN152" s="3"/>
      <c r="XO152" s="3"/>
      <c r="XP152" s="3"/>
      <c r="XQ152" s="3"/>
      <c r="XR152" s="3"/>
      <c r="XS152" s="3"/>
      <c r="XT152" s="3"/>
      <c r="XU152" s="3"/>
      <c r="XV152" s="3"/>
      <c r="XW152" s="3"/>
      <c r="XX152" s="3"/>
      <c r="XY152" s="3"/>
      <c r="XZ152" s="3"/>
      <c r="YA152" s="3"/>
      <c r="YB152" s="3"/>
      <c r="YC152" s="3"/>
      <c r="YD152" s="3"/>
      <c r="YE152" s="3"/>
      <c r="YF152" s="3"/>
      <c r="YG152" s="3"/>
      <c r="YH152" s="3"/>
      <c r="YI152" s="3"/>
      <c r="YJ152" s="3"/>
      <c r="YK152" s="3"/>
      <c r="YL152" s="3"/>
      <c r="YM152" s="3"/>
      <c r="YN152" s="3"/>
      <c r="YO152" s="3"/>
      <c r="YP152" s="3"/>
      <c r="YQ152" s="3"/>
      <c r="YR152" s="3"/>
      <c r="YS152" s="3"/>
      <c r="YT152" s="3"/>
      <c r="YU152" s="3"/>
      <c r="YV152" s="3"/>
      <c r="YW152" s="3"/>
      <c r="YX152" s="3"/>
      <c r="YY152" s="3"/>
      <c r="YZ152" s="3"/>
      <c r="ZA152" s="3"/>
      <c r="ZB152" s="3"/>
      <c r="ZC152" s="3"/>
    </row>
    <row r="153" spans="1:679" s="2" customFormat="1" x14ac:dyDescent="0.45">
      <c r="A153" s="3" t="s">
        <v>11</v>
      </c>
      <c r="B153" s="4">
        <v>34800</v>
      </c>
      <c r="C153" s="7" t="s">
        <v>21</v>
      </c>
      <c r="D153" s="6" t="s">
        <v>168</v>
      </c>
      <c r="E153" s="3"/>
      <c r="F153" s="3">
        <v>5</v>
      </c>
      <c r="L153" s="3"/>
      <c r="M153" s="3"/>
      <c r="N153" s="48"/>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c r="CV153" s="3"/>
      <c r="CW153" s="3"/>
      <c r="CX153" s="3"/>
      <c r="CY153" s="3"/>
      <c r="CZ153" s="3"/>
      <c r="DA153" s="3"/>
      <c r="DB153" s="3"/>
      <c r="DC153" s="3"/>
      <c r="DD153" s="3"/>
      <c r="DE153" s="3"/>
      <c r="DF153" s="3"/>
      <c r="DG153" s="3"/>
      <c r="DH153" s="3"/>
      <c r="DI153" s="3"/>
      <c r="DJ153" s="3"/>
      <c r="DK153" s="3"/>
      <c r="DL153" s="3"/>
      <c r="DM153" s="3"/>
      <c r="DN153" s="3"/>
      <c r="DO153" s="3"/>
      <c r="DP153" s="3"/>
      <c r="DQ153" s="3"/>
      <c r="DR153" s="3"/>
      <c r="DS153" s="3"/>
      <c r="DT153" s="3"/>
      <c r="DU153" s="3"/>
      <c r="DV153" s="3"/>
      <c r="DW153" s="3"/>
      <c r="DX153" s="3"/>
      <c r="DY153" s="3"/>
      <c r="DZ153" s="3"/>
      <c r="EA153" s="3"/>
      <c r="EB153" s="3"/>
      <c r="EC153" s="3"/>
      <c r="ED153" s="3"/>
      <c r="EE153" s="3"/>
      <c r="EF153" s="3"/>
      <c r="EG153" s="3"/>
      <c r="EH153" s="3"/>
      <c r="EI153" s="3"/>
      <c r="EJ153" s="3"/>
      <c r="EK153" s="3"/>
      <c r="EL153" s="3"/>
      <c r="EM153" s="3"/>
      <c r="EN153" s="3"/>
      <c r="EO153" s="3"/>
      <c r="EP153" s="3"/>
      <c r="EQ153" s="3"/>
      <c r="ER153" s="3"/>
      <c r="ES153" s="3"/>
      <c r="ET153" s="3"/>
      <c r="EU153" s="3"/>
      <c r="EV153" s="3"/>
      <c r="EW153" s="3"/>
      <c r="EX153" s="3"/>
      <c r="EY153" s="3"/>
      <c r="EZ153" s="3"/>
      <c r="FA153" s="3"/>
      <c r="FB153" s="3"/>
      <c r="FC153" s="3"/>
      <c r="FD153" s="3"/>
      <c r="FE153" s="3"/>
      <c r="FF153" s="3"/>
      <c r="FG153" s="3"/>
      <c r="FH153" s="3"/>
      <c r="FI153" s="3"/>
      <c r="FJ153" s="3"/>
      <c r="FK153" s="3"/>
      <c r="FL153" s="3"/>
      <c r="FM153" s="3"/>
      <c r="FN153" s="3"/>
      <c r="FO153" s="3"/>
      <c r="FP153" s="3"/>
      <c r="FQ153" s="3"/>
      <c r="FR153" s="3"/>
      <c r="FS153" s="3"/>
      <c r="FT153" s="3"/>
      <c r="FU153" s="3"/>
      <c r="FV153" s="3"/>
      <c r="FW153" s="3"/>
      <c r="FX153" s="3"/>
      <c r="FY153" s="3"/>
      <c r="FZ153" s="3"/>
      <c r="GA153" s="3"/>
      <c r="GB153" s="3"/>
      <c r="GC153" s="3"/>
      <c r="GD153" s="3"/>
      <c r="GE153" s="3"/>
      <c r="GF153" s="3"/>
      <c r="GG153" s="3"/>
      <c r="GH153" s="3"/>
      <c r="GI153" s="3"/>
      <c r="GJ153" s="3"/>
      <c r="GK153" s="3"/>
      <c r="GL153" s="3"/>
      <c r="GM153" s="3"/>
      <c r="GN153" s="3"/>
      <c r="GO153" s="3"/>
      <c r="GP153" s="3"/>
      <c r="GQ153" s="3"/>
      <c r="GR153" s="3"/>
      <c r="GS153" s="3"/>
      <c r="GT153" s="3"/>
      <c r="GU153" s="3"/>
      <c r="GV153" s="3"/>
      <c r="GW153" s="3"/>
      <c r="GX153" s="3"/>
      <c r="GY153" s="3"/>
      <c r="GZ153" s="3"/>
      <c r="HA153" s="3"/>
      <c r="HB153" s="3"/>
      <c r="HC153" s="3"/>
      <c r="HD153" s="3"/>
      <c r="HE153" s="3"/>
      <c r="HF153" s="3"/>
      <c r="HG153" s="3"/>
      <c r="HH153" s="3"/>
      <c r="HI153" s="3"/>
      <c r="HJ153" s="3"/>
      <c r="HK153" s="3"/>
      <c r="HL153" s="3"/>
      <c r="HM153" s="3"/>
      <c r="HN153" s="3"/>
      <c r="HO153" s="3"/>
      <c r="HP153" s="3"/>
      <c r="HQ153" s="3"/>
      <c r="HR153" s="3"/>
      <c r="HS153" s="3"/>
      <c r="HT153" s="3"/>
      <c r="HU153" s="3"/>
      <c r="HV153" s="3"/>
      <c r="HW153" s="3"/>
      <c r="HX153" s="3"/>
      <c r="HY153" s="3"/>
      <c r="HZ153" s="3"/>
      <c r="IA153" s="3"/>
      <c r="IB153" s="3"/>
      <c r="IC153" s="3"/>
      <c r="ID153" s="3"/>
      <c r="IE153" s="3"/>
      <c r="IF153" s="3"/>
      <c r="IG153" s="3"/>
      <c r="IH153" s="3"/>
      <c r="II153" s="3"/>
      <c r="IJ153" s="3"/>
      <c r="IK153" s="3"/>
      <c r="IL153" s="3"/>
      <c r="IM153" s="3"/>
      <c r="IN153" s="3"/>
      <c r="IO153" s="3"/>
      <c r="IP153" s="3"/>
      <c r="IQ153" s="3"/>
      <c r="IR153" s="3"/>
      <c r="IS153" s="3"/>
      <c r="IT153" s="3"/>
      <c r="IU153" s="3"/>
      <c r="IV153" s="3"/>
      <c r="IW153" s="3"/>
      <c r="IX153" s="3"/>
      <c r="IY153" s="3"/>
      <c r="IZ153" s="3"/>
      <c r="JA153" s="3"/>
      <c r="JB153" s="3"/>
      <c r="JC153" s="3"/>
      <c r="JD153" s="3"/>
      <c r="JE153" s="3"/>
      <c r="JF153" s="3"/>
      <c r="JG153" s="3"/>
      <c r="JH153" s="3"/>
      <c r="JI153" s="3"/>
      <c r="JJ153" s="3"/>
      <c r="JK153" s="3"/>
      <c r="JL153" s="3"/>
      <c r="JM153" s="3"/>
      <c r="JN153" s="3"/>
      <c r="JO153" s="3"/>
      <c r="JP153" s="3"/>
      <c r="JQ153" s="3"/>
      <c r="JR153" s="3"/>
      <c r="JS153" s="3"/>
      <c r="JT153" s="3"/>
      <c r="JU153" s="3"/>
      <c r="JV153" s="3"/>
      <c r="JW153" s="3"/>
      <c r="JX153" s="3"/>
      <c r="JY153" s="3"/>
      <c r="JZ153" s="3"/>
      <c r="KA153" s="3"/>
      <c r="KB153" s="3"/>
      <c r="KC153" s="3"/>
      <c r="KD153" s="3"/>
      <c r="KE153" s="3"/>
      <c r="KF153" s="3"/>
      <c r="KG153" s="3"/>
      <c r="KH153" s="3"/>
      <c r="KI153" s="3"/>
      <c r="KJ153" s="3"/>
      <c r="KK153" s="3"/>
      <c r="KL153" s="3"/>
      <c r="KM153" s="3"/>
      <c r="KN153" s="3"/>
      <c r="KO153" s="3"/>
      <c r="KP153" s="3"/>
      <c r="KQ153" s="3"/>
      <c r="KR153" s="3"/>
      <c r="KS153" s="3"/>
      <c r="KT153" s="3"/>
      <c r="KU153" s="3"/>
      <c r="KV153" s="3"/>
      <c r="KW153" s="3"/>
      <c r="KX153" s="3"/>
      <c r="KY153" s="3"/>
      <c r="KZ153" s="3"/>
      <c r="LA153" s="3"/>
      <c r="LB153" s="3"/>
      <c r="LC153" s="3"/>
      <c r="LD153" s="3"/>
      <c r="LE153" s="3"/>
      <c r="LF153" s="3"/>
      <c r="LG153" s="3"/>
      <c r="LH153" s="3"/>
      <c r="LI153" s="3"/>
      <c r="LJ153" s="3"/>
      <c r="LK153" s="3"/>
      <c r="LL153" s="3"/>
      <c r="LM153" s="3"/>
      <c r="LN153" s="3"/>
      <c r="LO153" s="3"/>
      <c r="LP153" s="3"/>
      <c r="LQ153" s="3"/>
      <c r="LR153" s="3"/>
      <c r="LS153" s="3"/>
      <c r="LT153" s="3"/>
      <c r="LU153" s="3"/>
      <c r="LV153" s="3"/>
      <c r="LW153" s="3"/>
      <c r="LX153" s="3"/>
      <c r="LY153" s="3"/>
      <c r="LZ153" s="3"/>
      <c r="MA153" s="3"/>
      <c r="MB153" s="3"/>
      <c r="MC153" s="3"/>
      <c r="MD153" s="3"/>
      <c r="ME153" s="3"/>
      <c r="MF153" s="3"/>
      <c r="MG153" s="3"/>
      <c r="MH153" s="3"/>
      <c r="MI153" s="3"/>
      <c r="MJ153" s="3"/>
      <c r="MK153" s="3"/>
      <c r="ML153" s="3"/>
      <c r="MM153" s="3"/>
      <c r="MN153" s="3"/>
      <c r="MO153" s="3"/>
      <c r="MP153" s="3"/>
      <c r="MQ153" s="3"/>
      <c r="MR153" s="3"/>
      <c r="MS153" s="3"/>
      <c r="MT153" s="3"/>
      <c r="MU153" s="3"/>
      <c r="MV153" s="3"/>
      <c r="MW153" s="3"/>
      <c r="MX153" s="3"/>
      <c r="MY153" s="3"/>
      <c r="MZ153" s="3"/>
      <c r="NA153" s="3"/>
      <c r="NB153" s="3"/>
      <c r="NC153" s="3"/>
      <c r="ND153" s="3"/>
      <c r="NE153" s="3"/>
      <c r="NF153" s="3"/>
      <c r="NG153" s="3"/>
      <c r="NH153" s="3"/>
      <c r="NI153" s="3"/>
      <c r="NJ153" s="3"/>
      <c r="NK153" s="3"/>
      <c r="NL153" s="3"/>
      <c r="NM153" s="3"/>
      <c r="NN153" s="3"/>
      <c r="NO153" s="3"/>
      <c r="NP153" s="3"/>
      <c r="NQ153" s="3"/>
      <c r="NR153" s="3"/>
      <c r="NS153" s="3"/>
      <c r="NT153" s="3"/>
      <c r="NU153" s="3"/>
      <c r="NV153" s="3"/>
      <c r="NW153" s="3"/>
      <c r="NX153" s="3"/>
      <c r="NY153" s="3"/>
      <c r="NZ153" s="3"/>
      <c r="OA153" s="3"/>
      <c r="OB153" s="3"/>
      <c r="OC153" s="3"/>
      <c r="OD153" s="3"/>
      <c r="OE153" s="3"/>
      <c r="OF153" s="3"/>
      <c r="OG153" s="3"/>
      <c r="OH153" s="3"/>
      <c r="OI153" s="3"/>
      <c r="OJ153" s="3"/>
      <c r="OK153" s="3"/>
      <c r="OL153" s="3"/>
      <c r="OM153" s="3"/>
      <c r="ON153" s="3"/>
      <c r="OO153" s="3"/>
      <c r="OP153" s="3"/>
      <c r="OQ153" s="3"/>
      <c r="OR153" s="3"/>
      <c r="OS153" s="3"/>
      <c r="OT153" s="3"/>
      <c r="OU153" s="3"/>
      <c r="OV153" s="3"/>
      <c r="OW153" s="3"/>
      <c r="OX153" s="3"/>
      <c r="OY153" s="3"/>
      <c r="OZ153" s="3"/>
      <c r="PA153" s="3"/>
      <c r="PB153" s="3"/>
      <c r="PC153" s="3"/>
      <c r="PD153" s="3"/>
      <c r="PE153" s="3"/>
      <c r="PF153" s="3"/>
      <c r="PG153" s="3"/>
      <c r="PH153" s="3"/>
      <c r="PI153" s="3"/>
      <c r="PJ153" s="3"/>
      <c r="PK153" s="3"/>
      <c r="PL153" s="3"/>
      <c r="PM153" s="3"/>
      <c r="PN153" s="3"/>
      <c r="PO153" s="3"/>
      <c r="PP153" s="3"/>
      <c r="PQ153" s="3"/>
      <c r="PR153" s="3"/>
      <c r="PS153" s="3"/>
      <c r="PT153" s="3"/>
      <c r="PU153" s="3"/>
      <c r="PV153" s="3"/>
      <c r="PW153" s="3"/>
      <c r="PX153" s="3"/>
      <c r="PY153" s="3"/>
      <c r="PZ153" s="3"/>
      <c r="QA153" s="3"/>
      <c r="QB153" s="3"/>
      <c r="QC153" s="3"/>
      <c r="QD153" s="3"/>
      <c r="QE153" s="3"/>
      <c r="QF153" s="3"/>
      <c r="QG153" s="3"/>
      <c r="QH153" s="3"/>
      <c r="QI153" s="3"/>
      <c r="QJ153" s="3"/>
      <c r="QK153" s="3"/>
      <c r="QL153" s="3"/>
      <c r="QM153" s="3"/>
      <c r="QN153" s="3"/>
      <c r="QO153" s="3"/>
      <c r="QP153" s="3"/>
      <c r="QQ153" s="3"/>
      <c r="QR153" s="3"/>
      <c r="QS153" s="3"/>
      <c r="QT153" s="3"/>
      <c r="QU153" s="3"/>
      <c r="QV153" s="3"/>
      <c r="QW153" s="3"/>
      <c r="QX153" s="3"/>
      <c r="QY153" s="3"/>
      <c r="QZ153" s="3"/>
      <c r="RA153" s="3"/>
      <c r="RB153" s="3"/>
      <c r="RC153" s="3"/>
      <c r="RD153" s="3"/>
      <c r="RE153" s="3"/>
      <c r="RF153" s="3"/>
      <c r="RG153" s="3"/>
      <c r="RH153" s="3"/>
      <c r="RI153" s="3"/>
      <c r="RJ153" s="3"/>
      <c r="RK153" s="3"/>
      <c r="RL153" s="3"/>
      <c r="RM153" s="3"/>
      <c r="RN153" s="3"/>
      <c r="RO153" s="3"/>
      <c r="RP153" s="3"/>
      <c r="RQ153" s="3"/>
      <c r="RR153" s="3"/>
      <c r="RS153" s="3"/>
      <c r="RT153" s="3"/>
      <c r="RU153" s="3"/>
      <c r="RV153" s="3"/>
      <c r="RW153" s="3"/>
      <c r="RX153" s="3"/>
      <c r="RY153" s="3"/>
      <c r="RZ153" s="3"/>
      <c r="SA153" s="3"/>
      <c r="SB153" s="3"/>
      <c r="SC153" s="3"/>
      <c r="SD153" s="3"/>
      <c r="SE153" s="3"/>
      <c r="SF153" s="3"/>
      <c r="SG153" s="3"/>
      <c r="SH153" s="3"/>
      <c r="SI153" s="3"/>
      <c r="SJ153" s="3"/>
      <c r="SK153" s="3"/>
      <c r="SL153" s="3"/>
      <c r="SM153" s="3"/>
      <c r="SN153" s="3"/>
      <c r="SO153" s="3"/>
      <c r="SP153" s="3"/>
      <c r="SQ153" s="3"/>
      <c r="SR153" s="3"/>
      <c r="SS153" s="3"/>
      <c r="ST153" s="3"/>
      <c r="SU153" s="3"/>
      <c r="SV153" s="3"/>
      <c r="SW153" s="3"/>
      <c r="SX153" s="3"/>
      <c r="SY153" s="3"/>
      <c r="SZ153" s="3"/>
      <c r="TA153" s="3"/>
      <c r="TB153" s="3"/>
      <c r="TC153" s="3"/>
      <c r="TD153" s="3"/>
      <c r="TE153" s="3"/>
      <c r="TF153" s="3"/>
      <c r="TG153" s="3"/>
      <c r="TH153" s="3"/>
      <c r="TI153" s="3"/>
      <c r="TJ153" s="3"/>
      <c r="TK153" s="3"/>
      <c r="TL153" s="3"/>
      <c r="TM153" s="3"/>
      <c r="TN153" s="3"/>
      <c r="TO153" s="3"/>
      <c r="TP153" s="3"/>
      <c r="TQ153" s="3"/>
      <c r="TR153" s="3"/>
      <c r="TS153" s="3"/>
      <c r="TT153" s="3"/>
      <c r="TU153" s="3"/>
      <c r="TV153" s="3"/>
      <c r="TW153" s="3"/>
      <c r="TX153" s="3"/>
      <c r="TY153" s="3"/>
      <c r="TZ153" s="3"/>
      <c r="UA153" s="3"/>
      <c r="UB153" s="3"/>
      <c r="UC153" s="3"/>
      <c r="UD153" s="3"/>
      <c r="UE153" s="3"/>
      <c r="UF153" s="3"/>
      <c r="UG153" s="3"/>
      <c r="UH153" s="3"/>
      <c r="UI153" s="3"/>
      <c r="UJ153" s="3"/>
      <c r="UK153" s="3"/>
      <c r="UL153" s="3"/>
      <c r="UM153" s="3"/>
      <c r="UN153" s="3"/>
      <c r="UO153" s="3"/>
      <c r="UP153" s="3"/>
      <c r="UQ153" s="3"/>
      <c r="UR153" s="3"/>
      <c r="US153" s="3"/>
      <c r="UT153" s="3"/>
      <c r="UU153" s="3"/>
      <c r="UV153" s="3"/>
      <c r="UW153" s="3"/>
      <c r="UX153" s="3"/>
      <c r="UY153" s="3"/>
      <c r="UZ153" s="3"/>
      <c r="VA153" s="3"/>
      <c r="VB153" s="3"/>
      <c r="VC153" s="3"/>
      <c r="VD153" s="3"/>
      <c r="VE153" s="3"/>
      <c r="VF153" s="3"/>
      <c r="VG153" s="3"/>
      <c r="VH153" s="3"/>
      <c r="VI153" s="3"/>
      <c r="VJ153" s="3"/>
      <c r="VK153" s="3"/>
      <c r="VL153" s="3"/>
      <c r="VM153" s="3"/>
      <c r="VN153" s="3"/>
      <c r="VO153" s="3"/>
      <c r="VP153" s="3"/>
      <c r="VQ153" s="3"/>
      <c r="VR153" s="3"/>
      <c r="VS153" s="3"/>
      <c r="VT153" s="3"/>
      <c r="VU153" s="3"/>
      <c r="VV153" s="3"/>
      <c r="VW153" s="3"/>
      <c r="VX153" s="3"/>
      <c r="VY153" s="3"/>
      <c r="VZ153" s="3"/>
      <c r="WA153" s="3"/>
      <c r="WB153" s="3"/>
      <c r="WC153" s="3"/>
      <c r="WD153" s="3"/>
      <c r="WE153" s="3"/>
      <c r="WF153" s="3"/>
      <c r="WG153" s="3"/>
      <c r="WH153" s="3"/>
      <c r="WI153" s="3"/>
      <c r="WJ153" s="3"/>
      <c r="WK153" s="3"/>
      <c r="WL153" s="3"/>
      <c r="WM153" s="3"/>
      <c r="WN153" s="3"/>
      <c r="WO153" s="3"/>
      <c r="WP153" s="3"/>
      <c r="WQ153" s="3"/>
      <c r="WR153" s="3"/>
      <c r="WS153" s="3"/>
      <c r="WT153" s="3"/>
      <c r="WU153" s="3"/>
      <c r="WV153" s="3"/>
      <c r="WW153" s="3"/>
      <c r="WX153" s="3"/>
      <c r="WY153" s="3"/>
      <c r="WZ153" s="3"/>
      <c r="XA153" s="3"/>
      <c r="XB153" s="3"/>
      <c r="XC153" s="3"/>
      <c r="XD153" s="3"/>
      <c r="XE153" s="3"/>
      <c r="XF153" s="3"/>
      <c r="XG153" s="3"/>
      <c r="XH153" s="3"/>
      <c r="XI153" s="3"/>
      <c r="XJ153" s="3"/>
      <c r="XK153" s="3"/>
      <c r="XL153" s="3"/>
      <c r="XM153" s="3"/>
      <c r="XN153" s="3"/>
      <c r="XO153" s="3"/>
      <c r="XP153" s="3"/>
      <c r="XQ153" s="3"/>
      <c r="XR153" s="3"/>
      <c r="XS153" s="3"/>
      <c r="XT153" s="3"/>
      <c r="XU153" s="3"/>
      <c r="XV153" s="3"/>
      <c r="XW153" s="3"/>
      <c r="XX153" s="3"/>
      <c r="XY153" s="3"/>
      <c r="XZ153" s="3"/>
      <c r="YA153" s="3"/>
      <c r="YB153" s="3"/>
      <c r="YC153" s="3"/>
      <c r="YD153" s="3"/>
      <c r="YE153" s="3"/>
      <c r="YF153" s="3"/>
      <c r="YG153" s="3"/>
      <c r="YH153" s="3"/>
      <c r="YI153" s="3"/>
      <c r="YJ153" s="3"/>
      <c r="YK153" s="3"/>
      <c r="YL153" s="3"/>
      <c r="YM153" s="3"/>
      <c r="YN153" s="3"/>
      <c r="YO153" s="3"/>
      <c r="YP153" s="3"/>
      <c r="YQ153" s="3"/>
      <c r="YR153" s="3"/>
      <c r="YS153" s="3"/>
      <c r="YT153" s="3"/>
      <c r="YU153" s="3"/>
      <c r="YV153" s="3"/>
      <c r="YW153" s="3"/>
      <c r="YX153" s="3"/>
      <c r="YY153" s="3"/>
      <c r="YZ153" s="3"/>
      <c r="ZA153" s="3"/>
      <c r="ZB153" s="3"/>
      <c r="ZC153" s="3"/>
    </row>
    <row r="154" spans="1:679" s="2" customFormat="1" x14ac:dyDescent="0.45">
      <c r="A154" s="3" t="s">
        <v>11</v>
      </c>
      <c r="B154" s="4">
        <v>34801</v>
      </c>
      <c r="C154" s="7" t="s">
        <v>21</v>
      </c>
      <c r="D154" s="6" t="s">
        <v>169</v>
      </c>
      <c r="E154" s="3"/>
      <c r="F154" s="3">
        <v>6</v>
      </c>
      <c r="L154" s="3"/>
      <c r="M154" s="3"/>
      <c r="N154" s="48"/>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c r="CW154" s="3"/>
      <c r="CX154" s="3"/>
      <c r="CY154" s="3"/>
      <c r="CZ154" s="3"/>
      <c r="DA154" s="3"/>
      <c r="DB154" s="3"/>
      <c r="DC154" s="3"/>
      <c r="DD154" s="3"/>
      <c r="DE154" s="3"/>
      <c r="DF154" s="3"/>
      <c r="DG154" s="3"/>
      <c r="DH154" s="3"/>
      <c r="DI154" s="3"/>
      <c r="DJ154" s="3"/>
      <c r="DK154" s="3"/>
      <c r="DL154" s="3"/>
      <c r="DM154" s="3"/>
      <c r="DN154" s="3"/>
      <c r="DO154" s="3"/>
      <c r="DP154" s="3"/>
      <c r="DQ154" s="3"/>
      <c r="DR154" s="3"/>
      <c r="DS154" s="3"/>
      <c r="DT154" s="3"/>
      <c r="DU154" s="3"/>
      <c r="DV154" s="3"/>
      <c r="DW154" s="3"/>
      <c r="DX154" s="3"/>
      <c r="DY154" s="3"/>
      <c r="DZ154" s="3"/>
      <c r="EA154" s="3"/>
      <c r="EB154" s="3"/>
      <c r="EC154" s="3"/>
      <c r="ED154" s="3"/>
      <c r="EE154" s="3"/>
      <c r="EF154" s="3"/>
      <c r="EG154" s="3"/>
      <c r="EH154" s="3"/>
      <c r="EI154" s="3"/>
      <c r="EJ154" s="3"/>
      <c r="EK154" s="3"/>
      <c r="EL154" s="3"/>
      <c r="EM154" s="3"/>
      <c r="EN154" s="3"/>
      <c r="EO154" s="3"/>
      <c r="EP154" s="3"/>
      <c r="EQ154" s="3"/>
      <c r="ER154" s="3"/>
      <c r="ES154" s="3"/>
      <c r="ET154" s="3"/>
      <c r="EU154" s="3"/>
      <c r="EV154" s="3"/>
      <c r="EW154" s="3"/>
      <c r="EX154" s="3"/>
      <c r="EY154" s="3"/>
      <c r="EZ154" s="3"/>
      <c r="FA154" s="3"/>
      <c r="FB154" s="3"/>
      <c r="FC154" s="3"/>
      <c r="FD154" s="3"/>
      <c r="FE154" s="3"/>
      <c r="FF154" s="3"/>
      <c r="FG154" s="3"/>
      <c r="FH154" s="3"/>
      <c r="FI154" s="3"/>
      <c r="FJ154" s="3"/>
      <c r="FK154" s="3"/>
      <c r="FL154" s="3"/>
      <c r="FM154" s="3"/>
      <c r="FN154" s="3"/>
      <c r="FO154" s="3"/>
      <c r="FP154" s="3"/>
      <c r="FQ154" s="3"/>
      <c r="FR154" s="3"/>
      <c r="FS154" s="3"/>
      <c r="FT154" s="3"/>
      <c r="FU154" s="3"/>
      <c r="FV154" s="3"/>
      <c r="FW154" s="3"/>
      <c r="FX154" s="3"/>
      <c r="FY154" s="3"/>
      <c r="FZ154" s="3"/>
      <c r="GA154" s="3"/>
      <c r="GB154" s="3"/>
      <c r="GC154" s="3"/>
      <c r="GD154" s="3"/>
      <c r="GE154" s="3"/>
      <c r="GF154" s="3"/>
      <c r="GG154" s="3"/>
      <c r="GH154" s="3"/>
      <c r="GI154" s="3"/>
      <c r="GJ154" s="3"/>
      <c r="GK154" s="3"/>
      <c r="GL154" s="3"/>
      <c r="GM154" s="3"/>
      <c r="GN154" s="3"/>
      <c r="GO154" s="3"/>
      <c r="GP154" s="3"/>
      <c r="GQ154" s="3"/>
      <c r="GR154" s="3"/>
      <c r="GS154" s="3"/>
      <c r="GT154" s="3"/>
      <c r="GU154" s="3"/>
      <c r="GV154" s="3"/>
      <c r="GW154" s="3"/>
      <c r="GX154" s="3"/>
      <c r="GY154" s="3"/>
      <c r="GZ154" s="3"/>
      <c r="HA154" s="3"/>
      <c r="HB154" s="3"/>
      <c r="HC154" s="3"/>
      <c r="HD154" s="3"/>
      <c r="HE154" s="3"/>
      <c r="HF154" s="3"/>
      <c r="HG154" s="3"/>
      <c r="HH154" s="3"/>
      <c r="HI154" s="3"/>
      <c r="HJ154" s="3"/>
      <c r="HK154" s="3"/>
      <c r="HL154" s="3"/>
      <c r="HM154" s="3"/>
      <c r="HN154" s="3"/>
      <c r="HO154" s="3"/>
      <c r="HP154" s="3"/>
      <c r="HQ154" s="3"/>
      <c r="HR154" s="3"/>
      <c r="HS154" s="3"/>
      <c r="HT154" s="3"/>
      <c r="HU154" s="3"/>
      <c r="HV154" s="3"/>
      <c r="HW154" s="3"/>
      <c r="HX154" s="3"/>
      <c r="HY154" s="3"/>
      <c r="HZ154" s="3"/>
      <c r="IA154" s="3"/>
      <c r="IB154" s="3"/>
      <c r="IC154" s="3"/>
      <c r="ID154" s="3"/>
      <c r="IE154" s="3"/>
      <c r="IF154" s="3"/>
      <c r="IG154" s="3"/>
      <c r="IH154" s="3"/>
      <c r="II154" s="3"/>
      <c r="IJ154" s="3"/>
      <c r="IK154" s="3"/>
      <c r="IL154" s="3"/>
      <c r="IM154" s="3"/>
      <c r="IN154" s="3"/>
      <c r="IO154" s="3"/>
      <c r="IP154" s="3"/>
      <c r="IQ154" s="3"/>
      <c r="IR154" s="3"/>
      <c r="IS154" s="3"/>
      <c r="IT154" s="3"/>
      <c r="IU154" s="3"/>
      <c r="IV154" s="3"/>
      <c r="IW154" s="3"/>
      <c r="IX154" s="3"/>
      <c r="IY154" s="3"/>
      <c r="IZ154" s="3"/>
      <c r="JA154" s="3"/>
      <c r="JB154" s="3"/>
      <c r="JC154" s="3"/>
      <c r="JD154" s="3"/>
      <c r="JE154" s="3"/>
      <c r="JF154" s="3"/>
      <c r="JG154" s="3"/>
      <c r="JH154" s="3"/>
      <c r="JI154" s="3"/>
      <c r="JJ154" s="3"/>
      <c r="JK154" s="3"/>
      <c r="JL154" s="3"/>
      <c r="JM154" s="3"/>
      <c r="JN154" s="3"/>
      <c r="JO154" s="3"/>
      <c r="JP154" s="3"/>
      <c r="JQ154" s="3"/>
      <c r="JR154" s="3"/>
      <c r="JS154" s="3"/>
      <c r="JT154" s="3"/>
      <c r="JU154" s="3"/>
      <c r="JV154" s="3"/>
      <c r="JW154" s="3"/>
      <c r="JX154" s="3"/>
      <c r="JY154" s="3"/>
      <c r="JZ154" s="3"/>
      <c r="KA154" s="3"/>
      <c r="KB154" s="3"/>
      <c r="KC154" s="3"/>
      <c r="KD154" s="3"/>
      <c r="KE154" s="3"/>
      <c r="KF154" s="3"/>
      <c r="KG154" s="3"/>
      <c r="KH154" s="3"/>
      <c r="KI154" s="3"/>
      <c r="KJ154" s="3"/>
      <c r="KK154" s="3"/>
      <c r="KL154" s="3"/>
      <c r="KM154" s="3"/>
      <c r="KN154" s="3"/>
      <c r="KO154" s="3"/>
      <c r="KP154" s="3"/>
      <c r="KQ154" s="3"/>
      <c r="KR154" s="3"/>
      <c r="KS154" s="3"/>
      <c r="KT154" s="3"/>
      <c r="KU154" s="3"/>
      <c r="KV154" s="3"/>
      <c r="KW154" s="3"/>
      <c r="KX154" s="3"/>
      <c r="KY154" s="3"/>
      <c r="KZ154" s="3"/>
      <c r="LA154" s="3"/>
      <c r="LB154" s="3"/>
      <c r="LC154" s="3"/>
      <c r="LD154" s="3"/>
      <c r="LE154" s="3"/>
      <c r="LF154" s="3"/>
      <c r="LG154" s="3"/>
      <c r="LH154" s="3"/>
      <c r="LI154" s="3"/>
      <c r="LJ154" s="3"/>
      <c r="LK154" s="3"/>
      <c r="LL154" s="3"/>
      <c r="LM154" s="3"/>
      <c r="LN154" s="3"/>
      <c r="LO154" s="3"/>
      <c r="LP154" s="3"/>
      <c r="LQ154" s="3"/>
      <c r="LR154" s="3"/>
      <c r="LS154" s="3"/>
      <c r="LT154" s="3"/>
      <c r="LU154" s="3"/>
      <c r="LV154" s="3"/>
      <c r="LW154" s="3"/>
      <c r="LX154" s="3"/>
      <c r="LY154" s="3"/>
      <c r="LZ154" s="3"/>
      <c r="MA154" s="3"/>
      <c r="MB154" s="3"/>
      <c r="MC154" s="3"/>
      <c r="MD154" s="3"/>
      <c r="ME154" s="3"/>
      <c r="MF154" s="3"/>
      <c r="MG154" s="3"/>
      <c r="MH154" s="3"/>
      <c r="MI154" s="3"/>
      <c r="MJ154" s="3"/>
      <c r="MK154" s="3"/>
      <c r="ML154" s="3"/>
      <c r="MM154" s="3"/>
      <c r="MN154" s="3"/>
      <c r="MO154" s="3"/>
      <c r="MP154" s="3"/>
      <c r="MQ154" s="3"/>
      <c r="MR154" s="3"/>
      <c r="MS154" s="3"/>
      <c r="MT154" s="3"/>
      <c r="MU154" s="3"/>
      <c r="MV154" s="3"/>
      <c r="MW154" s="3"/>
      <c r="MX154" s="3"/>
      <c r="MY154" s="3"/>
      <c r="MZ154" s="3"/>
      <c r="NA154" s="3"/>
      <c r="NB154" s="3"/>
      <c r="NC154" s="3"/>
      <c r="ND154" s="3"/>
      <c r="NE154" s="3"/>
      <c r="NF154" s="3"/>
      <c r="NG154" s="3"/>
      <c r="NH154" s="3"/>
      <c r="NI154" s="3"/>
      <c r="NJ154" s="3"/>
      <c r="NK154" s="3"/>
      <c r="NL154" s="3"/>
      <c r="NM154" s="3"/>
      <c r="NN154" s="3"/>
      <c r="NO154" s="3"/>
      <c r="NP154" s="3"/>
      <c r="NQ154" s="3"/>
      <c r="NR154" s="3"/>
      <c r="NS154" s="3"/>
      <c r="NT154" s="3"/>
      <c r="NU154" s="3"/>
      <c r="NV154" s="3"/>
      <c r="NW154" s="3"/>
      <c r="NX154" s="3"/>
      <c r="NY154" s="3"/>
      <c r="NZ154" s="3"/>
      <c r="OA154" s="3"/>
      <c r="OB154" s="3"/>
      <c r="OC154" s="3"/>
      <c r="OD154" s="3"/>
      <c r="OE154" s="3"/>
      <c r="OF154" s="3"/>
      <c r="OG154" s="3"/>
      <c r="OH154" s="3"/>
      <c r="OI154" s="3"/>
      <c r="OJ154" s="3"/>
      <c r="OK154" s="3"/>
      <c r="OL154" s="3"/>
      <c r="OM154" s="3"/>
      <c r="ON154" s="3"/>
      <c r="OO154" s="3"/>
      <c r="OP154" s="3"/>
      <c r="OQ154" s="3"/>
      <c r="OR154" s="3"/>
      <c r="OS154" s="3"/>
      <c r="OT154" s="3"/>
      <c r="OU154" s="3"/>
      <c r="OV154" s="3"/>
      <c r="OW154" s="3"/>
      <c r="OX154" s="3"/>
      <c r="OY154" s="3"/>
      <c r="OZ154" s="3"/>
      <c r="PA154" s="3"/>
      <c r="PB154" s="3"/>
      <c r="PC154" s="3"/>
      <c r="PD154" s="3"/>
      <c r="PE154" s="3"/>
      <c r="PF154" s="3"/>
      <c r="PG154" s="3"/>
      <c r="PH154" s="3"/>
      <c r="PI154" s="3"/>
      <c r="PJ154" s="3"/>
      <c r="PK154" s="3"/>
      <c r="PL154" s="3"/>
      <c r="PM154" s="3"/>
      <c r="PN154" s="3"/>
      <c r="PO154" s="3"/>
      <c r="PP154" s="3"/>
      <c r="PQ154" s="3"/>
      <c r="PR154" s="3"/>
      <c r="PS154" s="3"/>
      <c r="PT154" s="3"/>
      <c r="PU154" s="3"/>
      <c r="PV154" s="3"/>
      <c r="PW154" s="3"/>
      <c r="PX154" s="3"/>
      <c r="PY154" s="3"/>
      <c r="PZ154" s="3"/>
      <c r="QA154" s="3"/>
      <c r="QB154" s="3"/>
      <c r="QC154" s="3"/>
      <c r="QD154" s="3"/>
      <c r="QE154" s="3"/>
      <c r="QF154" s="3"/>
      <c r="QG154" s="3"/>
      <c r="QH154" s="3"/>
      <c r="QI154" s="3"/>
      <c r="QJ154" s="3"/>
      <c r="QK154" s="3"/>
      <c r="QL154" s="3"/>
      <c r="QM154" s="3"/>
      <c r="QN154" s="3"/>
      <c r="QO154" s="3"/>
      <c r="QP154" s="3"/>
      <c r="QQ154" s="3"/>
      <c r="QR154" s="3"/>
      <c r="QS154" s="3"/>
      <c r="QT154" s="3"/>
      <c r="QU154" s="3"/>
      <c r="QV154" s="3"/>
      <c r="QW154" s="3"/>
      <c r="QX154" s="3"/>
      <c r="QY154" s="3"/>
      <c r="QZ154" s="3"/>
      <c r="RA154" s="3"/>
      <c r="RB154" s="3"/>
      <c r="RC154" s="3"/>
      <c r="RD154" s="3"/>
      <c r="RE154" s="3"/>
      <c r="RF154" s="3"/>
      <c r="RG154" s="3"/>
      <c r="RH154" s="3"/>
      <c r="RI154" s="3"/>
      <c r="RJ154" s="3"/>
      <c r="RK154" s="3"/>
      <c r="RL154" s="3"/>
      <c r="RM154" s="3"/>
      <c r="RN154" s="3"/>
      <c r="RO154" s="3"/>
      <c r="RP154" s="3"/>
      <c r="RQ154" s="3"/>
      <c r="RR154" s="3"/>
      <c r="RS154" s="3"/>
      <c r="RT154" s="3"/>
      <c r="RU154" s="3"/>
      <c r="RV154" s="3"/>
      <c r="RW154" s="3"/>
      <c r="RX154" s="3"/>
      <c r="RY154" s="3"/>
      <c r="RZ154" s="3"/>
      <c r="SA154" s="3"/>
      <c r="SB154" s="3"/>
      <c r="SC154" s="3"/>
      <c r="SD154" s="3"/>
      <c r="SE154" s="3"/>
      <c r="SF154" s="3"/>
      <c r="SG154" s="3"/>
      <c r="SH154" s="3"/>
      <c r="SI154" s="3"/>
      <c r="SJ154" s="3"/>
      <c r="SK154" s="3"/>
      <c r="SL154" s="3"/>
      <c r="SM154" s="3"/>
      <c r="SN154" s="3"/>
      <c r="SO154" s="3"/>
      <c r="SP154" s="3"/>
      <c r="SQ154" s="3"/>
      <c r="SR154" s="3"/>
      <c r="SS154" s="3"/>
      <c r="ST154" s="3"/>
      <c r="SU154" s="3"/>
      <c r="SV154" s="3"/>
      <c r="SW154" s="3"/>
      <c r="SX154" s="3"/>
      <c r="SY154" s="3"/>
      <c r="SZ154" s="3"/>
      <c r="TA154" s="3"/>
      <c r="TB154" s="3"/>
      <c r="TC154" s="3"/>
      <c r="TD154" s="3"/>
      <c r="TE154" s="3"/>
      <c r="TF154" s="3"/>
      <c r="TG154" s="3"/>
      <c r="TH154" s="3"/>
      <c r="TI154" s="3"/>
      <c r="TJ154" s="3"/>
      <c r="TK154" s="3"/>
      <c r="TL154" s="3"/>
      <c r="TM154" s="3"/>
      <c r="TN154" s="3"/>
      <c r="TO154" s="3"/>
      <c r="TP154" s="3"/>
      <c r="TQ154" s="3"/>
      <c r="TR154" s="3"/>
      <c r="TS154" s="3"/>
      <c r="TT154" s="3"/>
      <c r="TU154" s="3"/>
      <c r="TV154" s="3"/>
      <c r="TW154" s="3"/>
      <c r="TX154" s="3"/>
      <c r="TY154" s="3"/>
      <c r="TZ154" s="3"/>
      <c r="UA154" s="3"/>
      <c r="UB154" s="3"/>
      <c r="UC154" s="3"/>
      <c r="UD154" s="3"/>
      <c r="UE154" s="3"/>
      <c r="UF154" s="3"/>
      <c r="UG154" s="3"/>
      <c r="UH154" s="3"/>
      <c r="UI154" s="3"/>
      <c r="UJ154" s="3"/>
      <c r="UK154" s="3"/>
      <c r="UL154" s="3"/>
      <c r="UM154" s="3"/>
      <c r="UN154" s="3"/>
      <c r="UO154" s="3"/>
      <c r="UP154" s="3"/>
      <c r="UQ154" s="3"/>
      <c r="UR154" s="3"/>
      <c r="US154" s="3"/>
      <c r="UT154" s="3"/>
      <c r="UU154" s="3"/>
      <c r="UV154" s="3"/>
      <c r="UW154" s="3"/>
      <c r="UX154" s="3"/>
      <c r="UY154" s="3"/>
      <c r="UZ154" s="3"/>
      <c r="VA154" s="3"/>
      <c r="VB154" s="3"/>
      <c r="VC154" s="3"/>
      <c r="VD154" s="3"/>
      <c r="VE154" s="3"/>
      <c r="VF154" s="3"/>
      <c r="VG154" s="3"/>
      <c r="VH154" s="3"/>
      <c r="VI154" s="3"/>
      <c r="VJ154" s="3"/>
      <c r="VK154" s="3"/>
      <c r="VL154" s="3"/>
      <c r="VM154" s="3"/>
      <c r="VN154" s="3"/>
      <c r="VO154" s="3"/>
      <c r="VP154" s="3"/>
      <c r="VQ154" s="3"/>
      <c r="VR154" s="3"/>
      <c r="VS154" s="3"/>
      <c r="VT154" s="3"/>
      <c r="VU154" s="3"/>
      <c r="VV154" s="3"/>
      <c r="VW154" s="3"/>
      <c r="VX154" s="3"/>
      <c r="VY154" s="3"/>
      <c r="VZ154" s="3"/>
      <c r="WA154" s="3"/>
      <c r="WB154" s="3"/>
      <c r="WC154" s="3"/>
      <c r="WD154" s="3"/>
      <c r="WE154" s="3"/>
      <c r="WF154" s="3"/>
      <c r="WG154" s="3"/>
      <c r="WH154" s="3"/>
      <c r="WI154" s="3"/>
      <c r="WJ154" s="3"/>
      <c r="WK154" s="3"/>
      <c r="WL154" s="3"/>
      <c r="WM154" s="3"/>
      <c r="WN154" s="3"/>
      <c r="WO154" s="3"/>
      <c r="WP154" s="3"/>
      <c r="WQ154" s="3"/>
      <c r="WR154" s="3"/>
      <c r="WS154" s="3"/>
      <c r="WT154" s="3"/>
      <c r="WU154" s="3"/>
      <c r="WV154" s="3"/>
      <c r="WW154" s="3"/>
      <c r="WX154" s="3"/>
      <c r="WY154" s="3"/>
      <c r="WZ154" s="3"/>
      <c r="XA154" s="3"/>
      <c r="XB154" s="3"/>
      <c r="XC154" s="3"/>
      <c r="XD154" s="3"/>
      <c r="XE154" s="3"/>
      <c r="XF154" s="3"/>
      <c r="XG154" s="3"/>
      <c r="XH154" s="3"/>
      <c r="XI154" s="3"/>
      <c r="XJ154" s="3"/>
      <c r="XK154" s="3"/>
      <c r="XL154" s="3"/>
      <c r="XM154" s="3"/>
      <c r="XN154" s="3"/>
      <c r="XO154" s="3"/>
      <c r="XP154" s="3"/>
      <c r="XQ154" s="3"/>
      <c r="XR154" s="3"/>
      <c r="XS154" s="3"/>
      <c r="XT154" s="3"/>
      <c r="XU154" s="3"/>
      <c r="XV154" s="3"/>
      <c r="XW154" s="3"/>
      <c r="XX154" s="3"/>
      <c r="XY154" s="3"/>
      <c r="XZ154" s="3"/>
      <c r="YA154" s="3"/>
      <c r="YB154" s="3"/>
      <c r="YC154" s="3"/>
      <c r="YD154" s="3"/>
      <c r="YE154" s="3"/>
      <c r="YF154" s="3"/>
      <c r="YG154" s="3"/>
      <c r="YH154" s="3"/>
      <c r="YI154" s="3"/>
      <c r="YJ154" s="3"/>
      <c r="YK154" s="3"/>
      <c r="YL154" s="3"/>
      <c r="YM154" s="3"/>
      <c r="YN154" s="3"/>
      <c r="YO154" s="3"/>
      <c r="YP154" s="3"/>
      <c r="YQ154" s="3"/>
      <c r="YR154" s="3"/>
      <c r="YS154" s="3"/>
      <c r="YT154" s="3"/>
      <c r="YU154" s="3"/>
      <c r="YV154" s="3"/>
      <c r="YW154" s="3"/>
      <c r="YX154" s="3"/>
      <c r="YY154" s="3"/>
      <c r="YZ154" s="3"/>
      <c r="ZA154" s="3"/>
      <c r="ZB154" s="3"/>
      <c r="ZC154" s="3"/>
    </row>
    <row r="155" spans="1:679" s="2" customFormat="1" x14ac:dyDescent="0.45">
      <c r="A155" s="3" t="s">
        <v>11</v>
      </c>
      <c r="B155" s="4">
        <v>34844</v>
      </c>
      <c r="C155" s="7" t="s">
        <v>21</v>
      </c>
      <c r="D155" s="6" t="s">
        <v>170</v>
      </c>
      <c r="E155" s="3"/>
      <c r="F155" s="3">
        <v>5</v>
      </c>
      <c r="L155" s="3"/>
      <c r="M155" s="3"/>
      <c r="N155" s="48"/>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c r="DF155" s="3"/>
      <c r="DG155" s="3"/>
      <c r="DH155" s="3"/>
      <c r="DI155" s="3"/>
      <c r="DJ155" s="3"/>
      <c r="DK155" s="3"/>
      <c r="DL155" s="3"/>
      <c r="DM155" s="3"/>
      <c r="DN155" s="3"/>
      <c r="DO155" s="3"/>
      <c r="DP155" s="3"/>
      <c r="DQ155" s="3"/>
      <c r="DR155" s="3"/>
      <c r="DS155" s="3"/>
      <c r="DT155" s="3"/>
      <c r="DU155" s="3"/>
      <c r="DV155" s="3"/>
      <c r="DW155" s="3"/>
      <c r="DX155" s="3"/>
      <c r="DY155" s="3"/>
      <c r="DZ155" s="3"/>
      <c r="EA155" s="3"/>
      <c r="EB155" s="3"/>
      <c r="EC155" s="3"/>
      <c r="ED155" s="3"/>
      <c r="EE155" s="3"/>
      <c r="EF155" s="3"/>
      <c r="EG155" s="3"/>
      <c r="EH155" s="3"/>
      <c r="EI155" s="3"/>
      <c r="EJ155" s="3"/>
      <c r="EK155" s="3"/>
      <c r="EL155" s="3"/>
      <c r="EM155" s="3"/>
      <c r="EN155" s="3"/>
      <c r="EO155" s="3"/>
      <c r="EP155" s="3"/>
      <c r="EQ155" s="3"/>
      <c r="ER155" s="3"/>
      <c r="ES155" s="3"/>
      <c r="ET155" s="3"/>
      <c r="EU155" s="3"/>
      <c r="EV155" s="3"/>
      <c r="EW155" s="3"/>
      <c r="EX155" s="3"/>
      <c r="EY155" s="3"/>
      <c r="EZ155" s="3"/>
      <c r="FA155" s="3"/>
      <c r="FB155" s="3"/>
      <c r="FC155" s="3"/>
      <c r="FD155" s="3"/>
      <c r="FE155" s="3"/>
      <c r="FF155" s="3"/>
      <c r="FG155" s="3"/>
      <c r="FH155" s="3"/>
      <c r="FI155" s="3"/>
      <c r="FJ155" s="3"/>
      <c r="FK155" s="3"/>
      <c r="FL155" s="3"/>
      <c r="FM155" s="3"/>
      <c r="FN155" s="3"/>
      <c r="FO155" s="3"/>
      <c r="FP155" s="3"/>
      <c r="FQ155" s="3"/>
      <c r="FR155" s="3"/>
      <c r="FS155" s="3"/>
      <c r="FT155" s="3"/>
      <c r="FU155" s="3"/>
      <c r="FV155" s="3"/>
      <c r="FW155" s="3"/>
      <c r="FX155" s="3"/>
      <c r="FY155" s="3"/>
      <c r="FZ155" s="3"/>
      <c r="GA155" s="3"/>
      <c r="GB155" s="3"/>
      <c r="GC155" s="3"/>
      <c r="GD155" s="3"/>
      <c r="GE155" s="3"/>
      <c r="GF155" s="3"/>
      <c r="GG155" s="3"/>
      <c r="GH155" s="3"/>
      <c r="GI155" s="3"/>
      <c r="GJ155" s="3"/>
      <c r="GK155" s="3"/>
      <c r="GL155" s="3"/>
      <c r="GM155" s="3"/>
      <c r="GN155" s="3"/>
      <c r="GO155" s="3"/>
      <c r="GP155" s="3"/>
      <c r="GQ155" s="3"/>
      <c r="GR155" s="3"/>
      <c r="GS155" s="3"/>
      <c r="GT155" s="3"/>
      <c r="GU155" s="3"/>
      <c r="GV155" s="3"/>
      <c r="GW155" s="3"/>
      <c r="GX155" s="3"/>
      <c r="GY155" s="3"/>
      <c r="GZ155" s="3"/>
      <c r="HA155" s="3"/>
      <c r="HB155" s="3"/>
      <c r="HC155" s="3"/>
      <c r="HD155" s="3"/>
      <c r="HE155" s="3"/>
      <c r="HF155" s="3"/>
      <c r="HG155" s="3"/>
      <c r="HH155" s="3"/>
      <c r="HI155" s="3"/>
      <c r="HJ155" s="3"/>
      <c r="HK155" s="3"/>
      <c r="HL155" s="3"/>
      <c r="HM155" s="3"/>
      <c r="HN155" s="3"/>
      <c r="HO155" s="3"/>
      <c r="HP155" s="3"/>
      <c r="HQ155" s="3"/>
      <c r="HR155" s="3"/>
      <c r="HS155" s="3"/>
      <c r="HT155" s="3"/>
      <c r="HU155" s="3"/>
      <c r="HV155" s="3"/>
      <c r="HW155" s="3"/>
      <c r="HX155" s="3"/>
      <c r="HY155" s="3"/>
      <c r="HZ155" s="3"/>
      <c r="IA155" s="3"/>
      <c r="IB155" s="3"/>
      <c r="IC155" s="3"/>
      <c r="ID155" s="3"/>
      <c r="IE155" s="3"/>
      <c r="IF155" s="3"/>
      <c r="IG155" s="3"/>
      <c r="IH155" s="3"/>
      <c r="II155" s="3"/>
      <c r="IJ155" s="3"/>
      <c r="IK155" s="3"/>
      <c r="IL155" s="3"/>
      <c r="IM155" s="3"/>
      <c r="IN155" s="3"/>
      <c r="IO155" s="3"/>
      <c r="IP155" s="3"/>
      <c r="IQ155" s="3"/>
      <c r="IR155" s="3"/>
      <c r="IS155" s="3"/>
      <c r="IT155" s="3"/>
      <c r="IU155" s="3"/>
      <c r="IV155" s="3"/>
      <c r="IW155" s="3"/>
      <c r="IX155" s="3"/>
      <c r="IY155" s="3"/>
      <c r="IZ155" s="3"/>
      <c r="JA155" s="3"/>
      <c r="JB155" s="3"/>
      <c r="JC155" s="3"/>
      <c r="JD155" s="3"/>
      <c r="JE155" s="3"/>
      <c r="JF155" s="3"/>
      <c r="JG155" s="3"/>
      <c r="JH155" s="3"/>
      <c r="JI155" s="3"/>
      <c r="JJ155" s="3"/>
      <c r="JK155" s="3"/>
      <c r="JL155" s="3"/>
      <c r="JM155" s="3"/>
      <c r="JN155" s="3"/>
      <c r="JO155" s="3"/>
      <c r="JP155" s="3"/>
      <c r="JQ155" s="3"/>
      <c r="JR155" s="3"/>
      <c r="JS155" s="3"/>
      <c r="JT155" s="3"/>
      <c r="JU155" s="3"/>
      <c r="JV155" s="3"/>
      <c r="JW155" s="3"/>
      <c r="JX155" s="3"/>
      <c r="JY155" s="3"/>
      <c r="JZ155" s="3"/>
      <c r="KA155" s="3"/>
      <c r="KB155" s="3"/>
      <c r="KC155" s="3"/>
      <c r="KD155" s="3"/>
      <c r="KE155" s="3"/>
      <c r="KF155" s="3"/>
      <c r="KG155" s="3"/>
      <c r="KH155" s="3"/>
      <c r="KI155" s="3"/>
      <c r="KJ155" s="3"/>
      <c r="KK155" s="3"/>
      <c r="KL155" s="3"/>
      <c r="KM155" s="3"/>
      <c r="KN155" s="3"/>
      <c r="KO155" s="3"/>
      <c r="KP155" s="3"/>
      <c r="KQ155" s="3"/>
      <c r="KR155" s="3"/>
      <c r="KS155" s="3"/>
      <c r="KT155" s="3"/>
      <c r="KU155" s="3"/>
      <c r="KV155" s="3"/>
      <c r="KW155" s="3"/>
      <c r="KX155" s="3"/>
      <c r="KY155" s="3"/>
      <c r="KZ155" s="3"/>
      <c r="LA155" s="3"/>
      <c r="LB155" s="3"/>
      <c r="LC155" s="3"/>
      <c r="LD155" s="3"/>
      <c r="LE155" s="3"/>
      <c r="LF155" s="3"/>
      <c r="LG155" s="3"/>
      <c r="LH155" s="3"/>
      <c r="LI155" s="3"/>
      <c r="LJ155" s="3"/>
      <c r="LK155" s="3"/>
      <c r="LL155" s="3"/>
      <c r="LM155" s="3"/>
      <c r="LN155" s="3"/>
      <c r="LO155" s="3"/>
      <c r="LP155" s="3"/>
      <c r="LQ155" s="3"/>
      <c r="LR155" s="3"/>
      <c r="LS155" s="3"/>
      <c r="LT155" s="3"/>
      <c r="LU155" s="3"/>
      <c r="LV155" s="3"/>
      <c r="LW155" s="3"/>
      <c r="LX155" s="3"/>
      <c r="LY155" s="3"/>
      <c r="LZ155" s="3"/>
      <c r="MA155" s="3"/>
      <c r="MB155" s="3"/>
      <c r="MC155" s="3"/>
      <c r="MD155" s="3"/>
      <c r="ME155" s="3"/>
      <c r="MF155" s="3"/>
      <c r="MG155" s="3"/>
      <c r="MH155" s="3"/>
      <c r="MI155" s="3"/>
      <c r="MJ155" s="3"/>
      <c r="MK155" s="3"/>
      <c r="ML155" s="3"/>
      <c r="MM155" s="3"/>
      <c r="MN155" s="3"/>
      <c r="MO155" s="3"/>
      <c r="MP155" s="3"/>
      <c r="MQ155" s="3"/>
      <c r="MR155" s="3"/>
      <c r="MS155" s="3"/>
      <c r="MT155" s="3"/>
      <c r="MU155" s="3"/>
      <c r="MV155" s="3"/>
      <c r="MW155" s="3"/>
      <c r="MX155" s="3"/>
      <c r="MY155" s="3"/>
      <c r="MZ155" s="3"/>
      <c r="NA155" s="3"/>
      <c r="NB155" s="3"/>
      <c r="NC155" s="3"/>
      <c r="ND155" s="3"/>
      <c r="NE155" s="3"/>
      <c r="NF155" s="3"/>
      <c r="NG155" s="3"/>
      <c r="NH155" s="3"/>
      <c r="NI155" s="3"/>
      <c r="NJ155" s="3"/>
      <c r="NK155" s="3"/>
      <c r="NL155" s="3"/>
      <c r="NM155" s="3"/>
      <c r="NN155" s="3"/>
      <c r="NO155" s="3"/>
      <c r="NP155" s="3"/>
      <c r="NQ155" s="3"/>
      <c r="NR155" s="3"/>
      <c r="NS155" s="3"/>
      <c r="NT155" s="3"/>
      <c r="NU155" s="3"/>
      <c r="NV155" s="3"/>
      <c r="NW155" s="3"/>
      <c r="NX155" s="3"/>
      <c r="NY155" s="3"/>
      <c r="NZ155" s="3"/>
      <c r="OA155" s="3"/>
      <c r="OB155" s="3"/>
      <c r="OC155" s="3"/>
      <c r="OD155" s="3"/>
      <c r="OE155" s="3"/>
      <c r="OF155" s="3"/>
      <c r="OG155" s="3"/>
      <c r="OH155" s="3"/>
      <c r="OI155" s="3"/>
      <c r="OJ155" s="3"/>
      <c r="OK155" s="3"/>
      <c r="OL155" s="3"/>
      <c r="OM155" s="3"/>
      <c r="ON155" s="3"/>
      <c r="OO155" s="3"/>
      <c r="OP155" s="3"/>
      <c r="OQ155" s="3"/>
      <c r="OR155" s="3"/>
      <c r="OS155" s="3"/>
      <c r="OT155" s="3"/>
      <c r="OU155" s="3"/>
      <c r="OV155" s="3"/>
      <c r="OW155" s="3"/>
      <c r="OX155" s="3"/>
      <c r="OY155" s="3"/>
      <c r="OZ155" s="3"/>
      <c r="PA155" s="3"/>
      <c r="PB155" s="3"/>
      <c r="PC155" s="3"/>
      <c r="PD155" s="3"/>
      <c r="PE155" s="3"/>
      <c r="PF155" s="3"/>
      <c r="PG155" s="3"/>
      <c r="PH155" s="3"/>
      <c r="PI155" s="3"/>
      <c r="PJ155" s="3"/>
      <c r="PK155" s="3"/>
      <c r="PL155" s="3"/>
      <c r="PM155" s="3"/>
      <c r="PN155" s="3"/>
      <c r="PO155" s="3"/>
      <c r="PP155" s="3"/>
      <c r="PQ155" s="3"/>
      <c r="PR155" s="3"/>
      <c r="PS155" s="3"/>
      <c r="PT155" s="3"/>
      <c r="PU155" s="3"/>
      <c r="PV155" s="3"/>
      <c r="PW155" s="3"/>
      <c r="PX155" s="3"/>
      <c r="PY155" s="3"/>
      <c r="PZ155" s="3"/>
      <c r="QA155" s="3"/>
      <c r="QB155" s="3"/>
      <c r="QC155" s="3"/>
      <c r="QD155" s="3"/>
      <c r="QE155" s="3"/>
      <c r="QF155" s="3"/>
      <c r="QG155" s="3"/>
      <c r="QH155" s="3"/>
      <c r="QI155" s="3"/>
      <c r="QJ155" s="3"/>
      <c r="QK155" s="3"/>
      <c r="QL155" s="3"/>
      <c r="QM155" s="3"/>
      <c r="QN155" s="3"/>
      <c r="QO155" s="3"/>
      <c r="QP155" s="3"/>
      <c r="QQ155" s="3"/>
      <c r="QR155" s="3"/>
      <c r="QS155" s="3"/>
      <c r="QT155" s="3"/>
      <c r="QU155" s="3"/>
      <c r="QV155" s="3"/>
      <c r="QW155" s="3"/>
      <c r="QX155" s="3"/>
      <c r="QY155" s="3"/>
      <c r="QZ155" s="3"/>
      <c r="RA155" s="3"/>
      <c r="RB155" s="3"/>
      <c r="RC155" s="3"/>
      <c r="RD155" s="3"/>
      <c r="RE155" s="3"/>
      <c r="RF155" s="3"/>
      <c r="RG155" s="3"/>
      <c r="RH155" s="3"/>
      <c r="RI155" s="3"/>
      <c r="RJ155" s="3"/>
      <c r="RK155" s="3"/>
      <c r="RL155" s="3"/>
      <c r="RM155" s="3"/>
      <c r="RN155" s="3"/>
      <c r="RO155" s="3"/>
      <c r="RP155" s="3"/>
      <c r="RQ155" s="3"/>
      <c r="RR155" s="3"/>
      <c r="RS155" s="3"/>
      <c r="RT155" s="3"/>
      <c r="RU155" s="3"/>
      <c r="RV155" s="3"/>
      <c r="RW155" s="3"/>
      <c r="RX155" s="3"/>
      <c r="RY155" s="3"/>
      <c r="RZ155" s="3"/>
      <c r="SA155" s="3"/>
      <c r="SB155" s="3"/>
      <c r="SC155" s="3"/>
      <c r="SD155" s="3"/>
      <c r="SE155" s="3"/>
      <c r="SF155" s="3"/>
      <c r="SG155" s="3"/>
      <c r="SH155" s="3"/>
      <c r="SI155" s="3"/>
      <c r="SJ155" s="3"/>
      <c r="SK155" s="3"/>
      <c r="SL155" s="3"/>
      <c r="SM155" s="3"/>
      <c r="SN155" s="3"/>
      <c r="SO155" s="3"/>
      <c r="SP155" s="3"/>
      <c r="SQ155" s="3"/>
      <c r="SR155" s="3"/>
      <c r="SS155" s="3"/>
      <c r="ST155" s="3"/>
      <c r="SU155" s="3"/>
      <c r="SV155" s="3"/>
      <c r="SW155" s="3"/>
      <c r="SX155" s="3"/>
      <c r="SY155" s="3"/>
      <c r="SZ155" s="3"/>
      <c r="TA155" s="3"/>
      <c r="TB155" s="3"/>
      <c r="TC155" s="3"/>
      <c r="TD155" s="3"/>
      <c r="TE155" s="3"/>
      <c r="TF155" s="3"/>
      <c r="TG155" s="3"/>
      <c r="TH155" s="3"/>
      <c r="TI155" s="3"/>
      <c r="TJ155" s="3"/>
      <c r="TK155" s="3"/>
      <c r="TL155" s="3"/>
      <c r="TM155" s="3"/>
      <c r="TN155" s="3"/>
      <c r="TO155" s="3"/>
      <c r="TP155" s="3"/>
      <c r="TQ155" s="3"/>
      <c r="TR155" s="3"/>
      <c r="TS155" s="3"/>
      <c r="TT155" s="3"/>
      <c r="TU155" s="3"/>
      <c r="TV155" s="3"/>
      <c r="TW155" s="3"/>
      <c r="TX155" s="3"/>
      <c r="TY155" s="3"/>
      <c r="TZ155" s="3"/>
      <c r="UA155" s="3"/>
      <c r="UB155" s="3"/>
      <c r="UC155" s="3"/>
      <c r="UD155" s="3"/>
      <c r="UE155" s="3"/>
      <c r="UF155" s="3"/>
      <c r="UG155" s="3"/>
      <c r="UH155" s="3"/>
      <c r="UI155" s="3"/>
      <c r="UJ155" s="3"/>
      <c r="UK155" s="3"/>
      <c r="UL155" s="3"/>
      <c r="UM155" s="3"/>
      <c r="UN155" s="3"/>
      <c r="UO155" s="3"/>
      <c r="UP155" s="3"/>
      <c r="UQ155" s="3"/>
      <c r="UR155" s="3"/>
      <c r="US155" s="3"/>
      <c r="UT155" s="3"/>
      <c r="UU155" s="3"/>
      <c r="UV155" s="3"/>
      <c r="UW155" s="3"/>
      <c r="UX155" s="3"/>
      <c r="UY155" s="3"/>
      <c r="UZ155" s="3"/>
      <c r="VA155" s="3"/>
      <c r="VB155" s="3"/>
      <c r="VC155" s="3"/>
      <c r="VD155" s="3"/>
      <c r="VE155" s="3"/>
      <c r="VF155" s="3"/>
      <c r="VG155" s="3"/>
      <c r="VH155" s="3"/>
      <c r="VI155" s="3"/>
      <c r="VJ155" s="3"/>
      <c r="VK155" s="3"/>
      <c r="VL155" s="3"/>
      <c r="VM155" s="3"/>
      <c r="VN155" s="3"/>
      <c r="VO155" s="3"/>
      <c r="VP155" s="3"/>
      <c r="VQ155" s="3"/>
      <c r="VR155" s="3"/>
      <c r="VS155" s="3"/>
      <c r="VT155" s="3"/>
      <c r="VU155" s="3"/>
      <c r="VV155" s="3"/>
      <c r="VW155" s="3"/>
      <c r="VX155" s="3"/>
      <c r="VY155" s="3"/>
      <c r="VZ155" s="3"/>
      <c r="WA155" s="3"/>
      <c r="WB155" s="3"/>
      <c r="WC155" s="3"/>
      <c r="WD155" s="3"/>
      <c r="WE155" s="3"/>
      <c r="WF155" s="3"/>
      <c r="WG155" s="3"/>
      <c r="WH155" s="3"/>
      <c r="WI155" s="3"/>
      <c r="WJ155" s="3"/>
      <c r="WK155" s="3"/>
      <c r="WL155" s="3"/>
      <c r="WM155" s="3"/>
      <c r="WN155" s="3"/>
      <c r="WO155" s="3"/>
      <c r="WP155" s="3"/>
      <c r="WQ155" s="3"/>
      <c r="WR155" s="3"/>
      <c r="WS155" s="3"/>
      <c r="WT155" s="3"/>
      <c r="WU155" s="3"/>
      <c r="WV155" s="3"/>
      <c r="WW155" s="3"/>
      <c r="WX155" s="3"/>
      <c r="WY155" s="3"/>
      <c r="WZ155" s="3"/>
      <c r="XA155" s="3"/>
      <c r="XB155" s="3"/>
      <c r="XC155" s="3"/>
      <c r="XD155" s="3"/>
      <c r="XE155" s="3"/>
      <c r="XF155" s="3"/>
      <c r="XG155" s="3"/>
      <c r="XH155" s="3"/>
      <c r="XI155" s="3"/>
      <c r="XJ155" s="3"/>
      <c r="XK155" s="3"/>
      <c r="XL155" s="3"/>
      <c r="XM155" s="3"/>
      <c r="XN155" s="3"/>
      <c r="XO155" s="3"/>
      <c r="XP155" s="3"/>
      <c r="XQ155" s="3"/>
      <c r="XR155" s="3"/>
      <c r="XS155" s="3"/>
      <c r="XT155" s="3"/>
      <c r="XU155" s="3"/>
      <c r="XV155" s="3"/>
      <c r="XW155" s="3"/>
      <c r="XX155" s="3"/>
      <c r="XY155" s="3"/>
      <c r="XZ155" s="3"/>
      <c r="YA155" s="3"/>
      <c r="YB155" s="3"/>
      <c r="YC155" s="3"/>
      <c r="YD155" s="3"/>
      <c r="YE155" s="3"/>
      <c r="YF155" s="3"/>
      <c r="YG155" s="3"/>
      <c r="YH155" s="3"/>
      <c r="YI155" s="3"/>
      <c r="YJ155" s="3"/>
      <c r="YK155" s="3"/>
      <c r="YL155" s="3"/>
      <c r="YM155" s="3"/>
      <c r="YN155" s="3"/>
      <c r="YO155" s="3"/>
      <c r="YP155" s="3"/>
      <c r="YQ155" s="3"/>
      <c r="YR155" s="3"/>
      <c r="YS155" s="3"/>
      <c r="YT155" s="3"/>
      <c r="YU155" s="3"/>
      <c r="YV155" s="3"/>
      <c r="YW155" s="3"/>
      <c r="YX155" s="3"/>
      <c r="YY155" s="3"/>
      <c r="YZ155" s="3"/>
      <c r="ZA155" s="3"/>
      <c r="ZB155" s="3"/>
      <c r="ZC155" s="3"/>
    </row>
    <row r="156" spans="1:679" s="2" customFormat="1" x14ac:dyDescent="0.45">
      <c r="A156" s="3" t="s">
        <v>11</v>
      </c>
      <c r="B156" s="4">
        <v>34905</v>
      </c>
      <c r="C156" s="7" t="s">
        <v>25</v>
      </c>
      <c r="D156" s="6" t="s">
        <v>171</v>
      </c>
      <c r="E156" s="3"/>
      <c r="F156" s="3">
        <v>25</v>
      </c>
      <c r="L156" s="3"/>
      <c r="M156" s="3"/>
      <c r="N156" s="48"/>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c r="DI156" s="3"/>
      <c r="DJ156" s="3"/>
      <c r="DK156" s="3"/>
      <c r="DL156" s="3"/>
      <c r="DM156" s="3"/>
      <c r="DN156" s="3"/>
      <c r="DO156" s="3"/>
      <c r="DP156" s="3"/>
      <c r="DQ156" s="3"/>
      <c r="DR156" s="3"/>
      <c r="DS156" s="3"/>
      <c r="DT156" s="3"/>
      <c r="DU156" s="3"/>
      <c r="DV156" s="3"/>
      <c r="DW156" s="3"/>
      <c r="DX156" s="3"/>
      <c r="DY156" s="3"/>
      <c r="DZ156" s="3"/>
      <c r="EA156" s="3"/>
      <c r="EB156" s="3"/>
      <c r="EC156" s="3"/>
      <c r="ED156" s="3"/>
      <c r="EE156" s="3"/>
      <c r="EF156" s="3"/>
      <c r="EG156" s="3"/>
      <c r="EH156" s="3"/>
      <c r="EI156" s="3"/>
      <c r="EJ156" s="3"/>
      <c r="EK156" s="3"/>
      <c r="EL156" s="3"/>
      <c r="EM156" s="3"/>
      <c r="EN156" s="3"/>
      <c r="EO156" s="3"/>
      <c r="EP156" s="3"/>
      <c r="EQ156" s="3"/>
      <c r="ER156" s="3"/>
      <c r="ES156" s="3"/>
      <c r="ET156" s="3"/>
      <c r="EU156" s="3"/>
      <c r="EV156" s="3"/>
      <c r="EW156" s="3"/>
      <c r="EX156" s="3"/>
      <c r="EY156" s="3"/>
      <c r="EZ156" s="3"/>
      <c r="FA156" s="3"/>
      <c r="FB156" s="3"/>
      <c r="FC156" s="3"/>
      <c r="FD156" s="3"/>
      <c r="FE156" s="3"/>
      <c r="FF156" s="3"/>
      <c r="FG156" s="3"/>
      <c r="FH156" s="3"/>
      <c r="FI156" s="3"/>
      <c r="FJ156" s="3"/>
      <c r="FK156" s="3"/>
      <c r="FL156" s="3"/>
      <c r="FM156" s="3"/>
      <c r="FN156" s="3"/>
      <c r="FO156" s="3"/>
      <c r="FP156" s="3"/>
      <c r="FQ156" s="3"/>
      <c r="FR156" s="3"/>
      <c r="FS156" s="3"/>
      <c r="FT156" s="3"/>
      <c r="FU156" s="3"/>
      <c r="FV156" s="3"/>
      <c r="FW156" s="3"/>
      <c r="FX156" s="3"/>
      <c r="FY156" s="3"/>
      <c r="FZ156" s="3"/>
      <c r="GA156" s="3"/>
      <c r="GB156" s="3"/>
      <c r="GC156" s="3"/>
      <c r="GD156" s="3"/>
      <c r="GE156" s="3"/>
      <c r="GF156" s="3"/>
      <c r="GG156" s="3"/>
      <c r="GH156" s="3"/>
      <c r="GI156" s="3"/>
      <c r="GJ156" s="3"/>
      <c r="GK156" s="3"/>
      <c r="GL156" s="3"/>
      <c r="GM156" s="3"/>
      <c r="GN156" s="3"/>
      <c r="GO156" s="3"/>
      <c r="GP156" s="3"/>
      <c r="GQ156" s="3"/>
      <c r="GR156" s="3"/>
      <c r="GS156" s="3"/>
      <c r="GT156" s="3"/>
      <c r="GU156" s="3"/>
      <c r="GV156" s="3"/>
      <c r="GW156" s="3"/>
      <c r="GX156" s="3"/>
      <c r="GY156" s="3"/>
      <c r="GZ156" s="3"/>
      <c r="HA156" s="3"/>
      <c r="HB156" s="3"/>
      <c r="HC156" s="3"/>
      <c r="HD156" s="3"/>
      <c r="HE156" s="3"/>
      <c r="HF156" s="3"/>
      <c r="HG156" s="3"/>
      <c r="HH156" s="3"/>
      <c r="HI156" s="3"/>
      <c r="HJ156" s="3"/>
      <c r="HK156" s="3"/>
      <c r="HL156" s="3"/>
      <c r="HM156" s="3"/>
      <c r="HN156" s="3"/>
      <c r="HO156" s="3"/>
      <c r="HP156" s="3"/>
      <c r="HQ156" s="3"/>
      <c r="HR156" s="3"/>
      <c r="HS156" s="3"/>
      <c r="HT156" s="3"/>
      <c r="HU156" s="3"/>
      <c r="HV156" s="3"/>
      <c r="HW156" s="3"/>
      <c r="HX156" s="3"/>
      <c r="HY156" s="3"/>
      <c r="HZ156" s="3"/>
      <c r="IA156" s="3"/>
      <c r="IB156" s="3"/>
      <c r="IC156" s="3"/>
      <c r="ID156" s="3"/>
      <c r="IE156" s="3"/>
      <c r="IF156" s="3"/>
      <c r="IG156" s="3"/>
      <c r="IH156" s="3"/>
      <c r="II156" s="3"/>
      <c r="IJ156" s="3"/>
      <c r="IK156" s="3"/>
      <c r="IL156" s="3"/>
      <c r="IM156" s="3"/>
      <c r="IN156" s="3"/>
      <c r="IO156" s="3"/>
      <c r="IP156" s="3"/>
      <c r="IQ156" s="3"/>
      <c r="IR156" s="3"/>
      <c r="IS156" s="3"/>
      <c r="IT156" s="3"/>
      <c r="IU156" s="3"/>
      <c r="IV156" s="3"/>
      <c r="IW156" s="3"/>
      <c r="IX156" s="3"/>
      <c r="IY156" s="3"/>
      <c r="IZ156" s="3"/>
      <c r="JA156" s="3"/>
      <c r="JB156" s="3"/>
      <c r="JC156" s="3"/>
      <c r="JD156" s="3"/>
      <c r="JE156" s="3"/>
      <c r="JF156" s="3"/>
      <c r="JG156" s="3"/>
      <c r="JH156" s="3"/>
      <c r="JI156" s="3"/>
      <c r="JJ156" s="3"/>
      <c r="JK156" s="3"/>
      <c r="JL156" s="3"/>
      <c r="JM156" s="3"/>
      <c r="JN156" s="3"/>
      <c r="JO156" s="3"/>
      <c r="JP156" s="3"/>
      <c r="JQ156" s="3"/>
      <c r="JR156" s="3"/>
      <c r="JS156" s="3"/>
      <c r="JT156" s="3"/>
      <c r="JU156" s="3"/>
      <c r="JV156" s="3"/>
      <c r="JW156" s="3"/>
      <c r="JX156" s="3"/>
      <c r="JY156" s="3"/>
      <c r="JZ156" s="3"/>
      <c r="KA156" s="3"/>
      <c r="KB156" s="3"/>
      <c r="KC156" s="3"/>
      <c r="KD156" s="3"/>
      <c r="KE156" s="3"/>
      <c r="KF156" s="3"/>
      <c r="KG156" s="3"/>
      <c r="KH156" s="3"/>
      <c r="KI156" s="3"/>
      <c r="KJ156" s="3"/>
      <c r="KK156" s="3"/>
      <c r="KL156" s="3"/>
      <c r="KM156" s="3"/>
      <c r="KN156" s="3"/>
      <c r="KO156" s="3"/>
      <c r="KP156" s="3"/>
      <c r="KQ156" s="3"/>
      <c r="KR156" s="3"/>
      <c r="KS156" s="3"/>
      <c r="KT156" s="3"/>
      <c r="KU156" s="3"/>
      <c r="KV156" s="3"/>
      <c r="KW156" s="3"/>
      <c r="KX156" s="3"/>
      <c r="KY156" s="3"/>
      <c r="KZ156" s="3"/>
      <c r="LA156" s="3"/>
      <c r="LB156" s="3"/>
      <c r="LC156" s="3"/>
      <c r="LD156" s="3"/>
      <c r="LE156" s="3"/>
      <c r="LF156" s="3"/>
      <c r="LG156" s="3"/>
      <c r="LH156" s="3"/>
      <c r="LI156" s="3"/>
      <c r="LJ156" s="3"/>
      <c r="LK156" s="3"/>
      <c r="LL156" s="3"/>
      <c r="LM156" s="3"/>
      <c r="LN156" s="3"/>
      <c r="LO156" s="3"/>
      <c r="LP156" s="3"/>
      <c r="LQ156" s="3"/>
      <c r="LR156" s="3"/>
      <c r="LS156" s="3"/>
      <c r="LT156" s="3"/>
      <c r="LU156" s="3"/>
      <c r="LV156" s="3"/>
      <c r="LW156" s="3"/>
      <c r="LX156" s="3"/>
      <c r="LY156" s="3"/>
      <c r="LZ156" s="3"/>
      <c r="MA156" s="3"/>
      <c r="MB156" s="3"/>
      <c r="MC156" s="3"/>
      <c r="MD156" s="3"/>
      <c r="ME156" s="3"/>
      <c r="MF156" s="3"/>
      <c r="MG156" s="3"/>
      <c r="MH156" s="3"/>
      <c r="MI156" s="3"/>
      <c r="MJ156" s="3"/>
      <c r="MK156" s="3"/>
      <c r="ML156" s="3"/>
      <c r="MM156" s="3"/>
      <c r="MN156" s="3"/>
      <c r="MO156" s="3"/>
      <c r="MP156" s="3"/>
      <c r="MQ156" s="3"/>
      <c r="MR156" s="3"/>
      <c r="MS156" s="3"/>
      <c r="MT156" s="3"/>
      <c r="MU156" s="3"/>
      <c r="MV156" s="3"/>
      <c r="MW156" s="3"/>
      <c r="MX156" s="3"/>
      <c r="MY156" s="3"/>
      <c r="MZ156" s="3"/>
      <c r="NA156" s="3"/>
      <c r="NB156" s="3"/>
      <c r="NC156" s="3"/>
      <c r="ND156" s="3"/>
      <c r="NE156" s="3"/>
      <c r="NF156" s="3"/>
      <c r="NG156" s="3"/>
      <c r="NH156" s="3"/>
      <c r="NI156" s="3"/>
      <c r="NJ156" s="3"/>
      <c r="NK156" s="3"/>
      <c r="NL156" s="3"/>
      <c r="NM156" s="3"/>
      <c r="NN156" s="3"/>
      <c r="NO156" s="3"/>
      <c r="NP156" s="3"/>
      <c r="NQ156" s="3"/>
      <c r="NR156" s="3"/>
      <c r="NS156" s="3"/>
      <c r="NT156" s="3"/>
      <c r="NU156" s="3"/>
      <c r="NV156" s="3"/>
      <c r="NW156" s="3"/>
      <c r="NX156" s="3"/>
      <c r="NY156" s="3"/>
      <c r="NZ156" s="3"/>
      <c r="OA156" s="3"/>
      <c r="OB156" s="3"/>
      <c r="OC156" s="3"/>
      <c r="OD156" s="3"/>
      <c r="OE156" s="3"/>
      <c r="OF156" s="3"/>
      <c r="OG156" s="3"/>
      <c r="OH156" s="3"/>
      <c r="OI156" s="3"/>
      <c r="OJ156" s="3"/>
      <c r="OK156" s="3"/>
      <c r="OL156" s="3"/>
      <c r="OM156" s="3"/>
      <c r="ON156" s="3"/>
      <c r="OO156" s="3"/>
      <c r="OP156" s="3"/>
      <c r="OQ156" s="3"/>
      <c r="OR156" s="3"/>
      <c r="OS156" s="3"/>
      <c r="OT156" s="3"/>
      <c r="OU156" s="3"/>
      <c r="OV156" s="3"/>
      <c r="OW156" s="3"/>
      <c r="OX156" s="3"/>
      <c r="OY156" s="3"/>
      <c r="OZ156" s="3"/>
      <c r="PA156" s="3"/>
      <c r="PB156" s="3"/>
      <c r="PC156" s="3"/>
      <c r="PD156" s="3"/>
      <c r="PE156" s="3"/>
      <c r="PF156" s="3"/>
      <c r="PG156" s="3"/>
      <c r="PH156" s="3"/>
      <c r="PI156" s="3"/>
      <c r="PJ156" s="3"/>
      <c r="PK156" s="3"/>
      <c r="PL156" s="3"/>
      <c r="PM156" s="3"/>
      <c r="PN156" s="3"/>
      <c r="PO156" s="3"/>
      <c r="PP156" s="3"/>
      <c r="PQ156" s="3"/>
      <c r="PR156" s="3"/>
      <c r="PS156" s="3"/>
      <c r="PT156" s="3"/>
      <c r="PU156" s="3"/>
      <c r="PV156" s="3"/>
      <c r="PW156" s="3"/>
      <c r="PX156" s="3"/>
      <c r="PY156" s="3"/>
      <c r="PZ156" s="3"/>
      <c r="QA156" s="3"/>
      <c r="QB156" s="3"/>
      <c r="QC156" s="3"/>
      <c r="QD156" s="3"/>
      <c r="QE156" s="3"/>
      <c r="QF156" s="3"/>
      <c r="QG156" s="3"/>
      <c r="QH156" s="3"/>
      <c r="QI156" s="3"/>
      <c r="QJ156" s="3"/>
      <c r="QK156" s="3"/>
      <c r="QL156" s="3"/>
      <c r="QM156" s="3"/>
      <c r="QN156" s="3"/>
      <c r="QO156" s="3"/>
      <c r="QP156" s="3"/>
      <c r="QQ156" s="3"/>
      <c r="QR156" s="3"/>
      <c r="QS156" s="3"/>
      <c r="QT156" s="3"/>
      <c r="QU156" s="3"/>
      <c r="QV156" s="3"/>
      <c r="QW156" s="3"/>
      <c r="QX156" s="3"/>
      <c r="QY156" s="3"/>
      <c r="QZ156" s="3"/>
      <c r="RA156" s="3"/>
      <c r="RB156" s="3"/>
      <c r="RC156" s="3"/>
      <c r="RD156" s="3"/>
      <c r="RE156" s="3"/>
      <c r="RF156" s="3"/>
      <c r="RG156" s="3"/>
      <c r="RH156" s="3"/>
      <c r="RI156" s="3"/>
      <c r="RJ156" s="3"/>
      <c r="RK156" s="3"/>
      <c r="RL156" s="3"/>
      <c r="RM156" s="3"/>
      <c r="RN156" s="3"/>
      <c r="RO156" s="3"/>
      <c r="RP156" s="3"/>
      <c r="RQ156" s="3"/>
      <c r="RR156" s="3"/>
      <c r="RS156" s="3"/>
      <c r="RT156" s="3"/>
      <c r="RU156" s="3"/>
      <c r="RV156" s="3"/>
      <c r="RW156" s="3"/>
      <c r="RX156" s="3"/>
      <c r="RY156" s="3"/>
      <c r="RZ156" s="3"/>
      <c r="SA156" s="3"/>
      <c r="SB156" s="3"/>
      <c r="SC156" s="3"/>
      <c r="SD156" s="3"/>
      <c r="SE156" s="3"/>
      <c r="SF156" s="3"/>
      <c r="SG156" s="3"/>
      <c r="SH156" s="3"/>
      <c r="SI156" s="3"/>
      <c r="SJ156" s="3"/>
      <c r="SK156" s="3"/>
      <c r="SL156" s="3"/>
      <c r="SM156" s="3"/>
      <c r="SN156" s="3"/>
      <c r="SO156" s="3"/>
      <c r="SP156" s="3"/>
      <c r="SQ156" s="3"/>
      <c r="SR156" s="3"/>
      <c r="SS156" s="3"/>
      <c r="ST156" s="3"/>
      <c r="SU156" s="3"/>
      <c r="SV156" s="3"/>
      <c r="SW156" s="3"/>
      <c r="SX156" s="3"/>
      <c r="SY156" s="3"/>
      <c r="SZ156" s="3"/>
      <c r="TA156" s="3"/>
      <c r="TB156" s="3"/>
      <c r="TC156" s="3"/>
      <c r="TD156" s="3"/>
      <c r="TE156" s="3"/>
      <c r="TF156" s="3"/>
      <c r="TG156" s="3"/>
      <c r="TH156" s="3"/>
      <c r="TI156" s="3"/>
      <c r="TJ156" s="3"/>
      <c r="TK156" s="3"/>
      <c r="TL156" s="3"/>
      <c r="TM156" s="3"/>
      <c r="TN156" s="3"/>
      <c r="TO156" s="3"/>
      <c r="TP156" s="3"/>
      <c r="TQ156" s="3"/>
      <c r="TR156" s="3"/>
      <c r="TS156" s="3"/>
      <c r="TT156" s="3"/>
      <c r="TU156" s="3"/>
      <c r="TV156" s="3"/>
      <c r="TW156" s="3"/>
      <c r="TX156" s="3"/>
      <c r="TY156" s="3"/>
      <c r="TZ156" s="3"/>
      <c r="UA156" s="3"/>
      <c r="UB156" s="3"/>
      <c r="UC156" s="3"/>
      <c r="UD156" s="3"/>
      <c r="UE156" s="3"/>
      <c r="UF156" s="3"/>
      <c r="UG156" s="3"/>
      <c r="UH156" s="3"/>
      <c r="UI156" s="3"/>
      <c r="UJ156" s="3"/>
      <c r="UK156" s="3"/>
      <c r="UL156" s="3"/>
      <c r="UM156" s="3"/>
      <c r="UN156" s="3"/>
      <c r="UO156" s="3"/>
      <c r="UP156" s="3"/>
      <c r="UQ156" s="3"/>
      <c r="UR156" s="3"/>
      <c r="US156" s="3"/>
      <c r="UT156" s="3"/>
      <c r="UU156" s="3"/>
      <c r="UV156" s="3"/>
      <c r="UW156" s="3"/>
      <c r="UX156" s="3"/>
      <c r="UY156" s="3"/>
      <c r="UZ156" s="3"/>
      <c r="VA156" s="3"/>
      <c r="VB156" s="3"/>
      <c r="VC156" s="3"/>
      <c r="VD156" s="3"/>
      <c r="VE156" s="3"/>
      <c r="VF156" s="3"/>
      <c r="VG156" s="3"/>
      <c r="VH156" s="3"/>
      <c r="VI156" s="3"/>
      <c r="VJ156" s="3"/>
      <c r="VK156" s="3"/>
      <c r="VL156" s="3"/>
      <c r="VM156" s="3"/>
      <c r="VN156" s="3"/>
      <c r="VO156" s="3"/>
      <c r="VP156" s="3"/>
      <c r="VQ156" s="3"/>
      <c r="VR156" s="3"/>
      <c r="VS156" s="3"/>
      <c r="VT156" s="3"/>
      <c r="VU156" s="3"/>
      <c r="VV156" s="3"/>
      <c r="VW156" s="3"/>
      <c r="VX156" s="3"/>
      <c r="VY156" s="3"/>
      <c r="VZ156" s="3"/>
      <c r="WA156" s="3"/>
      <c r="WB156" s="3"/>
      <c r="WC156" s="3"/>
      <c r="WD156" s="3"/>
      <c r="WE156" s="3"/>
      <c r="WF156" s="3"/>
      <c r="WG156" s="3"/>
      <c r="WH156" s="3"/>
      <c r="WI156" s="3"/>
      <c r="WJ156" s="3"/>
      <c r="WK156" s="3"/>
      <c r="WL156" s="3"/>
      <c r="WM156" s="3"/>
      <c r="WN156" s="3"/>
      <c r="WO156" s="3"/>
      <c r="WP156" s="3"/>
      <c r="WQ156" s="3"/>
      <c r="WR156" s="3"/>
      <c r="WS156" s="3"/>
      <c r="WT156" s="3"/>
      <c r="WU156" s="3"/>
      <c r="WV156" s="3"/>
      <c r="WW156" s="3"/>
      <c r="WX156" s="3"/>
      <c r="WY156" s="3"/>
      <c r="WZ156" s="3"/>
      <c r="XA156" s="3"/>
      <c r="XB156" s="3"/>
      <c r="XC156" s="3"/>
      <c r="XD156" s="3"/>
      <c r="XE156" s="3"/>
      <c r="XF156" s="3"/>
      <c r="XG156" s="3"/>
      <c r="XH156" s="3"/>
      <c r="XI156" s="3"/>
      <c r="XJ156" s="3"/>
      <c r="XK156" s="3"/>
      <c r="XL156" s="3"/>
      <c r="XM156" s="3"/>
      <c r="XN156" s="3"/>
      <c r="XO156" s="3"/>
      <c r="XP156" s="3"/>
      <c r="XQ156" s="3"/>
      <c r="XR156" s="3"/>
      <c r="XS156" s="3"/>
      <c r="XT156" s="3"/>
      <c r="XU156" s="3"/>
      <c r="XV156" s="3"/>
      <c r="XW156" s="3"/>
      <c r="XX156" s="3"/>
      <c r="XY156" s="3"/>
      <c r="XZ156" s="3"/>
      <c r="YA156" s="3"/>
      <c r="YB156" s="3"/>
      <c r="YC156" s="3"/>
      <c r="YD156" s="3"/>
      <c r="YE156" s="3"/>
      <c r="YF156" s="3"/>
      <c r="YG156" s="3"/>
      <c r="YH156" s="3"/>
      <c r="YI156" s="3"/>
      <c r="YJ156" s="3"/>
      <c r="YK156" s="3"/>
      <c r="YL156" s="3"/>
      <c r="YM156" s="3"/>
      <c r="YN156" s="3"/>
      <c r="YO156" s="3"/>
      <c r="YP156" s="3"/>
      <c r="YQ156" s="3"/>
      <c r="YR156" s="3"/>
      <c r="YS156" s="3"/>
      <c r="YT156" s="3"/>
      <c r="YU156" s="3"/>
      <c r="YV156" s="3"/>
      <c r="YW156" s="3"/>
      <c r="YX156" s="3"/>
      <c r="YY156" s="3"/>
      <c r="YZ156" s="3"/>
      <c r="ZA156" s="3"/>
      <c r="ZB156" s="3"/>
      <c r="ZC156" s="3"/>
    </row>
    <row r="157" spans="1:679" s="2" customFormat="1" x14ac:dyDescent="0.45">
      <c r="A157" s="3" t="s">
        <v>11</v>
      </c>
      <c r="B157" s="4">
        <v>34922</v>
      </c>
      <c r="C157" s="7" t="s">
        <v>21</v>
      </c>
      <c r="D157" s="6" t="s">
        <v>172</v>
      </c>
      <c r="E157" s="3"/>
      <c r="F157" s="3">
        <v>4</v>
      </c>
      <c r="L157" s="3"/>
      <c r="M157" s="3"/>
      <c r="N157" s="48"/>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c r="DE157" s="3"/>
      <c r="DF157" s="3"/>
      <c r="DG157" s="3"/>
      <c r="DH157" s="3"/>
      <c r="DI157" s="3"/>
      <c r="DJ157" s="3"/>
      <c r="DK157" s="3"/>
      <c r="DL157" s="3"/>
      <c r="DM157" s="3"/>
      <c r="DN157" s="3"/>
      <c r="DO157" s="3"/>
      <c r="DP157" s="3"/>
      <c r="DQ157" s="3"/>
      <c r="DR157" s="3"/>
      <c r="DS157" s="3"/>
      <c r="DT157" s="3"/>
      <c r="DU157" s="3"/>
      <c r="DV157" s="3"/>
      <c r="DW157" s="3"/>
      <c r="DX157" s="3"/>
      <c r="DY157" s="3"/>
      <c r="DZ157" s="3"/>
      <c r="EA157" s="3"/>
      <c r="EB157" s="3"/>
      <c r="EC157" s="3"/>
      <c r="ED157" s="3"/>
      <c r="EE157" s="3"/>
      <c r="EF157" s="3"/>
      <c r="EG157" s="3"/>
      <c r="EH157" s="3"/>
      <c r="EI157" s="3"/>
      <c r="EJ157" s="3"/>
      <c r="EK157" s="3"/>
      <c r="EL157" s="3"/>
      <c r="EM157" s="3"/>
      <c r="EN157" s="3"/>
      <c r="EO157" s="3"/>
      <c r="EP157" s="3"/>
      <c r="EQ157" s="3"/>
      <c r="ER157" s="3"/>
      <c r="ES157" s="3"/>
      <c r="ET157" s="3"/>
      <c r="EU157" s="3"/>
      <c r="EV157" s="3"/>
      <c r="EW157" s="3"/>
      <c r="EX157" s="3"/>
      <c r="EY157" s="3"/>
      <c r="EZ157" s="3"/>
      <c r="FA157" s="3"/>
      <c r="FB157" s="3"/>
      <c r="FC157" s="3"/>
      <c r="FD157" s="3"/>
      <c r="FE157" s="3"/>
      <c r="FF157" s="3"/>
      <c r="FG157" s="3"/>
      <c r="FH157" s="3"/>
      <c r="FI157" s="3"/>
      <c r="FJ157" s="3"/>
      <c r="FK157" s="3"/>
      <c r="FL157" s="3"/>
      <c r="FM157" s="3"/>
      <c r="FN157" s="3"/>
      <c r="FO157" s="3"/>
      <c r="FP157" s="3"/>
      <c r="FQ157" s="3"/>
      <c r="FR157" s="3"/>
      <c r="FS157" s="3"/>
      <c r="FT157" s="3"/>
      <c r="FU157" s="3"/>
      <c r="FV157" s="3"/>
      <c r="FW157" s="3"/>
      <c r="FX157" s="3"/>
      <c r="FY157" s="3"/>
      <c r="FZ157" s="3"/>
      <c r="GA157" s="3"/>
      <c r="GB157" s="3"/>
      <c r="GC157" s="3"/>
      <c r="GD157" s="3"/>
      <c r="GE157" s="3"/>
      <c r="GF157" s="3"/>
      <c r="GG157" s="3"/>
      <c r="GH157" s="3"/>
      <c r="GI157" s="3"/>
      <c r="GJ157" s="3"/>
      <c r="GK157" s="3"/>
      <c r="GL157" s="3"/>
      <c r="GM157" s="3"/>
      <c r="GN157" s="3"/>
      <c r="GO157" s="3"/>
      <c r="GP157" s="3"/>
      <c r="GQ157" s="3"/>
      <c r="GR157" s="3"/>
      <c r="GS157" s="3"/>
      <c r="GT157" s="3"/>
      <c r="GU157" s="3"/>
      <c r="GV157" s="3"/>
      <c r="GW157" s="3"/>
      <c r="GX157" s="3"/>
      <c r="GY157" s="3"/>
      <c r="GZ157" s="3"/>
      <c r="HA157" s="3"/>
      <c r="HB157" s="3"/>
      <c r="HC157" s="3"/>
      <c r="HD157" s="3"/>
      <c r="HE157" s="3"/>
      <c r="HF157" s="3"/>
      <c r="HG157" s="3"/>
      <c r="HH157" s="3"/>
      <c r="HI157" s="3"/>
      <c r="HJ157" s="3"/>
      <c r="HK157" s="3"/>
      <c r="HL157" s="3"/>
      <c r="HM157" s="3"/>
      <c r="HN157" s="3"/>
      <c r="HO157" s="3"/>
      <c r="HP157" s="3"/>
      <c r="HQ157" s="3"/>
      <c r="HR157" s="3"/>
      <c r="HS157" s="3"/>
      <c r="HT157" s="3"/>
      <c r="HU157" s="3"/>
      <c r="HV157" s="3"/>
      <c r="HW157" s="3"/>
      <c r="HX157" s="3"/>
      <c r="HY157" s="3"/>
      <c r="HZ157" s="3"/>
      <c r="IA157" s="3"/>
      <c r="IB157" s="3"/>
      <c r="IC157" s="3"/>
      <c r="ID157" s="3"/>
      <c r="IE157" s="3"/>
      <c r="IF157" s="3"/>
      <c r="IG157" s="3"/>
      <c r="IH157" s="3"/>
      <c r="II157" s="3"/>
      <c r="IJ157" s="3"/>
      <c r="IK157" s="3"/>
      <c r="IL157" s="3"/>
      <c r="IM157" s="3"/>
      <c r="IN157" s="3"/>
      <c r="IO157" s="3"/>
      <c r="IP157" s="3"/>
      <c r="IQ157" s="3"/>
      <c r="IR157" s="3"/>
      <c r="IS157" s="3"/>
      <c r="IT157" s="3"/>
      <c r="IU157" s="3"/>
      <c r="IV157" s="3"/>
      <c r="IW157" s="3"/>
      <c r="IX157" s="3"/>
      <c r="IY157" s="3"/>
      <c r="IZ157" s="3"/>
      <c r="JA157" s="3"/>
      <c r="JB157" s="3"/>
      <c r="JC157" s="3"/>
      <c r="JD157" s="3"/>
      <c r="JE157" s="3"/>
      <c r="JF157" s="3"/>
      <c r="JG157" s="3"/>
      <c r="JH157" s="3"/>
      <c r="JI157" s="3"/>
      <c r="JJ157" s="3"/>
      <c r="JK157" s="3"/>
      <c r="JL157" s="3"/>
      <c r="JM157" s="3"/>
      <c r="JN157" s="3"/>
      <c r="JO157" s="3"/>
      <c r="JP157" s="3"/>
      <c r="JQ157" s="3"/>
      <c r="JR157" s="3"/>
      <c r="JS157" s="3"/>
      <c r="JT157" s="3"/>
      <c r="JU157" s="3"/>
      <c r="JV157" s="3"/>
      <c r="JW157" s="3"/>
      <c r="JX157" s="3"/>
      <c r="JY157" s="3"/>
      <c r="JZ157" s="3"/>
      <c r="KA157" s="3"/>
      <c r="KB157" s="3"/>
      <c r="KC157" s="3"/>
      <c r="KD157" s="3"/>
      <c r="KE157" s="3"/>
      <c r="KF157" s="3"/>
      <c r="KG157" s="3"/>
      <c r="KH157" s="3"/>
      <c r="KI157" s="3"/>
      <c r="KJ157" s="3"/>
      <c r="KK157" s="3"/>
      <c r="KL157" s="3"/>
      <c r="KM157" s="3"/>
      <c r="KN157" s="3"/>
      <c r="KO157" s="3"/>
      <c r="KP157" s="3"/>
      <c r="KQ157" s="3"/>
      <c r="KR157" s="3"/>
      <c r="KS157" s="3"/>
      <c r="KT157" s="3"/>
      <c r="KU157" s="3"/>
      <c r="KV157" s="3"/>
      <c r="KW157" s="3"/>
      <c r="KX157" s="3"/>
      <c r="KY157" s="3"/>
      <c r="KZ157" s="3"/>
      <c r="LA157" s="3"/>
      <c r="LB157" s="3"/>
      <c r="LC157" s="3"/>
      <c r="LD157" s="3"/>
      <c r="LE157" s="3"/>
      <c r="LF157" s="3"/>
      <c r="LG157" s="3"/>
      <c r="LH157" s="3"/>
      <c r="LI157" s="3"/>
      <c r="LJ157" s="3"/>
      <c r="LK157" s="3"/>
      <c r="LL157" s="3"/>
      <c r="LM157" s="3"/>
      <c r="LN157" s="3"/>
      <c r="LO157" s="3"/>
      <c r="LP157" s="3"/>
      <c r="LQ157" s="3"/>
      <c r="LR157" s="3"/>
      <c r="LS157" s="3"/>
      <c r="LT157" s="3"/>
      <c r="LU157" s="3"/>
      <c r="LV157" s="3"/>
      <c r="LW157" s="3"/>
      <c r="LX157" s="3"/>
      <c r="LY157" s="3"/>
      <c r="LZ157" s="3"/>
      <c r="MA157" s="3"/>
      <c r="MB157" s="3"/>
      <c r="MC157" s="3"/>
      <c r="MD157" s="3"/>
      <c r="ME157" s="3"/>
      <c r="MF157" s="3"/>
      <c r="MG157" s="3"/>
      <c r="MH157" s="3"/>
      <c r="MI157" s="3"/>
      <c r="MJ157" s="3"/>
      <c r="MK157" s="3"/>
      <c r="ML157" s="3"/>
      <c r="MM157" s="3"/>
      <c r="MN157" s="3"/>
      <c r="MO157" s="3"/>
      <c r="MP157" s="3"/>
      <c r="MQ157" s="3"/>
      <c r="MR157" s="3"/>
      <c r="MS157" s="3"/>
      <c r="MT157" s="3"/>
      <c r="MU157" s="3"/>
      <c r="MV157" s="3"/>
      <c r="MW157" s="3"/>
      <c r="MX157" s="3"/>
      <c r="MY157" s="3"/>
      <c r="MZ157" s="3"/>
      <c r="NA157" s="3"/>
      <c r="NB157" s="3"/>
      <c r="NC157" s="3"/>
      <c r="ND157" s="3"/>
      <c r="NE157" s="3"/>
      <c r="NF157" s="3"/>
      <c r="NG157" s="3"/>
      <c r="NH157" s="3"/>
      <c r="NI157" s="3"/>
      <c r="NJ157" s="3"/>
      <c r="NK157" s="3"/>
      <c r="NL157" s="3"/>
      <c r="NM157" s="3"/>
      <c r="NN157" s="3"/>
      <c r="NO157" s="3"/>
      <c r="NP157" s="3"/>
      <c r="NQ157" s="3"/>
      <c r="NR157" s="3"/>
      <c r="NS157" s="3"/>
      <c r="NT157" s="3"/>
      <c r="NU157" s="3"/>
      <c r="NV157" s="3"/>
      <c r="NW157" s="3"/>
      <c r="NX157" s="3"/>
      <c r="NY157" s="3"/>
      <c r="NZ157" s="3"/>
      <c r="OA157" s="3"/>
      <c r="OB157" s="3"/>
      <c r="OC157" s="3"/>
      <c r="OD157" s="3"/>
      <c r="OE157" s="3"/>
      <c r="OF157" s="3"/>
      <c r="OG157" s="3"/>
      <c r="OH157" s="3"/>
      <c r="OI157" s="3"/>
      <c r="OJ157" s="3"/>
      <c r="OK157" s="3"/>
      <c r="OL157" s="3"/>
      <c r="OM157" s="3"/>
      <c r="ON157" s="3"/>
      <c r="OO157" s="3"/>
      <c r="OP157" s="3"/>
      <c r="OQ157" s="3"/>
      <c r="OR157" s="3"/>
      <c r="OS157" s="3"/>
      <c r="OT157" s="3"/>
      <c r="OU157" s="3"/>
      <c r="OV157" s="3"/>
      <c r="OW157" s="3"/>
      <c r="OX157" s="3"/>
      <c r="OY157" s="3"/>
      <c r="OZ157" s="3"/>
      <c r="PA157" s="3"/>
      <c r="PB157" s="3"/>
      <c r="PC157" s="3"/>
      <c r="PD157" s="3"/>
      <c r="PE157" s="3"/>
      <c r="PF157" s="3"/>
      <c r="PG157" s="3"/>
      <c r="PH157" s="3"/>
      <c r="PI157" s="3"/>
      <c r="PJ157" s="3"/>
      <c r="PK157" s="3"/>
      <c r="PL157" s="3"/>
      <c r="PM157" s="3"/>
      <c r="PN157" s="3"/>
      <c r="PO157" s="3"/>
      <c r="PP157" s="3"/>
      <c r="PQ157" s="3"/>
      <c r="PR157" s="3"/>
      <c r="PS157" s="3"/>
      <c r="PT157" s="3"/>
      <c r="PU157" s="3"/>
      <c r="PV157" s="3"/>
      <c r="PW157" s="3"/>
      <c r="PX157" s="3"/>
      <c r="PY157" s="3"/>
      <c r="PZ157" s="3"/>
      <c r="QA157" s="3"/>
      <c r="QB157" s="3"/>
      <c r="QC157" s="3"/>
      <c r="QD157" s="3"/>
      <c r="QE157" s="3"/>
      <c r="QF157" s="3"/>
      <c r="QG157" s="3"/>
      <c r="QH157" s="3"/>
      <c r="QI157" s="3"/>
      <c r="QJ157" s="3"/>
      <c r="QK157" s="3"/>
      <c r="QL157" s="3"/>
      <c r="QM157" s="3"/>
      <c r="QN157" s="3"/>
      <c r="QO157" s="3"/>
      <c r="QP157" s="3"/>
      <c r="QQ157" s="3"/>
      <c r="QR157" s="3"/>
      <c r="QS157" s="3"/>
      <c r="QT157" s="3"/>
      <c r="QU157" s="3"/>
      <c r="QV157" s="3"/>
      <c r="QW157" s="3"/>
      <c r="QX157" s="3"/>
      <c r="QY157" s="3"/>
      <c r="QZ157" s="3"/>
      <c r="RA157" s="3"/>
      <c r="RB157" s="3"/>
      <c r="RC157" s="3"/>
      <c r="RD157" s="3"/>
      <c r="RE157" s="3"/>
      <c r="RF157" s="3"/>
      <c r="RG157" s="3"/>
      <c r="RH157" s="3"/>
      <c r="RI157" s="3"/>
      <c r="RJ157" s="3"/>
      <c r="RK157" s="3"/>
      <c r="RL157" s="3"/>
      <c r="RM157" s="3"/>
      <c r="RN157" s="3"/>
      <c r="RO157" s="3"/>
      <c r="RP157" s="3"/>
      <c r="RQ157" s="3"/>
      <c r="RR157" s="3"/>
      <c r="RS157" s="3"/>
      <c r="RT157" s="3"/>
      <c r="RU157" s="3"/>
      <c r="RV157" s="3"/>
      <c r="RW157" s="3"/>
      <c r="RX157" s="3"/>
      <c r="RY157" s="3"/>
      <c r="RZ157" s="3"/>
      <c r="SA157" s="3"/>
      <c r="SB157" s="3"/>
      <c r="SC157" s="3"/>
      <c r="SD157" s="3"/>
      <c r="SE157" s="3"/>
      <c r="SF157" s="3"/>
      <c r="SG157" s="3"/>
      <c r="SH157" s="3"/>
      <c r="SI157" s="3"/>
      <c r="SJ157" s="3"/>
      <c r="SK157" s="3"/>
      <c r="SL157" s="3"/>
      <c r="SM157" s="3"/>
      <c r="SN157" s="3"/>
      <c r="SO157" s="3"/>
      <c r="SP157" s="3"/>
      <c r="SQ157" s="3"/>
      <c r="SR157" s="3"/>
      <c r="SS157" s="3"/>
      <c r="ST157" s="3"/>
      <c r="SU157" s="3"/>
      <c r="SV157" s="3"/>
      <c r="SW157" s="3"/>
      <c r="SX157" s="3"/>
      <c r="SY157" s="3"/>
      <c r="SZ157" s="3"/>
      <c r="TA157" s="3"/>
      <c r="TB157" s="3"/>
      <c r="TC157" s="3"/>
      <c r="TD157" s="3"/>
      <c r="TE157" s="3"/>
      <c r="TF157" s="3"/>
      <c r="TG157" s="3"/>
      <c r="TH157" s="3"/>
      <c r="TI157" s="3"/>
      <c r="TJ157" s="3"/>
      <c r="TK157" s="3"/>
      <c r="TL157" s="3"/>
      <c r="TM157" s="3"/>
      <c r="TN157" s="3"/>
      <c r="TO157" s="3"/>
      <c r="TP157" s="3"/>
      <c r="TQ157" s="3"/>
      <c r="TR157" s="3"/>
      <c r="TS157" s="3"/>
      <c r="TT157" s="3"/>
      <c r="TU157" s="3"/>
      <c r="TV157" s="3"/>
      <c r="TW157" s="3"/>
      <c r="TX157" s="3"/>
      <c r="TY157" s="3"/>
      <c r="TZ157" s="3"/>
      <c r="UA157" s="3"/>
      <c r="UB157" s="3"/>
      <c r="UC157" s="3"/>
      <c r="UD157" s="3"/>
      <c r="UE157" s="3"/>
      <c r="UF157" s="3"/>
      <c r="UG157" s="3"/>
      <c r="UH157" s="3"/>
      <c r="UI157" s="3"/>
      <c r="UJ157" s="3"/>
      <c r="UK157" s="3"/>
      <c r="UL157" s="3"/>
      <c r="UM157" s="3"/>
      <c r="UN157" s="3"/>
      <c r="UO157" s="3"/>
      <c r="UP157" s="3"/>
      <c r="UQ157" s="3"/>
      <c r="UR157" s="3"/>
      <c r="US157" s="3"/>
      <c r="UT157" s="3"/>
      <c r="UU157" s="3"/>
      <c r="UV157" s="3"/>
      <c r="UW157" s="3"/>
      <c r="UX157" s="3"/>
      <c r="UY157" s="3"/>
      <c r="UZ157" s="3"/>
      <c r="VA157" s="3"/>
      <c r="VB157" s="3"/>
      <c r="VC157" s="3"/>
      <c r="VD157" s="3"/>
      <c r="VE157" s="3"/>
      <c r="VF157" s="3"/>
      <c r="VG157" s="3"/>
      <c r="VH157" s="3"/>
      <c r="VI157" s="3"/>
      <c r="VJ157" s="3"/>
      <c r="VK157" s="3"/>
      <c r="VL157" s="3"/>
      <c r="VM157" s="3"/>
      <c r="VN157" s="3"/>
      <c r="VO157" s="3"/>
      <c r="VP157" s="3"/>
      <c r="VQ157" s="3"/>
      <c r="VR157" s="3"/>
      <c r="VS157" s="3"/>
      <c r="VT157" s="3"/>
      <c r="VU157" s="3"/>
      <c r="VV157" s="3"/>
      <c r="VW157" s="3"/>
      <c r="VX157" s="3"/>
      <c r="VY157" s="3"/>
      <c r="VZ157" s="3"/>
      <c r="WA157" s="3"/>
      <c r="WB157" s="3"/>
      <c r="WC157" s="3"/>
      <c r="WD157" s="3"/>
      <c r="WE157" s="3"/>
      <c r="WF157" s="3"/>
      <c r="WG157" s="3"/>
      <c r="WH157" s="3"/>
      <c r="WI157" s="3"/>
      <c r="WJ157" s="3"/>
      <c r="WK157" s="3"/>
      <c r="WL157" s="3"/>
      <c r="WM157" s="3"/>
      <c r="WN157" s="3"/>
      <c r="WO157" s="3"/>
      <c r="WP157" s="3"/>
      <c r="WQ157" s="3"/>
      <c r="WR157" s="3"/>
      <c r="WS157" s="3"/>
      <c r="WT157" s="3"/>
      <c r="WU157" s="3"/>
      <c r="WV157" s="3"/>
      <c r="WW157" s="3"/>
      <c r="WX157" s="3"/>
      <c r="WY157" s="3"/>
      <c r="WZ157" s="3"/>
      <c r="XA157" s="3"/>
      <c r="XB157" s="3"/>
      <c r="XC157" s="3"/>
      <c r="XD157" s="3"/>
      <c r="XE157" s="3"/>
      <c r="XF157" s="3"/>
      <c r="XG157" s="3"/>
      <c r="XH157" s="3"/>
      <c r="XI157" s="3"/>
      <c r="XJ157" s="3"/>
      <c r="XK157" s="3"/>
      <c r="XL157" s="3"/>
      <c r="XM157" s="3"/>
      <c r="XN157" s="3"/>
      <c r="XO157" s="3"/>
      <c r="XP157" s="3"/>
      <c r="XQ157" s="3"/>
      <c r="XR157" s="3"/>
      <c r="XS157" s="3"/>
      <c r="XT157" s="3"/>
      <c r="XU157" s="3"/>
      <c r="XV157" s="3"/>
      <c r="XW157" s="3"/>
      <c r="XX157" s="3"/>
      <c r="XY157" s="3"/>
      <c r="XZ157" s="3"/>
      <c r="YA157" s="3"/>
      <c r="YB157" s="3"/>
      <c r="YC157" s="3"/>
      <c r="YD157" s="3"/>
      <c r="YE157" s="3"/>
      <c r="YF157" s="3"/>
      <c r="YG157" s="3"/>
      <c r="YH157" s="3"/>
      <c r="YI157" s="3"/>
      <c r="YJ157" s="3"/>
      <c r="YK157" s="3"/>
      <c r="YL157" s="3"/>
      <c r="YM157" s="3"/>
      <c r="YN157" s="3"/>
      <c r="YO157" s="3"/>
      <c r="YP157" s="3"/>
      <c r="YQ157" s="3"/>
      <c r="YR157" s="3"/>
      <c r="YS157" s="3"/>
      <c r="YT157" s="3"/>
      <c r="YU157" s="3"/>
      <c r="YV157" s="3"/>
      <c r="YW157" s="3"/>
      <c r="YX157" s="3"/>
      <c r="YY157" s="3"/>
      <c r="YZ157" s="3"/>
      <c r="ZA157" s="3"/>
      <c r="ZB157" s="3"/>
      <c r="ZC157" s="3"/>
    </row>
    <row r="158" spans="1:679" s="2" customFormat="1" x14ac:dyDescent="0.45">
      <c r="A158" s="3" t="s">
        <v>11</v>
      </c>
      <c r="B158" s="4">
        <v>34960</v>
      </c>
      <c r="C158" s="7" t="s">
        <v>25</v>
      </c>
      <c r="D158" s="6" t="s">
        <v>173</v>
      </c>
      <c r="E158" s="3"/>
      <c r="F158" s="3">
        <v>2</v>
      </c>
      <c r="L158" s="3"/>
      <c r="M158" s="3"/>
      <c r="N158" s="48"/>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3"/>
      <c r="DI158" s="3"/>
      <c r="DJ158" s="3"/>
      <c r="DK158" s="3"/>
      <c r="DL158" s="3"/>
      <c r="DM158" s="3"/>
      <c r="DN158" s="3"/>
      <c r="DO158" s="3"/>
      <c r="DP158" s="3"/>
      <c r="DQ158" s="3"/>
      <c r="DR158" s="3"/>
      <c r="DS158" s="3"/>
      <c r="DT158" s="3"/>
      <c r="DU158" s="3"/>
      <c r="DV158" s="3"/>
      <c r="DW158" s="3"/>
      <c r="DX158" s="3"/>
      <c r="DY158" s="3"/>
      <c r="DZ158" s="3"/>
      <c r="EA158" s="3"/>
      <c r="EB158" s="3"/>
      <c r="EC158" s="3"/>
      <c r="ED158" s="3"/>
      <c r="EE158" s="3"/>
      <c r="EF158" s="3"/>
      <c r="EG158" s="3"/>
      <c r="EH158" s="3"/>
      <c r="EI158" s="3"/>
      <c r="EJ158" s="3"/>
      <c r="EK158" s="3"/>
      <c r="EL158" s="3"/>
      <c r="EM158" s="3"/>
      <c r="EN158" s="3"/>
      <c r="EO158" s="3"/>
      <c r="EP158" s="3"/>
      <c r="EQ158" s="3"/>
      <c r="ER158" s="3"/>
      <c r="ES158" s="3"/>
      <c r="ET158" s="3"/>
      <c r="EU158" s="3"/>
      <c r="EV158" s="3"/>
      <c r="EW158" s="3"/>
      <c r="EX158" s="3"/>
      <c r="EY158" s="3"/>
      <c r="EZ158" s="3"/>
      <c r="FA158" s="3"/>
      <c r="FB158" s="3"/>
      <c r="FC158" s="3"/>
      <c r="FD158" s="3"/>
      <c r="FE158" s="3"/>
      <c r="FF158" s="3"/>
      <c r="FG158" s="3"/>
      <c r="FH158" s="3"/>
      <c r="FI158" s="3"/>
      <c r="FJ158" s="3"/>
      <c r="FK158" s="3"/>
      <c r="FL158" s="3"/>
      <c r="FM158" s="3"/>
      <c r="FN158" s="3"/>
      <c r="FO158" s="3"/>
      <c r="FP158" s="3"/>
      <c r="FQ158" s="3"/>
      <c r="FR158" s="3"/>
      <c r="FS158" s="3"/>
      <c r="FT158" s="3"/>
      <c r="FU158" s="3"/>
      <c r="FV158" s="3"/>
      <c r="FW158" s="3"/>
      <c r="FX158" s="3"/>
      <c r="FY158" s="3"/>
      <c r="FZ158" s="3"/>
      <c r="GA158" s="3"/>
      <c r="GB158" s="3"/>
      <c r="GC158" s="3"/>
      <c r="GD158" s="3"/>
      <c r="GE158" s="3"/>
      <c r="GF158" s="3"/>
      <c r="GG158" s="3"/>
      <c r="GH158" s="3"/>
      <c r="GI158" s="3"/>
      <c r="GJ158" s="3"/>
      <c r="GK158" s="3"/>
      <c r="GL158" s="3"/>
      <c r="GM158" s="3"/>
      <c r="GN158" s="3"/>
      <c r="GO158" s="3"/>
      <c r="GP158" s="3"/>
      <c r="GQ158" s="3"/>
      <c r="GR158" s="3"/>
      <c r="GS158" s="3"/>
      <c r="GT158" s="3"/>
      <c r="GU158" s="3"/>
      <c r="GV158" s="3"/>
      <c r="GW158" s="3"/>
      <c r="GX158" s="3"/>
      <c r="GY158" s="3"/>
      <c r="GZ158" s="3"/>
      <c r="HA158" s="3"/>
      <c r="HB158" s="3"/>
      <c r="HC158" s="3"/>
      <c r="HD158" s="3"/>
      <c r="HE158" s="3"/>
      <c r="HF158" s="3"/>
      <c r="HG158" s="3"/>
      <c r="HH158" s="3"/>
      <c r="HI158" s="3"/>
      <c r="HJ158" s="3"/>
      <c r="HK158" s="3"/>
      <c r="HL158" s="3"/>
      <c r="HM158" s="3"/>
      <c r="HN158" s="3"/>
      <c r="HO158" s="3"/>
      <c r="HP158" s="3"/>
      <c r="HQ158" s="3"/>
      <c r="HR158" s="3"/>
      <c r="HS158" s="3"/>
      <c r="HT158" s="3"/>
      <c r="HU158" s="3"/>
      <c r="HV158" s="3"/>
      <c r="HW158" s="3"/>
      <c r="HX158" s="3"/>
      <c r="HY158" s="3"/>
      <c r="HZ158" s="3"/>
      <c r="IA158" s="3"/>
      <c r="IB158" s="3"/>
      <c r="IC158" s="3"/>
      <c r="ID158" s="3"/>
      <c r="IE158" s="3"/>
      <c r="IF158" s="3"/>
      <c r="IG158" s="3"/>
      <c r="IH158" s="3"/>
      <c r="II158" s="3"/>
      <c r="IJ158" s="3"/>
      <c r="IK158" s="3"/>
      <c r="IL158" s="3"/>
      <c r="IM158" s="3"/>
      <c r="IN158" s="3"/>
      <c r="IO158" s="3"/>
      <c r="IP158" s="3"/>
      <c r="IQ158" s="3"/>
      <c r="IR158" s="3"/>
      <c r="IS158" s="3"/>
      <c r="IT158" s="3"/>
      <c r="IU158" s="3"/>
      <c r="IV158" s="3"/>
      <c r="IW158" s="3"/>
      <c r="IX158" s="3"/>
      <c r="IY158" s="3"/>
      <c r="IZ158" s="3"/>
      <c r="JA158" s="3"/>
      <c r="JB158" s="3"/>
      <c r="JC158" s="3"/>
      <c r="JD158" s="3"/>
      <c r="JE158" s="3"/>
      <c r="JF158" s="3"/>
      <c r="JG158" s="3"/>
      <c r="JH158" s="3"/>
      <c r="JI158" s="3"/>
      <c r="JJ158" s="3"/>
      <c r="JK158" s="3"/>
      <c r="JL158" s="3"/>
      <c r="JM158" s="3"/>
      <c r="JN158" s="3"/>
      <c r="JO158" s="3"/>
      <c r="JP158" s="3"/>
      <c r="JQ158" s="3"/>
      <c r="JR158" s="3"/>
      <c r="JS158" s="3"/>
      <c r="JT158" s="3"/>
      <c r="JU158" s="3"/>
      <c r="JV158" s="3"/>
      <c r="JW158" s="3"/>
      <c r="JX158" s="3"/>
      <c r="JY158" s="3"/>
      <c r="JZ158" s="3"/>
      <c r="KA158" s="3"/>
      <c r="KB158" s="3"/>
      <c r="KC158" s="3"/>
      <c r="KD158" s="3"/>
      <c r="KE158" s="3"/>
      <c r="KF158" s="3"/>
      <c r="KG158" s="3"/>
      <c r="KH158" s="3"/>
      <c r="KI158" s="3"/>
      <c r="KJ158" s="3"/>
      <c r="KK158" s="3"/>
      <c r="KL158" s="3"/>
      <c r="KM158" s="3"/>
      <c r="KN158" s="3"/>
      <c r="KO158" s="3"/>
      <c r="KP158" s="3"/>
      <c r="KQ158" s="3"/>
      <c r="KR158" s="3"/>
      <c r="KS158" s="3"/>
      <c r="KT158" s="3"/>
      <c r="KU158" s="3"/>
      <c r="KV158" s="3"/>
      <c r="KW158" s="3"/>
      <c r="KX158" s="3"/>
      <c r="KY158" s="3"/>
      <c r="KZ158" s="3"/>
      <c r="LA158" s="3"/>
      <c r="LB158" s="3"/>
      <c r="LC158" s="3"/>
      <c r="LD158" s="3"/>
      <c r="LE158" s="3"/>
      <c r="LF158" s="3"/>
      <c r="LG158" s="3"/>
      <c r="LH158" s="3"/>
      <c r="LI158" s="3"/>
      <c r="LJ158" s="3"/>
      <c r="LK158" s="3"/>
      <c r="LL158" s="3"/>
      <c r="LM158" s="3"/>
      <c r="LN158" s="3"/>
      <c r="LO158" s="3"/>
      <c r="LP158" s="3"/>
      <c r="LQ158" s="3"/>
      <c r="LR158" s="3"/>
      <c r="LS158" s="3"/>
      <c r="LT158" s="3"/>
      <c r="LU158" s="3"/>
      <c r="LV158" s="3"/>
      <c r="LW158" s="3"/>
      <c r="LX158" s="3"/>
      <c r="LY158" s="3"/>
      <c r="LZ158" s="3"/>
      <c r="MA158" s="3"/>
      <c r="MB158" s="3"/>
      <c r="MC158" s="3"/>
      <c r="MD158" s="3"/>
      <c r="ME158" s="3"/>
      <c r="MF158" s="3"/>
      <c r="MG158" s="3"/>
      <c r="MH158" s="3"/>
      <c r="MI158" s="3"/>
      <c r="MJ158" s="3"/>
      <c r="MK158" s="3"/>
      <c r="ML158" s="3"/>
      <c r="MM158" s="3"/>
      <c r="MN158" s="3"/>
      <c r="MO158" s="3"/>
      <c r="MP158" s="3"/>
      <c r="MQ158" s="3"/>
      <c r="MR158" s="3"/>
      <c r="MS158" s="3"/>
      <c r="MT158" s="3"/>
      <c r="MU158" s="3"/>
      <c r="MV158" s="3"/>
      <c r="MW158" s="3"/>
      <c r="MX158" s="3"/>
      <c r="MY158" s="3"/>
      <c r="MZ158" s="3"/>
      <c r="NA158" s="3"/>
      <c r="NB158" s="3"/>
      <c r="NC158" s="3"/>
      <c r="ND158" s="3"/>
      <c r="NE158" s="3"/>
      <c r="NF158" s="3"/>
      <c r="NG158" s="3"/>
      <c r="NH158" s="3"/>
      <c r="NI158" s="3"/>
      <c r="NJ158" s="3"/>
      <c r="NK158" s="3"/>
      <c r="NL158" s="3"/>
      <c r="NM158" s="3"/>
      <c r="NN158" s="3"/>
      <c r="NO158" s="3"/>
      <c r="NP158" s="3"/>
      <c r="NQ158" s="3"/>
      <c r="NR158" s="3"/>
      <c r="NS158" s="3"/>
      <c r="NT158" s="3"/>
      <c r="NU158" s="3"/>
      <c r="NV158" s="3"/>
      <c r="NW158" s="3"/>
      <c r="NX158" s="3"/>
      <c r="NY158" s="3"/>
      <c r="NZ158" s="3"/>
      <c r="OA158" s="3"/>
      <c r="OB158" s="3"/>
      <c r="OC158" s="3"/>
      <c r="OD158" s="3"/>
      <c r="OE158" s="3"/>
      <c r="OF158" s="3"/>
      <c r="OG158" s="3"/>
      <c r="OH158" s="3"/>
      <c r="OI158" s="3"/>
      <c r="OJ158" s="3"/>
      <c r="OK158" s="3"/>
      <c r="OL158" s="3"/>
      <c r="OM158" s="3"/>
      <c r="ON158" s="3"/>
      <c r="OO158" s="3"/>
      <c r="OP158" s="3"/>
      <c r="OQ158" s="3"/>
      <c r="OR158" s="3"/>
      <c r="OS158" s="3"/>
      <c r="OT158" s="3"/>
      <c r="OU158" s="3"/>
      <c r="OV158" s="3"/>
      <c r="OW158" s="3"/>
      <c r="OX158" s="3"/>
      <c r="OY158" s="3"/>
      <c r="OZ158" s="3"/>
      <c r="PA158" s="3"/>
      <c r="PB158" s="3"/>
      <c r="PC158" s="3"/>
      <c r="PD158" s="3"/>
      <c r="PE158" s="3"/>
      <c r="PF158" s="3"/>
      <c r="PG158" s="3"/>
      <c r="PH158" s="3"/>
      <c r="PI158" s="3"/>
      <c r="PJ158" s="3"/>
      <c r="PK158" s="3"/>
      <c r="PL158" s="3"/>
      <c r="PM158" s="3"/>
      <c r="PN158" s="3"/>
      <c r="PO158" s="3"/>
      <c r="PP158" s="3"/>
      <c r="PQ158" s="3"/>
      <c r="PR158" s="3"/>
      <c r="PS158" s="3"/>
      <c r="PT158" s="3"/>
      <c r="PU158" s="3"/>
      <c r="PV158" s="3"/>
      <c r="PW158" s="3"/>
      <c r="PX158" s="3"/>
      <c r="PY158" s="3"/>
      <c r="PZ158" s="3"/>
      <c r="QA158" s="3"/>
      <c r="QB158" s="3"/>
      <c r="QC158" s="3"/>
      <c r="QD158" s="3"/>
      <c r="QE158" s="3"/>
      <c r="QF158" s="3"/>
      <c r="QG158" s="3"/>
      <c r="QH158" s="3"/>
      <c r="QI158" s="3"/>
      <c r="QJ158" s="3"/>
      <c r="QK158" s="3"/>
      <c r="QL158" s="3"/>
      <c r="QM158" s="3"/>
      <c r="QN158" s="3"/>
      <c r="QO158" s="3"/>
      <c r="QP158" s="3"/>
      <c r="QQ158" s="3"/>
      <c r="QR158" s="3"/>
      <c r="QS158" s="3"/>
      <c r="QT158" s="3"/>
      <c r="QU158" s="3"/>
      <c r="QV158" s="3"/>
      <c r="QW158" s="3"/>
      <c r="QX158" s="3"/>
      <c r="QY158" s="3"/>
      <c r="QZ158" s="3"/>
      <c r="RA158" s="3"/>
      <c r="RB158" s="3"/>
      <c r="RC158" s="3"/>
      <c r="RD158" s="3"/>
      <c r="RE158" s="3"/>
      <c r="RF158" s="3"/>
      <c r="RG158" s="3"/>
      <c r="RH158" s="3"/>
      <c r="RI158" s="3"/>
      <c r="RJ158" s="3"/>
      <c r="RK158" s="3"/>
      <c r="RL158" s="3"/>
      <c r="RM158" s="3"/>
      <c r="RN158" s="3"/>
      <c r="RO158" s="3"/>
      <c r="RP158" s="3"/>
      <c r="RQ158" s="3"/>
      <c r="RR158" s="3"/>
      <c r="RS158" s="3"/>
      <c r="RT158" s="3"/>
      <c r="RU158" s="3"/>
      <c r="RV158" s="3"/>
      <c r="RW158" s="3"/>
      <c r="RX158" s="3"/>
      <c r="RY158" s="3"/>
      <c r="RZ158" s="3"/>
      <c r="SA158" s="3"/>
      <c r="SB158" s="3"/>
      <c r="SC158" s="3"/>
      <c r="SD158" s="3"/>
      <c r="SE158" s="3"/>
      <c r="SF158" s="3"/>
      <c r="SG158" s="3"/>
      <c r="SH158" s="3"/>
      <c r="SI158" s="3"/>
      <c r="SJ158" s="3"/>
      <c r="SK158" s="3"/>
      <c r="SL158" s="3"/>
      <c r="SM158" s="3"/>
      <c r="SN158" s="3"/>
      <c r="SO158" s="3"/>
      <c r="SP158" s="3"/>
      <c r="SQ158" s="3"/>
      <c r="SR158" s="3"/>
      <c r="SS158" s="3"/>
      <c r="ST158" s="3"/>
      <c r="SU158" s="3"/>
      <c r="SV158" s="3"/>
      <c r="SW158" s="3"/>
      <c r="SX158" s="3"/>
      <c r="SY158" s="3"/>
      <c r="SZ158" s="3"/>
      <c r="TA158" s="3"/>
      <c r="TB158" s="3"/>
      <c r="TC158" s="3"/>
      <c r="TD158" s="3"/>
      <c r="TE158" s="3"/>
      <c r="TF158" s="3"/>
      <c r="TG158" s="3"/>
      <c r="TH158" s="3"/>
      <c r="TI158" s="3"/>
      <c r="TJ158" s="3"/>
      <c r="TK158" s="3"/>
      <c r="TL158" s="3"/>
      <c r="TM158" s="3"/>
      <c r="TN158" s="3"/>
      <c r="TO158" s="3"/>
      <c r="TP158" s="3"/>
      <c r="TQ158" s="3"/>
      <c r="TR158" s="3"/>
      <c r="TS158" s="3"/>
      <c r="TT158" s="3"/>
      <c r="TU158" s="3"/>
      <c r="TV158" s="3"/>
      <c r="TW158" s="3"/>
      <c r="TX158" s="3"/>
      <c r="TY158" s="3"/>
      <c r="TZ158" s="3"/>
      <c r="UA158" s="3"/>
      <c r="UB158" s="3"/>
      <c r="UC158" s="3"/>
      <c r="UD158" s="3"/>
      <c r="UE158" s="3"/>
      <c r="UF158" s="3"/>
      <c r="UG158" s="3"/>
      <c r="UH158" s="3"/>
      <c r="UI158" s="3"/>
      <c r="UJ158" s="3"/>
      <c r="UK158" s="3"/>
      <c r="UL158" s="3"/>
      <c r="UM158" s="3"/>
      <c r="UN158" s="3"/>
      <c r="UO158" s="3"/>
      <c r="UP158" s="3"/>
      <c r="UQ158" s="3"/>
      <c r="UR158" s="3"/>
      <c r="US158" s="3"/>
      <c r="UT158" s="3"/>
      <c r="UU158" s="3"/>
      <c r="UV158" s="3"/>
      <c r="UW158" s="3"/>
      <c r="UX158" s="3"/>
      <c r="UY158" s="3"/>
      <c r="UZ158" s="3"/>
      <c r="VA158" s="3"/>
      <c r="VB158" s="3"/>
      <c r="VC158" s="3"/>
      <c r="VD158" s="3"/>
      <c r="VE158" s="3"/>
      <c r="VF158" s="3"/>
      <c r="VG158" s="3"/>
      <c r="VH158" s="3"/>
      <c r="VI158" s="3"/>
      <c r="VJ158" s="3"/>
      <c r="VK158" s="3"/>
      <c r="VL158" s="3"/>
      <c r="VM158" s="3"/>
      <c r="VN158" s="3"/>
      <c r="VO158" s="3"/>
      <c r="VP158" s="3"/>
      <c r="VQ158" s="3"/>
      <c r="VR158" s="3"/>
      <c r="VS158" s="3"/>
      <c r="VT158" s="3"/>
      <c r="VU158" s="3"/>
      <c r="VV158" s="3"/>
      <c r="VW158" s="3"/>
      <c r="VX158" s="3"/>
      <c r="VY158" s="3"/>
      <c r="VZ158" s="3"/>
      <c r="WA158" s="3"/>
      <c r="WB158" s="3"/>
      <c r="WC158" s="3"/>
      <c r="WD158" s="3"/>
      <c r="WE158" s="3"/>
      <c r="WF158" s="3"/>
      <c r="WG158" s="3"/>
      <c r="WH158" s="3"/>
      <c r="WI158" s="3"/>
      <c r="WJ158" s="3"/>
      <c r="WK158" s="3"/>
      <c r="WL158" s="3"/>
      <c r="WM158" s="3"/>
      <c r="WN158" s="3"/>
      <c r="WO158" s="3"/>
      <c r="WP158" s="3"/>
      <c r="WQ158" s="3"/>
      <c r="WR158" s="3"/>
      <c r="WS158" s="3"/>
      <c r="WT158" s="3"/>
      <c r="WU158" s="3"/>
      <c r="WV158" s="3"/>
      <c r="WW158" s="3"/>
      <c r="WX158" s="3"/>
      <c r="WY158" s="3"/>
      <c r="WZ158" s="3"/>
      <c r="XA158" s="3"/>
      <c r="XB158" s="3"/>
      <c r="XC158" s="3"/>
      <c r="XD158" s="3"/>
      <c r="XE158" s="3"/>
      <c r="XF158" s="3"/>
      <c r="XG158" s="3"/>
      <c r="XH158" s="3"/>
      <c r="XI158" s="3"/>
      <c r="XJ158" s="3"/>
      <c r="XK158" s="3"/>
      <c r="XL158" s="3"/>
      <c r="XM158" s="3"/>
      <c r="XN158" s="3"/>
      <c r="XO158" s="3"/>
      <c r="XP158" s="3"/>
      <c r="XQ158" s="3"/>
      <c r="XR158" s="3"/>
      <c r="XS158" s="3"/>
      <c r="XT158" s="3"/>
      <c r="XU158" s="3"/>
      <c r="XV158" s="3"/>
      <c r="XW158" s="3"/>
      <c r="XX158" s="3"/>
      <c r="XY158" s="3"/>
      <c r="XZ158" s="3"/>
      <c r="YA158" s="3"/>
      <c r="YB158" s="3"/>
      <c r="YC158" s="3"/>
      <c r="YD158" s="3"/>
      <c r="YE158" s="3"/>
      <c r="YF158" s="3"/>
      <c r="YG158" s="3"/>
      <c r="YH158" s="3"/>
      <c r="YI158" s="3"/>
      <c r="YJ158" s="3"/>
      <c r="YK158" s="3"/>
      <c r="YL158" s="3"/>
      <c r="YM158" s="3"/>
      <c r="YN158" s="3"/>
      <c r="YO158" s="3"/>
      <c r="YP158" s="3"/>
      <c r="YQ158" s="3"/>
      <c r="YR158" s="3"/>
      <c r="YS158" s="3"/>
      <c r="YT158" s="3"/>
      <c r="YU158" s="3"/>
      <c r="YV158" s="3"/>
      <c r="YW158" s="3"/>
      <c r="YX158" s="3"/>
      <c r="YY158" s="3"/>
      <c r="YZ158" s="3"/>
      <c r="ZA158" s="3"/>
      <c r="ZB158" s="3"/>
      <c r="ZC158" s="3"/>
    </row>
    <row r="159" spans="1:679" s="2" customFormat="1" x14ac:dyDescent="0.45">
      <c r="A159" s="3" t="s">
        <v>11</v>
      </c>
      <c r="B159" s="4">
        <v>34983</v>
      </c>
      <c r="C159" s="7" t="s">
        <v>21</v>
      </c>
      <c r="D159" s="6" t="s">
        <v>174</v>
      </c>
      <c r="E159" s="3"/>
      <c r="F159" s="3">
        <v>77</v>
      </c>
      <c r="L159" s="3"/>
      <c r="M159" s="3"/>
      <c r="N159" s="48"/>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c r="DE159" s="3"/>
      <c r="DF159" s="3"/>
      <c r="DG159" s="3"/>
      <c r="DH159" s="3"/>
      <c r="DI159" s="3"/>
      <c r="DJ159" s="3"/>
      <c r="DK159" s="3"/>
      <c r="DL159" s="3"/>
      <c r="DM159" s="3"/>
      <c r="DN159" s="3"/>
      <c r="DO159" s="3"/>
      <c r="DP159" s="3"/>
      <c r="DQ159" s="3"/>
      <c r="DR159" s="3"/>
      <c r="DS159" s="3"/>
      <c r="DT159" s="3"/>
      <c r="DU159" s="3"/>
      <c r="DV159" s="3"/>
      <c r="DW159" s="3"/>
      <c r="DX159" s="3"/>
      <c r="DY159" s="3"/>
      <c r="DZ159" s="3"/>
      <c r="EA159" s="3"/>
      <c r="EB159" s="3"/>
      <c r="EC159" s="3"/>
      <c r="ED159" s="3"/>
      <c r="EE159" s="3"/>
      <c r="EF159" s="3"/>
      <c r="EG159" s="3"/>
      <c r="EH159" s="3"/>
      <c r="EI159" s="3"/>
      <c r="EJ159" s="3"/>
      <c r="EK159" s="3"/>
      <c r="EL159" s="3"/>
      <c r="EM159" s="3"/>
      <c r="EN159" s="3"/>
      <c r="EO159" s="3"/>
      <c r="EP159" s="3"/>
      <c r="EQ159" s="3"/>
      <c r="ER159" s="3"/>
      <c r="ES159" s="3"/>
      <c r="ET159" s="3"/>
      <c r="EU159" s="3"/>
      <c r="EV159" s="3"/>
      <c r="EW159" s="3"/>
      <c r="EX159" s="3"/>
      <c r="EY159" s="3"/>
      <c r="EZ159" s="3"/>
      <c r="FA159" s="3"/>
      <c r="FB159" s="3"/>
      <c r="FC159" s="3"/>
      <c r="FD159" s="3"/>
      <c r="FE159" s="3"/>
      <c r="FF159" s="3"/>
      <c r="FG159" s="3"/>
      <c r="FH159" s="3"/>
      <c r="FI159" s="3"/>
      <c r="FJ159" s="3"/>
      <c r="FK159" s="3"/>
      <c r="FL159" s="3"/>
      <c r="FM159" s="3"/>
      <c r="FN159" s="3"/>
      <c r="FO159" s="3"/>
      <c r="FP159" s="3"/>
      <c r="FQ159" s="3"/>
      <c r="FR159" s="3"/>
      <c r="FS159" s="3"/>
      <c r="FT159" s="3"/>
      <c r="FU159" s="3"/>
      <c r="FV159" s="3"/>
      <c r="FW159" s="3"/>
      <c r="FX159" s="3"/>
      <c r="FY159" s="3"/>
      <c r="FZ159" s="3"/>
      <c r="GA159" s="3"/>
      <c r="GB159" s="3"/>
      <c r="GC159" s="3"/>
      <c r="GD159" s="3"/>
      <c r="GE159" s="3"/>
      <c r="GF159" s="3"/>
      <c r="GG159" s="3"/>
      <c r="GH159" s="3"/>
      <c r="GI159" s="3"/>
      <c r="GJ159" s="3"/>
      <c r="GK159" s="3"/>
      <c r="GL159" s="3"/>
      <c r="GM159" s="3"/>
      <c r="GN159" s="3"/>
      <c r="GO159" s="3"/>
      <c r="GP159" s="3"/>
      <c r="GQ159" s="3"/>
      <c r="GR159" s="3"/>
      <c r="GS159" s="3"/>
      <c r="GT159" s="3"/>
      <c r="GU159" s="3"/>
      <c r="GV159" s="3"/>
      <c r="GW159" s="3"/>
      <c r="GX159" s="3"/>
      <c r="GY159" s="3"/>
      <c r="GZ159" s="3"/>
      <c r="HA159" s="3"/>
      <c r="HB159" s="3"/>
      <c r="HC159" s="3"/>
      <c r="HD159" s="3"/>
      <c r="HE159" s="3"/>
      <c r="HF159" s="3"/>
      <c r="HG159" s="3"/>
      <c r="HH159" s="3"/>
      <c r="HI159" s="3"/>
      <c r="HJ159" s="3"/>
      <c r="HK159" s="3"/>
      <c r="HL159" s="3"/>
      <c r="HM159" s="3"/>
      <c r="HN159" s="3"/>
      <c r="HO159" s="3"/>
      <c r="HP159" s="3"/>
      <c r="HQ159" s="3"/>
      <c r="HR159" s="3"/>
      <c r="HS159" s="3"/>
      <c r="HT159" s="3"/>
      <c r="HU159" s="3"/>
      <c r="HV159" s="3"/>
      <c r="HW159" s="3"/>
      <c r="HX159" s="3"/>
      <c r="HY159" s="3"/>
      <c r="HZ159" s="3"/>
      <c r="IA159" s="3"/>
      <c r="IB159" s="3"/>
      <c r="IC159" s="3"/>
      <c r="ID159" s="3"/>
      <c r="IE159" s="3"/>
      <c r="IF159" s="3"/>
      <c r="IG159" s="3"/>
      <c r="IH159" s="3"/>
      <c r="II159" s="3"/>
      <c r="IJ159" s="3"/>
      <c r="IK159" s="3"/>
      <c r="IL159" s="3"/>
      <c r="IM159" s="3"/>
      <c r="IN159" s="3"/>
      <c r="IO159" s="3"/>
      <c r="IP159" s="3"/>
      <c r="IQ159" s="3"/>
      <c r="IR159" s="3"/>
      <c r="IS159" s="3"/>
      <c r="IT159" s="3"/>
      <c r="IU159" s="3"/>
      <c r="IV159" s="3"/>
      <c r="IW159" s="3"/>
      <c r="IX159" s="3"/>
      <c r="IY159" s="3"/>
      <c r="IZ159" s="3"/>
      <c r="JA159" s="3"/>
      <c r="JB159" s="3"/>
      <c r="JC159" s="3"/>
      <c r="JD159" s="3"/>
      <c r="JE159" s="3"/>
      <c r="JF159" s="3"/>
      <c r="JG159" s="3"/>
      <c r="JH159" s="3"/>
      <c r="JI159" s="3"/>
      <c r="JJ159" s="3"/>
      <c r="JK159" s="3"/>
      <c r="JL159" s="3"/>
      <c r="JM159" s="3"/>
      <c r="JN159" s="3"/>
      <c r="JO159" s="3"/>
      <c r="JP159" s="3"/>
      <c r="JQ159" s="3"/>
      <c r="JR159" s="3"/>
      <c r="JS159" s="3"/>
      <c r="JT159" s="3"/>
      <c r="JU159" s="3"/>
      <c r="JV159" s="3"/>
      <c r="JW159" s="3"/>
      <c r="JX159" s="3"/>
      <c r="JY159" s="3"/>
      <c r="JZ159" s="3"/>
      <c r="KA159" s="3"/>
      <c r="KB159" s="3"/>
      <c r="KC159" s="3"/>
      <c r="KD159" s="3"/>
      <c r="KE159" s="3"/>
      <c r="KF159" s="3"/>
      <c r="KG159" s="3"/>
      <c r="KH159" s="3"/>
      <c r="KI159" s="3"/>
      <c r="KJ159" s="3"/>
      <c r="KK159" s="3"/>
      <c r="KL159" s="3"/>
      <c r="KM159" s="3"/>
      <c r="KN159" s="3"/>
      <c r="KO159" s="3"/>
      <c r="KP159" s="3"/>
      <c r="KQ159" s="3"/>
      <c r="KR159" s="3"/>
      <c r="KS159" s="3"/>
      <c r="KT159" s="3"/>
      <c r="KU159" s="3"/>
      <c r="KV159" s="3"/>
      <c r="KW159" s="3"/>
      <c r="KX159" s="3"/>
      <c r="KY159" s="3"/>
      <c r="KZ159" s="3"/>
      <c r="LA159" s="3"/>
      <c r="LB159" s="3"/>
      <c r="LC159" s="3"/>
      <c r="LD159" s="3"/>
      <c r="LE159" s="3"/>
      <c r="LF159" s="3"/>
      <c r="LG159" s="3"/>
      <c r="LH159" s="3"/>
      <c r="LI159" s="3"/>
      <c r="LJ159" s="3"/>
      <c r="LK159" s="3"/>
      <c r="LL159" s="3"/>
      <c r="LM159" s="3"/>
      <c r="LN159" s="3"/>
      <c r="LO159" s="3"/>
      <c r="LP159" s="3"/>
      <c r="LQ159" s="3"/>
      <c r="LR159" s="3"/>
      <c r="LS159" s="3"/>
      <c r="LT159" s="3"/>
      <c r="LU159" s="3"/>
      <c r="LV159" s="3"/>
      <c r="LW159" s="3"/>
      <c r="LX159" s="3"/>
      <c r="LY159" s="3"/>
      <c r="LZ159" s="3"/>
      <c r="MA159" s="3"/>
      <c r="MB159" s="3"/>
      <c r="MC159" s="3"/>
      <c r="MD159" s="3"/>
      <c r="ME159" s="3"/>
      <c r="MF159" s="3"/>
      <c r="MG159" s="3"/>
      <c r="MH159" s="3"/>
      <c r="MI159" s="3"/>
      <c r="MJ159" s="3"/>
      <c r="MK159" s="3"/>
      <c r="ML159" s="3"/>
      <c r="MM159" s="3"/>
      <c r="MN159" s="3"/>
      <c r="MO159" s="3"/>
      <c r="MP159" s="3"/>
      <c r="MQ159" s="3"/>
      <c r="MR159" s="3"/>
      <c r="MS159" s="3"/>
      <c r="MT159" s="3"/>
      <c r="MU159" s="3"/>
      <c r="MV159" s="3"/>
      <c r="MW159" s="3"/>
      <c r="MX159" s="3"/>
      <c r="MY159" s="3"/>
      <c r="MZ159" s="3"/>
      <c r="NA159" s="3"/>
      <c r="NB159" s="3"/>
      <c r="NC159" s="3"/>
      <c r="ND159" s="3"/>
      <c r="NE159" s="3"/>
      <c r="NF159" s="3"/>
      <c r="NG159" s="3"/>
      <c r="NH159" s="3"/>
      <c r="NI159" s="3"/>
      <c r="NJ159" s="3"/>
      <c r="NK159" s="3"/>
      <c r="NL159" s="3"/>
      <c r="NM159" s="3"/>
      <c r="NN159" s="3"/>
      <c r="NO159" s="3"/>
      <c r="NP159" s="3"/>
      <c r="NQ159" s="3"/>
      <c r="NR159" s="3"/>
      <c r="NS159" s="3"/>
      <c r="NT159" s="3"/>
      <c r="NU159" s="3"/>
      <c r="NV159" s="3"/>
      <c r="NW159" s="3"/>
      <c r="NX159" s="3"/>
      <c r="NY159" s="3"/>
      <c r="NZ159" s="3"/>
      <c r="OA159" s="3"/>
      <c r="OB159" s="3"/>
      <c r="OC159" s="3"/>
      <c r="OD159" s="3"/>
      <c r="OE159" s="3"/>
      <c r="OF159" s="3"/>
      <c r="OG159" s="3"/>
      <c r="OH159" s="3"/>
      <c r="OI159" s="3"/>
      <c r="OJ159" s="3"/>
      <c r="OK159" s="3"/>
      <c r="OL159" s="3"/>
      <c r="OM159" s="3"/>
      <c r="ON159" s="3"/>
      <c r="OO159" s="3"/>
      <c r="OP159" s="3"/>
      <c r="OQ159" s="3"/>
      <c r="OR159" s="3"/>
      <c r="OS159" s="3"/>
      <c r="OT159" s="3"/>
      <c r="OU159" s="3"/>
      <c r="OV159" s="3"/>
      <c r="OW159" s="3"/>
      <c r="OX159" s="3"/>
      <c r="OY159" s="3"/>
      <c r="OZ159" s="3"/>
      <c r="PA159" s="3"/>
      <c r="PB159" s="3"/>
      <c r="PC159" s="3"/>
      <c r="PD159" s="3"/>
      <c r="PE159" s="3"/>
      <c r="PF159" s="3"/>
      <c r="PG159" s="3"/>
      <c r="PH159" s="3"/>
      <c r="PI159" s="3"/>
      <c r="PJ159" s="3"/>
      <c r="PK159" s="3"/>
      <c r="PL159" s="3"/>
      <c r="PM159" s="3"/>
      <c r="PN159" s="3"/>
      <c r="PO159" s="3"/>
      <c r="PP159" s="3"/>
      <c r="PQ159" s="3"/>
      <c r="PR159" s="3"/>
      <c r="PS159" s="3"/>
      <c r="PT159" s="3"/>
      <c r="PU159" s="3"/>
      <c r="PV159" s="3"/>
      <c r="PW159" s="3"/>
      <c r="PX159" s="3"/>
      <c r="PY159" s="3"/>
      <c r="PZ159" s="3"/>
      <c r="QA159" s="3"/>
      <c r="QB159" s="3"/>
      <c r="QC159" s="3"/>
      <c r="QD159" s="3"/>
      <c r="QE159" s="3"/>
      <c r="QF159" s="3"/>
      <c r="QG159" s="3"/>
      <c r="QH159" s="3"/>
      <c r="QI159" s="3"/>
      <c r="QJ159" s="3"/>
      <c r="QK159" s="3"/>
      <c r="QL159" s="3"/>
      <c r="QM159" s="3"/>
      <c r="QN159" s="3"/>
      <c r="QO159" s="3"/>
      <c r="QP159" s="3"/>
      <c r="QQ159" s="3"/>
      <c r="QR159" s="3"/>
      <c r="QS159" s="3"/>
      <c r="QT159" s="3"/>
      <c r="QU159" s="3"/>
      <c r="QV159" s="3"/>
      <c r="QW159" s="3"/>
      <c r="QX159" s="3"/>
      <c r="QY159" s="3"/>
      <c r="QZ159" s="3"/>
      <c r="RA159" s="3"/>
      <c r="RB159" s="3"/>
      <c r="RC159" s="3"/>
      <c r="RD159" s="3"/>
      <c r="RE159" s="3"/>
      <c r="RF159" s="3"/>
      <c r="RG159" s="3"/>
      <c r="RH159" s="3"/>
      <c r="RI159" s="3"/>
      <c r="RJ159" s="3"/>
      <c r="RK159" s="3"/>
      <c r="RL159" s="3"/>
      <c r="RM159" s="3"/>
      <c r="RN159" s="3"/>
      <c r="RO159" s="3"/>
      <c r="RP159" s="3"/>
      <c r="RQ159" s="3"/>
      <c r="RR159" s="3"/>
      <c r="RS159" s="3"/>
      <c r="RT159" s="3"/>
      <c r="RU159" s="3"/>
      <c r="RV159" s="3"/>
      <c r="RW159" s="3"/>
      <c r="RX159" s="3"/>
      <c r="RY159" s="3"/>
      <c r="RZ159" s="3"/>
      <c r="SA159" s="3"/>
      <c r="SB159" s="3"/>
      <c r="SC159" s="3"/>
      <c r="SD159" s="3"/>
      <c r="SE159" s="3"/>
      <c r="SF159" s="3"/>
      <c r="SG159" s="3"/>
      <c r="SH159" s="3"/>
      <c r="SI159" s="3"/>
      <c r="SJ159" s="3"/>
      <c r="SK159" s="3"/>
      <c r="SL159" s="3"/>
      <c r="SM159" s="3"/>
      <c r="SN159" s="3"/>
      <c r="SO159" s="3"/>
      <c r="SP159" s="3"/>
      <c r="SQ159" s="3"/>
      <c r="SR159" s="3"/>
      <c r="SS159" s="3"/>
      <c r="ST159" s="3"/>
      <c r="SU159" s="3"/>
      <c r="SV159" s="3"/>
      <c r="SW159" s="3"/>
      <c r="SX159" s="3"/>
      <c r="SY159" s="3"/>
      <c r="SZ159" s="3"/>
      <c r="TA159" s="3"/>
      <c r="TB159" s="3"/>
      <c r="TC159" s="3"/>
      <c r="TD159" s="3"/>
      <c r="TE159" s="3"/>
      <c r="TF159" s="3"/>
      <c r="TG159" s="3"/>
      <c r="TH159" s="3"/>
      <c r="TI159" s="3"/>
      <c r="TJ159" s="3"/>
      <c r="TK159" s="3"/>
      <c r="TL159" s="3"/>
      <c r="TM159" s="3"/>
      <c r="TN159" s="3"/>
      <c r="TO159" s="3"/>
      <c r="TP159" s="3"/>
      <c r="TQ159" s="3"/>
      <c r="TR159" s="3"/>
      <c r="TS159" s="3"/>
      <c r="TT159" s="3"/>
      <c r="TU159" s="3"/>
      <c r="TV159" s="3"/>
      <c r="TW159" s="3"/>
      <c r="TX159" s="3"/>
      <c r="TY159" s="3"/>
      <c r="TZ159" s="3"/>
      <c r="UA159" s="3"/>
      <c r="UB159" s="3"/>
      <c r="UC159" s="3"/>
      <c r="UD159" s="3"/>
      <c r="UE159" s="3"/>
      <c r="UF159" s="3"/>
      <c r="UG159" s="3"/>
      <c r="UH159" s="3"/>
      <c r="UI159" s="3"/>
      <c r="UJ159" s="3"/>
      <c r="UK159" s="3"/>
      <c r="UL159" s="3"/>
      <c r="UM159" s="3"/>
      <c r="UN159" s="3"/>
      <c r="UO159" s="3"/>
      <c r="UP159" s="3"/>
      <c r="UQ159" s="3"/>
      <c r="UR159" s="3"/>
      <c r="US159" s="3"/>
      <c r="UT159" s="3"/>
      <c r="UU159" s="3"/>
      <c r="UV159" s="3"/>
      <c r="UW159" s="3"/>
      <c r="UX159" s="3"/>
      <c r="UY159" s="3"/>
      <c r="UZ159" s="3"/>
      <c r="VA159" s="3"/>
      <c r="VB159" s="3"/>
      <c r="VC159" s="3"/>
      <c r="VD159" s="3"/>
      <c r="VE159" s="3"/>
      <c r="VF159" s="3"/>
      <c r="VG159" s="3"/>
      <c r="VH159" s="3"/>
      <c r="VI159" s="3"/>
      <c r="VJ159" s="3"/>
      <c r="VK159" s="3"/>
      <c r="VL159" s="3"/>
      <c r="VM159" s="3"/>
      <c r="VN159" s="3"/>
      <c r="VO159" s="3"/>
      <c r="VP159" s="3"/>
      <c r="VQ159" s="3"/>
      <c r="VR159" s="3"/>
      <c r="VS159" s="3"/>
      <c r="VT159" s="3"/>
      <c r="VU159" s="3"/>
      <c r="VV159" s="3"/>
      <c r="VW159" s="3"/>
      <c r="VX159" s="3"/>
      <c r="VY159" s="3"/>
      <c r="VZ159" s="3"/>
      <c r="WA159" s="3"/>
      <c r="WB159" s="3"/>
      <c r="WC159" s="3"/>
      <c r="WD159" s="3"/>
      <c r="WE159" s="3"/>
      <c r="WF159" s="3"/>
      <c r="WG159" s="3"/>
      <c r="WH159" s="3"/>
      <c r="WI159" s="3"/>
      <c r="WJ159" s="3"/>
      <c r="WK159" s="3"/>
      <c r="WL159" s="3"/>
      <c r="WM159" s="3"/>
      <c r="WN159" s="3"/>
      <c r="WO159" s="3"/>
      <c r="WP159" s="3"/>
      <c r="WQ159" s="3"/>
      <c r="WR159" s="3"/>
      <c r="WS159" s="3"/>
      <c r="WT159" s="3"/>
      <c r="WU159" s="3"/>
      <c r="WV159" s="3"/>
      <c r="WW159" s="3"/>
      <c r="WX159" s="3"/>
      <c r="WY159" s="3"/>
      <c r="WZ159" s="3"/>
      <c r="XA159" s="3"/>
      <c r="XB159" s="3"/>
      <c r="XC159" s="3"/>
      <c r="XD159" s="3"/>
      <c r="XE159" s="3"/>
      <c r="XF159" s="3"/>
      <c r="XG159" s="3"/>
      <c r="XH159" s="3"/>
      <c r="XI159" s="3"/>
      <c r="XJ159" s="3"/>
      <c r="XK159" s="3"/>
      <c r="XL159" s="3"/>
      <c r="XM159" s="3"/>
      <c r="XN159" s="3"/>
      <c r="XO159" s="3"/>
      <c r="XP159" s="3"/>
      <c r="XQ159" s="3"/>
      <c r="XR159" s="3"/>
      <c r="XS159" s="3"/>
      <c r="XT159" s="3"/>
      <c r="XU159" s="3"/>
      <c r="XV159" s="3"/>
      <c r="XW159" s="3"/>
      <c r="XX159" s="3"/>
      <c r="XY159" s="3"/>
      <c r="XZ159" s="3"/>
      <c r="YA159" s="3"/>
      <c r="YB159" s="3"/>
      <c r="YC159" s="3"/>
      <c r="YD159" s="3"/>
      <c r="YE159" s="3"/>
      <c r="YF159" s="3"/>
      <c r="YG159" s="3"/>
      <c r="YH159" s="3"/>
      <c r="YI159" s="3"/>
      <c r="YJ159" s="3"/>
      <c r="YK159" s="3"/>
      <c r="YL159" s="3"/>
      <c r="YM159" s="3"/>
      <c r="YN159" s="3"/>
      <c r="YO159" s="3"/>
      <c r="YP159" s="3"/>
      <c r="YQ159" s="3"/>
      <c r="YR159" s="3"/>
      <c r="YS159" s="3"/>
      <c r="YT159" s="3"/>
      <c r="YU159" s="3"/>
      <c r="YV159" s="3"/>
      <c r="YW159" s="3"/>
      <c r="YX159" s="3"/>
      <c r="YY159" s="3"/>
      <c r="YZ159" s="3"/>
      <c r="ZA159" s="3"/>
      <c r="ZB159" s="3"/>
      <c r="ZC159" s="3"/>
    </row>
    <row r="160" spans="1:679" s="2" customFormat="1" x14ac:dyDescent="0.45">
      <c r="A160" s="3" t="s">
        <v>11</v>
      </c>
      <c r="B160" s="4">
        <v>35088</v>
      </c>
      <c r="C160" s="7" t="s">
        <v>25</v>
      </c>
      <c r="D160" s="6" t="s">
        <v>175</v>
      </c>
      <c r="E160" s="3"/>
      <c r="F160" s="3">
        <v>2</v>
      </c>
      <c r="L160" s="3"/>
      <c r="M160" s="3"/>
      <c r="N160" s="48"/>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3"/>
      <c r="DI160" s="3"/>
      <c r="DJ160" s="3"/>
      <c r="DK160" s="3"/>
      <c r="DL160" s="3"/>
      <c r="DM160" s="3"/>
      <c r="DN160" s="3"/>
      <c r="DO160" s="3"/>
      <c r="DP160" s="3"/>
      <c r="DQ160" s="3"/>
      <c r="DR160" s="3"/>
      <c r="DS160" s="3"/>
      <c r="DT160" s="3"/>
      <c r="DU160" s="3"/>
      <c r="DV160" s="3"/>
      <c r="DW160" s="3"/>
      <c r="DX160" s="3"/>
      <c r="DY160" s="3"/>
      <c r="DZ160" s="3"/>
      <c r="EA160" s="3"/>
      <c r="EB160" s="3"/>
      <c r="EC160" s="3"/>
      <c r="ED160" s="3"/>
      <c r="EE160" s="3"/>
      <c r="EF160" s="3"/>
      <c r="EG160" s="3"/>
      <c r="EH160" s="3"/>
      <c r="EI160" s="3"/>
      <c r="EJ160" s="3"/>
      <c r="EK160" s="3"/>
      <c r="EL160" s="3"/>
      <c r="EM160" s="3"/>
      <c r="EN160" s="3"/>
      <c r="EO160" s="3"/>
      <c r="EP160" s="3"/>
      <c r="EQ160" s="3"/>
      <c r="ER160" s="3"/>
      <c r="ES160" s="3"/>
      <c r="ET160" s="3"/>
      <c r="EU160" s="3"/>
      <c r="EV160" s="3"/>
      <c r="EW160" s="3"/>
      <c r="EX160" s="3"/>
      <c r="EY160" s="3"/>
      <c r="EZ160" s="3"/>
      <c r="FA160" s="3"/>
      <c r="FB160" s="3"/>
      <c r="FC160" s="3"/>
      <c r="FD160" s="3"/>
      <c r="FE160" s="3"/>
      <c r="FF160" s="3"/>
      <c r="FG160" s="3"/>
      <c r="FH160" s="3"/>
      <c r="FI160" s="3"/>
      <c r="FJ160" s="3"/>
      <c r="FK160" s="3"/>
      <c r="FL160" s="3"/>
      <c r="FM160" s="3"/>
      <c r="FN160" s="3"/>
      <c r="FO160" s="3"/>
      <c r="FP160" s="3"/>
      <c r="FQ160" s="3"/>
      <c r="FR160" s="3"/>
      <c r="FS160" s="3"/>
      <c r="FT160" s="3"/>
      <c r="FU160" s="3"/>
      <c r="FV160" s="3"/>
      <c r="FW160" s="3"/>
      <c r="FX160" s="3"/>
      <c r="FY160" s="3"/>
      <c r="FZ160" s="3"/>
      <c r="GA160" s="3"/>
      <c r="GB160" s="3"/>
      <c r="GC160" s="3"/>
      <c r="GD160" s="3"/>
      <c r="GE160" s="3"/>
      <c r="GF160" s="3"/>
      <c r="GG160" s="3"/>
      <c r="GH160" s="3"/>
      <c r="GI160" s="3"/>
      <c r="GJ160" s="3"/>
      <c r="GK160" s="3"/>
      <c r="GL160" s="3"/>
      <c r="GM160" s="3"/>
      <c r="GN160" s="3"/>
      <c r="GO160" s="3"/>
      <c r="GP160" s="3"/>
      <c r="GQ160" s="3"/>
      <c r="GR160" s="3"/>
      <c r="GS160" s="3"/>
      <c r="GT160" s="3"/>
      <c r="GU160" s="3"/>
      <c r="GV160" s="3"/>
      <c r="GW160" s="3"/>
      <c r="GX160" s="3"/>
      <c r="GY160" s="3"/>
      <c r="GZ160" s="3"/>
      <c r="HA160" s="3"/>
      <c r="HB160" s="3"/>
      <c r="HC160" s="3"/>
      <c r="HD160" s="3"/>
      <c r="HE160" s="3"/>
      <c r="HF160" s="3"/>
      <c r="HG160" s="3"/>
      <c r="HH160" s="3"/>
      <c r="HI160" s="3"/>
      <c r="HJ160" s="3"/>
      <c r="HK160" s="3"/>
      <c r="HL160" s="3"/>
      <c r="HM160" s="3"/>
      <c r="HN160" s="3"/>
      <c r="HO160" s="3"/>
      <c r="HP160" s="3"/>
      <c r="HQ160" s="3"/>
      <c r="HR160" s="3"/>
      <c r="HS160" s="3"/>
      <c r="HT160" s="3"/>
      <c r="HU160" s="3"/>
      <c r="HV160" s="3"/>
      <c r="HW160" s="3"/>
      <c r="HX160" s="3"/>
      <c r="HY160" s="3"/>
      <c r="HZ160" s="3"/>
      <c r="IA160" s="3"/>
      <c r="IB160" s="3"/>
      <c r="IC160" s="3"/>
      <c r="ID160" s="3"/>
      <c r="IE160" s="3"/>
      <c r="IF160" s="3"/>
      <c r="IG160" s="3"/>
      <c r="IH160" s="3"/>
      <c r="II160" s="3"/>
      <c r="IJ160" s="3"/>
      <c r="IK160" s="3"/>
      <c r="IL160" s="3"/>
      <c r="IM160" s="3"/>
      <c r="IN160" s="3"/>
      <c r="IO160" s="3"/>
      <c r="IP160" s="3"/>
      <c r="IQ160" s="3"/>
      <c r="IR160" s="3"/>
      <c r="IS160" s="3"/>
      <c r="IT160" s="3"/>
      <c r="IU160" s="3"/>
      <c r="IV160" s="3"/>
      <c r="IW160" s="3"/>
      <c r="IX160" s="3"/>
      <c r="IY160" s="3"/>
      <c r="IZ160" s="3"/>
      <c r="JA160" s="3"/>
      <c r="JB160" s="3"/>
      <c r="JC160" s="3"/>
      <c r="JD160" s="3"/>
      <c r="JE160" s="3"/>
      <c r="JF160" s="3"/>
      <c r="JG160" s="3"/>
      <c r="JH160" s="3"/>
      <c r="JI160" s="3"/>
      <c r="JJ160" s="3"/>
      <c r="JK160" s="3"/>
      <c r="JL160" s="3"/>
      <c r="JM160" s="3"/>
      <c r="JN160" s="3"/>
      <c r="JO160" s="3"/>
      <c r="JP160" s="3"/>
      <c r="JQ160" s="3"/>
      <c r="JR160" s="3"/>
      <c r="JS160" s="3"/>
      <c r="JT160" s="3"/>
      <c r="JU160" s="3"/>
      <c r="JV160" s="3"/>
      <c r="JW160" s="3"/>
      <c r="JX160" s="3"/>
      <c r="JY160" s="3"/>
      <c r="JZ160" s="3"/>
      <c r="KA160" s="3"/>
      <c r="KB160" s="3"/>
      <c r="KC160" s="3"/>
      <c r="KD160" s="3"/>
      <c r="KE160" s="3"/>
      <c r="KF160" s="3"/>
      <c r="KG160" s="3"/>
      <c r="KH160" s="3"/>
      <c r="KI160" s="3"/>
      <c r="KJ160" s="3"/>
      <c r="KK160" s="3"/>
      <c r="KL160" s="3"/>
      <c r="KM160" s="3"/>
      <c r="KN160" s="3"/>
      <c r="KO160" s="3"/>
      <c r="KP160" s="3"/>
      <c r="KQ160" s="3"/>
      <c r="KR160" s="3"/>
      <c r="KS160" s="3"/>
      <c r="KT160" s="3"/>
      <c r="KU160" s="3"/>
      <c r="KV160" s="3"/>
      <c r="KW160" s="3"/>
      <c r="KX160" s="3"/>
      <c r="KY160" s="3"/>
      <c r="KZ160" s="3"/>
      <c r="LA160" s="3"/>
      <c r="LB160" s="3"/>
      <c r="LC160" s="3"/>
      <c r="LD160" s="3"/>
      <c r="LE160" s="3"/>
      <c r="LF160" s="3"/>
      <c r="LG160" s="3"/>
      <c r="LH160" s="3"/>
      <c r="LI160" s="3"/>
      <c r="LJ160" s="3"/>
      <c r="LK160" s="3"/>
      <c r="LL160" s="3"/>
      <c r="LM160" s="3"/>
      <c r="LN160" s="3"/>
      <c r="LO160" s="3"/>
      <c r="LP160" s="3"/>
      <c r="LQ160" s="3"/>
      <c r="LR160" s="3"/>
      <c r="LS160" s="3"/>
      <c r="LT160" s="3"/>
      <c r="LU160" s="3"/>
      <c r="LV160" s="3"/>
      <c r="LW160" s="3"/>
      <c r="LX160" s="3"/>
      <c r="LY160" s="3"/>
      <c r="LZ160" s="3"/>
      <c r="MA160" s="3"/>
      <c r="MB160" s="3"/>
      <c r="MC160" s="3"/>
      <c r="MD160" s="3"/>
      <c r="ME160" s="3"/>
      <c r="MF160" s="3"/>
      <c r="MG160" s="3"/>
      <c r="MH160" s="3"/>
      <c r="MI160" s="3"/>
      <c r="MJ160" s="3"/>
      <c r="MK160" s="3"/>
      <c r="ML160" s="3"/>
      <c r="MM160" s="3"/>
      <c r="MN160" s="3"/>
      <c r="MO160" s="3"/>
      <c r="MP160" s="3"/>
      <c r="MQ160" s="3"/>
      <c r="MR160" s="3"/>
      <c r="MS160" s="3"/>
      <c r="MT160" s="3"/>
      <c r="MU160" s="3"/>
      <c r="MV160" s="3"/>
      <c r="MW160" s="3"/>
      <c r="MX160" s="3"/>
      <c r="MY160" s="3"/>
      <c r="MZ160" s="3"/>
      <c r="NA160" s="3"/>
      <c r="NB160" s="3"/>
      <c r="NC160" s="3"/>
      <c r="ND160" s="3"/>
      <c r="NE160" s="3"/>
      <c r="NF160" s="3"/>
      <c r="NG160" s="3"/>
      <c r="NH160" s="3"/>
      <c r="NI160" s="3"/>
      <c r="NJ160" s="3"/>
      <c r="NK160" s="3"/>
      <c r="NL160" s="3"/>
      <c r="NM160" s="3"/>
      <c r="NN160" s="3"/>
      <c r="NO160" s="3"/>
      <c r="NP160" s="3"/>
      <c r="NQ160" s="3"/>
      <c r="NR160" s="3"/>
      <c r="NS160" s="3"/>
      <c r="NT160" s="3"/>
      <c r="NU160" s="3"/>
      <c r="NV160" s="3"/>
      <c r="NW160" s="3"/>
      <c r="NX160" s="3"/>
      <c r="NY160" s="3"/>
      <c r="NZ160" s="3"/>
      <c r="OA160" s="3"/>
      <c r="OB160" s="3"/>
      <c r="OC160" s="3"/>
      <c r="OD160" s="3"/>
      <c r="OE160" s="3"/>
      <c r="OF160" s="3"/>
      <c r="OG160" s="3"/>
      <c r="OH160" s="3"/>
      <c r="OI160" s="3"/>
      <c r="OJ160" s="3"/>
      <c r="OK160" s="3"/>
      <c r="OL160" s="3"/>
      <c r="OM160" s="3"/>
      <c r="ON160" s="3"/>
      <c r="OO160" s="3"/>
      <c r="OP160" s="3"/>
      <c r="OQ160" s="3"/>
      <c r="OR160" s="3"/>
      <c r="OS160" s="3"/>
      <c r="OT160" s="3"/>
      <c r="OU160" s="3"/>
      <c r="OV160" s="3"/>
      <c r="OW160" s="3"/>
      <c r="OX160" s="3"/>
      <c r="OY160" s="3"/>
      <c r="OZ160" s="3"/>
      <c r="PA160" s="3"/>
      <c r="PB160" s="3"/>
      <c r="PC160" s="3"/>
      <c r="PD160" s="3"/>
      <c r="PE160" s="3"/>
      <c r="PF160" s="3"/>
      <c r="PG160" s="3"/>
      <c r="PH160" s="3"/>
      <c r="PI160" s="3"/>
      <c r="PJ160" s="3"/>
      <c r="PK160" s="3"/>
      <c r="PL160" s="3"/>
      <c r="PM160" s="3"/>
      <c r="PN160" s="3"/>
      <c r="PO160" s="3"/>
      <c r="PP160" s="3"/>
      <c r="PQ160" s="3"/>
      <c r="PR160" s="3"/>
      <c r="PS160" s="3"/>
      <c r="PT160" s="3"/>
      <c r="PU160" s="3"/>
      <c r="PV160" s="3"/>
      <c r="PW160" s="3"/>
      <c r="PX160" s="3"/>
      <c r="PY160" s="3"/>
      <c r="PZ160" s="3"/>
      <c r="QA160" s="3"/>
      <c r="QB160" s="3"/>
      <c r="QC160" s="3"/>
      <c r="QD160" s="3"/>
      <c r="QE160" s="3"/>
      <c r="QF160" s="3"/>
      <c r="QG160" s="3"/>
      <c r="QH160" s="3"/>
      <c r="QI160" s="3"/>
      <c r="QJ160" s="3"/>
      <c r="QK160" s="3"/>
      <c r="QL160" s="3"/>
      <c r="QM160" s="3"/>
      <c r="QN160" s="3"/>
      <c r="QO160" s="3"/>
      <c r="QP160" s="3"/>
      <c r="QQ160" s="3"/>
      <c r="QR160" s="3"/>
      <c r="QS160" s="3"/>
      <c r="QT160" s="3"/>
      <c r="QU160" s="3"/>
      <c r="QV160" s="3"/>
      <c r="QW160" s="3"/>
      <c r="QX160" s="3"/>
      <c r="QY160" s="3"/>
      <c r="QZ160" s="3"/>
      <c r="RA160" s="3"/>
      <c r="RB160" s="3"/>
      <c r="RC160" s="3"/>
      <c r="RD160" s="3"/>
      <c r="RE160" s="3"/>
      <c r="RF160" s="3"/>
      <c r="RG160" s="3"/>
      <c r="RH160" s="3"/>
      <c r="RI160" s="3"/>
      <c r="RJ160" s="3"/>
      <c r="RK160" s="3"/>
      <c r="RL160" s="3"/>
      <c r="RM160" s="3"/>
      <c r="RN160" s="3"/>
      <c r="RO160" s="3"/>
      <c r="RP160" s="3"/>
      <c r="RQ160" s="3"/>
      <c r="RR160" s="3"/>
      <c r="RS160" s="3"/>
      <c r="RT160" s="3"/>
      <c r="RU160" s="3"/>
      <c r="RV160" s="3"/>
      <c r="RW160" s="3"/>
      <c r="RX160" s="3"/>
      <c r="RY160" s="3"/>
      <c r="RZ160" s="3"/>
      <c r="SA160" s="3"/>
      <c r="SB160" s="3"/>
      <c r="SC160" s="3"/>
      <c r="SD160" s="3"/>
      <c r="SE160" s="3"/>
      <c r="SF160" s="3"/>
      <c r="SG160" s="3"/>
      <c r="SH160" s="3"/>
      <c r="SI160" s="3"/>
      <c r="SJ160" s="3"/>
      <c r="SK160" s="3"/>
      <c r="SL160" s="3"/>
      <c r="SM160" s="3"/>
      <c r="SN160" s="3"/>
      <c r="SO160" s="3"/>
      <c r="SP160" s="3"/>
      <c r="SQ160" s="3"/>
      <c r="SR160" s="3"/>
      <c r="SS160" s="3"/>
      <c r="ST160" s="3"/>
      <c r="SU160" s="3"/>
      <c r="SV160" s="3"/>
      <c r="SW160" s="3"/>
      <c r="SX160" s="3"/>
      <c r="SY160" s="3"/>
      <c r="SZ160" s="3"/>
      <c r="TA160" s="3"/>
      <c r="TB160" s="3"/>
      <c r="TC160" s="3"/>
      <c r="TD160" s="3"/>
      <c r="TE160" s="3"/>
      <c r="TF160" s="3"/>
      <c r="TG160" s="3"/>
      <c r="TH160" s="3"/>
      <c r="TI160" s="3"/>
      <c r="TJ160" s="3"/>
      <c r="TK160" s="3"/>
      <c r="TL160" s="3"/>
      <c r="TM160" s="3"/>
      <c r="TN160" s="3"/>
      <c r="TO160" s="3"/>
      <c r="TP160" s="3"/>
      <c r="TQ160" s="3"/>
      <c r="TR160" s="3"/>
      <c r="TS160" s="3"/>
      <c r="TT160" s="3"/>
      <c r="TU160" s="3"/>
      <c r="TV160" s="3"/>
      <c r="TW160" s="3"/>
      <c r="TX160" s="3"/>
      <c r="TY160" s="3"/>
      <c r="TZ160" s="3"/>
      <c r="UA160" s="3"/>
      <c r="UB160" s="3"/>
      <c r="UC160" s="3"/>
      <c r="UD160" s="3"/>
      <c r="UE160" s="3"/>
      <c r="UF160" s="3"/>
      <c r="UG160" s="3"/>
      <c r="UH160" s="3"/>
      <c r="UI160" s="3"/>
      <c r="UJ160" s="3"/>
      <c r="UK160" s="3"/>
      <c r="UL160" s="3"/>
      <c r="UM160" s="3"/>
      <c r="UN160" s="3"/>
      <c r="UO160" s="3"/>
      <c r="UP160" s="3"/>
      <c r="UQ160" s="3"/>
      <c r="UR160" s="3"/>
      <c r="US160" s="3"/>
      <c r="UT160" s="3"/>
      <c r="UU160" s="3"/>
      <c r="UV160" s="3"/>
      <c r="UW160" s="3"/>
      <c r="UX160" s="3"/>
      <c r="UY160" s="3"/>
      <c r="UZ160" s="3"/>
      <c r="VA160" s="3"/>
      <c r="VB160" s="3"/>
      <c r="VC160" s="3"/>
      <c r="VD160" s="3"/>
      <c r="VE160" s="3"/>
      <c r="VF160" s="3"/>
      <c r="VG160" s="3"/>
      <c r="VH160" s="3"/>
      <c r="VI160" s="3"/>
      <c r="VJ160" s="3"/>
      <c r="VK160" s="3"/>
      <c r="VL160" s="3"/>
      <c r="VM160" s="3"/>
      <c r="VN160" s="3"/>
      <c r="VO160" s="3"/>
      <c r="VP160" s="3"/>
      <c r="VQ160" s="3"/>
      <c r="VR160" s="3"/>
      <c r="VS160" s="3"/>
      <c r="VT160" s="3"/>
      <c r="VU160" s="3"/>
      <c r="VV160" s="3"/>
      <c r="VW160" s="3"/>
      <c r="VX160" s="3"/>
      <c r="VY160" s="3"/>
      <c r="VZ160" s="3"/>
      <c r="WA160" s="3"/>
      <c r="WB160" s="3"/>
      <c r="WC160" s="3"/>
      <c r="WD160" s="3"/>
      <c r="WE160" s="3"/>
      <c r="WF160" s="3"/>
      <c r="WG160" s="3"/>
      <c r="WH160" s="3"/>
      <c r="WI160" s="3"/>
      <c r="WJ160" s="3"/>
      <c r="WK160" s="3"/>
      <c r="WL160" s="3"/>
      <c r="WM160" s="3"/>
      <c r="WN160" s="3"/>
      <c r="WO160" s="3"/>
      <c r="WP160" s="3"/>
      <c r="WQ160" s="3"/>
      <c r="WR160" s="3"/>
      <c r="WS160" s="3"/>
      <c r="WT160" s="3"/>
      <c r="WU160" s="3"/>
      <c r="WV160" s="3"/>
      <c r="WW160" s="3"/>
      <c r="WX160" s="3"/>
      <c r="WY160" s="3"/>
      <c r="WZ160" s="3"/>
      <c r="XA160" s="3"/>
      <c r="XB160" s="3"/>
      <c r="XC160" s="3"/>
      <c r="XD160" s="3"/>
      <c r="XE160" s="3"/>
      <c r="XF160" s="3"/>
      <c r="XG160" s="3"/>
      <c r="XH160" s="3"/>
      <c r="XI160" s="3"/>
      <c r="XJ160" s="3"/>
      <c r="XK160" s="3"/>
      <c r="XL160" s="3"/>
      <c r="XM160" s="3"/>
      <c r="XN160" s="3"/>
      <c r="XO160" s="3"/>
      <c r="XP160" s="3"/>
      <c r="XQ160" s="3"/>
      <c r="XR160" s="3"/>
      <c r="XS160" s="3"/>
      <c r="XT160" s="3"/>
      <c r="XU160" s="3"/>
      <c r="XV160" s="3"/>
      <c r="XW160" s="3"/>
      <c r="XX160" s="3"/>
      <c r="XY160" s="3"/>
      <c r="XZ160" s="3"/>
      <c r="YA160" s="3"/>
      <c r="YB160" s="3"/>
      <c r="YC160" s="3"/>
      <c r="YD160" s="3"/>
      <c r="YE160" s="3"/>
      <c r="YF160" s="3"/>
      <c r="YG160" s="3"/>
      <c r="YH160" s="3"/>
      <c r="YI160" s="3"/>
      <c r="YJ160" s="3"/>
      <c r="YK160" s="3"/>
      <c r="YL160" s="3"/>
      <c r="YM160" s="3"/>
      <c r="YN160" s="3"/>
      <c r="YO160" s="3"/>
      <c r="YP160" s="3"/>
      <c r="YQ160" s="3"/>
      <c r="YR160" s="3"/>
      <c r="YS160" s="3"/>
      <c r="YT160" s="3"/>
      <c r="YU160" s="3"/>
      <c r="YV160" s="3"/>
      <c r="YW160" s="3"/>
      <c r="YX160" s="3"/>
      <c r="YY160" s="3"/>
      <c r="YZ160" s="3"/>
      <c r="ZA160" s="3"/>
      <c r="ZB160" s="3"/>
      <c r="ZC160" s="3"/>
    </row>
    <row r="161" spans="1:679" s="2" customFormat="1" x14ac:dyDescent="0.45">
      <c r="A161" s="3" t="s">
        <v>11</v>
      </c>
      <c r="B161" s="4">
        <v>35115</v>
      </c>
      <c r="C161" s="7" t="s">
        <v>25</v>
      </c>
      <c r="D161" s="6" t="s">
        <v>176</v>
      </c>
      <c r="E161" s="3"/>
      <c r="F161" s="3">
        <v>6</v>
      </c>
      <c r="L161" s="3"/>
      <c r="M161" s="3"/>
      <c r="N161" s="48"/>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c r="DF161" s="3"/>
      <c r="DG161" s="3"/>
      <c r="DH161" s="3"/>
      <c r="DI161" s="3"/>
      <c r="DJ161" s="3"/>
      <c r="DK161" s="3"/>
      <c r="DL161" s="3"/>
      <c r="DM161" s="3"/>
      <c r="DN161" s="3"/>
      <c r="DO161" s="3"/>
      <c r="DP161" s="3"/>
      <c r="DQ161" s="3"/>
      <c r="DR161" s="3"/>
      <c r="DS161" s="3"/>
      <c r="DT161" s="3"/>
      <c r="DU161" s="3"/>
      <c r="DV161" s="3"/>
      <c r="DW161" s="3"/>
      <c r="DX161" s="3"/>
      <c r="DY161" s="3"/>
      <c r="DZ161" s="3"/>
      <c r="EA161" s="3"/>
      <c r="EB161" s="3"/>
      <c r="EC161" s="3"/>
      <c r="ED161" s="3"/>
      <c r="EE161" s="3"/>
      <c r="EF161" s="3"/>
      <c r="EG161" s="3"/>
      <c r="EH161" s="3"/>
      <c r="EI161" s="3"/>
      <c r="EJ161" s="3"/>
      <c r="EK161" s="3"/>
      <c r="EL161" s="3"/>
      <c r="EM161" s="3"/>
      <c r="EN161" s="3"/>
      <c r="EO161" s="3"/>
      <c r="EP161" s="3"/>
      <c r="EQ161" s="3"/>
      <c r="ER161" s="3"/>
      <c r="ES161" s="3"/>
      <c r="ET161" s="3"/>
      <c r="EU161" s="3"/>
      <c r="EV161" s="3"/>
      <c r="EW161" s="3"/>
      <c r="EX161" s="3"/>
      <c r="EY161" s="3"/>
      <c r="EZ161" s="3"/>
      <c r="FA161" s="3"/>
      <c r="FB161" s="3"/>
      <c r="FC161" s="3"/>
      <c r="FD161" s="3"/>
      <c r="FE161" s="3"/>
      <c r="FF161" s="3"/>
      <c r="FG161" s="3"/>
      <c r="FH161" s="3"/>
      <c r="FI161" s="3"/>
      <c r="FJ161" s="3"/>
      <c r="FK161" s="3"/>
      <c r="FL161" s="3"/>
      <c r="FM161" s="3"/>
      <c r="FN161" s="3"/>
      <c r="FO161" s="3"/>
      <c r="FP161" s="3"/>
      <c r="FQ161" s="3"/>
      <c r="FR161" s="3"/>
      <c r="FS161" s="3"/>
      <c r="FT161" s="3"/>
      <c r="FU161" s="3"/>
      <c r="FV161" s="3"/>
      <c r="FW161" s="3"/>
      <c r="FX161" s="3"/>
      <c r="FY161" s="3"/>
      <c r="FZ161" s="3"/>
      <c r="GA161" s="3"/>
      <c r="GB161" s="3"/>
      <c r="GC161" s="3"/>
      <c r="GD161" s="3"/>
      <c r="GE161" s="3"/>
      <c r="GF161" s="3"/>
      <c r="GG161" s="3"/>
      <c r="GH161" s="3"/>
      <c r="GI161" s="3"/>
      <c r="GJ161" s="3"/>
      <c r="GK161" s="3"/>
      <c r="GL161" s="3"/>
      <c r="GM161" s="3"/>
      <c r="GN161" s="3"/>
      <c r="GO161" s="3"/>
      <c r="GP161" s="3"/>
      <c r="GQ161" s="3"/>
      <c r="GR161" s="3"/>
      <c r="GS161" s="3"/>
      <c r="GT161" s="3"/>
      <c r="GU161" s="3"/>
      <c r="GV161" s="3"/>
      <c r="GW161" s="3"/>
      <c r="GX161" s="3"/>
      <c r="GY161" s="3"/>
      <c r="GZ161" s="3"/>
      <c r="HA161" s="3"/>
      <c r="HB161" s="3"/>
      <c r="HC161" s="3"/>
      <c r="HD161" s="3"/>
      <c r="HE161" s="3"/>
      <c r="HF161" s="3"/>
      <c r="HG161" s="3"/>
      <c r="HH161" s="3"/>
      <c r="HI161" s="3"/>
      <c r="HJ161" s="3"/>
      <c r="HK161" s="3"/>
      <c r="HL161" s="3"/>
      <c r="HM161" s="3"/>
      <c r="HN161" s="3"/>
      <c r="HO161" s="3"/>
      <c r="HP161" s="3"/>
      <c r="HQ161" s="3"/>
      <c r="HR161" s="3"/>
      <c r="HS161" s="3"/>
      <c r="HT161" s="3"/>
      <c r="HU161" s="3"/>
      <c r="HV161" s="3"/>
      <c r="HW161" s="3"/>
      <c r="HX161" s="3"/>
      <c r="HY161" s="3"/>
      <c r="HZ161" s="3"/>
      <c r="IA161" s="3"/>
      <c r="IB161" s="3"/>
      <c r="IC161" s="3"/>
      <c r="ID161" s="3"/>
      <c r="IE161" s="3"/>
      <c r="IF161" s="3"/>
      <c r="IG161" s="3"/>
      <c r="IH161" s="3"/>
      <c r="II161" s="3"/>
      <c r="IJ161" s="3"/>
      <c r="IK161" s="3"/>
      <c r="IL161" s="3"/>
      <c r="IM161" s="3"/>
      <c r="IN161" s="3"/>
      <c r="IO161" s="3"/>
      <c r="IP161" s="3"/>
      <c r="IQ161" s="3"/>
      <c r="IR161" s="3"/>
      <c r="IS161" s="3"/>
      <c r="IT161" s="3"/>
      <c r="IU161" s="3"/>
      <c r="IV161" s="3"/>
      <c r="IW161" s="3"/>
      <c r="IX161" s="3"/>
      <c r="IY161" s="3"/>
      <c r="IZ161" s="3"/>
      <c r="JA161" s="3"/>
      <c r="JB161" s="3"/>
      <c r="JC161" s="3"/>
      <c r="JD161" s="3"/>
      <c r="JE161" s="3"/>
      <c r="JF161" s="3"/>
      <c r="JG161" s="3"/>
      <c r="JH161" s="3"/>
      <c r="JI161" s="3"/>
      <c r="JJ161" s="3"/>
      <c r="JK161" s="3"/>
      <c r="JL161" s="3"/>
      <c r="JM161" s="3"/>
      <c r="JN161" s="3"/>
      <c r="JO161" s="3"/>
      <c r="JP161" s="3"/>
      <c r="JQ161" s="3"/>
      <c r="JR161" s="3"/>
      <c r="JS161" s="3"/>
      <c r="JT161" s="3"/>
      <c r="JU161" s="3"/>
      <c r="JV161" s="3"/>
      <c r="JW161" s="3"/>
      <c r="JX161" s="3"/>
      <c r="JY161" s="3"/>
      <c r="JZ161" s="3"/>
      <c r="KA161" s="3"/>
      <c r="KB161" s="3"/>
      <c r="KC161" s="3"/>
      <c r="KD161" s="3"/>
      <c r="KE161" s="3"/>
      <c r="KF161" s="3"/>
      <c r="KG161" s="3"/>
      <c r="KH161" s="3"/>
      <c r="KI161" s="3"/>
      <c r="KJ161" s="3"/>
      <c r="KK161" s="3"/>
      <c r="KL161" s="3"/>
      <c r="KM161" s="3"/>
      <c r="KN161" s="3"/>
      <c r="KO161" s="3"/>
      <c r="KP161" s="3"/>
      <c r="KQ161" s="3"/>
      <c r="KR161" s="3"/>
      <c r="KS161" s="3"/>
      <c r="KT161" s="3"/>
      <c r="KU161" s="3"/>
      <c r="KV161" s="3"/>
      <c r="KW161" s="3"/>
      <c r="KX161" s="3"/>
      <c r="KY161" s="3"/>
      <c r="KZ161" s="3"/>
      <c r="LA161" s="3"/>
      <c r="LB161" s="3"/>
      <c r="LC161" s="3"/>
      <c r="LD161" s="3"/>
      <c r="LE161" s="3"/>
      <c r="LF161" s="3"/>
      <c r="LG161" s="3"/>
      <c r="LH161" s="3"/>
      <c r="LI161" s="3"/>
      <c r="LJ161" s="3"/>
      <c r="LK161" s="3"/>
      <c r="LL161" s="3"/>
      <c r="LM161" s="3"/>
      <c r="LN161" s="3"/>
      <c r="LO161" s="3"/>
      <c r="LP161" s="3"/>
      <c r="LQ161" s="3"/>
      <c r="LR161" s="3"/>
      <c r="LS161" s="3"/>
      <c r="LT161" s="3"/>
      <c r="LU161" s="3"/>
      <c r="LV161" s="3"/>
      <c r="LW161" s="3"/>
      <c r="LX161" s="3"/>
      <c r="LY161" s="3"/>
      <c r="LZ161" s="3"/>
      <c r="MA161" s="3"/>
      <c r="MB161" s="3"/>
      <c r="MC161" s="3"/>
      <c r="MD161" s="3"/>
      <c r="ME161" s="3"/>
      <c r="MF161" s="3"/>
      <c r="MG161" s="3"/>
      <c r="MH161" s="3"/>
      <c r="MI161" s="3"/>
      <c r="MJ161" s="3"/>
      <c r="MK161" s="3"/>
      <c r="ML161" s="3"/>
      <c r="MM161" s="3"/>
      <c r="MN161" s="3"/>
      <c r="MO161" s="3"/>
      <c r="MP161" s="3"/>
      <c r="MQ161" s="3"/>
      <c r="MR161" s="3"/>
      <c r="MS161" s="3"/>
      <c r="MT161" s="3"/>
      <c r="MU161" s="3"/>
      <c r="MV161" s="3"/>
      <c r="MW161" s="3"/>
      <c r="MX161" s="3"/>
      <c r="MY161" s="3"/>
      <c r="MZ161" s="3"/>
      <c r="NA161" s="3"/>
      <c r="NB161" s="3"/>
      <c r="NC161" s="3"/>
      <c r="ND161" s="3"/>
      <c r="NE161" s="3"/>
      <c r="NF161" s="3"/>
      <c r="NG161" s="3"/>
      <c r="NH161" s="3"/>
      <c r="NI161" s="3"/>
      <c r="NJ161" s="3"/>
      <c r="NK161" s="3"/>
      <c r="NL161" s="3"/>
      <c r="NM161" s="3"/>
      <c r="NN161" s="3"/>
      <c r="NO161" s="3"/>
      <c r="NP161" s="3"/>
      <c r="NQ161" s="3"/>
      <c r="NR161" s="3"/>
      <c r="NS161" s="3"/>
      <c r="NT161" s="3"/>
      <c r="NU161" s="3"/>
      <c r="NV161" s="3"/>
      <c r="NW161" s="3"/>
      <c r="NX161" s="3"/>
      <c r="NY161" s="3"/>
      <c r="NZ161" s="3"/>
      <c r="OA161" s="3"/>
      <c r="OB161" s="3"/>
      <c r="OC161" s="3"/>
      <c r="OD161" s="3"/>
      <c r="OE161" s="3"/>
      <c r="OF161" s="3"/>
      <c r="OG161" s="3"/>
      <c r="OH161" s="3"/>
      <c r="OI161" s="3"/>
      <c r="OJ161" s="3"/>
      <c r="OK161" s="3"/>
      <c r="OL161" s="3"/>
      <c r="OM161" s="3"/>
      <c r="ON161" s="3"/>
      <c r="OO161" s="3"/>
      <c r="OP161" s="3"/>
      <c r="OQ161" s="3"/>
      <c r="OR161" s="3"/>
      <c r="OS161" s="3"/>
      <c r="OT161" s="3"/>
      <c r="OU161" s="3"/>
      <c r="OV161" s="3"/>
      <c r="OW161" s="3"/>
      <c r="OX161" s="3"/>
      <c r="OY161" s="3"/>
      <c r="OZ161" s="3"/>
      <c r="PA161" s="3"/>
      <c r="PB161" s="3"/>
      <c r="PC161" s="3"/>
      <c r="PD161" s="3"/>
      <c r="PE161" s="3"/>
      <c r="PF161" s="3"/>
      <c r="PG161" s="3"/>
      <c r="PH161" s="3"/>
      <c r="PI161" s="3"/>
      <c r="PJ161" s="3"/>
      <c r="PK161" s="3"/>
      <c r="PL161" s="3"/>
      <c r="PM161" s="3"/>
      <c r="PN161" s="3"/>
      <c r="PO161" s="3"/>
      <c r="PP161" s="3"/>
      <c r="PQ161" s="3"/>
      <c r="PR161" s="3"/>
      <c r="PS161" s="3"/>
      <c r="PT161" s="3"/>
      <c r="PU161" s="3"/>
      <c r="PV161" s="3"/>
      <c r="PW161" s="3"/>
      <c r="PX161" s="3"/>
      <c r="PY161" s="3"/>
      <c r="PZ161" s="3"/>
      <c r="QA161" s="3"/>
      <c r="QB161" s="3"/>
      <c r="QC161" s="3"/>
      <c r="QD161" s="3"/>
      <c r="QE161" s="3"/>
      <c r="QF161" s="3"/>
      <c r="QG161" s="3"/>
      <c r="QH161" s="3"/>
      <c r="QI161" s="3"/>
      <c r="QJ161" s="3"/>
      <c r="QK161" s="3"/>
      <c r="QL161" s="3"/>
      <c r="QM161" s="3"/>
      <c r="QN161" s="3"/>
      <c r="QO161" s="3"/>
      <c r="QP161" s="3"/>
      <c r="QQ161" s="3"/>
      <c r="QR161" s="3"/>
      <c r="QS161" s="3"/>
      <c r="QT161" s="3"/>
      <c r="QU161" s="3"/>
      <c r="QV161" s="3"/>
      <c r="QW161" s="3"/>
      <c r="QX161" s="3"/>
      <c r="QY161" s="3"/>
      <c r="QZ161" s="3"/>
      <c r="RA161" s="3"/>
      <c r="RB161" s="3"/>
      <c r="RC161" s="3"/>
      <c r="RD161" s="3"/>
      <c r="RE161" s="3"/>
      <c r="RF161" s="3"/>
      <c r="RG161" s="3"/>
      <c r="RH161" s="3"/>
      <c r="RI161" s="3"/>
      <c r="RJ161" s="3"/>
      <c r="RK161" s="3"/>
      <c r="RL161" s="3"/>
      <c r="RM161" s="3"/>
      <c r="RN161" s="3"/>
      <c r="RO161" s="3"/>
      <c r="RP161" s="3"/>
      <c r="RQ161" s="3"/>
      <c r="RR161" s="3"/>
      <c r="RS161" s="3"/>
      <c r="RT161" s="3"/>
      <c r="RU161" s="3"/>
      <c r="RV161" s="3"/>
      <c r="RW161" s="3"/>
      <c r="RX161" s="3"/>
      <c r="RY161" s="3"/>
      <c r="RZ161" s="3"/>
      <c r="SA161" s="3"/>
      <c r="SB161" s="3"/>
      <c r="SC161" s="3"/>
      <c r="SD161" s="3"/>
      <c r="SE161" s="3"/>
      <c r="SF161" s="3"/>
      <c r="SG161" s="3"/>
      <c r="SH161" s="3"/>
      <c r="SI161" s="3"/>
      <c r="SJ161" s="3"/>
      <c r="SK161" s="3"/>
      <c r="SL161" s="3"/>
      <c r="SM161" s="3"/>
      <c r="SN161" s="3"/>
      <c r="SO161" s="3"/>
      <c r="SP161" s="3"/>
      <c r="SQ161" s="3"/>
      <c r="SR161" s="3"/>
      <c r="SS161" s="3"/>
      <c r="ST161" s="3"/>
      <c r="SU161" s="3"/>
      <c r="SV161" s="3"/>
      <c r="SW161" s="3"/>
      <c r="SX161" s="3"/>
      <c r="SY161" s="3"/>
      <c r="SZ161" s="3"/>
      <c r="TA161" s="3"/>
      <c r="TB161" s="3"/>
      <c r="TC161" s="3"/>
      <c r="TD161" s="3"/>
      <c r="TE161" s="3"/>
      <c r="TF161" s="3"/>
      <c r="TG161" s="3"/>
      <c r="TH161" s="3"/>
      <c r="TI161" s="3"/>
      <c r="TJ161" s="3"/>
      <c r="TK161" s="3"/>
      <c r="TL161" s="3"/>
      <c r="TM161" s="3"/>
      <c r="TN161" s="3"/>
      <c r="TO161" s="3"/>
      <c r="TP161" s="3"/>
      <c r="TQ161" s="3"/>
      <c r="TR161" s="3"/>
      <c r="TS161" s="3"/>
      <c r="TT161" s="3"/>
      <c r="TU161" s="3"/>
      <c r="TV161" s="3"/>
      <c r="TW161" s="3"/>
      <c r="TX161" s="3"/>
      <c r="TY161" s="3"/>
      <c r="TZ161" s="3"/>
      <c r="UA161" s="3"/>
      <c r="UB161" s="3"/>
      <c r="UC161" s="3"/>
      <c r="UD161" s="3"/>
      <c r="UE161" s="3"/>
      <c r="UF161" s="3"/>
      <c r="UG161" s="3"/>
      <c r="UH161" s="3"/>
      <c r="UI161" s="3"/>
      <c r="UJ161" s="3"/>
      <c r="UK161" s="3"/>
      <c r="UL161" s="3"/>
      <c r="UM161" s="3"/>
      <c r="UN161" s="3"/>
      <c r="UO161" s="3"/>
      <c r="UP161" s="3"/>
      <c r="UQ161" s="3"/>
      <c r="UR161" s="3"/>
      <c r="US161" s="3"/>
      <c r="UT161" s="3"/>
      <c r="UU161" s="3"/>
      <c r="UV161" s="3"/>
      <c r="UW161" s="3"/>
      <c r="UX161" s="3"/>
      <c r="UY161" s="3"/>
      <c r="UZ161" s="3"/>
      <c r="VA161" s="3"/>
      <c r="VB161" s="3"/>
      <c r="VC161" s="3"/>
      <c r="VD161" s="3"/>
      <c r="VE161" s="3"/>
      <c r="VF161" s="3"/>
      <c r="VG161" s="3"/>
      <c r="VH161" s="3"/>
      <c r="VI161" s="3"/>
      <c r="VJ161" s="3"/>
      <c r="VK161" s="3"/>
      <c r="VL161" s="3"/>
      <c r="VM161" s="3"/>
      <c r="VN161" s="3"/>
      <c r="VO161" s="3"/>
      <c r="VP161" s="3"/>
      <c r="VQ161" s="3"/>
      <c r="VR161" s="3"/>
      <c r="VS161" s="3"/>
      <c r="VT161" s="3"/>
      <c r="VU161" s="3"/>
      <c r="VV161" s="3"/>
      <c r="VW161" s="3"/>
      <c r="VX161" s="3"/>
      <c r="VY161" s="3"/>
      <c r="VZ161" s="3"/>
      <c r="WA161" s="3"/>
      <c r="WB161" s="3"/>
      <c r="WC161" s="3"/>
      <c r="WD161" s="3"/>
      <c r="WE161" s="3"/>
      <c r="WF161" s="3"/>
      <c r="WG161" s="3"/>
      <c r="WH161" s="3"/>
      <c r="WI161" s="3"/>
      <c r="WJ161" s="3"/>
      <c r="WK161" s="3"/>
      <c r="WL161" s="3"/>
      <c r="WM161" s="3"/>
      <c r="WN161" s="3"/>
      <c r="WO161" s="3"/>
      <c r="WP161" s="3"/>
      <c r="WQ161" s="3"/>
      <c r="WR161" s="3"/>
      <c r="WS161" s="3"/>
      <c r="WT161" s="3"/>
      <c r="WU161" s="3"/>
      <c r="WV161" s="3"/>
      <c r="WW161" s="3"/>
      <c r="WX161" s="3"/>
      <c r="WY161" s="3"/>
      <c r="WZ161" s="3"/>
      <c r="XA161" s="3"/>
      <c r="XB161" s="3"/>
      <c r="XC161" s="3"/>
      <c r="XD161" s="3"/>
      <c r="XE161" s="3"/>
      <c r="XF161" s="3"/>
      <c r="XG161" s="3"/>
      <c r="XH161" s="3"/>
      <c r="XI161" s="3"/>
      <c r="XJ161" s="3"/>
      <c r="XK161" s="3"/>
      <c r="XL161" s="3"/>
      <c r="XM161" s="3"/>
      <c r="XN161" s="3"/>
      <c r="XO161" s="3"/>
      <c r="XP161" s="3"/>
      <c r="XQ161" s="3"/>
      <c r="XR161" s="3"/>
      <c r="XS161" s="3"/>
      <c r="XT161" s="3"/>
      <c r="XU161" s="3"/>
      <c r="XV161" s="3"/>
      <c r="XW161" s="3"/>
      <c r="XX161" s="3"/>
      <c r="XY161" s="3"/>
      <c r="XZ161" s="3"/>
      <c r="YA161" s="3"/>
      <c r="YB161" s="3"/>
      <c r="YC161" s="3"/>
      <c r="YD161" s="3"/>
      <c r="YE161" s="3"/>
      <c r="YF161" s="3"/>
      <c r="YG161" s="3"/>
      <c r="YH161" s="3"/>
      <c r="YI161" s="3"/>
      <c r="YJ161" s="3"/>
      <c r="YK161" s="3"/>
      <c r="YL161" s="3"/>
      <c r="YM161" s="3"/>
      <c r="YN161" s="3"/>
      <c r="YO161" s="3"/>
      <c r="YP161" s="3"/>
      <c r="YQ161" s="3"/>
      <c r="YR161" s="3"/>
      <c r="YS161" s="3"/>
      <c r="YT161" s="3"/>
      <c r="YU161" s="3"/>
      <c r="YV161" s="3"/>
      <c r="YW161" s="3"/>
      <c r="YX161" s="3"/>
      <c r="YY161" s="3"/>
      <c r="YZ161" s="3"/>
      <c r="ZA161" s="3"/>
      <c r="ZB161" s="3"/>
      <c r="ZC161" s="3"/>
    </row>
    <row r="162" spans="1:679" s="2" customFormat="1" x14ac:dyDescent="0.45">
      <c r="A162" s="3" t="s">
        <v>11</v>
      </c>
      <c r="B162" s="4">
        <v>35137</v>
      </c>
      <c r="C162" s="7" t="s">
        <v>21</v>
      </c>
      <c r="D162" s="6" t="s">
        <v>177</v>
      </c>
      <c r="E162" s="3"/>
      <c r="F162" s="3">
        <v>12</v>
      </c>
      <c r="L162" s="3"/>
      <c r="M162" s="3"/>
      <c r="N162" s="48"/>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c r="EJ162" s="3"/>
      <c r="EK162" s="3"/>
      <c r="EL162" s="3"/>
      <c r="EM162" s="3"/>
      <c r="EN162" s="3"/>
      <c r="EO162" s="3"/>
      <c r="EP162" s="3"/>
      <c r="EQ162" s="3"/>
      <c r="ER162" s="3"/>
      <c r="ES162" s="3"/>
      <c r="ET162" s="3"/>
      <c r="EU162" s="3"/>
      <c r="EV162" s="3"/>
      <c r="EW162" s="3"/>
      <c r="EX162" s="3"/>
      <c r="EY162" s="3"/>
      <c r="EZ162" s="3"/>
      <c r="FA162" s="3"/>
      <c r="FB162" s="3"/>
      <c r="FC162" s="3"/>
      <c r="FD162" s="3"/>
      <c r="FE162" s="3"/>
      <c r="FF162" s="3"/>
      <c r="FG162" s="3"/>
      <c r="FH162" s="3"/>
      <c r="FI162" s="3"/>
      <c r="FJ162" s="3"/>
      <c r="FK162" s="3"/>
      <c r="FL162" s="3"/>
      <c r="FM162" s="3"/>
      <c r="FN162" s="3"/>
      <c r="FO162" s="3"/>
      <c r="FP162" s="3"/>
      <c r="FQ162" s="3"/>
      <c r="FR162" s="3"/>
      <c r="FS162" s="3"/>
      <c r="FT162" s="3"/>
      <c r="FU162" s="3"/>
      <c r="FV162" s="3"/>
      <c r="FW162" s="3"/>
      <c r="FX162" s="3"/>
      <c r="FY162" s="3"/>
      <c r="FZ162" s="3"/>
      <c r="GA162" s="3"/>
      <c r="GB162" s="3"/>
      <c r="GC162" s="3"/>
      <c r="GD162" s="3"/>
      <c r="GE162" s="3"/>
      <c r="GF162" s="3"/>
      <c r="GG162" s="3"/>
      <c r="GH162" s="3"/>
      <c r="GI162" s="3"/>
      <c r="GJ162" s="3"/>
      <c r="GK162" s="3"/>
      <c r="GL162" s="3"/>
      <c r="GM162" s="3"/>
      <c r="GN162" s="3"/>
      <c r="GO162" s="3"/>
      <c r="GP162" s="3"/>
      <c r="GQ162" s="3"/>
      <c r="GR162" s="3"/>
      <c r="GS162" s="3"/>
      <c r="GT162" s="3"/>
      <c r="GU162" s="3"/>
      <c r="GV162" s="3"/>
      <c r="GW162" s="3"/>
      <c r="GX162" s="3"/>
      <c r="GY162" s="3"/>
      <c r="GZ162" s="3"/>
      <c r="HA162" s="3"/>
      <c r="HB162" s="3"/>
      <c r="HC162" s="3"/>
      <c r="HD162" s="3"/>
      <c r="HE162" s="3"/>
      <c r="HF162" s="3"/>
      <c r="HG162" s="3"/>
      <c r="HH162" s="3"/>
      <c r="HI162" s="3"/>
      <c r="HJ162" s="3"/>
      <c r="HK162" s="3"/>
      <c r="HL162" s="3"/>
      <c r="HM162" s="3"/>
      <c r="HN162" s="3"/>
      <c r="HO162" s="3"/>
      <c r="HP162" s="3"/>
      <c r="HQ162" s="3"/>
      <c r="HR162" s="3"/>
      <c r="HS162" s="3"/>
      <c r="HT162" s="3"/>
      <c r="HU162" s="3"/>
      <c r="HV162" s="3"/>
      <c r="HW162" s="3"/>
      <c r="HX162" s="3"/>
      <c r="HY162" s="3"/>
      <c r="HZ162" s="3"/>
      <c r="IA162" s="3"/>
      <c r="IB162" s="3"/>
      <c r="IC162" s="3"/>
      <c r="ID162" s="3"/>
      <c r="IE162" s="3"/>
      <c r="IF162" s="3"/>
      <c r="IG162" s="3"/>
      <c r="IH162" s="3"/>
      <c r="II162" s="3"/>
      <c r="IJ162" s="3"/>
      <c r="IK162" s="3"/>
      <c r="IL162" s="3"/>
      <c r="IM162" s="3"/>
      <c r="IN162" s="3"/>
      <c r="IO162" s="3"/>
      <c r="IP162" s="3"/>
      <c r="IQ162" s="3"/>
      <c r="IR162" s="3"/>
      <c r="IS162" s="3"/>
      <c r="IT162" s="3"/>
      <c r="IU162" s="3"/>
      <c r="IV162" s="3"/>
      <c r="IW162" s="3"/>
      <c r="IX162" s="3"/>
      <c r="IY162" s="3"/>
      <c r="IZ162" s="3"/>
      <c r="JA162" s="3"/>
      <c r="JB162" s="3"/>
      <c r="JC162" s="3"/>
      <c r="JD162" s="3"/>
      <c r="JE162" s="3"/>
      <c r="JF162" s="3"/>
      <c r="JG162" s="3"/>
      <c r="JH162" s="3"/>
      <c r="JI162" s="3"/>
      <c r="JJ162" s="3"/>
      <c r="JK162" s="3"/>
      <c r="JL162" s="3"/>
      <c r="JM162" s="3"/>
      <c r="JN162" s="3"/>
      <c r="JO162" s="3"/>
      <c r="JP162" s="3"/>
      <c r="JQ162" s="3"/>
      <c r="JR162" s="3"/>
      <c r="JS162" s="3"/>
      <c r="JT162" s="3"/>
      <c r="JU162" s="3"/>
      <c r="JV162" s="3"/>
      <c r="JW162" s="3"/>
      <c r="JX162" s="3"/>
      <c r="JY162" s="3"/>
      <c r="JZ162" s="3"/>
      <c r="KA162" s="3"/>
      <c r="KB162" s="3"/>
      <c r="KC162" s="3"/>
      <c r="KD162" s="3"/>
      <c r="KE162" s="3"/>
      <c r="KF162" s="3"/>
      <c r="KG162" s="3"/>
      <c r="KH162" s="3"/>
      <c r="KI162" s="3"/>
      <c r="KJ162" s="3"/>
      <c r="KK162" s="3"/>
      <c r="KL162" s="3"/>
      <c r="KM162" s="3"/>
      <c r="KN162" s="3"/>
      <c r="KO162" s="3"/>
      <c r="KP162" s="3"/>
      <c r="KQ162" s="3"/>
      <c r="KR162" s="3"/>
      <c r="KS162" s="3"/>
      <c r="KT162" s="3"/>
      <c r="KU162" s="3"/>
      <c r="KV162" s="3"/>
      <c r="KW162" s="3"/>
      <c r="KX162" s="3"/>
      <c r="KY162" s="3"/>
      <c r="KZ162" s="3"/>
      <c r="LA162" s="3"/>
      <c r="LB162" s="3"/>
      <c r="LC162" s="3"/>
      <c r="LD162" s="3"/>
      <c r="LE162" s="3"/>
      <c r="LF162" s="3"/>
      <c r="LG162" s="3"/>
      <c r="LH162" s="3"/>
      <c r="LI162" s="3"/>
      <c r="LJ162" s="3"/>
      <c r="LK162" s="3"/>
      <c r="LL162" s="3"/>
      <c r="LM162" s="3"/>
      <c r="LN162" s="3"/>
      <c r="LO162" s="3"/>
      <c r="LP162" s="3"/>
      <c r="LQ162" s="3"/>
      <c r="LR162" s="3"/>
      <c r="LS162" s="3"/>
      <c r="LT162" s="3"/>
      <c r="LU162" s="3"/>
      <c r="LV162" s="3"/>
      <c r="LW162" s="3"/>
      <c r="LX162" s="3"/>
      <c r="LY162" s="3"/>
      <c r="LZ162" s="3"/>
      <c r="MA162" s="3"/>
      <c r="MB162" s="3"/>
      <c r="MC162" s="3"/>
      <c r="MD162" s="3"/>
      <c r="ME162" s="3"/>
      <c r="MF162" s="3"/>
      <c r="MG162" s="3"/>
      <c r="MH162" s="3"/>
      <c r="MI162" s="3"/>
      <c r="MJ162" s="3"/>
      <c r="MK162" s="3"/>
      <c r="ML162" s="3"/>
      <c r="MM162" s="3"/>
      <c r="MN162" s="3"/>
      <c r="MO162" s="3"/>
      <c r="MP162" s="3"/>
      <c r="MQ162" s="3"/>
      <c r="MR162" s="3"/>
      <c r="MS162" s="3"/>
      <c r="MT162" s="3"/>
      <c r="MU162" s="3"/>
      <c r="MV162" s="3"/>
      <c r="MW162" s="3"/>
      <c r="MX162" s="3"/>
      <c r="MY162" s="3"/>
      <c r="MZ162" s="3"/>
      <c r="NA162" s="3"/>
      <c r="NB162" s="3"/>
      <c r="NC162" s="3"/>
      <c r="ND162" s="3"/>
      <c r="NE162" s="3"/>
      <c r="NF162" s="3"/>
      <c r="NG162" s="3"/>
      <c r="NH162" s="3"/>
      <c r="NI162" s="3"/>
      <c r="NJ162" s="3"/>
      <c r="NK162" s="3"/>
      <c r="NL162" s="3"/>
      <c r="NM162" s="3"/>
      <c r="NN162" s="3"/>
      <c r="NO162" s="3"/>
      <c r="NP162" s="3"/>
      <c r="NQ162" s="3"/>
      <c r="NR162" s="3"/>
      <c r="NS162" s="3"/>
      <c r="NT162" s="3"/>
      <c r="NU162" s="3"/>
      <c r="NV162" s="3"/>
      <c r="NW162" s="3"/>
      <c r="NX162" s="3"/>
      <c r="NY162" s="3"/>
      <c r="NZ162" s="3"/>
      <c r="OA162" s="3"/>
      <c r="OB162" s="3"/>
      <c r="OC162" s="3"/>
      <c r="OD162" s="3"/>
      <c r="OE162" s="3"/>
      <c r="OF162" s="3"/>
      <c r="OG162" s="3"/>
      <c r="OH162" s="3"/>
      <c r="OI162" s="3"/>
      <c r="OJ162" s="3"/>
      <c r="OK162" s="3"/>
      <c r="OL162" s="3"/>
      <c r="OM162" s="3"/>
      <c r="ON162" s="3"/>
      <c r="OO162" s="3"/>
      <c r="OP162" s="3"/>
      <c r="OQ162" s="3"/>
      <c r="OR162" s="3"/>
      <c r="OS162" s="3"/>
      <c r="OT162" s="3"/>
      <c r="OU162" s="3"/>
      <c r="OV162" s="3"/>
      <c r="OW162" s="3"/>
      <c r="OX162" s="3"/>
      <c r="OY162" s="3"/>
      <c r="OZ162" s="3"/>
      <c r="PA162" s="3"/>
      <c r="PB162" s="3"/>
      <c r="PC162" s="3"/>
      <c r="PD162" s="3"/>
      <c r="PE162" s="3"/>
      <c r="PF162" s="3"/>
      <c r="PG162" s="3"/>
      <c r="PH162" s="3"/>
      <c r="PI162" s="3"/>
      <c r="PJ162" s="3"/>
      <c r="PK162" s="3"/>
      <c r="PL162" s="3"/>
      <c r="PM162" s="3"/>
      <c r="PN162" s="3"/>
      <c r="PO162" s="3"/>
      <c r="PP162" s="3"/>
      <c r="PQ162" s="3"/>
      <c r="PR162" s="3"/>
      <c r="PS162" s="3"/>
      <c r="PT162" s="3"/>
      <c r="PU162" s="3"/>
      <c r="PV162" s="3"/>
      <c r="PW162" s="3"/>
      <c r="PX162" s="3"/>
      <c r="PY162" s="3"/>
      <c r="PZ162" s="3"/>
      <c r="QA162" s="3"/>
      <c r="QB162" s="3"/>
      <c r="QC162" s="3"/>
      <c r="QD162" s="3"/>
      <c r="QE162" s="3"/>
      <c r="QF162" s="3"/>
      <c r="QG162" s="3"/>
      <c r="QH162" s="3"/>
      <c r="QI162" s="3"/>
      <c r="QJ162" s="3"/>
      <c r="QK162" s="3"/>
      <c r="QL162" s="3"/>
      <c r="QM162" s="3"/>
      <c r="QN162" s="3"/>
      <c r="QO162" s="3"/>
      <c r="QP162" s="3"/>
      <c r="QQ162" s="3"/>
      <c r="QR162" s="3"/>
      <c r="QS162" s="3"/>
      <c r="QT162" s="3"/>
      <c r="QU162" s="3"/>
      <c r="QV162" s="3"/>
      <c r="QW162" s="3"/>
      <c r="QX162" s="3"/>
      <c r="QY162" s="3"/>
      <c r="QZ162" s="3"/>
      <c r="RA162" s="3"/>
      <c r="RB162" s="3"/>
      <c r="RC162" s="3"/>
      <c r="RD162" s="3"/>
      <c r="RE162" s="3"/>
      <c r="RF162" s="3"/>
      <c r="RG162" s="3"/>
      <c r="RH162" s="3"/>
      <c r="RI162" s="3"/>
      <c r="RJ162" s="3"/>
      <c r="RK162" s="3"/>
      <c r="RL162" s="3"/>
      <c r="RM162" s="3"/>
      <c r="RN162" s="3"/>
      <c r="RO162" s="3"/>
      <c r="RP162" s="3"/>
      <c r="RQ162" s="3"/>
      <c r="RR162" s="3"/>
      <c r="RS162" s="3"/>
      <c r="RT162" s="3"/>
      <c r="RU162" s="3"/>
      <c r="RV162" s="3"/>
      <c r="RW162" s="3"/>
      <c r="RX162" s="3"/>
      <c r="RY162" s="3"/>
      <c r="RZ162" s="3"/>
      <c r="SA162" s="3"/>
      <c r="SB162" s="3"/>
      <c r="SC162" s="3"/>
      <c r="SD162" s="3"/>
      <c r="SE162" s="3"/>
      <c r="SF162" s="3"/>
      <c r="SG162" s="3"/>
      <c r="SH162" s="3"/>
      <c r="SI162" s="3"/>
      <c r="SJ162" s="3"/>
      <c r="SK162" s="3"/>
      <c r="SL162" s="3"/>
      <c r="SM162" s="3"/>
      <c r="SN162" s="3"/>
      <c r="SO162" s="3"/>
      <c r="SP162" s="3"/>
      <c r="SQ162" s="3"/>
      <c r="SR162" s="3"/>
      <c r="SS162" s="3"/>
      <c r="ST162" s="3"/>
      <c r="SU162" s="3"/>
      <c r="SV162" s="3"/>
      <c r="SW162" s="3"/>
      <c r="SX162" s="3"/>
      <c r="SY162" s="3"/>
      <c r="SZ162" s="3"/>
      <c r="TA162" s="3"/>
      <c r="TB162" s="3"/>
      <c r="TC162" s="3"/>
      <c r="TD162" s="3"/>
      <c r="TE162" s="3"/>
      <c r="TF162" s="3"/>
      <c r="TG162" s="3"/>
      <c r="TH162" s="3"/>
      <c r="TI162" s="3"/>
      <c r="TJ162" s="3"/>
      <c r="TK162" s="3"/>
      <c r="TL162" s="3"/>
      <c r="TM162" s="3"/>
      <c r="TN162" s="3"/>
      <c r="TO162" s="3"/>
      <c r="TP162" s="3"/>
      <c r="TQ162" s="3"/>
      <c r="TR162" s="3"/>
      <c r="TS162" s="3"/>
      <c r="TT162" s="3"/>
      <c r="TU162" s="3"/>
      <c r="TV162" s="3"/>
      <c r="TW162" s="3"/>
      <c r="TX162" s="3"/>
      <c r="TY162" s="3"/>
      <c r="TZ162" s="3"/>
      <c r="UA162" s="3"/>
      <c r="UB162" s="3"/>
      <c r="UC162" s="3"/>
      <c r="UD162" s="3"/>
      <c r="UE162" s="3"/>
      <c r="UF162" s="3"/>
      <c r="UG162" s="3"/>
      <c r="UH162" s="3"/>
      <c r="UI162" s="3"/>
      <c r="UJ162" s="3"/>
      <c r="UK162" s="3"/>
      <c r="UL162" s="3"/>
      <c r="UM162" s="3"/>
      <c r="UN162" s="3"/>
      <c r="UO162" s="3"/>
      <c r="UP162" s="3"/>
      <c r="UQ162" s="3"/>
      <c r="UR162" s="3"/>
      <c r="US162" s="3"/>
      <c r="UT162" s="3"/>
      <c r="UU162" s="3"/>
      <c r="UV162" s="3"/>
      <c r="UW162" s="3"/>
      <c r="UX162" s="3"/>
      <c r="UY162" s="3"/>
      <c r="UZ162" s="3"/>
      <c r="VA162" s="3"/>
      <c r="VB162" s="3"/>
      <c r="VC162" s="3"/>
      <c r="VD162" s="3"/>
      <c r="VE162" s="3"/>
      <c r="VF162" s="3"/>
      <c r="VG162" s="3"/>
      <c r="VH162" s="3"/>
      <c r="VI162" s="3"/>
      <c r="VJ162" s="3"/>
      <c r="VK162" s="3"/>
      <c r="VL162" s="3"/>
      <c r="VM162" s="3"/>
      <c r="VN162" s="3"/>
      <c r="VO162" s="3"/>
      <c r="VP162" s="3"/>
      <c r="VQ162" s="3"/>
      <c r="VR162" s="3"/>
      <c r="VS162" s="3"/>
      <c r="VT162" s="3"/>
      <c r="VU162" s="3"/>
      <c r="VV162" s="3"/>
      <c r="VW162" s="3"/>
      <c r="VX162" s="3"/>
      <c r="VY162" s="3"/>
      <c r="VZ162" s="3"/>
      <c r="WA162" s="3"/>
      <c r="WB162" s="3"/>
      <c r="WC162" s="3"/>
      <c r="WD162" s="3"/>
      <c r="WE162" s="3"/>
      <c r="WF162" s="3"/>
      <c r="WG162" s="3"/>
      <c r="WH162" s="3"/>
      <c r="WI162" s="3"/>
      <c r="WJ162" s="3"/>
      <c r="WK162" s="3"/>
      <c r="WL162" s="3"/>
      <c r="WM162" s="3"/>
      <c r="WN162" s="3"/>
      <c r="WO162" s="3"/>
      <c r="WP162" s="3"/>
      <c r="WQ162" s="3"/>
      <c r="WR162" s="3"/>
      <c r="WS162" s="3"/>
      <c r="WT162" s="3"/>
      <c r="WU162" s="3"/>
      <c r="WV162" s="3"/>
      <c r="WW162" s="3"/>
      <c r="WX162" s="3"/>
      <c r="WY162" s="3"/>
      <c r="WZ162" s="3"/>
      <c r="XA162" s="3"/>
      <c r="XB162" s="3"/>
      <c r="XC162" s="3"/>
      <c r="XD162" s="3"/>
      <c r="XE162" s="3"/>
      <c r="XF162" s="3"/>
      <c r="XG162" s="3"/>
      <c r="XH162" s="3"/>
      <c r="XI162" s="3"/>
      <c r="XJ162" s="3"/>
      <c r="XK162" s="3"/>
      <c r="XL162" s="3"/>
      <c r="XM162" s="3"/>
      <c r="XN162" s="3"/>
      <c r="XO162" s="3"/>
      <c r="XP162" s="3"/>
      <c r="XQ162" s="3"/>
      <c r="XR162" s="3"/>
      <c r="XS162" s="3"/>
      <c r="XT162" s="3"/>
      <c r="XU162" s="3"/>
      <c r="XV162" s="3"/>
      <c r="XW162" s="3"/>
      <c r="XX162" s="3"/>
      <c r="XY162" s="3"/>
      <c r="XZ162" s="3"/>
      <c r="YA162" s="3"/>
      <c r="YB162" s="3"/>
      <c r="YC162" s="3"/>
      <c r="YD162" s="3"/>
      <c r="YE162" s="3"/>
      <c r="YF162" s="3"/>
      <c r="YG162" s="3"/>
      <c r="YH162" s="3"/>
      <c r="YI162" s="3"/>
      <c r="YJ162" s="3"/>
      <c r="YK162" s="3"/>
      <c r="YL162" s="3"/>
      <c r="YM162" s="3"/>
      <c r="YN162" s="3"/>
      <c r="YO162" s="3"/>
      <c r="YP162" s="3"/>
      <c r="YQ162" s="3"/>
      <c r="YR162" s="3"/>
      <c r="YS162" s="3"/>
      <c r="YT162" s="3"/>
      <c r="YU162" s="3"/>
      <c r="YV162" s="3"/>
      <c r="YW162" s="3"/>
      <c r="YX162" s="3"/>
      <c r="YY162" s="3"/>
      <c r="YZ162" s="3"/>
      <c r="ZA162" s="3"/>
      <c r="ZB162" s="3"/>
      <c r="ZC162" s="3"/>
    </row>
    <row r="163" spans="1:679" s="2" customFormat="1" x14ac:dyDescent="0.45">
      <c r="A163" s="3" t="s">
        <v>11</v>
      </c>
      <c r="B163" s="4">
        <v>35186</v>
      </c>
      <c r="C163" s="7" t="s">
        <v>25</v>
      </c>
      <c r="D163" s="6" t="s">
        <v>178</v>
      </c>
      <c r="E163" s="3"/>
      <c r="F163" s="3">
        <v>30</v>
      </c>
      <c r="L163" s="3"/>
      <c r="M163" s="3"/>
      <c r="N163" s="48"/>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c r="EC163" s="3"/>
      <c r="ED163" s="3"/>
      <c r="EE163" s="3"/>
      <c r="EF163" s="3"/>
      <c r="EG163" s="3"/>
      <c r="EH163" s="3"/>
      <c r="EI163" s="3"/>
      <c r="EJ163" s="3"/>
      <c r="EK163" s="3"/>
      <c r="EL163" s="3"/>
      <c r="EM163" s="3"/>
      <c r="EN163" s="3"/>
      <c r="EO163" s="3"/>
      <c r="EP163" s="3"/>
      <c r="EQ163" s="3"/>
      <c r="ER163" s="3"/>
      <c r="ES163" s="3"/>
      <c r="ET163" s="3"/>
      <c r="EU163" s="3"/>
      <c r="EV163" s="3"/>
      <c r="EW163" s="3"/>
      <c r="EX163" s="3"/>
      <c r="EY163" s="3"/>
      <c r="EZ163" s="3"/>
      <c r="FA163" s="3"/>
      <c r="FB163" s="3"/>
      <c r="FC163" s="3"/>
      <c r="FD163" s="3"/>
      <c r="FE163" s="3"/>
      <c r="FF163" s="3"/>
      <c r="FG163" s="3"/>
      <c r="FH163" s="3"/>
      <c r="FI163" s="3"/>
      <c r="FJ163" s="3"/>
      <c r="FK163" s="3"/>
      <c r="FL163" s="3"/>
      <c r="FM163" s="3"/>
      <c r="FN163" s="3"/>
      <c r="FO163" s="3"/>
      <c r="FP163" s="3"/>
      <c r="FQ163" s="3"/>
      <c r="FR163" s="3"/>
      <c r="FS163" s="3"/>
      <c r="FT163" s="3"/>
      <c r="FU163" s="3"/>
      <c r="FV163" s="3"/>
      <c r="FW163" s="3"/>
      <c r="FX163" s="3"/>
      <c r="FY163" s="3"/>
      <c r="FZ163" s="3"/>
      <c r="GA163" s="3"/>
      <c r="GB163" s="3"/>
      <c r="GC163" s="3"/>
      <c r="GD163" s="3"/>
      <c r="GE163" s="3"/>
      <c r="GF163" s="3"/>
      <c r="GG163" s="3"/>
      <c r="GH163" s="3"/>
      <c r="GI163" s="3"/>
      <c r="GJ163" s="3"/>
      <c r="GK163" s="3"/>
      <c r="GL163" s="3"/>
      <c r="GM163" s="3"/>
      <c r="GN163" s="3"/>
      <c r="GO163" s="3"/>
      <c r="GP163" s="3"/>
      <c r="GQ163" s="3"/>
      <c r="GR163" s="3"/>
      <c r="GS163" s="3"/>
      <c r="GT163" s="3"/>
      <c r="GU163" s="3"/>
      <c r="GV163" s="3"/>
      <c r="GW163" s="3"/>
      <c r="GX163" s="3"/>
      <c r="GY163" s="3"/>
      <c r="GZ163" s="3"/>
      <c r="HA163" s="3"/>
      <c r="HB163" s="3"/>
      <c r="HC163" s="3"/>
      <c r="HD163" s="3"/>
      <c r="HE163" s="3"/>
      <c r="HF163" s="3"/>
      <c r="HG163" s="3"/>
      <c r="HH163" s="3"/>
      <c r="HI163" s="3"/>
      <c r="HJ163" s="3"/>
      <c r="HK163" s="3"/>
      <c r="HL163" s="3"/>
      <c r="HM163" s="3"/>
      <c r="HN163" s="3"/>
      <c r="HO163" s="3"/>
      <c r="HP163" s="3"/>
      <c r="HQ163" s="3"/>
      <c r="HR163" s="3"/>
      <c r="HS163" s="3"/>
      <c r="HT163" s="3"/>
      <c r="HU163" s="3"/>
      <c r="HV163" s="3"/>
      <c r="HW163" s="3"/>
      <c r="HX163" s="3"/>
      <c r="HY163" s="3"/>
      <c r="HZ163" s="3"/>
      <c r="IA163" s="3"/>
      <c r="IB163" s="3"/>
      <c r="IC163" s="3"/>
      <c r="ID163" s="3"/>
      <c r="IE163" s="3"/>
      <c r="IF163" s="3"/>
      <c r="IG163" s="3"/>
      <c r="IH163" s="3"/>
      <c r="II163" s="3"/>
      <c r="IJ163" s="3"/>
      <c r="IK163" s="3"/>
      <c r="IL163" s="3"/>
      <c r="IM163" s="3"/>
      <c r="IN163" s="3"/>
      <c r="IO163" s="3"/>
      <c r="IP163" s="3"/>
      <c r="IQ163" s="3"/>
      <c r="IR163" s="3"/>
      <c r="IS163" s="3"/>
      <c r="IT163" s="3"/>
      <c r="IU163" s="3"/>
      <c r="IV163" s="3"/>
      <c r="IW163" s="3"/>
      <c r="IX163" s="3"/>
      <c r="IY163" s="3"/>
      <c r="IZ163" s="3"/>
      <c r="JA163" s="3"/>
      <c r="JB163" s="3"/>
      <c r="JC163" s="3"/>
      <c r="JD163" s="3"/>
      <c r="JE163" s="3"/>
      <c r="JF163" s="3"/>
      <c r="JG163" s="3"/>
      <c r="JH163" s="3"/>
      <c r="JI163" s="3"/>
      <c r="JJ163" s="3"/>
      <c r="JK163" s="3"/>
      <c r="JL163" s="3"/>
      <c r="JM163" s="3"/>
      <c r="JN163" s="3"/>
      <c r="JO163" s="3"/>
      <c r="JP163" s="3"/>
      <c r="JQ163" s="3"/>
      <c r="JR163" s="3"/>
      <c r="JS163" s="3"/>
      <c r="JT163" s="3"/>
      <c r="JU163" s="3"/>
      <c r="JV163" s="3"/>
      <c r="JW163" s="3"/>
      <c r="JX163" s="3"/>
      <c r="JY163" s="3"/>
      <c r="JZ163" s="3"/>
      <c r="KA163" s="3"/>
      <c r="KB163" s="3"/>
      <c r="KC163" s="3"/>
      <c r="KD163" s="3"/>
      <c r="KE163" s="3"/>
      <c r="KF163" s="3"/>
      <c r="KG163" s="3"/>
      <c r="KH163" s="3"/>
      <c r="KI163" s="3"/>
      <c r="KJ163" s="3"/>
      <c r="KK163" s="3"/>
      <c r="KL163" s="3"/>
      <c r="KM163" s="3"/>
      <c r="KN163" s="3"/>
      <c r="KO163" s="3"/>
      <c r="KP163" s="3"/>
      <c r="KQ163" s="3"/>
      <c r="KR163" s="3"/>
      <c r="KS163" s="3"/>
      <c r="KT163" s="3"/>
      <c r="KU163" s="3"/>
      <c r="KV163" s="3"/>
      <c r="KW163" s="3"/>
      <c r="KX163" s="3"/>
      <c r="KY163" s="3"/>
      <c r="KZ163" s="3"/>
      <c r="LA163" s="3"/>
      <c r="LB163" s="3"/>
      <c r="LC163" s="3"/>
      <c r="LD163" s="3"/>
      <c r="LE163" s="3"/>
      <c r="LF163" s="3"/>
      <c r="LG163" s="3"/>
      <c r="LH163" s="3"/>
      <c r="LI163" s="3"/>
      <c r="LJ163" s="3"/>
      <c r="LK163" s="3"/>
      <c r="LL163" s="3"/>
      <c r="LM163" s="3"/>
      <c r="LN163" s="3"/>
      <c r="LO163" s="3"/>
      <c r="LP163" s="3"/>
      <c r="LQ163" s="3"/>
      <c r="LR163" s="3"/>
      <c r="LS163" s="3"/>
      <c r="LT163" s="3"/>
      <c r="LU163" s="3"/>
      <c r="LV163" s="3"/>
      <c r="LW163" s="3"/>
      <c r="LX163" s="3"/>
      <c r="LY163" s="3"/>
      <c r="LZ163" s="3"/>
      <c r="MA163" s="3"/>
      <c r="MB163" s="3"/>
      <c r="MC163" s="3"/>
      <c r="MD163" s="3"/>
      <c r="ME163" s="3"/>
      <c r="MF163" s="3"/>
      <c r="MG163" s="3"/>
      <c r="MH163" s="3"/>
      <c r="MI163" s="3"/>
      <c r="MJ163" s="3"/>
      <c r="MK163" s="3"/>
      <c r="ML163" s="3"/>
      <c r="MM163" s="3"/>
      <c r="MN163" s="3"/>
      <c r="MO163" s="3"/>
      <c r="MP163" s="3"/>
      <c r="MQ163" s="3"/>
      <c r="MR163" s="3"/>
      <c r="MS163" s="3"/>
      <c r="MT163" s="3"/>
      <c r="MU163" s="3"/>
      <c r="MV163" s="3"/>
      <c r="MW163" s="3"/>
      <c r="MX163" s="3"/>
      <c r="MY163" s="3"/>
      <c r="MZ163" s="3"/>
      <c r="NA163" s="3"/>
      <c r="NB163" s="3"/>
      <c r="NC163" s="3"/>
      <c r="ND163" s="3"/>
      <c r="NE163" s="3"/>
      <c r="NF163" s="3"/>
      <c r="NG163" s="3"/>
      <c r="NH163" s="3"/>
      <c r="NI163" s="3"/>
      <c r="NJ163" s="3"/>
      <c r="NK163" s="3"/>
      <c r="NL163" s="3"/>
      <c r="NM163" s="3"/>
      <c r="NN163" s="3"/>
      <c r="NO163" s="3"/>
      <c r="NP163" s="3"/>
      <c r="NQ163" s="3"/>
      <c r="NR163" s="3"/>
      <c r="NS163" s="3"/>
      <c r="NT163" s="3"/>
      <c r="NU163" s="3"/>
      <c r="NV163" s="3"/>
      <c r="NW163" s="3"/>
      <c r="NX163" s="3"/>
      <c r="NY163" s="3"/>
      <c r="NZ163" s="3"/>
      <c r="OA163" s="3"/>
      <c r="OB163" s="3"/>
      <c r="OC163" s="3"/>
      <c r="OD163" s="3"/>
      <c r="OE163" s="3"/>
      <c r="OF163" s="3"/>
      <c r="OG163" s="3"/>
      <c r="OH163" s="3"/>
      <c r="OI163" s="3"/>
      <c r="OJ163" s="3"/>
      <c r="OK163" s="3"/>
      <c r="OL163" s="3"/>
      <c r="OM163" s="3"/>
      <c r="ON163" s="3"/>
      <c r="OO163" s="3"/>
      <c r="OP163" s="3"/>
      <c r="OQ163" s="3"/>
      <c r="OR163" s="3"/>
      <c r="OS163" s="3"/>
      <c r="OT163" s="3"/>
      <c r="OU163" s="3"/>
      <c r="OV163" s="3"/>
      <c r="OW163" s="3"/>
      <c r="OX163" s="3"/>
      <c r="OY163" s="3"/>
      <c r="OZ163" s="3"/>
      <c r="PA163" s="3"/>
      <c r="PB163" s="3"/>
      <c r="PC163" s="3"/>
      <c r="PD163" s="3"/>
      <c r="PE163" s="3"/>
      <c r="PF163" s="3"/>
      <c r="PG163" s="3"/>
      <c r="PH163" s="3"/>
      <c r="PI163" s="3"/>
      <c r="PJ163" s="3"/>
      <c r="PK163" s="3"/>
      <c r="PL163" s="3"/>
      <c r="PM163" s="3"/>
      <c r="PN163" s="3"/>
      <c r="PO163" s="3"/>
      <c r="PP163" s="3"/>
      <c r="PQ163" s="3"/>
      <c r="PR163" s="3"/>
      <c r="PS163" s="3"/>
      <c r="PT163" s="3"/>
      <c r="PU163" s="3"/>
      <c r="PV163" s="3"/>
      <c r="PW163" s="3"/>
      <c r="PX163" s="3"/>
      <c r="PY163" s="3"/>
      <c r="PZ163" s="3"/>
      <c r="QA163" s="3"/>
      <c r="QB163" s="3"/>
      <c r="QC163" s="3"/>
      <c r="QD163" s="3"/>
      <c r="QE163" s="3"/>
      <c r="QF163" s="3"/>
      <c r="QG163" s="3"/>
      <c r="QH163" s="3"/>
      <c r="QI163" s="3"/>
      <c r="QJ163" s="3"/>
      <c r="QK163" s="3"/>
      <c r="QL163" s="3"/>
      <c r="QM163" s="3"/>
      <c r="QN163" s="3"/>
      <c r="QO163" s="3"/>
      <c r="QP163" s="3"/>
      <c r="QQ163" s="3"/>
      <c r="QR163" s="3"/>
      <c r="QS163" s="3"/>
      <c r="QT163" s="3"/>
      <c r="QU163" s="3"/>
      <c r="QV163" s="3"/>
      <c r="QW163" s="3"/>
      <c r="QX163" s="3"/>
      <c r="QY163" s="3"/>
      <c r="QZ163" s="3"/>
      <c r="RA163" s="3"/>
      <c r="RB163" s="3"/>
      <c r="RC163" s="3"/>
      <c r="RD163" s="3"/>
      <c r="RE163" s="3"/>
      <c r="RF163" s="3"/>
      <c r="RG163" s="3"/>
      <c r="RH163" s="3"/>
      <c r="RI163" s="3"/>
      <c r="RJ163" s="3"/>
      <c r="RK163" s="3"/>
      <c r="RL163" s="3"/>
      <c r="RM163" s="3"/>
      <c r="RN163" s="3"/>
      <c r="RO163" s="3"/>
      <c r="RP163" s="3"/>
      <c r="RQ163" s="3"/>
      <c r="RR163" s="3"/>
      <c r="RS163" s="3"/>
      <c r="RT163" s="3"/>
      <c r="RU163" s="3"/>
      <c r="RV163" s="3"/>
      <c r="RW163" s="3"/>
      <c r="RX163" s="3"/>
      <c r="RY163" s="3"/>
      <c r="RZ163" s="3"/>
      <c r="SA163" s="3"/>
      <c r="SB163" s="3"/>
      <c r="SC163" s="3"/>
      <c r="SD163" s="3"/>
      <c r="SE163" s="3"/>
      <c r="SF163" s="3"/>
      <c r="SG163" s="3"/>
      <c r="SH163" s="3"/>
      <c r="SI163" s="3"/>
      <c r="SJ163" s="3"/>
      <c r="SK163" s="3"/>
      <c r="SL163" s="3"/>
      <c r="SM163" s="3"/>
      <c r="SN163" s="3"/>
      <c r="SO163" s="3"/>
      <c r="SP163" s="3"/>
      <c r="SQ163" s="3"/>
      <c r="SR163" s="3"/>
      <c r="SS163" s="3"/>
      <c r="ST163" s="3"/>
      <c r="SU163" s="3"/>
      <c r="SV163" s="3"/>
      <c r="SW163" s="3"/>
      <c r="SX163" s="3"/>
      <c r="SY163" s="3"/>
      <c r="SZ163" s="3"/>
      <c r="TA163" s="3"/>
      <c r="TB163" s="3"/>
      <c r="TC163" s="3"/>
      <c r="TD163" s="3"/>
      <c r="TE163" s="3"/>
      <c r="TF163" s="3"/>
      <c r="TG163" s="3"/>
      <c r="TH163" s="3"/>
      <c r="TI163" s="3"/>
      <c r="TJ163" s="3"/>
      <c r="TK163" s="3"/>
      <c r="TL163" s="3"/>
      <c r="TM163" s="3"/>
      <c r="TN163" s="3"/>
      <c r="TO163" s="3"/>
      <c r="TP163" s="3"/>
      <c r="TQ163" s="3"/>
      <c r="TR163" s="3"/>
      <c r="TS163" s="3"/>
      <c r="TT163" s="3"/>
      <c r="TU163" s="3"/>
      <c r="TV163" s="3"/>
      <c r="TW163" s="3"/>
      <c r="TX163" s="3"/>
      <c r="TY163" s="3"/>
      <c r="TZ163" s="3"/>
      <c r="UA163" s="3"/>
      <c r="UB163" s="3"/>
      <c r="UC163" s="3"/>
      <c r="UD163" s="3"/>
      <c r="UE163" s="3"/>
      <c r="UF163" s="3"/>
      <c r="UG163" s="3"/>
      <c r="UH163" s="3"/>
      <c r="UI163" s="3"/>
      <c r="UJ163" s="3"/>
      <c r="UK163" s="3"/>
      <c r="UL163" s="3"/>
      <c r="UM163" s="3"/>
      <c r="UN163" s="3"/>
      <c r="UO163" s="3"/>
      <c r="UP163" s="3"/>
      <c r="UQ163" s="3"/>
      <c r="UR163" s="3"/>
      <c r="US163" s="3"/>
      <c r="UT163" s="3"/>
      <c r="UU163" s="3"/>
      <c r="UV163" s="3"/>
      <c r="UW163" s="3"/>
      <c r="UX163" s="3"/>
      <c r="UY163" s="3"/>
      <c r="UZ163" s="3"/>
      <c r="VA163" s="3"/>
      <c r="VB163" s="3"/>
      <c r="VC163" s="3"/>
      <c r="VD163" s="3"/>
      <c r="VE163" s="3"/>
      <c r="VF163" s="3"/>
      <c r="VG163" s="3"/>
      <c r="VH163" s="3"/>
      <c r="VI163" s="3"/>
      <c r="VJ163" s="3"/>
      <c r="VK163" s="3"/>
      <c r="VL163" s="3"/>
      <c r="VM163" s="3"/>
      <c r="VN163" s="3"/>
      <c r="VO163" s="3"/>
      <c r="VP163" s="3"/>
      <c r="VQ163" s="3"/>
      <c r="VR163" s="3"/>
      <c r="VS163" s="3"/>
      <c r="VT163" s="3"/>
      <c r="VU163" s="3"/>
      <c r="VV163" s="3"/>
      <c r="VW163" s="3"/>
      <c r="VX163" s="3"/>
      <c r="VY163" s="3"/>
      <c r="VZ163" s="3"/>
      <c r="WA163" s="3"/>
      <c r="WB163" s="3"/>
      <c r="WC163" s="3"/>
      <c r="WD163" s="3"/>
      <c r="WE163" s="3"/>
      <c r="WF163" s="3"/>
      <c r="WG163" s="3"/>
      <c r="WH163" s="3"/>
      <c r="WI163" s="3"/>
      <c r="WJ163" s="3"/>
      <c r="WK163" s="3"/>
      <c r="WL163" s="3"/>
      <c r="WM163" s="3"/>
      <c r="WN163" s="3"/>
      <c r="WO163" s="3"/>
      <c r="WP163" s="3"/>
      <c r="WQ163" s="3"/>
      <c r="WR163" s="3"/>
      <c r="WS163" s="3"/>
      <c r="WT163" s="3"/>
      <c r="WU163" s="3"/>
      <c r="WV163" s="3"/>
      <c r="WW163" s="3"/>
      <c r="WX163" s="3"/>
      <c r="WY163" s="3"/>
      <c r="WZ163" s="3"/>
      <c r="XA163" s="3"/>
      <c r="XB163" s="3"/>
      <c r="XC163" s="3"/>
      <c r="XD163" s="3"/>
      <c r="XE163" s="3"/>
      <c r="XF163" s="3"/>
      <c r="XG163" s="3"/>
      <c r="XH163" s="3"/>
      <c r="XI163" s="3"/>
      <c r="XJ163" s="3"/>
      <c r="XK163" s="3"/>
      <c r="XL163" s="3"/>
      <c r="XM163" s="3"/>
      <c r="XN163" s="3"/>
      <c r="XO163" s="3"/>
      <c r="XP163" s="3"/>
      <c r="XQ163" s="3"/>
      <c r="XR163" s="3"/>
      <c r="XS163" s="3"/>
      <c r="XT163" s="3"/>
      <c r="XU163" s="3"/>
      <c r="XV163" s="3"/>
      <c r="XW163" s="3"/>
      <c r="XX163" s="3"/>
      <c r="XY163" s="3"/>
      <c r="XZ163" s="3"/>
      <c r="YA163" s="3"/>
      <c r="YB163" s="3"/>
      <c r="YC163" s="3"/>
      <c r="YD163" s="3"/>
      <c r="YE163" s="3"/>
      <c r="YF163" s="3"/>
      <c r="YG163" s="3"/>
      <c r="YH163" s="3"/>
      <c r="YI163" s="3"/>
      <c r="YJ163" s="3"/>
      <c r="YK163" s="3"/>
      <c r="YL163" s="3"/>
      <c r="YM163" s="3"/>
      <c r="YN163" s="3"/>
      <c r="YO163" s="3"/>
      <c r="YP163" s="3"/>
      <c r="YQ163" s="3"/>
      <c r="YR163" s="3"/>
      <c r="YS163" s="3"/>
      <c r="YT163" s="3"/>
      <c r="YU163" s="3"/>
      <c r="YV163" s="3"/>
      <c r="YW163" s="3"/>
      <c r="YX163" s="3"/>
      <c r="YY163" s="3"/>
      <c r="YZ163" s="3"/>
      <c r="ZA163" s="3"/>
      <c r="ZB163" s="3"/>
      <c r="ZC163" s="3"/>
    </row>
    <row r="164" spans="1:679" s="2" customFormat="1" x14ac:dyDescent="0.45">
      <c r="A164" s="3" t="s">
        <v>11</v>
      </c>
      <c r="B164" s="4">
        <v>35195</v>
      </c>
      <c r="C164" s="7" t="s">
        <v>21</v>
      </c>
      <c r="D164" s="6" t="s">
        <v>179</v>
      </c>
      <c r="E164" s="3"/>
      <c r="F164" s="3">
        <v>3</v>
      </c>
      <c r="L164" s="3"/>
      <c r="M164" s="3"/>
      <c r="N164" s="48"/>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3"/>
      <c r="DK164" s="3"/>
      <c r="DL164" s="3"/>
      <c r="DM164" s="3"/>
      <c r="DN164" s="3"/>
      <c r="DO164" s="3"/>
      <c r="DP164" s="3"/>
      <c r="DQ164" s="3"/>
      <c r="DR164" s="3"/>
      <c r="DS164" s="3"/>
      <c r="DT164" s="3"/>
      <c r="DU164" s="3"/>
      <c r="DV164" s="3"/>
      <c r="DW164" s="3"/>
      <c r="DX164" s="3"/>
      <c r="DY164" s="3"/>
      <c r="DZ164" s="3"/>
      <c r="EA164" s="3"/>
      <c r="EB164" s="3"/>
      <c r="EC164" s="3"/>
      <c r="ED164" s="3"/>
      <c r="EE164" s="3"/>
      <c r="EF164" s="3"/>
      <c r="EG164" s="3"/>
      <c r="EH164" s="3"/>
      <c r="EI164" s="3"/>
      <c r="EJ164" s="3"/>
      <c r="EK164" s="3"/>
      <c r="EL164" s="3"/>
      <c r="EM164" s="3"/>
      <c r="EN164" s="3"/>
      <c r="EO164" s="3"/>
      <c r="EP164" s="3"/>
      <c r="EQ164" s="3"/>
      <c r="ER164" s="3"/>
      <c r="ES164" s="3"/>
      <c r="ET164" s="3"/>
      <c r="EU164" s="3"/>
      <c r="EV164" s="3"/>
      <c r="EW164" s="3"/>
      <c r="EX164" s="3"/>
      <c r="EY164" s="3"/>
      <c r="EZ164" s="3"/>
      <c r="FA164" s="3"/>
      <c r="FB164" s="3"/>
      <c r="FC164" s="3"/>
      <c r="FD164" s="3"/>
      <c r="FE164" s="3"/>
      <c r="FF164" s="3"/>
      <c r="FG164" s="3"/>
      <c r="FH164" s="3"/>
      <c r="FI164" s="3"/>
      <c r="FJ164" s="3"/>
      <c r="FK164" s="3"/>
      <c r="FL164" s="3"/>
      <c r="FM164" s="3"/>
      <c r="FN164" s="3"/>
      <c r="FO164" s="3"/>
      <c r="FP164" s="3"/>
      <c r="FQ164" s="3"/>
      <c r="FR164" s="3"/>
      <c r="FS164" s="3"/>
      <c r="FT164" s="3"/>
      <c r="FU164" s="3"/>
      <c r="FV164" s="3"/>
      <c r="FW164" s="3"/>
      <c r="FX164" s="3"/>
      <c r="FY164" s="3"/>
      <c r="FZ164" s="3"/>
      <c r="GA164" s="3"/>
      <c r="GB164" s="3"/>
      <c r="GC164" s="3"/>
      <c r="GD164" s="3"/>
      <c r="GE164" s="3"/>
      <c r="GF164" s="3"/>
      <c r="GG164" s="3"/>
      <c r="GH164" s="3"/>
      <c r="GI164" s="3"/>
      <c r="GJ164" s="3"/>
      <c r="GK164" s="3"/>
      <c r="GL164" s="3"/>
      <c r="GM164" s="3"/>
      <c r="GN164" s="3"/>
      <c r="GO164" s="3"/>
      <c r="GP164" s="3"/>
      <c r="GQ164" s="3"/>
      <c r="GR164" s="3"/>
      <c r="GS164" s="3"/>
      <c r="GT164" s="3"/>
      <c r="GU164" s="3"/>
      <c r="GV164" s="3"/>
      <c r="GW164" s="3"/>
      <c r="GX164" s="3"/>
      <c r="GY164" s="3"/>
      <c r="GZ164" s="3"/>
      <c r="HA164" s="3"/>
      <c r="HB164" s="3"/>
      <c r="HC164" s="3"/>
      <c r="HD164" s="3"/>
      <c r="HE164" s="3"/>
      <c r="HF164" s="3"/>
      <c r="HG164" s="3"/>
      <c r="HH164" s="3"/>
      <c r="HI164" s="3"/>
      <c r="HJ164" s="3"/>
      <c r="HK164" s="3"/>
      <c r="HL164" s="3"/>
      <c r="HM164" s="3"/>
      <c r="HN164" s="3"/>
      <c r="HO164" s="3"/>
      <c r="HP164" s="3"/>
      <c r="HQ164" s="3"/>
      <c r="HR164" s="3"/>
      <c r="HS164" s="3"/>
      <c r="HT164" s="3"/>
      <c r="HU164" s="3"/>
      <c r="HV164" s="3"/>
      <c r="HW164" s="3"/>
      <c r="HX164" s="3"/>
      <c r="HY164" s="3"/>
      <c r="HZ164" s="3"/>
      <c r="IA164" s="3"/>
      <c r="IB164" s="3"/>
      <c r="IC164" s="3"/>
      <c r="ID164" s="3"/>
      <c r="IE164" s="3"/>
      <c r="IF164" s="3"/>
      <c r="IG164" s="3"/>
      <c r="IH164" s="3"/>
      <c r="II164" s="3"/>
      <c r="IJ164" s="3"/>
      <c r="IK164" s="3"/>
      <c r="IL164" s="3"/>
      <c r="IM164" s="3"/>
      <c r="IN164" s="3"/>
      <c r="IO164" s="3"/>
      <c r="IP164" s="3"/>
      <c r="IQ164" s="3"/>
      <c r="IR164" s="3"/>
      <c r="IS164" s="3"/>
      <c r="IT164" s="3"/>
      <c r="IU164" s="3"/>
      <c r="IV164" s="3"/>
      <c r="IW164" s="3"/>
      <c r="IX164" s="3"/>
      <c r="IY164" s="3"/>
      <c r="IZ164" s="3"/>
      <c r="JA164" s="3"/>
      <c r="JB164" s="3"/>
      <c r="JC164" s="3"/>
      <c r="JD164" s="3"/>
      <c r="JE164" s="3"/>
      <c r="JF164" s="3"/>
      <c r="JG164" s="3"/>
      <c r="JH164" s="3"/>
      <c r="JI164" s="3"/>
      <c r="JJ164" s="3"/>
      <c r="JK164" s="3"/>
      <c r="JL164" s="3"/>
      <c r="JM164" s="3"/>
      <c r="JN164" s="3"/>
      <c r="JO164" s="3"/>
      <c r="JP164" s="3"/>
      <c r="JQ164" s="3"/>
      <c r="JR164" s="3"/>
      <c r="JS164" s="3"/>
      <c r="JT164" s="3"/>
      <c r="JU164" s="3"/>
      <c r="JV164" s="3"/>
      <c r="JW164" s="3"/>
      <c r="JX164" s="3"/>
      <c r="JY164" s="3"/>
      <c r="JZ164" s="3"/>
      <c r="KA164" s="3"/>
      <c r="KB164" s="3"/>
      <c r="KC164" s="3"/>
      <c r="KD164" s="3"/>
      <c r="KE164" s="3"/>
      <c r="KF164" s="3"/>
      <c r="KG164" s="3"/>
      <c r="KH164" s="3"/>
      <c r="KI164" s="3"/>
      <c r="KJ164" s="3"/>
      <c r="KK164" s="3"/>
      <c r="KL164" s="3"/>
      <c r="KM164" s="3"/>
      <c r="KN164" s="3"/>
      <c r="KO164" s="3"/>
      <c r="KP164" s="3"/>
      <c r="KQ164" s="3"/>
      <c r="KR164" s="3"/>
      <c r="KS164" s="3"/>
      <c r="KT164" s="3"/>
      <c r="KU164" s="3"/>
      <c r="KV164" s="3"/>
      <c r="KW164" s="3"/>
      <c r="KX164" s="3"/>
      <c r="KY164" s="3"/>
      <c r="KZ164" s="3"/>
      <c r="LA164" s="3"/>
      <c r="LB164" s="3"/>
      <c r="LC164" s="3"/>
      <c r="LD164" s="3"/>
      <c r="LE164" s="3"/>
      <c r="LF164" s="3"/>
      <c r="LG164" s="3"/>
      <c r="LH164" s="3"/>
      <c r="LI164" s="3"/>
      <c r="LJ164" s="3"/>
      <c r="LK164" s="3"/>
      <c r="LL164" s="3"/>
      <c r="LM164" s="3"/>
      <c r="LN164" s="3"/>
      <c r="LO164" s="3"/>
      <c r="LP164" s="3"/>
      <c r="LQ164" s="3"/>
      <c r="LR164" s="3"/>
      <c r="LS164" s="3"/>
      <c r="LT164" s="3"/>
      <c r="LU164" s="3"/>
      <c r="LV164" s="3"/>
      <c r="LW164" s="3"/>
      <c r="LX164" s="3"/>
      <c r="LY164" s="3"/>
      <c r="LZ164" s="3"/>
      <c r="MA164" s="3"/>
      <c r="MB164" s="3"/>
      <c r="MC164" s="3"/>
      <c r="MD164" s="3"/>
      <c r="ME164" s="3"/>
      <c r="MF164" s="3"/>
      <c r="MG164" s="3"/>
      <c r="MH164" s="3"/>
      <c r="MI164" s="3"/>
      <c r="MJ164" s="3"/>
      <c r="MK164" s="3"/>
      <c r="ML164" s="3"/>
      <c r="MM164" s="3"/>
      <c r="MN164" s="3"/>
      <c r="MO164" s="3"/>
      <c r="MP164" s="3"/>
      <c r="MQ164" s="3"/>
      <c r="MR164" s="3"/>
      <c r="MS164" s="3"/>
      <c r="MT164" s="3"/>
      <c r="MU164" s="3"/>
      <c r="MV164" s="3"/>
      <c r="MW164" s="3"/>
      <c r="MX164" s="3"/>
      <c r="MY164" s="3"/>
      <c r="MZ164" s="3"/>
      <c r="NA164" s="3"/>
      <c r="NB164" s="3"/>
      <c r="NC164" s="3"/>
      <c r="ND164" s="3"/>
      <c r="NE164" s="3"/>
      <c r="NF164" s="3"/>
      <c r="NG164" s="3"/>
      <c r="NH164" s="3"/>
      <c r="NI164" s="3"/>
      <c r="NJ164" s="3"/>
      <c r="NK164" s="3"/>
      <c r="NL164" s="3"/>
      <c r="NM164" s="3"/>
      <c r="NN164" s="3"/>
      <c r="NO164" s="3"/>
      <c r="NP164" s="3"/>
      <c r="NQ164" s="3"/>
      <c r="NR164" s="3"/>
      <c r="NS164" s="3"/>
      <c r="NT164" s="3"/>
      <c r="NU164" s="3"/>
      <c r="NV164" s="3"/>
      <c r="NW164" s="3"/>
      <c r="NX164" s="3"/>
      <c r="NY164" s="3"/>
      <c r="NZ164" s="3"/>
      <c r="OA164" s="3"/>
      <c r="OB164" s="3"/>
      <c r="OC164" s="3"/>
      <c r="OD164" s="3"/>
      <c r="OE164" s="3"/>
      <c r="OF164" s="3"/>
      <c r="OG164" s="3"/>
      <c r="OH164" s="3"/>
      <c r="OI164" s="3"/>
      <c r="OJ164" s="3"/>
      <c r="OK164" s="3"/>
      <c r="OL164" s="3"/>
      <c r="OM164" s="3"/>
      <c r="ON164" s="3"/>
      <c r="OO164" s="3"/>
      <c r="OP164" s="3"/>
      <c r="OQ164" s="3"/>
      <c r="OR164" s="3"/>
      <c r="OS164" s="3"/>
      <c r="OT164" s="3"/>
      <c r="OU164" s="3"/>
      <c r="OV164" s="3"/>
      <c r="OW164" s="3"/>
      <c r="OX164" s="3"/>
      <c r="OY164" s="3"/>
      <c r="OZ164" s="3"/>
      <c r="PA164" s="3"/>
      <c r="PB164" s="3"/>
      <c r="PC164" s="3"/>
      <c r="PD164" s="3"/>
      <c r="PE164" s="3"/>
      <c r="PF164" s="3"/>
      <c r="PG164" s="3"/>
      <c r="PH164" s="3"/>
      <c r="PI164" s="3"/>
      <c r="PJ164" s="3"/>
      <c r="PK164" s="3"/>
      <c r="PL164" s="3"/>
      <c r="PM164" s="3"/>
      <c r="PN164" s="3"/>
      <c r="PO164" s="3"/>
      <c r="PP164" s="3"/>
      <c r="PQ164" s="3"/>
      <c r="PR164" s="3"/>
      <c r="PS164" s="3"/>
      <c r="PT164" s="3"/>
      <c r="PU164" s="3"/>
      <c r="PV164" s="3"/>
      <c r="PW164" s="3"/>
      <c r="PX164" s="3"/>
      <c r="PY164" s="3"/>
      <c r="PZ164" s="3"/>
      <c r="QA164" s="3"/>
      <c r="QB164" s="3"/>
      <c r="QC164" s="3"/>
      <c r="QD164" s="3"/>
      <c r="QE164" s="3"/>
      <c r="QF164" s="3"/>
      <c r="QG164" s="3"/>
      <c r="QH164" s="3"/>
      <c r="QI164" s="3"/>
      <c r="QJ164" s="3"/>
      <c r="QK164" s="3"/>
      <c r="QL164" s="3"/>
      <c r="QM164" s="3"/>
      <c r="QN164" s="3"/>
      <c r="QO164" s="3"/>
      <c r="QP164" s="3"/>
      <c r="QQ164" s="3"/>
      <c r="QR164" s="3"/>
      <c r="QS164" s="3"/>
      <c r="QT164" s="3"/>
      <c r="QU164" s="3"/>
      <c r="QV164" s="3"/>
      <c r="QW164" s="3"/>
      <c r="QX164" s="3"/>
      <c r="QY164" s="3"/>
      <c r="QZ164" s="3"/>
      <c r="RA164" s="3"/>
      <c r="RB164" s="3"/>
      <c r="RC164" s="3"/>
      <c r="RD164" s="3"/>
      <c r="RE164" s="3"/>
      <c r="RF164" s="3"/>
      <c r="RG164" s="3"/>
      <c r="RH164" s="3"/>
      <c r="RI164" s="3"/>
      <c r="RJ164" s="3"/>
      <c r="RK164" s="3"/>
      <c r="RL164" s="3"/>
      <c r="RM164" s="3"/>
      <c r="RN164" s="3"/>
      <c r="RO164" s="3"/>
      <c r="RP164" s="3"/>
      <c r="RQ164" s="3"/>
      <c r="RR164" s="3"/>
      <c r="RS164" s="3"/>
      <c r="RT164" s="3"/>
      <c r="RU164" s="3"/>
      <c r="RV164" s="3"/>
      <c r="RW164" s="3"/>
      <c r="RX164" s="3"/>
      <c r="RY164" s="3"/>
      <c r="RZ164" s="3"/>
      <c r="SA164" s="3"/>
      <c r="SB164" s="3"/>
      <c r="SC164" s="3"/>
      <c r="SD164" s="3"/>
      <c r="SE164" s="3"/>
      <c r="SF164" s="3"/>
      <c r="SG164" s="3"/>
      <c r="SH164" s="3"/>
      <c r="SI164" s="3"/>
      <c r="SJ164" s="3"/>
      <c r="SK164" s="3"/>
      <c r="SL164" s="3"/>
      <c r="SM164" s="3"/>
      <c r="SN164" s="3"/>
      <c r="SO164" s="3"/>
      <c r="SP164" s="3"/>
      <c r="SQ164" s="3"/>
      <c r="SR164" s="3"/>
      <c r="SS164" s="3"/>
      <c r="ST164" s="3"/>
      <c r="SU164" s="3"/>
      <c r="SV164" s="3"/>
      <c r="SW164" s="3"/>
      <c r="SX164" s="3"/>
      <c r="SY164" s="3"/>
      <c r="SZ164" s="3"/>
      <c r="TA164" s="3"/>
      <c r="TB164" s="3"/>
      <c r="TC164" s="3"/>
      <c r="TD164" s="3"/>
      <c r="TE164" s="3"/>
      <c r="TF164" s="3"/>
      <c r="TG164" s="3"/>
      <c r="TH164" s="3"/>
      <c r="TI164" s="3"/>
      <c r="TJ164" s="3"/>
      <c r="TK164" s="3"/>
      <c r="TL164" s="3"/>
      <c r="TM164" s="3"/>
      <c r="TN164" s="3"/>
      <c r="TO164" s="3"/>
      <c r="TP164" s="3"/>
      <c r="TQ164" s="3"/>
      <c r="TR164" s="3"/>
      <c r="TS164" s="3"/>
      <c r="TT164" s="3"/>
      <c r="TU164" s="3"/>
      <c r="TV164" s="3"/>
      <c r="TW164" s="3"/>
      <c r="TX164" s="3"/>
      <c r="TY164" s="3"/>
      <c r="TZ164" s="3"/>
      <c r="UA164" s="3"/>
      <c r="UB164" s="3"/>
      <c r="UC164" s="3"/>
      <c r="UD164" s="3"/>
      <c r="UE164" s="3"/>
      <c r="UF164" s="3"/>
      <c r="UG164" s="3"/>
      <c r="UH164" s="3"/>
      <c r="UI164" s="3"/>
      <c r="UJ164" s="3"/>
      <c r="UK164" s="3"/>
      <c r="UL164" s="3"/>
      <c r="UM164" s="3"/>
      <c r="UN164" s="3"/>
      <c r="UO164" s="3"/>
      <c r="UP164" s="3"/>
      <c r="UQ164" s="3"/>
      <c r="UR164" s="3"/>
      <c r="US164" s="3"/>
      <c r="UT164" s="3"/>
      <c r="UU164" s="3"/>
      <c r="UV164" s="3"/>
      <c r="UW164" s="3"/>
      <c r="UX164" s="3"/>
      <c r="UY164" s="3"/>
      <c r="UZ164" s="3"/>
      <c r="VA164" s="3"/>
      <c r="VB164" s="3"/>
      <c r="VC164" s="3"/>
      <c r="VD164" s="3"/>
      <c r="VE164" s="3"/>
      <c r="VF164" s="3"/>
      <c r="VG164" s="3"/>
      <c r="VH164" s="3"/>
      <c r="VI164" s="3"/>
      <c r="VJ164" s="3"/>
      <c r="VK164" s="3"/>
      <c r="VL164" s="3"/>
      <c r="VM164" s="3"/>
      <c r="VN164" s="3"/>
      <c r="VO164" s="3"/>
      <c r="VP164" s="3"/>
      <c r="VQ164" s="3"/>
      <c r="VR164" s="3"/>
      <c r="VS164" s="3"/>
      <c r="VT164" s="3"/>
      <c r="VU164" s="3"/>
      <c r="VV164" s="3"/>
      <c r="VW164" s="3"/>
      <c r="VX164" s="3"/>
      <c r="VY164" s="3"/>
      <c r="VZ164" s="3"/>
      <c r="WA164" s="3"/>
      <c r="WB164" s="3"/>
      <c r="WC164" s="3"/>
      <c r="WD164" s="3"/>
      <c r="WE164" s="3"/>
      <c r="WF164" s="3"/>
      <c r="WG164" s="3"/>
      <c r="WH164" s="3"/>
      <c r="WI164" s="3"/>
      <c r="WJ164" s="3"/>
      <c r="WK164" s="3"/>
      <c r="WL164" s="3"/>
      <c r="WM164" s="3"/>
      <c r="WN164" s="3"/>
      <c r="WO164" s="3"/>
      <c r="WP164" s="3"/>
      <c r="WQ164" s="3"/>
      <c r="WR164" s="3"/>
      <c r="WS164" s="3"/>
      <c r="WT164" s="3"/>
      <c r="WU164" s="3"/>
      <c r="WV164" s="3"/>
      <c r="WW164" s="3"/>
      <c r="WX164" s="3"/>
      <c r="WY164" s="3"/>
      <c r="WZ164" s="3"/>
      <c r="XA164" s="3"/>
      <c r="XB164" s="3"/>
      <c r="XC164" s="3"/>
      <c r="XD164" s="3"/>
      <c r="XE164" s="3"/>
      <c r="XF164" s="3"/>
      <c r="XG164" s="3"/>
      <c r="XH164" s="3"/>
      <c r="XI164" s="3"/>
      <c r="XJ164" s="3"/>
      <c r="XK164" s="3"/>
      <c r="XL164" s="3"/>
      <c r="XM164" s="3"/>
      <c r="XN164" s="3"/>
      <c r="XO164" s="3"/>
      <c r="XP164" s="3"/>
      <c r="XQ164" s="3"/>
      <c r="XR164" s="3"/>
      <c r="XS164" s="3"/>
      <c r="XT164" s="3"/>
      <c r="XU164" s="3"/>
      <c r="XV164" s="3"/>
      <c r="XW164" s="3"/>
      <c r="XX164" s="3"/>
      <c r="XY164" s="3"/>
      <c r="XZ164" s="3"/>
      <c r="YA164" s="3"/>
      <c r="YB164" s="3"/>
      <c r="YC164" s="3"/>
      <c r="YD164" s="3"/>
      <c r="YE164" s="3"/>
      <c r="YF164" s="3"/>
      <c r="YG164" s="3"/>
      <c r="YH164" s="3"/>
      <c r="YI164" s="3"/>
      <c r="YJ164" s="3"/>
      <c r="YK164" s="3"/>
      <c r="YL164" s="3"/>
      <c r="YM164" s="3"/>
      <c r="YN164" s="3"/>
      <c r="YO164" s="3"/>
      <c r="YP164" s="3"/>
      <c r="YQ164" s="3"/>
      <c r="YR164" s="3"/>
      <c r="YS164" s="3"/>
      <c r="YT164" s="3"/>
      <c r="YU164" s="3"/>
      <c r="YV164" s="3"/>
      <c r="YW164" s="3"/>
      <c r="YX164" s="3"/>
      <c r="YY164" s="3"/>
      <c r="YZ164" s="3"/>
      <c r="ZA164" s="3"/>
      <c r="ZB164" s="3"/>
      <c r="ZC164" s="3"/>
    </row>
    <row r="165" spans="1:679" s="2" customFormat="1" x14ac:dyDescent="0.45">
      <c r="A165" s="3" t="s">
        <v>11</v>
      </c>
      <c r="B165" s="4">
        <v>35199</v>
      </c>
      <c r="C165" s="7" t="s">
        <v>21</v>
      </c>
      <c r="D165" s="6" t="s">
        <v>180</v>
      </c>
      <c r="E165" s="3"/>
      <c r="F165" s="3">
        <v>22</v>
      </c>
      <c r="L165" s="3"/>
      <c r="M165" s="3"/>
      <c r="N165" s="48"/>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c r="DF165" s="3"/>
      <c r="DG165" s="3"/>
      <c r="DH165" s="3"/>
      <c r="DI165" s="3"/>
      <c r="DJ165" s="3"/>
      <c r="DK165" s="3"/>
      <c r="DL165" s="3"/>
      <c r="DM165" s="3"/>
      <c r="DN165" s="3"/>
      <c r="DO165" s="3"/>
      <c r="DP165" s="3"/>
      <c r="DQ165" s="3"/>
      <c r="DR165" s="3"/>
      <c r="DS165" s="3"/>
      <c r="DT165" s="3"/>
      <c r="DU165" s="3"/>
      <c r="DV165" s="3"/>
      <c r="DW165" s="3"/>
      <c r="DX165" s="3"/>
      <c r="DY165" s="3"/>
      <c r="DZ165" s="3"/>
      <c r="EA165" s="3"/>
      <c r="EB165" s="3"/>
      <c r="EC165" s="3"/>
      <c r="ED165" s="3"/>
      <c r="EE165" s="3"/>
      <c r="EF165" s="3"/>
      <c r="EG165" s="3"/>
      <c r="EH165" s="3"/>
      <c r="EI165" s="3"/>
      <c r="EJ165" s="3"/>
      <c r="EK165" s="3"/>
      <c r="EL165" s="3"/>
      <c r="EM165" s="3"/>
      <c r="EN165" s="3"/>
      <c r="EO165" s="3"/>
      <c r="EP165" s="3"/>
      <c r="EQ165" s="3"/>
      <c r="ER165" s="3"/>
      <c r="ES165" s="3"/>
      <c r="ET165" s="3"/>
      <c r="EU165" s="3"/>
      <c r="EV165" s="3"/>
      <c r="EW165" s="3"/>
      <c r="EX165" s="3"/>
      <c r="EY165" s="3"/>
      <c r="EZ165" s="3"/>
      <c r="FA165" s="3"/>
      <c r="FB165" s="3"/>
      <c r="FC165" s="3"/>
      <c r="FD165" s="3"/>
      <c r="FE165" s="3"/>
      <c r="FF165" s="3"/>
      <c r="FG165" s="3"/>
      <c r="FH165" s="3"/>
      <c r="FI165" s="3"/>
      <c r="FJ165" s="3"/>
      <c r="FK165" s="3"/>
      <c r="FL165" s="3"/>
      <c r="FM165" s="3"/>
      <c r="FN165" s="3"/>
      <c r="FO165" s="3"/>
      <c r="FP165" s="3"/>
      <c r="FQ165" s="3"/>
      <c r="FR165" s="3"/>
      <c r="FS165" s="3"/>
      <c r="FT165" s="3"/>
      <c r="FU165" s="3"/>
      <c r="FV165" s="3"/>
      <c r="FW165" s="3"/>
      <c r="FX165" s="3"/>
      <c r="FY165" s="3"/>
      <c r="FZ165" s="3"/>
      <c r="GA165" s="3"/>
      <c r="GB165" s="3"/>
      <c r="GC165" s="3"/>
      <c r="GD165" s="3"/>
      <c r="GE165" s="3"/>
      <c r="GF165" s="3"/>
      <c r="GG165" s="3"/>
      <c r="GH165" s="3"/>
      <c r="GI165" s="3"/>
      <c r="GJ165" s="3"/>
      <c r="GK165" s="3"/>
      <c r="GL165" s="3"/>
      <c r="GM165" s="3"/>
      <c r="GN165" s="3"/>
      <c r="GO165" s="3"/>
      <c r="GP165" s="3"/>
      <c r="GQ165" s="3"/>
      <c r="GR165" s="3"/>
      <c r="GS165" s="3"/>
      <c r="GT165" s="3"/>
      <c r="GU165" s="3"/>
      <c r="GV165" s="3"/>
      <c r="GW165" s="3"/>
      <c r="GX165" s="3"/>
      <c r="GY165" s="3"/>
      <c r="GZ165" s="3"/>
      <c r="HA165" s="3"/>
      <c r="HB165" s="3"/>
      <c r="HC165" s="3"/>
      <c r="HD165" s="3"/>
      <c r="HE165" s="3"/>
      <c r="HF165" s="3"/>
      <c r="HG165" s="3"/>
      <c r="HH165" s="3"/>
      <c r="HI165" s="3"/>
      <c r="HJ165" s="3"/>
      <c r="HK165" s="3"/>
      <c r="HL165" s="3"/>
      <c r="HM165" s="3"/>
      <c r="HN165" s="3"/>
      <c r="HO165" s="3"/>
      <c r="HP165" s="3"/>
      <c r="HQ165" s="3"/>
      <c r="HR165" s="3"/>
      <c r="HS165" s="3"/>
      <c r="HT165" s="3"/>
      <c r="HU165" s="3"/>
      <c r="HV165" s="3"/>
      <c r="HW165" s="3"/>
      <c r="HX165" s="3"/>
      <c r="HY165" s="3"/>
      <c r="HZ165" s="3"/>
      <c r="IA165" s="3"/>
      <c r="IB165" s="3"/>
      <c r="IC165" s="3"/>
      <c r="ID165" s="3"/>
      <c r="IE165" s="3"/>
      <c r="IF165" s="3"/>
      <c r="IG165" s="3"/>
      <c r="IH165" s="3"/>
      <c r="II165" s="3"/>
      <c r="IJ165" s="3"/>
      <c r="IK165" s="3"/>
      <c r="IL165" s="3"/>
      <c r="IM165" s="3"/>
      <c r="IN165" s="3"/>
      <c r="IO165" s="3"/>
      <c r="IP165" s="3"/>
      <c r="IQ165" s="3"/>
      <c r="IR165" s="3"/>
      <c r="IS165" s="3"/>
      <c r="IT165" s="3"/>
      <c r="IU165" s="3"/>
      <c r="IV165" s="3"/>
      <c r="IW165" s="3"/>
      <c r="IX165" s="3"/>
      <c r="IY165" s="3"/>
      <c r="IZ165" s="3"/>
      <c r="JA165" s="3"/>
      <c r="JB165" s="3"/>
      <c r="JC165" s="3"/>
      <c r="JD165" s="3"/>
      <c r="JE165" s="3"/>
      <c r="JF165" s="3"/>
      <c r="JG165" s="3"/>
      <c r="JH165" s="3"/>
      <c r="JI165" s="3"/>
      <c r="JJ165" s="3"/>
      <c r="JK165" s="3"/>
      <c r="JL165" s="3"/>
      <c r="JM165" s="3"/>
      <c r="JN165" s="3"/>
      <c r="JO165" s="3"/>
      <c r="JP165" s="3"/>
      <c r="JQ165" s="3"/>
      <c r="JR165" s="3"/>
      <c r="JS165" s="3"/>
      <c r="JT165" s="3"/>
      <c r="JU165" s="3"/>
      <c r="JV165" s="3"/>
      <c r="JW165" s="3"/>
      <c r="JX165" s="3"/>
      <c r="JY165" s="3"/>
      <c r="JZ165" s="3"/>
      <c r="KA165" s="3"/>
      <c r="KB165" s="3"/>
      <c r="KC165" s="3"/>
      <c r="KD165" s="3"/>
      <c r="KE165" s="3"/>
      <c r="KF165" s="3"/>
      <c r="KG165" s="3"/>
      <c r="KH165" s="3"/>
      <c r="KI165" s="3"/>
      <c r="KJ165" s="3"/>
      <c r="KK165" s="3"/>
      <c r="KL165" s="3"/>
      <c r="KM165" s="3"/>
      <c r="KN165" s="3"/>
      <c r="KO165" s="3"/>
      <c r="KP165" s="3"/>
      <c r="KQ165" s="3"/>
      <c r="KR165" s="3"/>
      <c r="KS165" s="3"/>
      <c r="KT165" s="3"/>
      <c r="KU165" s="3"/>
      <c r="KV165" s="3"/>
      <c r="KW165" s="3"/>
      <c r="KX165" s="3"/>
      <c r="KY165" s="3"/>
      <c r="KZ165" s="3"/>
      <c r="LA165" s="3"/>
      <c r="LB165" s="3"/>
      <c r="LC165" s="3"/>
      <c r="LD165" s="3"/>
      <c r="LE165" s="3"/>
      <c r="LF165" s="3"/>
      <c r="LG165" s="3"/>
      <c r="LH165" s="3"/>
      <c r="LI165" s="3"/>
      <c r="LJ165" s="3"/>
      <c r="LK165" s="3"/>
      <c r="LL165" s="3"/>
      <c r="LM165" s="3"/>
      <c r="LN165" s="3"/>
      <c r="LO165" s="3"/>
      <c r="LP165" s="3"/>
      <c r="LQ165" s="3"/>
      <c r="LR165" s="3"/>
      <c r="LS165" s="3"/>
      <c r="LT165" s="3"/>
      <c r="LU165" s="3"/>
      <c r="LV165" s="3"/>
      <c r="LW165" s="3"/>
      <c r="LX165" s="3"/>
      <c r="LY165" s="3"/>
      <c r="LZ165" s="3"/>
      <c r="MA165" s="3"/>
      <c r="MB165" s="3"/>
      <c r="MC165" s="3"/>
      <c r="MD165" s="3"/>
      <c r="ME165" s="3"/>
      <c r="MF165" s="3"/>
      <c r="MG165" s="3"/>
      <c r="MH165" s="3"/>
      <c r="MI165" s="3"/>
      <c r="MJ165" s="3"/>
      <c r="MK165" s="3"/>
      <c r="ML165" s="3"/>
      <c r="MM165" s="3"/>
      <c r="MN165" s="3"/>
      <c r="MO165" s="3"/>
      <c r="MP165" s="3"/>
      <c r="MQ165" s="3"/>
      <c r="MR165" s="3"/>
      <c r="MS165" s="3"/>
      <c r="MT165" s="3"/>
      <c r="MU165" s="3"/>
      <c r="MV165" s="3"/>
      <c r="MW165" s="3"/>
      <c r="MX165" s="3"/>
      <c r="MY165" s="3"/>
      <c r="MZ165" s="3"/>
      <c r="NA165" s="3"/>
      <c r="NB165" s="3"/>
      <c r="NC165" s="3"/>
      <c r="ND165" s="3"/>
      <c r="NE165" s="3"/>
      <c r="NF165" s="3"/>
      <c r="NG165" s="3"/>
      <c r="NH165" s="3"/>
      <c r="NI165" s="3"/>
      <c r="NJ165" s="3"/>
      <c r="NK165" s="3"/>
      <c r="NL165" s="3"/>
      <c r="NM165" s="3"/>
      <c r="NN165" s="3"/>
      <c r="NO165" s="3"/>
      <c r="NP165" s="3"/>
      <c r="NQ165" s="3"/>
      <c r="NR165" s="3"/>
      <c r="NS165" s="3"/>
      <c r="NT165" s="3"/>
      <c r="NU165" s="3"/>
      <c r="NV165" s="3"/>
      <c r="NW165" s="3"/>
      <c r="NX165" s="3"/>
      <c r="NY165" s="3"/>
      <c r="NZ165" s="3"/>
      <c r="OA165" s="3"/>
      <c r="OB165" s="3"/>
      <c r="OC165" s="3"/>
      <c r="OD165" s="3"/>
      <c r="OE165" s="3"/>
      <c r="OF165" s="3"/>
      <c r="OG165" s="3"/>
      <c r="OH165" s="3"/>
      <c r="OI165" s="3"/>
      <c r="OJ165" s="3"/>
      <c r="OK165" s="3"/>
      <c r="OL165" s="3"/>
      <c r="OM165" s="3"/>
      <c r="ON165" s="3"/>
      <c r="OO165" s="3"/>
      <c r="OP165" s="3"/>
      <c r="OQ165" s="3"/>
      <c r="OR165" s="3"/>
      <c r="OS165" s="3"/>
      <c r="OT165" s="3"/>
      <c r="OU165" s="3"/>
      <c r="OV165" s="3"/>
      <c r="OW165" s="3"/>
      <c r="OX165" s="3"/>
      <c r="OY165" s="3"/>
      <c r="OZ165" s="3"/>
      <c r="PA165" s="3"/>
      <c r="PB165" s="3"/>
      <c r="PC165" s="3"/>
      <c r="PD165" s="3"/>
      <c r="PE165" s="3"/>
      <c r="PF165" s="3"/>
      <c r="PG165" s="3"/>
      <c r="PH165" s="3"/>
      <c r="PI165" s="3"/>
      <c r="PJ165" s="3"/>
      <c r="PK165" s="3"/>
      <c r="PL165" s="3"/>
      <c r="PM165" s="3"/>
      <c r="PN165" s="3"/>
      <c r="PO165" s="3"/>
      <c r="PP165" s="3"/>
      <c r="PQ165" s="3"/>
      <c r="PR165" s="3"/>
      <c r="PS165" s="3"/>
      <c r="PT165" s="3"/>
      <c r="PU165" s="3"/>
      <c r="PV165" s="3"/>
      <c r="PW165" s="3"/>
      <c r="PX165" s="3"/>
      <c r="PY165" s="3"/>
      <c r="PZ165" s="3"/>
      <c r="QA165" s="3"/>
      <c r="QB165" s="3"/>
      <c r="QC165" s="3"/>
      <c r="QD165" s="3"/>
      <c r="QE165" s="3"/>
      <c r="QF165" s="3"/>
      <c r="QG165" s="3"/>
      <c r="QH165" s="3"/>
      <c r="QI165" s="3"/>
      <c r="QJ165" s="3"/>
      <c r="QK165" s="3"/>
      <c r="QL165" s="3"/>
      <c r="QM165" s="3"/>
      <c r="QN165" s="3"/>
      <c r="QO165" s="3"/>
      <c r="QP165" s="3"/>
      <c r="QQ165" s="3"/>
      <c r="QR165" s="3"/>
      <c r="QS165" s="3"/>
      <c r="QT165" s="3"/>
      <c r="QU165" s="3"/>
      <c r="QV165" s="3"/>
      <c r="QW165" s="3"/>
      <c r="QX165" s="3"/>
      <c r="QY165" s="3"/>
      <c r="QZ165" s="3"/>
      <c r="RA165" s="3"/>
      <c r="RB165" s="3"/>
      <c r="RC165" s="3"/>
      <c r="RD165" s="3"/>
      <c r="RE165" s="3"/>
      <c r="RF165" s="3"/>
      <c r="RG165" s="3"/>
      <c r="RH165" s="3"/>
      <c r="RI165" s="3"/>
      <c r="RJ165" s="3"/>
      <c r="RK165" s="3"/>
      <c r="RL165" s="3"/>
      <c r="RM165" s="3"/>
      <c r="RN165" s="3"/>
      <c r="RO165" s="3"/>
      <c r="RP165" s="3"/>
      <c r="RQ165" s="3"/>
      <c r="RR165" s="3"/>
      <c r="RS165" s="3"/>
      <c r="RT165" s="3"/>
      <c r="RU165" s="3"/>
      <c r="RV165" s="3"/>
      <c r="RW165" s="3"/>
      <c r="RX165" s="3"/>
      <c r="RY165" s="3"/>
      <c r="RZ165" s="3"/>
      <c r="SA165" s="3"/>
      <c r="SB165" s="3"/>
      <c r="SC165" s="3"/>
      <c r="SD165" s="3"/>
      <c r="SE165" s="3"/>
      <c r="SF165" s="3"/>
      <c r="SG165" s="3"/>
      <c r="SH165" s="3"/>
      <c r="SI165" s="3"/>
      <c r="SJ165" s="3"/>
      <c r="SK165" s="3"/>
      <c r="SL165" s="3"/>
      <c r="SM165" s="3"/>
      <c r="SN165" s="3"/>
      <c r="SO165" s="3"/>
      <c r="SP165" s="3"/>
      <c r="SQ165" s="3"/>
      <c r="SR165" s="3"/>
      <c r="SS165" s="3"/>
      <c r="ST165" s="3"/>
      <c r="SU165" s="3"/>
      <c r="SV165" s="3"/>
      <c r="SW165" s="3"/>
      <c r="SX165" s="3"/>
      <c r="SY165" s="3"/>
      <c r="SZ165" s="3"/>
      <c r="TA165" s="3"/>
      <c r="TB165" s="3"/>
      <c r="TC165" s="3"/>
      <c r="TD165" s="3"/>
      <c r="TE165" s="3"/>
      <c r="TF165" s="3"/>
      <c r="TG165" s="3"/>
      <c r="TH165" s="3"/>
      <c r="TI165" s="3"/>
      <c r="TJ165" s="3"/>
      <c r="TK165" s="3"/>
      <c r="TL165" s="3"/>
      <c r="TM165" s="3"/>
      <c r="TN165" s="3"/>
      <c r="TO165" s="3"/>
      <c r="TP165" s="3"/>
      <c r="TQ165" s="3"/>
      <c r="TR165" s="3"/>
      <c r="TS165" s="3"/>
      <c r="TT165" s="3"/>
      <c r="TU165" s="3"/>
      <c r="TV165" s="3"/>
      <c r="TW165" s="3"/>
      <c r="TX165" s="3"/>
      <c r="TY165" s="3"/>
      <c r="TZ165" s="3"/>
      <c r="UA165" s="3"/>
      <c r="UB165" s="3"/>
      <c r="UC165" s="3"/>
      <c r="UD165" s="3"/>
      <c r="UE165" s="3"/>
      <c r="UF165" s="3"/>
      <c r="UG165" s="3"/>
      <c r="UH165" s="3"/>
      <c r="UI165" s="3"/>
      <c r="UJ165" s="3"/>
      <c r="UK165" s="3"/>
      <c r="UL165" s="3"/>
      <c r="UM165" s="3"/>
      <c r="UN165" s="3"/>
      <c r="UO165" s="3"/>
      <c r="UP165" s="3"/>
      <c r="UQ165" s="3"/>
      <c r="UR165" s="3"/>
      <c r="US165" s="3"/>
      <c r="UT165" s="3"/>
      <c r="UU165" s="3"/>
      <c r="UV165" s="3"/>
      <c r="UW165" s="3"/>
      <c r="UX165" s="3"/>
      <c r="UY165" s="3"/>
      <c r="UZ165" s="3"/>
      <c r="VA165" s="3"/>
      <c r="VB165" s="3"/>
      <c r="VC165" s="3"/>
      <c r="VD165" s="3"/>
      <c r="VE165" s="3"/>
      <c r="VF165" s="3"/>
      <c r="VG165" s="3"/>
      <c r="VH165" s="3"/>
      <c r="VI165" s="3"/>
      <c r="VJ165" s="3"/>
      <c r="VK165" s="3"/>
      <c r="VL165" s="3"/>
      <c r="VM165" s="3"/>
      <c r="VN165" s="3"/>
      <c r="VO165" s="3"/>
      <c r="VP165" s="3"/>
      <c r="VQ165" s="3"/>
      <c r="VR165" s="3"/>
      <c r="VS165" s="3"/>
      <c r="VT165" s="3"/>
      <c r="VU165" s="3"/>
      <c r="VV165" s="3"/>
      <c r="VW165" s="3"/>
      <c r="VX165" s="3"/>
      <c r="VY165" s="3"/>
      <c r="VZ165" s="3"/>
      <c r="WA165" s="3"/>
      <c r="WB165" s="3"/>
      <c r="WC165" s="3"/>
      <c r="WD165" s="3"/>
      <c r="WE165" s="3"/>
      <c r="WF165" s="3"/>
      <c r="WG165" s="3"/>
      <c r="WH165" s="3"/>
      <c r="WI165" s="3"/>
      <c r="WJ165" s="3"/>
      <c r="WK165" s="3"/>
      <c r="WL165" s="3"/>
      <c r="WM165" s="3"/>
      <c r="WN165" s="3"/>
      <c r="WO165" s="3"/>
      <c r="WP165" s="3"/>
      <c r="WQ165" s="3"/>
      <c r="WR165" s="3"/>
      <c r="WS165" s="3"/>
      <c r="WT165" s="3"/>
      <c r="WU165" s="3"/>
      <c r="WV165" s="3"/>
      <c r="WW165" s="3"/>
      <c r="WX165" s="3"/>
      <c r="WY165" s="3"/>
      <c r="WZ165" s="3"/>
      <c r="XA165" s="3"/>
      <c r="XB165" s="3"/>
      <c r="XC165" s="3"/>
      <c r="XD165" s="3"/>
      <c r="XE165" s="3"/>
      <c r="XF165" s="3"/>
      <c r="XG165" s="3"/>
      <c r="XH165" s="3"/>
      <c r="XI165" s="3"/>
      <c r="XJ165" s="3"/>
      <c r="XK165" s="3"/>
      <c r="XL165" s="3"/>
      <c r="XM165" s="3"/>
      <c r="XN165" s="3"/>
      <c r="XO165" s="3"/>
      <c r="XP165" s="3"/>
      <c r="XQ165" s="3"/>
      <c r="XR165" s="3"/>
      <c r="XS165" s="3"/>
      <c r="XT165" s="3"/>
      <c r="XU165" s="3"/>
      <c r="XV165" s="3"/>
      <c r="XW165" s="3"/>
      <c r="XX165" s="3"/>
      <c r="XY165" s="3"/>
      <c r="XZ165" s="3"/>
      <c r="YA165" s="3"/>
      <c r="YB165" s="3"/>
      <c r="YC165" s="3"/>
      <c r="YD165" s="3"/>
      <c r="YE165" s="3"/>
      <c r="YF165" s="3"/>
      <c r="YG165" s="3"/>
      <c r="YH165" s="3"/>
      <c r="YI165" s="3"/>
      <c r="YJ165" s="3"/>
      <c r="YK165" s="3"/>
      <c r="YL165" s="3"/>
      <c r="YM165" s="3"/>
      <c r="YN165" s="3"/>
      <c r="YO165" s="3"/>
      <c r="YP165" s="3"/>
      <c r="YQ165" s="3"/>
      <c r="YR165" s="3"/>
      <c r="YS165" s="3"/>
      <c r="YT165" s="3"/>
      <c r="YU165" s="3"/>
      <c r="YV165" s="3"/>
      <c r="YW165" s="3"/>
      <c r="YX165" s="3"/>
      <c r="YY165" s="3"/>
      <c r="YZ165" s="3"/>
      <c r="ZA165" s="3"/>
      <c r="ZB165" s="3"/>
      <c r="ZC165" s="3"/>
    </row>
    <row r="166" spans="1:679" s="2" customFormat="1" x14ac:dyDescent="0.45">
      <c r="A166" s="3" t="s">
        <v>11</v>
      </c>
      <c r="B166" s="4">
        <v>35199</v>
      </c>
      <c r="C166" s="7" t="s">
        <v>21</v>
      </c>
      <c r="D166" s="6" t="s">
        <v>181</v>
      </c>
      <c r="E166" s="3"/>
      <c r="F166" s="3">
        <v>7</v>
      </c>
      <c r="L166" s="3"/>
      <c r="M166" s="3"/>
      <c r="N166" s="48"/>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
      <c r="DH166" s="3"/>
      <c r="DI166" s="3"/>
      <c r="DJ166" s="3"/>
      <c r="DK166" s="3"/>
      <c r="DL166" s="3"/>
      <c r="DM166" s="3"/>
      <c r="DN166" s="3"/>
      <c r="DO166" s="3"/>
      <c r="DP166" s="3"/>
      <c r="DQ166" s="3"/>
      <c r="DR166" s="3"/>
      <c r="DS166" s="3"/>
      <c r="DT166" s="3"/>
      <c r="DU166" s="3"/>
      <c r="DV166" s="3"/>
      <c r="DW166" s="3"/>
      <c r="DX166" s="3"/>
      <c r="DY166" s="3"/>
      <c r="DZ166" s="3"/>
      <c r="EA166" s="3"/>
      <c r="EB166" s="3"/>
      <c r="EC166" s="3"/>
      <c r="ED166" s="3"/>
      <c r="EE166" s="3"/>
      <c r="EF166" s="3"/>
      <c r="EG166" s="3"/>
      <c r="EH166" s="3"/>
      <c r="EI166" s="3"/>
      <c r="EJ166" s="3"/>
      <c r="EK166" s="3"/>
      <c r="EL166" s="3"/>
      <c r="EM166" s="3"/>
      <c r="EN166" s="3"/>
      <c r="EO166" s="3"/>
      <c r="EP166" s="3"/>
      <c r="EQ166" s="3"/>
      <c r="ER166" s="3"/>
      <c r="ES166" s="3"/>
      <c r="ET166" s="3"/>
      <c r="EU166" s="3"/>
      <c r="EV166" s="3"/>
      <c r="EW166" s="3"/>
      <c r="EX166" s="3"/>
      <c r="EY166" s="3"/>
      <c r="EZ166" s="3"/>
      <c r="FA166" s="3"/>
      <c r="FB166" s="3"/>
      <c r="FC166" s="3"/>
      <c r="FD166" s="3"/>
      <c r="FE166" s="3"/>
      <c r="FF166" s="3"/>
      <c r="FG166" s="3"/>
      <c r="FH166" s="3"/>
      <c r="FI166" s="3"/>
      <c r="FJ166" s="3"/>
      <c r="FK166" s="3"/>
      <c r="FL166" s="3"/>
      <c r="FM166" s="3"/>
      <c r="FN166" s="3"/>
      <c r="FO166" s="3"/>
      <c r="FP166" s="3"/>
      <c r="FQ166" s="3"/>
      <c r="FR166" s="3"/>
      <c r="FS166" s="3"/>
      <c r="FT166" s="3"/>
      <c r="FU166" s="3"/>
      <c r="FV166" s="3"/>
      <c r="FW166" s="3"/>
      <c r="FX166" s="3"/>
      <c r="FY166" s="3"/>
      <c r="FZ166" s="3"/>
      <c r="GA166" s="3"/>
      <c r="GB166" s="3"/>
      <c r="GC166" s="3"/>
      <c r="GD166" s="3"/>
      <c r="GE166" s="3"/>
      <c r="GF166" s="3"/>
      <c r="GG166" s="3"/>
      <c r="GH166" s="3"/>
      <c r="GI166" s="3"/>
      <c r="GJ166" s="3"/>
      <c r="GK166" s="3"/>
      <c r="GL166" s="3"/>
      <c r="GM166" s="3"/>
      <c r="GN166" s="3"/>
      <c r="GO166" s="3"/>
      <c r="GP166" s="3"/>
      <c r="GQ166" s="3"/>
      <c r="GR166" s="3"/>
      <c r="GS166" s="3"/>
      <c r="GT166" s="3"/>
      <c r="GU166" s="3"/>
      <c r="GV166" s="3"/>
      <c r="GW166" s="3"/>
      <c r="GX166" s="3"/>
      <c r="GY166" s="3"/>
      <c r="GZ166" s="3"/>
      <c r="HA166" s="3"/>
      <c r="HB166" s="3"/>
      <c r="HC166" s="3"/>
      <c r="HD166" s="3"/>
      <c r="HE166" s="3"/>
      <c r="HF166" s="3"/>
      <c r="HG166" s="3"/>
      <c r="HH166" s="3"/>
      <c r="HI166" s="3"/>
      <c r="HJ166" s="3"/>
      <c r="HK166" s="3"/>
      <c r="HL166" s="3"/>
      <c r="HM166" s="3"/>
      <c r="HN166" s="3"/>
      <c r="HO166" s="3"/>
      <c r="HP166" s="3"/>
      <c r="HQ166" s="3"/>
      <c r="HR166" s="3"/>
      <c r="HS166" s="3"/>
      <c r="HT166" s="3"/>
      <c r="HU166" s="3"/>
      <c r="HV166" s="3"/>
      <c r="HW166" s="3"/>
      <c r="HX166" s="3"/>
      <c r="HY166" s="3"/>
      <c r="HZ166" s="3"/>
      <c r="IA166" s="3"/>
      <c r="IB166" s="3"/>
      <c r="IC166" s="3"/>
      <c r="ID166" s="3"/>
      <c r="IE166" s="3"/>
      <c r="IF166" s="3"/>
      <c r="IG166" s="3"/>
      <c r="IH166" s="3"/>
      <c r="II166" s="3"/>
      <c r="IJ166" s="3"/>
      <c r="IK166" s="3"/>
      <c r="IL166" s="3"/>
      <c r="IM166" s="3"/>
      <c r="IN166" s="3"/>
      <c r="IO166" s="3"/>
      <c r="IP166" s="3"/>
      <c r="IQ166" s="3"/>
      <c r="IR166" s="3"/>
      <c r="IS166" s="3"/>
      <c r="IT166" s="3"/>
      <c r="IU166" s="3"/>
      <c r="IV166" s="3"/>
      <c r="IW166" s="3"/>
      <c r="IX166" s="3"/>
      <c r="IY166" s="3"/>
      <c r="IZ166" s="3"/>
      <c r="JA166" s="3"/>
      <c r="JB166" s="3"/>
      <c r="JC166" s="3"/>
      <c r="JD166" s="3"/>
      <c r="JE166" s="3"/>
      <c r="JF166" s="3"/>
      <c r="JG166" s="3"/>
      <c r="JH166" s="3"/>
      <c r="JI166" s="3"/>
      <c r="JJ166" s="3"/>
      <c r="JK166" s="3"/>
      <c r="JL166" s="3"/>
      <c r="JM166" s="3"/>
      <c r="JN166" s="3"/>
      <c r="JO166" s="3"/>
      <c r="JP166" s="3"/>
      <c r="JQ166" s="3"/>
      <c r="JR166" s="3"/>
      <c r="JS166" s="3"/>
      <c r="JT166" s="3"/>
      <c r="JU166" s="3"/>
      <c r="JV166" s="3"/>
      <c r="JW166" s="3"/>
      <c r="JX166" s="3"/>
      <c r="JY166" s="3"/>
      <c r="JZ166" s="3"/>
      <c r="KA166" s="3"/>
      <c r="KB166" s="3"/>
      <c r="KC166" s="3"/>
      <c r="KD166" s="3"/>
      <c r="KE166" s="3"/>
      <c r="KF166" s="3"/>
      <c r="KG166" s="3"/>
      <c r="KH166" s="3"/>
      <c r="KI166" s="3"/>
      <c r="KJ166" s="3"/>
      <c r="KK166" s="3"/>
      <c r="KL166" s="3"/>
      <c r="KM166" s="3"/>
      <c r="KN166" s="3"/>
      <c r="KO166" s="3"/>
      <c r="KP166" s="3"/>
      <c r="KQ166" s="3"/>
      <c r="KR166" s="3"/>
      <c r="KS166" s="3"/>
      <c r="KT166" s="3"/>
      <c r="KU166" s="3"/>
      <c r="KV166" s="3"/>
      <c r="KW166" s="3"/>
      <c r="KX166" s="3"/>
      <c r="KY166" s="3"/>
      <c r="KZ166" s="3"/>
      <c r="LA166" s="3"/>
      <c r="LB166" s="3"/>
      <c r="LC166" s="3"/>
      <c r="LD166" s="3"/>
      <c r="LE166" s="3"/>
      <c r="LF166" s="3"/>
      <c r="LG166" s="3"/>
      <c r="LH166" s="3"/>
      <c r="LI166" s="3"/>
      <c r="LJ166" s="3"/>
      <c r="LK166" s="3"/>
      <c r="LL166" s="3"/>
      <c r="LM166" s="3"/>
      <c r="LN166" s="3"/>
      <c r="LO166" s="3"/>
      <c r="LP166" s="3"/>
      <c r="LQ166" s="3"/>
      <c r="LR166" s="3"/>
      <c r="LS166" s="3"/>
      <c r="LT166" s="3"/>
      <c r="LU166" s="3"/>
      <c r="LV166" s="3"/>
      <c r="LW166" s="3"/>
      <c r="LX166" s="3"/>
      <c r="LY166" s="3"/>
      <c r="LZ166" s="3"/>
      <c r="MA166" s="3"/>
      <c r="MB166" s="3"/>
      <c r="MC166" s="3"/>
      <c r="MD166" s="3"/>
      <c r="ME166" s="3"/>
      <c r="MF166" s="3"/>
      <c r="MG166" s="3"/>
      <c r="MH166" s="3"/>
      <c r="MI166" s="3"/>
      <c r="MJ166" s="3"/>
      <c r="MK166" s="3"/>
      <c r="ML166" s="3"/>
      <c r="MM166" s="3"/>
      <c r="MN166" s="3"/>
      <c r="MO166" s="3"/>
      <c r="MP166" s="3"/>
      <c r="MQ166" s="3"/>
      <c r="MR166" s="3"/>
      <c r="MS166" s="3"/>
      <c r="MT166" s="3"/>
      <c r="MU166" s="3"/>
      <c r="MV166" s="3"/>
      <c r="MW166" s="3"/>
      <c r="MX166" s="3"/>
      <c r="MY166" s="3"/>
      <c r="MZ166" s="3"/>
      <c r="NA166" s="3"/>
      <c r="NB166" s="3"/>
      <c r="NC166" s="3"/>
      <c r="ND166" s="3"/>
      <c r="NE166" s="3"/>
      <c r="NF166" s="3"/>
      <c r="NG166" s="3"/>
      <c r="NH166" s="3"/>
      <c r="NI166" s="3"/>
      <c r="NJ166" s="3"/>
      <c r="NK166" s="3"/>
      <c r="NL166" s="3"/>
      <c r="NM166" s="3"/>
      <c r="NN166" s="3"/>
      <c r="NO166" s="3"/>
      <c r="NP166" s="3"/>
      <c r="NQ166" s="3"/>
      <c r="NR166" s="3"/>
      <c r="NS166" s="3"/>
      <c r="NT166" s="3"/>
      <c r="NU166" s="3"/>
      <c r="NV166" s="3"/>
      <c r="NW166" s="3"/>
      <c r="NX166" s="3"/>
      <c r="NY166" s="3"/>
      <c r="NZ166" s="3"/>
      <c r="OA166" s="3"/>
      <c r="OB166" s="3"/>
      <c r="OC166" s="3"/>
      <c r="OD166" s="3"/>
      <c r="OE166" s="3"/>
      <c r="OF166" s="3"/>
      <c r="OG166" s="3"/>
      <c r="OH166" s="3"/>
      <c r="OI166" s="3"/>
      <c r="OJ166" s="3"/>
      <c r="OK166" s="3"/>
      <c r="OL166" s="3"/>
      <c r="OM166" s="3"/>
      <c r="ON166" s="3"/>
      <c r="OO166" s="3"/>
      <c r="OP166" s="3"/>
      <c r="OQ166" s="3"/>
      <c r="OR166" s="3"/>
      <c r="OS166" s="3"/>
      <c r="OT166" s="3"/>
      <c r="OU166" s="3"/>
      <c r="OV166" s="3"/>
      <c r="OW166" s="3"/>
      <c r="OX166" s="3"/>
      <c r="OY166" s="3"/>
      <c r="OZ166" s="3"/>
      <c r="PA166" s="3"/>
      <c r="PB166" s="3"/>
      <c r="PC166" s="3"/>
      <c r="PD166" s="3"/>
      <c r="PE166" s="3"/>
      <c r="PF166" s="3"/>
      <c r="PG166" s="3"/>
      <c r="PH166" s="3"/>
      <c r="PI166" s="3"/>
      <c r="PJ166" s="3"/>
      <c r="PK166" s="3"/>
      <c r="PL166" s="3"/>
      <c r="PM166" s="3"/>
      <c r="PN166" s="3"/>
      <c r="PO166" s="3"/>
      <c r="PP166" s="3"/>
      <c r="PQ166" s="3"/>
      <c r="PR166" s="3"/>
      <c r="PS166" s="3"/>
      <c r="PT166" s="3"/>
      <c r="PU166" s="3"/>
      <c r="PV166" s="3"/>
      <c r="PW166" s="3"/>
      <c r="PX166" s="3"/>
      <c r="PY166" s="3"/>
      <c r="PZ166" s="3"/>
      <c r="QA166" s="3"/>
      <c r="QB166" s="3"/>
      <c r="QC166" s="3"/>
      <c r="QD166" s="3"/>
      <c r="QE166" s="3"/>
      <c r="QF166" s="3"/>
      <c r="QG166" s="3"/>
      <c r="QH166" s="3"/>
      <c r="QI166" s="3"/>
      <c r="QJ166" s="3"/>
      <c r="QK166" s="3"/>
      <c r="QL166" s="3"/>
      <c r="QM166" s="3"/>
      <c r="QN166" s="3"/>
      <c r="QO166" s="3"/>
      <c r="QP166" s="3"/>
      <c r="QQ166" s="3"/>
      <c r="QR166" s="3"/>
      <c r="QS166" s="3"/>
      <c r="QT166" s="3"/>
      <c r="QU166" s="3"/>
      <c r="QV166" s="3"/>
      <c r="QW166" s="3"/>
      <c r="QX166" s="3"/>
      <c r="QY166" s="3"/>
      <c r="QZ166" s="3"/>
      <c r="RA166" s="3"/>
      <c r="RB166" s="3"/>
      <c r="RC166" s="3"/>
      <c r="RD166" s="3"/>
      <c r="RE166" s="3"/>
      <c r="RF166" s="3"/>
      <c r="RG166" s="3"/>
      <c r="RH166" s="3"/>
      <c r="RI166" s="3"/>
      <c r="RJ166" s="3"/>
      <c r="RK166" s="3"/>
      <c r="RL166" s="3"/>
      <c r="RM166" s="3"/>
      <c r="RN166" s="3"/>
      <c r="RO166" s="3"/>
      <c r="RP166" s="3"/>
      <c r="RQ166" s="3"/>
      <c r="RR166" s="3"/>
      <c r="RS166" s="3"/>
      <c r="RT166" s="3"/>
      <c r="RU166" s="3"/>
      <c r="RV166" s="3"/>
      <c r="RW166" s="3"/>
      <c r="RX166" s="3"/>
      <c r="RY166" s="3"/>
      <c r="RZ166" s="3"/>
      <c r="SA166" s="3"/>
      <c r="SB166" s="3"/>
      <c r="SC166" s="3"/>
      <c r="SD166" s="3"/>
      <c r="SE166" s="3"/>
      <c r="SF166" s="3"/>
      <c r="SG166" s="3"/>
      <c r="SH166" s="3"/>
      <c r="SI166" s="3"/>
      <c r="SJ166" s="3"/>
      <c r="SK166" s="3"/>
      <c r="SL166" s="3"/>
      <c r="SM166" s="3"/>
      <c r="SN166" s="3"/>
      <c r="SO166" s="3"/>
      <c r="SP166" s="3"/>
      <c r="SQ166" s="3"/>
      <c r="SR166" s="3"/>
      <c r="SS166" s="3"/>
      <c r="ST166" s="3"/>
      <c r="SU166" s="3"/>
      <c r="SV166" s="3"/>
      <c r="SW166" s="3"/>
      <c r="SX166" s="3"/>
      <c r="SY166" s="3"/>
      <c r="SZ166" s="3"/>
      <c r="TA166" s="3"/>
      <c r="TB166" s="3"/>
      <c r="TC166" s="3"/>
      <c r="TD166" s="3"/>
      <c r="TE166" s="3"/>
      <c r="TF166" s="3"/>
      <c r="TG166" s="3"/>
      <c r="TH166" s="3"/>
      <c r="TI166" s="3"/>
      <c r="TJ166" s="3"/>
      <c r="TK166" s="3"/>
      <c r="TL166" s="3"/>
      <c r="TM166" s="3"/>
      <c r="TN166" s="3"/>
      <c r="TO166" s="3"/>
      <c r="TP166" s="3"/>
      <c r="TQ166" s="3"/>
      <c r="TR166" s="3"/>
      <c r="TS166" s="3"/>
      <c r="TT166" s="3"/>
      <c r="TU166" s="3"/>
      <c r="TV166" s="3"/>
      <c r="TW166" s="3"/>
      <c r="TX166" s="3"/>
      <c r="TY166" s="3"/>
      <c r="TZ166" s="3"/>
      <c r="UA166" s="3"/>
      <c r="UB166" s="3"/>
      <c r="UC166" s="3"/>
      <c r="UD166" s="3"/>
      <c r="UE166" s="3"/>
      <c r="UF166" s="3"/>
      <c r="UG166" s="3"/>
      <c r="UH166" s="3"/>
      <c r="UI166" s="3"/>
      <c r="UJ166" s="3"/>
      <c r="UK166" s="3"/>
      <c r="UL166" s="3"/>
      <c r="UM166" s="3"/>
      <c r="UN166" s="3"/>
      <c r="UO166" s="3"/>
      <c r="UP166" s="3"/>
      <c r="UQ166" s="3"/>
      <c r="UR166" s="3"/>
      <c r="US166" s="3"/>
      <c r="UT166" s="3"/>
      <c r="UU166" s="3"/>
      <c r="UV166" s="3"/>
      <c r="UW166" s="3"/>
      <c r="UX166" s="3"/>
      <c r="UY166" s="3"/>
      <c r="UZ166" s="3"/>
      <c r="VA166" s="3"/>
      <c r="VB166" s="3"/>
      <c r="VC166" s="3"/>
      <c r="VD166" s="3"/>
      <c r="VE166" s="3"/>
      <c r="VF166" s="3"/>
      <c r="VG166" s="3"/>
      <c r="VH166" s="3"/>
      <c r="VI166" s="3"/>
      <c r="VJ166" s="3"/>
      <c r="VK166" s="3"/>
      <c r="VL166" s="3"/>
      <c r="VM166" s="3"/>
      <c r="VN166" s="3"/>
      <c r="VO166" s="3"/>
      <c r="VP166" s="3"/>
      <c r="VQ166" s="3"/>
      <c r="VR166" s="3"/>
      <c r="VS166" s="3"/>
      <c r="VT166" s="3"/>
      <c r="VU166" s="3"/>
      <c r="VV166" s="3"/>
      <c r="VW166" s="3"/>
      <c r="VX166" s="3"/>
      <c r="VY166" s="3"/>
      <c r="VZ166" s="3"/>
      <c r="WA166" s="3"/>
      <c r="WB166" s="3"/>
      <c r="WC166" s="3"/>
      <c r="WD166" s="3"/>
      <c r="WE166" s="3"/>
      <c r="WF166" s="3"/>
      <c r="WG166" s="3"/>
      <c r="WH166" s="3"/>
      <c r="WI166" s="3"/>
      <c r="WJ166" s="3"/>
      <c r="WK166" s="3"/>
      <c r="WL166" s="3"/>
      <c r="WM166" s="3"/>
      <c r="WN166" s="3"/>
      <c r="WO166" s="3"/>
      <c r="WP166" s="3"/>
      <c r="WQ166" s="3"/>
      <c r="WR166" s="3"/>
      <c r="WS166" s="3"/>
      <c r="WT166" s="3"/>
      <c r="WU166" s="3"/>
      <c r="WV166" s="3"/>
      <c r="WW166" s="3"/>
      <c r="WX166" s="3"/>
      <c r="WY166" s="3"/>
      <c r="WZ166" s="3"/>
      <c r="XA166" s="3"/>
      <c r="XB166" s="3"/>
      <c r="XC166" s="3"/>
      <c r="XD166" s="3"/>
      <c r="XE166" s="3"/>
      <c r="XF166" s="3"/>
      <c r="XG166" s="3"/>
      <c r="XH166" s="3"/>
      <c r="XI166" s="3"/>
      <c r="XJ166" s="3"/>
      <c r="XK166" s="3"/>
      <c r="XL166" s="3"/>
      <c r="XM166" s="3"/>
      <c r="XN166" s="3"/>
      <c r="XO166" s="3"/>
      <c r="XP166" s="3"/>
      <c r="XQ166" s="3"/>
      <c r="XR166" s="3"/>
      <c r="XS166" s="3"/>
      <c r="XT166" s="3"/>
      <c r="XU166" s="3"/>
      <c r="XV166" s="3"/>
      <c r="XW166" s="3"/>
      <c r="XX166" s="3"/>
      <c r="XY166" s="3"/>
      <c r="XZ166" s="3"/>
      <c r="YA166" s="3"/>
      <c r="YB166" s="3"/>
      <c r="YC166" s="3"/>
      <c r="YD166" s="3"/>
      <c r="YE166" s="3"/>
      <c r="YF166" s="3"/>
      <c r="YG166" s="3"/>
      <c r="YH166" s="3"/>
      <c r="YI166" s="3"/>
      <c r="YJ166" s="3"/>
      <c r="YK166" s="3"/>
      <c r="YL166" s="3"/>
      <c r="YM166" s="3"/>
      <c r="YN166" s="3"/>
      <c r="YO166" s="3"/>
      <c r="YP166" s="3"/>
      <c r="YQ166" s="3"/>
      <c r="YR166" s="3"/>
      <c r="YS166" s="3"/>
      <c r="YT166" s="3"/>
      <c r="YU166" s="3"/>
      <c r="YV166" s="3"/>
      <c r="YW166" s="3"/>
      <c r="YX166" s="3"/>
      <c r="YY166" s="3"/>
      <c r="YZ166" s="3"/>
      <c r="ZA166" s="3"/>
      <c r="ZB166" s="3"/>
      <c r="ZC166" s="3"/>
    </row>
    <row r="167" spans="1:679" s="2" customFormat="1" x14ac:dyDescent="0.45">
      <c r="A167" s="3" t="s">
        <v>11</v>
      </c>
      <c r="B167" s="4">
        <v>35206</v>
      </c>
      <c r="C167" s="7" t="s">
        <v>21</v>
      </c>
      <c r="D167" s="6" t="s">
        <v>182</v>
      </c>
      <c r="E167" s="3"/>
      <c r="F167" s="3">
        <v>8</v>
      </c>
      <c r="L167" s="3"/>
      <c r="M167" s="3"/>
      <c r="N167" s="48"/>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c r="DF167" s="3"/>
      <c r="DG167" s="3"/>
      <c r="DH167" s="3"/>
      <c r="DI167" s="3"/>
      <c r="DJ167" s="3"/>
      <c r="DK167" s="3"/>
      <c r="DL167" s="3"/>
      <c r="DM167" s="3"/>
      <c r="DN167" s="3"/>
      <c r="DO167" s="3"/>
      <c r="DP167" s="3"/>
      <c r="DQ167" s="3"/>
      <c r="DR167" s="3"/>
      <c r="DS167" s="3"/>
      <c r="DT167" s="3"/>
      <c r="DU167" s="3"/>
      <c r="DV167" s="3"/>
      <c r="DW167" s="3"/>
      <c r="DX167" s="3"/>
      <c r="DY167" s="3"/>
      <c r="DZ167" s="3"/>
      <c r="EA167" s="3"/>
      <c r="EB167" s="3"/>
      <c r="EC167" s="3"/>
      <c r="ED167" s="3"/>
      <c r="EE167" s="3"/>
      <c r="EF167" s="3"/>
      <c r="EG167" s="3"/>
      <c r="EH167" s="3"/>
      <c r="EI167" s="3"/>
      <c r="EJ167" s="3"/>
      <c r="EK167" s="3"/>
      <c r="EL167" s="3"/>
      <c r="EM167" s="3"/>
      <c r="EN167" s="3"/>
      <c r="EO167" s="3"/>
      <c r="EP167" s="3"/>
      <c r="EQ167" s="3"/>
      <c r="ER167" s="3"/>
      <c r="ES167" s="3"/>
      <c r="ET167" s="3"/>
      <c r="EU167" s="3"/>
      <c r="EV167" s="3"/>
      <c r="EW167" s="3"/>
      <c r="EX167" s="3"/>
      <c r="EY167" s="3"/>
      <c r="EZ167" s="3"/>
      <c r="FA167" s="3"/>
      <c r="FB167" s="3"/>
      <c r="FC167" s="3"/>
      <c r="FD167" s="3"/>
      <c r="FE167" s="3"/>
      <c r="FF167" s="3"/>
      <c r="FG167" s="3"/>
      <c r="FH167" s="3"/>
      <c r="FI167" s="3"/>
      <c r="FJ167" s="3"/>
      <c r="FK167" s="3"/>
      <c r="FL167" s="3"/>
      <c r="FM167" s="3"/>
      <c r="FN167" s="3"/>
      <c r="FO167" s="3"/>
      <c r="FP167" s="3"/>
      <c r="FQ167" s="3"/>
      <c r="FR167" s="3"/>
      <c r="FS167" s="3"/>
      <c r="FT167" s="3"/>
      <c r="FU167" s="3"/>
      <c r="FV167" s="3"/>
      <c r="FW167" s="3"/>
      <c r="FX167" s="3"/>
      <c r="FY167" s="3"/>
      <c r="FZ167" s="3"/>
      <c r="GA167" s="3"/>
      <c r="GB167" s="3"/>
      <c r="GC167" s="3"/>
      <c r="GD167" s="3"/>
      <c r="GE167" s="3"/>
      <c r="GF167" s="3"/>
      <c r="GG167" s="3"/>
      <c r="GH167" s="3"/>
      <c r="GI167" s="3"/>
      <c r="GJ167" s="3"/>
      <c r="GK167" s="3"/>
      <c r="GL167" s="3"/>
      <c r="GM167" s="3"/>
      <c r="GN167" s="3"/>
      <c r="GO167" s="3"/>
      <c r="GP167" s="3"/>
      <c r="GQ167" s="3"/>
      <c r="GR167" s="3"/>
      <c r="GS167" s="3"/>
      <c r="GT167" s="3"/>
      <c r="GU167" s="3"/>
      <c r="GV167" s="3"/>
      <c r="GW167" s="3"/>
      <c r="GX167" s="3"/>
      <c r="GY167" s="3"/>
      <c r="GZ167" s="3"/>
      <c r="HA167" s="3"/>
      <c r="HB167" s="3"/>
      <c r="HC167" s="3"/>
      <c r="HD167" s="3"/>
      <c r="HE167" s="3"/>
      <c r="HF167" s="3"/>
      <c r="HG167" s="3"/>
      <c r="HH167" s="3"/>
      <c r="HI167" s="3"/>
      <c r="HJ167" s="3"/>
      <c r="HK167" s="3"/>
      <c r="HL167" s="3"/>
      <c r="HM167" s="3"/>
      <c r="HN167" s="3"/>
      <c r="HO167" s="3"/>
      <c r="HP167" s="3"/>
      <c r="HQ167" s="3"/>
      <c r="HR167" s="3"/>
      <c r="HS167" s="3"/>
      <c r="HT167" s="3"/>
      <c r="HU167" s="3"/>
      <c r="HV167" s="3"/>
      <c r="HW167" s="3"/>
      <c r="HX167" s="3"/>
      <c r="HY167" s="3"/>
      <c r="HZ167" s="3"/>
      <c r="IA167" s="3"/>
      <c r="IB167" s="3"/>
      <c r="IC167" s="3"/>
      <c r="ID167" s="3"/>
      <c r="IE167" s="3"/>
      <c r="IF167" s="3"/>
      <c r="IG167" s="3"/>
      <c r="IH167" s="3"/>
      <c r="II167" s="3"/>
      <c r="IJ167" s="3"/>
      <c r="IK167" s="3"/>
      <c r="IL167" s="3"/>
      <c r="IM167" s="3"/>
      <c r="IN167" s="3"/>
      <c r="IO167" s="3"/>
      <c r="IP167" s="3"/>
      <c r="IQ167" s="3"/>
      <c r="IR167" s="3"/>
      <c r="IS167" s="3"/>
      <c r="IT167" s="3"/>
      <c r="IU167" s="3"/>
      <c r="IV167" s="3"/>
      <c r="IW167" s="3"/>
      <c r="IX167" s="3"/>
      <c r="IY167" s="3"/>
      <c r="IZ167" s="3"/>
      <c r="JA167" s="3"/>
      <c r="JB167" s="3"/>
      <c r="JC167" s="3"/>
      <c r="JD167" s="3"/>
      <c r="JE167" s="3"/>
      <c r="JF167" s="3"/>
      <c r="JG167" s="3"/>
      <c r="JH167" s="3"/>
      <c r="JI167" s="3"/>
      <c r="JJ167" s="3"/>
      <c r="JK167" s="3"/>
      <c r="JL167" s="3"/>
      <c r="JM167" s="3"/>
      <c r="JN167" s="3"/>
      <c r="JO167" s="3"/>
      <c r="JP167" s="3"/>
      <c r="JQ167" s="3"/>
      <c r="JR167" s="3"/>
      <c r="JS167" s="3"/>
      <c r="JT167" s="3"/>
      <c r="JU167" s="3"/>
      <c r="JV167" s="3"/>
      <c r="JW167" s="3"/>
      <c r="JX167" s="3"/>
      <c r="JY167" s="3"/>
      <c r="JZ167" s="3"/>
      <c r="KA167" s="3"/>
      <c r="KB167" s="3"/>
      <c r="KC167" s="3"/>
      <c r="KD167" s="3"/>
      <c r="KE167" s="3"/>
      <c r="KF167" s="3"/>
      <c r="KG167" s="3"/>
      <c r="KH167" s="3"/>
      <c r="KI167" s="3"/>
      <c r="KJ167" s="3"/>
      <c r="KK167" s="3"/>
      <c r="KL167" s="3"/>
      <c r="KM167" s="3"/>
      <c r="KN167" s="3"/>
      <c r="KO167" s="3"/>
      <c r="KP167" s="3"/>
      <c r="KQ167" s="3"/>
      <c r="KR167" s="3"/>
      <c r="KS167" s="3"/>
      <c r="KT167" s="3"/>
      <c r="KU167" s="3"/>
      <c r="KV167" s="3"/>
      <c r="KW167" s="3"/>
      <c r="KX167" s="3"/>
      <c r="KY167" s="3"/>
      <c r="KZ167" s="3"/>
      <c r="LA167" s="3"/>
      <c r="LB167" s="3"/>
      <c r="LC167" s="3"/>
      <c r="LD167" s="3"/>
      <c r="LE167" s="3"/>
      <c r="LF167" s="3"/>
      <c r="LG167" s="3"/>
      <c r="LH167" s="3"/>
      <c r="LI167" s="3"/>
      <c r="LJ167" s="3"/>
      <c r="LK167" s="3"/>
      <c r="LL167" s="3"/>
      <c r="LM167" s="3"/>
      <c r="LN167" s="3"/>
      <c r="LO167" s="3"/>
      <c r="LP167" s="3"/>
      <c r="LQ167" s="3"/>
      <c r="LR167" s="3"/>
      <c r="LS167" s="3"/>
      <c r="LT167" s="3"/>
      <c r="LU167" s="3"/>
      <c r="LV167" s="3"/>
      <c r="LW167" s="3"/>
      <c r="LX167" s="3"/>
      <c r="LY167" s="3"/>
      <c r="LZ167" s="3"/>
      <c r="MA167" s="3"/>
      <c r="MB167" s="3"/>
      <c r="MC167" s="3"/>
      <c r="MD167" s="3"/>
      <c r="ME167" s="3"/>
      <c r="MF167" s="3"/>
      <c r="MG167" s="3"/>
      <c r="MH167" s="3"/>
      <c r="MI167" s="3"/>
      <c r="MJ167" s="3"/>
      <c r="MK167" s="3"/>
      <c r="ML167" s="3"/>
      <c r="MM167" s="3"/>
      <c r="MN167" s="3"/>
      <c r="MO167" s="3"/>
      <c r="MP167" s="3"/>
      <c r="MQ167" s="3"/>
      <c r="MR167" s="3"/>
      <c r="MS167" s="3"/>
      <c r="MT167" s="3"/>
      <c r="MU167" s="3"/>
      <c r="MV167" s="3"/>
      <c r="MW167" s="3"/>
      <c r="MX167" s="3"/>
      <c r="MY167" s="3"/>
      <c r="MZ167" s="3"/>
      <c r="NA167" s="3"/>
      <c r="NB167" s="3"/>
      <c r="NC167" s="3"/>
      <c r="ND167" s="3"/>
      <c r="NE167" s="3"/>
      <c r="NF167" s="3"/>
      <c r="NG167" s="3"/>
      <c r="NH167" s="3"/>
      <c r="NI167" s="3"/>
      <c r="NJ167" s="3"/>
      <c r="NK167" s="3"/>
      <c r="NL167" s="3"/>
      <c r="NM167" s="3"/>
      <c r="NN167" s="3"/>
      <c r="NO167" s="3"/>
      <c r="NP167" s="3"/>
      <c r="NQ167" s="3"/>
      <c r="NR167" s="3"/>
      <c r="NS167" s="3"/>
      <c r="NT167" s="3"/>
      <c r="NU167" s="3"/>
      <c r="NV167" s="3"/>
      <c r="NW167" s="3"/>
      <c r="NX167" s="3"/>
      <c r="NY167" s="3"/>
      <c r="NZ167" s="3"/>
      <c r="OA167" s="3"/>
      <c r="OB167" s="3"/>
      <c r="OC167" s="3"/>
      <c r="OD167" s="3"/>
      <c r="OE167" s="3"/>
      <c r="OF167" s="3"/>
      <c r="OG167" s="3"/>
      <c r="OH167" s="3"/>
      <c r="OI167" s="3"/>
      <c r="OJ167" s="3"/>
      <c r="OK167" s="3"/>
      <c r="OL167" s="3"/>
      <c r="OM167" s="3"/>
      <c r="ON167" s="3"/>
      <c r="OO167" s="3"/>
      <c r="OP167" s="3"/>
      <c r="OQ167" s="3"/>
      <c r="OR167" s="3"/>
      <c r="OS167" s="3"/>
      <c r="OT167" s="3"/>
      <c r="OU167" s="3"/>
      <c r="OV167" s="3"/>
      <c r="OW167" s="3"/>
      <c r="OX167" s="3"/>
      <c r="OY167" s="3"/>
      <c r="OZ167" s="3"/>
      <c r="PA167" s="3"/>
      <c r="PB167" s="3"/>
      <c r="PC167" s="3"/>
      <c r="PD167" s="3"/>
      <c r="PE167" s="3"/>
      <c r="PF167" s="3"/>
      <c r="PG167" s="3"/>
      <c r="PH167" s="3"/>
      <c r="PI167" s="3"/>
      <c r="PJ167" s="3"/>
      <c r="PK167" s="3"/>
      <c r="PL167" s="3"/>
      <c r="PM167" s="3"/>
      <c r="PN167" s="3"/>
      <c r="PO167" s="3"/>
      <c r="PP167" s="3"/>
      <c r="PQ167" s="3"/>
      <c r="PR167" s="3"/>
      <c r="PS167" s="3"/>
      <c r="PT167" s="3"/>
      <c r="PU167" s="3"/>
      <c r="PV167" s="3"/>
      <c r="PW167" s="3"/>
      <c r="PX167" s="3"/>
      <c r="PY167" s="3"/>
      <c r="PZ167" s="3"/>
      <c r="QA167" s="3"/>
      <c r="QB167" s="3"/>
      <c r="QC167" s="3"/>
      <c r="QD167" s="3"/>
      <c r="QE167" s="3"/>
      <c r="QF167" s="3"/>
      <c r="QG167" s="3"/>
      <c r="QH167" s="3"/>
      <c r="QI167" s="3"/>
      <c r="QJ167" s="3"/>
      <c r="QK167" s="3"/>
      <c r="QL167" s="3"/>
      <c r="QM167" s="3"/>
      <c r="QN167" s="3"/>
      <c r="QO167" s="3"/>
      <c r="QP167" s="3"/>
      <c r="QQ167" s="3"/>
      <c r="QR167" s="3"/>
      <c r="QS167" s="3"/>
      <c r="QT167" s="3"/>
      <c r="QU167" s="3"/>
      <c r="QV167" s="3"/>
      <c r="QW167" s="3"/>
      <c r="QX167" s="3"/>
      <c r="QY167" s="3"/>
      <c r="QZ167" s="3"/>
      <c r="RA167" s="3"/>
      <c r="RB167" s="3"/>
      <c r="RC167" s="3"/>
      <c r="RD167" s="3"/>
      <c r="RE167" s="3"/>
      <c r="RF167" s="3"/>
      <c r="RG167" s="3"/>
      <c r="RH167" s="3"/>
      <c r="RI167" s="3"/>
      <c r="RJ167" s="3"/>
      <c r="RK167" s="3"/>
      <c r="RL167" s="3"/>
      <c r="RM167" s="3"/>
      <c r="RN167" s="3"/>
      <c r="RO167" s="3"/>
      <c r="RP167" s="3"/>
      <c r="RQ167" s="3"/>
      <c r="RR167" s="3"/>
      <c r="RS167" s="3"/>
      <c r="RT167" s="3"/>
      <c r="RU167" s="3"/>
      <c r="RV167" s="3"/>
      <c r="RW167" s="3"/>
      <c r="RX167" s="3"/>
      <c r="RY167" s="3"/>
      <c r="RZ167" s="3"/>
      <c r="SA167" s="3"/>
      <c r="SB167" s="3"/>
      <c r="SC167" s="3"/>
      <c r="SD167" s="3"/>
      <c r="SE167" s="3"/>
      <c r="SF167" s="3"/>
      <c r="SG167" s="3"/>
      <c r="SH167" s="3"/>
      <c r="SI167" s="3"/>
      <c r="SJ167" s="3"/>
      <c r="SK167" s="3"/>
      <c r="SL167" s="3"/>
      <c r="SM167" s="3"/>
      <c r="SN167" s="3"/>
      <c r="SO167" s="3"/>
      <c r="SP167" s="3"/>
      <c r="SQ167" s="3"/>
      <c r="SR167" s="3"/>
      <c r="SS167" s="3"/>
      <c r="ST167" s="3"/>
      <c r="SU167" s="3"/>
      <c r="SV167" s="3"/>
      <c r="SW167" s="3"/>
      <c r="SX167" s="3"/>
      <c r="SY167" s="3"/>
      <c r="SZ167" s="3"/>
      <c r="TA167" s="3"/>
      <c r="TB167" s="3"/>
      <c r="TC167" s="3"/>
      <c r="TD167" s="3"/>
      <c r="TE167" s="3"/>
      <c r="TF167" s="3"/>
      <c r="TG167" s="3"/>
      <c r="TH167" s="3"/>
      <c r="TI167" s="3"/>
      <c r="TJ167" s="3"/>
      <c r="TK167" s="3"/>
      <c r="TL167" s="3"/>
      <c r="TM167" s="3"/>
      <c r="TN167" s="3"/>
      <c r="TO167" s="3"/>
      <c r="TP167" s="3"/>
      <c r="TQ167" s="3"/>
      <c r="TR167" s="3"/>
      <c r="TS167" s="3"/>
      <c r="TT167" s="3"/>
      <c r="TU167" s="3"/>
      <c r="TV167" s="3"/>
      <c r="TW167" s="3"/>
      <c r="TX167" s="3"/>
      <c r="TY167" s="3"/>
      <c r="TZ167" s="3"/>
      <c r="UA167" s="3"/>
      <c r="UB167" s="3"/>
      <c r="UC167" s="3"/>
      <c r="UD167" s="3"/>
      <c r="UE167" s="3"/>
      <c r="UF167" s="3"/>
      <c r="UG167" s="3"/>
      <c r="UH167" s="3"/>
      <c r="UI167" s="3"/>
      <c r="UJ167" s="3"/>
      <c r="UK167" s="3"/>
      <c r="UL167" s="3"/>
      <c r="UM167" s="3"/>
      <c r="UN167" s="3"/>
      <c r="UO167" s="3"/>
      <c r="UP167" s="3"/>
      <c r="UQ167" s="3"/>
      <c r="UR167" s="3"/>
      <c r="US167" s="3"/>
      <c r="UT167" s="3"/>
      <c r="UU167" s="3"/>
      <c r="UV167" s="3"/>
      <c r="UW167" s="3"/>
      <c r="UX167" s="3"/>
      <c r="UY167" s="3"/>
      <c r="UZ167" s="3"/>
      <c r="VA167" s="3"/>
      <c r="VB167" s="3"/>
      <c r="VC167" s="3"/>
      <c r="VD167" s="3"/>
      <c r="VE167" s="3"/>
      <c r="VF167" s="3"/>
      <c r="VG167" s="3"/>
      <c r="VH167" s="3"/>
      <c r="VI167" s="3"/>
      <c r="VJ167" s="3"/>
      <c r="VK167" s="3"/>
      <c r="VL167" s="3"/>
      <c r="VM167" s="3"/>
      <c r="VN167" s="3"/>
      <c r="VO167" s="3"/>
      <c r="VP167" s="3"/>
      <c r="VQ167" s="3"/>
      <c r="VR167" s="3"/>
      <c r="VS167" s="3"/>
      <c r="VT167" s="3"/>
      <c r="VU167" s="3"/>
      <c r="VV167" s="3"/>
      <c r="VW167" s="3"/>
      <c r="VX167" s="3"/>
      <c r="VY167" s="3"/>
      <c r="VZ167" s="3"/>
      <c r="WA167" s="3"/>
      <c r="WB167" s="3"/>
      <c r="WC167" s="3"/>
      <c r="WD167" s="3"/>
      <c r="WE167" s="3"/>
      <c r="WF167" s="3"/>
      <c r="WG167" s="3"/>
      <c r="WH167" s="3"/>
      <c r="WI167" s="3"/>
      <c r="WJ167" s="3"/>
      <c r="WK167" s="3"/>
      <c r="WL167" s="3"/>
      <c r="WM167" s="3"/>
      <c r="WN167" s="3"/>
      <c r="WO167" s="3"/>
      <c r="WP167" s="3"/>
      <c r="WQ167" s="3"/>
      <c r="WR167" s="3"/>
      <c r="WS167" s="3"/>
      <c r="WT167" s="3"/>
      <c r="WU167" s="3"/>
      <c r="WV167" s="3"/>
      <c r="WW167" s="3"/>
      <c r="WX167" s="3"/>
      <c r="WY167" s="3"/>
      <c r="WZ167" s="3"/>
      <c r="XA167" s="3"/>
      <c r="XB167" s="3"/>
      <c r="XC167" s="3"/>
      <c r="XD167" s="3"/>
      <c r="XE167" s="3"/>
      <c r="XF167" s="3"/>
      <c r="XG167" s="3"/>
      <c r="XH167" s="3"/>
      <c r="XI167" s="3"/>
      <c r="XJ167" s="3"/>
      <c r="XK167" s="3"/>
      <c r="XL167" s="3"/>
      <c r="XM167" s="3"/>
      <c r="XN167" s="3"/>
      <c r="XO167" s="3"/>
      <c r="XP167" s="3"/>
      <c r="XQ167" s="3"/>
      <c r="XR167" s="3"/>
      <c r="XS167" s="3"/>
      <c r="XT167" s="3"/>
      <c r="XU167" s="3"/>
      <c r="XV167" s="3"/>
      <c r="XW167" s="3"/>
      <c r="XX167" s="3"/>
      <c r="XY167" s="3"/>
      <c r="XZ167" s="3"/>
      <c r="YA167" s="3"/>
      <c r="YB167" s="3"/>
      <c r="YC167" s="3"/>
      <c r="YD167" s="3"/>
      <c r="YE167" s="3"/>
      <c r="YF167" s="3"/>
      <c r="YG167" s="3"/>
      <c r="YH167" s="3"/>
      <c r="YI167" s="3"/>
      <c r="YJ167" s="3"/>
      <c r="YK167" s="3"/>
      <c r="YL167" s="3"/>
      <c r="YM167" s="3"/>
      <c r="YN167" s="3"/>
      <c r="YO167" s="3"/>
      <c r="YP167" s="3"/>
      <c r="YQ167" s="3"/>
      <c r="YR167" s="3"/>
      <c r="YS167" s="3"/>
      <c r="YT167" s="3"/>
      <c r="YU167" s="3"/>
      <c r="YV167" s="3"/>
      <c r="YW167" s="3"/>
      <c r="YX167" s="3"/>
      <c r="YY167" s="3"/>
      <c r="YZ167" s="3"/>
      <c r="ZA167" s="3"/>
      <c r="ZB167" s="3"/>
      <c r="ZC167" s="3"/>
    </row>
    <row r="168" spans="1:679" s="2" customFormat="1" x14ac:dyDescent="0.45">
      <c r="A168" s="3" t="s">
        <v>11</v>
      </c>
      <c r="B168" s="4">
        <v>35304</v>
      </c>
      <c r="C168" s="7" t="s">
        <v>25</v>
      </c>
      <c r="D168" s="6" t="s">
        <v>183</v>
      </c>
      <c r="E168" s="3"/>
      <c r="F168" s="3">
        <v>2</v>
      </c>
      <c r="L168" s="3"/>
      <c r="M168" s="3"/>
      <c r="N168" s="48"/>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c r="DI168" s="3"/>
      <c r="DJ168" s="3"/>
      <c r="DK168" s="3"/>
      <c r="DL168" s="3"/>
      <c r="DM168" s="3"/>
      <c r="DN168" s="3"/>
      <c r="DO168" s="3"/>
      <c r="DP168" s="3"/>
      <c r="DQ168" s="3"/>
      <c r="DR168" s="3"/>
      <c r="DS168" s="3"/>
      <c r="DT168" s="3"/>
      <c r="DU168" s="3"/>
      <c r="DV168" s="3"/>
      <c r="DW168" s="3"/>
      <c r="DX168" s="3"/>
      <c r="DY168" s="3"/>
      <c r="DZ168" s="3"/>
      <c r="EA168" s="3"/>
      <c r="EB168" s="3"/>
      <c r="EC168" s="3"/>
      <c r="ED168" s="3"/>
      <c r="EE168" s="3"/>
      <c r="EF168" s="3"/>
      <c r="EG168" s="3"/>
      <c r="EH168" s="3"/>
      <c r="EI168" s="3"/>
      <c r="EJ168" s="3"/>
      <c r="EK168" s="3"/>
      <c r="EL168" s="3"/>
      <c r="EM168" s="3"/>
      <c r="EN168" s="3"/>
      <c r="EO168" s="3"/>
      <c r="EP168" s="3"/>
      <c r="EQ168" s="3"/>
      <c r="ER168" s="3"/>
      <c r="ES168" s="3"/>
      <c r="ET168" s="3"/>
      <c r="EU168" s="3"/>
      <c r="EV168" s="3"/>
      <c r="EW168" s="3"/>
      <c r="EX168" s="3"/>
      <c r="EY168" s="3"/>
      <c r="EZ168" s="3"/>
      <c r="FA168" s="3"/>
      <c r="FB168" s="3"/>
      <c r="FC168" s="3"/>
      <c r="FD168" s="3"/>
      <c r="FE168" s="3"/>
      <c r="FF168" s="3"/>
      <c r="FG168" s="3"/>
      <c r="FH168" s="3"/>
      <c r="FI168" s="3"/>
      <c r="FJ168" s="3"/>
      <c r="FK168" s="3"/>
      <c r="FL168" s="3"/>
      <c r="FM168" s="3"/>
      <c r="FN168" s="3"/>
      <c r="FO168" s="3"/>
      <c r="FP168" s="3"/>
      <c r="FQ168" s="3"/>
      <c r="FR168" s="3"/>
      <c r="FS168" s="3"/>
      <c r="FT168" s="3"/>
      <c r="FU168" s="3"/>
      <c r="FV168" s="3"/>
      <c r="FW168" s="3"/>
      <c r="FX168" s="3"/>
      <c r="FY168" s="3"/>
      <c r="FZ168" s="3"/>
      <c r="GA168" s="3"/>
      <c r="GB168" s="3"/>
      <c r="GC168" s="3"/>
      <c r="GD168" s="3"/>
      <c r="GE168" s="3"/>
      <c r="GF168" s="3"/>
      <c r="GG168" s="3"/>
      <c r="GH168" s="3"/>
      <c r="GI168" s="3"/>
      <c r="GJ168" s="3"/>
      <c r="GK168" s="3"/>
      <c r="GL168" s="3"/>
      <c r="GM168" s="3"/>
      <c r="GN168" s="3"/>
      <c r="GO168" s="3"/>
      <c r="GP168" s="3"/>
      <c r="GQ168" s="3"/>
      <c r="GR168" s="3"/>
      <c r="GS168" s="3"/>
      <c r="GT168" s="3"/>
      <c r="GU168" s="3"/>
      <c r="GV168" s="3"/>
      <c r="GW168" s="3"/>
      <c r="GX168" s="3"/>
      <c r="GY168" s="3"/>
      <c r="GZ168" s="3"/>
      <c r="HA168" s="3"/>
      <c r="HB168" s="3"/>
      <c r="HC168" s="3"/>
      <c r="HD168" s="3"/>
      <c r="HE168" s="3"/>
      <c r="HF168" s="3"/>
      <c r="HG168" s="3"/>
      <c r="HH168" s="3"/>
      <c r="HI168" s="3"/>
      <c r="HJ168" s="3"/>
      <c r="HK168" s="3"/>
      <c r="HL168" s="3"/>
      <c r="HM168" s="3"/>
      <c r="HN168" s="3"/>
      <c r="HO168" s="3"/>
      <c r="HP168" s="3"/>
      <c r="HQ168" s="3"/>
      <c r="HR168" s="3"/>
      <c r="HS168" s="3"/>
      <c r="HT168" s="3"/>
      <c r="HU168" s="3"/>
      <c r="HV168" s="3"/>
      <c r="HW168" s="3"/>
      <c r="HX168" s="3"/>
      <c r="HY168" s="3"/>
      <c r="HZ168" s="3"/>
      <c r="IA168" s="3"/>
      <c r="IB168" s="3"/>
      <c r="IC168" s="3"/>
      <c r="ID168" s="3"/>
      <c r="IE168" s="3"/>
      <c r="IF168" s="3"/>
      <c r="IG168" s="3"/>
      <c r="IH168" s="3"/>
      <c r="II168" s="3"/>
      <c r="IJ168" s="3"/>
      <c r="IK168" s="3"/>
      <c r="IL168" s="3"/>
      <c r="IM168" s="3"/>
      <c r="IN168" s="3"/>
      <c r="IO168" s="3"/>
      <c r="IP168" s="3"/>
      <c r="IQ168" s="3"/>
      <c r="IR168" s="3"/>
      <c r="IS168" s="3"/>
      <c r="IT168" s="3"/>
      <c r="IU168" s="3"/>
      <c r="IV168" s="3"/>
      <c r="IW168" s="3"/>
      <c r="IX168" s="3"/>
      <c r="IY168" s="3"/>
      <c r="IZ168" s="3"/>
      <c r="JA168" s="3"/>
      <c r="JB168" s="3"/>
      <c r="JC168" s="3"/>
      <c r="JD168" s="3"/>
      <c r="JE168" s="3"/>
      <c r="JF168" s="3"/>
      <c r="JG168" s="3"/>
      <c r="JH168" s="3"/>
      <c r="JI168" s="3"/>
      <c r="JJ168" s="3"/>
      <c r="JK168" s="3"/>
      <c r="JL168" s="3"/>
      <c r="JM168" s="3"/>
      <c r="JN168" s="3"/>
      <c r="JO168" s="3"/>
      <c r="JP168" s="3"/>
      <c r="JQ168" s="3"/>
      <c r="JR168" s="3"/>
      <c r="JS168" s="3"/>
      <c r="JT168" s="3"/>
      <c r="JU168" s="3"/>
      <c r="JV168" s="3"/>
      <c r="JW168" s="3"/>
      <c r="JX168" s="3"/>
      <c r="JY168" s="3"/>
      <c r="JZ168" s="3"/>
      <c r="KA168" s="3"/>
      <c r="KB168" s="3"/>
      <c r="KC168" s="3"/>
      <c r="KD168" s="3"/>
      <c r="KE168" s="3"/>
      <c r="KF168" s="3"/>
      <c r="KG168" s="3"/>
      <c r="KH168" s="3"/>
      <c r="KI168" s="3"/>
      <c r="KJ168" s="3"/>
      <c r="KK168" s="3"/>
      <c r="KL168" s="3"/>
      <c r="KM168" s="3"/>
      <c r="KN168" s="3"/>
      <c r="KO168" s="3"/>
      <c r="KP168" s="3"/>
      <c r="KQ168" s="3"/>
      <c r="KR168" s="3"/>
      <c r="KS168" s="3"/>
      <c r="KT168" s="3"/>
      <c r="KU168" s="3"/>
      <c r="KV168" s="3"/>
      <c r="KW168" s="3"/>
      <c r="KX168" s="3"/>
      <c r="KY168" s="3"/>
      <c r="KZ168" s="3"/>
      <c r="LA168" s="3"/>
      <c r="LB168" s="3"/>
      <c r="LC168" s="3"/>
      <c r="LD168" s="3"/>
      <c r="LE168" s="3"/>
      <c r="LF168" s="3"/>
      <c r="LG168" s="3"/>
      <c r="LH168" s="3"/>
      <c r="LI168" s="3"/>
      <c r="LJ168" s="3"/>
      <c r="LK168" s="3"/>
      <c r="LL168" s="3"/>
      <c r="LM168" s="3"/>
      <c r="LN168" s="3"/>
      <c r="LO168" s="3"/>
      <c r="LP168" s="3"/>
      <c r="LQ168" s="3"/>
      <c r="LR168" s="3"/>
      <c r="LS168" s="3"/>
      <c r="LT168" s="3"/>
      <c r="LU168" s="3"/>
      <c r="LV168" s="3"/>
      <c r="LW168" s="3"/>
      <c r="LX168" s="3"/>
      <c r="LY168" s="3"/>
      <c r="LZ168" s="3"/>
      <c r="MA168" s="3"/>
      <c r="MB168" s="3"/>
      <c r="MC168" s="3"/>
      <c r="MD168" s="3"/>
      <c r="ME168" s="3"/>
      <c r="MF168" s="3"/>
      <c r="MG168" s="3"/>
      <c r="MH168" s="3"/>
      <c r="MI168" s="3"/>
      <c r="MJ168" s="3"/>
      <c r="MK168" s="3"/>
      <c r="ML168" s="3"/>
      <c r="MM168" s="3"/>
      <c r="MN168" s="3"/>
      <c r="MO168" s="3"/>
      <c r="MP168" s="3"/>
      <c r="MQ168" s="3"/>
      <c r="MR168" s="3"/>
      <c r="MS168" s="3"/>
      <c r="MT168" s="3"/>
      <c r="MU168" s="3"/>
      <c r="MV168" s="3"/>
      <c r="MW168" s="3"/>
      <c r="MX168" s="3"/>
      <c r="MY168" s="3"/>
      <c r="MZ168" s="3"/>
      <c r="NA168" s="3"/>
      <c r="NB168" s="3"/>
      <c r="NC168" s="3"/>
      <c r="ND168" s="3"/>
      <c r="NE168" s="3"/>
      <c r="NF168" s="3"/>
      <c r="NG168" s="3"/>
      <c r="NH168" s="3"/>
      <c r="NI168" s="3"/>
      <c r="NJ168" s="3"/>
      <c r="NK168" s="3"/>
      <c r="NL168" s="3"/>
      <c r="NM168" s="3"/>
      <c r="NN168" s="3"/>
      <c r="NO168" s="3"/>
      <c r="NP168" s="3"/>
      <c r="NQ168" s="3"/>
      <c r="NR168" s="3"/>
      <c r="NS168" s="3"/>
      <c r="NT168" s="3"/>
      <c r="NU168" s="3"/>
      <c r="NV168" s="3"/>
      <c r="NW168" s="3"/>
      <c r="NX168" s="3"/>
      <c r="NY168" s="3"/>
      <c r="NZ168" s="3"/>
      <c r="OA168" s="3"/>
      <c r="OB168" s="3"/>
      <c r="OC168" s="3"/>
      <c r="OD168" s="3"/>
      <c r="OE168" s="3"/>
      <c r="OF168" s="3"/>
      <c r="OG168" s="3"/>
      <c r="OH168" s="3"/>
      <c r="OI168" s="3"/>
      <c r="OJ168" s="3"/>
      <c r="OK168" s="3"/>
      <c r="OL168" s="3"/>
      <c r="OM168" s="3"/>
      <c r="ON168" s="3"/>
      <c r="OO168" s="3"/>
      <c r="OP168" s="3"/>
      <c r="OQ168" s="3"/>
      <c r="OR168" s="3"/>
      <c r="OS168" s="3"/>
      <c r="OT168" s="3"/>
      <c r="OU168" s="3"/>
      <c r="OV168" s="3"/>
      <c r="OW168" s="3"/>
      <c r="OX168" s="3"/>
      <c r="OY168" s="3"/>
      <c r="OZ168" s="3"/>
      <c r="PA168" s="3"/>
      <c r="PB168" s="3"/>
      <c r="PC168" s="3"/>
      <c r="PD168" s="3"/>
      <c r="PE168" s="3"/>
      <c r="PF168" s="3"/>
      <c r="PG168" s="3"/>
      <c r="PH168" s="3"/>
      <c r="PI168" s="3"/>
      <c r="PJ168" s="3"/>
      <c r="PK168" s="3"/>
      <c r="PL168" s="3"/>
      <c r="PM168" s="3"/>
      <c r="PN168" s="3"/>
      <c r="PO168" s="3"/>
      <c r="PP168" s="3"/>
      <c r="PQ168" s="3"/>
      <c r="PR168" s="3"/>
      <c r="PS168" s="3"/>
      <c r="PT168" s="3"/>
      <c r="PU168" s="3"/>
      <c r="PV168" s="3"/>
      <c r="PW168" s="3"/>
      <c r="PX168" s="3"/>
      <c r="PY168" s="3"/>
      <c r="PZ168" s="3"/>
      <c r="QA168" s="3"/>
      <c r="QB168" s="3"/>
      <c r="QC168" s="3"/>
      <c r="QD168" s="3"/>
      <c r="QE168" s="3"/>
      <c r="QF168" s="3"/>
      <c r="QG168" s="3"/>
      <c r="QH168" s="3"/>
      <c r="QI168" s="3"/>
      <c r="QJ168" s="3"/>
      <c r="QK168" s="3"/>
      <c r="QL168" s="3"/>
      <c r="QM168" s="3"/>
      <c r="QN168" s="3"/>
      <c r="QO168" s="3"/>
      <c r="QP168" s="3"/>
      <c r="QQ168" s="3"/>
      <c r="QR168" s="3"/>
      <c r="QS168" s="3"/>
      <c r="QT168" s="3"/>
      <c r="QU168" s="3"/>
      <c r="QV168" s="3"/>
      <c r="QW168" s="3"/>
      <c r="QX168" s="3"/>
      <c r="QY168" s="3"/>
      <c r="QZ168" s="3"/>
      <c r="RA168" s="3"/>
      <c r="RB168" s="3"/>
      <c r="RC168" s="3"/>
      <c r="RD168" s="3"/>
      <c r="RE168" s="3"/>
      <c r="RF168" s="3"/>
      <c r="RG168" s="3"/>
      <c r="RH168" s="3"/>
      <c r="RI168" s="3"/>
      <c r="RJ168" s="3"/>
      <c r="RK168" s="3"/>
      <c r="RL168" s="3"/>
      <c r="RM168" s="3"/>
      <c r="RN168" s="3"/>
      <c r="RO168" s="3"/>
      <c r="RP168" s="3"/>
      <c r="RQ168" s="3"/>
      <c r="RR168" s="3"/>
      <c r="RS168" s="3"/>
      <c r="RT168" s="3"/>
      <c r="RU168" s="3"/>
      <c r="RV168" s="3"/>
      <c r="RW168" s="3"/>
      <c r="RX168" s="3"/>
      <c r="RY168" s="3"/>
      <c r="RZ168" s="3"/>
      <c r="SA168" s="3"/>
      <c r="SB168" s="3"/>
      <c r="SC168" s="3"/>
      <c r="SD168" s="3"/>
      <c r="SE168" s="3"/>
      <c r="SF168" s="3"/>
      <c r="SG168" s="3"/>
      <c r="SH168" s="3"/>
      <c r="SI168" s="3"/>
      <c r="SJ168" s="3"/>
      <c r="SK168" s="3"/>
      <c r="SL168" s="3"/>
      <c r="SM168" s="3"/>
      <c r="SN168" s="3"/>
      <c r="SO168" s="3"/>
      <c r="SP168" s="3"/>
      <c r="SQ168" s="3"/>
      <c r="SR168" s="3"/>
      <c r="SS168" s="3"/>
      <c r="ST168" s="3"/>
      <c r="SU168" s="3"/>
      <c r="SV168" s="3"/>
      <c r="SW168" s="3"/>
      <c r="SX168" s="3"/>
      <c r="SY168" s="3"/>
      <c r="SZ168" s="3"/>
      <c r="TA168" s="3"/>
      <c r="TB168" s="3"/>
      <c r="TC168" s="3"/>
      <c r="TD168" s="3"/>
      <c r="TE168" s="3"/>
      <c r="TF168" s="3"/>
      <c r="TG168" s="3"/>
      <c r="TH168" s="3"/>
      <c r="TI168" s="3"/>
      <c r="TJ168" s="3"/>
      <c r="TK168" s="3"/>
      <c r="TL168" s="3"/>
      <c r="TM168" s="3"/>
      <c r="TN168" s="3"/>
      <c r="TO168" s="3"/>
      <c r="TP168" s="3"/>
      <c r="TQ168" s="3"/>
      <c r="TR168" s="3"/>
      <c r="TS168" s="3"/>
      <c r="TT168" s="3"/>
      <c r="TU168" s="3"/>
      <c r="TV168" s="3"/>
      <c r="TW168" s="3"/>
      <c r="TX168" s="3"/>
      <c r="TY168" s="3"/>
      <c r="TZ168" s="3"/>
      <c r="UA168" s="3"/>
      <c r="UB168" s="3"/>
      <c r="UC168" s="3"/>
      <c r="UD168" s="3"/>
      <c r="UE168" s="3"/>
      <c r="UF168" s="3"/>
      <c r="UG168" s="3"/>
      <c r="UH168" s="3"/>
      <c r="UI168" s="3"/>
      <c r="UJ168" s="3"/>
      <c r="UK168" s="3"/>
      <c r="UL168" s="3"/>
      <c r="UM168" s="3"/>
      <c r="UN168" s="3"/>
      <c r="UO168" s="3"/>
      <c r="UP168" s="3"/>
      <c r="UQ168" s="3"/>
      <c r="UR168" s="3"/>
      <c r="US168" s="3"/>
      <c r="UT168" s="3"/>
      <c r="UU168" s="3"/>
      <c r="UV168" s="3"/>
      <c r="UW168" s="3"/>
      <c r="UX168" s="3"/>
      <c r="UY168" s="3"/>
      <c r="UZ168" s="3"/>
      <c r="VA168" s="3"/>
      <c r="VB168" s="3"/>
      <c r="VC168" s="3"/>
      <c r="VD168" s="3"/>
      <c r="VE168" s="3"/>
      <c r="VF168" s="3"/>
      <c r="VG168" s="3"/>
      <c r="VH168" s="3"/>
      <c r="VI168" s="3"/>
      <c r="VJ168" s="3"/>
      <c r="VK168" s="3"/>
      <c r="VL168" s="3"/>
      <c r="VM168" s="3"/>
      <c r="VN168" s="3"/>
      <c r="VO168" s="3"/>
      <c r="VP168" s="3"/>
      <c r="VQ168" s="3"/>
      <c r="VR168" s="3"/>
      <c r="VS168" s="3"/>
      <c r="VT168" s="3"/>
      <c r="VU168" s="3"/>
      <c r="VV168" s="3"/>
      <c r="VW168" s="3"/>
      <c r="VX168" s="3"/>
      <c r="VY168" s="3"/>
      <c r="VZ168" s="3"/>
      <c r="WA168" s="3"/>
      <c r="WB168" s="3"/>
      <c r="WC168" s="3"/>
      <c r="WD168" s="3"/>
      <c r="WE168" s="3"/>
      <c r="WF168" s="3"/>
      <c r="WG168" s="3"/>
      <c r="WH168" s="3"/>
      <c r="WI168" s="3"/>
      <c r="WJ168" s="3"/>
      <c r="WK168" s="3"/>
      <c r="WL168" s="3"/>
      <c r="WM168" s="3"/>
      <c r="WN168" s="3"/>
      <c r="WO168" s="3"/>
      <c r="WP168" s="3"/>
      <c r="WQ168" s="3"/>
      <c r="WR168" s="3"/>
      <c r="WS168" s="3"/>
      <c r="WT168" s="3"/>
      <c r="WU168" s="3"/>
      <c r="WV168" s="3"/>
      <c r="WW168" s="3"/>
      <c r="WX168" s="3"/>
      <c r="WY168" s="3"/>
      <c r="WZ168" s="3"/>
      <c r="XA168" s="3"/>
      <c r="XB168" s="3"/>
      <c r="XC168" s="3"/>
      <c r="XD168" s="3"/>
      <c r="XE168" s="3"/>
      <c r="XF168" s="3"/>
      <c r="XG168" s="3"/>
      <c r="XH168" s="3"/>
      <c r="XI168" s="3"/>
      <c r="XJ168" s="3"/>
      <c r="XK168" s="3"/>
      <c r="XL168" s="3"/>
      <c r="XM168" s="3"/>
      <c r="XN168" s="3"/>
      <c r="XO168" s="3"/>
      <c r="XP168" s="3"/>
      <c r="XQ168" s="3"/>
      <c r="XR168" s="3"/>
      <c r="XS168" s="3"/>
      <c r="XT168" s="3"/>
      <c r="XU168" s="3"/>
      <c r="XV168" s="3"/>
      <c r="XW168" s="3"/>
      <c r="XX168" s="3"/>
      <c r="XY168" s="3"/>
      <c r="XZ168" s="3"/>
      <c r="YA168" s="3"/>
      <c r="YB168" s="3"/>
      <c r="YC168" s="3"/>
      <c r="YD168" s="3"/>
      <c r="YE168" s="3"/>
      <c r="YF168" s="3"/>
      <c r="YG168" s="3"/>
      <c r="YH168" s="3"/>
      <c r="YI168" s="3"/>
      <c r="YJ168" s="3"/>
      <c r="YK168" s="3"/>
      <c r="YL168" s="3"/>
      <c r="YM168" s="3"/>
      <c r="YN168" s="3"/>
      <c r="YO168" s="3"/>
      <c r="YP168" s="3"/>
      <c r="YQ168" s="3"/>
      <c r="YR168" s="3"/>
      <c r="YS168" s="3"/>
      <c r="YT168" s="3"/>
      <c r="YU168" s="3"/>
      <c r="YV168" s="3"/>
      <c r="YW168" s="3"/>
      <c r="YX168" s="3"/>
      <c r="YY168" s="3"/>
      <c r="YZ168" s="3"/>
      <c r="ZA168" s="3"/>
      <c r="ZB168" s="3"/>
      <c r="ZC168" s="3"/>
    </row>
    <row r="169" spans="1:679" s="2" customFormat="1" x14ac:dyDescent="0.45">
      <c r="A169" s="3" t="s">
        <v>11</v>
      </c>
      <c r="B169" s="4">
        <v>35324</v>
      </c>
      <c r="C169" s="7" t="s">
        <v>21</v>
      </c>
      <c r="D169" s="6" t="s">
        <v>184</v>
      </c>
      <c r="E169" s="3"/>
      <c r="F169" s="3">
        <v>4</v>
      </c>
      <c r="L169" s="3"/>
      <c r="M169" s="3"/>
      <c r="N169" s="48"/>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c r="DE169" s="3"/>
      <c r="DF169" s="3"/>
      <c r="DG169" s="3"/>
      <c r="DH169" s="3"/>
      <c r="DI169" s="3"/>
      <c r="DJ169" s="3"/>
      <c r="DK169" s="3"/>
      <c r="DL169" s="3"/>
      <c r="DM169" s="3"/>
      <c r="DN169" s="3"/>
      <c r="DO169" s="3"/>
      <c r="DP169" s="3"/>
      <c r="DQ169" s="3"/>
      <c r="DR169" s="3"/>
      <c r="DS169" s="3"/>
      <c r="DT169" s="3"/>
      <c r="DU169" s="3"/>
      <c r="DV169" s="3"/>
      <c r="DW169" s="3"/>
      <c r="DX169" s="3"/>
      <c r="DY169" s="3"/>
      <c r="DZ169" s="3"/>
      <c r="EA169" s="3"/>
      <c r="EB169" s="3"/>
      <c r="EC169" s="3"/>
      <c r="ED169" s="3"/>
      <c r="EE169" s="3"/>
      <c r="EF169" s="3"/>
      <c r="EG169" s="3"/>
      <c r="EH169" s="3"/>
      <c r="EI169" s="3"/>
      <c r="EJ169" s="3"/>
      <c r="EK169" s="3"/>
      <c r="EL169" s="3"/>
      <c r="EM169" s="3"/>
      <c r="EN169" s="3"/>
      <c r="EO169" s="3"/>
      <c r="EP169" s="3"/>
      <c r="EQ169" s="3"/>
      <c r="ER169" s="3"/>
      <c r="ES169" s="3"/>
      <c r="ET169" s="3"/>
      <c r="EU169" s="3"/>
      <c r="EV169" s="3"/>
      <c r="EW169" s="3"/>
      <c r="EX169" s="3"/>
      <c r="EY169" s="3"/>
      <c r="EZ169" s="3"/>
      <c r="FA169" s="3"/>
      <c r="FB169" s="3"/>
      <c r="FC169" s="3"/>
      <c r="FD169" s="3"/>
      <c r="FE169" s="3"/>
      <c r="FF169" s="3"/>
      <c r="FG169" s="3"/>
      <c r="FH169" s="3"/>
      <c r="FI169" s="3"/>
      <c r="FJ169" s="3"/>
      <c r="FK169" s="3"/>
      <c r="FL169" s="3"/>
      <c r="FM169" s="3"/>
      <c r="FN169" s="3"/>
      <c r="FO169" s="3"/>
      <c r="FP169" s="3"/>
      <c r="FQ169" s="3"/>
      <c r="FR169" s="3"/>
      <c r="FS169" s="3"/>
      <c r="FT169" s="3"/>
      <c r="FU169" s="3"/>
      <c r="FV169" s="3"/>
      <c r="FW169" s="3"/>
      <c r="FX169" s="3"/>
      <c r="FY169" s="3"/>
      <c r="FZ169" s="3"/>
      <c r="GA169" s="3"/>
      <c r="GB169" s="3"/>
      <c r="GC169" s="3"/>
      <c r="GD169" s="3"/>
      <c r="GE169" s="3"/>
      <c r="GF169" s="3"/>
      <c r="GG169" s="3"/>
      <c r="GH169" s="3"/>
      <c r="GI169" s="3"/>
      <c r="GJ169" s="3"/>
      <c r="GK169" s="3"/>
      <c r="GL169" s="3"/>
      <c r="GM169" s="3"/>
      <c r="GN169" s="3"/>
      <c r="GO169" s="3"/>
      <c r="GP169" s="3"/>
      <c r="GQ169" s="3"/>
      <c r="GR169" s="3"/>
      <c r="GS169" s="3"/>
      <c r="GT169" s="3"/>
      <c r="GU169" s="3"/>
      <c r="GV169" s="3"/>
      <c r="GW169" s="3"/>
      <c r="GX169" s="3"/>
      <c r="GY169" s="3"/>
      <c r="GZ169" s="3"/>
      <c r="HA169" s="3"/>
      <c r="HB169" s="3"/>
      <c r="HC169" s="3"/>
      <c r="HD169" s="3"/>
      <c r="HE169" s="3"/>
      <c r="HF169" s="3"/>
      <c r="HG169" s="3"/>
      <c r="HH169" s="3"/>
      <c r="HI169" s="3"/>
      <c r="HJ169" s="3"/>
      <c r="HK169" s="3"/>
      <c r="HL169" s="3"/>
      <c r="HM169" s="3"/>
      <c r="HN169" s="3"/>
      <c r="HO169" s="3"/>
      <c r="HP169" s="3"/>
      <c r="HQ169" s="3"/>
      <c r="HR169" s="3"/>
      <c r="HS169" s="3"/>
      <c r="HT169" s="3"/>
      <c r="HU169" s="3"/>
      <c r="HV169" s="3"/>
      <c r="HW169" s="3"/>
      <c r="HX169" s="3"/>
      <c r="HY169" s="3"/>
      <c r="HZ169" s="3"/>
      <c r="IA169" s="3"/>
      <c r="IB169" s="3"/>
      <c r="IC169" s="3"/>
      <c r="ID169" s="3"/>
      <c r="IE169" s="3"/>
      <c r="IF169" s="3"/>
      <c r="IG169" s="3"/>
      <c r="IH169" s="3"/>
      <c r="II169" s="3"/>
      <c r="IJ169" s="3"/>
      <c r="IK169" s="3"/>
      <c r="IL169" s="3"/>
      <c r="IM169" s="3"/>
      <c r="IN169" s="3"/>
      <c r="IO169" s="3"/>
      <c r="IP169" s="3"/>
      <c r="IQ169" s="3"/>
      <c r="IR169" s="3"/>
      <c r="IS169" s="3"/>
      <c r="IT169" s="3"/>
      <c r="IU169" s="3"/>
      <c r="IV169" s="3"/>
      <c r="IW169" s="3"/>
      <c r="IX169" s="3"/>
      <c r="IY169" s="3"/>
      <c r="IZ169" s="3"/>
      <c r="JA169" s="3"/>
      <c r="JB169" s="3"/>
      <c r="JC169" s="3"/>
      <c r="JD169" s="3"/>
      <c r="JE169" s="3"/>
      <c r="JF169" s="3"/>
      <c r="JG169" s="3"/>
      <c r="JH169" s="3"/>
      <c r="JI169" s="3"/>
      <c r="JJ169" s="3"/>
      <c r="JK169" s="3"/>
      <c r="JL169" s="3"/>
      <c r="JM169" s="3"/>
      <c r="JN169" s="3"/>
      <c r="JO169" s="3"/>
      <c r="JP169" s="3"/>
      <c r="JQ169" s="3"/>
      <c r="JR169" s="3"/>
      <c r="JS169" s="3"/>
      <c r="JT169" s="3"/>
      <c r="JU169" s="3"/>
      <c r="JV169" s="3"/>
      <c r="JW169" s="3"/>
      <c r="JX169" s="3"/>
      <c r="JY169" s="3"/>
      <c r="JZ169" s="3"/>
      <c r="KA169" s="3"/>
      <c r="KB169" s="3"/>
      <c r="KC169" s="3"/>
      <c r="KD169" s="3"/>
      <c r="KE169" s="3"/>
      <c r="KF169" s="3"/>
      <c r="KG169" s="3"/>
      <c r="KH169" s="3"/>
      <c r="KI169" s="3"/>
      <c r="KJ169" s="3"/>
      <c r="KK169" s="3"/>
      <c r="KL169" s="3"/>
      <c r="KM169" s="3"/>
      <c r="KN169" s="3"/>
      <c r="KO169" s="3"/>
      <c r="KP169" s="3"/>
      <c r="KQ169" s="3"/>
      <c r="KR169" s="3"/>
      <c r="KS169" s="3"/>
      <c r="KT169" s="3"/>
      <c r="KU169" s="3"/>
      <c r="KV169" s="3"/>
      <c r="KW169" s="3"/>
      <c r="KX169" s="3"/>
      <c r="KY169" s="3"/>
      <c r="KZ169" s="3"/>
      <c r="LA169" s="3"/>
      <c r="LB169" s="3"/>
      <c r="LC169" s="3"/>
      <c r="LD169" s="3"/>
      <c r="LE169" s="3"/>
      <c r="LF169" s="3"/>
      <c r="LG169" s="3"/>
      <c r="LH169" s="3"/>
      <c r="LI169" s="3"/>
      <c r="LJ169" s="3"/>
      <c r="LK169" s="3"/>
      <c r="LL169" s="3"/>
      <c r="LM169" s="3"/>
      <c r="LN169" s="3"/>
      <c r="LO169" s="3"/>
      <c r="LP169" s="3"/>
      <c r="LQ169" s="3"/>
      <c r="LR169" s="3"/>
      <c r="LS169" s="3"/>
      <c r="LT169" s="3"/>
      <c r="LU169" s="3"/>
      <c r="LV169" s="3"/>
      <c r="LW169" s="3"/>
      <c r="LX169" s="3"/>
      <c r="LY169" s="3"/>
      <c r="LZ169" s="3"/>
      <c r="MA169" s="3"/>
      <c r="MB169" s="3"/>
      <c r="MC169" s="3"/>
      <c r="MD169" s="3"/>
      <c r="ME169" s="3"/>
      <c r="MF169" s="3"/>
      <c r="MG169" s="3"/>
      <c r="MH169" s="3"/>
      <c r="MI169" s="3"/>
      <c r="MJ169" s="3"/>
      <c r="MK169" s="3"/>
      <c r="ML169" s="3"/>
      <c r="MM169" s="3"/>
      <c r="MN169" s="3"/>
      <c r="MO169" s="3"/>
      <c r="MP169" s="3"/>
      <c r="MQ169" s="3"/>
      <c r="MR169" s="3"/>
      <c r="MS169" s="3"/>
      <c r="MT169" s="3"/>
      <c r="MU169" s="3"/>
      <c r="MV169" s="3"/>
      <c r="MW169" s="3"/>
      <c r="MX169" s="3"/>
      <c r="MY169" s="3"/>
      <c r="MZ169" s="3"/>
      <c r="NA169" s="3"/>
      <c r="NB169" s="3"/>
      <c r="NC169" s="3"/>
      <c r="ND169" s="3"/>
      <c r="NE169" s="3"/>
      <c r="NF169" s="3"/>
      <c r="NG169" s="3"/>
      <c r="NH169" s="3"/>
      <c r="NI169" s="3"/>
      <c r="NJ169" s="3"/>
      <c r="NK169" s="3"/>
      <c r="NL169" s="3"/>
      <c r="NM169" s="3"/>
      <c r="NN169" s="3"/>
      <c r="NO169" s="3"/>
      <c r="NP169" s="3"/>
      <c r="NQ169" s="3"/>
      <c r="NR169" s="3"/>
      <c r="NS169" s="3"/>
      <c r="NT169" s="3"/>
      <c r="NU169" s="3"/>
      <c r="NV169" s="3"/>
      <c r="NW169" s="3"/>
      <c r="NX169" s="3"/>
      <c r="NY169" s="3"/>
      <c r="NZ169" s="3"/>
      <c r="OA169" s="3"/>
      <c r="OB169" s="3"/>
      <c r="OC169" s="3"/>
      <c r="OD169" s="3"/>
      <c r="OE169" s="3"/>
      <c r="OF169" s="3"/>
      <c r="OG169" s="3"/>
      <c r="OH169" s="3"/>
      <c r="OI169" s="3"/>
      <c r="OJ169" s="3"/>
      <c r="OK169" s="3"/>
      <c r="OL169" s="3"/>
      <c r="OM169" s="3"/>
      <c r="ON169" s="3"/>
      <c r="OO169" s="3"/>
      <c r="OP169" s="3"/>
      <c r="OQ169" s="3"/>
      <c r="OR169" s="3"/>
      <c r="OS169" s="3"/>
      <c r="OT169" s="3"/>
      <c r="OU169" s="3"/>
      <c r="OV169" s="3"/>
      <c r="OW169" s="3"/>
      <c r="OX169" s="3"/>
      <c r="OY169" s="3"/>
      <c r="OZ169" s="3"/>
      <c r="PA169" s="3"/>
      <c r="PB169" s="3"/>
      <c r="PC169" s="3"/>
      <c r="PD169" s="3"/>
      <c r="PE169" s="3"/>
      <c r="PF169" s="3"/>
      <c r="PG169" s="3"/>
      <c r="PH169" s="3"/>
      <c r="PI169" s="3"/>
      <c r="PJ169" s="3"/>
      <c r="PK169" s="3"/>
      <c r="PL169" s="3"/>
      <c r="PM169" s="3"/>
      <c r="PN169" s="3"/>
      <c r="PO169" s="3"/>
      <c r="PP169" s="3"/>
      <c r="PQ169" s="3"/>
      <c r="PR169" s="3"/>
      <c r="PS169" s="3"/>
      <c r="PT169" s="3"/>
      <c r="PU169" s="3"/>
      <c r="PV169" s="3"/>
      <c r="PW169" s="3"/>
      <c r="PX169" s="3"/>
      <c r="PY169" s="3"/>
      <c r="PZ169" s="3"/>
      <c r="QA169" s="3"/>
      <c r="QB169" s="3"/>
      <c r="QC169" s="3"/>
      <c r="QD169" s="3"/>
      <c r="QE169" s="3"/>
      <c r="QF169" s="3"/>
      <c r="QG169" s="3"/>
      <c r="QH169" s="3"/>
      <c r="QI169" s="3"/>
      <c r="QJ169" s="3"/>
      <c r="QK169" s="3"/>
      <c r="QL169" s="3"/>
      <c r="QM169" s="3"/>
      <c r="QN169" s="3"/>
      <c r="QO169" s="3"/>
      <c r="QP169" s="3"/>
      <c r="QQ169" s="3"/>
      <c r="QR169" s="3"/>
      <c r="QS169" s="3"/>
      <c r="QT169" s="3"/>
      <c r="QU169" s="3"/>
      <c r="QV169" s="3"/>
      <c r="QW169" s="3"/>
      <c r="QX169" s="3"/>
      <c r="QY169" s="3"/>
      <c r="QZ169" s="3"/>
      <c r="RA169" s="3"/>
      <c r="RB169" s="3"/>
      <c r="RC169" s="3"/>
      <c r="RD169" s="3"/>
      <c r="RE169" s="3"/>
      <c r="RF169" s="3"/>
      <c r="RG169" s="3"/>
      <c r="RH169" s="3"/>
      <c r="RI169" s="3"/>
      <c r="RJ169" s="3"/>
      <c r="RK169" s="3"/>
      <c r="RL169" s="3"/>
      <c r="RM169" s="3"/>
      <c r="RN169" s="3"/>
      <c r="RO169" s="3"/>
      <c r="RP169" s="3"/>
      <c r="RQ169" s="3"/>
      <c r="RR169" s="3"/>
      <c r="RS169" s="3"/>
      <c r="RT169" s="3"/>
      <c r="RU169" s="3"/>
      <c r="RV169" s="3"/>
      <c r="RW169" s="3"/>
      <c r="RX169" s="3"/>
      <c r="RY169" s="3"/>
      <c r="RZ169" s="3"/>
      <c r="SA169" s="3"/>
      <c r="SB169" s="3"/>
      <c r="SC169" s="3"/>
      <c r="SD169" s="3"/>
      <c r="SE169" s="3"/>
      <c r="SF169" s="3"/>
      <c r="SG169" s="3"/>
      <c r="SH169" s="3"/>
      <c r="SI169" s="3"/>
      <c r="SJ169" s="3"/>
      <c r="SK169" s="3"/>
      <c r="SL169" s="3"/>
      <c r="SM169" s="3"/>
      <c r="SN169" s="3"/>
      <c r="SO169" s="3"/>
      <c r="SP169" s="3"/>
      <c r="SQ169" s="3"/>
      <c r="SR169" s="3"/>
      <c r="SS169" s="3"/>
      <c r="ST169" s="3"/>
      <c r="SU169" s="3"/>
      <c r="SV169" s="3"/>
      <c r="SW169" s="3"/>
      <c r="SX169" s="3"/>
      <c r="SY169" s="3"/>
      <c r="SZ169" s="3"/>
      <c r="TA169" s="3"/>
      <c r="TB169" s="3"/>
      <c r="TC169" s="3"/>
      <c r="TD169" s="3"/>
      <c r="TE169" s="3"/>
      <c r="TF169" s="3"/>
      <c r="TG169" s="3"/>
      <c r="TH169" s="3"/>
      <c r="TI169" s="3"/>
      <c r="TJ169" s="3"/>
      <c r="TK169" s="3"/>
      <c r="TL169" s="3"/>
      <c r="TM169" s="3"/>
      <c r="TN169" s="3"/>
      <c r="TO169" s="3"/>
      <c r="TP169" s="3"/>
      <c r="TQ169" s="3"/>
      <c r="TR169" s="3"/>
      <c r="TS169" s="3"/>
      <c r="TT169" s="3"/>
      <c r="TU169" s="3"/>
      <c r="TV169" s="3"/>
      <c r="TW169" s="3"/>
      <c r="TX169" s="3"/>
      <c r="TY169" s="3"/>
      <c r="TZ169" s="3"/>
      <c r="UA169" s="3"/>
      <c r="UB169" s="3"/>
      <c r="UC169" s="3"/>
      <c r="UD169" s="3"/>
      <c r="UE169" s="3"/>
      <c r="UF169" s="3"/>
      <c r="UG169" s="3"/>
      <c r="UH169" s="3"/>
      <c r="UI169" s="3"/>
      <c r="UJ169" s="3"/>
      <c r="UK169" s="3"/>
      <c r="UL169" s="3"/>
      <c r="UM169" s="3"/>
      <c r="UN169" s="3"/>
      <c r="UO169" s="3"/>
      <c r="UP169" s="3"/>
      <c r="UQ169" s="3"/>
      <c r="UR169" s="3"/>
      <c r="US169" s="3"/>
      <c r="UT169" s="3"/>
      <c r="UU169" s="3"/>
      <c r="UV169" s="3"/>
      <c r="UW169" s="3"/>
      <c r="UX169" s="3"/>
      <c r="UY169" s="3"/>
      <c r="UZ169" s="3"/>
      <c r="VA169" s="3"/>
      <c r="VB169" s="3"/>
      <c r="VC169" s="3"/>
      <c r="VD169" s="3"/>
      <c r="VE169" s="3"/>
      <c r="VF169" s="3"/>
      <c r="VG169" s="3"/>
      <c r="VH169" s="3"/>
      <c r="VI169" s="3"/>
      <c r="VJ169" s="3"/>
      <c r="VK169" s="3"/>
      <c r="VL169" s="3"/>
      <c r="VM169" s="3"/>
      <c r="VN169" s="3"/>
      <c r="VO169" s="3"/>
      <c r="VP169" s="3"/>
      <c r="VQ169" s="3"/>
      <c r="VR169" s="3"/>
      <c r="VS169" s="3"/>
      <c r="VT169" s="3"/>
      <c r="VU169" s="3"/>
      <c r="VV169" s="3"/>
      <c r="VW169" s="3"/>
      <c r="VX169" s="3"/>
      <c r="VY169" s="3"/>
      <c r="VZ169" s="3"/>
      <c r="WA169" s="3"/>
      <c r="WB169" s="3"/>
      <c r="WC169" s="3"/>
      <c r="WD169" s="3"/>
      <c r="WE169" s="3"/>
      <c r="WF169" s="3"/>
      <c r="WG169" s="3"/>
      <c r="WH169" s="3"/>
      <c r="WI169" s="3"/>
      <c r="WJ169" s="3"/>
      <c r="WK169" s="3"/>
      <c r="WL169" s="3"/>
      <c r="WM169" s="3"/>
      <c r="WN169" s="3"/>
      <c r="WO169" s="3"/>
      <c r="WP169" s="3"/>
      <c r="WQ169" s="3"/>
      <c r="WR169" s="3"/>
      <c r="WS169" s="3"/>
      <c r="WT169" s="3"/>
      <c r="WU169" s="3"/>
      <c r="WV169" s="3"/>
      <c r="WW169" s="3"/>
      <c r="WX169" s="3"/>
      <c r="WY169" s="3"/>
      <c r="WZ169" s="3"/>
      <c r="XA169" s="3"/>
      <c r="XB169" s="3"/>
      <c r="XC169" s="3"/>
      <c r="XD169" s="3"/>
      <c r="XE169" s="3"/>
      <c r="XF169" s="3"/>
      <c r="XG169" s="3"/>
      <c r="XH169" s="3"/>
      <c r="XI169" s="3"/>
      <c r="XJ169" s="3"/>
      <c r="XK169" s="3"/>
      <c r="XL169" s="3"/>
      <c r="XM169" s="3"/>
      <c r="XN169" s="3"/>
      <c r="XO169" s="3"/>
      <c r="XP169" s="3"/>
      <c r="XQ169" s="3"/>
      <c r="XR169" s="3"/>
      <c r="XS169" s="3"/>
      <c r="XT169" s="3"/>
      <c r="XU169" s="3"/>
      <c r="XV169" s="3"/>
      <c r="XW169" s="3"/>
      <c r="XX169" s="3"/>
      <c r="XY169" s="3"/>
      <c r="XZ169" s="3"/>
      <c r="YA169" s="3"/>
      <c r="YB169" s="3"/>
      <c r="YC169" s="3"/>
      <c r="YD169" s="3"/>
      <c r="YE169" s="3"/>
      <c r="YF169" s="3"/>
      <c r="YG169" s="3"/>
      <c r="YH169" s="3"/>
      <c r="YI169" s="3"/>
      <c r="YJ169" s="3"/>
      <c r="YK169" s="3"/>
      <c r="YL169" s="3"/>
      <c r="YM169" s="3"/>
      <c r="YN169" s="3"/>
      <c r="YO169" s="3"/>
      <c r="YP169" s="3"/>
      <c r="YQ169" s="3"/>
      <c r="YR169" s="3"/>
      <c r="YS169" s="3"/>
      <c r="YT169" s="3"/>
      <c r="YU169" s="3"/>
      <c r="YV169" s="3"/>
      <c r="YW169" s="3"/>
      <c r="YX169" s="3"/>
      <c r="YY169" s="3"/>
      <c r="YZ169" s="3"/>
      <c r="ZA169" s="3"/>
      <c r="ZB169" s="3"/>
      <c r="ZC169" s="3"/>
    </row>
    <row r="170" spans="1:679" s="2" customFormat="1" x14ac:dyDescent="0.45">
      <c r="A170" s="3" t="s">
        <v>11</v>
      </c>
      <c r="B170" s="4">
        <v>35383</v>
      </c>
      <c r="C170" s="7" t="s">
        <v>25</v>
      </c>
      <c r="D170" s="6" t="s">
        <v>185</v>
      </c>
      <c r="E170" s="3"/>
      <c r="F170" s="3">
        <v>4</v>
      </c>
      <c r="L170" s="3"/>
      <c r="M170" s="3"/>
      <c r="N170" s="48"/>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c r="DF170" s="3"/>
      <c r="DG170" s="3"/>
      <c r="DH170" s="3"/>
      <c r="DI170" s="3"/>
      <c r="DJ170" s="3"/>
      <c r="DK170" s="3"/>
      <c r="DL170" s="3"/>
      <c r="DM170" s="3"/>
      <c r="DN170" s="3"/>
      <c r="DO170" s="3"/>
      <c r="DP170" s="3"/>
      <c r="DQ170" s="3"/>
      <c r="DR170" s="3"/>
      <c r="DS170" s="3"/>
      <c r="DT170" s="3"/>
      <c r="DU170" s="3"/>
      <c r="DV170" s="3"/>
      <c r="DW170" s="3"/>
      <c r="DX170" s="3"/>
      <c r="DY170" s="3"/>
      <c r="DZ170" s="3"/>
      <c r="EA170" s="3"/>
      <c r="EB170" s="3"/>
      <c r="EC170" s="3"/>
      <c r="ED170" s="3"/>
      <c r="EE170" s="3"/>
      <c r="EF170" s="3"/>
      <c r="EG170" s="3"/>
      <c r="EH170" s="3"/>
      <c r="EI170" s="3"/>
      <c r="EJ170" s="3"/>
      <c r="EK170" s="3"/>
      <c r="EL170" s="3"/>
      <c r="EM170" s="3"/>
      <c r="EN170" s="3"/>
      <c r="EO170" s="3"/>
      <c r="EP170" s="3"/>
      <c r="EQ170" s="3"/>
      <c r="ER170" s="3"/>
      <c r="ES170" s="3"/>
      <c r="ET170" s="3"/>
      <c r="EU170" s="3"/>
      <c r="EV170" s="3"/>
      <c r="EW170" s="3"/>
      <c r="EX170" s="3"/>
      <c r="EY170" s="3"/>
      <c r="EZ170" s="3"/>
      <c r="FA170" s="3"/>
      <c r="FB170" s="3"/>
      <c r="FC170" s="3"/>
      <c r="FD170" s="3"/>
      <c r="FE170" s="3"/>
      <c r="FF170" s="3"/>
      <c r="FG170" s="3"/>
      <c r="FH170" s="3"/>
      <c r="FI170" s="3"/>
      <c r="FJ170" s="3"/>
      <c r="FK170" s="3"/>
      <c r="FL170" s="3"/>
      <c r="FM170" s="3"/>
      <c r="FN170" s="3"/>
      <c r="FO170" s="3"/>
      <c r="FP170" s="3"/>
      <c r="FQ170" s="3"/>
      <c r="FR170" s="3"/>
      <c r="FS170" s="3"/>
      <c r="FT170" s="3"/>
      <c r="FU170" s="3"/>
      <c r="FV170" s="3"/>
      <c r="FW170" s="3"/>
      <c r="FX170" s="3"/>
      <c r="FY170" s="3"/>
      <c r="FZ170" s="3"/>
      <c r="GA170" s="3"/>
      <c r="GB170" s="3"/>
      <c r="GC170" s="3"/>
      <c r="GD170" s="3"/>
      <c r="GE170" s="3"/>
      <c r="GF170" s="3"/>
      <c r="GG170" s="3"/>
      <c r="GH170" s="3"/>
      <c r="GI170" s="3"/>
      <c r="GJ170" s="3"/>
      <c r="GK170" s="3"/>
      <c r="GL170" s="3"/>
      <c r="GM170" s="3"/>
      <c r="GN170" s="3"/>
      <c r="GO170" s="3"/>
      <c r="GP170" s="3"/>
      <c r="GQ170" s="3"/>
      <c r="GR170" s="3"/>
      <c r="GS170" s="3"/>
      <c r="GT170" s="3"/>
      <c r="GU170" s="3"/>
      <c r="GV170" s="3"/>
      <c r="GW170" s="3"/>
      <c r="GX170" s="3"/>
      <c r="GY170" s="3"/>
      <c r="GZ170" s="3"/>
      <c r="HA170" s="3"/>
      <c r="HB170" s="3"/>
      <c r="HC170" s="3"/>
      <c r="HD170" s="3"/>
      <c r="HE170" s="3"/>
      <c r="HF170" s="3"/>
      <c r="HG170" s="3"/>
      <c r="HH170" s="3"/>
      <c r="HI170" s="3"/>
      <c r="HJ170" s="3"/>
      <c r="HK170" s="3"/>
      <c r="HL170" s="3"/>
      <c r="HM170" s="3"/>
      <c r="HN170" s="3"/>
      <c r="HO170" s="3"/>
      <c r="HP170" s="3"/>
      <c r="HQ170" s="3"/>
      <c r="HR170" s="3"/>
      <c r="HS170" s="3"/>
      <c r="HT170" s="3"/>
      <c r="HU170" s="3"/>
      <c r="HV170" s="3"/>
      <c r="HW170" s="3"/>
      <c r="HX170" s="3"/>
      <c r="HY170" s="3"/>
      <c r="HZ170" s="3"/>
      <c r="IA170" s="3"/>
      <c r="IB170" s="3"/>
      <c r="IC170" s="3"/>
      <c r="ID170" s="3"/>
      <c r="IE170" s="3"/>
      <c r="IF170" s="3"/>
      <c r="IG170" s="3"/>
      <c r="IH170" s="3"/>
      <c r="II170" s="3"/>
      <c r="IJ170" s="3"/>
      <c r="IK170" s="3"/>
      <c r="IL170" s="3"/>
      <c r="IM170" s="3"/>
      <c r="IN170" s="3"/>
      <c r="IO170" s="3"/>
      <c r="IP170" s="3"/>
      <c r="IQ170" s="3"/>
      <c r="IR170" s="3"/>
      <c r="IS170" s="3"/>
      <c r="IT170" s="3"/>
      <c r="IU170" s="3"/>
      <c r="IV170" s="3"/>
      <c r="IW170" s="3"/>
      <c r="IX170" s="3"/>
      <c r="IY170" s="3"/>
      <c r="IZ170" s="3"/>
      <c r="JA170" s="3"/>
      <c r="JB170" s="3"/>
      <c r="JC170" s="3"/>
      <c r="JD170" s="3"/>
      <c r="JE170" s="3"/>
      <c r="JF170" s="3"/>
      <c r="JG170" s="3"/>
      <c r="JH170" s="3"/>
      <c r="JI170" s="3"/>
      <c r="JJ170" s="3"/>
      <c r="JK170" s="3"/>
      <c r="JL170" s="3"/>
      <c r="JM170" s="3"/>
      <c r="JN170" s="3"/>
      <c r="JO170" s="3"/>
      <c r="JP170" s="3"/>
      <c r="JQ170" s="3"/>
      <c r="JR170" s="3"/>
      <c r="JS170" s="3"/>
      <c r="JT170" s="3"/>
      <c r="JU170" s="3"/>
      <c r="JV170" s="3"/>
      <c r="JW170" s="3"/>
      <c r="JX170" s="3"/>
      <c r="JY170" s="3"/>
      <c r="JZ170" s="3"/>
      <c r="KA170" s="3"/>
      <c r="KB170" s="3"/>
      <c r="KC170" s="3"/>
      <c r="KD170" s="3"/>
      <c r="KE170" s="3"/>
      <c r="KF170" s="3"/>
      <c r="KG170" s="3"/>
      <c r="KH170" s="3"/>
      <c r="KI170" s="3"/>
      <c r="KJ170" s="3"/>
      <c r="KK170" s="3"/>
      <c r="KL170" s="3"/>
      <c r="KM170" s="3"/>
      <c r="KN170" s="3"/>
      <c r="KO170" s="3"/>
      <c r="KP170" s="3"/>
      <c r="KQ170" s="3"/>
      <c r="KR170" s="3"/>
      <c r="KS170" s="3"/>
      <c r="KT170" s="3"/>
      <c r="KU170" s="3"/>
      <c r="KV170" s="3"/>
      <c r="KW170" s="3"/>
      <c r="KX170" s="3"/>
      <c r="KY170" s="3"/>
      <c r="KZ170" s="3"/>
      <c r="LA170" s="3"/>
      <c r="LB170" s="3"/>
      <c r="LC170" s="3"/>
      <c r="LD170" s="3"/>
      <c r="LE170" s="3"/>
      <c r="LF170" s="3"/>
      <c r="LG170" s="3"/>
      <c r="LH170" s="3"/>
      <c r="LI170" s="3"/>
      <c r="LJ170" s="3"/>
      <c r="LK170" s="3"/>
      <c r="LL170" s="3"/>
      <c r="LM170" s="3"/>
      <c r="LN170" s="3"/>
      <c r="LO170" s="3"/>
      <c r="LP170" s="3"/>
      <c r="LQ170" s="3"/>
      <c r="LR170" s="3"/>
      <c r="LS170" s="3"/>
      <c r="LT170" s="3"/>
      <c r="LU170" s="3"/>
      <c r="LV170" s="3"/>
      <c r="LW170" s="3"/>
      <c r="LX170" s="3"/>
      <c r="LY170" s="3"/>
      <c r="LZ170" s="3"/>
      <c r="MA170" s="3"/>
      <c r="MB170" s="3"/>
      <c r="MC170" s="3"/>
      <c r="MD170" s="3"/>
      <c r="ME170" s="3"/>
      <c r="MF170" s="3"/>
      <c r="MG170" s="3"/>
      <c r="MH170" s="3"/>
      <c r="MI170" s="3"/>
      <c r="MJ170" s="3"/>
      <c r="MK170" s="3"/>
      <c r="ML170" s="3"/>
      <c r="MM170" s="3"/>
      <c r="MN170" s="3"/>
      <c r="MO170" s="3"/>
      <c r="MP170" s="3"/>
      <c r="MQ170" s="3"/>
      <c r="MR170" s="3"/>
      <c r="MS170" s="3"/>
      <c r="MT170" s="3"/>
      <c r="MU170" s="3"/>
      <c r="MV170" s="3"/>
      <c r="MW170" s="3"/>
      <c r="MX170" s="3"/>
      <c r="MY170" s="3"/>
      <c r="MZ170" s="3"/>
      <c r="NA170" s="3"/>
      <c r="NB170" s="3"/>
      <c r="NC170" s="3"/>
      <c r="ND170" s="3"/>
      <c r="NE170" s="3"/>
      <c r="NF170" s="3"/>
      <c r="NG170" s="3"/>
      <c r="NH170" s="3"/>
      <c r="NI170" s="3"/>
      <c r="NJ170" s="3"/>
      <c r="NK170" s="3"/>
      <c r="NL170" s="3"/>
      <c r="NM170" s="3"/>
      <c r="NN170" s="3"/>
      <c r="NO170" s="3"/>
      <c r="NP170" s="3"/>
      <c r="NQ170" s="3"/>
      <c r="NR170" s="3"/>
      <c r="NS170" s="3"/>
      <c r="NT170" s="3"/>
      <c r="NU170" s="3"/>
      <c r="NV170" s="3"/>
      <c r="NW170" s="3"/>
      <c r="NX170" s="3"/>
      <c r="NY170" s="3"/>
      <c r="NZ170" s="3"/>
      <c r="OA170" s="3"/>
      <c r="OB170" s="3"/>
      <c r="OC170" s="3"/>
      <c r="OD170" s="3"/>
      <c r="OE170" s="3"/>
      <c r="OF170" s="3"/>
      <c r="OG170" s="3"/>
      <c r="OH170" s="3"/>
      <c r="OI170" s="3"/>
      <c r="OJ170" s="3"/>
      <c r="OK170" s="3"/>
      <c r="OL170" s="3"/>
      <c r="OM170" s="3"/>
      <c r="ON170" s="3"/>
      <c r="OO170" s="3"/>
      <c r="OP170" s="3"/>
      <c r="OQ170" s="3"/>
      <c r="OR170" s="3"/>
      <c r="OS170" s="3"/>
      <c r="OT170" s="3"/>
      <c r="OU170" s="3"/>
      <c r="OV170" s="3"/>
      <c r="OW170" s="3"/>
      <c r="OX170" s="3"/>
      <c r="OY170" s="3"/>
      <c r="OZ170" s="3"/>
      <c r="PA170" s="3"/>
      <c r="PB170" s="3"/>
      <c r="PC170" s="3"/>
      <c r="PD170" s="3"/>
      <c r="PE170" s="3"/>
      <c r="PF170" s="3"/>
      <c r="PG170" s="3"/>
      <c r="PH170" s="3"/>
      <c r="PI170" s="3"/>
      <c r="PJ170" s="3"/>
      <c r="PK170" s="3"/>
      <c r="PL170" s="3"/>
      <c r="PM170" s="3"/>
      <c r="PN170" s="3"/>
      <c r="PO170" s="3"/>
      <c r="PP170" s="3"/>
      <c r="PQ170" s="3"/>
      <c r="PR170" s="3"/>
      <c r="PS170" s="3"/>
      <c r="PT170" s="3"/>
      <c r="PU170" s="3"/>
      <c r="PV170" s="3"/>
      <c r="PW170" s="3"/>
      <c r="PX170" s="3"/>
      <c r="PY170" s="3"/>
      <c r="PZ170" s="3"/>
      <c r="QA170" s="3"/>
      <c r="QB170" s="3"/>
      <c r="QC170" s="3"/>
      <c r="QD170" s="3"/>
      <c r="QE170" s="3"/>
      <c r="QF170" s="3"/>
      <c r="QG170" s="3"/>
      <c r="QH170" s="3"/>
      <c r="QI170" s="3"/>
      <c r="QJ170" s="3"/>
      <c r="QK170" s="3"/>
      <c r="QL170" s="3"/>
      <c r="QM170" s="3"/>
      <c r="QN170" s="3"/>
      <c r="QO170" s="3"/>
      <c r="QP170" s="3"/>
      <c r="QQ170" s="3"/>
      <c r="QR170" s="3"/>
      <c r="QS170" s="3"/>
      <c r="QT170" s="3"/>
      <c r="QU170" s="3"/>
      <c r="QV170" s="3"/>
      <c r="QW170" s="3"/>
      <c r="QX170" s="3"/>
      <c r="QY170" s="3"/>
      <c r="QZ170" s="3"/>
      <c r="RA170" s="3"/>
      <c r="RB170" s="3"/>
      <c r="RC170" s="3"/>
      <c r="RD170" s="3"/>
      <c r="RE170" s="3"/>
      <c r="RF170" s="3"/>
      <c r="RG170" s="3"/>
      <c r="RH170" s="3"/>
      <c r="RI170" s="3"/>
      <c r="RJ170" s="3"/>
      <c r="RK170" s="3"/>
      <c r="RL170" s="3"/>
      <c r="RM170" s="3"/>
      <c r="RN170" s="3"/>
      <c r="RO170" s="3"/>
      <c r="RP170" s="3"/>
      <c r="RQ170" s="3"/>
      <c r="RR170" s="3"/>
      <c r="RS170" s="3"/>
      <c r="RT170" s="3"/>
      <c r="RU170" s="3"/>
      <c r="RV170" s="3"/>
      <c r="RW170" s="3"/>
      <c r="RX170" s="3"/>
      <c r="RY170" s="3"/>
      <c r="RZ170" s="3"/>
      <c r="SA170" s="3"/>
      <c r="SB170" s="3"/>
      <c r="SC170" s="3"/>
      <c r="SD170" s="3"/>
      <c r="SE170" s="3"/>
      <c r="SF170" s="3"/>
      <c r="SG170" s="3"/>
      <c r="SH170" s="3"/>
      <c r="SI170" s="3"/>
      <c r="SJ170" s="3"/>
      <c r="SK170" s="3"/>
      <c r="SL170" s="3"/>
      <c r="SM170" s="3"/>
      <c r="SN170" s="3"/>
      <c r="SO170" s="3"/>
      <c r="SP170" s="3"/>
      <c r="SQ170" s="3"/>
      <c r="SR170" s="3"/>
      <c r="SS170" s="3"/>
      <c r="ST170" s="3"/>
      <c r="SU170" s="3"/>
      <c r="SV170" s="3"/>
      <c r="SW170" s="3"/>
      <c r="SX170" s="3"/>
      <c r="SY170" s="3"/>
      <c r="SZ170" s="3"/>
      <c r="TA170" s="3"/>
      <c r="TB170" s="3"/>
      <c r="TC170" s="3"/>
      <c r="TD170" s="3"/>
      <c r="TE170" s="3"/>
      <c r="TF170" s="3"/>
      <c r="TG170" s="3"/>
      <c r="TH170" s="3"/>
      <c r="TI170" s="3"/>
      <c r="TJ170" s="3"/>
      <c r="TK170" s="3"/>
      <c r="TL170" s="3"/>
      <c r="TM170" s="3"/>
      <c r="TN170" s="3"/>
      <c r="TO170" s="3"/>
      <c r="TP170" s="3"/>
      <c r="TQ170" s="3"/>
      <c r="TR170" s="3"/>
      <c r="TS170" s="3"/>
      <c r="TT170" s="3"/>
      <c r="TU170" s="3"/>
      <c r="TV170" s="3"/>
      <c r="TW170" s="3"/>
      <c r="TX170" s="3"/>
      <c r="TY170" s="3"/>
      <c r="TZ170" s="3"/>
      <c r="UA170" s="3"/>
      <c r="UB170" s="3"/>
      <c r="UC170" s="3"/>
      <c r="UD170" s="3"/>
      <c r="UE170" s="3"/>
      <c r="UF170" s="3"/>
      <c r="UG170" s="3"/>
      <c r="UH170" s="3"/>
      <c r="UI170" s="3"/>
      <c r="UJ170" s="3"/>
      <c r="UK170" s="3"/>
      <c r="UL170" s="3"/>
      <c r="UM170" s="3"/>
      <c r="UN170" s="3"/>
      <c r="UO170" s="3"/>
      <c r="UP170" s="3"/>
      <c r="UQ170" s="3"/>
      <c r="UR170" s="3"/>
      <c r="US170" s="3"/>
      <c r="UT170" s="3"/>
      <c r="UU170" s="3"/>
      <c r="UV170" s="3"/>
      <c r="UW170" s="3"/>
      <c r="UX170" s="3"/>
      <c r="UY170" s="3"/>
      <c r="UZ170" s="3"/>
      <c r="VA170" s="3"/>
      <c r="VB170" s="3"/>
      <c r="VC170" s="3"/>
      <c r="VD170" s="3"/>
      <c r="VE170" s="3"/>
      <c r="VF170" s="3"/>
      <c r="VG170" s="3"/>
      <c r="VH170" s="3"/>
      <c r="VI170" s="3"/>
      <c r="VJ170" s="3"/>
      <c r="VK170" s="3"/>
      <c r="VL170" s="3"/>
      <c r="VM170" s="3"/>
      <c r="VN170" s="3"/>
      <c r="VO170" s="3"/>
      <c r="VP170" s="3"/>
      <c r="VQ170" s="3"/>
      <c r="VR170" s="3"/>
      <c r="VS170" s="3"/>
      <c r="VT170" s="3"/>
      <c r="VU170" s="3"/>
      <c r="VV170" s="3"/>
      <c r="VW170" s="3"/>
      <c r="VX170" s="3"/>
      <c r="VY170" s="3"/>
      <c r="VZ170" s="3"/>
      <c r="WA170" s="3"/>
      <c r="WB170" s="3"/>
      <c r="WC170" s="3"/>
      <c r="WD170" s="3"/>
      <c r="WE170" s="3"/>
      <c r="WF170" s="3"/>
      <c r="WG170" s="3"/>
      <c r="WH170" s="3"/>
      <c r="WI170" s="3"/>
      <c r="WJ170" s="3"/>
      <c r="WK170" s="3"/>
      <c r="WL170" s="3"/>
      <c r="WM170" s="3"/>
      <c r="WN170" s="3"/>
      <c r="WO170" s="3"/>
      <c r="WP170" s="3"/>
      <c r="WQ170" s="3"/>
      <c r="WR170" s="3"/>
      <c r="WS170" s="3"/>
      <c r="WT170" s="3"/>
      <c r="WU170" s="3"/>
      <c r="WV170" s="3"/>
      <c r="WW170" s="3"/>
      <c r="WX170" s="3"/>
      <c r="WY170" s="3"/>
      <c r="WZ170" s="3"/>
      <c r="XA170" s="3"/>
      <c r="XB170" s="3"/>
      <c r="XC170" s="3"/>
      <c r="XD170" s="3"/>
      <c r="XE170" s="3"/>
      <c r="XF170" s="3"/>
      <c r="XG170" s="3"/>
      <c r="XH170" s="3"/>
      <c r="XI170" s="3"/>
      <c r="XJ170" s="3"/>
      <c r="XK170" s="3"/>
      <c r="XL170" s="3"/>
      <c r="XM170" s="3"/>
      <c r="XN170" s="3"/>
      <c r="XO170" s="3"/>
      <c r="XP170" s="3"/>
      <c r="XQ170" s="3"/>
      <c r="XR170" s="3"/>
      <c r="XS170" s="3"/>
      <c r="XT170" s="3"/>
      <c r="XU170" s="3"/>
      <c r="XV170" s="3"/>
      <c r="XW170" s="3"/>
      <c r="XX170" s="3"/>
      <c r="XY170" s="3"/>
      <c r="XZ170" s="3"/>
      <c r="YA170" s="3"/>
      <c r="YB170" s="3"/>
      <c r="YC170" s="3"/>
      <c r="YD170" s="3"/>
      <c r="YE170" s="3"/>
      <c r="YF170" s="3"/>
      <c r="YG170" s="3"/>
      <c r="YH170" s="3"/>
      <c r="YI170" s="3"/>
      <c r="YJ170" s="3"/>
      <c r="YK170" s="3"/>
      <c r="YL170" s="3"/>
      <c r="YM170" s="3"/>
      <c r="YN170" s="3"/>
      <c r="YO170" s="3"/>
      <c r="YP170" s="3"/>
      <c r="YQ170" s="3"/>
      <c r="YR170" s="3"/>
      <c r="YS170" s="3"/>
      <c r="YT170" s="3"/>
      <c r="YU170" s="3"/>
      <c r="YV170" s="3"/>
      <c r="YW170" s="3"/>
      <c r="YX170" s="3"/>
      <c r="YY170" s="3"/>
      <c r="YZ170" s="3"/>
      <c r="ZA170" s="3"/>
      <c r="ZB170" s="3"/>
      <c r="ZC170" s="3"/>
    </row>
    <row r="171" spans="1:679" s="2" customFormat="1" x14ac:dyDescent="0.45">
      <c r="A171" s="3" t="s">
        <v>11</v>
      </c>
      <c r="B171" s="4">
        <v>35394</v>
      </c>
      <c r="C171" s="7" t="s">
        <v>25</v>
      </c>
      <c r="D171" s="6" t="s">
        <v>186</v>
      </c>
      <c r="E171" s="3"/>
      <c r="F171" s="3">
        <v>88</v>
      </c>
      <c r="L171" s="3"/>
      <c r="M171" s="3"/>
      <c r="N171" s="48"/>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c r="DF171" s="3"/>
      <c r="DG171" s="3"/>
      <c r="DH171" s="3"/>
      <c r="DI171" s="3"/>
      <c r="DJ171" s="3"/>
      <c r="DK171" s="3"/>
      <c r="DL171" s="3"/>
      <c r="DM171" s="3"/>
      <c r="DN171" s="3"/>
      <c r="DO171" s="3"/>
      <c r="DP171" s="3"/>
      <c r="DQ171" s="3"/>
      <c r="DR171" s="3"/>
      <c r="DS171" s="3"/>
      <c r="DT171" s="3"/>
      <c r="DU171" s="3"/>
      <c r="DV171" s="3"/>
      <c r="DW171" s="3"/>
      <c r="DX171" s="3"/>
      <c r="DY171" s="3"/>
      <c r="DZ171" s="3"/>
      <c r="EA171" s="3"/>
      <c r="EB171" s="3"/>
      <c r="EC171" s="3"/>
      <c r="ED171" s="3"/>
      <c r="EE171" s="3"/>
      <c r="EF171" s="3"/>
      <c r="EG171" s="3"/>
      <c r="EH171" s="3"/>
      <c r="EI171" s="3"/>
      <c r="EJ171" s="3"/>
      <c r="EK171" s="3"/>
      <c r="EL171" s="3"/>
      <c r="EM171" s="3"/>
      <c r="EN171" s="3"/>
      <c r="EO171" s="3"/>
      <c r="EP171" s="3"/>
      <c r="EQ171" s="3"/>
      <c r="ER171" s="3"/>
      <c r="ES171" s="3"/>
      <c r="ET171" s="3"/>
      <c r="EU171" s="3"/>
      <c r="EV171" s="3"/>
      <c r="EW171" s="3"/>
      <c r="EX171" s="3"/>
      <c r="EY171" s="3"/>
      <c r="EZ171" s="3"/>
      <c r="FA171" s="3"/>
      <c r="FB171" s="3"/>
      <c r="FC171" s="3"/>
      <c r="FD171" s="3"/>
      <c r="FE171" s="3"/>
      <c r="FF171" s="3"/>
      <c r="FG171" s="3"/>
      <c r="FH171" s="3"/>
      <c r="FI171" s="3"/>
      <c r="FJ171" s="3"/>
      <c r="FK171" s="3"/>
      <c r="FL171" s="3"/>
      <c r="FM171" s="3"/>
      <c r="FN171" s="3"/>
      <c r="FO171" s="3"/>
      <c r="FP171" s="3"/>
      <c r="FQ171" s="3"/>
      <c r="FR171" s="3"/>
      <c r="FS171" s="3"/>
      <c r="FT171" s="3"/>
      <c r="FU171" s="3"/>
      <c r="FV171" s="3"/>
      <c r="FW171" s="3"/>
      <c r="FX171" s="3"/>
      <c r="FY171" s="3"/>
      <c r="FZ171" s="3"/>
      <c r="GA171" s="3"/>
      <c r="GB171" s="3"/>
      <c r="GC171" s="3"/>
      <c r="GD171" s="3"/>
      <c r="GE171" s="3"/>
      <c r="GF171" s="3"/>
      <c r="GG171" s="3"/>
      <c r="GH171" s="3"/>
      <c r="GI171" s="3"/>
      <c r="GJ171" s="3"/>
      <c r="GK171" s="3"/>
      <c r="GL171" s="3"/>
      <c r="GM171" s="3"/>
      <c r="GN171" s="3"/>
      <c r="GO171" s="3"/>
      <c r="GP171" s="3"/>
      <c r="GQ171" s="3"/>
      <c r="GR171" s="3"/>
      <c r="GS171" s="3"/>
      <c r="GT171" s="3"/>
      <c r="GU171" s="3"/>
      <c r="GV171" s="3"/>
      <c r="GW171" s="3"/>
      <c r="GX171" s="3"/>
      <c r="GY171" s="3"/>
      <c r="GZ171" s="3"/>
      <c r="HA171" s="3"/>
      <c r="HB171" s="3"/>
      <c r="HC171" s="3"/>
      <c r="HD171" s="3"/>
      <c r="HE171" s="3"/>
      <c r="HF171" s="3"/>
      <c r="HG171" s="3"/>
      <c r="HH171" s="3"/>
      <c r="HI171" s="3"/>
      <c r="HJ171" s="3"/>
      <c r="HK171" s="3"/>
      <c r="HL171" s="3"/>
      <c r="HM171" s="3"/>
      <c r="HN171" s="3"/>
      <c r="HO171" s="3"/>
      <c r="HP171" s="3"/>
      <c r="HQ171" s="3"/>
      <c r="HR171" s="3"/>
      <c r="HS171" s="3"/>
      <c r="HT171" s="3"/>
      <c r="HU171" s="3"/>
      <c r="HV171" s="3"/>
      <c r="HW171" s="3"/>
      <c r="HX171" s="3"/>
      <c r="HY171" s="3"/>
      <c r="HZ171" s="3"/>
      <c r="IA171" s="3"/>
      <c r="IB171" s="3"/>
      <c r="IC171" s="3"/>
      <c r="ID171" s="3"/>
      <c r="IE171" s="3"/>
      <c r="IF171" s="3"/>
      <c r="IG171" s="3"/>
      <c r="IH171" s="3"/>
      <c r="II171" s="3"/>
      <c r="IJ171" s="3"/>
      <c r="IK171" s="3"/>
      <c r="IL171" s="3"/>
      <c r="IM171" s="3"/>
      <c r="IN171" s="3"/>
      <c r="IO171" s="3"/>
      <c r="IP171" s="3"/>
      <c r="IQ171" s="3"/>
      <c r="IR171" s="3"/>
      <c r="IS171" s="3"/>
      <c r="IT171" s="3"/>
      <c r="IU171" s="3"/>
      <c r="IV171" s="3"/>
      <c r="IW171" s="3"/>
      <c r="IX171" s="3"/>
      <c r="IY171" s="3"/>
      <c r="IZ171" s="3"/>
      <c r="JA171" s="3"/>
      <c r="JB171" s="3"/>
      <c r="JC171" s="3"/>
      <c r="JD171" s="3"/>
      <c r="JE171" s="3"/>
      <c r="JF171" s="3"/>
      <c r="JG171" s="3"/>
      <c r="JH171" s="3"/>
      <c r="JI171" s="3"/>
      <c r="JJ171" s="3"/>
      <c r="JK171" s="3"/>
      <c r="JL171" s="3"/>
      <c r="JM171" s="3"/>
      <c r="JN171" s="3"/>
      <c r="JO171" s="3"/>
      <c r="JP171" s="3"/>
      <c r="JQ171" s="3"/>
      <c r="JR171" s="3"/>
      <c r="JS171" s="3"/>
      <c r="JT171" s="3"/>
      <c r="JU171" s="3"/>
      <c r="JV171" s="3"/>
      <c r="JW171" s="3"/>
      <c r="JX171" s="3"/>
      <c r="JY171" s="3"/>
      <c r="JZ171" s="3"/>
      <c r="KA171" s="3"/>
      <c r="KB171" s="3"/>
      <c r="KC171" s="3"/>
      <c r="KD171" s="3"/>
      <c r="KE171" s="3"/>
      <c r="KF171" s="3"/>
      <c r="KG171" s="3"/>
      <c r="KH171" s="3"/>
      <c r="KI171" s="3"/>
      <c r="KJ171" s="3"/>
      <c r="KK171" s="3"/>
      <c r="KL171" s="3"/>
      <c r="KM171" s="3"/>
      <c r="KN171" s="3"/>
      <c r="KO171" s="3"/>
      <c r="KP171" s="3"/>
      <c r="KQ171" s="3"/>
      <c r="KR171" s="3"/>
      <c r="KS171" s="3"/>
      <c r="KT171" s="3"/>
      <c r="KU171" s="3"/>
      <c r="KV171" s="3"/>
      <c r="KW171" s="3"/>
      <c r="KX171" s="3"/>
      <c r="KY171" s="3"/>
      <c r="KZ171" s="3"/>
      <c r="LA171" s="3"/>
      <c r="LB171" s="3"/>
      <c r="LC171" s="3"/>
      <c r="LD171" s="3"/>
      <c r="LE171" s="3"/>
      <c r="LF171" s="3"/>
      <c r="LG171" s="3"/>
      <c r="LH171" s="3"/>
      <c r="LI171" s="3"/>
      <c r="LJ171" s="3"/>
      <c r="LK171" s="3"/>
      <c r="LL171" s="3"/>
      <c r="LM171" s="3"/>
      <c r="LN171" s="3"/>
      <c r="LO171" s="3"/>
      <c r="LP171" s="3"/>
      <c r="LQ171" s="3"/>
      <c r="LR171" s="3"/>
      <c r="LS171" s="3"/>
      <c r="LT171" s="3"/>
      <c r="LU171" s="3"/>
      <c r="LV171" s="3"/>
      <c r="LW171" s="3"/>
      <c r="LX171" s="3"/>
      <c r="LY171" s="3"/>
      <c r="LZ171" s="3"/>
      <c r="MA171" s="3"/>
      <c r="MB171" s="3"/>
      <c r="MC171" s="3"/>
      <c r="MD171" s="3"/>
      <c r="ME171" s="3"/>
      <c r="MF171" s="3"/>
      <c r="MG171" s="3"/>
      <c r="MH171" s="3"/>
      <c r="MI171" s="3"/>
      <c r="MJ171" s="3"/>
      <c r="MK171" s="3"/>
      <c r="ML171" s="3"/>
      <c r="MM171" s="3"/>
      <c r="MN171" s="3"/>
      <c r="MO171" s="3"/>
      <c r="MP171" s="3"/>
      <c r="MQ171" s="3"/>
      <c r="MR171" s="3"/>
      <c r="MS171" s="3"/>
      <c r="MT171" s="3"/>
      <c r="MU171" s="3"/>
      <c r="MV171" s="3"/>
      <c r="MW171" s="3"/>
      <c r="MX171" s="3"/>
      <c r="MY171" s="3"/>
      <c r="MZ171" s="3"/>
      <c r="NA171" s="3"/>
      <c r="NB171" s="3"/>
      <c r="NC171" s="3"/>
      <c r="ND171" s="3"/>
      <c r="NE171" s="3"/>
      <c r="NF171" s="3"/>
      <c r="NG171" s="3"/>
      <c r="NH171" s="3"/>
      <c r="NI171" s="3"/>
      <c r="NJ171" s="3"/>
      <c r="NK171" s="3"/>
      <c r="NL171" s="3"/>
      <c r="NM171" s="3"/>
      <c r="NN171" s="3"/>
      <c r="NO171" s="3"/>
      <c r="NP171" s="3"/>
      <c r="NQ171" s="3"/>
      <c r="NR171" s="3"/>
      <c r="NS171" s="3"/>
      <c r="NT171" s="3"/>
      <c r="NU171" s="3"/>
      <c r="NV171" s="3"/>
      <c r="NW171" s="3"/>
      <c r="NX171" s="3"/>
      <c r="NY171" s="3"/>
      <c r="NZ171" s="3"/>
      <c r="OA171" s="3"/>
      <c r="OB171" s="3"/>
      <c r="OC171" s="3"/>
      <c r="OD171" s="3"/>
      <c r="OE171" s="3"/>
      <c r="OF171" s="3"/>
      <c r="OG171" s="3"/>
      <c r="OH171" s="3"/>
      <c r="OI171" s="3"/>
      <c r="OJ171" s="3"/>
      <c r="OK171" s="3"/>
      <c r="OL171" s="3"/>
      <c r="OM171" s="3"/>
      <c r="ON171" s="3"/>
      <c r="OO171" s="3"/>
      <c r="OP171" s="3"/>
      <c r="OQ171" s="3"/>
      <c r="OR171" s="3"/>
      <c r="OS171" s="3"/>
      <c r="OT171" s="3"/>
      <c r="OU171" s="3"/>
      <c r="OV171" s="3"/>
      <c r="OW171" s="3"/>
      <c r="OX171" s="3"/>
      <c r="OY171" s="3"/>
      <c r="OZ171" s="3"/>
      <c r="PA171" s="3"/>
      <c r="PB171" s="3"/>
      <c r="PC171" s="3"/>
      <c r="PD171" s="3"/>
      <c r="PE171" s="3"/>
      <c r="PF171" s="3"/>
      <c r="PG171" s="3"/>
      <c r="PH171" s="3"/>
      <c r="PI171" s="3"/>
      <c r="PJ171" s="3"/>
      <c r="PK171" s="3"/>
      <c r="PL171" s="3"/>
      <c r="PM171" s="3"/>
      <c r="PN171" s="3"/>
      <c r="PO171" s="3"/>
      <c r="PP171" s="3"/>
      <c r="PQ171" s="3"/>
      <c r="PR171" s="3"/>
      <c r="PS171" s="3"/>
      <c r="PT171" s="3"/>
      <c r="PU171" s="3"/>
      <c r="PV171" s="3"/>
      <c r="PW171" s="3"/>
      <c r="PX171" s="3"/>
      <c r="PY171" s="3"/>
      <c r="PZ171" s="3"/>
      <c r="QA171" s="3"/>
      <c r="QB171" s="3"/>
      <c r="QC171" s="3"/>
      <c r="QD171" s="3"/>
      <c r="QE171" s="3"/>
      <c r="QF171" s="3"/>
      <c r="QG171" s="3"/>
      <c r="QH171" s="3"/>
      <c r="QI171" s="3"/>
      <c r="QJ171" s="3"/>
      <c r="QK171" s="3"/>
      <c r="QL171" s="3"/>
      <c r="QM171" s="3"/>
      <c r="QN171" s="3"/>
      <c r="QO171" s="3"/>
      <c r="QP171" s="3"/>
      <c r="QQ171" s="3"/>
      <c r="QR171" s="3"/>
      <c r="QS171" s="3"/>
      <c r="QT171" s="3"/>
      <c r="QU171" s="3"/>
      <c r="QV171" s="3"/>
      <c r="QW171" s="3"/>
      <c r="QX171" s="3"/>
      <c r="QY171" s="3"/>
      <c r="QZ171" s="3"/>
      <c r="RA171" s="3"/>
      <c r="RB171" s="3"/>
      <c r="RC171" s="3"/>
      <c r="RD171" s="3"/>
      <c r="RE171" s="3"/>
      <c r="RF171" s="3"/>
      <c r="RG171" s="3"/>
      <c r="RH171" s="3"/>
      <c r="RI171" s="3"/>
      <c r="RJ171" s="3"/>
      <c r="RK171" s="3"/>
      <c r="RL171" s="3"/>
      <c r="RM171" s="3"/>
      <c r="RN171" s="3"/>
      <c r="RO171" s="3"/>
      <c r="RP171" s="3"/>
      <c r="RQ171" s="3"/>
      <c r="RR171" s="3"/>
      <c r="RS171" s="3"/>
      <c r="RT171" s="3"/>
      <c r="RU171" s="3"/>
      <c r="RV171" s="3"/>
      <c r="RW171" s="3"/>
      <c r="RX171" s="3"/>
      <c r="RY171" s="3"/>
      <c r="RZ171" s="3"/>
      <c r="SA171" s="3"/>
      <c r="SB171" s="3"/>
      <c r="SC171" s="3"/>
      <c r="SD171" s="3"/>
      <c r="SE171" s="3"/>
      <c r="SF171" s="3"/>
      <c r="SG171" s="3"/>
      <c r="SH171" s="3"/>
      <c r="SI171" s="3"/>
      <c r="SJ171" s="3"/>
      <c r="SK171" s="3"/>
      <c r="SL171" s="3"/>
      <c r="SM171" s="3"/>
      <c r="SN171" s="3"/>
      <c r="SO171" s="3"/>
      <c r="SP171" s="3"/>
      <c r="SQ171" s="3"/>
      <c r="SR171" s="3"/>
      <c r="SS171" s="3"/>
      <c r="ST171" s="3"/>
      <c r="SU171" s="3"/>
      <c r="SV171" s="3"/>
      <c r="SW171" s="3"/>
      <c r="SX171" s="3"/>
      <c r="SY171" s="3"/>
      <c r="SZ171" s="3"/>
      <c r="TA171" s="3"/>
      <c r="TB171" s="3"/>
      <c r="TC171" s="3"/>
      <c r="TD171" s="3"/>
      <c r="TE171" s="3"/>
      <c r="TF171" s="3"/>
      <c r="TG171" s="3"/>
      <c r="TH171" s="3"/>
      <c r="TI171" s="3"/>
      <c r="TJ171" s="3"/>
      <c r="TK171" s="3"/>
      <c r="TL171" s="3"/>
      <c r="TM171" s="3"/>
      <c r="TN171" s="3"/>
      <c r="TO171" s="3"/>
      <c r="TP171" s="3"/>
      <c r="TQ171" s="3"/>
      <c r="TR171" s="3"/>
      <c r="TS171" s="3"/>
      <c r="TT171" s="3"/>
      <c r="TU171" s="3"/>
      <c r="TV171" s="3"/>
      <c r="TW171" s="3"/>
      <c r="TX171" s="3"/>
      <c r="TY171" s="3"/>
      <c r="TZ171" s="3"/>
      <c r="UA171" s="3"/>
      <c r="UB171" s="3"/>
      <c r="UC171" s="3"/>
      <c r="UD171" s="3"/>
      <c r="UE171" s="3"/>
      <c r="UF171" s="3"/>
      <c r="UG171" s="3"/>
      <c r="UH171" s="3"/>
      <c r="UI171" s="3"/>
      <c r="UJ171" s="3"/>
      <c r="UK171" s="3"/>
      <c r="UL171" s="3"/>
      <c r="UM171" s="3"/>
      <c r="UN171" s="3"/>
      <c r="UO171" s="3"/>
      <c r="UP171" s="3"/>
      <c r="UQ171" s="3"/>
      <c r="UR171" s="3"/>
      <c r="US171" s="3"/>
      <c r="UT171" s="3"/>
      <c r="UU171" s="3"/>
      <c r="UV171" s="3"/>
      <c r="UW171" s="3"/>
      <c r="UX171" s="3"/>
      <c r="UY171" s="3"/>
      <c r="UZ171" s="3"/>
      <c r="VA171" s="3"/>
      <c r="VB171" s="3"/>
      <c r="VC171" s="3"/>
      <c r="VD171" s="3"/>
      <c r="VE171" s="3"/>
      <c r="VF171" s="3"/>
      <c r="VG171" s="3"/>
      <c r="VH171" s="3"/>
      <c r="VI171" s="3"/>
      <c r="VJ171" s="3"/>
      <c r="VK171" s="3"/>
      <c r="VL171" s="3"/>
      <c r="VM171" s="3"/>
      <c r="VN171" s="3"/>
      <c r="VO171" s="3"/>
      <c r="VP171" s="3"/>
      <c r="VQ171" s="3"/>
      <c r="VR171" s="3"/>
      <c r="VS171" s="3"/>
      <c r="VT171" s="3"/>
      <c r="VU171" s="3"/>
      <c r="VV171" s="3"/>
      <c r="VW171" s="3"/>
      <c r="VX171" s="3"/>
      <c r="VY171" s="3"/>
      <c r="VZ171" s="3"/>
      <c r="WA171" s="3"/>
      <c r="WB171" s="3"/>
      <c r="WC171" s="3"/>
      <c r="WD171" s="3"/>
      <c r="WE171" s="3"/>
      <c r="WF171" s="3"/>
      <c r="WG171" s="3"/>
      <c r="WH171" s="3"/>
      <c r="WI171" s="3"/>
      <c r="WJ171" s="3"/>
      <c r="WK171" s="3"/>
      <c r="WL171" s="3"/>
      <c r="WM171" s="3"/>
      <c r="WN171" s="3"/>
      <c r="WO171" s="3"/>
      <c r="WP171" s="3"/>
      <c r="WQ171" s="3"/>
      <c r="WR171" s="3"/>
      <c r="WS171" s="3"/>
      <c r="WT171" s="3"/>
      <c r="WU171" s="3"/>
      <c r="WV171" s="3"/>
      <c r="WW171" s="3"/>
      <c r="WX171" s="3"/>
      <c r="WY171" s="3"/>
      <c r="WZ171" s="3"/>
      <c r="XA171" s="3"/>
      <c r="XB171" s="3"/>
      <c r="XC171" s="3"/>
      <c r="XD171" s="3"/>
      <c r="XE171" s="3"/>
      <c r="XF171" s="3"/>
      <c r="XG171" s="3"/>
      <c r="XH171" s="3"/>
      <c r="XI171" s="3"/>
      <c r="XJ171" s="3"/>
      <c r="XK171" s="3"/>
      <c r="XL171" s="3"/>
      <c r="XM171" s="3"/>
      <c r="XN171" s="3"/>
      <c r="XO171" s="3"/>
      <c r="XP171" s="3"/>
      <c r="XQ171" s="3"/>
      <c r="XR171" s="3"/>
      <c r="XS171" s="3"/>
      <c r="XT171" s="3"/>
      <c r="XU171" s="3"/>
      <c r="XV171" s="3"/>
      <c r="XW171" s="3"/>
      <c r="XX171" s="3"/>
      <c r="XY171" s="3"/>
      <c r="XZ171" s="3"/>
      <c r="YA171" s="3"/>
      <c r="YB171" s="3"/>
      <c r="YC171" s="3"/>
      <c r="YD171" s="3"/>
      <c r="YE171" s="3"/>
      <c r="YF171" s="3"/>
      <c r="YG171" s="3"/>
      <c r="YH171" s="3"/>
      <c r="YI171" s="3"/>
      <c r="YJ171" s="3"/>
      <c r="YK171" s="3"/>
      <c r="YL171" s="3"/>
      <c r="YM171" s="3"/>
      <c r="YN171" s="3"/>
      <c r="YO171" s="3"/>
      <c r="YP171" s="3"/>
      <c r="YQ171" s="3"/>
      <c r="YR171" s="3"/>
      <c r="YS171" s="3"/>
      <c r="YT171" s="3"/>
      <c r="YU171" s="3"/>
      <c r="YV171" s="3"/>
      <c r="YW171" s="3"/>
      <c r="YX171" s="3"/>
      <c r="YY171" s="3"/>
      <c r="YZ171" s="3"/>
      <c r="ZA171" s="3"/>
      <c r="ZB171" s="3"/>
      <c r="ZC171" s="3"/>
    </row>
    <row r="172" spans="1:679" s="2" customFormat="1" x14ac:dyDescent="0.45">
      <c r="A172" s="3" t="s">
        <v>11</v>
      </c>
      <c r="B172" s="4">
        <v>35422</v>
      </c>
      <c r="C172" s="7" t="s">
        <v>25</v>
      </c>
      <c r="D172" s="6" t="s">
        <v>187</v>
      </c>
      <c r="E172" s="3"/>
      <c r="F172" s="3">
        <v>4</v>
      </c>
      <c r="L172" s="3"/>
      <c r="M172" s="3"/>
      <c r="N172" s="48"/>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c r="DE172" s="3"/>
      <c r="DF172" s="3"/>
      <c r="DG172" s="3"/>
      <c r="DH172" s="3"/>
      <c r="DI172" s="3"/>
      <c r="DJ172" s="3"/>
      <c r="DK172" s="3"/>
      <c r="DL172" s="3"/>
      <c r="DM172" s="3"/>
      <c r="DN172" s="3"/>
      <c r="DO172" s="3"/>
      <c r="DP172" s="3"/>
      <c r="DQ172" s="3"/>
      <c r="DR172" s="3"/>
      <c r="DS172" s="3"/>
      <c r="DT172" s="3"/>
      <c r="DU172" s="3"/>
      <c r="DV172" s="3"/>
      <c r="DW172" s="3"/>
      <c r="DX172" s="3"/>
      <c r="DY172" s="3"/>
      <c r="DZ172" s="3"/>
      <c r="EA172" s="3"/>
      <c r="EB172" s="3"/>
      <c r="EC172" s="3"/>
      <c r="ED172" s="3"/>
      <c r="EE172" s="3"/>
      <c r="EF172" s="3"/>
      <c r="EG172" s="3"/>
      <c r="EH172" s="3"/>
      <c r="EI172" s="3"/>
      <c r="EJ172" s="3"/>
      <c r="EK172" s="3"/>
      <c r="EL172" s="3"/>
      <c r="EM172" s="3"/>
      <c r="EN172" s="3"/>
      <c r="EO172" s="3"/>
      <c r="EP172" s="3"/>
      <c r="EQ172" s="3"/>
      <c r="ER172" s="3"/>
      <c r="ES172" s="3"/>
      <c r="ET172" s="3"/>
      <c r="EU172" s="3"/>
      <c r="EV172" s="3"/>
      <c r="EW172" s="3"/>
      <c r="EX172" s="3"/>
      <c r="EY172" s="3"/>
      <c r="EZ172" s="3"/>
      <c r="FA172" s="3"/>
      <c r="FB172" s="3"/>
      <c r="FC172" s="3"/>
      <c r="FD172" s="3"/>
      <c r="FE172" s="3"/>
      <c r="FF172" s="3"/>
      <c r="FG172" s="3"/>
      <c r="FH172" s="3"/>
      <c r="FI172" s="3"/>
      <c r="FJ172" s="3"/>
      <c r="FK172" s="3"/>
      <c r="FL172" s="3"/>
      <c r="FM172" s="3"/>
      <c r="FN172" s="3"/>
      <c r="FO172" s="3"/>
      <c r="FP172" s="3"/>
      <c r="FQ172" s="3"/>
      <c r="FR172" s="3"/>
      <c r="FS172" s="3"/>
      <c r="FT172" s="3"/>
      <c r="FU172" s="3"/>
      <c r="FV172" s="3"/>
      <c r="FW172" s="3"/>
      <c r="FX172" s="3"/>
      <c r="FY172" s="3"/>
      <c r="FZ172" s="3"/>
      <c r="GA172" s="3"/>
      <c r="GB172" s="3"/>
      <c r="GC172" s="3"/>
      <c r="GD172" s="3"/>
      <c r="GE172" s="3"/>
      <c r="GF172" s="3"/>
      <c r="GG172" s="3"/>
      <c r="GH172" s="3"/>
      <c r="GI172" s="3"/>
      <c r="GJ172" s="3"/>
      <c r="GK172" s="3"/>
      <c r="GL172" s="3"/>
      <c r="GM172" s="3"/>
      <c r="GN172" s="3"/>
      <c r="GO172" s="3"/>
      <c r="GP172" s="3"/>
      <c r="GQ172" s="3"/>
      <c r="GR172" s="3"/>
      <c r="GS172" s="3"/>
      <c r="GT172" s="3"/>
      <c r="GU172" s="3"/>
      <c r="GV172" s="3"/>
      <c r="GW172" s="3"/>
      <c r="GX172" s="3"/>
      <c r="GY172" s="3"/>
      <c r="GZ172" s="3"/>
      <c r="HA172" s="3"/>
      <c r="HB172" s="3"/>
      <c r="HC172" s="3"/>
      <c r="HD172" s="3"/>
      <c r="HE172" s="3"/>
      <c r="HF172" s="3"/>
      <c r="HG172" s="3"/>
      <c r="HH172" s="3"/>
      <c r="HI172" s="3"/>
      <c r="HJ172" s="3"/>
      <c r="HK172" s="3"/>
      <c r="HL172" s="3"/>
      <c r="HM172" s="3"/>
      <c r="HN172" s="3"/>
      <c r="HO172" s="3"/>
      <c r="HP172" s="3"/>
      <c r="HQ172" s="3"/>
      <c r="HR172" s="3"/>
      <c r="HS172" s="3"/>
      <c r="HT172" s="3"/>
      <c r="HU172" s="3"/>
      <c r="HV172" s="3"/>
      <c r="HW172" s="3"/>
      <c r="HX172" s="3"/>
      <c r="HY172" s="3"/>
      <c r="HZ172" s="3"/>
      <c r="IA172" s="3"/>
      <c r="IB172" s="3"/>
      <c r="IC172" s="3"/>
      <c r="ID172" s="3"/>
      <c r="IE172" s="3"/>
      <c r="IF172" s="3"/>
      <c r="IG172" s="3"/>
      <c r="IH172" s="3"/>
      <c r="II172" s="3"/>
      <c r="IJ172" s="3"/>
      <c r="IK172" s="3"/>
      <c r="IL172" s="3"/>
      <c r="IM172" s="3"/>
      <c r="IN172" s="3"/>
      <c r="IO172" s="3"/>
      <c r="IP172" s="3"/>
      <c r="IQ172" s="3"/>
      <c r="IR172" s="3"/>
      <c r="IS172" s="3"/>
      <c r="IT172" s="3"/>
      <c r="IU172" s="3"/>
      <c r="IV172" s="3"/>
      <c r="IW172" s="3"/>
      <c r="IX172" s="3"/>
      <c r="IY172" s="3"/>
      <c r="IZ172" s="3"/>
      <c r="JA172" s="3"/>
      <c r="JB172" s="3"/>
      <c r="JC172" s="3"/>
      <c r="JD172" s="3"/>
      <c r="JE172" s="3"/>
      <c r="JF172" s="3"/>
      <c r="JG172" s="3"/>
      <c r="JH172" s="3"/>
      <c r="JI172" s="3"/>
      <c r="JJ172" s="3"/>
      <c r="JK172" s="3"/>
      <c r="JL172" s="3"/>
      <c r="JM172" s="3"/>
      <c r="JN172" s="3"/>
      <c r="JO172" s="3"/>
      <c r="JP172" s="3"/>
      <c r="JQ172" s="3"/>
      <c r="JR172" s="3"/>
      <c r="JS172" s="3"/>
      <c r="JT172" s="3"/>
      <c r="JU172" s="3"/>
      <c r="JV172" s="3"/>
      <c r="JW172" s="3"/>
      <c r="JX172" s="3"/>
      <c r="JY172" s="3"/>
      <c r="JZ172" s="3"/>
      <c r="KA172" s="3"/>
      <c r="KB172" s="3"/>
      <c r="KC172" s="3"/>
      <c r="KD172" s="3"/>
      <c r="KE172" s="3"/>
      <c r="KF172" s="3"/>
      <c r="KG172" s="3"/>
      <c r="KH172" s="3"/>
      <c r="KI172" s="3"/>
      <c r="KJ172" s="3"/>
      <c r="KK172" s="3"/>
      <c r="KL172" s="3"/>
      <c r="KM172" s="3"/>
      <c r="KN172" s="3"/>
      <c r="KO172" s="3"/>
      <c r="KP172" s="3"/>
      <c r="KQ172" s="3"/>
      <c r="KR172" s="3"/>
      <c r="KS172" s="3"/>
      <c r="KT172" s="3"/>
      <c r="KU172" s="3"/>
      <c r="KV172" s="3"/>
      <c r="KW172" s="3"/>
      <c r="KX172" s="3"/>
      <c r="KY172" s="3"/>
      <c r="KZ172" s="3"/>
      <c r="LA172" s="3"/>
      <c r="LB172" s="3"/>
      <c r="LC172" s="3"/>
      <c r="LD172" s="3"/>
      <c r="LE172" s="3"/>
      <c r="LF172" s="3"/>
      <c r="LG172" s="3"/>
      <c r="LH172" s="3"/>
      <c r="LI172" s="3"/>
      <c r="LJ172" s="3"/>
      <c r="LK172" s="3"/>
      <c r="LL172" s="3"/>
      <c r="LM172" s="3"/>
      <c r="LN172" s="3"/>
      <c r="LO172" s="3"/>
      <c r="LP172" s="3"/>
      <c r="LQ172" s="3"/>
      <c r="LR172" s="3"/>
      <c r="LS172" s="3"/>
      <c r="LT172" s="3"/>
      <c r="LU172" s="3"/>
      <c r="LV172" s="3"/>
      <c r="LW172" s="3"/>
      <c r="LX172" s="3"/>
      <c r="LY172" s="3"/>
      <c r="LZ172" s="3"/>
      <c r="MA172" s="3"/>
      <c r="MB172" s="3"/>
      <c r="MC172" s="3"/>
      <c r="MD172" s="3"/>
      <c r="ME172" s="3"/>
      <c r="MF172" s="3"/>
      <c r="MG172" s="3"/>
      <c r="MH172" s="3"/>
      <c r="MI172" s="3"/>
      <c r="MJ172" s="3"/>
      <c r="MK172" s="3"/>
      <c r="ML172" s="3"/>
      <c r="MM172" s="3"/>
      <c r="MN172" s="3"/>
      <c r="MO172" s="3"/>
      <c r="MP172" s="3"/>
      <c r="MQ172" s="3"/>
      <c r="MR172" s="3"/>
      <c r="MS172" s="3"/>
      <c r="MT172" s="3"/>
      <c r="MU172" s="3"/>
      <c r="MV172" s="3"/>
      <c r="MW172" s="3"/>
      <c r="MX172" s="3"/>
      <c r="MY172" s="3"/>
      <c r="MZ172" s="3"/>
      <c r="NA172" s="3"/>
      <c r="NB172" s="3"/>
      <c r="NC172" s="3"/>
      <c r="ND172" s="3"/>
      <c r="NE172" s="3"/>
      <c r="NF172" s="3"/>
      <c r="NG172" s="3"/>
      <c r="NH172" s="3"/>
      <c r="NI172" s="3"/>
      <c r="NJ172" s="3"/>
      <c r="NK172" s="3"/>
      <c r="NL172" s="3"/>
      <c r="NM172" s="3"/>
      <c r="NN172" s="3"/>
      <c r="NO172" s="3"/>
      <c r="NP172" s="3"/>
      <c r="NQ172" s="3"/>
      <c r="NR172" s="3"/>
      <c r="NS172" s="3"/>
      <c r="NT172" s="3"/>
      <c r="NU172" s="3"/>
      <c r="NV172" s="3"/>
      <c r="NW172" s="3"/>
      <c r="NX172" s="3"/>
      <c r="NY172" s="3"/>
      <c r="NZ172" s="3"/>
      <c r="OA172" s="3"/>
      <c r="OB172" s="3"/>
      <c r="OC172" s="3"/>
      <c r="OD172" s="3"/>
      <c r="OE172" s="3"/>
      <c r="OF172" s="3"/>
      <c r="OG172" s="3"/>
      <c r="OH172" s="3"/>
      <c r="OI172" s="3"/>
      <c r="OJ172" s="3"/>
      <c r="OK172" s="3"/>
      <c r="OL172" s="3"/>
      <c r="OM172" s="3"/>
      <c r="ON172" s="3"/>
      <c r="OO172" s="3"/>
      <c r="OP172" s="3"/>
      <c r="OQ172" s="3"/>
      <c r="OR172" s="3"/>
      <c r="OS172" s="3"/>
      <c r="OT172" s="3"/>
      <c r="OU172" s="3"/>
      <c r="OV172" s="3"/>
      <c r="OW172" s="3"/>
      <c r="OX172" s="3"/>
      <c r="OY172" s="3"/>
      <c r="OZ172" s="3"/>
      <c r="PA172" s="3"/>
      <c r="PB172" s="3"/>
      <c r="PC172" s="3"/>
      <c r="PD172" s="3"/>
      <c r="PE172" s="3"/>
      <c r="PF172" s="3"/>
      <c r="PG172" s="3"/>
      <c r="PH172" s="3"/>
      <c r="PI172" s="3"/>
      <c r="PJ172" s="3"/>
      <c r="PK172" s="3"/>
      <c r="PL172" s="3"/>
      <c r="PM172" s="3"/>
      <c r="PN172" s="3"/>
      <c r="PO172" s="3"/>
      <c r="PP172" s="3"/>
      <c r="PQ172" s="3"/>
      <c r="PR172" s="3"/>
      <c r="PS172" s="3"/>
      <c r="PT172" s="3"/>
      <c r="PU172" s="3"/>
      <c r="PV172" s="3"/>
      <c r="PW172" s="3"/>
      <c r="PX172" s="3"/>
      <c r="PY172" s="3"/>
      <c r="PZ172" s="3"/>
      <c r="QA172" s="3"/>
      <c r="QB172" s="3"/>
      <c r="QC172" s="3"/>
      <c r="QD172" s="3"/>
      <c r="QE172" s="3"/>
      <c r="QF172" s="3"/>
      <c r="QG172" s="3"/>
      <c r="QH172" s="3"/>
      <c r="QI172" s="3"/>
      <c r="QJ172" s="3"/>
      <c r="QK172" s="3"/>
      <c r="QL172" s="3"/>
      <c r="QM172" s="3"/>
      <c r="QN172" s="3"/>
      <c r="QO172" s="3"/>
      <c r="QP172" s="3"/>
      <c r="QQ172" s="3"/>
      <c r="QR172" s="3"/>
      <c r="QS172" s="3"/>
      <c r="QT172" s="3"/>
      <c r="QU172" s="3"/>
      <c r="QV172" s="3"/>
      <c r="QW172" s="3"/>
      <c r="QX172" s="3"/>
      <c r="QY172" s="3"/>
      <c r="QZ172" s="3"/>
      <c r="RA172" s="3"/>
      <c r="RB172" s="3"/>
      <c r="RC172" s="3"/>
      <c r="RD172" s="3"/>
      <c r="RE172" s="3"/>
      <c r="RF172" s="3"/>
      <c r="RG172" s="3"/>
      <c r="RH172" s="3"/>
      <c r="RI172" s="3"/>
      <c r="RJ172" s="3"/>
      <c r="RK172" s="3"/>
      <c r="RL172" s="3"/>
      <c r="RM172" s="3"/>
      <c r="RN172" s="3"/>
      <c r="RO172" s="3"/>
      <c r="RP172" s="3"/>
      <c r="RQ172" s="3"/>
      <c r="RR172" s="3"/>
      <c r="RS172" s="3"/>
      <c r="RT172" s="3"/>
      <c r="RU172" s="3"/>
      <c r="RV172" s="3"/>
      <c r="RW172" s="3"/>
      <c r="RX172" s="3"/>
      <c r="RY172" s="3"/>
      <c r="RZ172" s="3"/>
      <c r="SA172" s="3"/>
      <c r="SB172" s="3"/>
      <c r="SC172" s="3"/>
      <c r="SD172" s="3"/>
      <c r="SE172" s="3"/>
      <c r="SF172" s="3"/>
      <c r="SG172" s="3"/>
      <c r="SH172" s="3"/>
      <c r="SI172" s="3"/>
      <c r="SJ172" s="3"/>
      <c r="SK172" s="3"/>
      <c r="SL172" s="3"/>
      <c r="SM172" s="3"/>
      <c r="SN172" s="3"/>
      <c r="SO172" s="3"/>
      <c r="SP172" s="3"/>
      <c r="SQ172" s="3"/>
      <c r="SR172" s="3"/>
      <c r="SS172" s="3"/>
      <c r="ST172" s="3"/>
      <c r="SU172" s="3"/>
      <c r="SV172" s="3"/>
      <c r="SW172" s="3"/>
      <c r="SX172" s="3"/>
      <c r="SY172" s="3"/>
      <c r="SZ172" s="3"/>
      <c r="TA172" s="3"/>
      <c r="TB172" s="3"/>
      <c r="TC172" s="3"/>
      <c r="TD172" s="3"/>
      <c r="TE172" s="3"/>
      <c r="TF172" s="3"/>
      <c r="TG172" s="3"/>
      <c r="TH172" s="3"/>
      <c r="TI172" s="3"/>
      <c r="TJ172" s="3"/>
      <c r="TK172" s="3"/>
      <c r="TL172" s="3"/>
      <c r="TM172" s="3"/>
      <c r="TN172" s="3"/>
      <c r="TO172" s="3"/>
      <c r="TP172" s="3"/>
      <c r="TQ172" s="3"/>
      <c r="TR172" s="3"/>
      <c r="TS172" s="3"/>
      <c r="TT172" s="3"/>
      <c r="TU172" s="3"/>
      <c r="TV172" s="3"/>
      <c r="TW172" s="3"/>
      <c r="TX172" s="3"/>
      <c r="TY172" s="3"/>
      <c r="TZ172" s="3"/>
      <c r="UA172" s="3"/>
      <c r="UB172" s="3"/>
      <c r="UC172" s="3"/>
      <c r="UD172" s="3"/>
      <c r="UE172" s="3"/>
      <c r="UF172" s="3"/>
      <c r="UG172" s="3"/>
      <c r="UH172" s="3"/>
      <c r="UI172" s="3"/>
      <c r="UJ172" s="3"/>
      <c r="UK172" s="3"/>
      <c r="UL172" s="3"/>
      <c r="UM172" s="3"/>
      <c r="UN172" s="3"/>
      <c r="UO172" s="3"/>
      <c r="UP172" s="3"/>
      <c r="UQ172" s="3"/>
      <c r="UR172" s="3"/>
      <c r="US172" s="3"/>
      <c r="UT172" s="3"/>
      <c r="UU172" s="3"/>
      <c r="UV172" s="3"/>
      <c r="UW172" s="3"/>
      <c r="UX172" s="3"/>
      <c r="UY172" s="3"/>
      <c r="UZ172" s="3"/>
      <c r="VA172" s="3"/>
      <c r="VB172" s="3"/>
      <c r="VC172" s="3"/>
      <c r="VD172" s="3"/>
      <c r="VE172" s="3"/>
      <c r="VF172" s="3"/>
      <c r="VG172" s="3"/>
      <c r="VH172" s="3"/>
      <c r="VI172" s="3"/>
      <c r="VJ172" s="3"/>
      <c r="VK172" s="3"/>
      <c r="VL172" s="3"/>
      <c r="VM172" s="3"/>
      <c r="VN172" s="3"/>
      <c r="VO172" s="3"/>
      <c r="VP172" s="3"/>
      <c r="VQ172" s="3"/>
      <c r="VR172" s="3"/>
      <c r="VS172" s="3"/>
      <c r="VT172" s="3"/>
      <c r="VU172" s="3"/>
      <c r="VV172" s="3"/>
      <c r="VW172" s="3"/>
      <c r="VX172" s="3"/>
      <c r="VY172" s="3"/>
      <c r="VZ172" s="3"/>
      <c r="WA172" s="3"/>
      <c r="WB172" s="3"/>
      <c r="WC172" s="3"/>
      <c r="WD172" s="3"/>
      <c r="WE172" s="3"/>
      <c r="WF172" s="3"/>
      <c r="WG172" s="3"/>
      <c r="WH172" s="3"/>
      <c r="WI172" s="3"/>
      <c r="WJ172" s="3"/>
      <c r="WK172" s="3"/>
      <c r="WL172" s="3"/>
      <c r="WM172" s="3"/>
      <c r="WN172" s="3"/>
      <c r="WO172" s="3"/>
      <c r="WP172" s="3"/>
      <c r="WQ172" s="3"/>
      <c r="WR172" s="3"/>
      <c r="WS172" s="3"/>
      <c r="WT172" s="3"/>
      <c r="WU172" s="3"/>
      <c r="WV172" s="3"/>
      <c r="WW172" s="3"/>
      <c r="WX172" s="3"/>
      <c r="WY172" s="3"/>
      <c r="WZ172" s="3"/>
      <c r="XA172" s="3"/>
      <c r="XB172" s="3"/>
      <c r="XC172" s="3"/>
      <c r="XD172" s="3"/>
      <c r="XE172" s="3"/>
      <c r="XF172" s="3"/>
      <c r="XG172" s="3"/>
      <c r="XH172" s="3"/>
      <c r="XI172" s="3"/>
      <c r="XJ172" s="3"/>
      <c r="XK172" s="3"/>
      <c r="XL172" s="3"/>
      <c r="XM172" s="3"/>
      <c r="XN172" s="3"/>
      <c r="XO172" s="3"/>
      <c r="XP172" s="3"/>
      <c r="XQ172" s="3"/>
      <c r="XR172" s="3"/>
      <c r="XS172" s="3"/>
      <c r="XT172" s="3"/>
      <c r="XU172" s="3"/>
      <c r="XV172" s="3"/>
      <c r="XW172" s="3"/>
      <c r="XX172" s="3"/>
      <c r="XY172" s="3"/>
      <c r="XZ172" s="3"/>
      <c r="YA172" s="3"/>
      <c r="YB172" s="3"/>
      <c r="YC172" s="3"/>
      <c r="YD172" s="3"/>
      <c r="YE172" s="3"/>
      <c r="YF172" s="3"/>
      <c r="YG172" s="3"/>
      <c r="YH172" s="3"/>
      <c r="YI172" s="3"/>
      <c r="YJ172" s="3"/>
      <c r="YK172" s="3"/>
      <c r="YL172" s="3"/>
      <c r="YM172" s="3"/>
      <c r="YN172" s="3"/>
      <c r="YO172" s="3"/>
      <c r="YP172" s="3"/>
      <c r="YQ172" s="3"/>
      <c r="YR172" s="3"/>
      <c r="YS172" s="3"/>
      <c r="YT172" s="3"/>
      <c r="YU172" s="3"/>
      <c r="YV172" s="3"/>
      <c r="YW172" s="3"/>
      <c r="YX172" s="3"/>
      <c r="YY172" s="3"/>
      <c r="YZ172" s="3"/>
      <c r="ZA172" s="3"/>
      <c r="ZB172" s="3"/>
      <c r="ZC172" s="3"/>
    </row>
    <row r="173" spans="1:679" s="2" customFormat="1" x14ac:dyDescent="0.45">
      <c r="A173" s="3" t="s">
        <v>11</v>
      </c>
      <c r="B173" s="4">
        <v>35496</v>
      </c>
      <c r="C173" s="7" t="s">
        <v>25</v>
      </c>
      <c r="D173" s="6" t="s">
        <v>188</v>
      </c>
      <c r="E173" s="3"/>
      <c r="F173" s="3">
        <v>27</v>
      </c>
      <c r="L173" s="3"/>
      <c r="M173" s="3"/>
      <c r="N173" s="48"/>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3"/>
      <c r="DI173" s="3"/>
      <c r="DJ173" s="3"/>
      <c r="DK173" s="3"/>
      <c r="DL173" s="3"/>
      <c r="DM173" s="3"/>
      <c r="DN173" s="3"/>
      <c r="DO173" s="3"/>
      <c r="DP173" s="3"/>
      <c r="DQ173" s="3"/>
      <c r="DR173" s="3"/>
      <c r="DS173" s="3"/>
      <c r="DT173" s="3"/>
      <c r="DU173" s="3"/>
      <c r="DV173" s="3"/>
      <c r="DW173" s="3"/>
      <c r="DX173" s="3"/>
      <c r="DY173" s="3"/>
      <c r="DZ173" s="3"/>
      <c r="EA173" s="3"/>
      <c r="EB173" s="3"/>
      <c r="EC173" s="3"/>
      <c r="ED173" s="3"/>
      <c r="EE173" s="3"/>
      <c r="EF173" s="3"/>
      <c r="EG173" s="3"/>
      <c r="EH173" s="3"/>
      <c r="EI173" s="3"/>
      <c r="EJ173" s="3"/>
      <c r="EK173" s="3"/>
      <c r="EL173" s="3"/>
      <c r="EM173" s="3"/>
      <c r="EN173" s="3"/>
      <c r="EO173" s="3"/>
      <c r="EP173" s="3"/>
      <c r="EQ173" s="3"/>
      <c r="ER173" s="3"/>
      <c r="ES173" s="3"/>
      <c r="ET173" s="3"/>
      <c r="EU173" s="3"/>
      <c r="EV173" s="3"/>
      <c r="EW173" s="3"/>
      <c r="EX173" s="3"/>
      <c r="EY173" s="3"/>
      <c r="EZ173" s="3"/>
      <c r="FA173" s="3"/>
      <c r="FB173" s="3"/>
      <c r="FC173" s="3"/>
      <c r="FD173" s="3"/>
      <c r="FE173" s="3"/>
      <c r="FF173" s="3"/>
      <c r="FG173" s="3"/>
      <c r="FH173" s="3"/>
      <c r="FI173" s="3"/>
      <c r="FJ173" s="3"/>
      <c r="FK173" s="3"/>
      <c r="FL173" s="3"/>
      <c r="FM173" s="3"/>
      <c r="FN173" s="3"/>
      <c r="FO173" s="3"/>
      <c r="FP173" s="3"/>
      <c r="FQ173" s="3"/>
      <c r="FR173" s="3"/>
      <c r="FS173" s="3"/>
      <c r="FT173" s="3"/>
      <c r="FU173" s="3"/>
      <c r="FV173" s="3"/>
      <c r="FW173" s="3"/>
      <c r="FX173" s="3"/>
      <c r="FY173" s="3"/>
      <c r="FZ173" s="3"/>
      <c r="GA173" s="3"/>
      <c r="GB173" s="3"/>
      <c r="GC173" s="3"/>
      <c r="GD173" s="3"/>
      <c r="GE173" s="3"/>
      <c r="GF173" s="3"/>
      <c r="GG173" s="3"/>
      <c r="GH173" s="3"/>
      <c r="GI173" s="3"/>
      <c r="GJ173" s="3"/>
      <c r="GK173" s="3"/>
      <c r="GL173" s="3"/>
      <c r="GM173" s="3"/>
      <c r="GN173" s="3"/>
      <c r="GO173" s="3"/>
      <c r="GP173" s="3"/>
      <c r="GQ173" s="3"/>
      <c r="GR173" s="3"/>
      <c r="GS173" s="3"/>
      <c r="GT173" s="3"/>
      <c r="GU173" s="3"/>
      <c r="GV173" s="3"/>
      <c r="GW173" s="3"/>
      <c r="GX173" s="3"/>
      <c r="GY173" s="3"/>
      <c r="GZ173" s="3"/>
      <c r="HA173" s="3"/>
      <c r="HB173" s="3"/>
      <c r="HC173" s="3"/>
      <c r="HD173" s="3"/>
      <c r="HE173" s="3"/>
      <c r="HF173" s="3"/>
      <c r="HG173" s="3"/>
      <c r="HH173" s="3"/>
      <c r="HI173" s="3"/>
      <c r="HJ173" s="3"/>
      <c r="HK173" s="3"/>
      <c r="HL173" s="3"/>
      <c r="HM173" s="3"/>
      <c r="HN173" s="3"/>
      <c r="HO173" s="3"/>
      <c r="HP173" s="3"/>
      <c r="HQ173" s="3"/>
      <c r="HR173" s="3"/>
      <c r="HS173" s="3"/>
      <c r="HT173" s="3"/>
      <c r="HU173" s="3"/>
      <c r="HV173" s="3"/>
      <c r="HW173" s="3"/>
      <c r="HX173" s="3"/>
      <c r="HY173" s="3"/>
      <c r="HZ173" s="3"/>
      <c r="IA173" s="3"/>
      <c r="IB173" s="3"/>
      <c r="IC173" s="3"/>
      <c r="ID173" s="3"/>
      <c r="IE173" s="3"/>
      <c r="IF173" s="3"/>
      <c r="IG173" s="3"/>
      <c r="IH173" s="3"/>
      <c r="II173" s="3"/>
      <c r="IJ173" s="3"/>
      <c r="IK173" s="3"/>
      <c r="IL173" s="3"/>
      <c r="IM173" s="3"/>
      <c r="IN173" s="3"/>
      <c r="IO173" s="3"/>
      <c r="IP173" s="3"/>
      <c r="IQ173" s="3"/>
      <c r="IR173" s="3"/>
      <c r="IS173" s="3"/>
      <c r="IT173" s="3"/>
      <c r="IU173" s="3"/>
      <c r="IV173" s="3"/>
      <c r="IW173" s="3"/>
      <c r="IX173" s="3"/>
      <c r="IY173" s="3"/>
      <c r="IZ173" s="3"/>
      <c r="JA173" s="3"/>
      <c r="JB173" s="3"/>
      <c r="JC173" s="3"/>
      <c r="JD173" s="3"/>
      <c r="JE173" s="3"/>
      <c r="JF173" s="3"/>
      <c r="JG173" s="3"/>
      <c r="JH173" s="3"/>
      <c r="JI173" s="3"/>
      <c r="JJ173" s="3"/>
      <c r="JK173" s="3"/>
      <c r="JL173" s="3"/>
      <c r="JM173" s="3"/>
      <c r="JN173" s="3"/>
      <c r="JO173" s="3"/>
      <c r="JP173" s="3"/>
      <c r="JQ173" s="3"/>
      <c r="JR173" s="3"/>
      <c r="JS173" s="3"/>
      <c r="JT173" s="3"/>
      <c r="JU173" s="3"/>
      <c r="JV173" s="3"/>
      <c r="JW173" s="3"/>
      <c r="JX173" s="3"/>
      <c r="JY173" s="3"/>
      <c r="JZ173" s="3"/>
      <c r="KA173" s="3"/>
      <c r="KB173" s="3"/>
      <c r="KC173" s="3"/>
      <c r="KD173" s="3"/>
      <c r="KE173" s="3"/>
      <c r="KF173" s="3"/>
      <c r="KG173" s="3"/>
      <c r="KH173" s="3"/>
      <c r="KI173" s="3"/>
      <c r="KJ173" s="3"/>
      <c r="KK173" s="3"/>
      <c r="KL173" s="3"/>
      <c r="KM173" s="3"/>
      <c r="KN173" s="3"/>
      <c r="KO173" s="3"/>
      <c r="KP173" s="3"/>
      <c r="KQ173" s="3"/>
      <c r="KR173" s="3"/>
      <c r="KS173" s="3"/>
      <c r="KT173" s="3"/>
      <c r="KU173" s="3"/>
      <c r="KV173" s="3"/>
      <c r="KW173" s="3"/>
      <c r="KX173" s="3"/>
      <c r="KY173" s="3"/>
      <c r="KZ173" s="3"/>
      <c r="LA173" s="3"/>
      <c r="LB173" s="3"/>
      <c r="LC173" s="3"/>
      <c r="LD173" s="3"/>
      <c r="LE173" s="3"/>
      <c r="LF173" s="3"/>
      <c r="LG173" s="3"/>
      <c r="LH173" s="3"/>
      <c r="LI173" s="3"/>
      <c r="LJ173" s="3"/>
      <c r="LK173" s="3"/>
      <c r="LL173" s="3"/>
      <c r="LM173" s="3"/>
      <c r="LN173" s="3"/>
      <c r="LO173" s="3"/>
      <c r="LP173" s="3"/>
      <c r="LQ173" s="3"/>
      <c r="LR173" s="3"/>
      <c r="LS173" s="3"/>
      <c r="LT173" s="3"/>
      <c r="LU173" s="3"/>
      <c r="LV173" s="3"/>
      <c r="LW173" s="3"/>
      <c r="LX173" s="3"/>
      <c r="LY173" s="3"/>
      <c r="LZ173" s="3"/>
      <c r="MA173" s="3"/>
      <c r="MB173" s="3"/>
      <c r="MC173" s="3"/>
      <c r="MD173" s="3"/>
      <c r="ME173" s="3"/>
      <c r="MF173" s="3"/>
      <c r="MG173" s="3"/>
      <c r="MH173" s="3"/>
      <c r="MI173" s="3"/>
      <c r="MJ173" s="3"/>
      <c r="MK173" s="3"/>
      <c r="ML173" s="3"/>
      <c r="MM173" s="3"/>
      <c r="MN173" s="3"/>
      <c r="MO173" s="3"/>
      <c r="MP173" s="3"/>
      <c r="MQ173" s="3"/>
      <c r="MR173" s="3"/>
      <c r="MS173" s="3"/>
      <c r="MT173" s="3"/>
      <c r="MU173" s="3"/>
      <c r="MV173" s="3"/>
      <c r="MW173" s="3"/>
      <c r="MX173" s="3"/>
      <c r="MY173" s="3"/>
      <c r="MZ173" s="3"/>
      <c r="NA173" s="3"/>
      <c r="NB173" s="3"/>
      <c r="NC173" s="3"/>
      <c r="ND173" s="3"/>
      <c r="NE173" s="3"/>
      <c r="NF173" s="3"/>
      <c r="NG173" s="3"/>
      <c r="NH173" s="3"/>
      <c r="NI173" s="3"/>
      <c r="NJ173" s="3"/>
      <c r="NK173" s="3"/>
      <c r="NL173" s="3"/>
      <c r="NM173" s="3"/>
      <c r="NN173" s="3"/>
      <c r="NO173" s="3"/>
      <c r="NP173" s="3"/>
      <c r="NQ173" s="3"/>
      <c r="NR173" s="3"/>
      <c r="NS173" s="3"/>
      <c r="NT173" s="3"/>
      <c r="NU173" s="3"/>
      <c r="NV173" s="3"/>
      <c r="NW173" s="3"/>
      <c r="NX173" s="3"/>
      <c r="NY173" s="3"/>
      <c r="NZ173" s="3"/>
      <c r="OA173" s="3"/>
      <c r="OB173" s="3"/>
      <c r="OC173" s="3"/>
      <c r="OD173" s="3"/>
      <c r="OE173" s="3"/>
      <c r="OF173" s="3"/>
      <c r="OG173" s="3"/>
      <c r="OH173" s="3"/>
      <c r="OI173" s="3"/>
      <c r="OJ173" s="3"/>
      <c r="OK173" s="3"/>
      <c r="OL173" s="3"/>
      <c r="OM173" s="3"/>
      <c r="ON173" s="3"/>
      <c r="OO173" s="3"/>
      <c r="OP173" s="3"/>
      <c r="OQ173" s="3"/>
      <c r="OR173" s="3"/>
      <c r="OS173" s="3"/>
      <c r="OT173" s="3"/>
      <c r="OU173" s="3"/>
      <c r="OV173" s="3"/>
      <c r="OW173" s="3"/>
      <c r="OX173" s="3"/>
      <c r="OY173" s="3"/>
      <c r="OZ173" s="3"/>
      <c r="PA173" s="3"/>
      <c r="PB173" s="3"/>
      <c r="PC173" s="3"/>
      <c r="PD173" s="3"/>
      <c r="PE173" s="3"/>
      <c r="PF173" s="3"/>
      <c r="PG173" s="3"/>
      <c r="PH173" s="3"/>
      <c r="PI173" s="3"/>
      <c r="PJ173" s="3"/>
      <c r="PK173" s="3"/>
      <c r="PL173" s="3"/>
      <c r="PM173" s="3"/>
      <c r="PN173" s="3"/>
      <c r="PO173" s="3"/>
      <c r="PP173" s="3"/>
      <c r="PQ173" s="3"/>
      <c r="PR173" s="3"/>
      <c r="PS173" s="3"/>
      <c r="PT173" s="3"/>
      <c r="PU173" s="3"/>
      <c r="PV173" s="3"/>
      <c r="PW173" s="3"/>
      <c r="PX173" s="3"/>
      <c r="PY173" s="3"/>
      <c r="PZ173" s="3"/>
      <c r="QA173" s="3"/>
      <c r="QB173" s="3"/>
      <c r="QC173" s="3"/>
      <c r="QD173" s="3"/>
      <c r="QE173" s="3"/>
      <c r="QF173" s="3"/>
      <c r="QG173" s="3"/>
      <c r="QH173" s="3"/>
      <c r="QI173" s="3"/>
      <c r="QJ173" s="3"/>
      <c r="QK173" s="3"/>
      <c r="QL173" s="3"/>
      <c r="QM173" s="3"/>
      <c r="QN173" s="3"/>
      <c r="QO173" s="3"/>
      <c r="QP173" s="3"/>
      <c r="QQ173" s="3"/>
      <c r="QR173" s="3"/>
      <c r="QS173" s="3"/>
      <c r="QT173" s="3"/>
      <c r="QU173" s="3"/>
      <c r="QV173" s="3"/>
      <c r="QW173" s="3"/>
      <c r="QX173" s="3"/>
      <c r="QY173" s="3"/>
      <c r="QZ173" s="3"/>
      <c r="RA173" s="3"/>
      <c r="RB173" s="3"/>
      <c r="RC173" s="3"/>
      <c r="RD173" s="3"/>
      <c r="RE173" s="3"/>
      <c r="RF173" s="3"/>
      <c r="RG173" s="3"/>
      <c r="RH173" s="3"/>
      <c r="RI173" s="3"/>
      <c r="RJ173" s="3"/>
      <c r="RK173" s="3"/>
      <c r="RL173" s="3"/>
      <c r="RM173" s="3"/>
      <c r="RN173" s="3"/>
      <c r="RO173" s="3"/>
      <c r="RP173" s="3"/>
      <c r="RQ173" s="3"/>
      <c r="RR173" s="3"/>
      <c r="RS173" s="3"/>
      <c r="RT173" s="3"/>
      <c r="RU173" s="3"/>
      <c r="RV173" s="3"/>
      <c r="RW173" s="3"/>
      <c r="RX173" s="3"/>
      <c r="RY173" s="3"/>
      <c r="RZ173" s="3"/>
      <c r="SA173" s="3"/>
      <c r="SB173" s="3"/>
      <c r="SC173" s="3"/>
      <c r="SD173" s="3"/>
      <c r="SE173" s="3"/>
      <c r="SF173" s="3"/>
      <c r="SG173" s="3"/>
      <c r="SH173" s="3"/>
      <c r="SI173" s="3"/>
      <c r="SJ173" s="3"/>
      <c r="SK173" s="3"/>
      <c r="SL173" s="3"/>
      <c r="SM173" s="3"/>
      <c r="SN173" s="3"/>
      <c r="SO173" s="3"/>
      <c r="SP173" s="3"/>
      <c r="SQ173" s="3"/>
      <c r="SR173" s="3"/>
      <c r="SS173" s="3"/>
      <c r="ST173" s="3"/>
      <c r="SU173" s="3"/>
      <c r="SV173" s="3"/>
      <c r="SW173" s="3"/>
      <c r="SX173" s="3"/>
      <c r="SY173" s="3"/>
      <c r="SZ173" s="3"/>
      <c r="TA173" s="3"/>
      <c r="TB173" s="3"/>
      <c r="TC173" s="3"/>
      <c r="TD173" s="3"/>
      <c r="TE173" s="3"/>
      <c r="TF173" s="3"/>
      <c r="TG173" s="3"/>
      <c r="TH173" s="3"/>
      <c r="TI173" s="3"/>
      <c r="TJ173" s="3"/>
      <c r="TK173" s="3"/>
      <c r="TL173" s="3"/>
      <c r="TM173" s="3"/>
      <c r="TN173" s="3"/>
      <c r="TO173" s="3"/>
      <c r="TP173" s="3"/>
      <c r="TQ173" s="3"/>
      <c r="TR173" s="3"/>
      <c r="TS173" s="3"/>
      <c r="TT173" s="3"/>
      <c r="TU173" s="3"/>
      <c r="TV173" s="3"/>
      <c r="TW173" s="3"/>
      <c r="TX173" s="3"/>
      <c r="TY173" s="3"/>
      <c r="TZ173" s="3"/>
      <c r="UA173" s="3"/>
      <c r="UB173" s="3"/>
      <c r="UC173" s="3"/>
      <c r="UD173" s="3"/>
      <c r="UE173" s="3"/>
      <c r="UF173" s="3"/>
      <c r="UG173" s="3"/>
      <c r="UH173" s="3"/>
      <c r="UI173" s="3"/>
      <c r="UJ173" s="3"/>
      <c r="UK173" s="3"/>
      <c r="UL173" s="3"/>
      <c r="UM173" s="3"/>
      <c r="UN173" s="3"/>
      <c r="UO173" s="3"/>
      <c r="UP173" s="3"/>
      <c r="UQ173" s="3"/>
      <c r="UR173" s="3"/>
      <c r="US173" s="3"/>
      <c r="UT173" s="3"/>
      <c r="UU173" s="3"/>
      <c r="UV173" s="3"/>
      <c r="UW173" s="3"/>
      <c r="UX173" s="3"/>
      <c r="UY173" s="3"/>
      <c r="UZ173" s="3"/>
      <c r="VA173" s="3"/>
      <c r="VB173" s="3"/>
      <c r="VC173" s="3"/>
      <c r="VD173" s="3"/>
      <c r="VE173" s="3"/>
      <c r="VF173" s="3"/>
      <c r="VG173" s="3"/>
      <c r="VH173" s="3"/>
      <c r="VI173" s="3"/>
      <c r="VJ173" s="3"/>
      <c r="VK173" s="3"/>
      <c r="VL173" s="3"/>
      <c r="VM173" s="3"/>
      <c r="VN173" s="3"/>
      <c r="VO173" s="3"/>
      <c r="VP173" s="3"/>
      <c r="VQ173" s="3"/>
      <c r="VR173" s="3"/>
      <c r="VS173" s="3"/>
      <c r="VT173" s="3"/>
      <c r="VU173" s="3"/>
      <c r="VV173" s="3"/>
      <c r="VW173" s="3"/>
      <c r="VX173" s="3"/>
      <c r="VY173" s="3"/>
      <c r="VZ173" s="3"/>
      <c r="WA173" s="3"/>
      <c r="WB173" s="3"/>
      <c r="WC173" s="3"/>
      <c r="WD173" s="3"/>
      <c r="WE173" s="3"/>
      <c r="WF173" s="3"/>
      <c r="WG173" s="3"/>
      <c r="WH173" s="3"/>
      <c r="WI173" s="3"/>
      <c r="WJ173" s="3"/>
      <c r="WK173" s="3"/>
      <c r="WL173" s="3"/>
      <c r="WM173" s="3"/>
      <c r="WN173" s="3"/>
      <c r="WO173" s="3"/>
      <c r="WP173" s="3"/>
      <c r="WQ173" s="3"/>
      <c r="WR173" s="3"/>
      <c r="WS173" s="3"/>
      <c r="WT173" s="3"/>
      <c r="WU173" s="3"/>
      <c r="WV173" s="3"/>
      <c r="WW173" s="3"/>
      <c r="WX173" s="3"/>
      <c r="WY173" s="3"/>
      <c r="WZ173" s="3"/>
      <c r="XA173" s="3"/>
      <c r="XB173" s="3"/>
      <c r="XC173" s="3"/>
      <c r="XD173" s="3"/>
      <c r="XE173" s="3"/>
      <c r="XF173" s="3"/>
      <c r="XG173" s="3"/>
      <c r="XH173" s="3"/>
      <c r="XI173" s="3"/>
      <c r="XJ173" s="3"/>
      <c r="XK173" s="3"/>
      <c r="XL173" s="3"/>
      <c r="XM173" s="3"/>
      <c r="XN173" s="3"/>
      <c r="XO173" s="3"/>
      <c r="XP173" s="3"/>
      <c r="XQ173" s="3"/>
      <c r="XR173" s="3"/>
      <c r="XS173" s="3"/>
      <c r="XT173" s="3"/>
      <c r="XU173" s="3"/>
      <c r="XV173" s="3"/>
      <c r="XW173" s="3"/>
      <c r="XX173" s="3"/>
      <c r="XY173" s="3"/>
      <c r="XZ173" s="3"/>
      <c r="YA173" s="3"/>
      <c r="YB173" s="3"/>
      <c r="YC173" s="3"/>
      <c r="YD173" s="3"/>
      <c r="YE173" s="3"/>
      <c r="YF173" s="3"/>
      <c r="YG173" s="3"/>
      <c r="YH173" s="3"/>
      <c r="YI173" s="3"/>
      <c r="YJ173" s="3"/>
      <c r="YK173" s="3"/>
      <c r="YL173" s="3"/>
      <c r="YM173" s="3"/>
      <c r="YN173" s="3"/>
      <c r="YO173" s="3"/>
      <c r="YP173" s="3"/>
      <c r="YQ173" s="3"/>
      <c r="YR173" s="3"/>
      <c r="YS173" s="3"/>
      <c r="YT173" s="3"/>
      <c r="YU173" s="3"/>
      <c r="YV173" s="3"/>
      <c r="YW173" s="3"/>
      <c r="YX173" s="3"/>
      <c r="YY173" s="3"/>
      <c r="YZ173" s="3"/>
      <c r="ZA173" s="3"/>
      <c r="ZB173" s="3"/>
      <c r="ZC173" s="3"/>
    </row>
    <row r="174" spans="1:679" s="2" customFormat="1" x14ac:dyDescent="0.45">
      <c r="A174" s="3" t="s">
        <v>11</v>
      </c>
      <c r="B174" s="4">
        <v>35501</v>
      </c>
      <c r="C174" s="7" t="s">
        <v>21</v>
      </c>
      <c r="D174" s="6" t="s">
        <v>189</v>
      </c>
      <c r="E174" s="3"/>
      <c r="F174" s="3">
        <v>13</v>
      </c>
      <c r="L174" s="3"/>
      <c r="M174" s="3"/>
      <c r="N174" s="48"/>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c r="DK174" s="3"/>
      <c r="DL174" s="3"/>
      <c r="DM174" s="3"/>
      <c r="DN174" s="3"/>
      <c r="DO174" s="3"/>
      <c r="DP174" s="3"/>
      <c r="DQ174" s="3"/>
      <c r="DR174" s="3"/>
      <c r="DS174" s="3"/>
      <c r="DT174" s="3"/>
      <c r="DU174" s="3"/>
      <c r="DV174" s="3"/>
      <c r="DW174" s="3"/>
      <c r="DX174" s="3"/>
      <c r="DY174" s="3"/>
      <c r="DZ174" s="3"/>
      <c r="EA174" s="3"/>
      <c r="EB174" s="3"/>
      <c r="EC174" s="3"/>
      <c r="ED174" s="3"/>
      <c r="EE174" s="3"/>
      <c r="EF174" s="3"/>
      <c r="EG174" s="3"/>
      <c r="EH174" s="3"/>
      <c r="EI174" s="3"/>
      <c r="EJ174" s="3"/>
      <c r="EK174" s="3"/>
      <c r="EL174" s="3"/>
      <c r="EM174" s="3"/>
      <c r="EN174" s="3"/>
      <c r="EO174" s="3"/>
      <c r="EP174" s="3"/>
      <c r="EQ174" s="3"/>
      <c r="ER174" s="3"/>
      <c r="ES174" s="3"/>
      <c r="ET174" s="3"/>
      <c r="EU174" s="3"/>
      <c r="EV174" s="3"/>
      <c r="EW174" s="3"/>
      <c r="EX174" s="3"/>
      <c r="EY174" s="3"/>
      <c r="EZ174" s="3"/>
      <c r="FA174" s="3"/>
      <c r="FB174" s="3"/>
      <c r="FC174" s="3"/>
      <c r="FD174" s="3"/>
      <c r="FE174" s="3"/>
      <c r="FF174" s="3"/>
      <c r="FG174" s="3"/>
      <c r="FH174" s="3"/>
      <c r="FI174" s="3"/>
      <c r="FJ174" s="3"/>
      <c r="FK174" s="3"/>
      <c r="FL174" s="3"/>
      <c r="FM174" s="3"/>
      <c r="FN174" s="3"/>
      <c r="FO174" s="3"/>
      <c r="FP174" s="3"/>
      <c r="FQ174" s="3"/>
      <c r="FR174" s="3"/>
      <c r="FS174" s="3"/>
      <c r="FT174" s="3"/>
      <c r="FU174" s="3"/>
      <c r="FV174" s="3"/>
      <c r="FW174" s="3"/>
      <c r="FX174" s="3"/>
      <c r="FY174" s="3"/>
      <c r="FZ174" s="3"/>
      <c r="GA174" s="3"/>
      <c r="GB174" s="3"/>
      <c r="GC174" s="3"/>
      <c r="GD174" s="3"/>
      <c r="GE174" s="3"/>
      <c r="GF174" s="3"/>
      <c r="GG174" s="3"/>
      <c r="GH174" s="3"/>
      <c r="GI174" s="3"/>
      <c r="GJ174" s="3"/>
      <c r="GK174" s="3"/>
      <c r="GL174" s="3"/>
      <c r="GM174" s="3"/>
      <c r="GN174" s="3"/>
      <c r="GO174" s="3"/>
      <c r="GP174" s="3"/>
      <c r="GQ174" s="3"/>
      <c r="GR174" s="3"/>
      <c r="GS174" s="3"/>
      <c r="GT174" s="3"/>
      <c r="GU174" s="3"/>
      <c r="GV174" s="3"/>
      <c r="GW174" s="3"/>
      <c r="GX174" s="3"/>
      <c r="GY174" s="3"/>
      <c r="GZ174" s="3"/>
      <c r="HA174" s="3"/>
      <c r="HB174" s="3"/>
      <c r="HC174" s="3"/>
      <c r="HD174" s="3"/>
      <c r="HE174" s="3"/>
      <c r="HF174" s="3"/>
      <c r="HG174" s="3"/>
      <c r="HH174" s="3"/>
      <c r="HI174" s="3"/>
      <c r="HJ174" s="3"/>
      <c r="HK174" s="3"/>
      <c r="HL174" s="3"/>
      <c r="HM174" s="3"/>
      <c r="HN174" s="3"/>
      <c r="HO174" s="3"/>
      <c r="HP174" s="3"/>
      <c r="HQ174" s="3"/>
      <c r="HR174" s="3"/>
      <c r="HS174" s="3"/>
      <c r="HT174" s="3"/>
      <c r="HU174" s="3"/>
      <c r="HV174" s="3"/>
      <c r="HW174" s="3"/>
      <c r="HX174" s="3"/>
      <c r="HY174" s="3"/>
      <c r="HZ174" s="3"/>
      <c r="IA174" s="3"/>
      <c r="IB174" s="3"/>
      <c r="IC174" s="3"/>
      <c r="ID174" s="3"/>
      <c r="IE174" s="3"/>
      <c r="IF174" s="3"/>
      <c r="IG174" s="3"/>
      <c r="IH174" s="3"/>
      <c r="II174" s="3"/>
      <c r="IJ174" s="3"/>
      <c r="IK174" s="3"/>
      <c r="IL174" s="3"/>
      <c r="IM174" s="3"/>
      <c r="IN174" s="3"/>
      <c r="IO174" s="3"/>
      <c r="IP174" s="3"/>
      <c r="IQ174" s="3"/>
      <c r="IR174" s="3"/>
      <c r="IS174" s="3"/>
      <c r="IT174" s="3"/>
      <c r="IU174" s="3"/>
      <c r="IV174" s="3"/>
      <c r="IW174" s="3"/>
      <c r="IX174" s="3"/>
      <c r="IY174" s="3"/>
      <c r="IZ174" s="3"/>
      <c r="JA174" s="3"/>
      <c r="JB174" s="3"/>
      <c r="JC174" s="3"/>
      <c r="JD174" s="3"/>
      <c r="JE174" s="3"/>
      <c r="JF174" s="3"/>
      <c r="JG174" s="3"/>
      <c r="JH174" s="3"/>
      <c r="JI174" s="3"/>
      <c r="JJ174" s="3"/>
      <c r="JK174" s="3"/>
      <c r="JL174" s="3"/>
      <c r="JM174" s="3"/>
      <c r="JN174" s="3"/>
      <c r="JO174" s="3"/>
      <c r="JP174" s="3"/>
      <c r="JQ174" s="3"/>
      <c r="JR174" s="3"/>
      <c r="JS174" s="3"/>
      <c r="JT174" s="3"/>
      <c r="JU174" s="3"/>
      <c r="JV174" s="3"/>
      <c r="JW174" s="3"/>
      <c r="JX174" s="3"/>
      <c r="JY174" s="3"/>
      <c r="JZ174" s="3"/>
      <c r="KA174" s="3"/>
      <c r="KB174" s="3"/>
      <c r="KC174" s="3"/>
      <c r="KD174" s="3"/>
      <c r="KE174" s="3"/>
      <c r="KF174" s="3"/>
      <c r="KG174" s="3"/>
      <c r="KH174" s="3"/>
      <c r="KI174" s="3"/>
      <c r="KJ174" s="3"/>
      <c r="KK174" s="3"/>
      <c r="KL174" s="3"/>
      <c r="KM174" s="3"/>
      <c r="KN174" s="3"/>
      <c r="KO174" s="3"/>
      <c r="KP174" s="3"/>
      <c r="KQ174" s="3"/>
      <c r="KR174" s="3"/>
      <c r="KS174" s="3"/>
      <c r="KT174" s="3"/>
      <c r="KU174" s="3"/>
      <c r="KV174" s="3"/>
      <c r="KW174" s="3"/>
      <c r="KX174" s="3"/>
      <c r="KY174" s="3"/>
      <c r="KZ174" s="3"/>
      <c r="LA174" s="3"/>
      <c r="LB174" s="3"/>
      <c r="LC174" s="3"/>
      <c r="LD174" s="3"/>
      <c r="LE174" s="3"/>
      <c r="LF174" s="3"/>
      <c r="LG174" s="3"/>
      <c r="LH174" s="3"/>
      <c r="LI174" s="3"/>
      <c r="LJ174" s="3"/>
      <c r="LK174" s="3"/>
      <c r="LL174" s="3"/>
      <c r="LM174" s="3"/>
      <c r="LN174" s="3"/>
      <c r="LO174" s="3"/>
      <c r="LP174" s="3"/>
      <c r="LQ174" s="3"/>
      <c r="LR174" s="3"/>
      <c r="LS174" s="3"/>
      <c r="LT174" s="3"/>
      <c r="LU174" s="3"/>
      <c r="LV174" s="3"/>
      <c r="LW174" s="3"/>
      <c r="LX174" s="3"/>
      <c r="LY174" s="3"/>
      <c r="LZ174" s="3"/>
      <c r="MA174" s="3"/>
      <c r="MB174" s="3"/>
      <c r="MC174" s="3"/>
      <c r="MD174" s="3"/>
      <c r="ME174" s="3"/>
      <c r="MF174" s="3"/>
      <c r="MG174" s="3"/>
      <c r="MH174" s="3"/>
      <c r="MI174" s="3"/>
      <c r="MJ174" s="3"/>
      <c r="MK174" s="3"/>
      <c r="ML174" s="3"/>
      <c r="MM174" s="3"/>
      <c r="MN174" s="3"/>
      <c r="MO174" s="3"/>
      <c r="MP174" s="3"/>
      <c r="MQ174" s="3"/>
      <c r="MR174" s="3"/>
      <c r="MS174" s="3"/>
      <c r="MT174" s="3"/>
      <c r="MU174" s="3"/>
      <c r="MV174" s="3"/>
      <c r="MW174" s="3"/>
      <c r="MX174" s="3"/>
      <c r="MY174" s="3"/>
      <c r="MZ174" s="3"/>
      <c r="NA174" s="3"/>
      <c r="NB174" s="3"/>
      <c r="NC174" s="3"/>
      <c r="ND174" s="3"/>
      <c r="NE174" s="3"/>
      <c r="NF174" s="3"/>
      <c r="NG174" s="3"/>
      <c r="NH174" s="3"/>
      <c r="NI174" s="3"/>
      <c r="NJ174" s="3"/>
      <c r="NK174" s="3"/>
      <c r="NL174" s="3"/>
      <c r="NM174" s="3"/>
      <c r="NN174" s="3"/>
      <c r="NO174" s="3"/>
      <c r="NP174" s="3"/>
      <c r="NQ174" s="3"/>
      <c r="NR174" s="3"/>
      <c r="NS174" s="3"/>
      <c r="NT174" s="3"/>
      <c r="NU174" s="3"/>
      <c r="NV174" s="3"/>
      <c r="NW174" s="3"/>
      <c r="NX174" s="3"/>
      <c r="NY174" s="3"/>
      <c r="NZ174" s="3"/>
      <c r="OA174" s="3"/>
      <c r="OB174" s="3"/>
      <c r="OC174" s="3"/>
      <c r="OD174" s="3"/>
      <c r="OE174" s="3"/>
      <c r="OF174" s="3"/>
      <c r="OG174" s="3"/>
      <c r="OH174" s="3"/>
      <c r="OI174" s="3"/>
      <c r="OJ174" s="3"/>
      <c r="OK174" s="3"/>
      <c r="OL174" s="3"/>
      <c r="OM174" s="3"/>
      <c r="ON174" s="3"/>
      <c r="OO174" s="3"/>
      <c r="OP174" s="3"/>
      <c r="OQ174" s="3"/>
      <c r="OR174" s="3"/>
      <c r="OS174" s="3"/>
      <c r="OT174" s="3"/>
      <c r="OU174" s="3"/>
      <c r="OV174" s="3"/>
      <c r="OW174" s="3"/>
      <c r="OX174" s="3"/>
      <c r="OY174" s="3"/>
      <c r="OZ174" s="3"/>
      <c r="PA174" s="3"/>
      <c r="PB174" s="3"/>
      <c r="PC174" s="3"/>
      <c r="PD174" s="3"/>
      <c r="PE174" s="3"/>
      <c r="PF174" s="3"/>
      <c r="PG174" s="3"/>
      <c r="PH174" s="3"/>
      <c r="PI174" s="3"/>
      <c r="PJ174" s="3"/>
      <c r="PK174" s="3"/>
      <c r="PL174" s="3"/>
      <c r="PM174" s="3"/>
      <c r="PN174" s="3"/>
      <c r="PO174" s="3"/>
      <c r="PP174" s="3"/>
      <c r="PQ174" s="3"/>
      <c r="PR174" s="3"/>
      <c r="PS174" s="3"/>
      <c r="PT174" s="3"/>
      <c r="PU174" s="3"/>
      <c r="PV174" s="3"/>
      <c r="PW174" s="3"/>
      <c r="PX174" s="3"/>
      <c r="PY174" s="3"/>
      <c r="PZ174" s="3"/>
      <c r="QA174" s="3"/>
      <c r="QB174" s="3"/>
      <c r="QC174" s="3"/>
      <c r="QD174" s="3"/>
      <c r="QE174" s="3"/>
      <c r="QF174" s="3"/>
      <c r="QG174" s="3"/>
      <c r="QH174" s="3"/>
      <c r="QI174" s="3"/>
      <c r="QJ174" s="3"/>
      <c r="QK174" s="3"/>
      <c r="QL174" s="3"/>
      <c r="QM174" s="3"/>
      <c r="QN174" s="3"/>
      <c r="QO174" s="3"/>
      <c r="QP174" s="3"/>
      <c r="QQ174" s="3"/>
      <c r="QR174" s="3"/>
      <c r="QS174" s="3"/>
      <c r="QT174" s="3"/>
      <c r="QU174" s="3"/>
      <c r="QV174" s="3"/>
      <c r="QW174" s="3"/>
      <c r="QX174" s="3"/>
      <c r="QY174" s="3"/>
      <c r="QZ174" s="3"/>
      <c r="RA174" s="3"/>
      <c r="RB174" s="3"/>
      <c r="RC174" s="3"/>
      <c r="RD174" s="3"/>
      <c r="RE174" s="3"/>
      <c r="RF174" s="3"/>
      <c r="RG174" s="3"/>
      <c r="RH174" s="3"/>
      <c r="RI174" s="3"/>
      <c r="RJ174" s="3"/>
      <c r="RK174" s="3"/>
      <c r="RL174" s="3"/>
      <c r="RM174" s="3"/>
      <c r="RN174" s="3"/>
      <c r="RO174" s="3"/>
      <c r="RP174" s="3"/>
      <c r="RQ174" s="3"/>
      <c r="RR174" s="3"/>
      <c r="RS174" s="3"/>
      <c r="RT174" s="3"/>
      <c r="RU174" s="3"/>
      <c r="RV174" s="3"/>
      <c r="RW174" s="3"/>
      <c r="RX174" s="3"/>
      <c r="RY174" s="3"/>
      <c r="RZ174" s="3"/>
      <c r="SA174" s="3"/>
      <c r="SB174" s="3"/>
      <c r="SC174" s="3"/>
      <c r="SD174" s="3"/>
      <c r="SE174" s="3"/>
      <c r="SF174" s="3"/>
      <c r="SG174" s="3"/>
      <c r="SH174" s="3"/>
      <c r="SI174" s="3"/>
      <c r="SJ174" s="3"/>
      <c r="SK174" s="3"/>
      <c r="SL174" s="3"/>
      <c r="SM174" s="3"/>
      <c r="SN174" s="3"/>
      <c r="SO174" s="3"/>
      <c r="SP174" s="3"/>
      <c r="SQ174" s="3"/>
      <c r="SR174" s="3"/>
      <c r="SS174" s="3"/>
      <c r="ST174" s="3"/>
      <c r="SU174" s="3"/>
      <c r="SV174" s="3"/>
      <c r="SW174" s="3"/>
      <c r="SX174" s="3"/>
      <c r="SY174" s="3"/>
      <c r="SZ174" s="3"/>
      <c r="TA174" s="3"/>
      <c r="TB174" s="3"/>
      <c r="TC174" s="3"/>
      <c r="TD174" s="3"/>
      <c r="TE174" s="3"/>
      <c r="TF174" s="3"/>
      <c r="TG174" s="3"/>
      <c r="TH174" s="3"/>
      <c r="TI174" s="3"/>
      <c r="TJ174" s="3"/>
      <c r="TK174" s="3"/>
      <c r="TL174" s="3"/>
      <c r="TM174" s="3"/>
      <c r="TN174" s="3"/>
      <c r="TO174" s="3"/>
      <c r="TP174" s="3"/>
      <c r="TQ174" s="3"/>
      <c r="TR174" s="3"/>
      <c r="TS174" s="3"/>
      <c r="TT174" s="3"/>
      <c r="TU174" s="3"/>
      <c r="TV174" s="3"/>
      <c r="TW174" s="3"/>
      <c r="TX174" s="3"/>
      <c r="TY174" s="3"/>
      <c r="TZ174" s="3"/>
      <c r="UA174" s="3"/>
      <c r="UB174" s="3"/>
      <c r="UC174" s="3"/>
      <c r="UD174" s="3"/>
      <c r="UE174" s="3"/>
      <c r="UF174" s="3"/>
      <c r="UG174" s="3"/>
      <c r="UH174" s="3"/>
      <c r="UI174" s="3"/>
      <c r="UJ174" s="3"/>
      <c r="UK174" s="3"/>
      <c r="UL174" s="3"/>
      <c r="UM174" s="3"/>
      <c r="UN174" s="3"/>
      <c r="UO174" s="3"/>
      <c r="UP174" s="3"/>
      <c r="UQ174" s="3"/>
      <c r="UR174" s="3"/>
      <c r="US174" s="3"/>
      <c r="UT174" s="3"/>
      <c r="UU174" s="3"/>
      <c r="UV174" s="3"/>
      <c r="UW174" s="3"/>
      <c r="UX174" s="3"/>
      <c r="UY174" s="3"/>
      <c r="UZ174" s="3"/>
      <c r="VA174" s="3"/>
      <c r="VB174" s="3"/>
      <c r="VC174" s="3"/>
      <c r="VD174" s="3"/>
      <c r="VE174" s="3"/>
      <c r="VF174" s="3"/>
      <c r="VG174" s="3"/>
      <c r="VH174" s="3"/>
      <c r="VI174" s="3"/>
      <c r="VJ174" s="3"/>
      <c r="VK174" s="3"/>
      <c r="VL174" s="3"/>
      <c r="VM174" s="3"/>
      <c r="VN174" s="3"/>
      <c r="VO174" s="3"/>
      <c r="VP174" s="3"/>
      <c r="VQ174" s="3"/>
      <c r="VR174" s="3"/>
      <c r="VS174" s="3"/>
      <c r="VT174" s="3"/>
      <c r="VU174" s="3"/>
      <c r="VV174" s="3"/>
      <c r="VW174" s="3"/>
      <c r="VX174" s="3"/>
      <c r="VY174" s="3"/>
      <c r="VZ174" s="3"/>
      <c r="WA174" s="3"/>
      <c r="WB174" s="3"/>
      <c r="WC174" s="3"/>
      <c r="WD174" s="3"/>
      <c r="WE174" s="3"/>
      <c r="WF174" s="3"/>
      <c r="WG174" s="3"/>
      <c r="WH174" s="3"/>
      <c r="WI174" s="3"/>
      <c r="WJ174" s="3"/>
      <c r="WK174" s="3"/>
      <c r="WL174" s="3"/>
      <c r="WM174" s="3"/>
      <c r="WN174" s="3"/>
      <c r="WO174" s="3"/>
      <c r="WP174" s="3"/>
      <c r="WQ174" s="3"/>
      <c r="WR174" s="3"/>
      <c r="WS174" s="3"/>
      <c r="WT174" s="3"/>
      <c r="WU174" s="3"/>
      <c r="WV174" s="3"/>
      <c r="WW174" s="3"/>
      <c r="WX174" s="3"/>
      <c r="WY174" s="3"/>
      <c r="WZ174" s="3"/>
      <c r="XA174" s="3"/>
      <c r="XB174" s="3"/>
      <c r="XC174" s="3"/>
      <c r="XD174" s="3"/>
      <c r="XE174" s="3"/>
      <c r="XF174" s="3"/>
      <c r="XG174" s="3"/>
      <c r="XH174" s="3"/>
      <c r="XI174" s="3"/>
      <c r="XJ174" s="3"/>
      <c r="XK174" s="3"/>
      <c r="XL174" s="3"/>
      <c r="XM174" s="3"/>
      <c r="XN174" s="3"/>
      <c r="XO174" s="3"/>
      <c r="XP174" s="3"/>
      <c r="XQ174" s="3"/>
      <c r="XR174" s="3"/>
      <c r="XS174" s="3"/>
      <c r="XT174" s="3"/>
      <c r="XU174" s="3"/>
      <c r="XV174" s="3"/>
      <c r="XW174" s="3"/>
      <c r="XX174" s="3"/>
      <c r="XY174" s="3"/>
      <c r="XZ174" s="3"/>
      <c r="YA174" s="3"/>
      <c r="YB174" s="3"/>
      <c r="YC174" s="3"/>
      <c r="YD174" s="3"/>
      <c r="YE174" s="3"/>
      <c r="YF174" s="3"/>
      <c r="YG174" s="3"/>
      <c r="YH174" s="3"/>
      <c r="YI174" s="3"/>
      <c r="YJ174" s="3"/>
      <c r="YK174" s="3"/>
      <c r="YL174" s="3"/>
      <c r="YM174" s="3"/>
      <c r="YN174" s="3"/>
      <c r="YO174" s="3"/>
      <c r="YP174" s="3"/>
      <c r="YQ174" s="3"/>
      <c r="YR174" s="3"/>
      <c r="YS174" s="3"/>
      <c r="YT174" s="3"/>
      <c r="YU174" s="3"/>
      <c r="YV174" s="3"/>
      <c r="YW174" s="3"/>
      <c r="YX174" s="3"/>
      <c r="YY174" s="3"/>
      <c r="YZ174" s="3"/>
      <c r="ZA174" s="3"/>
      <c r="ZB174" s="3"/>
      <c r="ZC174" s="3"/>
    </row>
    <row r="175" spans="1:679" s="2" customFormat="1" x14ac:dyDescent="0.45">
      <c r="A175" s="3" t="s">
        <v>11</v>
      </c>
      <c r="B175" s="4">
        <v>35507</v>
      </c>
      <c r="C175" s="7" t="s">
        <v>21</v>
      </c>
      <c r="D175" s="6" t="s">
        <v>190</v>
      </c>
      <c r="E175" s="3"/>
      <c r="F175" s="3">
        <v>5</v>
      </c>
      <c r="L175" s="3"/>
      <c r="M175" s="3"/>
      <c r="N175" s="48"/>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c r="DE175" s="3"/>
      <c r="DF175" s="3"/>
      <c r="DG175" s="3"/>
      <c r="DH175" s="3"/>
      <c r="DI175" s="3"/>
      <c r="DJ175" s="3"/>
      <c r="DK175" s="3"/>
      <c r="DL175" s="3"/>
      <c r="DM175" s="3"/>
      <c r="DN175" s="3"/>
      <c r="DO175" s="3"/>
      <c r="DP175" s="3"/>
      <c r="DQ175" s="3"/>
      <c r="DR175" s="3"/>
      <c r="DS175" s="3"/>
      <c r="DT175" s="3"/>
      <c r="DU175" s="3"/>
      <c r="DV175" s="3"/>
      <c r="DW175" s="3"/>
      <c r="DX175" s="3"/>
      <c r="DY175" s="3"/>
      <c r="DZ175" s="3"/>
      <c r="EA175" s="3"/>
      <c r="EB175" s="3"/>
      <c r="EC175" s="3"/>
      <c r="ED175" s="3"/>
      <c r="EE175" s="3"/>
      <c r="EF175" s="3"/>
      <c r="EG175" s="3"/>
      <c r="EH175" s="3"/>
      <c r="EI175" s="3"/>
      <c r="EJ175" s="3"/>
      <c r="EK175" s="3"/>
      <c r="EL175" s="3"/>
      <c r="EM175" s="3"/>
      <c r="EN175" s="3"/>
      <c r="EO175" s="3"/>
      <c r="EP175" s="3"/>
      <c r="EQ175" s="3"/>
      <c r="ER175" s="3"/>
      <c r="ES175" s="3"/>
      <c r="ET175" s="3"/>
      <c r="EU175" s="3"/>
      <c r="EV175" s="3"/>
      <c r="EW175" s="3"/>
      <c r="EX175" s="3"/>
      <c r="EY175" s="3"/>
      <c r="EZ175" s="3"/>
      <c r="FA175" s="3"/>
      <c r="FB175" s="3"/>
      <c r="FC175" s="3"/>
      <c r="FD175" s="3"/>
      <c r="FE175" s="3"/>
      <c r="FF175" s="3"/>
      <c r="FG175" s="3"/>
      <c r="FH175" s="3"/>
      <c r="FI175" s="3"/>
      <c r="FJ175" s="3"/>
      <c r="FK175" s="3"/>
      <c r="FL175" s="3"/>
      <c r="FM175" s="3"/>
      <c r="FN175" s="3"/>
      <c r="FO175" s="3"/>
      <c r="FP175" s="3"/>
      <c r="FQ175" s="3"/>
      <c r="FR175" s="3"/>
      <c r="FS175" s="3"/>
      <c r="FT175" s="3"/>
      <c r="FU175" s="3"/>
      <c r="FV175" s="3"/>
      <c r="FW175" s="3"/>
      <c r="FX175" s="3"/>
      <c r="FY175" s="3"/>
      <c r="FZ175" s="3"/>
      <c r="GA175" s="3"/>
      <c r="GB175" s="3"/>
      <c r="GC175" s="3"/>
      <c r="GD175" s="3"/>
      <c r="GE175" s="3"/>
      <c r="GF175" s="3"/>
      <c r="GG175" s="3"/>
      <c r="GH175" s="3"/>
      <c r="GI175" s="3"/>
      <c r="GJ175" s="3"/>
      <c r="GK175" s="3"/>
      <c r="GL175" s="3"/>
      <c r="GM175" s="3"/>
      <c r="GN175" s="3"/>
      <c r="GO175" s="3"/>
      <c r="GP175" s="3"/>
      <c r="GQ175" s="3"/>
      <c r="GR175" s="3"/>
      <c r="GS175" s="3"/>
      <c r="GT175" s="3"/>
      <c r="GU175" s="3"/>
      <c r="GV175" s="3"/>
      <c r="GW175" s="3"/>
      <c r="GX175" s="3"/>
      <c r="GY175" s="3"/>
      <c r="GZ175" s="3"/>
      <c r="HA175" s="3"/>
      <c r="HB175" s="3"/>
      <c r="HC175" s="3"/>
      <c r="HD175" s="3"/>
      <c r="HE175" s="3"/>
      <c r="HF175" s="3"/>
      <c r="HG175" s="3"/>
      <c r="HH175" s="3"/>
      <c r="HI175" s="3"/>
      <c r="HJ175" s="3"/>
      <c r="HK175" s="3"/>
      <c r="HL175" s="3"/>
      <c r="HM175" s="3"/>
      <c r="HN175" s="3"/>
      <c r="HO175" s="3"/>
      <c r="HP175" s="3"/>
      <c r="HQ175" s="3"/>
      <c r="HR175" s="3"/>
      <c r="HS175" s="3"/>
      <c r="HT175" s="3"/>
      <c r="HU175" s="3"/>
      <c r="HV175" s="3"/>
      <c r="HW175" s="3"/>
      <c r="HX175" s="3"/>
      <c r="HY175" s="3"/>
      <c r="HZ175" s="3"/>
      <c r="IA175" s="3"/>
      <c r="IB175" s="3"/>
      <c r="IC175" s="3"/>
      <c r="ID175" s="3"/>
      <c r="IE175" s="3"/>
      <c r="IF175" s="3"/>
      <c r="IG175" s="3"/>
      <c r="IH175" s="3"/>
      <c r="II175" s="3"/>
      <c r="IJ175" s="3"/>
      <c r="IK175" s="3"/>
      <c r="IL175" s="3"/>
      <c r="IM175" s="3"/>
      <c r="IN175" s="3"/>
      <c r="IO175" s="3"/>
      <c r="IP175" s="3"/>
      <c r="IQ175" s="3"/>
      <c r="IR175" s="3"/>
      <c r="IS175" s="3"/>
      <c r="IT175" s="3"/>
      <c r="IU175" s="3"/>
      <c r="IV175" s="3"/>
      <c r="IW175" s="3"/>
      <c r="IX175" s="3"/>
      <c r="IY175" s="3"/>
      <c r="IZ175" s="3"/>
      <c r="JA175" s="3"/>
      <c r="JB175" s="3"/>
      <c r="JC175" s="3"/>
      <c r="JD175" s="3"/>
      <c r="JE175" s="3"/>
      <c r="JF175" s="3"/>
      <c r="JG175" s="3"/>
      <c r="JH175" s="3"/>
      <c r="JI175" s="3"/>
      <c r="JJ175" s="3"/>
      <c r="JK175" s="3"/>
      <c r="JL175" s="3"/>
      <c r="JM175" s="3"/>
      <c r="JN175" s="3"/>
      <c r="JO175" s="3"/>
      <c r="JP175" s="3"/>
      <c r="JQ175" s="3"/>
      <c r="JR175" s="3"/>
      <c r="JS175" s="3"/>
      <c r="JT175" s="3"/>
      <c r="JU175" s="3"/>
      <c r="JV175" s="3"/>
      <c r="JW175" s="3"/>
      <c r="JX175" s="3"/>
      <c r="JY175" s="3"/>
      <c r="JZ175" s="3"/>
      <c r="KA175" s="3"/>
      <c r="KB175" s="3"/>
      <c r="KC175" s="3"/>
      <c r="KD175" s="3"/>
      <c r="KE175" s="3"/>
      <c r="KF175" s="3"/>
      <c r="KG175" s="3"/>
      <c r="KH175" s="3"/>
      <c r="KI175" s="3"/>
      <c r="KJ175" s="3"/>
      <c r="KK175" s="3"/>
      <c r="KL175" s="3"/>
      <c r="KM175" s="3"/>
      <c r="KN175" s="3"/>
      <c r="KO175" s="3"/>
      <c r="KP175" s="3"/>
      <c r="KQ175" s="3"/>
      <c r="KR175" s="3"/>
      <c r="KS175" s="3"/>
      <c r="KT175" s="3"/>
      <c r="KU175" s="3"/>
      <c r="KV175" s="3"/>
      <c r="KW175" s="3"/>
      <c r="KX175" s="3"/>
      <c r="KY175" s="3"/>
      <c r="KZ175" s="3"/>
      <c r="LA175" s="3"/>
      <c r="LB175" s="3"/>
      <c r="LC175" s="3"/>
      <c r="LD175" s="3"/>
      <c r="LE175" s="3"/>
      <c r="LF175" s="3"/>
      <c r="LG175" s="3"/>
      <c r="LH175" s="3"/>
      <c r="LI175" s="3"/>
      <c r="LJ175" s="3"/>
      <c r="LK175" s="3"/>
      <c r="LL175" s="3"/>
      <c r="LM175" s="3"/>
      <c r="LN175" s="3"/>
      <c r="LO175" s="3"/>
      <c r="LP175" s="3"/>
      <c r="LQ175" s="3"/>
      <c r="LR175" s="3"/>
      <c r="LS175" s="3"/>
      <c r="LT175" s="3"/>
      <c r="LU175" s="3"/>
      <c r="LV175" s="3"/>
      <c r="LW175" s="3"/>
      <c r="LX175" s="3"/>
      <c r="LY175" s="3"/>
      <c r="LZ175" s="3"/>
      <c r="MA175" s="3"/>
      <c r="MB175" s="3"/>
      <c r="MC175" s="3"/>
      <c r="MD175" s="3"/>
      <c r="ME175" s="3"/>
      <c r="MF175" s="3"/>
      <c r="MG175" s="3"/>
      <c r="MH175" s="3"/>
      <c r="MI175" s="3"/>
      <c r="MJ175" s="3"/>
      <c r="MK175" s="3"/>
      <c r="ML175" s="3"/>
      <c r="MM175" s="3"/>
      <c r="MN175" s="3"/>
      <c r="MO175" s="3"/>
      <c r="MP175" s="3"/>
      <c r="MQ175" s="3"/>
      <c r="MR175" s="3"/>
      <c r="MS175" s="3"/>
      <c r="MT175" s="3"/>
      <c r="MU175" s="3"/>
      <c r="MV175" s="3"/>
      <c r="MW175" s="3"/>
      <c r="MX175" s="3"/>
      <c r="MY175" s="3"/>
      <c r="MZ175" s="3"/>
      <c r="NA175" s="3"/>
      <c r="NB175" s="3"/>
      <c r="NC175" s="3"/>
      <c r="ND175" s="3"/>
      <c r="NE175" s="3"/>
      <c r="NF175" s="3"/>
      <c r="NG175" s="3"/>
      <c r="NH175" s="3"/>
      <c r="NI175" s="3"/>
      <c r="NJ175" s="3"/>
      <c r="NK175" s="3"/>
      <c r="NL175" s="3"/>
      <c r="NM175" s="3"/>
      <c r="NN175" s="3"/>
      <c r="NO175" s="3"/>
      <c r="NP175" s="3"/>
      <c r="NQ175" s="3"/>
      <c r="NR175" s="3"/>
      <c r="NS175" s="3"/>
      <c r="NT175" s="3"/>
      <c r="NU175" s="3"/>
      <c r="NV175" s="3"/>
      <c r="NW175" s="3"/>
      <c r="NX175" s="3"/>
      <c r="NY175" s="3"/>
      <c r="NZ175" s="3"/>
      <c r="OA175" s="3"/>
      <c r="OB175" s="3"/>
      <c r="OC175" s="3"/>
      <c r="OD175" s="3"/>
      <c r="OE175" s="3"/>
      <c r="OF175" s="3"/>
      <c r="OG175" s="3"/>
      <c r="OH175" s="3"/>
      <c r="OI175" s="3"/>
      <c r="OJ175" s="3"/>
      <c r="OK175" s="3"/>
      <c r="OL175" s="3"/>
      <c r="OM175" s="3"/>
      <c r="ON175" s="3"/>
      <c r="OO175" s="3"/>
      <c r="OP175" s="3"/>
      <c r="OQ175" s="3"/>
      <c r="OR175" s="3"/>
      <c r="OS175" s="3"/>
      <c r="OT175" s="3"/>
      <c r="OU175" s="3"/>
      <c r="OV175" s="3"/>
      <c r="OW175" s="3"/>
      <c r="OX175" s="3"/>
      <c r="OY175" s="3"/>
      <c r="OZ175" s="3"/>
      <c r="PA175" s="3"/>
      <c r="PB175" s="3"/>
      <c r="PC175" s="3"/>
      <c r="PD175" s="3"/>
      <c r="PE175" s="3"/>
      <c r="PF175" s="3"/>
      <c r="PG175" s="3"/>
      <c r="PH175" s="3"/>
      <c r="PI175" s="3"/>
      <c r="PJ175" s="3"/>
      <c r="PK175" s="3"/>
      <c r="PL175" s="3"/>
      <c r="PM175" s="3"/>
      <c r="PN175" s="3"/>
      <c r="PO175" s="3"/>
      <c r="PP175" s="3"/>
      <c r="PQ175" s="3"/>
      <c r="PR175" s="3"/>
      <c r="PS175" s="3"/>
      <c r="PT175" s="3"/>
      <c r="PU175" s="3"/>
      <c r="PV175" s="3"/>
      <c r="PW175" s="3"/>
      <c r="PX175" s="3"/>
      <c r="PY175" s="3"/>
      <c r="PZ175" s="3"/>
      <c r="QA175" s="3"/>
      <c r="QB175" s="3"/>
      <c r="QC175" s="3"/>
      <c r="QD175" s="3"/>
      <c r="QE175" s="3"/>
      <c r="QF175" s="3"/>
      <c r="QG175" s="3"/>
      <c r="QH175" s="3"/>
      <c r="QI175" s="3"/>
      <c r="QJ175" s="3"/>
      <c r="QK175" s="3"/>
      <c r="QL175" s="3"/>
      <c r="QM175" s="3"/>
      <c r="QN175" s="3"/>
      <c r="QO175" s="3"/>
      <c r="QP175" s="3"/>
      <c r="QQ175" s="3"/>
      <c r="QR175" s="3"/>
      <c r="QS175" s="3"/>
      <c r="QT175" s="3"/>
      <c r="QU175" s="3"/>
      <c r="QV175" s="3"/>
      <c r="QW175" s="3"/>
      <c r="QX175" s="3"/>
      <c r="QY175" s="3"/>
      <c r="QZ175" s="3"/>
      <c r="RA175" s="3"/>
      <c r="RB175" s="3"/>
      <c r="RC175" s="3"/>
      <c r="RD175" s="3"/>
      <c r="RE175" s="3"/>
      <c r="RF175" s="3"/>
      <c r="RG175" s="3"/>
      <c r="RH175" s="3"/>
      <c r="RI175" s="3"/>
      <c r="RJ175" s="3"/>
      <c r="RK175" s="3"/>
      <c r="RL175" s="3"/>
      <c r="RM175" s="3"/>
      <c r="RN175" s="3"/>
      <c r="RO175" s="3"/>
      <c r="RP175" s="3"/>
      <c r="RQ175" s="3"/>
      <c r="RR175" s="3"/>
      <c r="RS175" s="3"/>
      <c r="RT175" s="3"/>
      <c r="RU175" s="3"/>
      <c r="RV175" s="3"/>
      <c r="RW175" s="3"/>
      <c r="RX175" s="3"/>
      <c r="RY175" s="3"/>
      <c r="RZ175" s="3"/>
      <c r="SA175" s="3"/>
      <c r="SB175" s="3"/>
      <c r="SC175" s="3"/>
      <c r="SD175" s="3"/>
      <c r="SE175" s="3"/>
      <c r="SF175" s="3"/>
      <c r="SG175" s="3"/>
      <c r="SH175" s="3"/>
      <c r="SI175" s="3"/>
      <c r="SJ175" s="3"/>
      <c r="SK175" s="3"/>
      <c r="SL175" s="3"/>
      <c r="SM175" s="3"/>
      <c r="SN175" s="3"/>
      <c r="SO175" s="3"/>
      <c r="SP175" s="3"/>
      <c r="SQ175" s="3"/>
      <c r="SR175" s="3"/>
      <c r="SS175" s="3"/>
      <c r="ST175" s="3"/>
      <c r="SU175" s="3"/>
      <c r="SV175" s="3"/>
      <c r="SW175" s="3"/>
      <c r="SX175" s="3"/>
      <c r="SY175" s="3"/>
      <c r="SZ175" s="3"/>
      <c r="TA175" s="3"/>
      <c r="TB175" s="3"/>
      <c r="TC175" s="3"/>
      <c r="TD175" s="3"/>
      <c r="TE175" s="3"/>
      <c r="TF175" s="3"/>
      <c r="TG175" s="3"/>
      <c r="TH175" s="3"/>
      <c r="TI175" s="3"/>
      <c r="TJ175" s="3"/>
      <c r="TK175" s="3"/>
      <c r="TL175" s="3"/>
      <c r="TM175" s="3"/>
      <c r="TN175" s="3"/>
      <c r="TO175" s="3"/>
      <c r="TP175" s="3"/>
      <c r="TQ175" s="3"/>
      <c r="TR175" s="3"/>
      <c r="TS175" s="3"/>
      <c r="TT175" s="3"/>
      <c r="TU175" s="3"/>
      <c r="TV175" s="3"/>
      <c r="TW175" s="3"/>
      <c r="TX175" s="3"/>
      <c r="TY175" s="3"/>
      <c r="TZ175" s="3"/>
      <c r="UA175" s="3"/>
      <c r="UB175" s="3"/>
      <c r="UC175" s="3"/>
      <c r="UD175" s="3"/>
      <c r="UE175" s="3"/>
      <c r="UF175" s="3"/>
      <c r="UG175" s="3"/>
      <c r="UH175" s="3"/>
      <c r="UI175" s="3"/>
      <c r="UJ175" s="3"/>
      <c r="UK175" s="3"/>
      <c r="UL175" s="3"/>
      <c r="UM175" s="3"/>
      <c r="UN175" s="3"/>
      <c r="UO175" s="3"/>
      <c r="UP175" s="3"/>
      <c r="UQ175" s="3"/>
      <c r="UR175" s="3"/>
      <c r="US175" s="3"/>
      <c r="UT175" s="3"/>
      <c r="UU175" s="3"/>
      <c r="UV175" s="3"/>
      <c r="UW175" s="3"/>
      <c r="UX175" s="3"/>
      <c r="UY175" s="3"/>
      <c r="UZ175" s="3"/>
      <c r="VA175" s="3"/>
      <c r="VB175" s="3"/>
      <c r="VC175" s="3"/>
      <c r="VD175" s="3"/>
      <c r="VE175" s="3"/>
      <c r="VF175" s="3"/>
      <c r="VG175" s="3"/>
      <c r="VH175" s="3"/>
      <c r="VI175" s="3"/>
      <c r="VJ175" s="3"/>
      <c r="VK175" s="3"/>
      <c r="VL175" s="3"/>
      <c r="VM175" s="3"/>
      <c r="VN175" s="3"/>
      <c r="VO175" s="3"/>
      <c r="VP175" s="3"/>
      <c r="VQ175" s="3"/>
      <c r="VR175" s="3"/>
      <c r="VS175" s="3"/>
      <c r="VT175" s="3"/>
      <c r="VU175" s="3"/>
      <c r="VV175" s="3"/>
      <c r="VW175" s="3"/>
      <c r="VX175" s="3"/>
      <c r="VY175" s="3"/>
      <c r="VZ175" s="3"/>
      <c r="WA175" s="3"/>
      <c r="WB175" s="3"/>
      <c r="WC175" s="3"/>
      <c r="WD175" s="3"/>
      <c r="WE175" s="3"/>
      <c r="WF175" s="3"/>
      <c r="WG175" s="3"/>
      <c r="WH175" s="3"/>
      <c r="WI175" s="3"/>
      <c r="WJ175" s="3"/>
      <c r="WK175" s="3"/>
      <c r="WL175" s="3"/>
      <c r="WM175" s="3"/>
      <c r="WN175" s="3"/>
      <c r="WO175" s="3"/>
      <c r="WP175" s="3"/>
      <c r="WQ175" s="3"/>
      <c r="WR175" s="3"/>
      <c r="WS175" s="3"/>
      <c r="WT175" s="3"/>
      <c r="WU175" s="3"/>
      <c r="WV175" s="3"/>
      <c r="WW175" s="3"/>
      <c r="WX175" s="3"/>
      <c r="WY175" s="3"/>
      <c r="WZ175" s="3"/>
      <c r="XA175" s="3"/>
      <c r="XB175" s="3"/>
      <c r="XC175" s="3"/>
      <c r="XD175" s="3"/>
      <c r="XE175" s="3"/>
      <c r="XF175" s="3"/>
      <c r="XG175" s="3"/>
      <c r="XH175" s="3"/>
      <c r="XI175" s="3"/>
      <c r="XJ175" s="3"/>
      <c r="XK175" s="3"/>
      <c r="XL175" s="3"/>
      <c r="XM175" s="3"/>
      <c r="XN175" s="3"/>
      <c r="XO175" s="3"/>
      <c r="XP175" s="3"/>
      <c r="XQ175" s="3"/>
      <c r="XR175" s="3"/>
      <c r="XS175" s="3"/>
      <c r="XT175" s="3"/>
      <c r="XU175" s="3"/>
      <c r="XV175" s="3"/>
      <c r="XW175" s="3"/>
      <c r="XX175" s="3"/>
      <c r="XY175" s="3"/>
      <c r="XZ175" s="3"/>
      <c r="YA175" s="3"/>
      <c r="YB175" s="3"/>
      <c r="YC175" s="3"/>
      <c r="YD175" s="3"/>
      <c r="YE175" s="3"/>
      <c r="YF175" s="3"/>
      <c r="YG175" s="3"/>
      <c r="YH175" s="3"/>
      <c r="YI175" s="3"/>
      <c r="YJ175" s="3"/>
      <c r="YK175" s="3"/>
      <c r="YL175" s="3"/>
      <c r="YM175" s="3"/>
      <c r="YN175" s="3"/>
      <c r="YO175" s="3"/>
      <c r="YP175" s="3"/>
      <c r="YQ175" s="3"/>
      <c r="YR175" s="3"/>
      <c r="YS175" s="3"/>
      <c r="YT175" s="3"/>
      <c r="YU175" s="3"/>
      <c r="YV175" s="3"/>
      <c r="YW175" s="3"/>
      <c r="YX175" s="3"/>
      <c r="YY175" s="3"/>
      <c r="YZ175" s="3"/>
      <c r="ZA175" s="3"/>
      <c r="ZB175" s="3"/>
      <c r="ZC175" s="3"/>
    </row>
    <row r="176" spans="1:679" s="2" customFormat="1" x14ac:dyDescent="0.45">
      <c r="A176" s="3" t="s">
        <v>11</v>
      </c>
      <c r="B176" s="4">
        <v>35509</v>
      </c>
      <c r="C176" s="7" t="s">
        <v>25</v>
      </c>
      <c r="D176" s="6" t="s">
        <v>191</v>
      </c>
      <c r="E176" s="3"/>
      <c r="F176" s="3">
        <v>41</v>
      </c>
      <c r="L176" s="3"/>
      <c r="M176" s="3"/>
      <c r="N176" s="48"/>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3"/>
      <c r="DK176" s="3"/>
      <c r="DL176" s="3"/>
      <c r="DM176" s="3"/>
      <c r="DN176" s="3"/>
      <c r="DO176" s="3"/>
      <c r="DP176" s="3"/>
      <c r="DQ176" s="3"/>
      <c r="DR176" s="3"/>
      <c r="DS176" s="3"/>
      <c r="DT176" s="3"/>
      <c r="DU176" s="3"/>
      <c r="DV176" s="3"/>
      <c r="DW176" s="3"/>
      <c r="DX176" s="3"/>
      <c r="DY176" s="3"/>
      <c r="DZ176" s="3"/>
      <c r="EA176" s="3"/>
      <c r="EB176" s="3"/>
      <c r="EC176" s="3"/>
      <c r="ED176" s="3"/>
      <c r="EE176" s="3"/>
      <c r="EF176" s="3"/>
      <c r="EG176" s="3"/>
      <c r="EH176" s="3"/>
      <c r="EI176" s="3"/>
      <c r="EJ176" s="3"/>
      <c r="EK176" s="3"/>
      <c r="EL176" s="3"/>
      <c r="EM176" s="3"/>
      <c r="EN176" s="3"/>
      <c r="EO176" s="3"/>
      <c r="EP176" s="3"/>
      <c r="EQ176" s="3"/>
      <c r="ER176" s="3"/>
      <c r="ES176" s="3"/>
      <c r="ET176" s="3"/>
      <c r="EU176" s="3"/>
      <c r="EV176" s="3"/>
      <c r="EW176" s="3"/>
      <c r="EX176" s="3"/>
      <c r="EY176" s="3"/>
      <c r="EZ176" s="3"/>
      <c r="FA176" s="3"/>
      <c r="FB176" s="3"/>
      <c r="FC176" s="3"/>
      <c r="FD176" s="3"/>
      <c r="FE176" s="3"/>
      <c r="FF176" s="3"/>
      <c r="FG176" s="3"/>
      <c r="FH176" s="3"/>
      <c r="FI176" s="3"/>
      <c r="FJ176" s="3"/>
      <c r="FK176" s="3"/>
      <c r="FL176" s="3"/>
      <c r="FM176" s="3"/>
      <c r="FN176" s="3"/>
      <c r="FO176" s="3"/>
      <c r="FP176" s="3"/>
      <c r="FQ176" s="3"/>
      <c r="FR176" s="3"/>
      <c r="FS176" s="3"/>
      <c r="FT176" s="3"/>
      <c r="FU176" s="3"/>
      <c r="FV176" s="3"/>
      <c r="FW176" s="3"/>
      <c r="FX176" s="3"/>
      <c r="FY176" s="3"/>
      <c r="FZ176" s="3"/>
      <c r="GA176" s="3"/>
      <c r="GB176" s="3"/>
      <c r="GC176" s="3"/>
      <c r="GD176" s="3"/>
      <c r="GE176" s="3"/>
      <c r="GF176" s="3"/>
      <c r="GG176" s="3"/>
      <c r="GH176" s="3"/>
      <c r="GI176" s="3"/>
      <c r="GJ176" s="3"/>
      <c r="GK176" s="3"/>
      <c r="GL176" s="3"/>
      <c r="GM176" s="3"/>
      <c r="GN176" s="3"/>
      <c r="GO176" s="3"/>
      <c r="GP176" s="3"/>
      <c r="GQ176" s="3"/>
      <c r="GR176" s="3"/>
      <c r="GS176" s="3"/>
      <c r="GT176" s="3"/>
      <c r="GU176" s="3"/>
      <c r="GV176" s="3"/>
      <c r="GW176" s="3"/>
      <c r="GX176" s="3"/>
      <c r="GY176" s="3"/>
      <c r="GZ176" s="3"/>
      <c r="HA176" s="3"/>
      <c r="HB176" s="3"/>
      <c r="HC176" s="3"/>
      <c r="HD176" s="3"/>
      <c r="HE176" s="3"/>
      <c r="HF176" s="3"/>
      <c r="HG176" s="3"/>
      <c r="HH176" s="3"/>
      <c r="HI176" s="3"/>
      <c r="HJ176" s="3"/>
      <c r="HK176" s="3"/>
      <c r="HL176" s="3"/>
      <c r="HM176" s="3"/>
      <c r="HN176" s="3"/>
      <c r="HO176" s="3"/>
      <c r="HP176" s="3"/>
      <c r="HQ176" s="3"/>
      <c r="HR176" s="3"/>
      <c r="HS176" s="3"/>
      <c r="HT176" s="3"/>
      <c r="HU176" s="3"/>
      <c r="HV176" s="3"/>
      <c r="HW176" s="3"/>
      <c r="HX176" s="3"/>
      <c r="HY176" s="3"/>
      <c r="HZ176" s="3"/>
      <c r="IA176" s="3"/>
      <c r="IB176" s="3"/>
      <c r="IC176" s="3"/>
      <c r="ID176" s="3"/>
      <c r="IE176" s="3"/>
      <c r="IF176" s="3"/>
      <c r="IG176" s="3"/>
      <c r="IH176" s="3"/>
      <c r="II176" s="3"/>
      <c r="IJ176" s="3"/>
      <c r="IK176" s="3"/>
      <c r="IL176" s="3"/>
      <c r="IM176" s="3"/>
      <c r="IN176" s="3"/>
      <c r="IO176" s="3"/>
      <c r="IP176" s="3"/>
      <c r="IQ176" s="3"/>
      <c r="IR176" s="3"/>
      <c r="IS176" s="3"/>
      <c r="IT176" s="3"/>
      <c r="IU176" s="3"/>
      <c r="IV176" s="3"/>
      <c r="IW176" s="3"/>
      <c r="IX176" s="3"/>
      <c r="IY176" s="3"/>
      <c r="IZ176" s="3"/>
      <c r="JA176" s="3"/>
      <c r="JB176" s="3"/>
      <c r="JC176" s="3"/>
      <c r="JD176" s="3"/>
      <c r="JE176" s="3"/>
      <c r="JF176" s="3"/>
      <c r="JG176" s="3"/>
      <c r="JH176" s="3"/>
      <c r="JI176" s="3"/>
      <c r="JJ176" s="3"/>
      <c r="JK176" s="3"/>
      <c r="JL176" s="3"/>
      <c r="JM176" s="3"/>
      <c r="JN176" s="3"/>
      <c r="JO176" s="3"/>
      <c r="JP176" s="3"/>
      <c r="JQ176" s="3"/>
      <c r="JR176" s="3"/>
      <c r="JS176" s="3"/>
      <c r="JT176" s="3"/>
      <c r="JU176" s="3"/>
      <c r="JV176" s="3"/>
      <c r="JW176" s="3"/>
      <c r="JX176" s="3"/>
      <c r="JY176" s="3"/>
      <c r="JZ176" s="3"/>
      <c r="KA176" s="3"/>
      <c r="KB176" s="3"/>
      <c r="KC176" s="3"/>
      <c r="KD176" s="3"/>
      <c r="KE176" s="3"/>
      <c r="KF176" s="3"/>
      <c r="KG176" s="3"/>
      <c r="KH176" s="3"/>
      <c r="KI176" s="3"/>
      <c r="KJ176" s="3"/>
      <c r="KK176" s="3"/>
      <c r="KL176" s="3"/>
      <c r="KM176" s="3"/>
      <c r="KN176" s="3"/>
      <c r="KO176" s="3"/>
      <c r="KP176" s="3"/>
      <c r="KQ176" s="3"/>
      <c r="KR176" s="3"/>
      <c r="KS176" s="3"/>
      <c r="KT176" s="3"/>
      <c r="KU176" s="3"/>
      <c r="KV176" s="3"/>
      <c r="KW176" s="3"/>
      <c r="KX176" s="3"/>
      <c r="KY176" s="3"/>
      <c r="KZ176" s="3"/>
      <c r="LA176" s="3"/>
      <c r="LB176" s="3"/>
      <c r="LC176" s="3"/>
      <c r="LD176" s="3"/>
      <c r="LE176" s="3"/>
      <c r="LF176" s="3"/>
      <c r="LG176" s="3"/>
      <c r="LH176" s="3"/>
      <c r="LI176" s="3"/>
      <c r="LJ176" s="3"/>
      <c r="LK176" s="3"/>
      <c r="LL176" s="3"/>
      <c r="LM176" s="3"/>
      <c r="LN176" s="3"/>
      <c r="LO176" s="3"/>
      <c r="LP176" s="3"/>
      <c r="LQ176" s="3"/>
      <c r="LR176" s="3"/>
      <c r="LS176" s="3"/>
      <c r="LT176" s="3"/>
      <c r="LU176" s="3"/>
      <c r="LV176" s="3"/>
      <c r="LW176" s="3"/>
      <c r="LX176" s="3"/>
      <c r="LY176" s="3"/>
      <c r="LZ176" s="3"/>
      <c r="MA176" s="3"/>
      <c r="MB176" s="3"/>
      <c r="MC176" s="3"/>
      <c r="MD176" s="3"/>
      <c r="ME176" s="3"/>
      <c r="MF176" s="3"/>
      <c r="MG176" s="3"/>
      <c r="MH176" s="3"/>
      <c r="MI176" s="3"/>
      <c r="MJ176" s="3"/>
      <c r="MK176" s="3"/>
      <c r="ML176" s="3"/>
      <c r="MM176" s="3"/>
      <c r="MN176" s="3"/>
      <c r="MO176" s="3"/>
      <c r="MP176" s="3"/>
      <c r="MQ176" s="3"/>
      <c r="MR176" s="3"/>
      <c r="MS176" s="3"/>
      <c r="MT176" s="3"/>
      <c r="MU176" s="3"/>
      <c r="MV176" s="3"/>
      <c r="MW176" s="3"/>
      <c r="MX176" s="3"/>
      <c r="MY176" s="3"/>
      <c r="MZ176" s="3"/>
      <c r="NA176" s="3"/>
      <c r="NB176" s="3"/>
      <c r="NC176" s="3"/>
      <c r="ND176" s="3"/>
      <c r="NE176" s="3"/>
      <c r="NF176" s="3"/>
      <c r="NG176" s="3"/>
      <c r="NH176" s="3"/>
      <c r="NI176" s="3"/>
      <c r="NJ176" s="3"/>
      <c r="NK176" s="3"/>
      <c r="NL176" s="3"/>
      <c r="NM176" s="3"/>
      <c r="NN176" s="3"/>
      <c r="NO176" s="3"/>
      <c r="NP176" s="3"/>
      <c r="NQ176" s="3"/>
      <c r="NR176" s="3"/>
      <c r="NS176" s="3"/>
      <c r="NT176" s="3"/>
      <c r="NU176" s="3"/>
      <c r="NV176" s="3"/>
      <c r="NW176" s="3"/>
      <c r="NX176" s="3"/>
      <c r="NY176" s="3"/>
      <c r="NZ176" s="3"/>
      <c r="OA176" s="3"/>
      <c r="OB176" s="3"/>
      <c r="OC176" s="3"/>
      <c r="OD176" s="3"/>
      <c r="OE176" s="3"/>
      <c r="OF176" s="3"/>
      <c r="OG176" s="3"/>
      <c r="OH176" s="3"/>
      <c r="OI176" s="3"/>
      <c r="OJ176" s="3"/>
      <c r="OK176" s="3"/>
      <c r="OL176" s="3"/>
      <c r="OM176" s="3"/>
      <c r="ON176" s="3"/>
      <c r="OO176" s="3"/>
      <c r="OP176" s="3"/>
      <c r="OQ176" s="3"/>
      <c r="OR176" s="3"/>
      <c r="OS176" s="3"/>
      <c r="OT176" s="3"/>
      <c r="OU176" s="3"/>
      <c r="OV176" s="3"/>
      <c r="OW176" s="3"/>
      <c r="OX176" s="3"/>
      <c r="OY176" s="3"/>
      <c r="OZ176" s="3"/>
      <c r="PA176" s="3"/>
      <c r="PB176" s="3"/>
      <c r="PC176" s="3"/>
      <c r="PD176" s="3"/>
      <c r="PE176" s="3"/>
      <c r="PF176" s="3"/>
      <c r="PG176" s="3"/>
      <c r="PH176" s="3"/>
      <c r="PI176" s="3"/>
      <c r="PJ176" s="3"/>
      <c r="PK176" s="3"/>
      <c r="PL176" s="3"/>
      <c r="PM176" s="3"/>
      <c r="PN176" s="3"/>
      <c r="PO176" s="3"/>
      <c r="PP176" s="3"/>
      <c r="PQ176" s="3"/>
      <c r="PR176" s="3"/>
      <c r="PS176" s="3"/>
      <c r="PT176" s="3"/>
      <c r="PU176" s="3"/>
      <c r="PV176" s="3"/>
      <c r="PW176" s="3"/>
      <c r="PX176" s="3"/>
      <c r="PY176" s="3"/>
      <c r="PZ176" s="3"/>
      <c r="QA176" s="3"/>
      <c r="QB176" s="3"/>
      <c r="QC176" s="3"/>
      <c r="QD176" s="3"/>
      <c r="QE176" s="3"/>
      <c r="QF176" s="3"/>
      <c r="QG176" s="3"/>
      <c r="QH176" s="3"/>
      <c r="QI176" s="3"/>
      <c r="QJ176" s="3"/>
      <c r="QK176" s="3"/>
      <c r="QL176" s="3"/>
      <c r="QM176" s="3"/>
      <c r="QN176" s="3"/>
      <c r="QO176" s="3"/>
      <c r="QP176" s="3"/>
      <c r="QQ176" s="3"/>
      <c r="QR176" s="3"/>
      <c r="QS176" s="3"/>
      <c r="QT176" s="3"/>
      <c r="QU176" s="3"/>
      <c r="QV176" s="3"/>
      <c r="QW176" s="3"/>
      <c r="QX176" s="3"/>
      <c r="QY176" s="3"/>
      <c r="QZ176" s="3"/>
      <c r="RA176" s="3"/>
      <c r="RB176" s="3"/>
      <c r="RC176" s="3"/>
      <c r="RD176" s="3"/>
      <c r="RE176" s="3"/>
      <c r="RF176" s="3"/>
      <c r="RG176" s="3"/>
      <c r="RH176" s="3"/>
      <c r="RI176" s="3"/>
      <c r="RJ176" s="3"/>
      <c r="RK176" s="3"/>
      <c r="RL176" s="3"/>
      <c r="RM176" s="3"/>
      <c r="RN176" s="3"/>
      <c r="RO176" s="3"/>
      <c r="RP176" s="3"/>
      <c r="RQ176" s="3"/>
      <c r="RR176" s="3"/>
      <c r="RS176" s="3"/>
      <c r="RT176" s="3"/>
      <c r="RU176" s="3"/>
      <c r="RV176" s="3"/>
      <c r="RW176" s="3"/>
      <c r="RX176" s="3"/>
      <c r="RY176" s="3"/>
      <c r="RZ176" s="3"/>
      <c r="SA176" s="3"/>
      <c r="SB176" s="3"/>
      <c r="SC176" s="3"/>
      <c r="SD176" s="3"/>
      <c r="SE176" s="3"/>
      <c r="SF176" s="3"/>
      <c r="SG176" s="3"/>
      <c r="SH176" s="3"/>
      <c r="SI176" s="3"/>
      <c r="SJ176" s="3"/>
      <c r="SK176" s="3"/>
      <c r="SL176" s="3"/>
      <c r="SM176" s="3"/>
      <c r="SN176" s="3"/>
      <c r="SO176" s="3"/>
      <c r="SP176" s="3"/>
      <c r="SQ176" s="3"/>
      <c r="SR176" s="3"/>
      <c r="SS176" s="3"/>
      <c r="ST176" s="3"/>
      <c r="SU176" s="3"/>
      <c r="SV176" s="3"/>
      <c r="SW176" s="3"/>
      <c r="SX176" s="3"/>
      <c r="SY176" s="3"/>
      <c r="SZ176" s="3"/>
      <c r="TA176" s="3"/>
      <c r="TB176" s="3"/>
      <c r="TC176" s="3"/>
      <c r="TD176" s="3"/>
      <c r="TE176" s="3"/>
      <c r="TF176" s="3"/>
      <c r="TG176" s="3"/>
      <c r="TH176" s="3"/>
      <c r="TI176" s="3"/>
      <c r="TJ176" s="3"/>
      <c r="TK176" s="3"/>
      <c r="TL176" s="3"/>
      <c r="TM176" s="3"/>
      <c r="TN176" s="3"/>
      <c r="TO176" s="3"/>
      <c r="TP176" s="3"/>
      <c r="TQ176" s="3"/>
      <c r="TR176" s="3"/>
      <c r="TS176" s="3"/>
      <c r="TT176" s="3"/>
      <c r="TU176" s="3"/>
      <c r="TV176" s="3"/>
      <c r="TW176" s="3"/>
      <c r="TX176" s="3"/>
      <c r="TY176" s="3"/>
      <c r="TZ176" s="3"/>
      <c r="UA176" s="3"/>
      <c r="UB176" s="3"/>
      <c r="UC176" s="3"/>
      <c r="UD176" s="3"/>
      <c r="UE176" s="3"/>
      <c r="UF176" s="3"/>
      <c r="UG176" s="3"/>
      <c r="UH176" s="3"/>
      <c r="UI176" s="3"/>
      <c r="UJ176" s="3"/>
      <c r="UK176" s="3"/>
      <c r="UL176" s="3"/>
      <c r="UM176" s="3"/>
      <c r="UN176" s="3"/>
      <c r="UO176" s="3"/>
      <c r="UP176" s="3"/>
      <c r="UQ176" s="3"/>
      <c r="UR176" s="3"/>
      <c r="US176" s="3"/>
      <c r="UT176" s="3"/>
      <c r="UU176" s="3"/>
      <c r="UV176" s="3"/>
      <c r="UW176" s="3"/>
      <c r="UX176" s="3"/>
      <c r="UY176" s="3"/>
      <c r="UZ176" s="3"/>
      <c r="VA176" s="3"/>
      <c r="VB176" s="3"/>
      <c r="VC176" s="3"/>
      <c r="VD176" s="3"/>
      <c r="VE176" s="3"/>
      <c r="VF176" s="3"/>
      <c r="VG176" s="3"/>
      <c r="VH176" s="3"/>
      <c r="VI176" s="3"/>
      <c r="VJ176" s="3"/>
      <c r="VK176" s="3"/>
      <c r="VL176" s="3"/>
      <c r="VM176" s="3"/>
      <c r="VN176" s="3"/>
      <c r="VO176" s="3"/>
      <c r="VP176" s="3"/>
      <c r="VQ176" s="3"/>
      <c r="VR176" s="3"/>
      <c r="VS176" s="3"/>
      <c r="VT176" s="3"/>
      <c r="VU176" s="3"/>
      <c r="VV176" s="3"/>
      <c r="VW176" s="3"/>
      <c r="VX176" s="3"/>
      <c r="VY176" s="3"/>
      <c r="VZ176" s="3"/>
      <c r="WA176" s="3"/>
      <c r="WB176" s="3"/>
      <c r="WC176" s="3"/>
      <c r="WD176" s="3"/>
      <c r="WE176" s="3"/>
      <c r="WF176" s="3"/>
      <c r="WG176" s="3"/>
      <c r="WH176" s="3"/>
      <c r="WI176" s="3"/>
      <c r="WJ176" s="3"/>
      <c r="WK176" s="3"/>
      <c r="WL176" s="3"/>
      <c r="WM176" s="3"/>
      <c r="WN176" s="3"/>
      <c r="WO176" s="3"/>
      <c r="WP176" s="3"/>
      <c r="WQ176" s="3"/>
      <c r="WR176" s="3"/>
      <c r="WS176" s="3"/>
      <c r="WT176" s="3"/>
      <c r="WU176" s="3"/>
      <c r="WV176" s="3"/>
      <c r="WW176" s="3"/>
      <c r="WX176" s="3"/>
      <c r="WY176" s="3"/>
      <c r="WZ176" s="3"/>
      <c r="XA176" s="3"/>
      <c r="XB176" s="3"/>
      <c r="XC176" s="3"/>
      <c r="XD176" s="3"/>
      <c r="XE176" s="3"/>
      <c r="XF176" s="3"/>
      <c r="XG176" s="3"/>
      <c r="XH176" s="3"/>
      <c r="XI176" s="3"/>
      <c r="XJ176" s="3"/>
      <c r="XK176" s="3"/>
      <c r="XL176" s="3"/>
      <c r="XM176" s="3"/>
      <c r="XN176" s="3"/>
      <c r="XO176" s="3"/>
      <c r="XP176" s="3"/>
      <c r="XQ176" s="3"/>
      <c r="XR176" s="3"/>
      <c r="XS176" s="3"/>
      <c r="XT176" s="3"/>
      <c r="XU176" s="3"/>
      <c r="XV176" s="3"/>
      <c r="XW176" s="3"/>
      <c r="XX176" s="3"/>
      <c r="XY176" s="3"/>
      <c r="XZ176" s="3"/>
      <c r="YA176" s="3"/>
      <c r="YB176" s="3"/>
      <c r="YC176" s="3"/>
      <c r="YD176" s="3"/>
      <c r="YE176" s="3"/>
      <c r="YF176" s="3"/>
      <c r="YG176" s="3"/>
      <c r="YH176" s="3"/>
      <c r="YI176" s="3"/>
      <c r="YJ176" s="3"/>
      <c r="YK176" s="3"/>
      <c r="YL176" s="3"/>
      <c r="YM176" s="3"/>
      <c r="YN176" s="3"/>
      <c r="YO176" s="3"/>
      <c r="YP176" s="3"/>
      <c r="YQ176" s="3"/>
      <c r="YR176" s="3"/>
      <c r="YS176" s="3"/>
      <c r="YT176" s="3"/>
      <c r="YU176" s="3"/>
      <c r="YV176" s="3"/>
      <c r="YW176" s="3"/>
      <c r="YX176" s="3"/>
      <c r="YY176" s="3"/>
      <c r="YZ176" s="3"/>
      <c r="ZA176" s="3"/>
      <c r="ZB176" s="3"/>
      <c r="ZC176" s="3"/>
    </row>
    <row r="177" spans="1:679" s="2" customFormat="1" x14ac:dyDescent="0.45">
      <c r="A177" s="3" t="s">
        <v>11</v>
      </c>
      <c r="B177" s="4">
        <v>35558</v>
      </c>
      <c r="C177" s="7" t="s">
        <v>21</v>
      </c>
      <c r="D177" s="6" t="s">
        <v>192</v>
      </c>
      <c r="E177" s="3"/>
      <c r="F177" s="3">
        <v>4</v>
      </c>
      <c r="L177" s="3"/>
      <c r="M177" s="3"/>
      <c r="N177" s="48"/>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3"/>
      <c r="DI177" s="3"/>
      <c r="DJ177" s="3"/>
      <c r="DK177" s="3"/>
      <c r="DL177" s="3"/>
      <c r="DM177" s="3"/>
      <c r="DN177" s="3"/>
      <c r="DO177" s="3"/>
      <c r="DP177" s="3"/>
      <c r="DQ177" s="3"/>
      <c r="DR177" s="3"/>
      <c r="DS177" s="3"/>
      <c r="DT177" s="3"/>
      <c r="DU177" s="3"/>
      <c r="DV177" s="3"/>
      <c r="DW177" s="3"/>
      <c r="DX177" s="3"/>
      <c r="DY177" s="3"/>
      <c r="DZ177" s="3"/>
      <c r="EA177" s="3"/>
      <c r="EB177" s="3"/>
      <c r="EC177" s="3"/>
      <c r="ED177" s="3"/>
      <c r="EE177" s="3"/>
      <c r="EF177" s="3"/>
      <c r="EG177" s="3"/>
      <c r="EH177" s="3"/>
      <c r="EI177" s="3"/>
      <c r="EJ177" s="3"/>
      <c r="EK177" s="3"/>
      <c r="EL177" s="3"/>
      <c r="EM177" s="3"/>
      <c r="EN177" s="3"/>
      <c r="EO177" s="3"/>
      <c r="EP177" s="3"/>
      <c r="EQ177" s="3"/>
      <c r="ER177" s="3"/>
      <c r="ES177" s="3"/>
      <c r="ET177" s="3"/>
      <c r="EU177" s="3"/>
      <c r="EV177" s="3"/>
      <c r="EW177" s="3"/>
      <c r="EX177" s="3"/>
      <c r="EY177" s="3"/>
      <c r="EZ177" s="3"/>
      <c r="FA177" s="3"/>
      <c r="FB177" s="3"/>
      <c r="FC177" s="3"/>
      <c r="FD177" s="3"/>
      <c r="FE177" s="3"/>
      <c r="FF177" s="3"/>
      <c r="FG177" s="3"/>
      <c r="FH177" s="3"/>
      <c r="FI177" s="3"/>
      <c r="FJ177" s="3"/>
      <c r="FK177" s="3"/>
      <c r="FL177" s="3"/>
      <c r="FM177" s="3"/>
      <c r="FN177" s="3"/>
      <c r="FO177" s="3"/>
      <c r="FP177" s="3"/>
      <c r="FQ177" s="3"/>
      <c r="FR177" s="3"/>
      <c r="FS177" s="3"/>
      <c r="FT177" s="3"/>
      <c r="FU177" s="3"/>
      <c r="FV177" s="3"/>
      <c r="FW177" s="3"/>
      <c r="FX177" s="3"/>
      <c r="FY177" s="3"/>
      <c r="FZ177" s="3"/>
      <c r="GA177" s="3"/>
      <c r="GB177" s="3"/>
      <c r="GC177" s="3"/>
      <c r="GD177" s="3"/>
      <c r="GE177" s="3"/>
      <c r="GF177" s="3"/>
      <c r="GG177" s="3"/>
      <c r="GH177" s="3"/>
      <c r="GI177" s="3"/>
      <c r="GJ177" s="3"/>
      <c r="GK177" s="3"/>
      <c r="GL177" s="3"/>
      <c r="GM177" s="3"/>
      <c r="GN177" s="3"/>
      <c r="GO177" s="3"/>
      <c r="GP177" s="3"/>
      <c r="GQ177" s="3"/>
      <c r="GR177" s="3"/>
      <c r="GS177" s="3"/>
      <c r="GT177" s="3"/>
      <c r="GU177" s="3"/>
      <c r="GV177" s="3"/>
      <c r="GW177" s="3"/>
      <c r="GX177" s="3"/>
      <c r="GY177" s="3"/>
      <c r="GZ177" s="3"/>
      <c r="HA177" s="3"/>
      <c r="HB177" s="3"/>
      <c r="HC177" s="3"/>
      <c r="HD177" s="3"/>
      <c r="HE177" s="3"/>
      <c r="HF177" s="3"/>
      <c r="HG177" s="3"/>
      <c r="HH177" s="3"/>
      <c r="HI177" s="3"/>
      <c r="HJ177" s="3"/>
      <c r="HK177" s="3"/>
      <c r="HL177" s="3"/>
      <c r="HM177" s="3"/>
      <c r="HN177" s="3"/>
      <c r="HO177" s="3"/>
      <c r="HP177" s="3"/>
      <c r="HQ177" s="3"/>
      <c r="HR177" s="3"/>
      <c r="HS177" s="3"/>
      <c r="HT177" s="3"/>
      <c r="HU177" s="3"/>
      <c r="HV177" s="3"/>
      <c r="HW177" s="3"/>
      <c r="HX177" s="3"/>
      <c r="HY177" s="3"/>
      <c r="HZ177" s="3"/>
      <c r="IA177" s="3"/>
      <c r="IB177" s="3"/>
      <c r="IC177" s="3"/>
      <c r="ID177" s="3"/>
      <c r="IE177" s="3"/>
      <c r="IF177" s="3"/>
      <c r="IG177" s="3"/>
      <c r="IH177" s="3"/>
      <c r="II177" s="3"/>
      <c r="IJ177" s="3"/>
      <c r="IK177" s="3"/>
      <c r="IL177" s="3"/>
      <c r="IM177" s="3"/>
      <c r="IN177" s="3"/>
      <c r="IO177" s="3"/>
      <c r="IP177" s="3"/>
      <c r="IQ177" s="3"/>
      <c r="IR177" s="3"/>
      <c r="IS177" s="3"/>
      <c r="IT177" s="3"/>
      <c r="IU177" s="3"/>
      <c r="IV177" s="3"/>
      <c r="IW177" s="3"/>
      <c r="IX177" s="3"/>
      <c r="IY177" s="3"/>
      <c r="IZ177" s="3"/>
      <c r="JA177" s="3"/>
      <c r="JB177" s="3"/>
      <c r="JC177" s="3"/>
      <c r="JD177" s="3"/>
      <c r="JE177" s="3"/>
      <c r="JF177" s="3"/>
      <c r="JG177" s="3"/>
      <c r="JH177" s="3"/>
      <c r="JI177" s="3"/>
      <c r="JJ177" s="3"/>
      <c r="JK177" s="3"/>
      <c r="JL177" s="3"/>
      <c r="JM177" s="3"/>
      <c r="JN177" s="3"/>
      <c r="JO177" s="3"/>
      <c r="JP177" s="3"/>
      <c r="JQ177" s="3"/>
      <c r="JR177" s="3"/>
      <c r="JS177" s="3"/>
      <c r="JT177" s="3"/>
      <c r="JU177" s="3"/>
      <c r="JV177" s="3"/>
      <c r="JW177" s="3"/>
      <c r="JX177" s="3"/>
      <c r="JY177" s="3"/>
      <c r="JZ177" s="3"/>
      <c r="KA177" s="3"/>
      <c r="KB177" s="3"/>
      <c r="KC177" s="3"/>
      <c r="KD177" s="3"/>
      <c r="KE177" s="3"/>
      <c r="KF177" s="3"/>
      <c r="KG177" s="3"/>
      <c r="KH177" s="3"/>
      <c r="KI177" s="3"/>
      <c r="KJ177" s="3"/>
      <c r="KK177" s="3"/>
      <c r="KL177" s="3"/>
      <c r="KM177" s="3"/>
      <c r="KN177" s="3"/>
      <c r="KO177" s="3"/>
      <c r="KP177" s="3"/>
      <c r="KQ177" s="3"/>
      <c r="KR177" s="3"/>
      <c r="KS177" s="3"/>
      <c r="KT177" s="3"/>
      <c r="KU177" s="3"/>
      <c r="KV177" s="3"/>
      <c r="KW177" s="3"/>
      <c r="KX177" s="3"/>
      <c r="KY177" s="3"/>
      <c r="KZ177" s="3"/>
      <c r="LA177" s="3"/>
      <c r="LB177" s="3"/>
      <c r="LC177" s="3"/>
      <c r="LD177" s="3"/>
      <c r="LE177" s="3"/>
      <c r="LF177" s="3"/>
      <c r="LG177" s="3"/>
      <c r="LH177" s="3"/>
      <c r="LI177" s="3"/>
      <c r="LJ177" s="3"/>
      <c r="LK177" s="3"/>
      <c r="LL177" s="3"/>
      <c r="LM177" s="3"/>
      <c r="LN177" s="3"/>
      <c r="LO177" s="3"/>
      <c r="LP177" s="3"/>
      <c r="LQ177" s="3"/>
      <c r="LR177" s="3"/>
      <c r="LS177" s="3"/>
      <c r="LT177" s="3"/>
      <c r="LU177" s="3"/>
      <c r="LV177" s="3"/>
      <c r="LW177" s="3"/>
      <c r="LX177" s="3"/>
      <c r="LY177" s="3"/>
      <c r="LZ177" s="3"/>
      <c r="MA177" s="3"/>
      <c r="MB177" s="3"/>
      <c r="MC177" s="3"/>
      <c r="MD177" s="3"/>
      <c r="ME177" s="3"/>
      <c r="MF177" s="3"/>
      <c r="MG177" s="3"/>
      <c r="MH177" s="3"/>
      <c r="MI177" s="3"/>
      <c r="MJ177" s="3"/>
      <c r="MK177" s="3"/>
      <c r="ML177" s="3"/>
      <c r="MM177" s="3"/>
      <c r="MN177" s="3"/>
      <c r="MO177" s="3"/>
      <c r="MP177" s="3"/>
      <c r="MQ177" s="3"/>
      <c r="MR177" s="3"/>
      <c r="MS177" s="3"/>
      <c r="MT177" s="3"/>
      <c r="MU177" s="3"/>
      <c r="MV177" s="3"/>
      <c r="MW177" s="3"/>
      <c r="MX177" s="3"/>
      <c r="MY177" s="3"/>
      <c r="MZ177" s="3"/>
      <c r="NA177" s="3"/>
      <c r="NB177" s="3"/>
      <c r="NC177" s="3"/>
      <c r="ND177" s="3"/>
      <c r="NE177" s="3"/>
      <c r="NF177" s="3"/>
      <c r="NG177" s="3"/>
      <c r="NH177" s="3"/>
      <c r="NI177" s="3"/>
      <c r="NJ177" s="3"/>
      <c r="NK177" s="3"/>
      <c r="NL177" s="3"/>
      <c r="NM177" s="3"/>
      <c r="NN177" s="3"/>
      <c r="NO177" s="3"/>
      <c r="NP177" s="3"/>
      <c r="NQ177" s="3"/>
      <c r="NR177" s="3"/>
      <c r="NS177" s="3"/>
      <c r="NT177" s="3"/>
      <c r="NU177" s="3"/>
      <c r="NV177" s="3"/>
      <c r="NW177" s="3"/>
      <c r="NX177" s="3"/>
      <c r="NY177" s="3"/>
      <c r="NZ177" s="3"/>
      <c r="OA177" s="3"/>
      <c r="OB177" s="3"/>
      <c r="OC177" s="3"/>
      <c r="OD177" s="3"/>
      <c r="OE177" s="3"/>
      <c r="OF177" s="3"/>
      <c r="OG177" s="3"/>
      <c r="OH177" s="3"/>
      <c r="OI177" s="3"/>
      <c r="OJ177" s="3"/>
      <c r="OK177" s="3"/>
      <c r="OL177" s="3"/>
      <c r="OM177" s="3"/>
      <c r="ON177" s="3"/>
      <c r="OO177" s="3"/>
      <c r="OP177" s="3"/>
      <c r="OQ177" s="3"/>
      <c r="OR177" s="3"/>
      <c r="OS177" s="3"/>
      <c r="OT177" s="3"/>
      <c r="OU177" s="3"/>
      <c r="OV177" s="3"/>
      <c r="OW177" s="3"/>
      <c r="OX177" s="3"/>
      <c r="OY177" s="3"/>
      <c r="OZ177" s="3"/>
      <c r="PA177" s="3"/>
      <c r="PB177" s="3"/>
      <c r="PC177" s="3"/>
      <c r="PD177" s="3"/>
      <c r="PE177" s="3"/>
      <c r="PF177" s="3"/>
      <c r="PG177" s="3"/>
      <c r="PH177" s="3"/>
      <c r="PI177" s="3"/>
      <c r="PJ177" s="3"/>
      <c r="PK177" s="3"/>
      <c r="PL177" s="3"/>
      <c r="PM177" s="3"/>
      <c r="PN177" s="3"/>
      <c r="PO177" s="3"/>
      <c r="PP177" s="3"/>
      <c r="PQ177" s="3"/>
      <c r="PR177" s="3"/>
      <c r="PS177" s="3"/>
      <c r="PT177" s="3"/>
      <c r="PU177" s="3"/>
      <c r="PV177" s="3"/>
      <c r="PW177" s="3"/>
      <c r="PX177" s="3"/>
      <c r="PY177" s="3"/>
      <c r="PZ177" s="3"/>
      <c r="QA177" s="3"/>
      <c r="QB177" s="3"/>
      <c r="QC177" s="3"/>
      <c r="QD177" s="3"/>
      <c r="QE177" s="3"/>
      <c r="QF177" s="3"/>
      <c r="QG177" s="3"/>
      <c r="QH177" s="3"/>
      <c r="QI177" s="3"/>
      <c r="QJ177" s="3"/>
      <c r="QK177" s="3"/>
      <c r="QL177" s="3"/>
      <c r="QM177" s="3"/>
      <c r="QN177" s="3"/>
      <c r="QO177" s="3"/>
      <c r="QP177" s="3"/>
      <c r="QQ177" s="3"/>
      <c r="QR177" s="3"/>
      <c r="QS177" s="3"/>
      <c r="QT177" s="3"/>
      <c r="QU177" s="3"/>
      <c r="QV177" s="3"/>
      <c r="QW177" s="3"/>
      <c r="QX177" s="3"/>
      <c r="QY177" s="3"/>
      <c r="QZ177" s="3"/>
      <c r="RA177" s="3"/>
      <c r="RB177" s="3"/>
      <c r="RC177" s="3"/>
      <c r="RD177" s="3"/>
      <c r="RE177" s="3"/>
      <c r="RF177" s="3"/>
      <c r="RG177" s="3"/>
      <c r="RH177" s="3"/>
      <c r="RI177" s="3"/>
      <c r="RJ177" s="3"/>
      <c r="RK177" s="3"/>
      <c r="RL177" s="3"/>
      <c r="RM177" s="3"/>
      <c r="RN177" s="3"/>
      <c r="RO177" s="3"/>
      <c r="RP177" s="3"/>
      <c r="RQ177" s="3"/>
      <c r="RR177" s="3"/>
      <c r="RS177" s="3"/>
      <c r="RT177" s="3"/>
      <c r="RU177" s="3"/>
      <c r="RV177" s="3"/>
      <c r="RW177" s="3"/>
      <c r="RX177" s="3"/>
      <c r="RY177" s="3"/>
      <c r="RZ177" s="3"/>
      <c r="SA177" s="3"/>
      <c r="SB177" s="3"/>
      <c r="SC177" s="3"/>
      <c r="SD177" s="3"/>
      <c r="SE177" s="3"/>
      <c r="SF177" s="3"/>
      <c r="SG177" s="3"/>
      <c r="SH177" s="3"/>
      <c r="SI177" s="3"/>
      <c r="SJ177" s="3"/>
      <c r="SK177" s="3"/>
      <c r="SL177" s="3"/>
      <c r="SM177" s="3"/>
      <c r="SN177" s="3"/>
      <c r="SO177" s="3"/>
      <c r="SP177" s="3"/>
      <c r="SQ177" s="3"/>
      <c r="SR177" s="3"/>
      <c r="SS177" s="3"/>
      <c r="ST177" s="3"/>
      <c r="SU177" s="3"/>
      <c r="SV177" s="3"/>
      <c r="SW177" s="3"/>
      <c r="SX177" s="3"/>
      <c r="SY177" s="3"/>
      <c r="SZ177" s="3"/>
      <c r="TA177" s="3"/>
      <c r="TB177" s="3"/>
      <c r="TC177" s="3"/>
      <c r="TD177" s="3"/>
      <c r="TE177" s="3"/>
      <c r="TF177" s="3"/>
      <c r="TG177" s="3"/>
      <c r="TH177" s="3"/>
      <c r="TI177" s="3"/>
      <c r="TJ177" s="3"/>
      <c r="TK177" s="3"/>
      <c r="TL177" s="3"/>
      <c r="TM177" s="3"/>
      <c r="TN177" s="3"/>
      <c r="TO177" s="3"/>
      <c r="TP177" s="3"/>
      <c r="TQ177" s="3"/>
      <c r="TR177" s="3"/>
      <c r="TS177" s="3"/>
      <c r="TT177" s="3"/>
      <c r="TU177" s="3"/>
      <c r="TV177" s="3"/>
      <c r="TW177" s="3"/>
      <c r="TX177" s="3"/>
      <c r="TY177" s="3"/>
      <c r="TZ177" s="3"/>
      <c r="UA177" s="3"/>
      <c r="UB177" s="3"/>
      <c r="UC177" s="3"/>
      <c r="UD177" s="3"/>
      <c r="UE177" s="3"/>
      <c r="UF177" s="3"/>
      <c r="UG177" s="3"/>
      <c r="UH177" s="3"/>
      <c r="UI177" s="3"/>
      <c r="UJ177" s="3"/>
      <c r="UK177" s="3"/>
      <c r="UL177" s="3"/>
      <c r="UM177" s="3"/>
      <c r="UN177" s="3"/>
      <c r="UO177" s="3"/>
      <c r="UP177" s="3"/>
      <c r="UQ177" s="3"/>
      <c r="UR177" s="3"/>
      <c r="US177" s="3"/>
      <c r="UT177" s="3"/>
      <c r="UU177" s="3"/>
      <c r="UV177" s="3"/>
      <c r="UW177" s="3"/>
      <c r="UX177" s="3"/>
      <c r="UY177" s="3"/>
      <c r="UZ177" s="3"/>
      <c r="VA177" s="3"/>
      <c r="VB177" s="3"/>
      <c r="VC177" s="3"/>
      <c r="VD177" s="3"/>
      <c r="VE177" s="3"/>
      <c r="VF177" s="3"/>
      <c r="VG177" s="3"/>
      <c r="VH177" s="3"/>
      <c r="VI177" s="3"/>
      <c r="VJ177" s="3"/>
      <c r="VK177" s="3"/>
      <c r="VL177" s="3"/>
      <c r="VM177" s="3"/>
      <c r="VN177" s="3"/>
      <c r="VO177" s="3"/>
      <c r="VP177" s="3"/>
      <c r="VQ177" s="3"/>
      <c r="VR177" s="3"/>
      <c r="VS177" s="3"/>
      <c r="VT177" s="3"/>
      <c r="VU177" s="3"/>
      <c r="VV177" s="3"/>
      <c r="VW177" s="3"/>
      <c r="VX177" s="3"/>
      <c r="VY177" s="3"/>
      <c r="VZ177" s="3"/>
      <c r="WA177" s="3"/>
      <c r="WB177" s="3"/>
      <c r="WC177" s="3"/>
      <c r="WD177" s="3"/>
      <c r="WE177" s="3"/>
      <c r="WF177" s="3"/>
      <c r="WG177" s="3"/>
      <c r="WH177" s="3"/>
      <c r="WI177" s="3"/>
      <c r="WJ177" s="3"/>
      <c r="WK177" s="3"/>
      <c r="WL177" s="3"/>
      <c r="WM177" s="3"/>
      <c r="WN177" s="3"/>
      <c r="WO177" s="3"/>
      <c r="WP177" s="3"/>
      <c r="WQ177" s="3"/>
      <c r="WR177" s="3"/>
      <c r="WS177" s="3"/>
      <c r="WT177" s="3"/>
      <c r="WU177" s="3"/>
      <c r="WV177" s="3"/>
      <c r="WW177" s="3"/>
      <c r="WX177" s="3"/>
      <c r="WY177" s="3"/>
      <c r="WZ177" s="3"/>
      <c r="XA177" s="3"/>
      <c r="XB177" s="3"/>
      <c r="XC177" s="3"/>
      <c r="XD177" s="3"/>
      <c r="XE177" s="3"/>
      <c r="XF177" s="3"/>
      <c r="XG177" s="3"/>
      <c r="XH177" s="3"/>
      <c r="XI177" s="3"/>
      <c r="XJ177" s="3"/>
      <c r="XK177" s="3"/>
      <c r="XL177" s="3"/>
      <c r="XM177" s="3"/>
      <c r="XN177" s="3"/>
      <c r="XO177" s="3"/>
      <c r="XP177" s="3"/>
      <c r="XQ177" s="3"/>
      <c r="XR177" s="3"/>
      <c r="XS177" s="3"/>
      <c r="XT177" s="3"/>
      <c r="XU177" s="3"/>
      <c r="XV177" s="3"/>
      <c r="XW177" s="3"/>
      <c r="XX177" s="3"/>
      <c r="XY177" s="3"/>
      <c r="XZ177" s="3"/>
      <c r="YA177" s="3"/>
      <c r="YB177" s="3"/>
      <c r="YC177" s="3"/>
      <c r="YD177" s="3"/>
      <c r="YE177" s="3"/>
      <c r="YF177" s="3"/>
      <c r="YG177" s="3"/>
      <c r="YH177" s="3"/>
      <c r="YI177" s="3"/>
      <c r="YJ177" s="3"/>
      <c r="YK177" s="3"/>
      <c r="YL177" s="3"/>
      <c r="YM177" s="3"/>
      <c r="YN177" s="3"/>
      <c r="YO177" s="3"/>
      <c r="YP177" s="3"/>
      <c r="YQ177" s="3"/>
      <c r="YR177" s="3"/>
      <c r="YS177" s="3"/>
      <c r="YT177" s="3"/>
      <c r="YU177" s="3"/>
      <c r="YV177" s="3"/>
      <c r="YW177" s="3"/>
      <c r="YX177" s="3"/>
      <c r="YY177" s="3"/>
      <c r="YZ177" s="3"/>
      <c r="ZA177" s="3"/>
      <c r="ZB177" s="3"/>
      <c r="ZC177" s="3"/>
    </row>
    <row r="178" spans="1:679" s="2" customFormat="1" x14ac:dyDescent="0.45">
      <c r="A178" s="3" t="s">
        <v>11</v>
      </c>
      <c r="B178" s="4">
        <v>35566</v>
      </c>
      <c r="C178" s="7" t="s">
        <v>21</v>
      </c>
      <c r="D178" s="6" t="s">
        <v>193</v>
      </c>
      <c r="E178" s="3"/>
      <c r="F178" s="3">
        <v>23</v>
      </c>
      <c r="L178" s="3"/>
      <c r="M178" s="3"/>
      <c r="N178" s="48"/>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c r="DE178" s="3"/>
      <c r="DF178" s="3"/>
      <c r="DG178" s="3"/>
      <c r="DH178" s="3"/>
      <c r="DI178" s="3"/>
      <c r="DJ178" s="3"/>
      <c r="DK178" s="3"/>
      <c r="DL178" s="3"/>
      <c r="DM178" s="3"/>
      <c r="DN178" s="3"/>
      <c r="DO178" s="3"/>
      <c r="DP178" s="3"/>
      <c r="DQ178" s="3"/>
      <c r="DR178" s="3"/>
      <c r="DS178" s="3"/>
      <c r="DT178" s="3"/>
      <c r="DU178" s="3"/>
      <c r="DV178" s="3"/>
      <c r="DW178" s="3"/>
      <c r="DX178" s="3"/>
      <c r="DY178" s="3"/>
      <c r="DZ178" s="3"/>
      <c r="EA178" s="3"/>
      <c r="EB178" s="3"/>
      <c r="EC178" s="3"/>
      <c r="ED178" s="3"/>
      <c r="EE178" s="3"/>
      <c r="EF178" s="3"/>
      <c r="EG178" s="3"/>
      <c r="EH178" s="3"/>
      <c r="EI178" s="3"/>
      <c r="EJ178" s="3"/>
      <c r="EK178" s="3"/>
      <c r="EL178" s="3"/>
      <c r="EM178" s="3"/>
      <c r="EN178" s="3"/>
      <c r="EO178" s="3"/>
      <c r="EP178" s="3"/>
      <c r="EQ178" s="3"/>
      <c r="ER178" s="3"/>
      <c r="ES178" s="3"/>
      <c r="ET178" s="3"/>
      <c r="EU178" s="3"/>
      <c r="EV178" s="3"/>
      <c r="EW178" s="3"/>
      <c r="EX178" s="3"/>
      <c r="EY178" s="3"/>
      <c r="EZ178" s="3"/>
      <c r="FA178" s="3"/>
      <c r="FB178" s="3"/>
      <c r="FC178" s="3"/>
      <c r="FD178" s="3"/>
      <c r="FE178" s="3"/>
      <c r="FF178" s="3"/>
      <c r="FG178" s="3"/>
      <c r="FH178" s="3"/>
      <c r="FI178" s="3"/>
      <c r="FJ178" s="3"/>
      <c r="FK178" s="3"/>
      <c r="FL178" s="3"/>
      <c r="FM178" s="3"/>
      <c r="FN178" s="3"/>
      <c r="FO178" s="3"/>
      <c r="FP178" s="3"/>
      <c r="FQ178" s="3"/>
      <c r="FR178" s="3"/>
      <c r="FS178" s="3"/>
      <c r="FT178" s="3"/>
      <c r="FU178" s="3"/>
      <c r="FV178" s="3"/>
      <c r="FW178" s="3"/>
      <c r="FX178" s="3"/>
      <c r="FY178" s="3"/>
      <c r="FZ178" s="3"/>
      <c r="GA178" s="3"/>
      <c r="GB178" s="3"/>
      <c r="GC178" s="3"/>
      <c r="GD178" s="3"/>
      <c r="GE178" s="3"/>
      <c r="GF178" s="3"/>
      <c r="GG178" s="3"/>
      <c r="GH178" s="3"/>
      <c r="GI178" s="3"/>
      <c r="GJ178" s="3"/>
      <c r="GK178" s="3"/>
      <c r="GL178" s="3"/>
      <c r="GM178" s="3"/>
      <c r="GN178" s="3"/>
      <c r="GO178" s="3"/>
      <c r="GP178" s="3"/>
      <c r="GQ178" s="3"/>
      <c r="GR178" s="3"/>
      <c r="GS178" s="3"/>
      <c r="GT178" s="3"/>
      <c r="GU178" s="3"/>
      <c r="GV178" s="3"/>
      <c r="GW178" s="3"/>
      <c r="GX178" s="3"/>
      <c r="GY178" s="3"/>
      <c r="GZ178" s="3"/>
      <c r="HA178" s="3"/>
      <c r="HB178" s="3"/>
      <c r="HC178" s="3"/>
      <c r="HD178" s="3"/>
      <c r="HE178" s="3"/>
      <c r="HF178" s="3"/>
      <c r="HG178" s="3"/>
      <c r="HH178" s="3"/>
      <c r="HI178" s="3"/>
      <c r="HJ178" s="3"/>
      <c r="HK178" s="3"/>
      <c r="HL178" s="3"/>
      <c r="HM178" s="3"/>
      <c r="HN178" s="3"/>
      <c r="HO178" s="3"/>
      <c r="HP178" s="3"/>
      <c r="HQ178" s="3"/>
      <c r="HR178" s="3"/>
      <c r="HS178" s="3"/>
      <c r="HT178" s="3"/>
      <c r="HU178" s="3"/>
      <c r="HV178" s="3"/>
      <c r="HW178" s="3"/>
      <c r="HX178" s="3"/>
      <c r="HY178" s="3"/>
      <c r="HZ178" s="3"/>
      <c r="IA178" s="3"/>
      <c r="IB178" s="3"/>
      <c r="IC178" s="3"/>
      <c r="ID178" s="3"/>
      <c r="IE178" s="3"/>
      <c r="IF178" s="3"/>
      <c r="IG178" s="3"/>
      <c r="IH178" s="3"/>
      <c r="II178" s="3"/>
      <c r="IJ178" s="3"/>
      <c r="IK178" s="3"/>
      <c r="IL178" s="3"/>
      <c r="IM178" s="3"/>
      <c r="IN178" s="3"/>
      <c r="IO178" s="3"/>
      <c r="IP178" s="3"/>
      <c r="IQ178" s="3"/>
      <c r="IR178" s="3"/>
      <c r="IS178" s="3"/>
      <c r="IT178" s="3"/>
      <c r="IU178" s="3"/>
      <c r="IV178" s="3"/>
      <c r="IW178" s="3"/>
      <c r="IX178" s="3"/>
      <c r="IY178" s="3"/>
      <c r="IZ178" s="3"/>
      <c r="JA178" s="3"/>
      <c r="JB178" s="3"/>
      <c r="JC178" s="3"/>
      <c r="JD178" s="3"/>
      <c r="JE178" s="3"/>
      <c r="JF178" s="3"/>
      <c r="JG178" s="3"/>
      <c r="JH178" s="3"/>
      <c r="JI178" s="3"/>
      <c r="JJ178" s="3"/>
      <c r="JK178" s="3"/>
      <c r="JL178" s="3"/>
      <c r="JM178" s="3"/>
      <c r="JN178" s="3"/>
      <c r="JO178" s="3"/>
      <c r="JP178" s="3"/>
      <c r="JQ178" s="3"/>
      <c r="JR178" s="3"/>
      <c r="JS178" s="3"/>
      <c r="JT178" s="3"/>
      <c r="JU178" s="3"/>
      <c r="JV178" s="3"/>
      <c r="JW178" s="3"/>
      <c r="JX178" s="3"/>
      <c r="JY178" s="3"/>
      <c r="JZ178" s="3"/>
      <c r="KA178" s="3"/>
      <c r="KB178" s="3"/>
      <c r="KC178" s="3"/>
      <c r="KD178" s="3"/>
      <c r="KE178" s="3"/>
      <c r="KF178" s="3"/>
      <c r="KG178" s="3"/>
      <c r="KH178" s="3"/>
      <c r="KI178" s="3"/>
      <c r="KJ178" s="3"/>
      <c r="KK178" s="3"/>
      <c r="KL178" s="3"/>
      <c r="KM178" s="3"/>
      <c r="KN178" s="3"/>
      <c r="KO178" s="3"/>
      <c r="KP178" s="3"/>
      <c r="KQ178" s="3"/>
      <c r="KR178" s="3"/>
      <c r="KS178" s="3"/>
      <c r="KT178" s="3"/>
      <c r="KU178" s="3"/>
      <c r="KV178" s="3"/>
      <c r="KW178" s="3"/>
      <c r="KX178" s="3"/>
      <c r="KY178" s="3"/>
      <c r="KZ178" s="3"/>
      <c r="LA178" s="3"/>
      <c r="LB178" s="3"/>
      <c r="LC178" s="3"/>
      <c r="LD178" s="3"/>
      <c r="LE178" s="3"/>
      <c r="LF178" s="3"/>
      <c r="LG178" s="3"/>
      <c r="LH178" s="3"/>
      <c r="LI178" s="3"/>
      <c r="LJ178" s="3"/>
      <c r="LK178" s="3"/>
      <c r="LL178" s="3"/>
      <c r="LM178" s="3"/>
      <c r="LN178" s="3"/>
      <c r="LO178" s="3"/>
      <c r="LP178" s="3"/>
      <c r="LQ178" s="3"/>
      <c r="LR178" s="3"/>
      <c r="LS178" s="3"/>
      <c r="LT178" s="3"/>
      <c r="LU178" s="3"/>
      <c r="LV178" s="3"/>
      <c r="LW178" s="3"/>
      <c r="LX178" s="3"/>
      <c r="LY178" s="3"/>
      <c r="LZ178" s="3"/>
      <c r="MA178" s="3"/>
      <c r="MB178" s="3"/>
      <c r="MC178" s="3"/>
      <c r="MD178" s="3"/>
      <c r="ME178" s="3"/>
      <c r="MF178" s="3"/>
      <c r="MG178" s="3"/>
      <c r="MH178" s="3"/>
      <c r="MI178" s="3"/>
      <c r="MJ178" s="3"/>
      <c r="MK178" s="3"/>
      <c r="ML178" s="3"/>
      <c r="MM178" s="3"/>
      <c r="MN178" s="3"/>
      <c r="MO178" s="3"/>
      <c r="MP178" s="3"/>
      <c r="MQ178" s="3"/>
      <c r="MR178" s="3"/>
      <c r="MS178" s="3"/>
      <c r="MT178" s="3"/>
      <c r="MU178" s="3"/>
      <c r="MV178" s="3"/>
      <c r="MW178" s="3"/>
      <c r="MX178" s="3"/>
      <c r="MY178" s="3"/>
      <c r="MZ178" s="3"/>
      <c r="NA178" s="3"/>
      <c r="NB178" s="3"/>
      <c r="NC178" s="3"/>
      <c r="ND178" s="3"/>
      <c r="NE178" s="3"/>
      <c r="NF178" s="3"/>
      <c r="NG178" s="3"/>
      <c r="NH178" s="3"/>
      <c r="NI178" s="3"/>
      <c r="NJ178" s="3"/>
      <c r="NK178" s="3"/>
      <c r="NL178" s="3"/>
      <c r="NM178" s="3"/>
      <c r="NN178" s="3"/>
      <c r="NO178" s="3"/>
      <c r="NP178" s="3"/>
      <c r="NQ178" s="3"/>
      <c r="NR178" s="3"/>
      <c r="NS178" s="3"/>
      <c r="NT178" s="3"/>
      <c r="NU178" s="3"/>
      <c r="NV178" s="3"/>
      <c r="NW178" s="3"/>
      <c r="NX178" s="3"/>
      <c r="NY178" s="3"/>
      <c r="NZ178" s="3"/>
      <c r="OA178" s="3"/>
      <c r="OB178" s="3"/>
      <c r="OC178" s="3"/>
      <c r="OD178" s="3"/>
      <c r="OE178" s="3"/>
      <c r="OF178" s="3"/>
      <c r="OG178" s="3"/>
      <c r="OH178" s="3"/>
      <c r="OI178" s="3"/>
      <c r="OJ178" s="3"/>
      <c r="OK178" s="3"/>
      <c r="OL178" s="3"/>
      <c r="OM178" s="3"/>
      <c r="ON178" s="3"/>
      <c r="OO178" s="3"/>
      <c r="OP178" s="3"/>
      <c r="OQ178" s="3"/>
      <c r="OR178" s="3"/>
      <c r="OS178" s="3"/>
      <c r="OT178" s="3"/>
      <c r="OU178" s="3"/>
      <c r="OV178" s="3"/>
      <c r="OW178" s="3"/>
      <c r="OX178" s="3"/>
      <c r="OY178" s="3"/>
      <c r="OZ178" s="3"/>
      <c r="PA178" s="3"/>
      <c r="PB178" s="3"/>
      <c r="PC178" s="3"/>
      <c r="PD178" s="3"/>
      <c r="PE178" s="3"/>
      <c r="PF178" s="3"/>
      <c r="PG178" s="3"/>
      <c r="PH178" s="3"/>
      <c r="PI178" s="3"/>
      <c r="PJ178" s="3"/>
      <c r="PK178" s="3"/>
      <c r="PL178" s="3"/>
      <c r="PM178" s="3"/>
      <c r="PN178" s="3"/>
      <c r="PO178" s="3"/>
      <c r="PP178" s="3"/>
      <c r="PQ178" s="3"/>
      <c r="PR178" s="3"/>
      <c r="PS178" s="3"/>
      <c r="PT178" s="3"/>
      <c r="PU178" s="3"/>
      <c r="PV178" s="3"/>
      <c r="PW178" s="3"/>
      <c r="PX178" s="3"/>
      <c r="PY178" s="3"/>
      <c r="PZ178" s="3"/>
      <c r="QA178" s="3"/>
      <c r="QB178" s="3"/>
      <c r="QC178" s="3"/>
      <c r="QD178" s="3"/>
      <c r="QE178" s="3"/>
      <c r="QF178" s="3"/>
      <c r="QG178" s="3"/>
      <c r="QH178" s="3"/>
      <c r="QI178" s="3"/>
      <c r="QJ178" s="3"/>
      <c r="QK178" s="3"/>
      <c r="QL178" s="3"/>
      <c r="QM178" s="3"/>
      <c r="QN178" s="3"/>
      <c r="QO178" s="3"/>
      <c r="QP178" s="3"/>
      <c r="QQ178" s="3"/>
      <c r="QR178" s="3"/>
      <c r="QS178" s="3"/>
      <c r="QT178" s="3"/>
      <c r="QU178" s="3"/>
      <c r="QV178" s="3"/>
      <c r="QW178" s="3"/>
      <c r="QX178" s="3"/>
      <c r="QY178" s="3"/>
      <c r="QZ178" s="3"/>
      <c r="RA178" s="3"/>
      <c r="RB178" s="3"/>
      <c r="RC178" s="3"/>
      <c r="RD178" s="3"/>
      <c r="RE178" s="3"/>
      <c r="RF178" s="3"/>
      <c r="RG178" s="3"/>
      <c r="RH178" s="3"/>
      <c r="RI178" s="3"/>
      <c r="RJ178" s="3"/>
      <c r="RK178" s="3"/>
      <c r="RL178" s="3"/>
      <c r="RM178" s="3"/>
      <c r="RN178" s="3"/>
      <c r="RO178" s="3"/>
      <c r="RP178" s="3"/>
      <c r="RQ178" s="3"/>
      <c r="RR178" s="3"/>
      <c r="RS178" s="3"/>
      <c r="RT178" s="3"/>
      <c r="RU178" s="3"/>
      <c r="RV178" s="3"/>
      <c r="RW178" s="3"/>
      <c r="RX178" s="3"/>
      <c r="RY178" s="3"/>
      <c r="RZ178" s="3"/>
      <c r="SA178" s="3"/>
      <c r="SB178" s="3"/>
      <c r="SC178" s="3"/>
      <c r="SD178" s="3"/>
      <c r="SE178" s="3"/>
      <c r="SF178" s="3"/>
      <c r="SG178" s="3"/>
      <c r="SH178" s="3"/>
      <c r="SI178" s="3"/>
      <c r="SJ178" s="3"/>
      <c r="SK178" s="3"/>
      <c r="SL178" s="3"/>
      <c r="SM178" s="3"/>
      <c r="SN178" s="3"/>
      <c r="SO178" s="3"/>
      <c r="SP178" s="3"/>
      <c r="SQ178" s="3"/>
      <c r="SR178" s="3"/>
      <c r="SS178" s="3"/>
      <c r="ST178" s="3"/>
      <c r="SU178" s="3"/>
      <c r="SV178" s="3"/>
      <c r="SW178" s="3"/>
      <c r="SX178" s="3"/>
      <c r="SY178" s="3"/>
      <c r="SZ178" s="3"/>
      <c r="TA178" s="3"/>
      <c r="TB178" s="3"/>
      <c r="TC178" s="3"/>
      <c r="TD178" s="3"/>
      <c r="TE178" s="3"/>
      <c r="TF178" s="3"/>
      <c r="TG178" s="3"/>
      <c r="TH178" s="3"/>
      <c r="TI178" s="3"/>
      <c r="TJ178" s="3"/>
      <c r="TK178" s="3"/>
      <c r="TL178" s="3"/>
      <c r="TM178" s="3"/>
      <c r="TN178" s="3"/>
      <c r="TO178" s="3"/>
      <c r="TP178" s="3"/>
      <c r="TQ178" s="3"/>
      <c r="TR178" s="3"/>
      <c r="TS178" s="3"/>
      <c r="TT178" s="3"/>
      <c r="TU178" s="3"/>
      <c r="TV178" s="3"/>
      <c r="TW178" s="3"/>
      <c r="TX178" s="3"/>
      <c r="TY178" s="3"/>
      <c r="TZ178" s="3"/>
      <c r="UA178" s="3"/>
      <c r="UB178" s="3"/>
      <c r="UC178" s="3"/>
      <c r="UD178" s="3"/>
      <c r="UE178" s="3"/>
      <c r="UF178" s="3"/>
      <c r="UG178" s="3"/>
      <c r="UH178" s="3"/>
      <c r="UI178" s="3"/>
      <c r="UJ178" s="3"/>
      <c r="UK178" s="3"/>
      <c r="UL178" s="3"/>
      <c r="UM178" s="3"/>
      <c r="UN178" s="3"/>
      <c r="UO178" s="3"/>
      <c r="UP178" s="3"/>
      <c r="UQ178" s="3"/>
      <c r="UR178" s="3"/>
      <c r="US178" s="3"/>
      <c r="UT178" s="3"/>
      <c r="UU178" s="3"/>
      <c r="UV178" s="3"/>
      <c r="UW178" s="3"/>
      <c r="UX178" s="3"/>
      <c r="UY178" s="3"/>
      <c r="UZ178" s="3"/>
      <c r="VA178" s="3"/>
      <c r="VB178" s="3"/>
      <c r="VC178" s="3"/>
      <c r="VD178" s="3"/>
      <c r="VE178" s="3"/>
      <c r="VF178" s="3"/>
      <c r="VG178" s="3"/>
      <c r="VH178" s="3"/>
      <c r="VI178" s="3"/>
      <c r="VJ178" s="3"/>
      <c r="VK178" s="3"/>
      <c r="VL178" s="3"/>
      <c r="VM178" s="3"/>
      <c r="VN178" s="3"/>
      <c r="VO178" s="3"/>
      <c r="VP178" s="3"/>
      <c r="VQ178" s="3"/>
      <c r="VR178" s="3"/>
      <c r="VS178" s="3"/>
      <c r="VT178" s="3"/>
      <c r="VU178" s="3"/>
      <c r="VV178" s="3"/>
      <c r="VW178" s="3"/>
      <c r="VX178" s="3"/>
      <c r="VY178" s="3"/>
      <c r="VZ178" s="3"/>
      <c r="WA178" s="3"/>
      <c r="WB178" s="3"/>
      <c r="WC178" s="3"/>
      <c r="WD178" s="3"/>
      <c r="WE178" s="3"/>
      <c r="WF178" s="3"/>
      <c r="WG178" s="3"/>
      <c r="WH178" s="3"/>
      <c r="WI178" s="3"/>
      <c r="WJ178" s="3"/>
      <c r="WK178" s="3"/>
      <c r="WL178" s="3"/>
      <c r="WM178" s="3"/>
      <c r="WN178" s="3"/>
      <c r="WO178" s="3"/>
      <c r="WP178" s="3"/>
      <c r="WQ178" s="3"/>
      <c r="WR178" s="3"/>
      <c r="WS178" s="3"/>
      <c r="WT178" s="3"/>
      <c r="WU178" s="3"/>
      <c r="WV178" s="3"/>
      <c r="WW178" s="3"/>
      <c r="WX178" s="3"/>
      <c r="WY178" s="3"/>
      <c r="WZ178" s="3"/>
      <c r="XA178" s="3"/>
      <c r="XB178" s="3"/>
      <c r="XC178" s="3"/>
      <c r="XD178" s="3"/>
      <c r="XE178" s="3"/>
      <c r="XF178" s="3"/>
      <c r="XG178" s="3"/>
      <c r="XH178" s="3"/>
      <c r="XI178" s="3"/>
      <c r="XJ178" s="3"/>
      <c r="XK178" s="3"/>
      <c r="XL178" s="3"/>
      <c r="XM178" s="3"/>
      <c r="XN178" s="3"/>
      <c r="XO178" s="3"/>
      <c r="XP178" s="3"/>
      <c r="XQ178" s="3"/>
      <c r="XR178" s="3"/>
      <c r="XS178" s="3"/>
      <c r="XT178" s="3"/>
      <c r="XU178" s="3"/>
      <c r="XV178" s="3"/>
      <c r="XW178" s="3"/>
      <c r="XX178" s="3"/>
      <c r="XY178" s="3"/>
      <c r="XZ178" s="3"/>
      <c r="YA178" s="3"/>
      <c r="YB178" s="3"/>
      <c r="YC178" s="3"/>
      <c r="YD178" s="3"/>
      <c r="YE178" s="3"/>
      <c r="YF178" s="3"/>
      <c r="YG178" s="3"/>
      <c r="YH178" s="3"/>
      <c r="YI178" s="3"/>
      <c r="YJ178" s="3"/>
      <c r="YK178" s="3"/>
      <c r="YL178" s="3"/>
      <c r="YM178" s="3"/>
      <c r="YN178" s="3"/>
      <c r="YO178" s="3"/>
      <c r="YP178" s="3"/>
      <c r="YQ178" s="3"/>
      <c r="YR178" s="3"/>
      <c r="YS178" s="3"/>
      <c r="YT178" s="3"/>
      <c r="YU178" s="3"/>
      <c r="YV178" s="3"/>
      <c r="YW178" s="3"/>
      <c r="YX178" s="3"/>
      <c r="YY178" s="3"/>
      <c r="YZ178" s="3"/>
      <c r="ZA178" s="3"/>
      <c r="ZB178" s="3"/>
      <c r="ZC178" s="3"/>
    </row>
    <row r="179" spans="1:679" s="2" customFormat="1" x14ac:dyDescent="0.45">
      <c r="A179" s="3" t="s">
        <v>11</v>
      </c>
      <c r="B179" s="4">
        <v>35586</v>
      </c>
      <c r="C179" s="7" t="s">
        <v>25</v>
      </c>
      <c r="D179" s="6" t="s">
        <v>194</v>
      </c>
      <c r="E179" s="3"/>
      <c r="F179" s="3">
        <v>10</v>
      </c>
      <c r="L179" s="3"/>
      <c r="M179" s="3"/>
      <c r="N179" s="48"/>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c r="CV179" s="3"/>
      <c r="CW179" s="3"/>
      <c r="CX179" s="3"/>
      <c r="CY179" s="3"/>
      <c r="CZ179" s="3"/>
      <c r="DA179" s="3"/>
      <c r="DB179" s="3"/>
      <c r="DC179" s="3"/>
      <c r="DD179" s="3"/>
      <c r="DE179" s="3"/>
      <c r="DF179" s="3"/>
      <c r="DG179" s="3"/>
      <c r="DH179" s="3"/>
      <c r="DI179" s="3"/>
      <c r="DJ179" s="3"/>
      <c r="DK179" s="3"/>
      <c r="DL179" s="3"/>
      <c r="DM179" s="3"/>
      <c r="DN179" s="3"/>
      <c r="DO179" s="3"/>
      <c r="DP179" s="3"/>
      <c r="DQ179" s="3"/>
      <c r="DR179" s="3"/>
      <c r="DS179" s="3"/>
      <c r="DT179" s="3"/>
      <c r="DU179" s="3"/>
      <c r="DV179" s="3"/>
      <c r="DW179" s="3"/>
      <c r="DX179" s="3"/>
      <c r="DY179" s="3"/>
      <c r="DZ179" s="3"/>
      <c r="EA179" s="3"/>
      <c r="EB179" s="3"/>
      <c r="EC179" s="3"/>
      <c r="ED179" s="3"/>
      <c r="EE179" s="3"/>
      <c r="EF179" s="3"/>
      <c r="EG179" s="3"/>
      <c r="EH179" s="3"/>
      <c r="EI179" s="3"/>
      <c r="EJ179" s="3"/>
      <c r="EK179" s="3"/>
      <c r="EL179" s="3"/>
      <c r="EM179" s="3"/>
      <c r="EN179" s="3"/>
      <c r="EO179" s="3"/>
      <c r="EP179" s="3"/>
      <c r="EQ179" s="3"/>
      <c r="ER179" s="3"/>
      <c r="ES179" s="3"/>
      <c r="ET179" s="3"/>
      <c r="EU179" s="3"/>
      <c r="EV179" s="3"/>
      <c r="EW179" s="3"/>
      <c r="EX179" s="3"/>
      <c r="EY179" s="3"/>
      <c r="EZ179" s="3"/>
      <c r="FA179" s="3"/>
      <c r="FB179" s="3"/>
      <c r="FC179" s="3"/>
      <c r="FD179" s="3"/>
      <c r="FE179" s="3"/>
      <c r="FF179" s="3"/>
      <c r="FG179" s="3"/>
      <c r="FH179" s="3"/>
      <c r="FI179" s="3"/>
      <c r="FJ179" s="3"/>
      <c r="FK179" s="3"/>
      <c r="FL179" s="3"/>
      <c r="FM179" s="3"/>
      <c r="FN179" s="3"/>
      <c r="FO179" s="3"/>
      <c r="FP179" s="3"/>
      <c r="FQ179" s="3"/>
      <c r="FR179" s="3"/>
      <c r="FS179" s="3"/>
      <c r="FT179" s="3"/>
      <c r="FU179" s="3"/>
      <c r="FV179" s="3"/>
      <c r="FW179" s="3"/>
      <c r="FX179" s="3"/>
      <c r="FY179" s="3"/>
      <c r="FZ179" s="3"/>
      <c r="GA179" s="3"/>
      <c r="GB179" s="3"/>
      <c r="GC179" s="3"/>
      <c r="GD179" s="3"/>
      <c r="GE179" s="3"/>
      <c r="GF179" s="3"/>
      <c r="GG179" s="3"/>
      <c r="GH179" s="3"/>
      <c r="GI179" s="3"/>
      <c r="GJ179" s="3"/>
      <c r="GK179" s="3"/>
      <c r="GL179" s="3"/>
      <c r="GM179" s="3"/>
      <c r="GN179" s="3"/>
      <c r="GO179" s="3"/>
      <c r="GP179" s="3"/>
      <c r="GQ179" s="3"/>
      <c r="GR179" s="3"/>
      <c r="GS179" s="3"/>
      <c r="GT179" s="3"/>
      <c r="GU179" s="3"/>
      <c r="GV179" s="3"/>
      <c r="GW179" s="3"/>
      <c r="GX179" s="3"/>
      <c r="GY179" s="3"/>
      <c r="GZ179" s="3"/>
      <c r="HA179" s="3"/>
      <c r="HB179" s="3"/>
      <c r="HC179" s="3"/>
      <c r="HD179" s="3"/>
      <c r="HE179" s="3"/>
      <c r="HF179" s="3"/>
      <c r="HG179" s="3"/>
      <c r="HH179" s="3"/>
      <c r="HI179" s="3"/>
      <c r="HJ179" s="3"/>
      <c r="HK179" s="3"/>
      <c r="HL179" s="3"/>
      <c r="HM179" s="3"/>
      <c r="HN179" s="3"/>
      <c r="HO179" s="3"/>
      <c r="HP179" s="3"/>
      <c r="HQ179" s="3"/>
      <c r="HR179" s="3"/>
      <c r="HS179" s="3"/>
      <c r="HT179" s="3"/>
      <c r="HU179" s="3"/>
      <c r="HV179" s="3"/>
      <c r="HW179" s="3"/>
      <c r="HX179" s="3"/>
      <c r="HY179" s="3"/>
      <c r="HZ179" s="3"/>
      <c r="IA179" s="3"/>
      <c r="IB179" s="3"/>
      <c r="IC179" s="3"/>
      <c r="ID179" s="3"/>
      <c r="IE179" s="3"/>
      <c r="IF179" s="3"/>
      <c r="IG179" s="3"/>
      <c r="IH179" s="3"/>
      <c r="II179" s="3"/>
      <c r="IJ179" s="3"/>
      <c r="IK179" s="3"/>
      <c r="IL179" s="3"/>
      <c r="IM179" s="3"/>
      <c r="IN179" s="3"/>
      <c r="IO179" s="3"/>
      <c r="IP179" s="3"/>
      <c r="IQ179" s="3"/>
      <c r="IR179" s="3"/>
      <c r="IS179" s="3"/>
      <c r="IT179" s="3"/>
      <c r="IU179" s="3"/>
      <c r="IV179" s="3"/>
      <c r="IW179" s="3"/>
      <c r="IX179" s="3"/>
      <c r="IY179" s="3"/>
      <c r="IZ179" s="3"/>
      <c r="JA179" s="3"/>
      <c r="JB179" s="3"/>
      <c r="JC179" s="3"/>
      <c r="JD179" s="3"/>
      <c r="JE179" s="3"/>
      <c r="JF179" s="3"/>
      <c r="JG179" s="3"/>
      <c r="JH179" s="3"/>
      <c r="JI179" s="3"/>
      <c r="JJ179" s="3"/>
      <c r="JK179" s="3"/>
      <c r="JL179" s="3"/>
      <c r="JM179" s="3"/>
      <c r="JN179" s="3"/>
      <c r="JO179" s="3"/>
      <c r="JP179" s="3"/>
      <c r="JQ179" s="3"/>
      <c r="JR179" s="3"/>
      <c r="JS179" s="3"/>
      <c r="JT179" s="3"/>
      <c r="JU179" s="3"/>
      <c r="JV179" s="3"/>
      <c r="JW179" s="3"/>
      <c r="JX179" s="3"/>
      <c r="JY179" s="3"/>
      <c r="JZ179" s="3"/>
      <c r="KA179" s="3"/>
      <c r="KB179" s="3"/>
      <c r="KC179" s="3"/>
      <c r="KD179" s="3"/>
      <c r="KE179" s="3"/>
      <c r="KF179" s="3"/>
      <c r="KG179" s="3"/>
      <c r="KH179" s="3"/>
      <c r="KI179" s="3"/>
      <c r="KJ179" s="3"/>
      <c r="KK179" s="3"/>
      <c r="KL179" s="3"/>
      <c r="KM179" s="3"/>
      <c r="KN179" s="3"/>
      <c r="KO179" s="3"/>
      <c r="KP179" s="3"/>
      <c r="KQ179" s="3"/>
      <c r="KR179" s="3"/>
      <c r="KS179" s="3"/>
      <c r="KT179" s="3"/>
      <c r="KU179" s="3"/>
      <c r="KV179" s="3"/>
      <c r="KW179" s="3"/>
      <c r="KX179" s="3"/>
      <c r="KY179" s="3"/>
      <c r="KZ179" s="3"/>
      <c r="LA179" s="3"/>
      <c r="LB179" s="3"/>
      <c r="LC179" s="3"/>
      <c r="LD179" s="3"/>
      <c r="LE179" s="3"/>
      <c r="LF179" s="3"/>
      <c r="LG179" s="3"/>
      <c r="LH179" s="3"/>
      <c r="LI179" s="3"/>
      <c r="LJ179" s="3"/>
      <c r="LK179" s="3"/>
      <c r="LL179" s="3"/>
      <c r="LM179" s="3"/>
      <c r="LN179" s="3"/>
      <c r="LO179" s="3"/>
      <c r="LP179" s="3"/>
      <c r="LQ179" s="3"/>
      <c r="LR179" s="3"/>
      <c r="LS179" s="3"/>
      <c r="LT179" s="3"/>
      <c r="LU179" s="3"/>
      <c r="LV179" s="3"/>
      <c r="LW179" s="3"/>
      <c r="LX179" s="3"/>
      <c r="LY179" s="3"/>
      <c r="LZ179" s="3"/>
      <c r="MA179" s="3"/>
      <c r="MB179" s="3"/>
      <c r="MC179" s="3"/>
      <c r="MD179" s="3"/>
      <c r="ME179" s="3"/>
      <c r="MF179" s="3"/>
      <c r="MG179" s="3"/>
      <c r="MH179" s="3"/>
      <c r="MI179" s="3"/>
      <c r="MJ179" s="3"/>
      <c r="MK179" s="3"/>
      <c r="ML179" s="3"/>
      <c r="MM179" s="3"/>
      <c r="MN179" s="3"/>
      <c r="MO179" s="3"/>
      <c r="MP179" s="3"/>
      <c r="MQ179" s="3"/>
      <c r="MR179" s="3"/>
      <c r="MS179" s="3"/>
      <c r="MT179" s="3"/>
      <c r="MU179" s="3"/>
      <c r="MV179" s="3"/>
      <c r="MW179" s="3"/>
      <c r="MX179" s="3"/>
      <c r="MY179" s="3"/>
      <c r="MZ179" s="3"/>
      <c r="NA179" s="3"/>
      <c r="NB179" s="3"/>
      <c r="NC179" s="3"/>
      <c r="ND179" s="3"/>
      <c r="NE179" s="3"/>
      <c r="NF179" s="3"/>
      <c r="NG179" s="3"/>
      <c r="NH179" s="3"/>
      <c r="NI179" s="3"/>
      <c r="NJ179" s="3"/>
      <c r="NK179" s="3"/>
      <c r="NL179" s="3"/>
      <c r="NM179" s="3"/>
      <c r="NN179" s="3"/>
      <c r="NO179" s="3"/>
      <c r="NP179" s="3"/>
      <c r="NQ179" s="3"/>
      <c r="NR179" s="3"/>
      <c r="NS179" s="3"/>
      <c r="NT179" s="3"/>
      <c r="NU179" s="3"/>
      <c r="NV179" s="3"/>
      <c r="NW179" s="3"/>
      <c r="NX179" s="3"/>
      <c r="NY179" s="3"/>
      <c r="NZ179" s="3"/>
      <c r="OA179" s="3"/>
      <c r="OB179" s="3"/>
      <c r="OC179" s="3"/>
      <c r="OD179" s="3"/>
      <c r="OE179" s="3"/>
      <c r="OF179" s="3"/>
      <c r="OG179" s="3"/>
      <c r="OH179" s="3"/>
      <c r="OI179" s="3"/>
      <c r="OJ179" s="3"/>
      <c r="OK179" s="3"/>
      <c r="OL179" s="3"/>
      <c r="OM179" s="3"/>
      <c r="ON179" s="3"/>
      <c r="OO179" s="3"/>
      <c r="OP179" s="3"/>
      <c r="OQ179" s="3"/>
      <c r="OR179" s="3"/>
      <c r="OS179" s="3"/>
      <c r="OT179" s="3"/>
      <c r="OU179" s="3"/>
      <c r="OV179" s="3"/>
      <c r="OW179" s="3"/>
      <c r="OX179" s="3"/>
      <c r="OY179" s="3"/>
      <c r="OZ179" s="3"/>
      <c r="PA179" s="3"/>
      <c r="PB179" s="3"/>
      <c r="PC179" s="3"/>
      <c r="PD179" s="3"/>
      <c r="PE179" s="3"/>
      <c r="PF179" s="3"/>
      <c r="PG179" s="3"/>
      <c r="PH179" s="3"/>
      <c r="PI179" s="3"/>
      <c r="PJ179" s="3"/>
      <c r="PK179" s="3"/>
      <c r="PL179" s="3"/>
      <c r="PM179" s="3"/>
      <c r="PN179" s="3"/>
      <c r="PO179" s="3"/>
      <c r="PP179" s="3"/>
      <c r="PQ179" s="3"/>
      <c r="PR179" s="3"/>
      <c r="PS179" s="3"/>
      <c r="PT179" s="3"/>
      <c r="PU179" s="3"/>
      <c r="PV179" s="3"/>
      <c r="PW179" s="3"/>
      <c r="PX179" s="3"/>
      <c r="PY179" s="3"/>
      <c r="PZ179" s="3"/>
      <c r="QA179" s="3"/>
      <c r="QB179" s="3"/>
      <c r="QC179" s="3"/>
      <c r="QD179" s="3"/>
      <c r="QE179" s="3"/>
      <c r="QF179" s="3"/>
      <c r="QG179" s="3"/>
      <c r="QH179" s="3"/>
      <c r="QI179" s="3"/>
      <c r="QJ179" s="3"/>
      <c r="QK179" s="3"/>
      <c r="QL179" s="3"/>
      <c r="QM179" s="3"/>
      <c r="QN179" s="3"/>
      <c r="QO179" s="3"/>
      <c r="QP179" s="3"/>
      <c r="QQ179" s="3"/>
      <c r="QR179" s="3"/>
      <c r="QS179" s="3"/>
      <c r="QT179" s="3"/>
      <c r="QU179" s="3"/>
      <c r="QV179" s="3"/>
      <c r="QW179" s="3"/>
      <c r="QX179" s="3"/>
      <c r="QY179" s="3"/>
      <c r="QZ179" s="3"/>
      <c r="RA179" s="3"/>
      <c r="RB179" s="3"/>
      <c r="RC179" s="3"/>
      <c r="RD179" s="3"/>
      <c r="RE179" s="3"/>
      <c r="RF179" s="3"/>
      <c r="RG179" s="3"/>
      <c r="RH179" s="3"/>
      <c r="RI179" s="3"/>
      <c r="RJ179" s="3"/>
      <c r="RK179" s="3"/>
      <c r="RL179" s="3"/>
      <c r="RM179" s="3"/>
      <c r="RN179" s="3"/>
      <c r="RO179" s="3"/>
      <c r="RP179" s="3"/>
      <c r="RQ179" s="3"/>
      <c r="RR179" s="3"/>
      <c r="RS179" s="3"/>
      <c r="RT179" s="3"/>
      <c r="RU179" s="3"/>
      <c r="RV179" s="3"/>
      <c r="RW179" s="3"/>
      <c r="RX179" s="3"/>
      <c r="RY179" s="3"/>
      <c r="RZ179" s="3"/>
      <c r="SA179" s="3"/>
      <c r="SB179" s="3"/>
      <c r="SC179" s="3"/>
      <c r="SD179" s="3"/>
      <c r="SE179" s="3"/>
      <c r="SF179" s="3"/>
      <c r="SG179" s="3"/>
      <c r="SH179" s="3"/>
      <c r="SI179" s="3"/>
      <c r="SJ179" s="3"/>
      <c r="SK179" s="3"/>
      <c r="SL179" s="3"/>
      <c r="SM179" s="3"/>
      <c r="SN179" s="3"/>
      <c r="SO179" s="3"/>
      <c r="SP179" s="3"/>
      <c r="SQ179" s="3"/>
      <c r="SR179" s="3"/>
      <c r="SS179" s="3"/>
      <c r="ST179" s="3"/>
      <c r="SU179" s="3"/>
      <c r="SV179" s="3"/>
      <c r="SW179" s="3"/>
      <c r="SX179" s="3"/>
      <c r="SY179" s="3"/>
      <c r="SZ179" s="3"/>
      <c r="TA179" s="3"/>
      <c r="TB179" s="3"/>
      <c r="TC179" s="3"/>
      <c r="TD179" s="3"/>
      <c r="TE179" s="3"/>
      <c r="TF179" s="3"/>
      <c r="TG179" s="3"/>
      <c r="TH179" s="3"/>
      <c r="TI179" s="3"/>
      <c r="TJ179" s="3"/>
      <c r="TK179" s="3"/>
      <c r="TL179" s="3"/>
      <c r="TM179" s="3"/>
      <c r="TN179" s="3"/>
      <c r="TO179" s="3"/>
      <c r="TP179" s="3"/>
      <c r="TQ179" s="3"/>
      <c r="TR179" s="3"/>
      <c r="TS179" s="3"/>
      <c r="TT179" s="3"/>
      <c r="TU179" s="3"/>
      <c r="TV179" s="3"/>
      <c r="TW179" s="3"/>
      <c r="TX179" s="3"/>
      <c r="TY179" s="3"/>
      <c r="TZ179" s="3"/>
      <c r="UA179" s="3"/>
      <c r="UB179" s="3"/>
      <c r="UC179" s="3"/>
      <c r="UD179" s="3"/>
      <c r="UE179" s="3"/>
      <c r="UF179" s="3"/>
      <c r="UG179" s="3"/>
      <c r="UH179" s="3"/>
      <c r="UI179" s="3"/>
      <c r="UJ179" s="3"/>
      <c r="UK179" s="3"/>
      <c r="UL179" s="3"/>
      <c r="UM179" s="3"/>
      <c r="UN179" s="3"/>
      <c r="UO179" s="3"/>
      <c r="UP179" s="3"/>
      <c r="UQ179" s="3"/>
      <c r="UR179" s="3"/>
      <c r="US179" s="3"/>
      <c r="UT179" s="3"/>
      <c r="UU179" s="3"/>
      <c r="UV179" s="3"/>
      <c r="UW179" s="3"/>
      <c r="UX179" s="3"/>
      <c r="UY179" s="3"/>
      <c r="UZ179" s="3"/>
      <c r="VA179" s="3"/>
      <c r="VB179" s="3"/>
      <c r="VC179" s="3"/>
      <c r="VD179" s="3"/>
      <c r="VE179" s="3"/>
      <c r="VF179" s="3"/>
      <c r="VG179" s="3"/>
      <c r="VH179" s="3"/>
      <c r="VI179" s="3"/>
      <c r="VJ179" s="3"/>
      <c r="VK179" s="3"/>
      <c r="VL179" s="3"/>
      <c r="VM179" s="3"/>
      <c r="VN179" s="3"/>
      <c r="VO179" s="3"/>
      <c r="VP179" s="3"/>
      <c r="VQ179" s="3"/>
      <c r="VR179" s="3"/>
      <c r="VS179" s="3"/>
      <c r="VT179" s="3"/>
      <c r="VU179" s="3"/>
      <c r="VV179" s="3"/>
      <c r="VW179" s="3"/>
      <c r="VX179" s="3"/>
      <c r="VY179" s="3"/>
      <c r="VZ179" s="3"/>
      <c r="WA179" s="3"/>
      <c r="WB179" s="3"/>
      <c r="WC179" s="3"/>
      <c r="WD179" s="3"/>
      <c r="WE179" s="3"/>
      <c r="WF179" s="3"/>
      <c r="WG179" s="3"/>
      <c r="WH179" s="3"/>
      <c r="WI179" s="3"/>
      <c r="WJ179" s="3"/>
      <c r="WK179" s="3"/>
      <c r="WL179" s="3"/>
      <c r="WM179" s="3"/>
      <c r="WN179" s="3"/>
      <c r="WO179" s="3"/>
      <c r="WP179" s="3"/>
      <c r="WQ179" s="3"/>
      <c r="WR179" s="3"/>
      <c r="WS179" s="3"/>
      <c r="WT179" s="3"/>
      <c r="WU179" s="3"/>
      <c r="WV179" s="3"/>
      <c r="WW179" s="3"/>
      <c r="WX179" s="3"/>
      <c r="WY179" s="3"/>
      <c r="WZ179" s="3"/>
      <c r="XA179" s="3"/>
      <c r="XB179" s="3"/>
      <c r="XC179" s="3"/>
      <c r="XD179" s="3"/>
      <c r="XE179" s="3"/>
      <c r="XF179" s="3"/>
      <c r="XG179" s="3"/>
      <c r="XH179" s="3"/>
      <c r="XI179" s="3"/>
      <c r="XJ179" s="3"/>
      <c r="XK179" s="3"/>
      <c r="XL179" s="3"/>
      <c r="XM179" s="3"/>
      <c r="XN179" s="3"/>
      <c r="XO179" s="3"/>
      <c r="XP179" s="3"/>
      <c r="XQ179" s="3"/>
      <c r="XR179" s="3"/>
      <c r="XS179" s="3"/>
      <c r="XT179" s="3"/>
      <c r="XU179" s="3"/>
      <c r="XV179" s="3"/>
      <c r="XW179" s="3"/>
      <c r="XX179" s="3"/>
      <c r="XY179" s="3"/>
      <c r="XZ179" s="3"/>
      <c r="YA179" s="3"/>
      <c r="YB179" s="3"/>
      <c r="YC179" s="3"/>
      <c r="YD179" s="3"/>
      <c r="YE179" s="3"/>
      <c r="YF179" s="3"/>
      <c r="YG179" s="3"/>
      <c r="YH179" s="3"/>
      <c r="YI179" s="3"/>
      <c r="YJ179" s="3"/>
      <c r="YK179" s="3"/>
      <c r="YL179" s="3"/>
      <c r="YM179" s="3"/>
      <c r="YN179" s="3"/>
      <c r="YO179" s="3"/>
      <c r="YP179" s="3"/>
      <c r="YQ179" s="3"/>
      <c r="YR179" s="3"/>
      <c r="YS179" s="3"/>
      <c r="YT179" s="3"/>
      <c r="YU179" s="3"/>
      <c r="YV179" s="3"/>
      <c r="YW179" s="3"/>
      <c r="YX179" s="3"/>
      <c r="YY179" s="3"/>
      <c r="YZ179" s="3"/>
      <c r="ZA179" s="3"/>
      <c r="ZB179" s="3"/>
      <c r="ZC179" s="3"/>
    </row>
    <row r="180" spans="1:679" s="2" customFormat="1" x14ac:dyDescent="0.45">
      <c r="A180" s="3" t="s">
        <v>11</v>
      </c>
      <c r="B180" s="4">
        <v>35618</v>
      </c>
      <c r="C180" s="7" t="s">
        <v>25</v>
      </c>
      <c r="D180" s="6" t="s">
        <v>195</v>
      </c>
      <c r="E180" s="3"/>
      <c r="F180" s="3">
        <v>15</v>
      </c>
      <c r="L180" s="3"/>
      <c r="M180" s="3"/>
      <c r="N180" s="48"/>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c r="CV180" s="3"/>
      <c r="CW180" s="3"/>
      <c r="CX180" s="3"/>
      <c r="CY180" s="3"/>
      <c r="CZ180" s="3"/>
      <c r="DA180" s="3"/>
      <c r="DB180" s="3"/>
      <c r="DC180" s="3"/>
      <c r="DD180" s="3"/>
      <c r="DE180" s="3"/>
      <c r="DF180" s="3"/>
      <c r="DG180" s="3"/>
      <c r="DH180" s="3"/>
      <c r="DI180" s="3"/>
      <c r="DJ180" s="3"/>
      <c r="DK180" s="3"/>
      <c r="DL180" s="3"/>
      <c r="DM180" s="3"/>
      <c r="DN180" s="3"/>
      <c r="DO180" s="3"/>
      <c r="DP180" s="3"/>
      <c r="DQ180" s="3"/>
      <c r="DR180" s="3"/>
      <c r="DS180" s="3"/>
      <c r="DT180" s="3"/>
      <c r="DU180" s="3"/>
      <c r="DV180" s="3"/>
      <c r="DW180" s="3"/>
      <c r="DX180" s="3"/>
      <c r="DY180" s="3"/>
      <c r="DZ180" s="3"/>
      <c r="EA180" s="3"/>
      <c r="EB180" s="3"/>
      <c r="EC180" s="3"/>
      <c r="ED180" s="3"/>
      <c r="EE180" s="3"/>
      <c r="EF180" s="3"/>
      <c r="EG180" s="3"/>
      <c r="EH180" s="3"/>
      <c r="EI180" s="3"/>
      <c r="EJ180" s="3"/>
      <c r="EK180" s="3"/>
      <c r="EL180" s="3"/>
      <c r="EM180" s="3"/>
      <c r="EN180" s="3"/>
      <c r="EO180" s="3"/>
      <c r="EP180" s="3"/>
      <c r="EQ180" s="3"/>
      <c r="ER180" s="3"/>
      <c r="ES180" s="3"/>
      <c r="ET180" s="3"/>
      <c r="EU180" s="3"/>
      <c r="EV180" s="3"/>
      <c r="EW180" s="3"/>
      <c r="EX180" s="3"/>
      <c r="EY180" s="3"/>
      <c r="EZ180" s="3"/>
      <c r="FA180" s="3"/>
      <c r="FB180" s="3"/>
      <c r="FC180" s="3"/>
      <c r="FD180" s="3"/>
      <c r="FE180" s="3"/>
      <c r="FF180" s="3"/>
      <c r="FG180" s="3"/>
      <c r="FH180" s="3"/>
      <c r="FI180" s="3"/>
      <c r="FJ180" s="3"/>
      <c r="FK180" s="3"/>
      <c r="FL180" s="3"/>
      <c r="FM180" s="3"/>
      <c r="FN180" s="3"/>
      <c r="FO180" s="3"/>
      <c r="FP180" s="3"/>
      <c r="FQ180" s="3"/>
      <c r="FR180" s="3"/>
      <c r="FS180" s="3"/>
      <c r="FT180" s="3"/>
      <c r="FU180" s="3"/>
      <c r="FV180" s="3"/>
      <c r="FW180" s="3"/>
      <c r="FX180" s="3"/>
      <c r="FY180" s="3"/>
      <c r="FZ180" s="3"/>
      <c r="GA180" s="3"/>
      <c r="GB180" s="3"/>
      <c r="GC180" s="3"/>
      <c r="GD180" s="3"/>
      <c r="GE180" s="3"/>
      <c r="GF180" s="3"/>
      <c r="GG180" s="3"/>
      <c r="GH180" s="3"/>
      <c r="GI180" s="3"/>
      <c r="GJ180" s="3"/>
      <c r="GK180" s="3"/>
      <c r="GL180" s="3"/>
      <c r="GM180" s="3"/>
      <c r="GN180" s="3"/>
      <c r="GO180" s="3"/>
      <c r="GP180" s="3"/>
      <c r="GQ180" s="3"/>
      <c r="GR180" s="3"/>
      <c r="GS180" s="3"/>
      <c r="GT180" s="3"/>
      <c r="GU180" s="3"/>
      <c r="GV180" s="3"/>
      <c r="GW180" s="3"/>
      <c r="GX180" s="3"/>
      <c r="GY180" s="3"/>
      <c r="GZ180" s="3"/>
      <c r="HA180" s="3"/>
      <c r="HB180" s="3"/>
      <c r="HC180" s="3"/>
      <c r="HD180" s="3"/>
      <c r="HE180" s="3"/>
      <c r="HF180" s="3"/>
      <c r="HG180" s="3"/>
      <c r="HH180" s="3"/>
      <c r="HI180" s="3"/>
      <c r="HJ180" s="3"/>
      <c r="HK180" s="3"/>
      <c r="HL180" s="3"/>
      <c r="HM180" s="3"/>
      <c r="HN180" s="3"/>
      <c r="HO180" s="3"/>
      <c r="HP180" s="3"/>
      <c r="HQ180" s="3"/>
      <c r="HR180" s="3"/>
      <c r="HS180" s="3"/>
      <c r="HT180" s="3"/>
      <c r="HU180" s="3"/>
      <c r="HV180" s="3"/>
      <c r="HW180" s="3"/>
      <c r="HX180" s="3"/>
      <c r="HY180" s="3"/>
      <c r="HZ180" s="3"/>
      <c r="IA180" s="3"/>
      <c r="IB180" s="3"/>
      <c r="IC180" s="3"/>
      <c r="ID180" s="3"/>
      <c r="IE180" s="3"/>
      <c r="IF180" s="3"/>
      <c r="IG180" s="3"/>
      <c r="IH180" s="3"/>
      <c r="II180" s="3"/>
      <c r="IJ180" s="3"/>
      <c r="IK180" s="3"/>
      <c r="IL180" s="3"/>
      <c r="IM180" s="3"/>
      <c r="IN180" s="3"/>
      <c r="IO180" s="3"/>
      <c r="IP180" s="3"/>
      <c r="IQ180" s="3"/>
      <c r="IR180" s="3"/>
      <c r="IS180" s="3"/>
      <c r="IT180" s="3"/>
      <c r="IU180" s="3"/>
      <c r="IV180" s="3"/>
      <c r="IW180" s="3"/>
      <c r="IX180" s="3"/>
      <c r="IY180" s="3"/>
      <c r="IZ180" s="3"/>
      <c r="JA180" s="3"/>
      <c r="JB180" s="3"/>
      <c r="JC180" s="3"/>
      <c r="JD180" s="3"/>
      <c r="JE180" s="3"/>
      <c r="JF180" s="3"/>
      <c r="JG180" s="3"/>
      <c r="JH180" s="3"/>
      <c r="JI180" s="3"/>
      <c r="JJ180" s="3"/>
      <c r="JK180" s="3"/>
      <c r="JL180" s="3"/>
      <c r="JM180" s="3"/>
      <c r="JN180" s="3"/>
      <c r="JO180" s="3"/>
      <c r="JP180" s="3"/>
      <c r="JQ180" s="3"/>
      <c r="JR180" s="3"/>
      <c r="JS180" s="3"/>
      <c r="JT180" s="3"/>
      <c r="JU180" s="3"/>
      <c r="JV180" s="3"/>
      <c r="JW180" s="3"/>
      <c r="JX180" s="3"/>
      <c r="JY180" s="3"/>
      <c r="JZ180" s="3"/>
      <c r="KA180" s="3"/>
      <c r="KB180" s="3"/>
      <c r="KC180" s="3"/>
      <c r="KD180" s="3"/>
      <c r="KE180" s="3"/>
      <c r="KF180" s="3"/>
      <c r="KG180" s="3"/>
      <c r="KH180" s="3"/>
      <c r="KI180" s="3"/>
      <c r="KJ180" s="3"/>
      <c r="KK180" s="3"/>
      <c r="KL180" s="3"/>
      <c r="KM180" s="3"/>
      <c r="KN180" s="3"/>
      <c r="KO180" s="3"/>
      <c r="KP180" s="3"/>
      <c r="KQ180" s="3"/>
      <c r="KR180" s="3"/>
      <c r="KS180" s="3"/>
      <c r="KT180" s="3"/>
      <c r="KU180" s="3"/>
      <c r="KV180" s="3"/>
      <c r="KW180" s="3"/>
      <c r="KX180" s="3"/>
      <c r="KY180" s="3"/>
      <c r="KZ180" s="3"/>
      <c r="LA180" s="3"/>
      <c r="LB180" s="3"/>
      <c r="LC180" s="3"/>
      <c r="LD180" s="3"/>
      <c r="LE180" s="3"/>
      <c r="LF180" s="3"/>
      <c r="LG180" s="3"/>
      <c r="LH180" s="3"/>
      <c r="LI180" s="3"/>
      <c r="LJ180" s="3"/>
      <c r="LK180" s="3"/>
      <c r="LL180" s="3"/>
      <c r="LM180" s="3"/>
      <c r="LN180" s="3"/>
      <c r="LO180" s="3"/>
      <c r="LP180" s="3"/>
      <c r="LQ180" s="3"/>
      <c r="LR180" s="3"/>
      <c r="LS180" s="3"/>
      <c r="LT180" s="3"/>
      <c r="LU180" s="3"/>
      <c r="LV180" s="3"/>
      <c r="LW180" s="3"/>
      <c r="LX180" s="3"/>
      <c r="LY180" s="3"/>
      <c r="LZ180" s="3"/>
      <c r="MA180" s="3"/>
      <c r="MB180" s="3"/>
      <c r="MC180" s="3"/>
      <c r="MD180" s="3"/>
      <c r="ME180" s="3"/>
      <c r="MF180" s="3"/>
      <c r="MG180" s="3"/>
      <c r="MH180" s="3"/>
      <c r="MI180" s="3"/>
      <c r="MJ180" s="3"/>
      <c r="MK180" s="3"/>
      <c r="ML180" s="3"/>
      <c r="MM180" s="3"/>
      <c r="MN180" s="3"/>
      <c r="MO180" s="3"/>
      <c r="MP180" s="3"/>
      <c r="MQ180" s="3"/>
      <c r="MR180" s="3"/>
      <c r="MS180" s="3"/>
      <c r="MT180" s="3"/>
      <c r="MU180" s="3"/>
      <c r="MV180" s="3"/>
      <c r="MW180" s="3"/>
      <c r="MX180" s="3"/>
      <c r="MY180" s="3"/>
      <c r="MZ180" s="3"/>
      <c r="NA180" s="3"/>
      <c r="NB180" s="3"/>
      <c r="NC180" s="3"/>
      <c r="ND180" s="3"/>
      <c r="NE180" s="3"/>
      <c r="NF180" s="3"/>
      <c r="NG180" s="3"/>
      <c r="NH180" s="3"/>
      <c r="NI180" s="3"/>
      <c r="NJ180" s="3"/>
      <c r="NK180" s="3"/>
      <c r="NL180" s="3"/>
      <c r="NM180" s="3"/>
      <c r="NN180" s="3"/>
      <c r="NO180" s="3"/>
      <c r="NP180" s="3"/>
      <c r="NQ180" s="3"/>
      <c r="NR180" s="3"/>
      <c r="NS180" s="3"/>
      <c r="NT180" s="3"/>
      <c r="NU180" s="3"/>
      <c r="NV180" s="3"/>
      <c r="NW180" s="3"/>
      <c r="NX180" s="3"/>
      <c r="NY180" s="3"/>
      <c r="NZ180" s="3"/>
      <c r="OA180" s="3"/>
      <c r="OB180" s="3"/>
      <c r="OC180" s="3"/>
      <c r="OD180" s="3"/>
      <c r="OE180" s="3"/>
      <c r="OF180" s="3"/>
      <c r="OG180" s="3"/>
      <c r="OH180" s="3"/>
      <c r="OI180" s="3"/>
      <c r="OJ180" s="3"/>
      <c r="OK180" s="3"/>
      <c r="OL180" s="3"/>
      <c r="OM180" s="3"/>
      <c r="ON180" s="3"/>
      <c r="OO180" s="3"/>
      <c r="OP180" s="3"/>
      <c r="OQ180" s="3"/>
      <c r="OR180" s="3"/>
      <c r="OS180" s="3"/>
      <c r="OT180" s="3"/>
      <c r="OU180" s="3"/>
      <c r="OV180" s="3"/>
      <c r="OW180" s="3"/>
      <c r="OX180" s="3"/>
      <c r="OY180" s="3"/>
      <c r="OZ180" s="3"/>
      <c r="PA180" s="3"/>
      <c r="PB180" s="3"/>
      <c r="PC180" s="3"/>
      <c r="PD180" s="3"/>
      <c r="PE180" s="3"/>
      <c r="PF180" s="3"/>
      <c r="PG180" s="3"/>
      <c r="PH180" s="3"/>
      <c r="PI180" s="3"/>
      <c r="PJ180" s="3"/>
      <c r="PK180" s="3"/>
      <c r="PL180" s="3"/>
      <c r="PM180" s="3"/>
      <c r="PN180" s="3"/>
      <c r="PO180" s="3"/>
      <c r="PP180" s="3"/>
      <c r="PQ180" s="3"/>
      <c r="PR180" s="3"/>
      <c r="PS180" s="3"/>
      <c r="PT180" s="3"/>
      <c r="PU180" s="3"/>
      <c r="PV180" s="3"/>
      <c r="PW180" s="3"/>
      <c r="PX180" s="3"/>
      <c r="PY180" s="3"/>
      <c r="PZ180" s="3"/>
      <c r="QA180" s="3"/>
      <c r="QB180" s="3"/>
      <c r="QC180" s="3"/>
      <c r="QD180" s="3"/>
      <c r="QE180" s="3"/>
      <c r="QF180" s="3"/>
      <c r="QG180" s="3"/>
      <c r="QH180" s="3"/>
      <c r="QI180" s="3"/>
      <c r="QJ180" s="3"/>
      <c r="QK180" s="3"/>
      <c r="QL180" s="3"/>
      <c r="QM180" s="3"/>
      <c r="QN180" s="3"/>
      <c r="QO180" s="3"/>
      <c r="QP180" s="3"/>
      <c r="QQ180" s="3"/>
      <c r="QR180" s="3"/>
      <c r="QS180" s="3"/>
      <c r="QT180" s="3"/>
      <c r="QU180" s="3"/>
      <c r="QV180" s="3"/>
      <c r="QW180" s="3"/>
      <c r="QX180" s="3"/>
      <c r="QY180" s="3"/>
      <c r="QZ180" s="3"/>
      <c r="RA180" s="3"/>
      <c r="RB180" s="3"/>
      <c r="RC180" s="3"/>
      <c r="RD180" s="3"/>
      <c r="RE180" s="3"/>
      <c r="RF180" s="3"/>
      <c r="RG180" s="3"/>
      <c r="RH180" s="3"/>
      <c r="RI180" s="3"/>
      <c r="RJ180" s="3"/>
      <c r="RK180" s="3"/>
      <c r="RL180" s="3"/>
      <c r="RM180" s="3"/>
      <c r="RN180" s="3"/>
      <c r="RO180" s="3"/>
      <c r="RP180" s="3"/>
      <c r="RQ180" s="3"/>
      <c r="RR180" s="3"/>
      <c r="RS180" s="3"/>
      <c r="RT180" s="3"/>
      <c r="RU180" s="3"/>
      <c r="RV180" s="3"/>
      <c r="RW180" s="3"/>
      <c r="RX180" s="3"/>
      <c r="RY180" s="3"/>
      <c r="RZ180" s="3"/>
      <c r="SA180" s="3"/>
      <c r="SB180" s="3"/>
      <c r="SC180" s="3"/>
      <c r="SD180" s="3"/>
      <c r="SE180" s="3"/>
      <c r="SF180" s="3"/>
      <c r="SG180" s="3"/>
      <c r="SH180" s="3"/>
      <c r="SI180" s="3"/>
      <c r="SJ180" s="3"/>
      <c r="SK180" s="3"/>
      <c r="SL180" s="3"/>
      <c r="SM180" s="3"/>
      <c r="SN180" s="3"/>
      <c r="SO180" s="3"/>
      <c r="SP180" s="3"/>
      <c r="SQ180" s="3"/>
      <c r="SR180" s="3"/>
      <c r="SS180" s="3"/>
      <c r="ST180" s="3"/>
      <c r="SU180" s="3"/>
      <c r="SV180" s="3"/>
      <c r="SW180" s="3"/>
      <c r="SX180" s="3"/>
      <c r="SY180" s="3"/>
      <c r="SZ180" s="3"/>
      <c r="TA180" s="3"/>
      <c r="TB180" s="3"/>
      <c r="TC180" s="3"/>
      <c r="TD180" s="3"/>
      <c r="TE180" s="3"/>
      <c r="TF180" s="3"/>
      <c r="TG180" s="3"/>
      <c r="TH180" s="3"/>
      <c r="TI180" s="3"/>
      <c r="TJ180" s="3"/>
      <c r="TK180" s="3"/>
      <c r="TL180" s="3"/>
      <c r="TM180" s="3"/>
      <c r="TN180" s="3"/>
      <c r="TO180" s="3"/>
      <c r="TP180" s="3"/>
      <c r="TQ180" s="3"/>
      <c r="TR180" s="3"/>
      <c r="TS180" s="3"/>
      <c r="TT180" s="3"/>
      <c r="TU180" s="3"/>
      <c r="TV180" s="3"/>
      <c r="TW180" s="3"/>
      <c r="TX180" s="3"/>
      <c r="TY180" s="3"/>
      <c r="TZ180" s="3"/>
      <c r="UA180" s="3"/>
      <c r="UB180" s="3"/>
      <c r="UC180" s="3"/>
      <c r="UD180" s="3"/>
      <c r="UE180" s="3"/>
      <c r="UF180" s="3"/>
      <c r="UG180" s="3"/>
      <c r="UH180" s="3"/>
      <c r="UI180" s="3"/>
      <c r="UJ180" s="3"/>
      <c r="UK180" s="3"/>
      <c r="UL180" s="3"/>
      <c r="UM180" s="3"/>
      <c r="UN180" s="3"/>
      <c r="UO180" s="3"/>
      <c r="UP180" s="3"/>
      <c r="UQ180" s="3"/>
      <c r="UR180" s="3"/>
      <c r="US180" s="3"/>
      <c r="UT180" s="3"/>
      <c r="UU180" s="3"/>
      <c r="UV180" s="3"/>
      <c r="UW180" s="3"/>
      <c r="UX180" s="3"/>
      <c r="UY180" s="3"/>
      <c r="UZ180" s="3"/>
      <c r="VA180" s="3"/>
      <c r="VB180" s="3"/>
      <c r="VC180" s="3"/>
      <c r="VD180" s="3"/>
      <c r="VE180" s="3"/>
      <c r="VF180" s="3"/>
      <c r="VG180" s="3"/>
      <c r="VH180" s="3"/>
      <c r="VI180" s="3"/>
      <c r="VJ180" s="3"/>
      <c r="VK180" s="3"/>
      <c r="VL180" s="3"/>
      <c r="VM180" s="3"/>
      <c r="VN180" s="3"/>
      <c r="VO180" s="3"/>
      <c r="VP180" s="3"/>
      <c r="VQ180" s="3"/>
      <c r="VR180" s="3"/>
      <c r="VS180" s="3"/>
      <c r="VT180" s="3"/>
      <c r="VU180" s="3"/>
      <c r="VV180" s="3"/>
      <c r="VW180" s="3"/>
      <c r="VX180" s="3"/>
      <c r="VY180" s="3"/>
      <c r="VZ180" s="3"/>
      <c r="WA180" s="3"/>
      <c r="WB180" s="3"/>
      <c r="WC180" s="3"/>
      <c r="WD180" s="3"/>
      <c r="WE180" s="3"/>
      <c r="WF180" s="3"/>
      <c r="WG180" s="3"/>
      <c r="WH180" s="3"/>
      <c r="WI180" s="3"/>
      <c r="WJ180" s="3"/>
      <c r="WK180" s="3"/>
      <c r="WL180" s="3"/>
      <c r="WM180" s="3"/>
      <c r="WN180" s="3"/>
      <c r="WO180" s="3"/>
      <c r="WP180" s="3"/>
      <c r="WQ180" s="3"/>
      <c r="WR180" s="3"/>
      <c r="WS180" s="3"/>
      <c r="WT180" s="3"/>
      <c r="WU180" s="3"/>
      <c r="WV180" s="3"/>
      <c r="WW180" s="3"/>
      <c r="WX180" s="3"/>
      <c r="WY180" s="3"/>
      <c r="WZ180" s="3"/>
      <c r="XA180" s="3"/>
      <c r="XB180" s="3"/>
      <c r="XC180" s="3"/>
      <c r="XD180" s="3"/>
      <c r="XE180" s="3"/>
      <c r="XF180" s="3"/>
      <c r="XG180" s="3"/>
      <c r="XH180" s="3"/>
      <c r="XI180" s="3"/>
      <c r="XJ180" s="3"/>
      <c r="XK180" s="3"/>
      <c r="XL180" s="3"/>
      <c r="XM180" s="3"/>
      <c r="XN180" s="3"/>
      <c r="XO180" s="3"/>
      <c r="XP180" s="3"/>
      <c r="XQ180" s="3"/>
      <c r="XR180" s="3"/>
      <c r="XS180" s="3"/>
      <c r="XT180" s="3"/>
      <c r="XU180" s="3"/>
      <c r="XV180" s="3"/>
      <c r="XW180" s="3"/>
      <c r="XX180" s="3"/>
      <c r="XY180" s="3"/>
      <c r="XZ180" s="3"/>
      <c r="YA180" s="3"/>
      <c r="YB180" s="3"/>
      <c r="YC180" s="3"/>
      <c r="YD180" s="3"/>
      <c r="YE180" s="3"/>
      <c r="YF180" s="3"/>
      <c r="YG180" s="3"/>
      <c r="YH180" s="3"/>
      <c r="YI180" s="3"/>
      <c r="YJ180" s="3"/>
      <c r="YK180" s="3"/>
      <c r="YL180" s="3"/>
      <c r="YM180" s="3"/>
      <c r="YN180" s="3"/>
      <c r="YO180" s="3"/>
      <c r="YP180" s="3"/>
      <c r="YQ180" s="3"/>
      <c r="YR180" s="3"/>
      <c r="YS180" s="3"/>
      <c r="YT180" s="3"/>
      <c r="YU180" s="3"/>
      <c r="YV180" s="3"/>
      <c r="YW180" s="3"/>
      <c r="YX180" s="3"/>
      <c r="YY180" s="3"/>
      <c r="YZ180" s="3"/>
      <c r="ZA180" s="3"/>
      <c r="ZB180" s="3"/>
      <c r="ZC180" s="3"/>
    </row>
    <row r="181" spans="1:679" s="2" customFormat="1" x14ac:dyDescent="0.45">
      <c r="A181" s="3" t="s">
        <v>11</v>
      </c>
      <c r="B181" s="4">
        <v>35641</v>
      </c>
      <c r="C181" s="7" t="s">
        <v>21</v>
      </c>
      <c r="D181" s="6" t="s">
        <v>196</v>
      </c>
      <c r="E181" s="3"/>
      <c r="F181" s="3">
        <v>10</v>
      </c>
      <c r="L181" s="3"/>
      <c r="M181" s="3"/>
      <c r="N181" s="48"/>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c r="CV181" s="3"/>
      <c r="CW181" s="3"/>
      <c r="CX181" s="3"/>
      <c r="CY181" s="3"/>
      <c r="CZ181" s="3"/>
      <c r="DA181" s="3"/>
      <c r="DB181" s="3"/>
      <c r="DC181" s="3"/>
      <c r="DD181" s="3"/>
      <c r="DE181" s="3"/>
      <c r="DF181" s="3"/>
      <c r="DG181" s="3"/>
      <c r="DH181" s="3"/>
      <c r="DI181" s="3"/>
      <c r="DJ181" s="3"/>
      <c r="DK181" s="3"/>
      <c r="DL181" s="3"/>
      <c r="DM181" s="3"/>
      <c r="DN181" s="3"/>
      <c r="DO181" s="3"/>
      <c r="DP181" s="3"/>
      <c r="DQ181" s="3"/>
      <c r="DR181" s="3"/>
      <c r="DS181" s="3"/>
      <c r="DT181" s="3"/>
      <c r="DU181" s="3"/>
      <c r="DV181" s="3"/>
      <c r="DW181" s="3"/>
      <c r="DX181" s="3"/>
      <c r="DY181" s="3"/>
      <c r="DZ181" s="3"/>
      <c r="EA181" s="3"/>
      <c r="EB181" s="3"/>
      <c r="EC181" s="3"/>
      <c r="ED181" s="3"/>
      <c r="EE181" s="3"/>
      <c r="EF181" s="3"/>
      <c r="EG181" s="3"/>
      <c r="EH181" s="3"/>
      <c r="EI181" s="3"/>
      <c r="EJ181" s="3"/>
      <c r="EK181" s="3"/>
      <c r="EL181" s="3"/>
      <c r="EM181" s="3"/>
      <c r="EN181" s="3"/>
      <c r="EO181" s="3"/>
      <c r="EP181" s="3"/>
      <c r="EQ181" s="3"/>
      <c r="ER181" s="3"/>
      <c r="ES181" s="3"/>
      <c r="ET181" s="3"/>
      <c r="EU181" s="3"/>
      <c r="EV181" s="3"/>
      <c r="EW181" s="3"/>
      <c r="EX181" s="3"/>
      <c r="EY181" s="3"/>
      <c r="EZ181" s="3"/>
      <c r="FA181" s="3"/>
      <c r="FB181" s="3"/>
      <c r="FC181" s="3"/>
      <c r="FD181" s="3"/>
      <c r="FE181" s="3"/>
      <c r="FF181" s="3"/>
      <c r="FG181" s="3"/>
      <c r="FH181" s="3"/>
      <c r="FI181" s="3"/>
      <c r="FJ181" s="3"/>
      <c r="FK181" s="3"/>
      <c r="FL181" s="3"/>
      <c r="FM181" s="3"/>
      <c r="FN181" s="3"/>
      <c r="FO181" s="3"/>
      <c r="FP181" s="3"/>
      <c r="FQ181" s="3"/>
      <c r="FR181" s="3"/>
      <c r="FS181" s="3"/>
      <c r="FT181" s="3"/>
      <c r="FU181" s="3"/>
      <c r="FV181" s="3"/>
      <c r="FW181" s="3"/>
      <c r="FX181" s="3"/>
      <c r="FY181" s="3"/>
      <c r="FZ181" s="3"/>
      <c r="GA181" s="3"/>
      <c r="GB181" s="3"/>
      <c r="GC181" s="3"/>
      <c r="GD181" s="3"/>
      <c r="GE181" s="3"/>
      <c r="GF181" s="3"/>
      <c r="GG181" s="3"/>
      <c r="GH181" s="3"/>
      <c r="GI181" s="3"/>
      <c r="GJ181" s="3"/>
      <c r="GK181" s="3"/>
      <c r="GL181" s="3"/>
      <c r="GM181" s="3"/>
      <c r="GN181" s="3"/>
      <c r="GO181" s="3"/>
      <c r="GP181" s="3"/>
      <c r="GQ181" s="3"/>
      <c r="GR181" s="3"/>
      <c r="GS181" s="3"/>
      <c r="GT181" s="3"/>
      <c r="GU181" s="3"/>
      <c r="GV181" s="3"/>
      <c r="GW181" s="3"/>
      <c r="GX181" s="3"/>
      <c r="GY181" s="3"/>
      <c r="GZ181" s="3"/>
      <c r="HA181" s="3"/>
      <c r="HB181" s="3"/>
      <c r="HC181" s="3"/>
      <c r="HD181" s="3"/>
      <c r="HE181" s="3"/>
      <c r="HF181" s="3"/>
      <c r="HG181" s="3"/>
      <c r="HH181" s="3"/>
      <c r="HI181" s="3"/>
      <c r="HJ181" s="3"/>
      <c r="HK181" s="3"/>
      <c r="HL181" s="3"/>
      <c r="HM181" s="3"/>
      <c r="HN181" s="3"/>
      <c r="HO181" s="3"/>
      <c r="HP181" s="3"/>
      <c r="HQ181" s="3"/>
      <c r="HR181" s="3"/>
      <c r="HS181" s="3"/>
      <c r="HT181" s="3"/>
      <c r="HU181" s="3"/>
      <c r="HV181" s="3"/>
      <c r="HW181" s="3"/>
      <c r="HX181" s="3"/>
      <c r="HY181" s="3"/>
      <c r="HZ181" s="3"/>
      <c r="IA181" s="3"/>
      <c r="IB181" s="3"/>
      <c r="IC181" s="3"/>
      <c r="ID181" s="3"/>
      <c r="IE181" s="3"/>
      <c r="IF181" s="3"/>
      <c r="IG181" s="3"/>
      <c r="IH181" s="3"/>
      <c r="II181" s="3"/>
      <c r="IJ181" s="3"/>
      <c r="IK181" s="3"/>
      <c r="IL181" s="3"/>
      <c r="IM181" s="3"/>
      <c r="IN181" s="3"/>
      <c r="IO181" s="3"/>
      <c r="IP181" s="3"/>
      <c r="IQ181" s="3"/>
      <c r="IR181" s="3"/>
      <c r="IS181" s="3"/>
      <c r="IT181" s="3"/>
      <c r="IU181" s="3"/>
      <c r="IV181" s="3"/>
      <c r="IW181" s="3"/>
      <c r="IX181" s="3"/>
      <c r="IY181" s="3"/>
      <c r="IZ181" s="3"/>
      <c r="JA181" s="3"/>
      <c r="JB181" s="3"/>
      <c r="JC181" s="3"/>
      <c r="JD181" s="3"/>
      <c r="JE181" s="3"/>
      <c r="JF181" s="3"/>
      <c r="JG181" s="3"/>
      <c r="JH181" s="3"/>
      <c r="JI181" s="3"/>
      <c r="JJ181" s="3"/>
      <c r="JK181" s="3"/>
      <c r="JL181" s="3"/>
      <c r="JM181" s="3"/>
      <c r="JN181" s="3"/>
      <c r="JO181" s="3"/>
      <c r="JP181" s="3"/>
      <c r="JQ181" s="3"/>
      <c r="JR181" s="3"/>
      <c r="JS181" s="3"/>
      <c r="JT181" s="3"/>
      <c r="JU181" s="3"/>
      <c r="JV181" s="3"/>
      <c r="JW181" s="3"/>
      <c r="JX181" s="3"/>
      <c r="JY181" s="3"/>
      <c r="JZ181" s="3"/>
      <c r="KA181" s="3"/>
      <c r="KB181" s="3"/>
      <c r="KC181" s="3"/>
      <c r="KD181" s="3"/>
      <c r="KE181" s="3"/>
      <c r="KF181" s="3"/>
      <c r="KG181" s="3"/>
      <c r="KH181" s="3"/>
      <c r="KI181" s="3"/>
      <c r="KJ181" s="3"/>
      <c r="KK181" s="3"/>
      <c r="KL181" s="3"/>
      <c r="KM181" s="3"/>
      <c r="KN181" s="3"/>
      <c r="KO181" s="3"/>
      <c r="KP181" s="3"/>
      <c r="KQ181" s="3"/>
      <c r="KR181" s="3"/>
      <c r="KS181" s="3"/>
      <c r="KT181" s="3"/>
      <c r="KU181" s="3"/>
      <c r="KV181" s="3"/>
      <c r="KW181" s="3"/>
      <c r="KX181" s="3"/>
      <c r="KY181" s="3"/>
      <c r="KZ181" s="3"/>
      <c r="LA181" s="3"/>
      <c r="LB181" s="3"/>
      <c r="LC181" s="3"/>
      <c r="LD181" s="3"/>
      <c r="LE181" s="3"/>
      <c r="LF181" s="3"/>
      <c r="LG181" s="3"/>
      <c r="LH181" s="3"/>
      <c r="LI181" s="3"/>
      <c r="LJ181" s="3"/>
      <c r="LK181" s="3"/>
      <c r="LL181" s="3"/>
      <c r="LM181" s="3"/>
      <c r="LN181" s="3"/>
      <c r="LO181" s="3"/>
      <c r="LP181" s="3"/>
      <c r="LQ181" s="3"/>
      <c r="LR181" s="3"/>
      <c r="LS181" s="3"/>
      <c r="LT181" s="3"/>
      <c r="LU181" s="3"/>
      <c r="LV181" s="3"/>
      <c r="LW181" s="3"/>
      <c r="LX181" s="3"/>
      <c r="LY181" s="3"/>
      <c r="LZ181" s="3"/>
      <c r="MA181" s="3"/>
      <c r="MB181" s="3"/>
      <c r="MC181" s="3"/>
      <c r="MD181" s="3"/>
      <c r="ME181" s="3"/>
      <c r="MF181" s="3"/>
      <c r="MG181" s="3"/>
      <c r="MH181" s="3"/>
      <c r="MI181" s="3"/>
      <c r="MJ181" s="3"/>
      <c r="MK181" s="3"/>
      <c r="ML181" s="3"/>
      <c r="MM181" s="3"/>
      <c r="MN181" s="3"/>
      <c r="MO181" s="3"/>
      <c r="MP181" s="3"/>
      <c r="MQ181" s="3"/>
      <c r="MR181" s="3"/>
      <c r="MS181" s="3"/>
      <c r="MT181" s="3"/>
      <c r="MU181" s="3"/>
      <c r="MV181" s="3"/>
      <c r="MW181" s="3"/>
      <c r="MX181" s="3"/>
      <c r="MY181" s="3"/>
      <c r="MZ181" s="3"/>
      <c r="NA181" s="3"/>
      <c r="NB181" s="3"/>
      <c r="NC181" s="3"/>
      <c r="ND181" s="3"/>
      <c r="NE181" s="3"/>
      <c r="NF181" s="3"/>
      <c r="NG181" s="3"/>
      <c r="NH181" s="3"/>
      <c r="NI181" s="3"/>
      <c r="NJ181" s="3"/>
      <c r="NK181" s="3"/>
      <c r="NL181" s="3"/>
      <c r="NM181" s="3"/>
      <c r="NN181" s="3"/>
      <c r="NO181" s="3"/>
      <c r="NP181" s="3"/>
      <c r="NQ181" s="3"/>
      <c r="NR181" s="3"/>
      <c r="NS181" s="3"/>
      <c r="NT181" s="3"/>
      <c r="NU181" s="3"/>
      <c r="NV181" s="3"/>
      <c r="NW181" s="3"/>
      <c r="NX181" s="3"/>
      <c r="NY181" s="3"/>
      <c r="NZ181" s="3"/>
      <c r="OA181" s="3"/>
      <c r="OB181" s="3"/>
      <c r="OC181" s="3"/>
      <c r="OD181" s="3"/>
      <c r="OE181" s="3"/>
      <c r="OF181" s="3"/>
      <c r="OG181" s="3"/>
      <c r="OH181" s="3"/>
      <c r="OI181" s="3"/>
      <c r="OJ181" s="3"/>
      <c r="OK181" s="3"/>
      <c r="OL181" s="3"/>
      <c r="OM181" s="3"/>
      <c r="ON181" s="3"/>
      <c r="OO181" s="3"/>
      <c r="OP181" s="3"/>
      <c r="OQ181" s="3"/>
      <c r="OR181" s="3"/>
      <c r="OS181" s="3"/>
      <c r="OT181" s="3"/>
      <c r="OU181" s="3"/>
      <c r="OV181" s="3"/>
      <c r="OW181" s="3"/>
      <c r="OX181" s="3"/>
      <c r="OY181" s="3"/>
      <c r="OZ181" s="3"/>
      <c r="PA181" s="3"/>
      <c r="PB181" s="3"/>
      <c r="PC181" s="3"/>
      <c r="PD181" s="3"/>
      <c r="PE181" s="3"/>
      <c r="PF181" s="3"/>
      <c r="PG181" s="3"/>
      <c r="PH181" s="3"/>
      <c r="PI181" s="3"/>
      <c r="PJ181" s="3"/>
      <c r="PK181" s="3"/>
      <c r="PL181" s="3"/>
      <c r="PM181" s="3"/>
      <c r="PN181" s="3"/>
      <c r="PO181" s="3"/>
      <c r="PP181" s="3"/>
      <c r="PQ181" s="3"/>
      <c r="PR181" s="3"/>
      <c r="PS181" s="3"/>
      <c r="PT181" s="3"/>
      <c r="PU181" s="3"/>
      <c r="PV181" s="3"/>
      <c r="PW181" s="3"/>
      <c r="PX181" s="3"/>
      <c r="PY181" s="3"/>
      <c r="PZ181" s="3"/>
      <c r="QA181" s="3"/>
      <c r="QB181" s="3"/>
      <c r="QC181" s="3"/>
      <c r="QD181" s="3"/>
      <c r="QE181" s="3"/>
      <c r="QF181" s="3"/>
      <c r="QG181" s="3"/>
      <c r="QH181" s="3"/>
      <c r="QI181" s="3"/>
      <c r="QJ181" s="3"/>
      <c r="QK181" s="3"/>
      <c r="QL181" s="3"/>
      <c r="QM181" s="3"/>
      <c r="QN181" s="3"/>
      <c r="QO181" s="3"/>
      <c r="QP181" s="3"/>
      <c r="QQ181" s="3"/>
      <c r="QR181" s="3"/>
      <c r="QS181" s="3"/>
      <c r="QT181" s="3"/>
      <c r="QU181" s="3"/>
      <c r="QV181" s="3"/>
      <c r="QW181" s="3"/>
      <c r="QX181" s="3"/>
      <c r="QY181" s="3"/>
      <c r="QZ181" s="3"/>
      <c r="RA181" s="3"/>
      <c r="RB181" s="3"/>
      <c r="RC181" s="3"/>
      <c r="RD181" s="3"/>
      <c r="RE181" s="3"/>
      <c r="RF181" s="3"/>
      <c r="RG181" s="3"/>
      <c r="RH181" s="3"/>
      <c r="RI181" s="3"/>
      <c r="RJ181" s="3"/>
      <c r="RK181" s="3"/>
      <c r="RL181" s="3"/>
      <c r="RM181" s="3"/>
      <c r="RN181" s="3"/>
      <c r="RO181" s="3"/>
      <c r="RP181" s="3"/>
      <c r="RQ181" s="3"/>
      <c r="RR181" s="3"/>
      <c r="RS181" s="3"/>
      <c r="RT181" s="3"/>
      <c r="RU181" s="3"/>
      <c r="RV181" s="3"/>
      <c r="RW181" s="3"/>
      <c r="RX181" s="3"/>
      <c r="RY181" s="3"/>
      <c r="RZ181" s="3"/>
      <c r="SA181" s="3"/>
      <c r="SB181" s="3"/>
      <c r="SC181" s="3"/>
      <c r="SD181" s="3"/>
      <c r="SE181" s="3"/>
      <c r="SF181" s="3"/>
      <c r="SG181" s="3"/>
      <c r="SH181" s="3"/>
      <c r="SI181" s="3"/>
      <c r="SJ181" s="3"/>
      <c r="SK181" s="3"/>
      <c r="SL181" s="3"/>
      <c r="SM181" s="3"/>
      <c r="SN181" s="3"/>
      <c r="SO181" s="3"/>
      <c r="SP181" s="3"/>
      <c r="SQ181" s="3"/>
      <c r="SR181" s="3"/>
      <c r="SS181" s="3"/>
      <c r="ST181" s="3"/>
      <c r="SU181" s="3"/>
      <c r="SV181" s="3"/>
      <c r="SW181" s="3"/>
      <c r="SX181" s="3"/>
      <c r="SY181" s="3"/>
      <c r="SZ181" s="3"/>
      <c r="TA181" s="3"/>
      <c r="TB181" s="3"/>
      <c r="TC181" s="3"/>
      <c r="TD181" s="3"/>
      <c r="TE181" s="3"/>
      <c r="TF181" s="3"/>
      <c r="TG181" s="3"/>
      <c r="TH181" s="3"/>
      <c r="TI181" s="3"/>
      <c r="TJ181" s="3"/>
      <c r="TK181" s="3"/>
      <c r="TL181" s="3"/>
      <c r="TM181" s="3"/>
      <c r="TN181" s="3"/>
      <c r="TO181" s="3"/>
      <c r="TP181" s="3"/>
      <c r="TQ181" s="3"/>
      <c r="TR181" s="3"/>
      <c r="TS181" s="3"/>
      <c r="TT181" s="3"/>
      <c r="TU181" s="3"/>
      <c r="TV181" s="3"/>
      <c r="TW181" s="3"/>
      <c r="TX181" s="3"/>
      <c r="TY181" s="3"/>
      <c r="TZ181" s="3"/>
      <c r="UA181" s="3"/>
      <c r="UB181" s="3"/>
      <c r="UC181" s="3"/>
      <c r="UD181" s="3"/>
      <c r="UE181" s="3"/>
      <c r="UF181" s="3"/>
      <c r="UG181" s="3"/>
      <c r="UH181" s="3"/>
      <c r="UI181" s="3"/>
      <c r="UJ181" s="3"/>
      <c r="UK181" s="3"/>
      <c r="UL181" s="3"/>
      <c r="UM181" s="3"/>
      <c r="UN181" s="3"/>
      <c r="UO181" s="3"/>
      <c r="UP181" s="3"/>
      <c r="UQ181" s="3"/>
      <c r="UR181" s="3"/>
      <c r="US181" s="3"/>
      <c r="UT181" s="3"/>
      <c r="UU181" s="3"/>
      <c r="UV181" s="3"/>
      <c r="UW181" s="3"/>
      <c r="UX181" s="3"/>
      <c r="UY181" s="3"/>
      <c r="UZ181" s="3"/>
      <c r="VA181" s="3"/>
      <c r="VB181" s="3"/>
      <c r="VC181" s="3"/>
      <c r="VD181" s="3"/>
      <c r="VE181" s="3"/>
      <c r="VF181" s="3"/>
      <c r="VG181" s="3"/>
      <c r="VH181" s="3"/>
      <c r="VI181" s="3"/>
      <c r="VJ181" s="3"/>
      <c r="VK181" s="3"/>
      <c r="VL181" s="3"/>
      <c r="VM181" s="3"/>
      <c r="VN181" s="3"/>
      <c r="VO181" s="3"/>
      <c r="VP181" s="3"/>
      <c r="VQ181" s="3"/>
      <c r="VR181" s="3"/>
      <c r="VS181" s="3"/>
      <c r="VT181" s="3"/>
      <c r="VU181" s="3"/>
      <c r="VV181" s="3"/>
      <c r="VW181" s="3"/>
      <c r="VX181" s="3"/>
      <c r="VY181" s="3"/>
      <c r="VZ181" s="3"/>
      <c r="WA181" s="3"/>
      <c r="WB181" s="3"/>
      <c r="WC181" s="3"/>
      <c r="WD181" s="3"/>
      <c r="WE181" s="3"/>
      <c r="WF181" s="3"/>
      <c r="WG181" s="3"/>
      <c r="WH181" s="3"/>
      <c r="WI181" s="3"/>
      <c r="WJ181" s="3"/>
      <c r="WK181" s="3"/>
      <c r="WL181" s="3"/>
      <c r="WM181" s="3"/>
      <c r="WN181" s="3"/>
      <c r="WO181" s="3"/>
      <c r="WP181" s="3"/>
      <c r="WQ181" s="3"/>
      <c r="WR181" s="3"/>
      <c r="WS181" s="3"/>
      <c r="WT181" s="3"/>
      <c r="WU181" s="3"/>
      <c r="WV181" s="3"/>
      <c r="WW181" s="3"/>
      <c r="WX181" s="3"/>
      <c r="WY181" s="3"/>
      <c r="WZ181" s="3"/>
      <c r="XA181" s="3"/>
      <c r="XB181" s="3"/>
      <c r="XC181" s="3"/>
      <c r="XD181" s="3"/>
      <c r="XE181" s="3"/>
      <c r="XF181" s="3"/>
      <c r="XG181" s="3"/>
      <c r="XH181" s="3"/>
      <c r="XI181" s="3"/>
      <c r="XJ181" s="3"/>
      <c r="XK181" s="3"/>
      <c r="XL181" s="3"/>
      <c r="XM181" s="3"/>
      <c r="XN181" s="3"/>
      <c r="XO181" s="3"/>
      <c r="XP181" s="3"/>
      <c r="XQ181" s="3"/>
      <c r="XR181" s="3"/>
      <c r="XS181" s="3"/>
      <c r="XT181" s="3"/>
      <c r="XU181" s="3"/>
      <c r="XV181" s="3"/>
      <c r="XW181" s="3"/>
      <c r="XX181" s="3"/>
      <c r="XY181" s="3"/>
      <c r="XZ181" s="3"/>
      <c r="YA181" s="3"/>
      <c r="YB181" s="3"/>
      <c r="YC181" s="3"/>
      <c r="YD181" s="3"/>
      <c r="YE181" s="3"/>
      <c r="YF181" s="3"/>
      <c r="YG181" s="3"/>
      <c r="YH181" s="3"/>
      <c r="YI181" s="3"/>
      <c r="YJ181" s="3"/>
      <c r="YK181" s="3"/>
      <c r="YL181" s="3"/>
      <c r="YM181" s="3"/>
      <c r="YN181" s="3"/>
      <c r="YO181" s="3"/>
      <c r="YP181" s="3"/>
      <c r="YQ181" s="3"/>
      <c r="YR181" s="3"/>
      <c r="YS181" s="3"/>
      <c r="YT181" s="3"/>
      <c r="YU181" s="3"/>
      <c r="YV181" s="3"/>
      <c r="YW181" s="3"/>
      <c r="YX181" s="3"/>
      <c r="YY181" s="3"/>
      <c r="YZ181" s="3"/>
      <c r="ZA181" s="3"/>
      <c r="ZB181" s="3"/>
      <c r="ZC181" s="3"/>
    </row>
    <row r="182" spans="1:679" s="2" customFormat="1" x14ac:dyDescent="0.45">
      <c r="A182" s="3" t="s">
        <v>11</v>
      </c>
      <c r="B182" s="4">
        <v>35671</v>
      </c>
      <c r="C182" s="7" t="s">
        <v>25</v>
      </c>
      <c r="D182" s="6" t="s">
        <v>197</v>
      </c>
      <c r="E182" s="3"/>
      <c r="F182" s="3">
        <v>2</v>
      </c>
      <c r="L182" s="3"/>
      <c r="M182" s="3"/>
      <c r="N182" s="48"/>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c r="DV182" s="3"/>
      <c r="DW182" s="3"/>
      <c r="DX182" s="3"/>
      <c r="DY182" s="3"/>
      <c r="DZ182" s="3"/>
      <c r="EA182" s="3"/>
      <c r="EB182" s="3"/>
      <c r="EC182" s="3"/>
      <c r="ED182" s="3"/>
      <c r="EE182" s="3"/>
      <c r="EF182" s="3"/>
      <c r="EG182" s="3"/>
      <c r="EH182" s="3"/>
      <c r="EI182" s="3"/>
      <c r="EJ182" s="3"/>
      <c r="EK182" s="3"/>
      <c r="EL182" s="3"/>
      <c r="EM182" s="3"/>
      <c r="EN182" s="3"/>
      <c r="EO182" s="3"/>
      <c r="EP182" s="3"/>
      <c r="EQ182" s="3"/>
      <c r="ER182" s="3"/>
      <c r="ES182" s="3"/>
      <c r="ET182" s="3"/>
      <c r="EU182" s="3"/>
      <c r="EV182" s="3"/>
      <c r="EW182" s="3"/>
      <c r="EX182" s="3"/>
      <c r="EY182" s="3"/>
      <c r="EZ182" s="3"/>
      <c r="FA182" s="3"/>
      <c r="FB182" s="3"/>
      <c r="FC182" s="3"/>
      <c r="FD182" s="3"/>
      <c r="FE182" s="3"/>
      <c r="FF182" s="3"/>
      <c r="FG182" s="3"/>
      <c r="FH182" s="3"/>
      <c r="FI182" s="3"/>
      <c r="FJ182" s="3"/>
      <c r="FK182" s="3"/>
      <c r="FL182" s="3"/>
      <c r="FM182" s="3"/>
      <c r="FN182" s="3"/>
      <c r="FO182" s="3"/>
      <c r="FP182" s="3"/>
      <c r="FQ182" s="3"/>
      <c r="FR182" s="3"/>
      <c r="FS182" s="3"/>
      <c r="FT182" s="3"/>
      <c r="FU182" s="3"/>
      <c r="FV182" s="3"/>
      <c r="FW182" s="3"/>
      <c r="FX182" s="3"/>
      <c r="FY182" s="3"/>
      <c r="FZ182" s="3"/>
      <c r="GA182" s="3"/>
      <c r="GB182" s="3"/>
      <c r="GC182" s="3"/>
      <c r="GD182" s="3"/>
      <c r="GE182" s="3"/>
      <c r="GF182" s="3"/>
      <c r="GG182" s="3"/>
      <c r="GH182" s="3"/>
      <c r="GI182" s="3"/>
      <c r="GJ182" s="3"/>
      <c r="GK182" s="3"/>
      <c r="GL182" s="3"/>
      <c r="GM182" s="3"/>
      <c r="GN182" s="3"/>
      <c r="GO182" s="3"/>
      <c r="GP182" s="3"/>
      <c r="GQ182" s="3"/>
      <c r="GR182" s="3"/>
      <c r="GS182" s="3"/>
      <c r="GT182" s="3"/>
      <c r="GU182" s="3"/>
      <c r="GV182" s="3"/>
      <c r="GW182" s="3"/>
      <c r="GX182" s="3"/>
      <c r="GY182" s="3"/>
      <c r="GZ182" s="3"/>
      <c r="HA182" s="3"/>
      <c r="HB182" s="3"/>
      <c r="HC182" s="3"/>
      <c r="HD182" s="3"/>
      <c r="HE182" s="3"/>
      <c r="HF182" s="3"/>
      <c r="HG182" s="3"/>
      <c r="HH182" s="3"/>
      <c r="HI182" s="3"/>
      <c r="HJ182" s="3"/>
      <c r="HK182" s="3"/>
      <c r="HL182" s="3"/>
      <c r="HM182" s="3"/>
      <c r="HN182" s="3"/>
      <c r="HO182" s="3"/>
      <c r="HP182" s="3"/>
      <c r="HQ182" s="3"/>
      <c r="HR182" s="3"/>
      <c r="HS182" s="3"/>
      <c r="HT182" s="3"/>
      <c r="HU182" s="3"/>
      <c r="HV182" s="3"/>
      <c r="HW182" s="3"/>
      <c r="HX182" s="3"/>
      <c r="HY182" s="3"/>
      <c r="HZ182" s="3"/>
      <c r="IA182" s="3"/>
      <c r="IB182" s="3"/>
      <c r="IC182" s="3"/>
      <c r="ID182" s="3"/>
      <c r="IE182" s="3"/>
      <c r="IF182" s="3"/>
      <c r="IG182" s="3"/>
      <c r="IH182" s="3"/>
      <c r="II182" s="3"/>
      <c r="IJ182" s="3"/>
      <c r="IK182" s="3"/>
      <c r="IL182" s="3"/>
      <c r="IM182" s="3"/>
      <c r="IN182" s="3"/>
      <c r="IO182" s="3"/>
      <c r="IP182" s="3"/>
      <c r="IQ182" s="3"/>
      <c r="IR182" s="3"/>
      <c r="IS182" s="3"/>
      <c r="IT182" s="3"/>
      <c r="IU182" s="3"/>
      <c r="IV182" s="3"/>
      <c r="IW182" s="3"/>
      <c r="IX182" s="3"/>
      <c r="IY182" s="3"/>
      <c r="IZ182" s="3"/>
      <c r="JA182" s="3"/>
      <c r="JB182" s="3"/>
      <c r="JC182" s="3"/>
      <c r="JD182" s="3"/>
      <c r="JE182" s="3"/>
      <c r="JF182" s="3"/>
      <c r="JG182" s="3"/>
      <c r="JH182" s="3"/>
      <c r="JI182" s="3"/>
      <c r="JJ182" s="3"/>
      <c r="JK182" s="3"/>
      <c r="JL182" s="3"/>
      <c r="JM182" s="3"/>
      <c r="JN182" s="3"/>
      <c r="JO182" s="3"/>
      <c r="JP182" s="3"/>
      <c r="JQ182" s="3"/>
      <c r="JR182" s="3"/>
      <c r="JS182" s="3"/>
      <c r="JT182" s="3"/>
      <c r="JU182" s="3"/>
      <c r="JV182" s="3"/>
      <c r="JW182" s="3"/>
      <c r="JX182" s="3"/>
      <c r="JY182" s="3"/>
      <c r="JZ182" s="3"/>
      <c r="KA182" s="3"/>
      <c r="KB182" s="3"/>
      <c r="KC182" s="3"/>
      <c r="KD182" s="3"/>
      <c r="KE182" s="3"/>
      <c r="KF182" s="3"/>
      <c r="KG182" s="3"/>
      <c r="KH182" s="3"/>
      <c r="KI182" s="3"/>
      <c r="KJ182" s="3"/>
      <c r="KK182" s="3"/>
      <c r="KL182" s="3"/>
      <c r="KM182" s="3"/>
      <c r="KN182" s="3"/>
      <c r="KO182" s="3"/>
      <c r="KP182" s="3"/>
      <c r="KQ182" s="3"/>
      <c r="KR182" s="3"/>
      <c r="KS182" s="3"/>
      <c r="KT182" s="3"/>
      <c r="KU182" s="3"/>
      <c r="KV182" s="3"/>
      <c r="KW182" s="3"/>
      <c r="KX182" s="3"/>
      <c r="KY182" s="3"/>
      <c r="KZ182" s="3"/>
      <c r="LA182" s="3"/>
      <c r="LB182" s="3"/>
      <c r="LC182" s="3"/>
      <c r="LD182" s="3"/>
      <c r="LE182" s="3"/>
      <c r="LF182" s="3"/>
      <c r="LG182" s="3"/>
      <c r="LH182" s="3"/>
      <c r="LI182" s="3"/>
      <c r="LJ182" s="3"/>
      <c r="LK182" s="3"/>
      <c r="LL182" s="3"/>
      <c r="LM182" s="3"/>
      <c r="LN182" s="3"/>
      <c r="LO182" s="3"/>
      <c r="LP182" s="3"/>
      <c r="LQ182" s="3"/>
      <c r="LR182" s="3"/>
      <c r="LS182" s="3"/>
      <c r="LT182" s="3"/>
      <c r="LU182" s="3"/>
      <c r="LV182" s="3"/>
      <c r="LW182" s="3"/>
      <c r="LX182" s="3"/>
      <c r="LY182" s="3"/>
      <c r="LZ182" s="3"/>
      <c r="MA182" s="3"/>
      <c r="MB182" s="3"/>
      <c r="MC182" s="3"/>
      <c r="MD182" s="3"/>
      <c r="ME182" s="3"/>
      <c r="MF182" s="3"/>
      <c r="MG182" s="3"/>
      <c r="MH182" s="3"/>
      <c r="MI182" s="3"/>
      <c r="MJ182" s="3"/>
      <c r="MK182" s="3"/>
      <c r="ML182" s="3"/>
      <c r="MM182" s="3"/>
      <c r="MN182" s="3"/>
      <c r="MO182" s="3"/>
      <c r="MP182" s="3"/>
      <c r="MQ182" s="3"/>
      <c r="MR182" s="3"/>
      <c r="MS182" s="3"/>
      <c r="MT182" s="3"/>
      <c r="MU182" s="3"/>
      <c r="MV182" s="3"/>
      <c r="MW182" s="3"/>
      <c r="MX182" s="3"/>
      <c r="MY182" s="3"/>
      <c r="MZ182" s="3"/>
      <c r="NA182" s="3"/>
      <c r="NB182" s="3"/>
      <c r="NC182" s="3"/>
      <c r="ND182" s="3"/>
      <c r="NE182" s="3"/>
      <c r="NF182" s="3"/>
      <c r="NG182" s="3"/>
      <c r="NH182" s="3"/>
      <c r="NI182" s="3"/>
      <c r="NJ182" s="3"/>
      <c r="NK182" s="3"/>
      <c r="NL182" s="3"/>
      <c r="NM182" s="3"/>
      <c r="NN182" s="3"/>
      <c r="NO182" s="3"/>
      <c r="NP182" s="3"/>
      <c r="NQ182" s="3"/>
      <c r="NR182" s="3"/>
      <c r="NS182" s="3"/>
      <c r="NT182" s="3"/>
      <c r="NU182" s="3"/>
      <c r="NV182" s="3"/>
      <c r="NW182" s="3"/>
      <c r="NX182" s="3"/>
      <c r="NY182" s="3"/>
      <c r="NZ182" s="3"/>
      <c r="OA182" s="3"/>
      <c r="OB182" s="3"/>
      <c r="OC182" s="3"/>
      <c r="OD182" s="3"/>
      <c r="OE182" s="3"/>
      <c r="OF182" s="3"/>
      <c r="OG182" s="3"/>
      <c r="OH182" s="3"/>
      <c r="OI182" s="3"/>
      <c r="OJ182" s="3"/>
      <c r="OK182" s="3"/>
      <c r="OL182" s="3"/>
      <c r="OM182" s="3"/>
      <c r="ON182" s="3"/>
      <c r="OO182" s="3"/>
      <c r="OP182" s="3"/>
      <c r="OQ182" s="3"/>
      <c r="OR182" s="3"/>
      <c r="OS182" s="3"/>
      <c r="OT182" s="3"/>
      <c r="OU182" s="3"/>
      <c r="OV182" s="3"/>
      <c r="OW182" s="3"/>
      <c r="OX182" s="3"/>
      <c r="OY182" s="3"/>
      <c r="OZ182" s="3"/>
      <c r="PA182" s="3"/>
      <c r="PB182" s="3"/>
      <c r="PC182" s="3"/>
      <c r="PD182" s="3"/>
      <c r="PE182" s="3"/>
      <c r="PF182" s="3"/>
      <c r="PG182" s="3"/>
      <c r="PH182" s="3"/>
      <c r="PI182" s="3"/>
      <c r="PJ182" s="3"/>
      <c r="PK182" s="3"/>
      <c r="PL182" s="3"/>
      <c r="PM182" s="3"/>
      <c r="PN182" s="3"/>
      <c r="PO182" s="3"/>
      <c r="PP182" s="3"/>
      <c r="PQ182" s="3"/>
      <c r="PR182" s="3"/>
      <c r="PS182" s="3"/>
      <c r="PT182" s="3"/>
      <c r="PU182" s="3"/>
      <c r="PV182" s="3"/>
      <c r="PW182" s="3"/>
      <c r="PX182" s="3"/>
      <c r="PY182" s="3"/>
      <c r="PZ182" s="3"/>
      <c r="QA182" s="3"/>
      <c r="QB182" s="3"/>
      <c r="QC182" s="3"/>
      <c r="QD182" s="3"/>
      <c r="QE182" s="3"/>
      <c r="QF182" s="3"/>
      <c r="QG182" s="3"/>
      <c r="QH182" s="3"/>
      <c r="QI182" s="3"/>
      <c r="QJ182" s="3"/>
      <c r="QK182" s="3"/>
      <c r="QL182" s="3"/>
      <c r="QM182" s="3"/>
      <c r="QN182" s="3"/>
      <c r="QO182" s="3"/>
      <c r="QP182" s="3"/>
      <c r="QQ182" s="3"/>
      <c r="QR182" s="3"/>
      <c r="QS182" s="3"/>
      <c r="QT182" s="3"/>
      <c r="QU182" s="3"/>
      <c r="QV182" s="3"/>
      <c r="QW182" s="3"/>
      <c r="QX182" s="3"/>
      <c r="QY182" s="3"/>
      <c r="QZ182" s="3"/>
      <c r="RA182" s="3"/>
      <c r="RB182" s="3"/>
      <c r="RC182" s="3"/>
      <c r="RD182" s="3"/>
      <c r="RE182" s="3"/>
      <c r="RF182" s="3"/>
      <c r="RG182" s="3"/>
      <c r="RH182" s="3"/>
      <c r="RI182" s="3"/>
      <c r="RJ182" s="3"/>
      <c r="RK182" s="3"/>
      <c r="RL182" s="3"/>
      <c r="RM182" s="3"/>
      <c r="RN182" s="3"/>
      <c r="RO182" s="3"/>
      <c r="RP182" s="3"/>
      <c r="RQ182" s="3"/>
      <c r="RR182" s="3"/>
      <c r="RS182" s="3"/>
      <c r="RT182" s="3"/>
      <c r="RU182" s="3"/>
      <c r="RV182" s="3"/>
      <c r="RW182" s="3"/>
      <c r="RX182" s="3"/>
      <c r="RY182" s="3"/>
      <c r="RZ182" s="3"/>
      <c r="SA182" s="3"/>
      <c r="SB182" s="3"/>
      <c r="SC182" s="3"/>
      <c r="SD182" s="3"/>
      <c r="SE182" s="3"/>
      <c r="SF182" s="3"/>
      <c r="SG182" s="3"/>
      <c r="SH182" s="3"/>
      <c r="SI182" s="3"/>
      <c r="SJ182" s="3"/>
      <c r="SK182" s="3"/>
      <c r="SL182" s="3"/>
      <c r="SM182" s="3"/>
      <c r="SN182" s="3"/>
      <c r="SO182" s="3"/>
      <c r="SP182" s="3"/>
      <c r="SQ182" s="3"/>
      <c r="SR182" s="3"/>
      <c r="SS182" s="3"/>
      <c r="ST182" s="3"/>
      <c r="SU182" s="3"/>
      <c r="SV182" s="3"/>
      <c r="SW182" s="3"/>
      <c r="SX182" s="3"/>
      <c r="SY182" s="3"/>
      <c r="SZ182" s="3"/>
      <c r="TA182" s="3"/>
      <c r="TB182" s="3"/>
      <c r="TC182" s="3"/>
      <c r="TD182" s="3"/>
      <c r="TE182" s="3"/>
      <c r="TF182" s="3"/>
      <c r="TG182" s="3"/>
      <c r="TH182" s="3"/>
      <c r="TI182" s="3"/>
      <c r="TJ182" s="3"/>
      <c r="TK182" s="3"/>
      <c r="TL182" s="3"/>
      <c r="TM182" s="3"/>
      <c r="TN182" s="3"/>
      <c r="TO182" s="3"/>
      <c r="TP182" s="3"/>
      <c r="TQ182" s="3"/>
      <c r="TR182" s="3"/>
      <c r="TS182" s="3"/>
      <c r="TT182" s="3"/>
      <c r="TU182" s="3"/>
      <c r="TV182" s="3"/>
      <c r="TW182" s="3"/>
      <c r="TX182" s="3"/>
      <c r="TY182" s="3"/>
      <c r="TZ182" s="3"/>
      <c r="UA182" s="3"/>
      <c r="UB182" s="3"/>
      <c r="UC182" s="3"/>
      <c r="UD182" s="3"/>
      <c r="UE182" s="3"/>
      <c r="UF182" s="3"/>
      <c r="UG182" s="3"/>
      <c r="UH182" s="3"/>
      <c r="UI182" s="3"/>
      <c r="UJ182" s="3"/>
      <c r="UK182" s="3"/>
      <c r="UL182" s="3"/>
      <c r="UM182" s="3"/>
      <c r="UN182" s="3"/>
      <c r="UO182" s="3"/>
      <c r="UP182" s="3"/>
      <c r="UQ182" s="3"/>
      <c r="UR182" s="3"/>
      <c r="US182" s="3"/>
      <c r="UT182" s="3"/>
      <c r="UU182" s="3"/>
      <c r="UV182" s="3"/>
      <c r="UW182" s="3"/>
      <c r="UX182" s="3"/>
      <c r="UY182" s="3"/>
      <c r="UZ182" s="3"/>
      <c r="VA182" s="3"/>
      <c r="VB182" s="3"/>
      <c r="VC182" s="3"/>
      <c r="VD182" s="3"/>
      <c r="VE182" s="3"/>
      <c r="VF182" s="3"/>
      <c r="VG182" s="3"/>
      <c r="VH182" s="3"/>
      <c r="VI182" s="3"/>
      <c r="VJ182" s="3"/>
      <c r="VK182" s="3"/>
      <c r="VL182" s="3"/>
      <c r="VM182" s="3"/>
      <c r="VN182" s="3"/>
      <c r="VO182" s="3"/>
      <c r="VP182" s="3"/>
      <c r="VQ182" s="3"/>
      <c r="VR182" s="3"/>
      <c r="VS182" s="3"/>
      <c r="VT182" s="3"/>
      <c r="VU182" s="3"/>
      <c r="VV182" s="3"/>
      <c r="VW182" s="3"/>
      <c r="VX182" s="3"/>
      <c r="VY182" s="3"/>
      <c r="VZ182" s="3"/>
      <c r="WA182" s="3"/>
      <c r="WB182" s="3"/>
      <c r="WC182" s="3"/>
      <c r="WD182" s="3"/>
      <c r="WE182" s="3"/>
      <c r="WF182" s="3"/>
      <c r="WG182" s="3"/>
      <c r="WH182" s="3"/>
      <c r="WI182" s="3"/>
      <c r="WJ182" s="3"/>
      <c r="WK182" s="3"/>
      <c r="WL182" s="3"/>
      <c r="WM182" s="3"/>
      <c r="WN182" s="3"/>
      <c r="WO182" s="3"/>
      <c r="WP182" s="3"/>
      <c r="WQ182" s="3"/>
      <c r="WR182" s="3"/>
      <c r="WS182" s="3"/>
      <c r="WT182" s="3"/>
      <c r="WU182" s="3"/>
      <c r="WV182" s="3"/>
      <c r="WW182" s="3"/>
      <c r="WX182" s="3"/>
      <c r="WY182" s="3"/>
      <c r="WZ182" s="3"/>
      <c r="XA182" s="3"/>
      <c r="XB182" s="3"/>
      <c r="XC182" s="3"/>
      <c r="XD182" s="3"/>
      <c r="XE182" s="3"/>
      <c r="XF182" s="3"/>
      <c r="XG182" s="3"/>
      <c r="XH182" s="3"/>
      <c r="XI182" s="3"/>
      <c r="XJ182" s="3"/>
      <c r="XK182" s="3"/>
      <c r="XL182" s="3"/>
      <c r="XM182" s="3"/>
      <c r="XN182" s="3"/>
      <c r="XO182" s="3"/>
      <c r="XP182" s="3"/>
      <c r="XQ182" s="3"/>
      <c r="XR182" s="3"/>
      <c r="XS182" s="3"/>
      <c r="XT182" s="3"/>
      <c r="XU182" s="3"/>
      <c r="XV182" s="3"/>
      <c r="XW182" s="3"/>
      <c r="XX182" s="3"/>
      <c r="XY182" s="3"/>
      <c r="XZ182" s="3"/>
      <c r="YA182" s="3"/>
      <c r="YB182" s="3"/>
      <c r="YC182" s="3"/>
      <c r="YD182" s="3"/>
      <c r="YE182" s="3"/>
      <c r="YF182" s="3"/>
      <c r="YG182" s="3"/>
      <c r="YH182" s="3"/>
      <c r="YI182" s="3"/>
      <c r="YJ182" s="3"/>
      <c r="YK182" s="3"/>
      <c r="YL182" s="3"/>
      <c r="YM182" s="3"/>
      <c r="YN182" s="3"/>
      <c r="YO182" s="3"/>
      <c r="YP182" s="3"/>
      <c r="YQ182" s="3"/>
      <c r="YR182" s="3"/>
      <c r="YS182" s="3"/>
      <c r="YT182" s="3"/>
      <c r="YU182" s="3"/>
      <c r="YV182" s="3"/>
      <c r="YW182" s="3"/>
      <c r="YX182" s="3"/>
      <c r="YY182" s="3"/>
      <c r="YZ182" s="3"/>
      <c r="ZA182" s="3"/>
      <c r="ZB182" s="3"/>
      <c r="ZC182" s="3"/>
    </row>
    <row r="183" spans="1:679" s="2" customFormat="1" x14ac:dyDescent="0.45">
      <c r="A183" s="3" t="s">
        <v>11</v>
      </c>
      <c r="B183" s="4">
        <v>35703</v>
      </c>
      <c r="C183" s="7" t="s">
        <v>25</v>
      </c>
      <c r="D183" s="6" t="s">
        <v>198</v>
      </c>
      <c r="E183" s="3"/>
      <c r="F183" s="3">
        <v>3</v>
      </c>
      <c r="L183" s="3"/>
      <c r="M183" s="3"/>
      <c r="N183" s="48"/>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c r="DV183" s="3"/>
      <c r="DW183" s="3"/>
      <c r="DX183" s="3"/>
      <c r="DY183" s="3"/>
      <c r="DZ183" s="3"/>
      <c r="EA183" s="3"/>
      <c r="EB183" s="3"/>
      <c r="EC183" s="3"/>
      <c r="ED183" s="3"/>
      <c r="EE183" s="3"/>
      <c r="EF183" s="3"/>
      <c r="EG183" s="3"/>
      <c r="EH183" s="3"/>
      <c r="EI183" s="3"/>
      <c r="EJ183" s="3"/>
      <c r="EK183" s="3"/>
      <c r="EL183" s="3"/>
      <c r="EM183" s="3"/>
      <c r="EN183" s="3"/>
      <c r="EO183" s="3"/>
      <c r="EP183" s="3"/>
      <c r="EQ183" s="3"/>
      <c r="ER183" s="3"/>
      <c r="ES183" s="3"/>
      <c r="ET183" s="3"/>
      <c r="EU183" s="3"/>
      <c r="EV183" s="3"/>
      <c r="EW183" s="3"/>
      <c r="EX183" s="3"/>
      <c r="EY183" s="3"/>
      <c r="EZ183" s="3"/>
      <c r="FA183" s="3"/>
      <c r="FB183" s="3"/>
      <c r="FC183" s="3"/>
      <c r="FD183" s="3"/>
      <c r="FE183" s="3"/>
      <c r="FF183" s="3"/>
      <c r="FG183" s="3"/>
      <c r="FH183" s="3"/>
      <c r="FI183" s="3"/>
      <c r="FJ183" s="3"/>
      <c r="FK183" s="3"/>
      <c r="FL183" s="3"/>
      <c r="FM183" s="3"/>
      <c r="FN183" s="3"/>
      <c r="FO183" s="3"/>
      <c r="FP183" s="3"/>
      <c r="FQ183" s="3"/>
      <c r="FR183" s="3"/>
      <c r="FS183" s="3"/>
      <c r="FT183" s="3"/>
      <c r="FU183" s="3"/>
      <c r="FV183" s="3"/>
      <c r="FW183" s="3"/>
      <c r="FX183" s="3"/>
      <c r="FY183" s="3"/>
      <c r="FZ183" s="3"/>
      <c r="GA183" s="3"/>
      <c r="GB183" s="3"/>
      <c r="GC183" s="3"/>
      <c r="GD183" s="3"/>
      <c r="GE183" s="3"/>
      <c r="GF183" s="3"/>
      <c r="GG183" s="3"/>
      <c r="GH183" s="3"/>
      <c r="GI183" s="3"/>
      <c r="GJ183" s="3"/>
      <c r="GK183" s="3"/>
      <c r="GL183" s="3"/>
      <c r="GM183" s="3"/>
      <c r="GN183" s="3"/>
      <c r="GO183" s="3"/>
      <c r="GP183" s="3"/>
      <c r="GQ183" s="3"/>
      <c r="GR183" s="3"/>
      <c r="GS183" s="3"/>
      <c r="GT183" s="3"/>
      <c r="GU183" s="3"/>
      <c r="GV183" s="3"/>
      <c r="GW183" s="3"/>
      <c r="GX183" s="3"/>
      <c r="GY183" s="3"/>
      <c r="GZ183" s="3"/>
      <c r="HA183" s="3"/>
      <c r="HB183" s="3"/>
      <c r="HC183" s="3"/>
      <c r="HD183" s="3"/>
      <c r="HE183" s="3"/>
      <c r="HF183" s="3"/>
      <c r="HG183" s="3"/>
      <c r="HH183" s="3"/>
      <c r="HI183" s="3"/>
      <c r="HJ183" s="3"/>
      <c r="HK183" s="3"/>
      <c r="HL183" s="3"/>
      <c r="HM183" s="3"/>
      <c r="HN183" s="3"/>
      <c r="HO183" s="3"/>
      <c r="HP183" s="3"/>
      <c r="HQ183" s="3"/>
      <c r="HR183" s="3"/>
      <c r="HS183" s="3"/>
      <c r="HT183" s="3"/>
      <c r="HU183" s="3"/>
      <c r="HV183" s="3"/>
      <c r="HW183" s="3"/>
      <c r="HX183" s="3"/>
      <c r="HY183" s="3"/>
      <c r="HZ183" s="3"/>
      <c r="IA183" s="3"/>
      <c r="IB183" s="3"/>
      <c r="IC183" s="3"/>
      <c r="ID183" s="3"/>
      <c r="IE183" s="3"/>
      <c r="IF183" s="3"/>
      <c r="IG183" s="3"/>
      <c r="IH183" s="3"/>
      <c r="II183" s="3"/>
      <c r="IJ183" s="3"/>
      <c r="IK183" s="3"/>
      <c r="IL183" s="3"/>
      <c r="IM183" s="3"/>
      <c r="IN183" s="3"/>
      <c r="IO183" s="3"/>
      <c r="IP183" s="3"/>
      <c r="IQ183" s="3"/>
      <c r="IR183" s="3"/>
      <c r="IS183" s="3"/>
      <c r="IT183" s="3"/>
      <c r="IU183" s="3"/>
      <c r="IV183" s="3"/>
      <c r="IW183" s="3"/>
      <c r="IX183" s="3"/>
      <c r="IY183" s="3"/>
      <c r="IZ183" s="3"/>
      <c r="JA183" s="3"/>
      <c r="JB183" s="3"/>
      <c r="JC183" s="3"/>
      <c r="JD183" s="3"/>
      <c r="JE183" s="3"/>
      <c r="JF183" s="3"/>
      <c r="JG183" s="3"/>
      <c r="JH183" s="3"/>
      <c r="JI183" s="3"/>
      <c r="JJ183" s="3"/>
      <c r="JK183" s="3"/>
      <c r="JL183" s="3"/>
      <c r="JM183" s="3"/>
      <c r="JN183" s="3"/>
      <c r="JO183" s="3"/>
      <c r="JP183" s="3"/>
      <c r="JQ183" s="3"/>
      <c r="JR183" s="3"/>
      <c r="JS183" s="3"/>
      <c r="JT183" s="3"/>
      <c r="JU183" s="3"/>
      <c r="JV183" s="3"/>
      <c r="JW183" s="3"/>
      <c r="JX183" s="3"/>
      <c r="JY183" s="3"/>
      <c r="JZ183" s="3"/>
      <c r="KA183" s="3"/>
      <c r="KB183" s="3"/>
      <c r="KC183" s="3"/>
      <c r="KD183" s="3"/>
      <c r="KE183" s="3"/>
      <c r="KF183" s="3"/>
      <c r="KG183" s="3"/>
      <c r="KH183" s="3"/>
      <c r="KI183" s="3"/>
      <c r="KJ183" s="3"/>
      <c r="KK183" s="3"/>
      <c r="KL183" s="3"/>
      <c r="KM183" s="3"/>
      <c r="KN183" s="3"/>
      <c r="KO183" s="3"/>
      <c r="KP183" s="3"/>
      <c r="KQ183" s="3"/>
      <c r="KR183" s="3"/>
      <c r="KS183" s="3"/>
      <c r="KT183" s="3"/>
      <c r="KU183" s="3"/>
      <c r="KV183" s="3"/>
      <c r="KW183" s="3"/>
      <c r="KX183" s="3"/>
      <c r="KY183" s="3"/>
      <c r="KZ183" s="3"/>
      <c r="LA183" s="3"/>
      <c r="LB183" s="3"/>
      <c r="LC183" s="3"/>
      <c r="LD183" s="3"/>
      <c r="LE183" s="3"/>
      <c r="LF183" s="3"/>
      <c r="LG183" s="3"/>
      <c r="LH183" s="3"/>
      <c r="LI183" s="3"/>
      <c r="LJ183" s="3"/>
      <c r="LK183" s="3"/>
      <c r="LL183" s="3"/>
      <c r="LM183" s="3"/>
      <c r="LN183" s="3"/>
      <c r="LO183" s="3"/>
      <c r="LP183" s="3"/>
      <c r="LQ183" s="3"/>
      <c r="LR183" s="3"/>
      <c r="LS183" s="3"/>
      <c r="LT183" s="3"/>
      <c r="LU183" s="3"/>
      <c r="LV183" s="3"/>
      <c r="LW183" s="3"/>
      <c r="LX183" s="3"/>
      <c r="LY183" s="3"/>
      <c r="LZ183" s="3"/>
      <c r="MA183" s="3"/>
      <c r="MB183" s="3"/>
      <c r="MC183" s="3"/>
      <c r="MD183" s="3"/>
      <c r="ME183" s="3"/>
      <c r="MF183" s="3"/>
      <c r="MG183" s="3"/>
      <c r="MH183" s="3"/>
      <c r="MI183" s="3"/>
      <c r="MJ183" s="3"/>
      <c r="MK183" s="3"/>
      <c r="ML183" s="3"/>
      <c r="MM183" s="3"/>
      <c r="MN183" s="3"/>
      <c r="MO183" s="3"/>
      <c r="MP183" s="3"/>
      <c r="MQ183" s="3"/>
      <c r="MR183" s="3"/>
      <c r="MS183" s="3"/>
      <c r="MT183" s="3"/>
      <c r="MU183" s="3"/>
      <c r="MV183" s="3"/>
      <c r="MW183" s="3"/>
      <c r="MX183" s="3"/>
      <c r="MY183" s="3"/>
      <c r="MZ183" s="3"/>
      <c r="NA183" s="3"/>
      <c r="NB183" s="3"/>
      <c r="NC183" s="3"/>
      <c r="ND183" s="3"/>
      <c r="NE183" s="3"/>
      <c r="NF183" s="3"/>
      <c r="NG183" s="3"/>
      <c r="NH183" s="3"/>
      <c r="NI183" s="3"/>
      <c r="NJ183" s="3"/>
      <c r="NK183" s="3"/>
      <c r="NL183" s="3"/>
      <c r="NM183" s="3"/>
      <c r="NN183" s="3"/>
      <c r="NO183" s="3"/>
      <c r="NP183" s="3"/>
      <c r="NQ183" s="3"/>
      <c r="NR183" s="3"/>
      <c r="NS183" s="3"/>
      <c r="NT183" s="3"/>
      <c r="NU183" s="3"/>
      <c r="NV183" s="3"/>
      <c r="NW183" s="3"/>
      <c r="NX183" s="3"/>
      <c r="NY183" s="3"/>
      <c r="NZ183" s="3"/>
      <c r="OA183" s="3"/>
      <c r="OB183" s="3"/>
      <c r="OC183" s="3"/>
      <c r="OD183" s="3"/>
      <c r="OE183" s="3"/>
      <c r="OF183" s="3"/>
      <c r="OG183" s="3"/>
      <c r="OH183" s="3"/>
      <c r="OI183" s="3"/>
      <c r="OJ183" s="3"/>
      <c r="OK183" s="3"/>
      <c r="OL183" s="3"/>
      <c r="OM183" s="3"/>
      <c r="ON183" s="3"/>
      <c r="OO183" s="3"/>
      <c r="OP183" s="3"/>
      <c r="OQ183" s="3"/>
      <c r="OR183" s="3"/>
      <c r="OS183" s="3"/>
      <c r="OT183" s="3"/>
      <c r="OU183" s="3"/>
      <c r="OV183" s="3"/>
      <c r="OW183" s="3"/>
      <c r="OX183" s="3"/>
      <c r="OY183" s="3"/>
      <c r="OZ183" s="3"/>
      <c r="PA183" s="3"/>
      <c r="PB183" s="3"/>
      <c r="PC183" s="3"/>
      <c r="PD183" s="3"/>
      <c r="PE183" s="3"/>
      <c r="PF183" s="3"/>
      <c r="PG183" s="3"/>
      <c r="PH183" s="3"/>
      <c r="PI183" s="3"/>
      <c r="PJ183" s="3"/>
      <c r="PK183" s="3"/>
      <c r="PL183" s="3"/>
      <c r="PM183" s="3"/>
      <c r="PN183" s="3"/>
      <c r="PO183" s="3"/>
      <c r="PP183" s="3"/>
      <c r="PQ183" s="3"/>
      <c r="PR183" s="3"/>
      <c r="PS183" s="3"/>
      <c r="PT183" s="3"/>
      <c r="PU183" s="3"/>
      <c r="PV183" s="3"/>
      <c r="PW183" s="3"/>
      <c r="PX183" s="3"/>
      <c r="PY183" s="3"/>
      <c r="PZ183" s="3"/>
      <c r="QA183" s="3"/>
      <c r="QB183" s="3"/>
      <c r="QC183" s="3"/>
      <c r="QD183" s="3"/>
      <c r="QE183" s="3"/>
      <c r="QF183" s="3"/>
      <c r="QG183" s="3"/>
      <c r="QH183" s="3"/>
      <c r="QI183" s="3"/>
      <c r="QJ183" s="3"/>
      <c r="QK183" s="3"/>
      <c r="QL183" s="3"/>
      <c r="QM183" s="3"/>
      <c r="QN183" s="3"/>
      <c r="QO183" s="3"/>
      <c r="QP183" s="3"/>
      <c r="QQ183" s="3"/>
      <c r="QR183" s="3"/>
      <c r="QS183" s="3"/>
      <c r="QT183" s="3"/>
      <c r="QU183" s="3"/>
      <c r="QV183" s="3"/>
      <c r="QW183" s="3"/>
      <c r="QX183" s="3"/>
      <c r="QY183" s="3"/>
      <c r="QZ183" s="3"/>
      <c r="RA183" s="3"/>
      <c r="RB183" s="3"/>
      <c r="RC183" s="3"/>
      <c r="RD183" s="3"/>
      <c r="RE183" s="3"/>
      <c r="RF183" s="3"/>
      <c r="RG183" s="3"/>
      <c r="RH183" s="3"/>
      <c r="RI183" s="3"/>
      <c r="RJ183" s="3"/>
      <c r="RK183" s="3"/>
      <c r="RL183" s="3"/>
      <c r="RM183" s="3"/>
      <c r="RN183" s="3"/>
      <c r="RO183" s="3"/>
      <c r="RP183" s="3"/>
      <c r="RQ183" s="3"/>
      <c r="RR183" s="3"/>
      <c r="RS183" s="3"/>
      <c r="RT183" s="3"/>
      <c r="RU183" s="3"/>
      <c r="RV183" s="3"/>
      <c r="RW183" s="3"/>
      <c r="RX183" s="3"/>
      <c r="RY183" s="3"/>
      <c r="RZ183" s="3"/>
      <c r="SA183" s="3"/>
      <c r="SB183" s="3"/>
      <c r="SC183" s="3"/>
      <c r="SD183" s="3"/>
      <c r="SE183" s="3"/>
      <c r="SF183" s="3"/>
      <c r="SG183" s="3"/>
      <c r="SH183" s="3"/>
      <c r="SI183" s="3"/>
      <c r="SJ183" s="3"/>
      <c r="SK183" s="3"/>
      <c r="SL183" s="3"/>
      <c r="SM183" s="3"/>
      <c r="SN183" s="3"/>
      <c r="SO183" s="3"/>
      <c r="SP183" s="3"/>
      <c r="SQ183" s="3"/>
      <c r="SR183" s="3"/>
      <c r="SS183" s="3"/>
      <c r="ST183" s="3"/>
      <c r="SU183" s="3"/>
      <c r="SV183" s="3"/>
      <c r="SW183" s="3"/>
      <c r="SX183" s="3"/>
      <c r="SY183" s="3"/>
      <c r="SZ183" s="3"/>
      <c r="TA183" s="3"/>
      <c r="TB183" s="3"/>
      <c r="TC183" s="3"/>
      <c r="TD183" s="3"/>
      <c r="TE183" s="3"/>
      <c r="TF183" s="3"/>
      <c r="TG183" s="3"/>
      <c r="TH183" s="3"/>
      <c r="TI183" s="3"/>
      <c r="TJ183" s="3"/>
      <c r="TK183" s="3"/>
      <c r="TL183" s="3"/>
      <c r="TM183" s="3"/>
      <c r="TN183" s="3"/>
      <c r="TO183" s="3"/>
      <c r="TP183" s="3"/>
      <c r="TQ183" s="3"/>
      <c r="TR183" s="3"/>
      <c r="TS183" s="3"/>
      <c r="TT183" s="3"/>
      <c r="TU183" s="3"/>
      <c r="TV183" s="3"/>
      <c r="TW183" s="3"/>
      <c r="TX183" s="3"/>
      <c r="TY183" s="3"/>
      <c r="TZ183" s="3"/>
      <c r="UA183" s="3"/>
      <c r="UB183" s="3"/>
      <c r="UC183" s="3"/>
      <c r="UD183" s="3"/>
      <c r="UE183" s="3"/>
      <c r="UF183" s="3"/>
      <c r="UG183" s="3"/>
      <c r="UH183" s="3"/>
      <c r="UI183" s="3"/>
      <c r="UJ183" s="3"/>
      <c r="UK183" s="3"/>
      <c r="UL183" s="3"/>
      <c r="UM183" s="3"/>
      <c r="UN183" s="3"/>
      <c r="UO183" s="3"/>
      <c r="UP183" s="3"/>
      <c r="UQ183" s="3"/>
      <c r="UR183" s="3"/>
      <c r="US183" s="3"/>
      <c r="UT183" s="3"/>
      <c r="UU183" s="3"/>
      <c r="UV183" s="3"/>
      <c r="UW183" s="3"/>
      <c r="UX183" s="3"/>
      <c r="UY183" s="3"/>
      <c r="UZ183" s="3"/>
      <c r="VA183" s="3"/>
      <c r="VB183" s="3"/>
      <c r="VC183" s="3"/>
      <c r="VD183" s="3"/>
      <c r="VE183" s="3"/>
      <c r="VF183" s="3"/>
      <c r="VG183" s="3"/>
      <c r="VH183" s="3"/>
      <c r="VI183" s="3"/>
      <c r="VJ183" s="3"/>
      <c r="VK183" s="3"/>
      <c r="VL183" s="3"/>
      <c r="VM183" s="3"/>
      <c r="VN183" s="3"/>
      <c r="VO183" s="3"/>
      <c r="VP183" s="3"/>
      <c r="VQ183" s="3"/>
      <c r="VR183" s="3"/>
      <c r="VS183" s="3"/>
      <c r="VT183" s="3"/>
      <c r="VU183" s="3"/>
      <c r="VV183" s="3"/>
      <c r="VW183" s="3"/>
      <c r="VX183" s="3"/>
      <c r="VY183" s="3"/>
      <c r="VZ183" s="3"/>
      <c r="WA183" s="3"/>
      <c r="WB183" s="3"/>
      <c r="WC183" s="3"/>
      <c r="WD183" s="3"/>
      <c r="WE183" s="3"/>
      <c r="WF183" s="3"/>
      <c r="WG183" s="3"/>
      <c r="WH183" s="3"/>
      <c r="WI183" s="3"/>
      <c r="WJ183" s="3"/>
      <c r="WK183" s="3"/>
      <c r="WL183" s="3"/>
      <c r="WM183" s="3"/>
      <c r="WN183" s="3"/>
      <c r="WO183" s="3"/>
      <c r="WP183" s="3"/>
      <c r="WQ183" s="3"/>
      <c r="WR183" s="3"/>
      <c r="WS183" s="3"/>
      <c r="WT183" s="3"/>
      <c r="WU183" s="3"/>
      <c r="WV183" s="3"/>
      <c r="WW183" s="3"/>
      <c r="WX183" s="3"/>
      <c r="WY183" s="3"/>
      <c r="WZ183" s="3"/>
      <c r="XA183" s="3"/>
      <c r="XB183" s="3"/>
      <c r="XC183" s="3"/>
      <c r="XD183" s="3"/>
      <c r="XE183" s="3"/>
      <c r="XF183" s="3"/>
      <c r="XG183" s="3"/>
      <c r="XH183" s="3"/>
      <c r="XI183" s="3"/>
      <c r="XJ183" s="3"/>
      <c r="XK183" s="3"/>
      <c r="XL183" s="3"/>
      <c r="XM183" s="3"/>
      <c r="XN183" s="3"/>
      <c r="XO183" s="3"/>
      <c r="XP183" s="3"/>
      <c r="XQ183" s="3"/>
      <c r="XR183" s="3"/>
      <c r="XS183" s="3"/>
      <c r="XT183" s="3"/>
      <c r="XU183" s="3"/>
      <c r="XV183" s="3"/>
      <c r="XW183" s="3"/>
      <c r="XX183" s="3"/>
      <c r="XY183" s="3"/>
      <c r="XZ183" s="3"/>
      <c r="YA183" s="3"/>
      <c r="YB183" s="3"/>
      <c r="YC183" s="3"/>
      <c r="YD183" s="3"/>
      <c r="YE183" s="3"/>
      <c r="YF183" s="3"/>
      <c r="YG183" s="3"/>
      <c r="YH183" s="3"/>
      <c r="YI183" s="3"/>
      <c r="YJ183" s="3"/>
      <c r="YK183" s="3"/>
      <c r="YL183" s="3"/>
      <c r="YM183" s="3"/>
      <c r="YN183" s="3"/>
      <c r="YO183" s="3"/>
      <c r="YP183" s="3"/>
      <c r="YQ183" s="3"/>
      <c r="YR183" s="3"/>
      <c r="YS183" s="3"/>
      <c r="YT183" s="3"/>
      <c r="YU183" s="3"/>
      <c r="YV183" s="3"/>
      <c r="YW183" s="3"/>
      <c r="YX183" s="3"/>
      <c r="YY183" s="3"/>
      <c r="YZ183" s="3"/>
      <c r="ZA183" s="3"/>
      <c r="ZB183" s="3"/>
      <c r="ZC183" s="3"/>
    </row>
    <row r="184" spans="1:679" s="2" customFormat="1" x14ac:dyDescent="0.45">
      <c r="A184" s="3" t="s">
        <v>11</v>
      </c>
      <c r="B184" s="4">
        <v>35731</v>
      </c>
      <c r="C184" s="7" t="s">
        <v>21</v>
      </c>
      <c r="D184" s="6" t="s">
        <v>199</v>
      </c>
      <c r="E184" s="3"/>
      <c r="F184" s="3">
        <v>3</v>
      </c>
      <c r="L184" s="3"/>
      <c r="M184" s="3"/>
      <c r="N184" s="48"/>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c r="DV184" s="3"/>
      <c r="DW184" s="3"/>
      <c r="DX184" s="3"/>
      <c r="DY184" s="3"/>
      <c r="DZ184" s="3"/>
      <c r="EA184" s="3"/>
      <c r="EB184" s="3"/>
      <c r="EC184" s="3"/>
      <c r="ED184" s="3"/>
      <c r="EE184" s="3"/>
      <c r="EF184" s="3"/>
      <c r="EG184" s="3"/>
      <c r="EH184" s="3"/>
      <c r="EI184" s="3"/>
      <c r="EJ184" s="3"/>
      <c r="EK184" s="3"/>
      <c r="EL184" s="3"/>
      <c r="EM184" s="3"/>
      <c r="EN184" s="3"/>
      <c r="EO184" s="3"/>
      <c r="EP184" s="3"/>
      <c r="EQ184" s="3"/>
      <c r="ER184" s="3"/>
      <c r="ES184" s="3"/>
      <c r="ET184" s="3"/>
      <c r="EU184" s="3"/>
      <c r="EV184" s="3"/>
      <c r="EW184" s="3"/>
      <c r="EX184" s="3"/>
      <c r="EY184" s="3"/>
      <c r="EZ184" s="3"/>
      <c r="FA184" s="3"/>
      <c r="FB184" s="3"/>
      <c r="FC184" s="3"/>
      <c r="FD184" s="3"/>
      <c r="FE184" s="3"/>
      <c r="FF184" s="3"/>
      <c r="FG184" s="3"/>
      <c r="FH184" s="3"/>
      <c r="FI184" s="3"/>
      <c r="FJ184" s="3"/>
      <c r="FK184" s="3"/>
      <c r="FL184" s="3"/>
      <c r="FM184" s="3"/>
      <c r="FN184" s="3"/>
      <c r="FO184" s="3"/>
      <c r="FP184" s="3"/>
      <c r="FQ184" s="3"/>
      <c r="FR184" s="3"/>
      <c r="FS184" s="3"/>
      <c r="FT184" s="3"/>
      <c r="FU184" s="3"/>
      <c r="FV184" s="3"/>
      <c r="FW184" s="3"/>
      <c r="FX184" s="3"/>
      <c r="FY184" s="3"/>
      <c r="FZ184" s="3"/>
      <c r="GA184" s="3"/>
      <c r="GB184" s="3"/>
      <c r="GC184" s="3"/>
      <c r="GD184" s="3"/>
      <c r="GE184" s="3"/>
      <c r="GF184" s="3"/>
      <c r="GG184" s="3"/>
      <c r="GH184" s="3"/>
      <c r="GI184" s="3"/>
      <c r="GJ184" s="3"/>
      <c r="GK184" s="3"/>
      <c r="GL184" s="3"/>
      <c r="GM184" s="3"/>
      <c r="GN184" s="3"/>
      <c r="GO184" s="3"/>
      <c r="GP184" s="3"/>
      <c r="GQ184" s="3"/>
      <c r="GR184" s="3"/>
      <c r="GS184" s="3"/>
      <c r="GT184" s="3"/>
      <c r="GU184" s="3"/>
      <c r="GV184" s="3"/>
      <c r="GW184" s="3"/>
      <c r="GX184" s="3"/>
      <c r="GY184" s="3"/>
      <c r="GZ184" s="3"/>
      <c r="HA184" s="3"/>
      <c r="HB184" s="3"/>
      <c r="HC184" s="3"/>
      <c r="HD184" s="3"/>
      <c r="HE184" s="3"/>
      <c r="HF184" s="3"/>
      <c r="HG184" s="3"/>
      <c r="HH184" s="3"/>
      <c r="HI184" s="3"/>
      <c r="HJ184" s="3"/>
      <c r="HK184" s="3"/>
      <c r="HL184" s="3"/>
      <c r="HM184" s="3"/>
      <c r="HN184" s="3"/>
      <c r="HO184" s="3"/>
      <c r="HP184" s="3"/>
      <c r="HQ184" s="3"/>
      <c r="HR184" s="3"/>
      <c r="HS184" s="3"/>
      <c r="HT184" s="3"/>
      <c r="HU184" s="3"/>
      <c r="HV184" s="3"/>
      <c r="HW184" s="3"/>
      <c r="HX184" s="3"/>
      <c r="HY184" s="3"/>
      <c r="HZ184" s="3"/>
      <c r="IA184" s="3"/>
      <c r="IB184" s="3"/>
      <c r="IC184" s="3"/>
      <c r="ID184" s="3"/>
      <c r="IE184" s="3"/>
      <c r="IF184" s="3"/>
      <c r="IG184" s="3"/>
      <c r="IH184" s="3"/>
      <c r="II184" s="3"/>
      <c r="IJ184" s="3"/>
      <c r="IK184" s="3"/>
      <c r="IL184" s="3"/>
      <c r="IM184" s="3"/>
      <c r="IN184" s="3"/>
      <c r="IO184" s="3"/>
      <c r="IP184" s="3"/>
      <c r="IQ184" s="3"/>
      <c r="IR184" s="3"/>
      <c r="IS184" s="3"/>
      <c r="IT184" s="3"/>
      <c r="IU184" s="3"/>
      <c r="IV184" s="3"/>
      <c r="IW184" s="3"/>
      <c r="IX184" s="3"/>
      <c r="IY184" s="3"/>
      <c r="IZ184" s="3"/>
      <c r="JA184" s="3"/>
      <c r="JB184" s="3"/>
      <c r="JC184" s="3"/>
      <c r="JD184" s="3"/>
      <c r="JE184" s="3"/>
      <c r="JF184" s="3"/>
      <c r="JG184" s="3"/>
      <c r="JH184" s="3"/>
      <c r="JI184" s="3"/>
      <c r="JJ184" s="3"/>
      <c r="JK184" s="3"/>
      <c r="JL184" s="3"/>
      <c r="JM184" s="3"/>
      <c r="JN184" s="3"/>
      <c r="JO184" s="3"/>
      <c r="JP184" s="3"/>
      <c r="JQ184" s="3"/>
      <c r="JR184" s="3"/>
      <c r="JS184" s="3"/>
      <c r="JT184" s="3"/>
      <c r="JU184" s="3"/>
      <c r="JV184" s="3"/>
      <c r="JW184" s="3"/>
      <c r="JX184" s="3"/>
      <c r="JY184" s="3"/>
      <c r="JZ184" s="3"/>
      <c r="KA184" s="3"/>
      <c r="KB184" s="3"/>
      <c r="KC184" s="3"/>
      <c r="KD184" s="3"/>
      <c r="KE184" s="3"/>
      <c r="KF184" s="3"/>
      <c r="KG184" s="3"/>
      <c r="KH184" s="3"/>
      <c r="KI184" s="3"/>
      <c r="KJ184" s="3"/>
      <c r="KK184" s="3"/>
      <c r="KL184" s="3"/>
      <c r="KM184" s="3"/>
      <c r="KN184" s="3"/>
      <c r="KO184" s="3"/>
      <c r="KP184" s="3"/>
      <c r="KQ184" s="3"/>
      <c r="KR184" s="3"/>
      <c r="KS184" s="3"/>
      <c r="KT184" s="3"/>
      <c r="KU184" s="3"/>
      <c r="KV184" s="3"/>
      <c r="KW184" s="3"/>
      <c r="KX184" s="3"/>
      <c r="KY184" s="3"/>
      <c r="KZ184" s="3"/>
      <c r="LA184" s="3"/>
      <c r="LB184" s="3"/>
      <c r="LC184" s="3"/>
      <c r="LD184" s="3"/>
      <c r="LE184" s="3"/>
      <c r="LF184" s="3"/>
      <c r="LG184" s="3"/>
      <c r="LH184" s="3"/>
      <c r="LI184" s="3"/>
      <c r="LJ184" s="3"/>
      <c r="LK184" s="3"/>
      <c r="LL184" s="3"/>
      <c r="LM184" s="3"/>
      <c r="LN184" s="3"/>
      <c r="LO184" s="3"/>
      <c r="LP184" s="3"/>
      <c r="LQ184" s="3"/>
      <c r="LR184" s="3"/>
      <c r="LS184" s="3"/>
      <c r="LT184" s="3"/>
      <c r="LU184" s="3"/>
      <c r="LV184" s="3"/>
      <c r="LW184" s="3"/>
      <c r="LX184" s="3"/>
      <c r="LY184" s="3"/>
      <c r="LZ184" s="3"/>
      <c r="MA184" s="3"/>
      <c r="MB184" s="3"/>
      <c r="MC184" s="3"/>
      <c r="MD184" s="3"/>
      <c r="ME184" s="3"/>
      <c r="MF184" s="3"/>
      <c r="MG184" s="3"/>
      <c r="MH184" s="3"/>
      <c r="MI184" s="3"/>
      <c r="MJ184" s="3"/>
      <c r="MK184" s="3"/>
      <c r="ML184" s="3"/>
      <c r="MM184" s="3"/>
      <c r="MN184" s="3"/>
      <c r="MO184" s="3"/>
      <c r="MP184" s="3"/>
      <c r="MQ184" s="3"/>
      <c r="MR184" s="3"/>
      <c r="MS184" s="3"/>
      <c r="MT184" s="3"/>
      <c r="MU184" s="3"/>
      <c r="MV184" s="3"/>
      <c r="MW184" s="3"/>
      <c r="MX184" s="3"/>
      <c r="MY184" s="3"/>
      <c r="MZ184" s="3"/>
      <c r="NA184" s="3"/>
      <c r="NB184" s="3"/>
      <c r="NC184" s="3"/>
      <c r="ND184" s="3"/>
      <c r="NE184" s="3"/>
      <c r="NF184" s="3"/>
      <c r="NG184" s="3"/>
      <c r="NH184" s="3"/>
      <c r="NI184" s="3"/>
      <c r="NJ184" s="3"/>
      <c r="NK184" s="3"/>
      <c r="NL184" s="3"/>
      <c r="NM184" s="3"/>
      <c r="NN184" s="3"/>
      <c r="NO184" s="3"/>
      <c r="NP184" s="3"/>
      <c r="NQ184" s="3"/>
      <c r="NR184" s="3"/>
      <c r="NS184" s="3"/>
      <c r="NT184" s="3"/>
      <c r="NU184" s="3"/>
      <c r="NV184" s="3"/>
      <c r="NW184" s="3"/>
      <c r="NX184" s="3"/>
      <c r="NY184" s="3"/>
      <c r="NZ184" s="3"/>
      <c r="OA184" s="3"/>
      <c r="OB184" s="3"/>
      <c r="OC184" s="3"/>
      <c r="OD184" s="3"/>
      <c r="OE184" s="3"/>
      <c r="OF184" s="3"/>
      <c r="OG184" s="3"/>
      <c r="OH184" s="3"/>
      <c r="OI184" s="3"/>
      <c r="OJ184" s="3"/>
      <c r="OK184" s="3"/>
      <c r="OL184" s="3"/>
      <c r="OM184" s="3"/>
      <c r="ON184" s="3"/>
      <c r="OO184" s="3"/>
      <c r="OP184" s="3"/>
      <c r="OQ184" s="3"/>
      <c r="OR184" s="3"/>
      <c r="OS184" s="3"/>
      <c r="OT184" s="3"/>
      <c r="OU184" s="3"/>
      <c r="OV184" s="3"/>
      <c r="OW184" s="3"/>
      <c r="OX184" s="3"/>
      <c r="OY184" s="3"/>
      <c r="OZ184" s="3"/>
      <c r="PA184" s="3"/>
      <c r="PB184" s="3"/>
      <c r="PC184" s="3"/>
      <c r="PD184" s="3"/>
      <c r="PE184" s="3"/>
      <c r="PF184" s="3"/>
      <c r="PG184" s="3"/>
      <c r="PH184" s="3"/>
      <c r="PI184" s="3"/>
      <c r="PJ184" s="3"/>
      <c r="PK184" s="3"/>
      <c r="PL184" s="3"/>
      <c r="PM184" s="3"/>
      <c r="PN184" s="3"/>
      <c r="PO184" s="3"/>
      <c r="PP184" s="3"/>
      <c r="PQ184" s="3"/>
      <c r="PR184" s="3"/>
      <c r="PS184" s="3"/>
      <c r="PT184" s="3"/>
      <c r="PU184" s="3"/>
      <c r="PV184" s="3"/>
      <c r="PW184" s="3"/>
      <c r="PX184" s="3"/>
      <c r="PY184" s="3"/>
      <c r="PZ184" s="3"/>
      <c r="QA184" s="3"/>
      <c r="QB184" s="3"/>
      <c r="QC184" s="3"/>
      <c r="QD184" s="3"/>
      <c r="QE184" s="3"/>
      <c r="QF184" s="3"/>
      <c r="QG184" s="3"/>
      <c r="QH184" s="3"/>
      <c r="QI184" s="3"/>
      <c r="QJ184" s="3"/>
      <c r="QK184" s="3"/>
      <c r="QL184" s="3"/>
      <c r="QM184" s="3"/>
      <c r="QN184" s="3"/>
      <c r="QO184" s="3"/>
      <c r="QP184" s="3"/>
      <c r="QQ184" s="3"/>
      <c r="QR184" s="3"/>
      <c r="QS184" s="3"/>
      <c r="QT184" s="3"/>
      <c r="QU184" s="3"/>
      <c r="QV184" s="3"/>
      <c r="QW184" s="3"/>
      <c r="QX184" s="3"/>
      <c r="QY184" s="3"/>
      <c r="QZ184" s="3"/>
      <c r="RA184" s="3"/>
      <c r="RB184" s="3"/>
      <c r="RC184" s="3"/>
      <c r="RD184" s="3"/>
      <c r="RE184" s="3"/>
      <c r="RF184" s="3"/>
      <c r="RG184" s="3"/>
      <c r="RH184" s="3"/>
      <c r="RI184" s="3"/>
      <c r="RJ184" s="3"/>
      <c r="RK184" s="3"/>
      <c r="RL184" s="3"/>
      <c r="RM184" s="3"/>
      <c r="RN184" s="3"/>
      <c r="RO184" s="3"/>
      <c r="RP184" s="3"/>
      <c r="RQ184" s="3"/>
      <c r="RR184" s="3"/>
      <c r="RS184" s="3"/>
      <c r="RT184" s="3"/>
      <c r="RU184" s="3"/>
      <c r="RV184" s="3"/>
      <c r="RW184" s="3"/>
      <c r="RX184" s="3"/>
      <c r="RY184" s="3"/>
      <c r="RZ184" s="3"/>
      <c r="SA184" s="3"/>
      <c r="SB184" s="3"/>
      <c r="SC184" s="3"/>
      <c r="SD184" s="3"/>
      <c r="SE184" s="3"/>
      <c r="SF184" s="3"/>
      <c r="SG184" s="3"/>
      <c r="SH184" s="3"/>
      <c r="SI184" s="3"/>
      <c r="SJ184" s="3"/>
      <c r="SK184" s="3"/>
      <c r="SL184" s="3"/>
      <c r="SM184" s="3"/>
      <c r="SN184" s="3"/>
      <c r="SO184" s="3"/>
      <c r="SP184" s="3"/>
      <c r="SQ184" s="3"/>
      <c r="SR184" s="3"/>
      <c r="SS184" s="3"/>
      <c r="ST184" s="3"/>
      <c r="SU184" s="3"/>
      <c r="SV184" s="3"/>
      <c r="SW184" s="3"/>
      <c r="SX184" s="3"/>
      <c r="SY184" s="3"/>
      <c r="SZ184" s="3"/>
      <c r="TA184" s="3"/>
      <c r="TB184" s="3"/>
      <c r="TC184" s="3"/>
      <c r="TD184" s="3"/>
      <c r="TE184" s="3"/>
      <c r="TF184" s="3"/>
      <c r="TG184" s="3"/>
      <c r="TH184" s="3"/>
      <c r="TI184" s="3"/>
      <c r="TJ184" s="3"/>
      <c r="TK184" s="3"/>
      <c r="TL184" s="3"/>
      <c r="TM184" s="3"/>
      <c r="TN184" s="3"/>
      <c r="TO184" s="3"/>
      <c r="TP184" s="3"/>
      <c r="TQ184" s="3"/>
      <c r="TR184" s="3"/>
      <c r="TS184" s="3"/>
      <c r="TT184" s="3"/>
      <c r="TU184" s="3"/>
      <c r="TV184" s="3"/>
      <c r="TW184" s="3"/>
      <c r="TX184" s="3"/>
      <c r="TY184" s="3"/>
      <c r="TZ184" s="3"/>
      <c r="UA184" s="3"/>
      <c r="UB184" s="3"/>
      <c r="UC184" s="3"/>
      <c r="UD184" s="3"/>
      <c r="UE184" s="3"/>
      <c r="UF184" s="3"/>
      <c r="UG184" s="3"/>
      <c r="UH184" s="3"/>
      <c r="UI184" s="3"/>
      <c r="UJ184" s="3"/>
      <c r="UK184" s="3"/>
      <c r="UL184" s="3"/>
      <c r="UM184" s="3"/>
      <c r="UN184" s="3"/>
      <c r="UO184" s="3"/>
      <c r="UP184" s="3"/>
      <c r="UQ184" s="3"/>
      <c r="UR184" s="3"/>
      <c r="US184" s="3"/>
      <c r="UT184" s="3"/>
      <c r="UU184" s="3"/>
      <c r="UV184" s="3"/>
      <c r="UW184" s="3"/>
      <c r="UX184" s="3"/>
      <c r="UY184" s="3"/>
      <c r="UZ184" s="3"/>
      <c r="VA184" s="3"/>
      <c r="VB184" s="3"/>
      <c r="VC184" s="3"/>
      <c r="VD184" s="3"/>
      <c r="VE184" s="3"/>
      <c r="VF184" s="3"/>
      <c r="VG184" s="3"/>
      <c r="VH184" s="3"/>
      <c r="VI184" s="3"/>
      <c r="VJ184" s="3"/>
      <c r="VK184" s="3"/>
      <c r="VL184" s="3"/>
      <c r="VM184" s="3"/>
      <c r="VN184" s="3"/>
      <c r="VO184" s="3"/>
      <c r="VP184" s="3"/>
      <c r="VQ184" s="3"/>
      <c r="VR184" s="3"/>
      <c r="VS184" s="3"/>
      <c r="VT184" s="3"/>
      <c r="VU184" s="3"/>
      <c r="VV184" s="3"/>
      <c r="VW184" s="3"/>
      <c r="VX184" s="3"/>
      <c r="VY184" s="3"/>
      <c r="VZ184" s="3"/>
      <c r="WA184" s="3"/>
      <c r="WB184" s="3"/>
      <c r="WC184" s="3"/>
      <c r="WD184" s="3"/>
      <c r="WE184" s="3"/>
      <c r="WF184" s="3"/>
      <c r="WG184" s="3"/>
      <c r="WH184" s="3"/>
      <c r="WI184" s="3"/>
      <c r="WJ184" s="3"/>
      <c r="WK184" s="3"/>
      <c r="WL184" s="3"/>
      <c r="WM184" s="3"/>
      <c r="WN184" s="3"/>
      <c r="WO184" s="3"/>
      <c r="WP184" s="3"/>
      <c r="WQ184" s="3"/>
      <c r="WR184" s="3"/>
      <c r="WS184" s="3"/>
      <c r="WT184" s="3"/>
      <c r="WU184" s="3"/>
      <c r="WV184" s="3"/>
      <c r="WW184" s="3"/>
      <c r="WX184" s="3"/>
      <c r="WY184" s="3"/>
      <c r="WZ184" s="3"/>
      <c r="XA184" s="3"/>
      <c r="XB184" s="3"/>
      <c r="XC184" s="3"/>
      <c r="XD184" s="3"/>
      <c r="XE184" s="3"/>
      <c r="XF184" s="3"/>
      <c r="XG184" s="3"/>
      <c r="XH184" s="3"/>
      <c r="XI184" s="3"/>
      <c r="XJ184" s="3"/>
      <c r="XK184" s="3"/>
      <c r="XL184" s="3"/>
      <c r="XM184" s="3"/>
      <c r="XN184" s="3"/>
      <c r="XO184" s="3"/>
      <c r="XP184" s="3"/>
      <c r="XQ184" s="3"/>
      <c r="XR184" s="3"/>
      <c r="XS184" s="3"/>
      <c r="XT184" s="3"/>
      <c r="XU184" s="3"/>
      <c r="XV184" s="3"/>
      <c r="XW184" s="3"/>
      <c r="XX184" s="3"/>
      <c r="XY184" s="3"/>
      <c r="XZ184" s="3"/>
      <c r="YA184" s="3"/>
      <c r="YB184" s="3"/>
      <c r="YC184" s="3"/>
      <c r="YD184" s="3"/>
      <c r="YE184" s="3"/>
      <c r="YF184" s="3"/>
      <c r="YG184" s="3"/>
      <c r="YH184" s="3"/>
      <c r="YI184" s="3"/>
      <c r="YJ184" s="3"/>
      <c r="YK184" s="3"/>
      <c r="YL184" s="3"/>
      <c r="YM184" s="3"/>
      <c r="YN184" s="3"/>
      <c r="YO184" s="3"/>
      <c r="YP184" s="3"/>
      <c r="YQ184" s="3"/>
      <c r="YR184" s="3"/>
      <c r="YS184" s="3"/>
      <c r="YT184" s="3"/>
      <c r="YU184" s="3"/>
      <c r="YV184" s="3"/>
      <c r="YW184" s="3"/>
      <c r="YX184" s="3"/>
      <c r="YY184" s="3"/>
      <c r="YZ184" s="3"/>
      <c r="ZA184" s="3"/>
      <c r="ZB184" s="3"/>
      <c r="ZC184" s="3"/>
    </row>
    <row r="185" spans="1:679" s="2" customFormat="1" x14ac:dyDescent="0.45">
      <c r="A185" s="3" t="s">
        <v>11</v>
      </c>
      <c r="B185" s="4">
        <v>35788</v>
      </c>
      <c r="C185" s="7" t="s">
        <v>25</v>
      </c>
      <c r="D185" s="6" t="s">
        <v>200</v>
      </c>
      <c r="E185" s="3"/>
      <c r="F185" s="3">
        <v>12</v>
      </c>
      <c r="L185" s="3"/>
      <c r="M185" s="3"/>
      <c r="N185" s="48"/>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c r="DV185" s="3"/>
      <c r="DW185" s="3"/>
      <c r="DX185" s="3"/>
      <c r="DY185" s="3"/>
      <c r="DZ185" s="3"/>
      <c r="EA185" s="3"/>
      <c r="EB185" s="3"/>
      <c r="EC185" s="3"/>
      <c r="ED185" s="3"/>
      <c r="EE185" s="3"/>
      <c r="EF185" s="3"/>
      <c r="EG185" s="3"/>
      <c r="EH185" s="3"/>
      <c r="EI185" s="3"/>
      <c r="EJ185" s="3"/>
      <c r="EK185" s="3"/>
      <c r="EL185" s="3"/>
      <c r="EM185" s="3"/>
      <c r="EN185" s="3"/>
      <c r="EO185" s="3"/>
      <c r="EP185" s="3"/>
      <c r="EQ185" s="3"/>
      <c r="ER185" s="3"/>
      <c r="ES185" s="3"/>
      <c r="ET185" s="3"/>
      <c r="EU185" s="3"/>
      <c r="EV185" s="3"/>
      <c r="EW185" s="3"/>
      <c r="EX185" s="3"/>
      <c r="EY185" s="3"/>
      <c r="EZ185" s="3"/>
      <c r="FA185" s="3"/>
      <c r="FB185" s="3"/>
      <c r="FC185" s="3"/>
      <c r="FD185" s="3"/>
      <c r="FE185" s="3"/>
      <c r="FF185" s="3"/>
      <c r="FG185" s="3"/>
      <c r="FH185" s="3"/>
      <c r="FI185" s="3"/>
      <c r="FJ185" s="3"/>
      <c r="FK185" s="3"/>
      <c r="FL185" s="3"/>
      <c r="FM185" s="3"/>
      <c r="FN185" s="3"/>
      <c r="FO185" s="3"/>
      <c r="FP185" s="3"/>
      <c r="FQ185" s="3"/>
      <c r="FR185" s="3"/>
      <c r="FS185" s="3"/>
      <c r="FT185" s="3"/>
      <c r="FU185" s="3"/>
      <c r="FV185" s="3"/>
      <c r="FW185" s="3"/>
      <c r="FX185" s="3"/>
      <c r="FY185" s="3"/>
      <c r="FZ185" s="3"/>
      <c r="GA185" s="3"/>
      <c r="GB185" s="3"/>
      <c r="GC185" s="3"/>
      <c r="GD185" s="3"/>
      <c r="GE185" s="3"/>
      <c r="GF185" s="3"/>
      <c r="GG185" s="3"/>
      <c r="GH185" s="3"/>
      <c r="GI185" s="3"/>
      <c r="GJ185" s="3"/>
      <c r="GK185" s="3"/>
      <c r="GL185" s="3"/>
      <c r="GM185" s="3"/>
      <c r="GN185" s="3"/>
      <c r="GO185" s="3"/>
      <c r="GP185" s="3"/>
      <c r="GQ185" s="3"/>
      <c r="GR185" s="3"/>
      <c r="GS185" s="3"/>
      <c r="GT185" s="3"/>
      <c r="GU185" s="3"/>
      <c r="GV185" s="3"/>
      <c r="GW185" s="3"/>
      <c r="GX185" s="3"/>
      <c r="GY185" s="3"/>
      <c r="GZ185" s="3"/>
      <c r="HA185" s="3"/>
      <c r="HB185" s="3"/>
      <c r="HC185" s="3"/>
      <c r="HD185" s="3"/>
      <c r="HE185" s="3"/>
      <c r="HF185" s="3"/>
      <c r="HG185" s="3"/>
      <c r="HH185" s="3"/>
      <c r="HI185" s="3"/>
      <c r="HJ185" s="3"/>
      <c r="HK185" s="3"/>
      <c r="HL185" s="3"/>
      <c r="HM185" s="3"/>
      <c r="HN185" s="3"/>
      <c r="HO185" s="3"/>
      <c r="HP185" s="3"/>
      <c r="HQ185" s="3"/>
      <c r="HR185" s="3"/>
      <c r="HS185" s="3"/>
      <c r="HT185" s="3"/>
      <c r="HU185" s="3"/>
      <c r="HV185" s="3"/>
      <c r="HW185" s="3"/>
      <c r="HX185" s="3"/>
      <c r="HY185" s="3"/>
      <c r="HZ185" s="3"/>
      <c r="IA185" s="3"/>
      <c r="IB185" s="3"/>
      <c r="IC185" s="3"/>
      <c r="ID185" s="3"/>
      <c r="IE185" s="3"/>
      <c r="IF185" s="3"/>
      <c r="IG185" s="3"/>
      <c r="IH185" s="3"/>
      <c r="II185" s="3"/>
      <c r="IJ185" s="3"/>
      <c r="IK185" s="3"/>
      <c r="IL185" s="3"/>
      <c r="IM185" s="3"/>
      <c r="IN185" s="3"/>
      <c r="IO185" s="3"/>
      <c r="IP185" s="3"/>
      <c r="IQ185" s="3"/>
      <c r="IR185" s="3"/>
      <c r="IS185" s="3"/>
      <c r="IT185" s="3"/>
      <c r="IU185" s="3"/>
      <c r="IV185" s="3"/>
      <c r="IW185" s="3"/>
      <c r="IX185" s="3"/>
      <c r="IY185" s="3"/>
      <c r="IZ185" s="3"/>
      <c r="JA185" s="3"/>
      <c r="JB185" s="3"/>
      <c r="JC185" s="3"/>
      <c r="JD185" s="3"/>
      <c r="JE185" s="3"/>
      <c r="JF185" s="3"/>
      <c r="JG185" s="3"/>
      <c r="JH185" s="3"/>
      <c r="JI185" s="3"/>
      <c r="JJ185" s="3"/>
      <c r="JK185" s="3"/>
      <c r="JL185" s="3"/>
      <c r="JM185" s="3"/>
      <c r="JN185" s="3"/>
      <c r="JO185" s="3"/>
      <c r="JP185" s="3"/>
      <c r="JQ185" s="3"/>
      <c r="JR185" s="3"/>
      <c r="JS185" s="3"/>
      <c r="JT185" s="3"/>
      <c r="JU185" s="3"/>
      <c r="JV185" s="3"/>
      <c r="JW185" s="3"/>
      <c r="JX185" s="3"/>
      <c r="JY185" s="3"/>
      <c r="JZ185" s="3"/>
      <c r="KA185" s="3"/>
      <c r="KB185" s="3"/>
      <c r="KC185" s="3"/>
      <c r="KD185" s="3"/>
      <c r="KE185" s="3"/>
      <c r="KF185" s="3"/>
      <c r="KG185" s="3"/>
      <c r="KH185" s="3"/>
      <c r="KI185" s="3"/>
      <c r="KJ185" s="3"/>
      <c r="KK185" s="3"/>
      <c r="KL185" s="3"/>
      <c r="KM185" s="3"/>
      <c r="KN185" s="3"/>
      <c r="KO185" s="3"/>
      <c r="KP185" s="3"/>
      <c r="KQ185" s="3"/>
      <c r="KR185" s="3"/>
      <c r="KS185" s="3"/>
      <c r="KT185" s="3"/>
      <c r="KU185" s="3"/>
      <c r="KV185" s="3"/>
      <c r="KW185" s="3"/>
      <c r="KX185" s="3"/>
      <c r="KY185" s="3"/>
      <c r="KZ185" s="3"/>
      <c r="LA185" s="3"/>
      <c r="LB185" s="3"/>
      <c r="LC185" s="3"/>
      <c r="LD185" s="3"/>
      <c r="LE185" s="3"/>
      <c r="LF185" s="3"/>
      <c r="LG185" s="3"/>
      <c r="LH185" s="3"/>
      <c r="LI185" s="3"/>
      <c r="LJ185" s="3"/>
      <c r="LK185" s="3"/>
      <c r="LL185" s="3"/>
      <c r="LM185" s="3"/>
      <c r="LN185" s="3"/>
      <c r="LO185" s="3"/>
      <c r="LP185" s="3"/>
      <c r="LQ185" s="3"/>
      <c r="LR185" s="3"/>
      <c r="LS185" s="3"/>
      <c r="LT185" s="3"/>
      <c r="LU185" s="3"/>
      <c r="LV185" s="3"/>
      <c r="LW185" s="3"/>
      <c r="LX185" s="3"/>
      <c r="LY185" s="3"/>
      <c r="LZ185" s="3"/>
      <c r="MA185" s="3"/>
      <c r="MB185" s="3"/>
      <c r="MC185" s="3"/>
      <c r="MD185" s="3"/>
      <c r="ME185" s="3"/>
      <c r="MF185" s="3"/>
      <c r="MG185" s="3"/>
      <c r="MH185" s="3"/>
      <c r="MI185" s="3"/>
      <c r="MJ185" s="3"/>
      <c r="MK185" s="3"/>
      <c r="ML185" s="3"/>
      <c r="MM185" s="3"/>
      <c r="MN185" s="3"/>
      <c r="MO185" s="3"/>
      <c r="MP185" s="3"/>
      <c r="MQ185" s="3"/>
      <c r="MR185" s="3"/>
      <c r="MS185" s="3"/>
      <c r="MT185" s="3"/>
      <c r="MU185" s="3"/>
      <c r="MV185" s="3"/>
      <c r="MW185" s="3"/>
      <c r="MX185" s="3"/>
      <c r="MY185" s="3"/>
      <c r="MZ185" s="3"/>
      <c r="NA185" s="3"/>
      <c r="NB185" s="3"/>
      <c r="NC185" s="3"/>
      <c r="ND185" s="3"/>
      <c r="NE185" s="3"/>
      <c r="NF185" s="3"/>
      <c r="NG185" s="3"/>
      <c r="NH185" s="3"/>
      <c r="NI185" s="3"/>
      <c r="NJ185" s="3"/>
      <c r="NK185" s="3"/>
      <c r="NL185" s="3"/>
      <c r="NM185" s="3"/>
      <c r="NN185" s="3"/>
      <c r="NO185" s="3"/>
      <c r="NP185" s="3"/>
      <c r="NQ185" s="3"/>
      <c r="NR185" s="3"/>
      <c r="NS185" s="3"/>
      <c r="NT185" s="3"/>
      <c r="NU185" s="3"/>
      <c r="NV185" s="3"/>
      <c r="NW185" s="3"/>
      <c r="NX185" s="3"/>
      <c r="NY185" s="3"/>
      <c r="NZ185" s="3"/>
      <c r="OA185" s="3"/>
      <c r="OB185" s="3"/>
      <c r="OC185" s="3"/>
      <c r="OD185" s="3"/>
      <c r="OE185" s="3"/>
      <c r="OF185" s="3"/>
      <c r="OG185" s="3"/>
      <c r="OH185" s="3"/>
      <c r="OI185" s="3"/>
      <c r="OJ185" s="3"/>
      <c r="OK185" s="3"/>
      <c r="OL185" s="3"/>
      <c r="OM185" s="3"/>
      <c r="ON185" s="3"/>
      <c r="OO185" s="3"/>
      <c r="OP185" s="3"/>
      <c r="OQ185" s="3"/>
      <c r="OR185" s="3"/>
      <c r="OS185" s="3"/>
      <c r="OT185" s="3"/>
      <c r="OU185" s="3"/>
      <c r="OV185" s="3"/>
      <c r="OW185" s="3"/>
      <c r="OX185" s="3"/>
      <c r="OY185" s="3"/>
      <c r="OZ185" s="3"/>
      <c r="PA185" s="3"/>
      <c r="PB185" s="3"/>
      <c r="PC185" s="3"/>
      <c r="PD185" s="3"/>
      <c r="PE185" s="3"/>
      <c r="PF185" s="3"/>
      <c r="PG185" s="3"/>
      <c r="PH185" s="3"/>
      <c r="PI185" s="3"/>
      <c r="PJ185" s="3"/>
      <c r="PK185" s="3"/>
      <c r="PL185" s="3"/>
      <c r="PM185" s="3"/>
      <c r="PN185" s="3"/>
      <c r="PO185" s="3"/>
      <c r="PP185" s="3"/>
      <c r="PQ185" s="3"/>
      <c r="PR185" s="3"/>
      <c r="PS185" s="3"/>
      <c r="PT185" s="3"/>
      <c r="PU185" s="3"/>
      <c r="PV185" s="3"/>
      <c r="PW185" s="3"/>
      <c r="PX185" s="3"/>
      <c r="PY185" s="3"/>
      <c r="PZ185" s="3"/>
      <c r="QA185" s="3"/>
      <c r="QB185" s="3"/>
      <c r="QC185" s="3"/>
      <c r="QD185" s="3"/>
      <c r="QE185" s="3"/>
      <c r="QF185" s="3"/>
      <c r="QG185" s="3"/>
      <c r="QH185" s="3"/>
      <c r="QI185" s="3"/>
      <c r="QJ185" s="3"/>
      <c r="QK185" s="3"/>
      <c r="QL185" s="3"/>
      <c r="QM185" s="3"/>
      <c r="QN185" s="3"/>
      <c r="QO185" s="3"/>
      <c r="QP185" s="3"/>
      <c r="QQ185" s="3"/>
      <c r="QR185" s="3"/>
      <c r="QS185" s="3"/>
      <c r="QT185" s="3"/>
      <c r="QU185" s="3"/>
      <c r="QV185" s="3"/>
      <c r="QW185" s="3"/>
      <c r="QX185" s="3"/>
      <c r="QY185" s="3"/>
      <c r="QZ185" s="3"/>
      <c r="RA185" s="3"/>
      <c r="RB185" s="3"/>
      <c r="RC185" s="3"/>
      <c r="RD185" s="3"/>
      <c r="RE185" s="3"/>
      <c r="RF185" s="3"/>
      <c r="RG185" s="3"/>
      <c r="RH185" s="3"/>
      <c r="RI185" s="3"/>
      <c r="RJ185" s="3"/>
      <c r="RK185" s="3"/>
      <c r="RL185" s="3"/>
      <c r="RM185" s="3"/>
      <c r="RN185" s="3"/>
      <c r="RO185" s="3"/>
      <c r="RP185" s="3"/>
      <c r="RQ185" s="3"/>
      <c r="RR185" s="3"/>
      <c r="RS185" s="3"/>
      <c r="RT185" s="3"/>
      <c r="RU185" s="3"/>
      <c r="RV185" s="3"/>
      <c r="RW185" s="3"/>
      <c r="RX185" s="3"/>
      <c r="RY185" s="3"/>
      <c r="RZ185" s="3"/>
      <c r="SA185" s="3"/>
      <c r="SB185" s="3"/>
      <c r="SC185" s="3"/>
      <c r="SD185" s="3"/>
      <c r="SE185" s="3"/>
      <c r="SF185" s="3"/>
      <c r="SG185" s="3"/>
      <c r="SH185" s="3"/>
      <c r="SI185" s="3"/>
      <c r="SJ185" s="3"/>
      <c r="SK185" s="3"/>
      <c r="SL185" s="3"/>
      <c r="SM185" s="3"/>
      <c r="SN185" s="3"/>
      <c r="SO185" s="3"/>
      <c r="SP185" s="3"/>
      <c r="SQ185" s="3"/>
      <c r="SR185" s="3"/>
      <c r="SS185" s="3"/>
      <c r="ST185" s="3"/>
      <c r="SU185" s="3"/>
      <c r="SV185" s="3"/>
      <c r="SW185" s="3"/>
      <c r="SX185" s="3"/>
      <c r="SY185" s="3"/>
      <c r="SZ185" s="3"/>
      <c r="TA185" s="3"/>
      <c r="TB185" s="3"/>
      <c r="TC185" s="3"/>
      <c r="TD185" s="3"/>
      <c r="TE185" s="3"/>
      <c r="TF185" s="3"/>
      <c r="TG185" s="3"/>
      <c r="TH185" s="3"/>
      <c r="TI185" s="3"/>
      <c r="TJ185" s="3"/>
      <c r="TK185" s="3"/>
      <c r="TL185" s="3"/>
      <c r="TM185" s="3"/>
      <c r="TN185" s="3"/>
      <c r="TO185" s="3"/>
      <c r="TP185" s="3"/>
      <c r="TQ185" s="3"/>
      <c r="TR185" s="3"/>
      <c r="TS185" s="3"/>
      <c r="TT185" s="3"/>
      <c r="TU185" s="3"/>
      <c r="TV185" s="3"/>
      <c r="TW185" s="3"/>
      <c r="TX185" s="3"/>
      <c r="TY185" s="3"/>
      <c r="TZ185" s="3"/>
      <c r="UA185" s="3"/>
      <c r="UB185" s="3"/>
      <c r="UC185" s="3"/>
      <c r="UD185" s="3"/>
      <c r="UE185" s="3"/>
      <c r="UF185" s="3"/>
      <c r="UG185" s="3"/>
      <c r="UH185" s="3"/>
      <c r="UI185" s="3"/>
      <c r="UJ185" s="3"/>
      <c r="UK185" s="3"/>
      <c r="UL185" s="3"/>
      <c r="UM185" s="3"/>
      <c r="UN185" s="3"/>
      <c r="UO185" s="3"/>
      <c r="UP185" s="3"/>
      <c r="UQ185" s="3"/>
      <c r="UR185" s="3"/>
      <c r="US185" s="3"/>
      <c r="UT185" s="3"/>
      <c r="UU185" s="3"/>
      <c r="UV185" s="3"/>
      <c r="UW185" s="3"/>
      <c r="UX185" s="3"/>
      <c r="UY185" s="3"/>
      <c r="UZ185" s="3"/>
      <c r="VA185" s="3"/>
      <c r="VB185" s="3"/>
      <c r="VC185" s="3"/>
      <c r="VD185" s="3"/>
      <c r="VE185" s="3"/>
      <c r="VF185" s="3"/>
      <c r="VG185" s="3"/>
      <c r="VH185" s="3"/>
      <c r="VI185" s="3"/>
      <c r="VJ185" s="3"/>
      <c r="VK185" s="3"/>
      <c r="VL185" s="3"/>
      <c r="VM185" s="3"/>
      <c r="VN185" s="3"/>
      <c r="VO185" s="3"/>
      <c r="VP185" s="3"/>
      <c r="VQ185" s="3"/>
      <c r="VR185" s="3"/>
      <c r="VS185" s="3"/>
      <c r="VT185" s="3"/>
      <c r="VU185" s="3"/>
      <c r="VV185" s="3"/>
      <c r="VW185" s="3"/>
      <c r="VX185" s="3"/>
      <c r="VY185" s="3"/>
      <c r="VZ185" s="3"/>
      <c r="WA185" s="3"/>
      <c r="WB185" s="3"/>
      <c r="WC185" s="3"/>
      <c r="WD185" s="3"/>
      <c r="WE185" s="3"/>
      <c r="WF185" s="3"/>
      <c r="WG185" s="3"/>
      <c r="WH185" s="3"/>
      <c r="WI185" s="3"/>
      <c r="WJ185" s="3"/>
      <c r="WK185" s="3"/>
      <c r="WL185" s="3"/>
      <c r="WM185" s="3"/>
      <c r="WN185" s="3"/>
      <c r="WO185" s="3"/>
      <c r="WP185" s="3"/>
      <c r="WQ185" s="3"/>
      <c r="WR185" s="3"/>
      <c r="WS185" s="3"/>
      <c r="WT185" s="3"/>
      <c r="WU185" s="3"/>
      <c r="WV185" s="3"/>
      <c r="WW185" s="3"/>
      <c r="WX185" s="3"/>
      <c r="WY185" s="3"/>
      <c r="WZ185" s="3"/>
      <c r="XA185" s="3"/>
      <c r="XB185" s="3"/>
      <c r="XC185" s="3"/>
      <c r="XD185" s="3"/>
      <c r="XE185" s="3"/>
      <c r="XF185" s="3"/>
      <c r="XG185" s="3"/>
      <c r="XH185" s="3"/>
      <c r="XI185" s="3"/>
      <c r="XJ185" s="3"/>
      <c r="XK185" s="3"/>
      <c r="XL185" s="3"/>
      <c r="XM185" s="3"/>
      <c r="XN185" s="3"/>
      <c r="XO185" s="3"/>
      <c r="XP185" s="3"/>
      <c r="XQ185" s="3"/>
      <c r="XR185" s="3"/>
      <c r="XS185" s="3"/>
      <c r="XT185" s="3"/>
      <c r="XU185" s="3"/>
      <c r="XV185" s="3"/>
      <c r="XW185" s="3"/>
      <c r="XX185" s="3"/>
      <c r="XY185" s="3"/>
      <c r="XZ185" s="3"/>
      <c r="YA185" s="3"/>
      <c r="YB185" s="3"/>
      <c r="YC185" s="3"/>
      <c r="YD185" s="3"/>
      <c r="YE185" s="3"/>
      <c r="YF185" s="3"/>
      <c r="YG185" s="3"/>
      <c r="YH185" s="3"/>
      <c r="YI185" s="3"/>
      <c r="YJ185" s="3"/>
      <c r="YK185" s="3"/>
      <c r="YL185" s="3"/>
      <c r="YM185" s="3"/>
      <c r="YN185" s="3"/>
      <c r="YO185" s="3"/>
      <c r="YP185" s="3"/>
      <c r="YQ185" s="3"/>
      <c r="YR185" s="3"/>
      <c r="YS185" s="3"/>
      <c r="YT185" s="3"/>
      <c r="YU185" s="3"/>
      <c r="YV185" s="3"/>
      <c r="YW185" s="3"/>
      <c r="YX185" s="3"/>
      <c r="YY185" s="3"/>
      <c r="YZ185" s="3"/>
      <c r="ZA185" s="3"/>
      <c r="ZB185" s="3"/>
      <c r="ZC185" s="3"/>
    </row>
    <row r="186" spans="1:679" s="2" customFormat="1" x14ac:dyDescent="0.45">
      <c r="A186" s="3" t="s">
        <v>11</v>
      </c>
      <c r="B186" s="4">
        <v>35802</v>
      </c>
      <c r="C186" s="7" t="s">
        <v>21</v>
      </c>
      <c r="D186" s="6" t="s">
        <v>201</v>
      </c>
      <c r="E186" s="3"/>
      <c r="F186" s="3">
        <v>7</v>
      </c>
      <c r="L186" s="3"/>
      <c r="M186" s="3"/>
      <c r="N186" s="48"/>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c r="DV186" s="3"/>
      <c r="DW186" s="3"/>
      <c r="DX186" s="3"/>
      <c r="DY186" s="3"/>
      <c r="DZ186" s="3"/>
      <c r="EA186" s="3"/>
      <c r="EB186" s="3"/>
      <c r="EC186" s="3"/>
      <c r="ED186" s="3"/>
      <c r="EE186" s="3"/>
      <c r="EF186" s="3"/>
      <c r="EG186" s="3"/>
      <c r="EH186" s="3"/>
      <c r="EI186" s="3"/>
      <c r="EJ186" s="3"/>
      <c r="EK186" s="3"/>
      <c r="EL186" s="3"/>
      <c r="EM186" s="3"/>
      <c r="EN186" s="3"/>
      <c r="EO186" s="3"/>
      <c r="EP186" s="3"/>
      <c r="EQ186" s="3"/>
      <c r="ER186" s="3"/>
      <c r="ES186" s="3"/>
      <c r="ET186" s="3"/>
      <c r="EU186" s="3"/>
      <c r="EV186" s="3"/>
      <c r="EW186" s="3"/>
      <c r="EX186" s="3"/>
      <c r="EY186" s="3"/>
      <c r="EZ186" s="3"/>
      <c r="FA186" s="3"/>
      <c r="FB186" s="3"/>
      <c r="FC186" s="3"/>
      <c r="FD186" s="3"/>
      <c r="FE186" s="3"/>
      <c r="FF186" s="3"/>
      <c r="FG186" s="3"/>
      <c r="FH186" s="3"/>
      <c r="FI186" s="3"/>
      <c r="FJ186" s="3"/>
      <c r="FK186" s="3"/>
      <c r="FL186" s="3"/>
      <c r="FM186" s="3"/>
      <c r="FN186" s="3"/>
      <c r="FO186" s="3"/>
      <c r="FP186" s="3"/>
      <c r="FQ186" s="3"/>
      <c r="FR186" s="3"/>
      <c r="FS186" s="3"/>
      <c r="FT186" s="3"/>
      <c r="FU186" s="3"/>
      <c r="FV186" s="3"/>
      <c r="FW186" s="3"/>
      <c r="FX186" s="3"/>
      <c r="FY186" s="3"/>
      <c r="FZ186" s="3"/>
      <c r="GA186" s="3"/>
      <c r="GB186" s="3"/>
      <c r="GC186" s="3"/>
      <c r="GD186" s="3"/>
      <c r="GE186" s="3"/>
      <c r="GF186" s="3"/>
      <c r="GG186" s="3"/>
      <c r="GH186" s="3"/>
      <c r="GI186" s="3"/>
      <c r="GJ186" s="3"/>
      <c r="GK186" s="3"/>
      <c r="GL186" s="3"/>
      <c r="GM186" s="3"/>
      <c r="GN186" s="3"/>
      <c r="GO186" s="3"/>
      <c r="GP186" s="3"/>
      <c r="GQ186" s="3"/>
      <c r="GR186" s="3"/>
      <c r="GS186" s="3"/>
      <c r="GT186" s="3"/>
      <c r="GU186" s="3"/>
      <c r="GV186" s="3"/>
      <c r="GW186" s="3"/>
      <c r="GX186" s="3"/>
      <c r="GY186" s="3"/>
      <c r="GZ186" s="3"/>
      <c r="HA186" s="3"/>
      <c r="HB186" s="3"/>
      <c r="HC186" s="3"/>
      <c r="HD186" s="3"/>
      <c r="HE186" s="3"/>
      <c r="HF186" s="3"/>
      <c r="HG186" s="3"/>
      <c r="HH186" s="3"/>
      <c r="HI186" s="3"/>
      <c r="HJ186" s="3"/>
      <c r="HK186" s="3"/>
      <c r="HL186" s="3"/>
      <c r="HM186" s="3"/>
      <c r="HN186" s="3"/>
      <c r="HO186" s="3"/>
      <c r="HP186" s="3"/>
      <c r="HQ186" s="3"/>
      <c r="HR186" s="3"/>
      <c r="HS186" s="3"/>
      <c r="HT186" s="3"/>
      <c r="HU186" s="3"/>
      <c r="HV186" s="3"/>
      <c r="HW186" s="3"/>
      <c r="HX186" s="3"/>
      <c r="HY186" s="3"/>
      <c r="HZ186" s="3"/>
      <c r="IA186" s="3"/>
      <c r="IB186" s="3"/>
      <c r="IC186" s="3"/>
      <c r="ID186" s="3"/>
      <c r="IE186" s="3"/>
      <c r="IF186" s="3"/>
      <c r="IG186" s="3"/>
      <c r="IH186" s="3"/>
      <c r="II186" s="3"/>
      <c r="IJ186" s="3"/>
      <c r="IK186" s="3"/>
      <c r="IL186" s="3"/>
      <c r="IM186" s="3"/>
      <c r="IN186" s="3"/>
      <c r="IO186" s="3"/>
      <c r="IP186" s="3"/>
      <c r="IQ186" s="3"/>
      <c r="IR186" s="3"/>
      <c r="IS186" s="3"/>
      <c r="IT186" s="3"/>
      <c r="IU186" s="3"/>
      <c r="IV186" s="3"/>
      <c r="IW186" s="3"/>
      <c r="IX186" s="3"/>
      <c r="IY186" s="3"/>
      <c r="IZ186" s="3"/>
      <c r="JA186" s="3"/>
      <c r="JB186" s="3"/>
      <c r="JC186" s="3"/>
      <c r="JD186" s="3"/>
      <c r="JE186" s="3"/>
      <c r="JF186" s="3"/>
      <c r="JG186" s="3"/>
      <c r="JH186" s="3"/>
      <c r="JI186" s="3"/>
      <c r="JJ186" s="3"/>
      <c r="JK186" s="3"/>
      <c r="JL186" s="3"/>
      <c r="JM186" s="3"/>
      <c r="JN186" s="3"/>
      <c r="JO186" s="3"/>
      <c r="JP186" s="3"/>
      <c r="JQ186" s="3"/>
      <c r="JR186" s="3"/>
      <c r="JS186" s="3"/>
      <c r="JT186" s="3"/>
      <c r="JU186" s="3"/>
      <c r="JV186" s="3"/>
      <c r="JW186" s="3"/>
      <c r="JX186" s="3"/>
      <c r="JY186" s="3"/>
      <c r="JZ186" s="3"/>
      <c r="KA186" s="3"/>
      <c r="KB186" s="3"/>
      <c r="KC186" s="3"/>
      <c r="KD186" s="3"/>
      <c r="KE186" s="3"/>
      <c r="KF186" s="3"/>
      <c r="KG186" s="3"/>
      <c r="KH186" s="3"/>
      <c r="KI186" s="3"/>
      <c r="KJ186" s="3"/>
      <c r="KK186" s="3"/>
      <c r="KL186" s="3"/>
      <c r="KM186" s="3"/>
      <c r="KN186" s="3"/>
      <c r="KO186" s="3"/>
      <c r="KP186" s="3"/>
      <c r="KQ186" s="3"/>
      <c r="KR186" s="3"/>
      <c r="KS186" s="3"/>
      <c r="KT186" s="3"/>
      <c r="KU186" s="3"/>
      <c r="KV186" s="3"/>
      <c r="KW186" s="3"/>
      <c r="KX186" s="3"/>
      <c r="KY186" s="3"/>
      <c r="KZ186" s="3"/>
      <c r="LA186" s="3"/>
      <c r="LB186" s="3"/>
      <c r="LC186" s="3"/>
      <c r="LD186" s="3"/>
      <c r="LE186" s="3"/>
      <c r="LF186" s="3"/>
      <c r="LG186" s="3"/>
      <c r="LH186" s="3"/>
      <c r="LI186" s="3"/>
      <c r="LJ186" s="3"/>
      <c r="LK186" s="3"/>
      <c r="LL186" s="3"/>
      <c r="LM186" s="3"/>
      <c r="LN186" s="3"/>
      <c r="LO186" s="3"/>
      <c r="LP186" s="3"/>
      <c r="LQ186" s="3"/>
      <c r="LR186" s="3"/>
      <c r="LS186" s="3"/>
      <c r="LT186" s="3"/>
      <c r="LU186" s="3"/>
      <c r="LV186" s="3"/>
      <c r="LW186" s="3"/>
      <c r="LX186" s="3"/>
      <c r="LY186" s="3"/>
      <c r="LZ186" s="3"/>
      <c r="MA186" s="3"/>
      <c r="MB186" s="3"/>
      <c r="MC186" s="3"/>
      <c r="MD186" s="3"/>
      <c r="ME186" s="3"/>
      <c r="MF186" s="3"/>
      <c r="MG186" s="3"/>
      <c r="MH186" s="3"/>
      <c r="MI186" s="3"/>
      <c r="MJ186" s="3"/>
      <c r="MK186" s="3"/>
      <c r="ML186" s="3"/>
      <c r="MM186" s="3"/>
      <c r="MN186" s="3"/>
      <c r="MO186" s="3"/>
      <c r="MP186" s="3"/>
      <c r="MQ186" s="3"/>
      <c r="MR186" s="3"/>
      <c r="MS186" s="3"/>
      <c r="MT186" s="3"/>
      <c r="MU186" s="3"/>
      <c r="MV186" s="3"/>
      <c r="MW186" s="3"/>
      <c r="MX186" s="3"/>
      <c r="MY186" s="3"/>
      <c r="MZ186" s="3"/>
      <c r="NA186" s="3"/>
      <c r="NB186" s="3"/>
      <c r="NC186" s="3"/>
      <c r="ND186" s="3"/>
      <c r="NE186" s="3"/>
      <c r="NF186" s="3"/>
      <c r="NG186" s="3"/>
      <c r="NH186" s="3"/>
      <c r="NI186" s="3"/>
      <c r="NJ186" s="3"/>
      <c r="NK186" s="3"/>
      <c r="NL186" s="3"/>
      <c r="NM186" s="3"/>
      <c r="NN186" s="3"/>
      <c r="NO186" s="3"/>
      <c r="NP186" s="3"/>
      <c r="NQ186" s="3"/>
      <c r="NR186" s="3"/>
      <c r="NS186" s="3"/>
      <c r="NT186" s="3"/>
      <c r="NU186" s="3"/>
      <c r="NV186" s="3"/>
      <c r="NW186" s="3"/>
      <c r="NX186" s="3"/>
      <c r="NY186" s="3"/>
      <c r="NZ186" s="3"/>
      <c r="OA186" s="3"/>
      <c r="OB186" s="3"/>
      <c r="OC186" s="3"/>
      <c r="OD186" s="3"/>
      <c r="OE186" s="3"/>
      <c r="OF186" s="3"/>
      <c r="OG186" s="3"/>
      <c r="OH186" s="3"/>
      <c r="OI186" s="3"/>
      <c r="OJ186" s="3"/>
      <c r="OK186" s="3"/>
      <c r="OL186" s="3"/>
      <c r="OM186" s="3"/>
      <c r="ON186" s="3"/>
      <c r="OO186" s="3"/>
      <c r="OP186" s="3"/>
      <c r="OQ186" s="3"/>
      <c r="OR186" s="3"/>
      <c r="OS186" s="3"/>
      <c r="OT186" s="3"/>
      <c r="OU186" s="3"/>
      <c r="OV186" s="3"/>
      <c r="OW186" s="3"/>
      <c r="OX186" s="3"/>
      <c r="OY186" s="3"/>
      <c r="OZ186" s="3"/>
      <c r="PA186" s="3"/>
      <c r="PB186" s="3"/>
      <c r="PC186" s="3"/>
      <c r="PD186" s="3"/>
      <c r="PE186" s="3"/>
      <c r="PF186" s="3"/>
      <c r="PG186" s="3"/>
      <c r="PH186" s="3"/>
      <c r="PI186" s="3"/>
      <c r="PJ186" s="3"/>
      <c r="PK186" s="3"/>
      <c r="PL186" s="3"/>
      <c r="PM186" s="3"/>
      <c r="PN186" s="3"/>
      <c r="PO186" s="3"/>
      <c r="PP186" s="3"/>
      <c r="PQ186" s="3"/>
      <c r="PR186" s="3"/>
      <c r="PS186" s="3"/>
      <c r="PT186" s="3"/>
      <c r="PU186" s="3"/>
      <c r="PV186" s="3"/>
      <c r="PW186" s="3"/>
      <c r="PX186" s="3"/>
      <c r="PY186" s="3"/>
      <c r="PZ186" s="3"/>
      <c r="QA186" s="3"/>
      <c r="QB186" s="3"/>
      <c r="QC186" s="3"/>
      <c r="QD186" s="3"/>
      <c r="QE186" s="3"/>
      <c r="QF186" s="3"/>
      <c r="QG186" s="3"/>
      <c r="QH186" s="3"/>
      <c r="QI186" s="3"/>
      <c r="QJ186" s="3"/>
      <c r="QK186" s="3"/>
      <c r="QL186" s="3"/>
      <c r="QM186" s="3"/>
      <c r="QN186" s="3"/>
      <c r="QO186" s="3"/>
      <c r="QP186" s="3"/>
      <c r="QQ186" s="3"/>
      <c r="QR186" s="3"/>
      <c r="QS186" s="3"/>
      <c r="QT186" s="3"/>
      <c r="QU186" s="3"/>
      <c r="QV186" s="3"/>
      <c r="QW186" s="3"/>
      <c r="QX186" s="3"/>
      <c r="QY186" s="3"/>
      <c r="QZ186" s="3"/>
      <c r="RA186" s="3"/>
      <c r="RB186" s="3"/>
      <c r="RC186" s="3"/>
      <c r="RD186" s="3"/>
      <c r="RE186" s="3"/>
      <c r="RF186" s="3"/>
      <c r="RG186" s="3"/>
      <c r="RH186" s="3"/>
      <c r="RI186" s="3"/>
      <c r="RJ186" s="3"/>
      <c r="RK186" s="3"/>
      <c r="RL186" s="3"/>
      <c r="RM186" s="3"/>
      <c r="RN186" s="3"/>
      <c r="RO186" s="3"/>
      <c r="RP186" s="3"/>
      <c r="RQ186" s="3"/>
      <c r="RR186" s="3"/>
      <c r="RS186" s="3"/>
      <c r="RT186" s="3"/>
      <c r="RU186" s="3"/>
      <c r="RV186" s="3"/>
      <c r="RW186" s="3"/>
      <c r="RX186" s="3"/>
      <c r="RY186" s="3"/>
      <c r="RZ186" s="3"/>
      <c r="SA186" s="3"/>
      <c r="SB186" s="3"/>
      <c r="SC186" s="3"/>
      <c r="SD186" s="3"/>
      <c r="SE186" s="3"/>
      <c r="SF186" s="3"/>
      <c r="SG186" s="3"/>
      <c r="SH186" s="3"/>
      <c r="SI186" s="3"/>
      <c r="SJ186" s="3"/>
      <c r="SK186" s="3"/>
      <c r="SL186" s="3"/>
      <c r="SM186" s="3"/>
      <c r="SN186" s="3"/>
      <c r="SO186" s="3"/>
      <c r="SP186" s="3"/>
      <c r="SQ186" s="3"/>
      <c r="SR186" s="3"/>
      <c r="SS186" s="3"/>
      <c r="ST186" s="3"/>
      <c r="SU186" s="3"/>
      <c r="SV186" s="3"/>
      <c r="SW186" s="3"/>
      <c r="SX186" s="3"/>
      <c r="SY186" s="3"/>
      <c r="SZ186" s="3"/>
      <c r="TA186" s="3"/>
      <c r="TB186" s="3"/>
      <c r="TC186" s="3"/>
      <c r="TD186" s="3"/>
      <c r="TE186" s="3"/>
      <c r="TF186" s="3"/>
      <c r="TG186" s="3"/>
      <c r="TH186" s="3"/>
      <c r="TI186" s="3"/>
      <c r="TJ186" s="3"/>
      <c r="TK186" s="3"/>
      <c r="TL186" s="3"/>
      <c r="TM186" s="3"/>
      <c r="TN186" s="3"/>
      <c r="TO186" s="3"/>
      <c r="TP186" s="3"/>
      <c r="TQ186" s="3"/>
      <c r="TR186" s="3"/>
      <c r="TS186" s="3"/>
      <c r="TT186" s="3"/>
      <c r="TU186" s="3"/>
      <c r="TV186" s="3"/>
      <c r="TW186" s="3"/>
      <c r="TX186" s="3"/>
      <c r="TY186" s="3"/>
      <c r="TZ186" s="3"/>
      <c r="UA186" s="3"/>
      <c r="UB186" s="3"/>
      <c r="UC186" s="3"/>
      <c r="UD186" s="3"/>
      <c r="UE186" s="3"/>
      <c r="UF186" s="3"/>
      <c r="UG186" s="3"/>
      <c r="UH186" s="3"/>
      <c r="UI186" s="3"/>
      <c r="UJ186" s="3"/>
      <c r="UK186" s="3"/>
      <c r="UL186" s="3"/>
      <c r="UM186" s="3"/>
      <c r="UN186" s="3"/>
      <c r="UO186" s="3"/>
      <c r="UP186" s="3"/>
      <c r="UQ186" s="3"/>
      <c r="UR186" s="3"/>
      <c r="US186" s="3"/>
      <c r="UT186" s="3"/>
      <c r="UU186" s="3"/>
      <c r="UV186" s="3"/>
      <c r="UW186" s="3"/>
      <c r="UX186" s="3"/>
      <c r="UY186" s="3"/>
      <c r="UZ186" s="3"/>
      <c r="VA186" s="3"/>
      <c r="VB186" s="3"/>
      <c r="VC186" s="3"/>
      <c r="VD186" s="3"/>
      <c r="VE186" s="3"/>
      <c r="VF186" s="3"/>
      <c r="VG186" s="3"/>
      <c r="VH186" s="3"/>
      <c r="VI186" s="3"/>
      <c r="VJ186" s="3"/>
      <c r="VK186" s="3"/>
      <c r="VL186" s="3"/>
      <c r="VM186" s="3"/>
      <c r="VN186" s="3"/>
      <c r="VO186" s="3"/>
      <c r="VP186" s="3"/>
      <c r="VQ186" s="3"/>
      <c r="VR186" s="3"/>
      <c r="VS186" s="3"/>
      <c r="VT186" s="3"/>
      <c r="VU186" s="3"/>
      <c r="VV186" s="3"/>
      <c r="VW186" s="3"/>
      <c r="VX186" s="3"/>
      <c r="VY186" s="3"/>
      <c r="VZ186" s="3"/>
      <c r="WA186" s="3"/>
      <c r="WB186" s="3"/>
      <c r="WC186" s="3"/>
      <c r="WD186" s="3"/>
      <c r="WE186" s="3"/>
      <c r="WF186" s="3"/>
      <c r="WG186" s="3"/>
      <c r="WH186" s="3"/>
      <c r="WI186" s="3"/>
      <c r="WJ186" s="3"/>
      <c r="WK186" s="3"/>
      <c r="WL186" s="3"/>
      <c r="WM186" s="3"/>
      <c r="WN186" s="3"/>
      <c r="WO186" s="3"/>
      <c r="WP186" s="3"/>
      <c r="WQ186" s="3"/>
      <c r="WR186" s="3"/>
      <c r="WS186" s="3"/>
      <c r="WT186" s="3"/>
      <c r="WU186" s="3"/>
      <c r="WV186" s="3"/>
      <c r="WW186" s="3"/>
      <c r="WX186" s="3"/>
      <c r="WY186" s="3"/>
      <c r="WZ186" s="3"/>
      <c r="XA186" s="3"/>
      <c r="XB186" s="3"/>
      <c r="XC186" s="3"/>
      <c r="XD186" s="3"/>
      <c r="XE186" s="3"/>
      <c r="XF186" s="3"/>
      <c r="XG186" s="3"/>
      <c r="XH186" s="3"/>
      <c r="XI186" s="3"/>
      <c r="XJ186" s="3"/>
      <c r="XK186" s="3"/>
      <c r="XL186" s="3"/>
      <c r="XM186" s="3"/>
      <c r="XN186" s="3"/>
      <c r="XO186" s="3"/>
      <c r="XP186" s="3"/>
      <c r="XQ186" s="3"/>
      <c r="XR186" s="3"/>
      <c r="XS186" s="3"/>
      <c r="XT186" s="3"/>
      <c r="XU186" s="3"/>
      <c r="XV186" s="3"/>
      <c r="XW186" s="3"/>
      <c r="XX186" s="3"/>
      <c r="XY186" s="3"/>
      <c r="XZ186" s="3"/>
      <c r="YA186" s="3"/>
      <c r="YB186" s="3"/>
      <c r="YC186" s="3"/>
      <c r="YD186" s="3"/>
      <c r="YE186" s="3"/>
      <c r="YF186" s="3"/>
      <c r="YG186" s="3"/>
      <c r="YH186" s="3"/>
      <c r="YI186" s="3"/>
      <c r="YJ186" s="3"/>
      <c r="YK186" s="3"/>
      <c r="YL186" s="3"/>
      <c r="YM186" s="3"/>
      <c r="YN186" s="3"/>
      <c r="YO186" s="3"/>
      <c r="YP186" s="3"/>
      <c r="YQ186" s="3"/>
      <c r="YR186" s="3"/>
      <c r="YS186" s="3"/>
      <c r="YT186" s="3"/>
      <c r="YU186" s="3"/>
      <c r="YV186" s="3"/>
      <c r="YW186" s="3"/>
      <c r="YX186" s="3"/>
      <c r="YY186" s="3"/>
      <c r="YZ186" s="3"/>
      <c r="ZA186" s="3"/>
      <c r="ZB186" s="3"/>
      <c r="ZC186" s="3"/>
    </row>
    <row r="187" spans="1:679" s="2" customFormat="1" x14ac:dyDescent="0.45">
      <c r="A187" s="3" t="s">
        <v>11</v>
      </c>
      <c r="B187" s="4">
        <v>35803</v>
      </c>
      <c r="C187" s="7" t="s">
        <v>21</v>
      </c>
      <c r="D187" s="6" t="s">
        <v>202</v>
      </c>
      <c r="E187" s="3"/>
      <c r="F187" s="3">
        <v>58</v>
      </c>
      <c r="L187" s="3"/>
      <c r="M187" s="3"/>
      <c r="N187" s="48"/>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c r="DV187" s="3"/>
      <c r="DW187" s="3"/>
      <c r="DX187" s="3"/>
      <c r="DY187" s="3"/>
      <c r="DZ187" s="3"/>
      <c r="EA187" s="3"/>
      <c r="EB187" s="3"/>
      <c r="EC187" s="3"/>
      <c r="ED187" s="3"/>
      <c r="EE187" s="3"/>
      <c r="EF187" s="3"/>
      <c r="EG187" s="3"/>
      <c r="EH187" s="3"/>
      <c r="EI187" s="3"/>
      <c r="EJ187" s="3"/>
      <c r="EK187" s="3"/>
      <c r="EL187" s="3"/>
      <c r="EM187" s="3"/>
      <c r="EN187" s="3"/>
      <c r="EO187" s="3"/>
      <c r="EP187" s="3"/>
      <c r="EQ187" s="3"/>
      <c r="ER187" s="3"/>
      <c r="ES187" s="3"/>
      <c r="ET187" s="3"/>
      <c r="EU187" s="3"/>
      <c r="EV187" s="3"/>
      <c r="EW187" s="3"/>
      <c r="EX187" s="3"/>
      <c r="EY187" s="3"/>
      <c r="EZ187" s="3"/>
      <c r="FA187" s="3"/>
      <c r="FB187" s="3"/>
      <c r="FC187" s="3"/>
      <c r="FD187" s="3"/>
      <c r="FE187" s="3"/>
      <c r="FF187" s="3"/>
      <c r="FG187" s="3"/>
      <c r="FH187" s="3"/>
      <c r="FI187" s="3"/>
      <c r="FJ187" s="3"/>
      <c r="FK187" s="3"/>
      <c r="FL187" s="3"/>
      <c r="FM187" s="3"/>
      <c r="FN187" s="3"/>
      <c r="FO187" s="3"/>
      <c r="FP187" s="3"/>
      <c r="FQ187" s="3"/>
      <c r="FR187" s="3"/>
      <c r="FS187" s="3"/>
      <c r="FT187" s="3"/>
      <c r="FU187" s="3"/>
      <c r="FV187" s="3"/>
      <c r="FW187" s="3"/>
      <c r="FX187" s="3"/>
      <c r="FY187" s="3"/>
      <c r="FZ187" s="3"/>
      <c r="GA187" s="3"/>
      <c r="GB187" s="3"/>
      <c r="GC187" s="3"/>
      <c r="GD187" s="3"/>
      <c r="GE187" s="3"/>
      <c r="GF187" s="3"/>
      <c r="GG187" s="3"/>
      <c r="GH187" s="3"/>
      <c r="GI187" s="3"/>
      <c r="GJ187" s="3"/>
      <c r="GK187" s="3"/>
      <c r="GL187" s="3"/>
      <c r="GM187" s="3"/>
      <c r="GN187" s="3"/>
      <c r="GO187" s="3"/>
      <c r="GP187" s="3"/>
      <c r="GQ187" s="3"/>
      <c r="GR187" s="3"/>
      <c r="GS187" s="3"/>
      <c r="GT187" s="3"/>
      <c r="GU187" s="3"/>
      <c r="GV187" s="3"/>
      <c r="GW187" s="3"/>
      <c r="GX187" s="3"/>
      <c r="GY187" s="3"/>
      <c r="GZ187" s="3"/>
      <c r="HA187" s="3"/>
      <c r="HB187" s="3"/>
      <c r="HC187" s="3"/>
      <c r="HD187" s="3"/>
      <c r="HE187" s="3"/>
      <c r="HF187" s="3"/>
      <c r="HG187" s="3"/>
      <c r="HH187" s="3"/>
      <c r="HI187" s="3"/>
      <c r="HJ187" s="3"/>
      <c r="HK187" s="3"/>
      <c r="HL187" s="3"/>
      <c r="HM187" s="3"/>
      <c r="HN187" s="3"/>
      <c r="HO187" s="3"/>
      <c r="HP187" s="3"/>
      <c r="HQ187" s="3"/>
      <c r="HR187" s="3"/>
      <c r="HS187" s="3"/>
      <c r="HT187" s="3"/>
      <c r="HU187" s="3"/>
      <c r="HV187" s="3"/>
      <c r="HW187" s="3"/>
      <c r="HX187" s="3"/>
      <c r="HY187" s="3"/>
      <c r="HZ187" s="3"/>
      <c r="IA187" s="3"/>
      <c r="IB187" s="3"/>
      <c r="IC187" s="3"/>
      <c r="ID187" s="3"/>
      <c r="IE187" s="3"/>
      <c r="IF187" s="3"/>
      <c r="IG187" s="3"/>
      <c r="IH187" s="3"/>
      <c r="II187" s="3"/>
      <c r="IJ187" s="3"/>
      <c r="IK187" s="3"/>
      <c r="IL187" s="3"/>
      <c r="IM187" s="3"/>
      <c r="IN187" s="3"/>
      <c r="IO187" s="3"/>
      <c r="IP187" s="3"/>
      <c r="IQ187" s="3"/>
      <c r="IR187" s="3"/>
      <c r="IS187" s="3"/>
      <c r="IT187" s="3"/>
      <c r="IU187" s="3"/>
      <c r="IV187" s="3"/>
      <c r="IW187" s="3"/>
      <c r="IX187" s="3"/>
      <c r="IY187" s="3"/>
      <c r="IZ187" s="3"/>
      <c r="JA187" s="3"/>
      <c r="JB187" s="3"/>
      <c r="JC187" s="3"/>
      <c r="JD187" s="3"/>
      <c r="JE187" s="3"/>
      <c r="JF187" s="3"/>
      <c r="JG187" s="3"/>
      <c r="JH187" s="3"/>
      <c r="JI187" s="3"/>
      <c r="JJ187" s="3"/>
      <c r="JK187" s="3"/>
      <c r="JL187" s="3"/>
      <c r="JM187" s="3"/>
      <c r="JN187" s="3"/>
      <c r="JO187" s="3"/>
      <c r="JP187" s="3"/>
      <c r="JQ187" s="3"/>
      <c r="JR187" s="3"/>
      <c r="JS187" s="3"/>
      <c r="JT187" s="3"/>
      <c r="JU187" s="3"/>
      <c r="JV187" s="3"/>
      <c r="JW187" s="3"/>
      <c r="JX187" s="3"/>
      <c r="JY187" s="3"/>
      <c r="JZ187" s="3"/>
      <c r="KA187" s="3"/>
      <c r="KB187" s="3"/>
      <c r="KC187" s="3"/>
      <c r="KD187" s="3"/>
      <c r="KE187" s="3"/>
      <c r="KF187" s="3"/>
      <c r="KG187" s="3"/>
      <c r="KH187" s="3"/>
      <c r="KI187" s="3"/>
      <c r="KJ187" s="3"/>
      <c r="KK187" s="3"/>
      <c r="KL187" s="3"/>
      <c r="KM187" s="3"/>
      <c r="KN187" s="3"/>
      <c r="KO187" s="3"/>
      <c r="KP187" s="3"/>
      <c r="KQ187" s="3"/>
      <c r="KR187" s="3"/>
      <c r="KS187" s="3"/>
      <c r="KT187" s="3"/>
      <c r="KU187" s="3"/>
      <c r="KV187" s="3"/>
      <c r="KW187" s="3"/>
      <c r="KX187" s="3"/>
      <c r="KY187" s="3"/>
      <c r="KZ187" s="3"/>
      <c r="LA187" s="3"/>
      <c r="LB187" s="3"/>
      <c r="LC187" s="3"/>
      <c r="LD187" s="3"/>
      <c r="LE187" s="3"/>
      <c r="LF187" s="3"/>
      <c r="LG187" s="3"/>
      <c r="LH187" s="3"/>
      <c r="LI187" s="3"/>
      <c r="LJ187" s="3"/>
      <c r="LK187" s="3"/>
      <c r="LL187" s="3"/>
      <c r="LM187" s="3"/>
      <c r="LN187" s="3"/>
      <c r="LO187" s="3"/>
      <c r="LP187" s="3"/>
      <c r="LQ187" s="3"/>
      <c r="LR187" s="3"/>
      <c r="LS187" s="3"/>
      <c r="LT187" s="3"/>
      <c r="LU187" s="3"/>
      <c r="LV187" s="3"/>
      <c r="LW187" s="3"/>
      <c r="LX187" s="3"/>
      <c r="LY187" s="3"/>
      <c r="LZ187" s="3"/>
      <c r="MA187" s="3"/>
      <c r="MB187" s="3"/>
      <c r="MC187" s="3"/>
      <c r="MD187" s="3"/>
      <c r="ME187" s="3"/>
      <c r="MF187" s="3"/>
      <c r="MG187" s="3"/>
      <c r="MH187" s="3"/>
      <c r="MI187" s="3"/>
      <c r="MJ187" s="3"/>
      <c r="MK187" s="3"/>
      <c r="ML187" s="3"/>
      <c r="MM187" s="3"/>
      <c r="MN187" s="3"/>
      <c r="MO187" s="3"/>
      <c r="MP187" s="3"/>
      <c r="MQ187" s="3"/>
      <c r="MR187" s="3"/>
      <c r="MS187" s="3"/>
      <c r="MT187" s="3"/>
      <c r="MU187" s="3"/>
      <c r="MV187" s="3"/>
      <c r="MW187" s="3"/>
      <c r="MX187" s="3"/>
      <c r="MY187" s="3"/>
      <c r="MZ187" s="3"/>
      <c r="NA187" s="3"/>
      <c r="NB187" s="3"/>
      <c r="NC187" s="3"/>
      <c r="ND187" s="3"/>
      <c r="NE187" s="3"/>
      <c r="NF187" s="3"/>
      <c r="NG187" s="3"/>
      <c r="NH187" s="3"/>
      <c r="NI187" s="3"/>
      <c r="NJ187" s="3"/>
      <c r="NK187" s="3"/>
      <c r="NL187" s="3"/>
      <c r="NM187" s="3"/>
      <c r="NN187" s="3"/>
      <c r="NO187" s="3"/>
      <c r="NP187" s="3"/>
      <c r="NQ187" s="3"/>
      <c r="NR187" s="3"/>
      <c r="NS187" s="3"/>
      <c r="NT187" s="3"/>
      <c r="NU187" s="3"/>
      <c r="NV187" s="3"/>
      <c r="NW187" s="3"/>
      <c r="NX187" s="3"/>
      <c r="NY187" s="3"/>
      <c r="NZ187" s="3"/>
      <c r="OA187" s="3"/>
      <c r="OB187" s="3"/>
      <c r="OC187" s="3"/>
      <c r="OD187" s="3"/>
      <c r="OE187" s="3"/>
      <c r="OF187" s="3"/>
      <c r="OG187" s="3"/>
      <c r="OH187" s="3"/>
      <c r="OI187" s="3"/>
      <c r="OJ187" s="3"/>
      <c r="OK187" s="3"/>
      <c r="OL187" s="3"/>
      <c r="OM187" s="3"/>
      <c r="ON187" s="3"/>
      <c r="OO187" s="3"/>
      <c r="OP187" s="3"/>
      <c r="OQ187" s="3"/>
      <c r="OR187" s="3"/>
      <c r="OS187" s="3"/>
      <c r="OT187" s="3"/>
      <c r="OU187" s="3"/>
      <c r="OV187" s="3"/>
      <c r="OW187" s="3"/>
      <c r="OX187" s="3"/>
      <c r="OY187" s="3"/>
      <c r="OZ187" s="3"/>
      <c r="PA187" s="3"/>
      <c r="PB187" s="3"/>
      <c r="PC187" s="3"/>
      <c r="PD187" s="3"/>
      <c r="PE187" s="3"/>
      <c r="PF187" s="3"/>
      <c r="PG187" s="3"/>
      <c r="PH187" s="3"/>
      <c r="PI187" s="3"/>
      <c r="PJ187" s="3"/>
      <c r="PK187" s="3"/>
      <c r="PL187" s="3"/>
      <c r="PM187" s="3"/>
      <c r="PN187" s="3"/>
      <c r="PO187" s="3"/>
      <c r="PP187" s="3"/>
      <c r="PQ187" s="3"/>
      <c r="PR187" s="3"/>
      <c r="PS187" s="3"/>
      <c r="PT187" s="3"/>
      <c r="PU187" s="3"/>
      <c r="PV187" s="3"/>
      <c r="PW187" s="3"/>
      <c r="PX187" s="3"/>
      <c r="PY187" s="3"/>
      <c r="PZ187" s="3"/>
      <c r="QA187" s="3"/>
      <c r="QB187" s="3"/>
      <c r="QC187" s="3"/>
      <c r="QD187" s="3"/>
      <c r="QE187" s="3"/>
      <c r="QF187" s="3"/>
      <c r="QG187" s="3"/>
      <c r="QH187" s="3"/>
      <c r="QI187" s="3"/>
      <c r="QJ187" s="3"/>
      <c r="QK187" s="3"/>
      <c r="QL187" s="3"/>
      <c r="QM187" s="3"/>
      <c r="QN187" s="3"/>
      <c r="QO187" s="3"/>
      <c r="QP187" s="3"/>
      <c r="QQ187" s="3"/>
      <c r="QR187" s="3"/>
      <c r="QS187" s="3"/>
      <c r="QT187" s="3"/>
      <c r="QU187" s="3"/>
      <c r="QV187" s="3"/>
      <c r="QW187" s="3"/>
      <c r="QX187" s="3"/>
      <c r="QY187" s="3"/>
      <c r="QZ187" s="3"/>
      <c r="RA187" s="3"/>
      <c r="RB187" s="3"/>
      <c r="RC187" s="3"/>
      <c r="RD187" s="3"/>
      <c r="RE187" s="3"/>
      <c r="RF187" s="3"/>
      <c r="RG187" s="3"/>
      <c r="RH187" s="3"/>
      <c r="RI187" s="3"/>
      <c r="RJ187" s="3"/>
      <c r="RK187" s="3"/>
      <c r="RL187" s="3"/>
      <c r="RM187" s="3"/>
      <c r="RN187" s="3"/>
      <c r="RO187" s="3"/>
      <c r="RP187" s="3"/>
      <c r="RQ187" s="3"/>
      <c r="RR187" s="3"/>
      <c r="RS187" s="3"/>
      <c r="RT187" s="3"/>
      <c r="RU187" s="3"/>
      <c r="RV187" s="3"/>
      <c r="RW187" s="3"/>
      <c r="RX187" s="3"/>
      <c r="RY187" s="3"/>
      <c r="RZ187" s="3"/>
      <c r="SA187" s="3"/>
      <c r="SB187" s="3"/>
      <c r="SC187" s="3"/>
      <c r="SD187" s="3"/>
      <c r="SE187" s="3"/>
      <c r="SF187" s="3"/>
      <c r="SG187" s="3"/>
      <c r="SH187" s="3"/>
      <c r="SI187" s="3"/>
      <c r="SJ187" s="3"/>
      <c r="SK187" s="3"/>
      <c r="SL187" s="3"/>
      <c r="SM187" s="3"/>
      <c r="SN187" s="3"/>
      <c r="SO187" s="3"/>
      <c r="SP187" s="3"/>
      <c r="SQ187" s="3"/>
      <c r="SR187" s="3"/>
      <c r="SS187" s="3"/>
      <c r="ST187" s="3"/>
      <c r="SU187" s="3"/>
      <c r="SV187" s="3"/>
      <c r="SW187" s="3"/>
      <c r="SX187" s="3"/>
      <c r="SY187" s="3"/>
      <c r="SZ187" s="3"/>
      <c r="TA187" s="3"/>
      <c r="TB187" s="3"/>
      <c r="TC187" s="3"/>
      <c r="TD187" s="3"/>
      <c r="TE187" s="3"/>
      <c r="TF187" s="3"/>
      <c r="TG187" s="3"/>
      <c r="TH187" s="3"/>
      <c r="TI187" s="3"/>
      <c r="TJ187" s="3"/>
      <c r="TK187" s="3"/>
      <c r="TL187" s="3"/>
      <c r="TM187" s="3"/>
      <c r="TN187" s="3"/>
      <c r="TO187" s="3"/>
      <c r="TP187" s="3"/>
      <c r="TQ187" s="3"/>
      <c r="TR187" s="3"/>
      <c r="TS187" s="3"/>
      <c r="TT187" s="3"/>
      <c r="TU187" s="3"/>
      <c r="TV187" s="3"/>
      <c r="TW187" s="3"/>
      <c r="TX187" s="3"/>
      <c r="TY187" s="3"/>
      <c r="TZ187" s="3"/>
      <c r="UA187" s="3"/>
      <c r="UB187" s="3"/>
      <c r="UC187" s="3"/>
      <c r="UD187" s="3"/>
      <c r="UE187" s="3"/>
      <c r="UF187" s="3"/>
      <c r="UG187" s="3"/>
      <c r="UH187" s="3"/>
      <c r="UI187" s="3"/>
      <c r="UJ187" s="3"/>
      <c r="UK187" s="3"/>
      <c r="UL187" s="3"/>
      <c r="UM187" s="3"/>
      <c r="UN187" s="3"/>
      <c r="UO187" s="3"/>
      <c r="UP187" s="3"/>
      <c r="UQ187" s="3"/>
      <c r="UR187" s="3"/>
      <c r="US187" s="3"/>
      <c r="UT187" s="3"/>
      <c r="UU187" s="3"/>
      <c r="UV187" s="3"/>
      <c r="UW187" s="3"/>
      <c r="UX187" s="3"/>
      <c r="UY187" s="3"/>
      <c r="UZ187" s="3"/>
      <c r="VA187" s="3"/>
      <c r="VB187" s="3"/>
      <c r="VC187" s="3"/>
      <c r="VD187" s="3"/>
      <c r="VE187" s="3"/>
      <c r="VF187" s="3"/>
      <c r="VG187" s="3"/>
      <c r="VH187" s="3"/>
      <c r="VI187" s="3"/>
      <c r="VJ187" s="3"/>
      <c r="VK187" s="3"/>
      <c r="VL187" s="3"/>
      <c r="VM187" s="3"/>
      <c r="VN187" s="3"/>
      <c r="VO187" s="3"/>
      <c r="VP187" s="3"/>
      <c r="VQ187" s="3"/>
      <c r="VR187" s="3"/>
      <c r="VS187" s="3"/>
      <c r="VT187" s="3"/>
      <c r="VU187" s="3"/>
      <c r="VV187" s="3"/>
      <c r="VW187" s="3"/>
      <c r="VX187" s="3"/>
      <c r="VY187" s="3"/>
      <c r="VZ187" s="3"/>
      <c r="WA187" s="3"/>
      <c r="WB187" s="3"/>
      <c r="WC187" s="3"/>
      <c r="WD187" s="3"/>
      <c r="WE187" s="3"/>
      <c r="WF187" s="3"/>
      <c r="WG187" s="3"/>
      <c r="WH187" s="3"/>
      <c r="WI187" s="3"/>
      <c r="WJ187" s="3"/>
      <c r="WK187" s="3"/>
      <c r="WL187" s="3"/>
      <c r="WM187" s="3"/>
      <c r="WN187" s="3"/>
      <c r="WO187" s="3"/>
      <c r="WP187" s="3"/>
      <c r="WQ187" s="3"/>
      <c r="WR187" s="3"/>
      <c r="WS187" s="3"/>
      <c r="WT187" s="3"/>
      <c r="WU187" s="3"/>
      <c r="WV187" s="3"/>
      <c r="WW187" s="3"/>
      <c r="WX187" s="3"/>
      <c r="WY187" s="3"/>
      <c r="WZ187" s="3"/>
      <c r="XA187" s="3"/>
      <c r="XB187" s="3"/>
      <c r="XC187" s="3"/>
      <c r="XD187" s="3"/>
      <c r="XE187" s="3"/>
      <c r="XF187" s="3"/>
      <c r="XG187" s="3"/>
      <c r="XH187" s="3"/>
      <c r="XI187" s="3"/>
      <c r="XJ187" s="3"/>
      <c r="XK187" s="3"/>
      <c r="XL187" s="3"/>
      <c r="XM187" s="3"/>
      <c r="XN187" s="3"/>
      <c r="XO187" s="3"/>
      <c r="XP187" s="3"/>
      <c r="XQ187" s="3"/>
      <c r="XR187" s="3"/>
      <c r="XS187" s="3"/>
      <c r="XT187" s="3"/>
      <c r="XU187" s="3"/>
      <c r="XV187" s="3"/>
      <c r="XW187" s="3"/>
      <c r="XX187" s="3"/>
      <c r="XY187" s="3"/>
      <c r="XZ187" s="3"/>
      <c r="YA187" s="3"/>
      <c r="YB187" s="3"/>
      <c r="YC187" s="3"/>
      <c r="YD187" s="3"/>
      <c r="YE187" s="3"/>
      <c r="YF187" s="3"/>
      <c r="YG187" s="3"/>
      <c r="YH187" s="3"/>
      <c r="YI187" s="3"/>
      <c r="YJ187" s="3"/>
      <c r="YK187" s="3"/>
      <c r="YL187" s="3"/>
      <c r="YM187" s="3"/>
      <c r="YN187" s="3"/>
      <c r="YO187" s="3"/>
      <c r="YP187" s="3"/>
      <c r="YQ187" s="3"/>
      <c r="YR187" s="3"/>
      <c r="YS187" s="3"/>
      <c r="YT187" s="3"/>
      <c r="YU187" s="3"/>
      <c r="YV187" s="3"/>
      <c r="YW187" s="3"/>
      <c r="YX187" s="3"/>
      <c r="YY187" s="3"/>
      <c r="YZ187" s="3"/>
      <c r="ZA187" s="3"/>
      <c r="ZB187" s="3"/>
      <c r="ZC187" s="3"/>
    </row>
    <row r="188" spans="1:679" s="2" customFormat="1" x14ac:dyDescent="0.45">
      <c r="A188" s="3" t="s">
        <v>11</v>
      </c>
      <c r="B188" s="4">
        <v>35839</v>
      </c>
      <c r="C188" s="7" t="s">
        <v>25</v>
      </c>
      <c r="D188" s="6" t="s">
        <v>203</v>
      </c>
      <c r="E188" s="3"/>
      <c r="F188" s="3">
        <v>31</v>
      </c>
      <c r="L188" s="3"/>
      <c r="M188" s="3"/>
      <c r="N188" s="48"/>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c r="DV188" s="3"/>
      <c r="DW188" s="3"/>
      <c r="DX188" s="3"/>
      <c r="DY188" s="3"/>
      <c r="DZ188" s="3"/>
      <c r="EA188" s="3"/>
      <c r="EB188" s="3"/>
      <c r="EC188" s="3"/>
      <c r="ED188" s="3"/>
      <c r="EE188" s="3"/>
      <c r="EF188" s="3"/>
      <c r="EG188" s="3"/>
      <c r="EH188" s="3"/>
      <c r="EI188" s="3"/>
      <c r="EJ188" s="3"/>
      <c r="EK188" s="3"/>
      <c r="EL188" s="3"/>
      <c r="EM188" s="3"/>
      <c r="EN188" s="3"/>
      <c r="EO188" s="3"/>
      <c r="EP188" s="3"/>
      <c r="EQ188" s="3"/>
      <c r="ER188" s="3"/>
      <c r="ES188" s="3"/>
      <c r="ET188" s="3"/>
      <c r="EU188" s="3"/>
      <c r="EV188" s="3"/>
      <c r="EW188" s="3"/>
      <c r="EX188" s="3"/>
      <c r="EY188" s="3"/>
      <c r="EZ188" s="3"/>
      <c r="FA188" s="3"/>
      <c r="FB188" s="3"/>
      <c r="FC188" s="3"/>
      <c r="FD188" s="3"/>
      <c r="FE188" s="3"/>
      <c r="FF188" s="3"/>
      <c r="FG188" s="3"/>
      <c r="FH188" s="3"/>
      <c r="FI188" s="3"/>
      <c r="FJ188" s="3"/>
      <c r="FK188" s="3"/>
      <c r="FL188" s="3"/>
      <c r="FM188" s="3"/>
      <c r="FN188" s="3"/>
      <c r="FO188" s="3"/>
      <c r="FP188" s="3"/>
      <c r="FQ188" s="3"/>
      <c r="FR188" s="3"/>
      <c r="FS188" s="3"/>
      <c r="FT188" s="3"/>
      <c r="FU188" s="3"/>
      <c r="FV188" s="3"/>
      <c r="FW188" s="3"/>
      <c r="FX188" s="3"/>
      <c r="FY188" s="3"/>
      <c r="FZ188" s="3"/>
      <c r="GA188" s="3"/>
      <c r="GB188" s="3"/>
      <c r="GC188" s="3"/>
      <c r="GD188" s="3"/>
      <c r="GE188" s="3"/>
      <c r="GF188" s="3"/>
      <c r="GG188" s="3"/>
      <c r="GH188" s="3"/>
      <c r="GI188" s="3"/>
      <c r="GJ188" s="3"/>
      <c r="GK188" s="3"/>
      <c r="GL188" s="3"/>
      <c r="GM188" s="3"/>
      <c r="GN188" s="3"/>
      <c r="GO188" s="3"/>
      <c r="GP188" s="3"/>
      <c r="GQ188" s="3"/>
      <c r="GR188" s="3"/>
      <c r="GS188" s="3"/>
      <c r="GT188" s="3"/>
      <c r="GU188" s="3"/>
      <c r="GV188" s="3"/>
      <c r="GW188" s="3"/>
      <c r="GX188" s="3"/>
      <c r="GY188" s="3"/>
      <c r="GZ188" s="3"/>
      <c r="HA188" s="3"/>
      <c r="HB188" s="3"/>
      <c r="HC188" s="3"/>
      <c r="HD188" s="3"/>
      <c r="HE188" s="3"/>
      <c r="HF188" s="3"/>
      <c r="HG188" s="3"/>
      <c r="HH188" s="3"/>
      <c r="HI188" s="3"/>
      <c r="HJ188" s="3"/>
      <c r="HK188" s="3"/>
      <c r="HL188" s="3"/>
      <c r="HM188" s="3"/>
      <c r="HN188" s="3"/>
      <c r="HO188" s="3"/>
      <c r="HP188" s="3"/>
      <c r="HQ188" s="3"/>
      <c r="HR188" s="3"/>
      <c r="HS188" s="3"/>
      <c r="HT188" s="3"/>
      <c r="HU188" s="3"/>
      <c r="HV188" s="3"/>
      <c r="HW188" s="3"/>
      <c r="HX188" s="3"/>
      <c r="HY188" s="3"/>
      <c r="HZ188" s="3"/>
      <c r="IA188" s="3"/>
      <c r="IB188" s="3"/>
      <c r="IC188" s="3"/>
      <c r="ID188" s="3"/>
      <c r="IE188" s="3"/>
      <c r="IF188" s="3"/>
      <c r="IG188" s="3"/>
      <c r="IH188" s="3"/>
      <c r="II188" s="3"/>
      <c r="IJ188" s="3"/>
      <c r="IK188" s="3"/>
      <c r="IL188" s="3"/>
      <c r="IM188" s="3"/>
      <c r="IN188" s="3"/>
      <c r="IO188" s="3"/>
      <c r="IP188" s="3"/>
      <c r="IQ188" s="3"/>
      <c r="IR188" s="3"/>
      <c r="IS188" s="3"/>
      <c r="IT188" s="3"/>
      <c r="IU188" s="3"/>
      <c r="IV188" s="3"/>
      <c r="IW188" s="3"/>
      <c r="IX188" s="3"/>
      <c r="IY188" s="3"/>
      <c r="IZ188" s="3"/>
      <c r="JA188" s="3"/>
      <c r="JB188" s="3"/>
      <c r="JC188" s="3"/>
      <c r="JD188" s="3"/>
      <c r="JE188" s="3"/>
      <c r="JF188" s="3"/>
      <c r="JG188" s="3"/>
      <c r="JH188" s="3"/>
      <c r="JI188" s="3"/>
      <c r="JJ188" s="3"/>
      <c r="JK188" s="3"/>
      <c r="JL188" s="3"/>
      <c r="JM188" s="3"/>
      <c r="JN188" s="3"/>
      <c r="JO188" s="3"/>
      <c r="JP188" s="3"/>
      <c r="JQ188" s="3"/>
      <c r="JR188" s="3"/>
      <c r="JS188" s="3"/>
      <c r="JT188" s="3"/>
      <c r="JU188" s="3"/>
      <c r="JV188" s="3"/>
      <c r="JW188" s="3"/>
      <c r="JX188" s="3"/>
      <c r="JY188" s="3"/>
      <c r="JZ188" s="3"/>
      <c r="KA188" s="3"/>
      <c r="KB188" s="3"/>
      <c r="KC188" s="3"/>
      <c r="KD188" s="3"/>
      <c r="KE188" s="3"/>
      <c r="KF188" s="3"/>
      <c r="KG188" s="3"/>
      <c r="KH188" s="3"/>
      <c r="KI188" s="3"/>
      <c r="KJ188" s="3"/>
      <c r="KK188" s="3"/>
      <c r="KL188" s="3"/>
      <c r="KM188" s="3"/>
      <c r="KN188" s="3"/>
      <c r="KO188" s="3"/>
      <c r="KP188" s="3"/>
      <c r="KQ188" s="3"/>
      <c r="KR188" s="3"/>
      <c r="KS188" s="3"/>
      <c r="KT188" s="3"/>
      <c r="KU188" s="3"/>
      <c r="KV188" s="3"/>
      <c r="KW188" s="3"/>
      <c r="KX188" s="3"/>
      <c r="KY188" s="3"/>
      <c r="KZ188" s="3"/>
      <c r="LA188" s="3"/>
      <c r="LB188" s="3"/>
      <c r="LC188" s="3"/>
      <c r="LD188" s="3"/>
      <c r="LE188" s="3"/>
      <c r="LF188" s="3"/>
      <c r="LG188" s="3"/>
      <c r="LH188" s="3"/>
      <c r="LI188" s="3"/>
      <c r="LJ188" s="3"/>
      <c r="LK188" s="3"/>
      <c r="LL188" s="3"/>
      <c r="LM188" s="3"/>
      <c r="LN188" s="3"/>
      <c r="LO188" s="3"/>
      <c r="LP188" s="3"/>
      <c r="LQ188" s="3"/>
      <c r="LR188" s="3"/>
      <c r="LS188" s="3"/>
      <c r="LT188" s="3"/>
      <c r="LU188" s="3"/>
      <c r="LV188" s="3"/>
      <c r="LW188" s="3"/>
      <c r="LX188" s="3"/>
      <c r="LY188" s="3"/>
      <c r="LZ188" s="3"/>
      <c r="MA188" s="3"/>
      <c r="MB188" s="3"/>
      <c r="MC188" s="3"/>
      <c r="MD188" s="3"/>
      <c r="ME188" s="3"/>
      <c r="MF188" s="3"/>
      <c r="MG188" s="3"/>
      <c r="MH188" s="3"/>
      <c r="MI188" s="3"/>
      <c r="MJ188" s="3"/>
      <c r="MK188" s="3"/>
      <c r="ML188" s="3"/>
      <c r="MM188" s="3"/>
      <c r="MN188" s="3"/>
      <c r="MO188" s="3"/>
      <c r="MP188" s="3"/>
      <c r="MQ188" s="3"/>
      <c r="MR188" s="3"/>
      <c r="MS188" s="3"/>
      <c r="MT188" s="3"/>
      <c r="MU188" s="3"/>
      <c r="MV188" s="3"/>
      <c r="MW188" s="3"/>
      <c r="MX188" s="3"/>
      <c r="MY188" s="3"/>
      <c r="MZ188" s="3"/>
      <c r="NA188" s="3"/>
      <c r="NB188" s="3"/>
      <c r="NC188" s="3"/>
      <c r="ND188" s="3"/>
      <c r="NE188" s="3"/>
      <c r="NF188" s="3"/>
      <c r="NG188" s="3"/>
      <c r="NH188" s="3"/>
      <c r="NI188" s="3"/>
      <c r="NJ188" s="3"/>
      <c r="NK188" s="3"/>
      <c r="NL188" s="3"/>
      <c r="NM188" s="3"/>
      <c r="NN188" s="3"/>
      <c r="NO188" s="3"/>
      <c r="NP188" s="3"/>
      <c r="NQ188" s="3"/>
      <c r="NR188" s="3"/>
      <c r="NS188" s="3"/>
      <c r="NT188" s="3"/>
      <c r="NU188" s="3"/>
      <c r="NV188" s="3"/>
      <c r="NW188" s="3"/>
      <c r="NX188" s="3"/>
      <c r="NY188" s="3"/>
      <c r="NZ188" s="3"/>
      <c r="OA188" s="3"/>
      <c r="OB188" s="3"/>
      <c r="OC188" s="3"/>
      <c r="OD188" s="3"/>
      <c r="OE188" s="3"/>
      <c r="OF188" s="3"/>
      <c r="OG188" s="3"/>
      <c r="OH188" s="3"/>
      <c r="OI188" s="3"/>
      <c r="OJ188" s="3"/>
      <c r="OK188" s="3"/>
      <c r="OL188" s="3"/>
      <c r="OM188" s="3"/>
      <c r="ON188" s="3"/>
      <c r="OO188" s="3"/>
      <c r="OP188" s="3"/>
      <c r="OQ188" s="3"/>
      <c r="OR188" s="3"/>
      <c r="OS188" s="3"/>
      <c r="OT188" s="3"/>
      <c r="OU188" s="3"/>
      <c r="OV188" s="3"/>
      <c r="OW188" s="3"/>
      <c r="OX188" s="3"/>
      <c r="OY188" s="3"/>
      <c r="OZ188" s="3"/>
      <c r="PA188" s="3"/>
      <c r="PB188" s="3"/>
      <c r="PC188" s="3"/>
      <c r="PD188" s="3"/>
      <c r="PE188" s="3"/>
      <c r="PF188" s="3"/>
      <c r="PG188" s="3"/>
      <c r="PH188" s="3"/>
      <c r="PI188" s="3"/>
      <c r="PJ188" s="3"/>
      <c r="PK188" s="3"/>
      <c r="PL188" s="3"/>
      <c r="PM188" s="3"/>
      <c r="PN188" s="3"/>
      <c r="PO188" s="3"/>
      <c r="PP188" s="3"/>
      <c r="PQ188" s="3"/>
      <c r="PR188" s="3"/>
      <c r="PS188" s="3"/>
      <c r="PT188" s="3"/>
      <c r="PU188" s="3"/>
      <c r="PV188" s="3"/>
      <c r="PW188" s="3"/>
      <c r="PX188" s="3"/>
      <c r="PY188" s="3"/>
      <c r="PZ188" s="3"/>
      <c r="QA188" s="3"/>
      <c r="QB188" s="3"/>
      <c r="QC188" s="3"/>
      <c r="QD188" s="3"/>
      <c r="QE188" s="3"/>
      <c r="QF188" s="3"/>
      <c r="QG188" s="3"/>
      <c r="QH188" s="3"/>
      <c r="QI188" s="3"/>
      <c r="QJ188" s="3"/>
      <c r="QK188" s="3"/>
      <c r="QL188" s="3"/>
      <c r="QM188" s="3"/>
      <c r="QN188" s="3"/>
      <c r="QO188" s="3"/>
      <c r="QP188" s="3"/>
      <c r="QQ188" s="3"/>
      <c r="QR188" s="3"/>
      <c r="QS188" s="3"/>
      <c r="QT188" s="3"/>
      <c r="QU188" s="3"/>
      <c r="QV188" s="3"/>
      <c r="QW188" s="3"/>
      <c r="QX188" s="3"/>
      <c r="QY188" s="3"/>
      <c r="QZ188" s="3"/>
      <c r="RA188" s="3"/>
      <c r="RB188" s="3"/>
      <c r="RC188" s="3"/>
      <c r="RD188" s="3"/>
      <c r="RE188" s="3"/>
      <c r="RF188" s="3"/>
      <c r="RG188" s="3"/>
      <c r="RH188" s="3"/>
      <c r="RI188" s="3"/>
      <c r="RJ188" s="3"/>
      <c r="RK188" s="3"/>
      <c r="RL188" s="3"/>
      <c r="RM188" s="3"/>
      <c r="RN188" s="3"/>
      <c r="RO188" s="3"/>
      <c r="RP188" s="3"/>
      <c r="RQ188" s="3"/>
      <c r="RR188" s="3"/>
      <c r="RS188" s="3"/>
      <c r="RT188" s="3"/>
      <c r="RU188" s="3"/>
      <c r="RV188" s="3"/>
      <c r="RW188" s="3"/>
      <c r="RX188" s="3"/>
      <c r="RY188" s="3"/>
      <c r="RZ188" s="3"/>
      <c r="SA188" s="3"/>
      <c r="SB188" s="3"/>
      <c r="SC188" s="3"/>
      <c r="SD188" s="3"/>
      <c r="SE188" s="3"/>
      <c r="SF188" s="3"/>
      <c r="SG188" s="3"/>
      <c r="SH188" s="3"/>
      <c r="SI188" s="3"/>
      <c r="SJ188" s="3"/>
      <c r="SK188" s="3"/>
      <c r="SL188" s="3"/>
      <c r="SM188" s="3"/>
      <c r="SN188" s="3"/>
      <c r="SO188" s="3"/>
      <c r="SP188" s="3"/>
      <c r="SQ188" s="3"/>
      <c r="SR188" s="3"/>
      <c r="SS188" s="3"/>
      <c r="ST188" s="3"/>
      <c r="SU188" s="3"/>
      <c r="SV188" s="3"/>
      <c r="SW188" s="3"/>
      <c r="SX188" s="3"/>
      <c r="SY188" s="3"/>
      <c r="SZ188" s="3"/>
      <c r="TA188" s="3"/>
      <c r="TB188" s="3"/>
      <c r="TC188" s="3"/>
      <c r="TD188" s="3"/>
      <c r="TE188" s="3"/>
      <c r="TF188" s="3"/>
      <c r="TG188" s="3"/>
      <c r="TH188" s="3"/>
      <c r="TI188" s="3"/>
      <c r="TJ188" s="3"/>
      <c r="TK188" s="3"/>
      <c r="TL188" s="3"/>
      <c r="TM188" s="3"/>
      <c r="TN188" s="3"/>
      <c r="TO188" s="3"/>
      <c r="TP188" s="3"/>
      <c r="TQ188" s="3"/>
      <c r="TR188" s="3"/>
      <c r="TS188" s="3"/>
      <c r="TT188" s="3"/>
      <c r="TU188" s="3"/>
      <c r="TV188" s="3"/>
      <c r="TW188" s="3"/>
      <c r="TX188" s="3"/>
      <c r="TY188" s="3"/>
      <c r="TZ188" s="3"/>
      <c r="UA188" s="3"/>
      <c r="UB188" s="3"/>
      <c r="UC188" s="3"/>
      <c r="UD188" s="3"/>
      <c r="UE188" s="3"/>
      <c r="UF188" s="3"/>
      <c r="UG188" s="3"/>
      <c r="UH188" s="3"/>
      <c r="UI188" s="3"/>
      <c r="UJ188" s="3"/>
      <c r="UK188" s="3"/>
      <c r="UL188" s="3"/>
      <c r="UM188" s="3"/>
      <c r="UN188" s="3"/>
      <c r="UO188" s="3"/>
      <c r="UP188" s="3"/>
      <c r="UQ188" s="3"/>
      <c r="UR188" s="3"/>
      <c r="US188" s="3"/>
      <c r="UT188" s="3"/>
      <c r="UU188" s="3"/>
      <c r="UV188" s="3"/>
      <c r="UW188" s="3"/>
      <c r="UX188" s="3"/>
      <c r="UY188" s="3"/>
      <c r="UZ188" s="3"/>
      <c r="VA188" s="3"/>
      <c r="VB188" s="3"/>
      <c r="VC188" s="3"/>
      <c r="VD188" s="3"/>
      <c r="VE188" s="3"/>
      <c r="VF188" s="3"/>
      <c r="VG188" s="3"/>
      <c r="VH188" s="3"/>
      <c r="VI188" s="3"/>
      <c r="VJ188" s="3"/>
      <c r="VK188" s="3"/>
      <c r="VL188" s="3"/>
      <c r="VM188" s="3"/>
      <c r="VN188" s="3"/>
      <c r="VO188" s="3"/>
      <c r="VP188" s="3"/>
      <c r="VQ188" s="3"/>
      <c r="VR188" s="3"/>
      <c r="VS188" s="3"/>
      <c r="VT188" s="3"/>
      <c r="VU188" s="3"/>
      <c r="VV188" s="3"/>
      <c r="VW188" s="3"/>
      <c r="VX188" s="3"/>
      <c r="VY188" s="3"/>
      <c r="VZ188" s="3"/>
      <c r="WA188" s="3"/>
      <c r="WB188" s="3"/>
      <c r="WC188" s="3"/>
      <c r="WD188" s="3"/>
      <c r="WE188" s="3"/>
      <c r="WF188" s="3"/>
      <c r="WG188" s="3"/>
      <c r="WH188" s="3"/>
      <c r="WI188" s="3"/>
      <c r="WJ188" s="3"/>
      <c r="WK188" s="3"/>
      <c r="WL188" s="3"/>
      <c r="WM188" s="3"/>
      <c r="WN188" s="3"/>
      <c r="WO188" s="3"/>
      <c r="WP188" s="3"/>
      <c r="WQ188" s="3"/>
      <c r="WR188" s="3"/>
      <c r="WS188" s="3"/>
      <c r="WT188" s="3"/>
      <c r="WU188" s="3"/>
      <c r="WV188" s="3"/>
      <c r="WW188" s="3"/>
      <c r="WX188" s="3"/>
      <c r="WY188" s="3"/>
      <c r="WZ188" s="3"/>
      <c r="XA188" s="3"/>
      <c r="XB188" s="3"/>
      <c r="XC188" s="3"/>
      <c r="XD188" s="3"/>
      <c r="XE188" s="3"/>
      <c r="XF188" s="3"/>
      <c r="XG188" s="3"/>
      <c r="XH188" s="3"/>
      <c r="XI188" s="3"/>
      <c r="XJ188" s="3"/>
      <c r="XK188" s="3"/>
      <c r="XL188" s="3"/>
      <c r="XM188" s="3"/>
      <c r="XN188" s="3"/>
      <c r="XO188" s="3"/>
      <c r="XP188" s="3"/>
      <c r="XQ188" s="3"/>
      <c r="XR188" s="3"/>
      <c r="XS188" s="3"/>
      <c r="XT188" s="3"/>
      <c r="XU188" s="3"/>
      <c r="XV188" s="3"/>
      <c r="XW188" s="3"/>
      <c r="XX188" s="3"/>
      <c r="XY188" s="3"/>
      <c r="XZ188" s="3"/>
      <c r="YA188" s="3"/>
      <c r="YB188" s="3"/>
      <c r="YC188" s="3"/>
      <c r="YD188" s="3"/>
      <c r="YE188" s="3"/>
      <c r="YF188" s="3"/>
      <c r="YG188" s="3"/>
      <c r="YH188" s="3"/>
      <c r="YI188" s="3"/>
      <c r="YJ188" s="3"/>
      <c r="YK188" s="3"/>
      <c r="YL188" s="3"/>
      <c r="YM188" s="3"/>
      <c r="YN188" s="3"/>
      <c r="YO188" s="3"/>
      <c r="YP188" s="3"/>
      <c r="YQ188" s="3"/>
      <c r="YR188" s="3"/>
      <c r="YS188" s="3"/>
      <c r="YT188" s="3"/>
      <c r="YU188" s="3"/>
      <c r="YV188" s="3"/>
      <c r="YW188" s="3"/>
      <c r="YX188" s="3"/>
      <c r="YY188" s="3"/>
      <c r="YZ188" s="3"/>
      <c r="ZA188" s="3"/>
      <c r="ZB188" s="3"/>
      <c r="ZC188" s="3"/>
    </row>
    <row r="189" spans="1:679" s="2" customFormat="1" x14ac:dyDescent="0.45">
      <c r="A189" s="3" t="s">
        <v>11</v>
      </c>
      <c r="B189" s="4">
        <v>35856</v>
      </c>
      <c r="C189" s="7" t="s">
        <v>25</v>
      </c>
      <c r="D189" s="6" t="s">
        <v>204</v>
      </c>
      <c r="E189" s="3"/>
      <c r="F189" s="3">
        <v>4</v>
      </c>
      <c r="L189" s="3"/>
      <c r="M189" s="3"/>
      <c r="N189" s="48"/>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c r="DV189" s="3"/>
      <c r="DW189" s="3"/>
      <c r="DX189" s="3"/>
      <c r="DY189" s="3"/>
      <c r="DZ189" s="3"/>
      <c r="EA189" s="3"/>
      <c r="EB189" s="3"/>
      <c r="EC189" s="3"/>
      <c r="ED189" s="3"/>
      <c r="EE189" s="3"/>
      <c r="EF189" s="3"/>
      <c r="EG189" s="3"/>
      <c r="EH189" s="3"/>
      <c r="EI189" s="3"/>
      <c r="EJ189" s="3"/>
      <c r="EK189" s="3"/>
      <c r="EL189" s="3"/>
      <c r="EM189" s="3"/>
      <c r="EN189" s="3"/>
      <c r="EO189" s="3"/>
      <c r="EP189" s="3"/>
      <c r="EQ189" s="3"/>
      <c r="ER189" s="3"/>
      <c r="ES189" s="3"/>
      <c r="ET189" s="3"/>
      <c r="EU189" s="3"/>
      <c r="EV189" s="3"/>
      <c r="EW189" s="3"/>
      <c r="EX189" s="3"/>
      <c r="EY189" s="3"/>
      <c r="EZ189" s="3"/>
      <c r="FA189" s="3"/>
      <c r="FB189" s="3"/>
      <c r="FC189" s="3"/>
      <c r="FD189" s="3"/>
      <c r="FE189" s="3"/>
      <c r="FF189" s="3"/>
      <c r="FG189" s="3"/>
      <c r="FH189" s="3"/>
      <c r="FI189" s="3"/>
      <c r="FJ189" s="3"/>
      <c r="FK189" s="3"/>
      <c r="FL189" s="3"/>
      <c r="FM189" s="3"/>
      <c r="FN189" s="3"/>
      <c r="FO189" s="3"/>
      <c r="FP189" s="3"/>
      <c r="FQ189" s="3"/>
      <c r="FR189" s="3"/>
      <c r="FS189" s="3"/>
      <c r="FT189" s="3"/>
      <c r="FU189" s="3"/>
      <c r="FV189" s="3"/>
      <c r="FW189" s="3"/>
      <c r="FX189" s="3"/>
      <c r="FY189" s="3"/>
      <c r="FZ189" s="3"/>
      <c r="GA189" s="3"/>
      <c r="GB189" s="3"/>
      <c r="GC189" s="3"/>
      <c r="GD189" s="3"/>
      <c r="GE189" s="3"/>
      <c r="GF189" s="3"/>
      <c r="GG189" s="3"/>
      <c r="GH189" s="3"/>
      <c r="GI189" s="3"/>
      <c r="GJ189" s="3"/>
      <c r="GK189" s="3"/>
      <c r="GL189" s="3"/>
      <c r="GM189" s="3"/>
      <c r="GN189" s="3"/>
      <c r="GO189" s="3"/>
      <c r="GP189" s="3"/>
      <c r="GQ189" s="3"/>
      <c r="GR189" s="3"/>
      <c r="GS189" s="3"/>
      <c r="GT189" s="3"/>
      <c r="GU189" s="3"/>
      <c r="GV189" s="3"/>
      <c r="GW189" s="3"/>
      <c r="GX189" s="3"/>
      <c r="GY189" s="3"/>
      <c r="GZ189" s="3"/>
      <c r="HA189" s="3"/>
      <c r="HB189" s="3"/>
      <c r="HC189" s="3"/>
      <c r="HD189" s="3"/>
      <c r="HE189" s="3"/>
      <c r="HF189" s="3"/>
      <c r="HG189" s="3"/>
      <c r="HH189" s="3"/>
      <c r="HI189" s="3"/>
      <c r="HJ189" s="3"/>
      <c r="HK189" s="3"/>
      <c r="HL189" s="3"/>
      <c r="HM189" s="3"/>
      <c r="HN189" s="3"/>
      <c r="HO189" s="3"/>
      <c r="HP189" s="3"/>
      <c r="HQ189" s="3"/>
      <c r="HR189" s="3"/>
      <c r="HS189" s="3"/>
      <c r="HT189" s="3"/>
      <c r="HU189" s="3"/>
      <c r="HV189" s="3"/>
      <c r="HW189" s="3"/>
      <c r="HX189" s="3"/>
      <c r="HY189" s="3"/>
      <c r="HZ189" s="3"/>
      <c r="IA189" s="3"/>
      <c r="IB189" s="3"/>
      <c r="IC189" s="3"/>
      <c r="ID189" s="3"/>
      <c r="IE189" s="3"/>
      <c r="IF189" s="3"/>
      <c r="IG189" s="3"/>
      <c r="IH189" s="3"/>
      <c r="II189" s="3"/>
      <c r="IJ189" s="3"/>
      <c r="IK189" s="3"/>
      <c r="IL189" s="3"/>
      <c r="IM189" s="3"/>
      <c r="IN189" s="3"/>
      <c r="IO189" s="3"/>
      <c r="IP189" s="3"/>
      <c r="IQ189" s="3"/>
      <c r="IR189" s="3"/>
      <c r="IS189" s="3"/>
      <c r="IT189" s="3"/>
      <c r="IU189" s="3"/>
      <c r="IV189" s="3"/>
      <c r="IW189" s="3"/>
      <c r="IX189" s="3"/>
      <c r="IY189" s="3"/>
      <c r="IZ189" s="3"/>
      <c r="JA189" s="3"/>
      <c r="JB189" s="3"/>
      <c r="JC189" s="3"/>
      <c r="JD189" s="3"/>
      <c r="JE189" s="3"/>
      <c r="JF189" s="3"/>
      <c r="JG189" s="3"/>
      <c r="JH189" s="3"/>
      <c r="JI189" s="3"/>
      <c r="JJ189" s="3"/>
      <c r="JK189" s="3"/>
      <c r="JL189" s="3"/>
      <c r="JM189" s="3"/>
      <c r="JN189" s="3"/>
      <c r="JO189" s="3"/>
      <c r="JP189" s="3"/>
      <c r="JQ189" s="3"/>
      <c r="JR189" s="3"/>
      <c r="JS189" s="3"/>
      <c r="JT189" s="3"/>
      <c r="JU189" s="3"/>
      <c r="JV189" s="3"/>
      <c r="JW189" s="3"/>
      <c r="JX189" s="3"/>
      <c r="JY189" s="3"/>
      <c r="JZ189" s="3"/>
      <c r="KA189" s="3"/>
      <c r="KB189" s="3"/>
      <c r="KC189" s="3"/>
      <c r="KD189" s="3"/>
      <c r="KE189" s="3"/>
      <c r="KF189" s="3"/>
      <c r="KG189" s="3"/>
      <c r="KH189" s="3"/>
      <c r="KI189" s="3"/>
      <c r="KJ189" s="3"/>
      <c r="KK189" s="3"/>
      <c r="KL189" s="3"/>
      <c r="KM189" s="3"/>
      <c r="KN189" s="3"/>
      <c r="KO189" s="3"/>
      <c r="KP189" s="3"/>
      <c r="KQ189" s="3"/>
      <c r="KR189" s="3"/>
      <c r="KS189" s="3"/>
      <c r="KT189" s="3"/>
      <c r="KU189" s="3"/>
      <c r="KV189" s="3"/>
      <c r="KW189" s="3"/>
      <c r="KX189" s="3"/>
      <c r="KY189" s="3"/>
      <c r="KZ189" s="3"/>
      <c r="LA189" s="3"/>
      <c r="LB189" s="3"/>
      <c r="LC189" s="3"/>
      <c r="LD189" s="3"/>
      <c r="LE189" s="3"/>
      <c r="LF189" s="3"/>
      <c r="LG189" s="3"/>
      <c r="LH189" s="3"/>
      <c r="LI189" s="3"/>
      <c r="LJ189" s="3"/>
      <c r="LK189" s="3"/>
      <c r="LL189" s="3"/>
      <c r="LM189" s="3"/>
      <c r="LN189" s="3"/>
      <c r="LO189" s="3"/>
      <c r="LP189" s="3"/>
      <c r="LQ189" s="3"/>
      <c r="LR189" s="3"/>
      <c r="LS189" s="3"/>
      <c r="LT189" s="3"/>
      <c r="LU189" s="3"/>
      <c r="LV189" s="3"/>
      <c r="LW189" s="3"/>
      <c r="LX189" s="3"/>
      <c r="LY189" s="3"/>
      <c r="LZ189" s="3"/>
      <c r="MA189" s="3"/>
      <c r="MB189" s="3"/>
      <c r="MC189" s="3"/>
      <c r="MD189" s="3"/>
      <c r="ME189" s="3"/>
      <c r="MF189" s="3"/>
      <c r="MG189" s="3"/>
      <c r="MH189" s="3"/>
      <c r="MI189" s="3"/>
      <c r="MJ189" s="3"/>
      <c r="MK189" s="3"/>
      <c r="ML189" s="3"/>
      <c r="MM189" s="3"/>
      <c r="MN189" s="3"/>
      <c r="MO189" s="3"/>
      <c r="MP189" s="3"/>
      <c r="MQ189" s="3"/>
      <c r="MR189" s="3"/>
      <c r="MS189" s="3"/>
      <c r="MT189" s="3"/>
      <c r="MU189" s="3"/>
      <c r="MV189" s="3"/>
      <c r="MW189" s="3"/>
      <c r="MX189" s="3"/>
      <c r="MY189" s="3"/>
      <c r="MZ189" s="3"/>
      <c r="NA189" s="3"/>
      <c r="NB189" s="3"/>
      <c r="NC189" s="3"/>
      <c r="ND189" s="3"/>
      <c r="NE189" s="3"/>
      <c r="NF189" s="3"/>
      <c r="NG189" s="3"/>
      <c r="NH189" s="3"/>
      <c r="NI189" s="3"/>
      <c r="NJ189" s="3"/>
      <c r="NK189" s="3"/>
      <c r="NL189" s="3"/>
      <c r="NM189" s="3"/>
      <c r="NN189" s="3"/>
      <c r="NO189" s="3"/>
      <c r="NP189" s="3"/>
      <c r="NQ189" s="3"/>
      <c r="NR189" s="3"/>
      <c r="NS189" s="3"/>
      <c r="NT189" s="3"/>
      <c r="NU189" s="3"/>
      <c r="NV189" s="3"/>
      <c r="NW189" s="3"/>
      <c r="NX189" s="3"/>
      <c r="NY189" s="3"/>
      <c r="NZ189" s="3"/>
      <c r="OA189" s="3"/>
      <c r="OB189" s="3"/>
      <c r="OC189" s="3"/>
      <c r="OD189" s="3"/>
      <c r="OE189" s="3"/>
      <c r="OF189" s="3"/>
      <c r="OG189" s="3"/>
      <c r="OH189" s="3"/>
      <c r="OI189" s="3"/>
      <c r="OJ189" s="3"/>
      <c r="OK189" s="3"/>
      <c r="OL189" s="3"/>
      <c r="OM189" s="3"/>
      <c r="ON189" s="3"/>
      <c r="OO189" s="3"/>
      <c r="OP189" s="3"/>
      <c r="OQ189" s="3"/>
      <c r="OR189" s="3"/>
      <c r="OS189" s="3"/>
      <c r="OT189" s="3"/>
      <c r="OU189" s="3"/>
      <c r="OV189" s="3"/>
      <c r="OW189" s="3"/>
      <c r="OX189" s="3"/>
      <c r="OY189" s="3"/>
      <c r="OZ189" s="3"/>
      <c r="PA189" s="3"/>
      <c r="PB189" s="3"/>
      <c r="PC189" s="3"/>
      <c r="PD189" s="3"/>
      <c r="PE189" s="3"/>
      <c r="PF189" s="3"/>
      <c r="PG189" s="3"/>
      <c r="PH189" s="3"/>
      <c r="PI189" s="3"/>
      <c r="PJ189" s="3"/>
      <c r="PK189" s="3"/>
      <c r="PL189" s="3"/>
      <c r="PM189" s="3"/>
      <c r="PN189" s="3"/>
      <c r="PO189" s="3"/>
      <c r="PP189" s="3"/>
      <c r="PQ189" s="3"/>
      <c r="PR189" s="3"/>
      <c r="PS189" s="3"/>
      <c r="PT189" s="3"/>
      <c r="PU189" s="3"/>
      <c r="PV189" s="3"/>
      <c r="PW189" s="3"/>
      <c r="PX189" s="3"/>
      <c r="PY189" s="3"/>
      <c r="PZ189" s="3"/>
      <c r="QA189" s="3"/>
      <c r="QB189" s="3"/>
      <c r="QC189" s="3"/>
      <c r="QD189" s="3"/>
      <c r="QE189" s="3"/>
      <c r="QF189" s="3"/>
      <c r="QG189" s="3"/>
      <c r="QH189" s="3"/>
      <c r="QI189" s="3"/>
      <c r="QJ189" s="3"/>
      <c r="QK189" s="3"/>
      <c r="QL189" s="3"/>
      <c r="QM189" s="3"/>
      <c r="QN189" s="3"/>
      <c r="QO189" s="3"/>
      <c r="QP189" s="3"/>
      <c r="QQ189" s="3"/>
      <c r="QR189" s="3"/>
      <c r="QS189" s="3"/>
      <c r="QT189" s="3"/>
      <c r="QU189" s="3"/>
      <c r="QV189" s="3"/>
      <c r="QW189" s="3"/>
      <c r="QX189" s="3"/>
      <c r="QY189" s="3"/>
      <c r="QZ189" s="3"/>
      <c r="RA189" s="3"/>
      <c r="RB189" s="3"/>
      <c r="RC189" s="3"/>
      <c r="RD189" s="3"/>
      <c r="RE189" s="3"/>
      <c r="RF189" s="3"/>
      <c r="RG189" s="3"/>
      <c r="RH189" s="3"/>
      <c r="RI189" s="3"/>
      <c r="RJ189" s="3"/>
      <c r="RK189" s="3"/>
      <c r="RL189" s="3"/>
      <c r="RM189" s="3"/>
      <c r="RN189" s="3"/>
      <c r="RO189" s="3"/>
      <c r="RP189" s="3"/>
      <c r="RQ189" s="3"/>
      <c r="RR189" s="3"/>
      <c r="RS189" s="3"/>
      <c r="RT189" s="3"/>
      <c r="RU189" s="3"/>
      <c r="RV189" s="3"/>
      <c r="RW189" s="3"/>
      <c r="RX189" s="3"/>
      <c r="RY189" s="3"/>
      <c r="RZ189" s="3"/>
      <c r="SA189" s="3"/>
      <c r="SB189" s="3"/>
      <c r="SC189" s="3"/>
      <c r="SD189" s="3"/>
      <c r="SE189" s="3"/>
      <c r="SF189" s="3"/>
      <c r="SG189" s="3"/>
      <c r="SH189" s="3"/>
      <c r="SI189" s="3"/>
      <c r="SJ189" s="3"/>
      <c r="SK189" s="3"/>
      <c r="SL189" s="3"/>
      <c r="SM189" s="3"/>
      <c r="SN189" s="3"/>
      <c r="SO189" s="3"/>
      <c r="SP189" s="3"/>
      <c r="SQ189" s="3"/>
      <c r="SR189" s="3"/>
      <c r="SS189" s="3"/>
      <c r="ST189" s="3"/>
      <c r="SU189" s="3"/>
      <c r="SV189" s="3"/>
      <c r="SW189" s="3"/>
      <c r="SX189" s="3"/>
      <c r="SY189" s="3"/>
      <c r="SZ189" s="3"/>
      <c r="TA189" s="3"/>
      <c r="TB189" s="3"/>
      <c r="TC189" s="3"/>
      <c r="TD189" s="3"/>
      <c r="TE189" s="3"/>
      <c r="TF189" s="3"/>
      <c r="TG189" s="3"/>
      <c r="TH189" s="3"/>
      <c r="TI189" s="3"/>
      <c r="TJ189" s="3"/>
      <c r="TK189" s="3"/>
      <c r="TL189" s="3"/>
      <c r="TM189" s="3"/>
      <c r="TN189" s="3"/>
      <c r="TO189" s="3"/>
      <c r="TP189" s="3"/>
      <c r="TQ189" s="3"/>
      <c r="TR189" s="3"/>
      <c r="TS189" s="3"/>
      <c r="TT189" s="3"/>
      <c r="TU189" s="3"/>
      <c r="TV189" s="3"/>
      <c r="TW189" s="3"/>
      <c r="TX189" s="3"/>
      <c r="TY189" s="3"/>
      <c r="TZ189" s="3"/>
      <c r="UA189" s="3"/>
      <c r="UB189" s="3"/>
      <c r="UC189" s="3"/>
      <c r="UD189" s="3"/>
      <c r="UE189" s="3"/>
      <c r="UF189" s="3"/>
      <c r="UG189" s="3"/>
      <c r="UH189" s="3"/>
      <c r="UI189" s="3"/>
      <c r="UJ189" s="3"/>
      <c r="UK189" s="3"/>
      <c r="UL189" s="3"/>
      <c r="UM189" s="3"/>
      <c r="UN189" s="3"/>
      <c r="UO189" s="3"/>
      <c r="UP189" s="3"/>
      <c r="UQ189" s="3"/>
      <c r="UR189" s="3"/>
      <c r="US189" s="3"/>
      <c r="UT189" s="3"/>
      <c r="UU189" s="3"/>
      <c r="UV189" s="3"/>
      <c r="UW189" s="3"/>
      <c r="UX189" s="3"/>
      <c r="UY189" s="3"/>
      <c r="UZ189" s="3"/>
      <c r="VA189" s="3"/>
      <c r="VB189" s="3"/>
      <c r="VC189" s="3"/>
      <c r="VD189" s="3"/>
      <c r="VE189" s="3"/>
      <c r="VF189" s="3"/>
      <c r="VG189" s="3"/>
      <c r="VH189" s="3"/>
      <c r="VI189" s="3"/>
      <c r="VJ189" s="3"/>
      <c r="VK189" s="3"/>
      <c r="VL189" s="3"/>
      <c r="VM189" s="3"/>
      <c r="VN189" s="3"/>
      <c r="VO189" s="3"/>
      <c r="VP189" s="3"/>
      <c r="VQ189" s="3"/>
      <c r="VR189" s="3"/>
      <c r="VS189" s="3"/>
      <c r="VT189" s="3"/>
      <c r="VU189" s="3"/>
      <c r="VV189" s="3"/>
      <c r="VW189" s="3"/>
      <c r="VX189" s="3"/>
      <c r="VY189" s="3"/>
      <c r="VZ189" s="3"/>
      <c r="WA189" s="3"/>
      <c r="WB189" s="3"/>
      <c r="WC189" s="3"/>
      <c r="WD189" s="3"/>
      <c r="WE189" s="3"/>
      <c r="WF189" s="3"/>
      <c r="WG189" s="3"/>
      <c r="WH189" s="3"/>
      <c r="WI189" s="3"/>
      <c r="WJ189" s="3"/>
      <c r="WK189" s="3"/>
      <c r="WL189" s="3"/>
      <c r="WM189" s="3"/>
      <c r="WN189" s="3"/>
      <c r="WO189" s="3"/>
      <c r="WP189" s="3"/>
      <c r="WQ189" s="3"/>
      <c r="WR189" s="3"/>
      <c r="WS189" s="3"/>
      <c r="WT189" s="3"/>
      <c r="WU189" s="3"/>
      <c r="WV189" s="3"/>
      <c r="WW189" s="3"/>
      <c r="WX189" s="3"/>
      <c r="WY189" s="3"/>
      <c r="WZ189" s="3"/>
      <c r="XA189" s="3"/>
      <c r="XB189" s="3"/>
      <c r="XC189" s="3"/>
      <c r="XD189" s="3"/>
      <c r="XE189" s="3"/>
      <c r="XF189" s="3"/>
      <c r="XG189" s="3"/>
      <c r="XH189" s="3"/>
      <c r="XI189" s="3"/>
      <c r="XJ189" s="3"/>
      <c r="XK189" s="3"/>
      <c r="XL189" s="3"/>
      <c r="XM189" s="3"/>
      <c r="XN189" s="3"/>
      <c r="XO189" s="3"/>
      <c r="XP189" s="3"/>
      <c r="XQ189" s="3"/>
      <c r="XR189" s="3"/>
      <c r="XS189" s="3"/>
      <c r="XT189" s="3"/>
      <c r="XU189" s="3"/>
      <c r="XV189" s="3"/>
      <c r="XW189" s="3"/>
      <c r="XX189" s="3"/>
      <c r="XY189" s="3"/>
      <c r="XZ189" s="3"/>
      <c r="YA189" s="3"/>
      <c r="YB189" s="3"/>
      <c r="YC189" s="3"/>
      <c r="YD189" s="3"/>
      <c r="YE189" s="3"/>
      <c r="YF189" s="3"/>
      <c r="YG189" s="3"/>
      <c r="YH189" s="3"/>
      <c r="YI189" s="3"/>
      <c r="YJ189" s="3"/>
      <c r="YK189" s="3"/>
      <c r="YL189" s="3"/>
      <c r="YM189" s="3"/>
      <c r="YN189" s="3"/>
      <c r="YO189" s="3"/>
      <c r="YP189" s="3"/>
      <c r="YQ189" s="3"/>
      <c r="YR189" s="3"/>
      <c r="YS189" s="3"/>
      <c r="YT189" s="3"/>
      <c r="YU189" s="3"/>
      <c r="YV189" s="3"/>
      <c r="YW189" s="3"/>
      <c r="YX189" s="3"/>
      <c r="YY189" s="3"/>
      <c r="YZ189" s="3"/>
      <c r="ZA189" s="3"/>
      <c r="ZB189" s="3"/>
      <c r="ZC189" s="3"/>
    </row>
    <row r="190" spans="1:679" s="2" customFormat="1" x14ac:dyDescent="0.45">
      <c r="A190" s="3" t="s">
        <v>11</v>
      </c>
      <c r="B190" s="4">
        <v>35859</v>
      </c>
      <c r="C190" s="7" t="s">
        <v>21</v>
      </c>
      <c r="D190" s="6" t="s">
        <v>205</v>
      </c>
      <c r="E190" s="3"/>
      <c r="F190" s="3">
        <v>52</v>
      </c>
      <c r="L190" s="3"/>
      <c r="M190" s="3"/>
      <c r="N190" s="48"/>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c r="DV190" s="3"/>
      <c r="DW190" s="3"/>
      <c r="DX190" s="3"/>
      <c r="DY190" s="3"/>
      <c r="DZ190" s="3"/>
      <c r="EA190" s="3"/>
      <c r="EB190" s="3"/>
      <c r="EC190" s="3"/>
      <c r="ED190" s="3"/>
      <c r="EE190" s="3"/>
      <c r="EF190" s="3"/>
      <c r="EG190" s="3"/>
      <c r="EH190" s="3"/>
      <c r="EI190" s="3"/>
      <c r="EJ190" s="3"/>
      <c r="EK190" s="3"/>
      <c r="EL190" s="3"/>
      <c r="EM190" s="3"/>
      <c r="EN190" s="3"/>
      <c r="EO190" s="3"/>
      <c r="EP190" s="3"/>
      <c r="EQ190" s="3"/>
      <c r="ER190" s="3"/>
      <c r="ES190" s="3"/>
      <c r="ET190" s="3"/>
      <c r="EU190" s="3"/>
      <c r="EV190" s="3"/>
      <c r="EW190" s="3"/>
      <c r="EX190" s="3"/>
      <c r="EY190" s="3"/>
      <c r="EZ190" s="3"/>
      <c r="FA190" s="3"/>
      <c r="FB190" s="3"/>
      <c r="FC190" s="3"/>
      <c r="FD190" s="3"/>
      <c r="FE190" s="3"/>
      <c r="FF190" s="3"/>
      <c r="FG190" s="3"/>
      <c r="FH190" s="3"/>
      <c r="FI190" s="3"/>
      <c r="FJ190" s="3"/>
      <c r="FK190" s="3"/>
      <c r="FL190" s="3"/>
      <c r="FM190" s="3"/>
      <c r="FN190" s="3"/>
      <c r="FO190" s="3"/>
      <c r="FP190" s="3"/>
      <c r="FQ190" s="3"/>
      <c r="FR190" s="3"/>
      <c r="FS190" s="3"/>
      <c r="FT190" s="3"/>
      <c r="FU190" s="3"/>
      <c r="FV190" s="3"/>
      <c r="FW190" s="3"/>
      <c r="FX190" s="3"/>
      <c r="FY190" s="3"/>
      <c r="FZ190" s="3"/>
      <c r="GA190" s="3"/>
      <c r="GB190" s="3"/>
      <c r="GC190" s="3"/>
      <c r="GD190" s="3"/>
      <c r="GE190" s="3"/>
      <c r="GF190" s="3"/>
      <c r="GG190" s="3"/>
      <c r="GH190" s="3"/>
      <c r="GI190" s="3"/>
      <c r="GJ190" s="3"/>
      <c r="GK190" s="3"/>
      <c r="GL190" s="3"/>
      <c r="GM190" s="3"/>
      <c r="GN190" s="3"/>
      <c r="GO190" s="3"/>
      <c r="GP190" s="3"/>
      <c r="GQ190" s="3"/>
      <c r="GR190" s="3"/>
      <c r="GS190" s="3"/>
      <c r="GT190" s="3"/>
      <c r="GU190" s="3"/>
      <c r="GV190" s="3"/>
      <c r="GW190" s="3"/>
      <c r="GX190" s="3"/>
      <c r="GY190" s="3"/>
      <c r="GZ190" s="3"/>
      <c r="HA190" s="3"/>
      <c r="HB190" s="3"/>
      <c r="HC190" s="3"/>
      <c r="HD190" s="3"/>
      <c r="HE190" s="3"/>
      <c r="HF190" s="3"/>
      <c r="HG190" s="3"/>
      <c r="HH190" s="3"/>
      <c r="HI190" s="3"/>
      <c r="HJ190" s="3"/>
      <c r="HK190" s="3"/>
      <c r="HL190" s="3"/>
      <c r="HM190" s="3"/>
      <c r="HN190" s="3"/>
      <c r="HO190" s="3"/>
      <c r="HP190" s="3"/>
      <c r="HQ190" s="3"/>
      <c r="HR190" s="3"/>
      <c r="HS190" s="3"/>
      <c r="HT190" s="3"/>
      <c r="HU190" s="3"/>
      <c r="HV190" s="3"/>
      <c r="HW190" s="3"/>
      <c r="HX190" s="3"/>
      <c r="HY190" s="3"/>
      <c r="HZ190" s="3"/>
      <c r="IA190" s="3"/>
      <c r="IB190" s="3"/>
      <c r="IC190" s="3"/>
      <c r="ID190" s="3"/>
      <c r="IE190" s="3"/>
      <c r="IF190" s="3"/>
      <c r="IG190" s="3"/>
      <c r="IH190" s="3"/>
      <c r="II190" s="3"/>
      <c r="IJ190" s="3"/>
      <c r="IK190" s="3"/>
      <c r="IL190" s="3"/>
      <c r="IM190" s="3"/>
      <c r="IN190" s="3"/>
      <c r="IO190" s="3"/>
      <c r="IP190" s="3"/>
      <c r="IQ190" s="3"/>
      <c r="IR190" s="3"/>
      <c r="IS190" s="3"/>
      <c r="IT190" s="3"/>
      <c r="IU190" s="3"/>
      <c r="IV190" s="3"/>
      <c r="IW190" s="3"/>
      <c r="IX190" s="3"/>
      <c r="IY190" s="3"/>
      <c r="IZ190" s="3"/>
      <c r="JA190" s="3"/>
      <c r="JB190" s="3"/>
      <c r="JC190" s="3"/>
      <c r="JD190" s="3"/>
      <c r="JE190" s="3"/>
      <c r="JF190" s="3"/>
      <c r="JG190" s="3"/>
      <c r="JH190" s="3"/>
      <c r="JI190" s="3"/>
      <c r="JJ190" s="3"/>
      <c r="JK190" s="3"/>
      <c r="JL190" s="3"/>
      <c r="JM190" s="3"/>
      <c r="JN190" s="3"/>
      <c r="JO190" s="3"/>
      <c r="JP190" s="3"/>
      <c r="JQ190" s="3"/>
      <c r="JR190" s="3"/>
      <c r="JS190" s="3"/>
      <c r="JT190" s="3"/>
      <c r="JU190" s="3"/>
      <c r="JV190" s="3"/>
      <c r="JW190" s="3"/>
      <c r="JX190" s="3"/>
      <c r="JY190" s="3"/>
      <c r="JZ190" s="3"/>
      <c r="KA190" s="3"/>
      <c r="KB190" s="3"/>
      <c r="KC190" s="3"/>
      <c r="KD190" s="3"/>
      <c r="KE190" s="3"/>
      <c r="KF190" s="3"/>
      <c r="KG190" s="3"/>
      <c r="KH190" s="3"/>
      <c r="KI190" s="3"/>
      <c r="KJ190" s="3"/>
      <c r="KK190" s="3"/>
      <c r="KL190" s="3"/>
      <c r="KM190" s="3"/>
      <c r="KN190" s="3"/>
      <c r="KO190" s="3"/>
      <c r="KP190" s="3"/>
      <c r="KQ190" s="3"/>
      <c r="KR190" s="3"/>
      <c r="KS190" s="3"/>
      <c r="KT190" s="3"/>
      <c r="KU190" s="3"/>
      <c r="KV190" s="3"/>
      <c r="KW190" s="3"/>
      <c r="KX190" s="3"/>
      <c r="KY190" s="3"/>
      <c r="KZ190" s="3"/>
      <c r="LA190" s="3"/>
      <c r="LB190" s="3"/>
      <c r="LC190" s="3"/>
      <c r="LD190" s="3"/>
      <c r="LE190" s="3"/>
      <c r="LF190" s="3"/>
      <c r="LG190" s="3"/>
      <c r="LH190" s="3"/>
      <c r="LI190" s="3"/>
      <c r="LJ190" s="3"/>
      <c r="LK190" s="3"/>
      <c r="LL190" s="3"/>
      <c r="LM190" s="3"/>
      <c r="LN190" s="3"/>
      <c r="LO190" s="3"/>
      <c r="LP190" s="3"/>
      <c r="LQ190" s="3"/>
      <c r="LR190" s="3"/>
      <c r="LS190" s="3"/>
      <c r="LT190" s="3"/>
      <c r="LU190" s="3"/>
      <c r="LV190" s="3"/>
      <c r="LW190" s="3"/>
      <c r="LX190" s="3"/>
      <c r="LY190" s="3"/>
      <c r="LZ190" s="3"/>
      <c r="MA190" s="3"/>
      <c r="MB190" s="3"/>
      <c r="MC190" s="3"/>
      <c r="MD190" s="3"/>
      <c r="ME190" s="3"/>
      <c r="MF190" s="3"/>
      <c r="MG190" s="3"/>
      <c r="MH190" s="3"/>
      <c r="MI190" s="3"/>
      <c r="MJ190" s="3"/>
      <c r="MK190" s="3"/>
      <c r="ML190" s="3"/>
      <c r="MM190" s="3"/>
      <c r="MN190" s="3"/>
      <c r="MO190" s="3"/>
      <c r="MP190" s="3"/>
      <c r="MQ190" s="3"/>
      <c r="MR190" s="3"/>
      <c r="MS190" s="3"/>
      <c r="MT190" s="3"/>
      <c r="MU190" s="3"/>
      <c r="MV190" s="3"/>
      <c r="MW190" s="3"/>
      <c r="MX190" s="3"/>
      <c r="MY190" s="3"/>
      <c r="MZ190" s="3"/>
      <c r="NA190" s="3"/>
      <c r="NB190" s="3"/>
      <c r="NC190" s="3"/>
      <c r="ND190" s="3"/>
      <c r="NE190" s="3"/>
      <c r="NF190" s="3"/>
      <c r="NG190" s="3"/>
      <c r="NH190" s="3"/>
      <c r="NI190" s="3"/>
      <c r="NJ190" s="3"/>
      <c r="NK190" s="3"/>
      <c r="NL190" s="3"/>
      <c r="NM190" s="3"/>
      <c r="NN190" s="3"/>
      <c r="NO190" s="3"/>
      <c r="NP190" s="3"/>
      <c r="NQ190" s="3"/>
      <c r="NR190" s="3"/>
      <c r="NS190" s="3"/>
      <c r="NT190" s="3"/>
      <c r="NU190" s="3"/>
      <c r="NV190" s="3"/>
      <c r="NW190" s="3"/>
      <c r="NX190" s="3"/>
      <c r="NY190" s="3"/>
      <c r="NZ190" s="3"/>
      <c r="OA190" s="3"/>
      <c r="OB190" s="3"/>
      <c r="OC190" s="3"/>
      <c r="OD190" s="3"/>
      <c r="OE190" s="3"/>
      <c r="OF190" s="3"/>
      <c r="OG190" s="3"/>
      <c r="OH190" s="3"/>
      <c r="OI190" s="3"/>
      <c r="OJ190" s="3"/>
      <c r="OK190" s="3"/>
      <c r="OL190" s="3"/>
      <c r="OM190" s="3"/>
      <c r="ON190" s="3"/>
      <c r="OO190" s="3"/>
      <c r="OP190" s="3"/>
      <c r="OQ190" s="3"/>
      <c r="OR190" s="3"/>
      <c r="OS190" s="3"/>
      <c r="OT190" s="3"/>
      <c r="OU190" s="3"/>
      <c r="OV190" s="3"/>
      <c r="OW190" s="3"/>
      <c r="OX190" s="3"/>
      <c r="OY190" s="3"/>
      <c r="OZ190" s="3"/>
      <c r="PA190" s="3"/>
      <c r="PB190" s="3"/>
      <c r="PC190" s="3"/>
      <c r="PD190" s="3"/>
      <c r="PE190" s="3"/>
      <c r="PF190" s="3"/>
      <c r="PG190" s="3"/>
      <c r="PH190" s="3"/>
      <c r="PI190" s="3"/>
      <c r="PJ190" s="3"/>
      <c r="PK190" s="3"/>
      <c r="PL190" s="3"/>
      <c r="PM190" s="3"/>
      <c r="PN190" s="3"/>
      <c r="PO190" s="3"/>
      <c r="PP190" s="3"/>
      <c r="PQ190" s="3"/>
      <c r="PR190" s="3"/>
      <c r="PS190" s="3"/>
      <c r="PT190" s="3"/>
      <c r="PU190" s="3"/>
      <c r="PV190" s="3"/>
      <c r="PW190" s="3"/>
      <c r="PX190" s="3"/>
      <c r="PY190" s="3"/>
      <c r="PZ190" s="3"/>
      <c r="QA190" s="3"/>
      <c r="QB190" s="3"/>
      <c r="QC190" s="3"/>
      <c r="QD190" s="3"/>
      <c r="QE190" s="3"/>
      <c r="QF190" s="3"/>
      <c r="QG190" s="3"/>
      <c r="QH190" s="3"/>
      <c r="QI190" s="3"/>
      <c r="QJ190" s="3"/>
      <c r="QK190" s="3"/>
      <c r="QL190" s="3"/>
      <c r="QM190" s="3"/>
      <c r="QN190" s="3"/>
      <c r="QO190" s="3"/>
      <c r="QP190" s="3"/>
      <c r="QQ190" s="3"/>
      <c r="QR190" s="3"/>
      <c r="QS190" s="3"/>
      <c r="QT190" s="3"/>
      <c r="QU190" s="3"/>
      <c r="QV190" s="3"/>
      <c r="QW190" s="3"/>
      <c r="QX190" s="3"/>
      <c r="QY190" s="3"/>
      <c r="QZ190" s="3"/>
      <c r="RA190" s="3"/>
      <c r="RB190" s="3"/>
      <c r="RC190" s="3"/>
      <c r="RD190" s="3"/>
      <c r="RE190" s="3"/>
      <c r="RF190" s="3"/>
      <c r="RG190" s="3"/>
      <c r="RH190" s="3"/>
      <c r="RI190" s="3"/>
      <c r="RJ190" s="3"/>
      <c r="RK190" s="3"/>
      <c r="RL190" s="3"/>
      <c r="RM190" s="3"/>
      <c r="RN190" s="3"/>
      <c r="RO190" s="3"/>
      <c r="RP190" s="3"/>
      <c r="RQ190" s="3"/>
      <c r="RR190" s="3"/>
      <c r="RS190" s="3"/>
      <c r="RT190" s="3"/>
      <c r="RU190" s="3"/>
      <c r="RV190" s="3"/>
      <c r="RW190" s="3"/>
      <c r="RX190" s="3"/>
      <c r="RY190" s="3"/>
      <c r="RZ190" s="3"/>
      <c r="SA190" s="3"/>
      <c r="SB190" s="3"/>
      <c r="SC190" s="3"/>
      <c r="SD190" s="3"/>
      <c r="SE190" s="3"/>
      <c r="SF190" s="3"/>
      <c r="SG190" s="3"/>
      <c r="SH190" s="3"/>
      <c r="SI190" s="3"/>
      <c r="SJ190" s="3"/>
      <c r="SK190" s="3"/>
      <c r="SL190" s="3"/>
      <c r="SM190" s="3"/>
      <c r="SN190" s="3"/>
      <c r="SO190" s="3"/>
      <c r="SP190" s="3"/>
      <c r="SQ190" s="3"/>
      <c r="SR190" s="3"/>
      <c r="SS190" s="3"/>
      <c r="ST190" s="3"/>
      <c r="SU190" s="3"/>
      <c r="SV190" s="3"/>
      <c r="SW190" s="3"/>
      <c r="SX190" s="3"/>
      <c r="SY190" s="3"/>
      <c r="SZ190" s="3"/>
      <c r="TA190" s="3"/>
      <c r="TB190" s="3"/>
      <c r="TC190" s="3"/>
      <c r="TD190" s="3"/>
      <c r="TE190" s="3"/>
      <c r="TF190" s="3"/>
      <c r="TG190" s="3"/>
      <c r="TH190" s="3"/>
      <c r="TI190" s="3"/>
      <c r="TJ190" s="3"/>
      <c r="TK190" s="3"/>
      <c r="TL190" s="3"/>
      <c r="TM190" s="3"/>
      <c r="TN190" s="3"/>
      <c r="TO190" s="3"/>
      <c r="TP190" s="3"/>
      <c r="TQ190" s="3"/>
      <c r="TR190" s="3"/>
      <c r="TS190" s="3"/>
      <c r="TT190" s="3"/>
      <c r="TU190" s="3"/>
      <c r="TV190" s="3"/>
      <c r="TW190" s="3"/>
      <c r="TX190" s="3"/>
      <c r="TY190" s="3"/>
      <c r="TZ190" s="3"/>
      <c r="UA190" s="3"/>
      <c r="UB190" s="3"/>
      <c r="UC190" s="3"/>
      <c r="UD190" s="3"/>
      <c r="UE190" s="3"/>
      <c r="UF190" s="3"/>
      <c r="UG190" s="3"/>
      <c r="UH190" s="3"/>
      <c r="UI190" s="3"/>
      <c r="UJ190" s="3"/>
      <c r="UK190" s="3"/>
      <c r="UL190" s="3"/>
      <c r="UM190" s="3"/>
      <c r="UN190" s="3"/>
      <c r="UO190" s="3"/>
      <c r="UP190" s="3"/>
      <c r="UQ190" s="3"/>
      <c r="UR190" s="3"/>
      <c r="US190" s="3"/>
      <c r="UT190" s="3"/>
      <c r="UU190" s="3"/>
      <c r="UV190" s="3"/>
      <c r="UW190" s="3"/>
      <c r="UX190" s="3"/>
      <c r="UY190" s="3"/>
      <c r="UZ190" s="3"/>
      <c r="VA190" s="3"/>
      <c r="VB190" s="3"/>
      <c r="VC190" s="3"/>
      <c r="VD190" s="3"/>
      <c r="VE190" s="3"/>
      <c r="VF190" s="3"/>
      <c r="VG190" s="3"/>
      <c r="VH190" s="3"/>
      <c r="VI190" s="3"/>
      <c r="VJ190" s="3"/>
      <c r="VK190" s="3"/>
      <c r="VL190" s="3"/>
      <c r="VM190" s="3"/>
      <c r="VN190" s="3"/>
      <c r="VO190" s="3"/>
      <c r="VP190" s="3"/>
      <c r="VQ190" s="3"/>
      <c r="VR190" s="3"/>
      <c r="VS190" s="3"/>
      <c r="VT190" s="3"/>
      <c r="VU190" s="3"/>
      <c r="VV190" s="3"/>
      <c r="VW190" s="3"/>
      <c r="VX190" s="3"/>
      <c r="VY190" s="3"/>
      <c r="VZ190" s="3"/>
      <c r="WA190" s="3"/>
      <c r="WB190" s="3"/>
      <c r="WC190" s="3"/>
      <c r="WD190" s="3"/>
      <c r="WE190" s="3"/>
      <c r="WF190" s="3"/>
      <c r="WG190" s="3"/>
      <c r="WH190" s="3"/>
      <c r="WI190" s="3"/>
      <c r="WJ190" s="3"/>
      <c r="WK190" s="3"/>
      <c r="WL190" s="3"/>
      <c r="WM190" s="3"/>
      <c r="WN190" s="3"/>
      <c r="WO190" s="3"/>
      <c r="WP190" s="3"/>
      <c r="WQ190" s="3"/>
      <c r="WR190" s="3"/>
      <c r="WS190" s="3"/>
      <c r="WT190" s="3"/>
      <c r="WU190" s="3"/>
      <c r="WV190" s="3"/>
      <c r="WW190" s="3"/>
      <c r="WX190" s="3"/>
      <c r="WY190" s="3"/>
      <c r="WZ190" s="3"/>
      <c r="XA190" s="3"/>
      <c r="XB190" s="3"/>
      <c r="XC190" s="3"/>
      <c r="XD190" s="3"/>
      <c r="XE190" s="3"/>
      <c r="XF190" s="3"/>
      <c r="XG190" s="3"/>
      <c r="XH190" s="3"/>
      <c r="XI190" s="3"/>
      <c r="XJ190" s="3"/>
      <c r="XK190" s="3"/>
      <c r="XL190" s="3"/>
      <c r="XM190" s="3"/>
      <c r="XN190" s="3"/>
      <c r="XO190" s="3"/>
      <c r="XP190" s="3"/>
      <c r="XQ190" s="3"/>
      <c r="XR190" s="3"/>
      <c r="XS190" s="3"/>
      <c r="XT190" s="3"/>
      <c r="XU190" s="3"/>
      <c r="XV190" s="3"/>
      <c r="XW190" s="3"/>
      <c r="XX190" s="3"/>
      <c r="XY190" s="3"/>
      <c r="XZ190" s="3"/>
      <c r="YA190" s="3"/>
      <c r="YB190" s="3"/>
      <c r="YC190" s="3"/>
      <c r="YD190" s="3"/>
      <c r="YE190" s="3"/>
      <c r="YF190" s="3"/>
      <c r="YG190" s="3"/>
      <c r="YH190" s="3"/>
      <c r="YI190" s="3"/>
      <c r="YJ190" s="3"/>
      <c r="YK190" s="3"/>
      <c r="YL190" s="3"/>
      <c r="YM190" s="3"/>
      <c r="YN190" s="3"/>
      <c r="YO190" s="3"/>
      <c r="YP190" s="3"/>
      <c r="YQ190" s="3"/>
      <c r="YR190" s="3"/>
      <c r="YS190" s="3"/>
      <c r="YT190" s="3"/>
      <c r="YU190" s="3"/>
      <c r="YV190" s="3"/>
      <c r="YW190" s="3"/>
      <c r="YX190" s="3"/>
      <c r="YY190" s="3"/>
      <c r="YZ190" s="3"/>
      <c r="ZA190" s="3"/>
      <c r="ZB190" s="3"/>
      <c r="ZC190" s="3"/>
    </row>
    <row r="191" spans="1:679" s="2" customFormat="1" x14ac:dyDescent="0.45">
      <c r="A191" s="3" t="s">
        <v>11</v>
      </c>
      <c r="B191" s="4">
        <v>35913</v>
      </c>
      <c r="C191" s="7" t="s">
        <v>21</v>
      </c>
      <c r="D191" s="6" t="s">
        <v>206</v>
      </c>
      <c r="E191" s="3"/>
      <c r="F191" s="3">
        <v>4</v>
      </c>
      <c r="L191" s="3"/>
      <c r="M191" s="3"/>
      <c r="N191" s="48"/>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c r="DV191" s="3"/>
      <c r="DW191" s="3"/>
      <c r="DX191" s="3"/>
      <c r="DY191" s="3"/>
      <c r="DZ191" s="3"/>
      <c r="EA191" s="3"/>
      <c r="EB191" s="3"/>
      <c r="EC191" s="3"/>
      <c r="ED191" s="3"/>
      <c r="EE191" s="3"/>
      <c r="EF191" s="3"/>
      <c r="EG191" s="3"/>
      <c r="EH191" s="3"/>
      <c r="EI191" s="3"/>
      <c r="EJ191" s="3"/>
      <c r="EK191" s="3"/>
      <c r="EL191" s="3"/>
      <c r="EM191" s="3"/>
      <c r="EN191" s="3"/>
      <c r="EO191" s="3"/>
      <c r="EP191" s="3"/>
      <c r="EQ191" s="3"/>
      <c r="ER191" s="3"/>
      <c r="ES191" s="3"/>
      <c r="ET191" s="3"/>
      <c r="EU191" s="3"/>
      <c r="EV191" s="3"/>
      <c r="EW191" s="3"/>
      <c r="EX191" s="3"/>
      <c r="EY191" s="3"/>
      <c r="EZ191" s="3"/>
      <c r="FA191" s="3"/>
      <c r="FB191" s="3"/>
      <c r="FC191" s="3"/>
      <c r="FD191" s="3"/>
      <c r="FE191" s="3"/>
      <c r="FF191" s="3"/>
      <c r="FG191" s="3"/>
      <c r="FH191" s="3"/>
      <c r="FI191" s="3"/>
      <c r="FJ191" s="3"/>
      <c r="FK191" s="3"/>
      <c r="FL191" s="3"/>
      <c r="FM191" s="3"/>
      <c r="FN191" s="3"/>
      <c r="FO191" s="3"/>
      <c r="FP191" s="3"/>
      <c r="FQ191" s="3"/>
      <c r="FR191" s="3"/>
      <c r="FS191" s="3"/>
      <c r="FT191" s="3"/>
      <c r="FU191" s="3"/>
      <c r="FV191" s="3"/>
      <c r="FW191" s="3"/>
      <c r="FX191" s="3"/>
      <c r="FY191" s="3"/>
      <c r="FZ191" s="3"/>
      <c r="GA191" s="3"/>
      <c r="GB191" s="3"/>
      <c r="GC191" s="3"/>
      <c r="GD191" s="3"/>
      <c r="GE191" s="3"/>
      <c r="GF191" s="3"/>
      <c r="GG191" s="3"/>
      <c r="GH191" s="3"/>
      <c r="GI191" s="3"/>
      <c r="GJ191" s="3"/>
      <c r="GK191" s="3"/>
      <c r="GL191" s="3"/>
      <c r="GM191" s="3"/>
      <c r="GN191" s="3"/>
      <c r="GO191" s="3"/>
      <c r="GP191" s="3"/>
      <c r="GQ191" s="3"/>
      <c r="GR191" s="3"/>
      <c r="GS191" s="3"/>
      <c r="GT191" s="3"/>
      <c r="GU191" s="3"/>
      <c r="GV191" s="3"/>
      <c r="GW191" s="3"/>
      <c r="GX191" s="3"/>
      <c r="GY191" s="3"/>
      <c r="GZ191" s="3"/>
      <c r="HA191" s="3"/>
      <c r="HB191" s="3"/>
      <c r="HC191" s="3"/>
      <c r="HD191" s="3"/>
      <c r="HE191" s="3"/>
      <c r="HF191" s="3"/>
      <c r="HG191" s="3"/>
      <c r="HH191" s="3"/>
      <c r="HI191" s="3"/>
      <c r="HJ191" s="3"/>
      <c r="HK191" s="3"/>
      <c r="HL191" s="3"/>
      <c r="HM191" s="3"/>
      <c r="HN191" s="3"/>
      <c r="HO191" s="3"/>
      <c r="HP191" s="3"/>
      <c r="HQ191" s="3"/>
      <c r="HR191" s="3"/>
      <c r="HS191" s="3"/>
      <c r="HT191" s="3"/>
      <c r="HU191" s="3"/>
      <c r="HV191" s="3"/>
      <c r="HW191" s="3"/>
      <c r="HX191" s="3"/>
      <c r="HY191" s="3"/>
      <c r="HZ191" s="3"/>
      <c r="IA191" s="3"/>
      <c r="IB191" s="3"/>
      <c r="IC191" s="3"/>
      <c r="ID191" s="3"/>
      <c r="IE191" s="3"/>
      <c r="IF191" s="3"/>
      <c r="IG191" s="3"/>
      <c r="IH191" s="3"/>
      <c r="II191" s="3"/>
      <c r="IJ191" s="3"/>
      <c r="IK191" s="3"/>
      <c r="IL191" s="3"/>
      <c r="IM191" s="3"/>
      <c r="IN191" s="3"/>
      <c r="IO191" s="3"/>
      <c r="IP191" s="3"/>
      <c r="IQ191" s="3"/>
      <c r="IR191" s="3"/>
      <c r="IS191" s="3"/>
      <c r="IT191" s="3"/>
      <c r="IU191" s="3"/>
      <c r="IV191" s="3"/>
      <c r="IW191" s="3"/>
      <c r="IX191" s="3"/>
      <c r="IY191" s="3"/>
      <c r="IZ191" s="3"/>
      <c r="JA191" s="3"/>
      <c r="JB191" s="3"/>
      <c r="JC191" s="3"/>
      <c r="JD191" s="3"/>
      <c r="JE191" s="3"/>
      <c r="JF191" s="3"/>
      <c r="JG191" s="3"/>
      <c r="JH191" s="3"/>
      <c r="JI191" s="3"/>
      <c r="JJ191" s="3"/>
      <c r="JK191" s="3"/>
      <c r="JL191" s="3"/>
      <c r="JM191" s="3"/>
      <c r="JN191" s="3"/>
      <c r="JO191" s="3"/>
      <c r="JP191" s="3"/>
      <c r="JQ191" s="3"/>
      <c r="JR191" s="3"/>
      <c r="JS191" s="3"/>
      <c r="JT191" s="3"/>
      <c r="JU191" s="3"/>
      <c r="JV191" s="3"/>
      <c r="JW191" s="3"/>
      <c r="JX191" s="3"/>
      <c r="JY191" s="3"/>
      <c r="JZ191" s="3"/>
      <c r="KA191" s="3"/>
      <c r="KB191" s="3"/>
      <c r="KC191" s="3"/>
      <c r="KD191" s="3"/>
      <c r="KE191" s="3"/>
      <c r="KF191" s="3"/>
      <c r="KG191" s="3"/>
      <c r="KH191" s="3"/>
      <c r="KI191" s="3"/>
      <c r="KJ191" s="3"/>
      <c r="KK191" s="3"/>
      <c r="KL191" s="3"/>
      <c r="KM191" s="3"/>
      <c r="KN191" s="3"/>
      <c r="KO191" s="3"/>
      <c r="KP191" s="3"/>
      <c r="KQ191" s="3"/>
      <c r="KR191" s="3"/>
      <c r="KS191" s="3"/>
      <c r="KT191" s="3"/>
      <c r="KU191" s="3"/>
      <c r="KV191" s="3"/>
      <c r="KW191" s="3"/>
      <c r="KX191" s="3"/>
      <c r="KY191" s="3"/>
      <c r="KZ191" s="3"/>
      <c r="LA191" s="3"/>
      <c r="LB191" s="3"/>
      <c r="LC191" s="3"/>
      <c r="LD191" s="3"/>
      <c r="LE191" s="3"/>
      <c r="LF191" s="3"/>
      <c r="LG191" s="3"/>
      <c r="LH191" s="3"/>
      <c r="LI191" s="3"/>
      <c r="LJ191" s="3"/>
      <c r="LK191" s="3"/>
      <c r="LL191" s="3"/>
      <c r="LM191" s="3"/>
      <c r="LN191" s="3"/>
      <c r="LO191" s="3"/>
      <c r="LP191" s="3"/>
      <c r="LQ191" s="3"/>
      <c r="LR191" s="3"/>
      <c r="LS191" s="3"/>
      <c r="LT191" s="3"/>
      <c r="LU191" s="3"/>
      <c r="LV191" s="3"/>
      <c r="LW191" s="3"/>
      <c r="LX191" s="3"/>
      <c r="LY191" s="3"/>
      <c r="LZ191" s="3"/>
      <c r="MA191" s="3"/>
      <c r="MB191" s="3"/>
      <c r="MC191" s="3"/>
      <c r="MD191" s="3"/>
      <c r="ME191" s="3"/>
      <c r="MF191" s="3"/>
      <c r="MG191" s="3"/>
      <c r="MH191" s="3"/>
      <c r="MI191" s="3"/>
      <c r="MJ191" s="3"/>
      <c r="MK191" s="3"/>
      <c r="ML191" s="3"/>
      <c r="MM191" s="3"/>
      <c r="MN191" s="3"/>
      <c r="MO191" s="3"/>
      <c r="MP191" s="3"/>
      <c r="MQ191" s="3"/>
      <c r="MR191" s="3"/>
      <c r="MS191" s="3"/>
      <c r="MT191" s="3"/>
      <c r="MU191" s="3"/>
      <c r="MV191" s="3"/>
      <c r="MW191" s="3"/>
      <c r="MX191" s="3"/>
      <c r="MY191" s="3"/>
      <c r="MZ191" s="3"/>
      <c r="NA191" s="3"/>
      <c r="NB191" s="3"/>
      <c r="NC191" s="3"/>
      <c r="ND191" s="3"/>
      <c r="NE191" s="3"/>
      <c r="NF191" s="3"/>
      <c r="NG191" s="3"/>
      <c r="NH191" s="3"/>
      <c r="NI191" s="3"/>
      <c r="NJ191" s="3"/>
      <c r="NK191" s="3"/>
      <c r="NL191" s="3"/>
      <c r="NM191" s="3"/>
      <c r="NN191" s="3"/>
      <c r="NO191" s="3"/>
      <c r="NP191" s="3"/>
      <c r="NQ191" s="3"/>
      <c r="NR191" s="3"/>
      <c r="NS191" s="3"/>
      <c r="NT191" s="3"/>
      <c r="NU191" s="3"/>
      <c r="NV191" s="3"/>
      <c r="NW191" s="3"/>
      <c r="NX191" s="3"/>
      <c r="NY191" s="3"/>
      <c r="NZ191" s="3"/>
      <c r="OA191" s="3"/>
      <c r="OB191" s="3"/>
      <c r="OC191" s="3"/>
      <c r="OD191" s="3"/>
      <c r="OE191" s="3"/>
      <c r="OF191" s="3"/>
      <c r="OG191" s="3"/>
      <c r="OH191" s="3"/>
      <c r="OI191" s="3"/>
      <c r="OJ191" s="3"/>
      <c r="OK191" s="3"/>
      <c r="OL191" s="3"/>
      <c r="OM191" s="3"/>
      <c r="ON191" s="3"/>
      <c r="OO191" s="3"/>
      <c r="OP191" s="3"/>
      <c r="OQ191" s="3"/>
      <c r="OR191" s="3"/>
      <c r="OS191" s="3"/>
      <c r="OT191" s="3"/>
      <c r="OU191" s="3"/>
      <c r="OV191" s="3"/>
      <c r="OW191" s="3"/>
      <c r="OX191" s="3"/>
      <c r="OY191" s="3"/>
      <c r="OZ191" s="3"/>
      <c r="PA191" s="3"/>
      <c r="PB191" s="3"/>
      <c r="PC191" s="3"/>
      <c r="PD191" s="3"/>
      <c r="PE191" s="3"/>
      <c r="PF191" s="3"/>
      <c r="PG191" s="3"/>
      <c r="PH191" s="3"/>
      <c r="PI191" s="3"/>
      <c r="PJ191" s="3"/>
      <c r="PK191" s="3"/>
      <c r="PL191" s="3"/>
      <c r="PM191" s="3"/>
      <c r="PN191" s="3"/>
      <c r="PO191" s="3"/>
      <c r="PP191" s="3"/>
      <c r="PQ191" s="3"/>
      <c r="PR191" s="3"/>
      <c r="PS191" s="3"/>
      <c r="PT191" s="3"/>
      <c r="PU191" s="3"/>
      <c r="PV191" s="3"/>
      <c r="PW191" s="3"/>
      <c r="PX191" s="3"/>
      <c r="PY191" s="3"/>
      <c r="PZ191" s="3"/>
      <c r="QA191" s="3"/>
      <c r="QB191" s="3"/>
      <c r="QC191" s="3"/>
      <c r="QD191" s="3"/>
      <c r="QE191" s="3"/>
      <c r="QF191" s="3"/>
      <c r="QG191" s="3"/>
      <c r="QH191" s="3"/>
      <c r="QI191" s="3"/>
      <c r="QJ191" s="3"/>
      <c r="QK191" s="3"/>
      <c r="QL191" s="3"/>
      <c r="QM191" s="3"/>
      <c r="QN191" s="3"/>
      <c r="QO191" s="3"/>
      <c r="QP191" s="3"/>
      <c r="QQ191" s="3"/>
      <c r="QR191" s="3"/>
      <c r="QS191" s="3"/>
      <c r="QT191" s="3"/>
      <c r="QU191" s="3"/>
      <c r="QV191" s="3"/>
      <c r="QW191" s="3"/>
      <c r="QX191" s="3"/>
      <c r="QY191" s="3"/>
      <c r="QZ191" s="3"/>
      <c r="RA191" s="3"/>
      <c r="RB191" s="3"/>
      <c r="RC191" s="3"/>
      <c r="RD191" s="3"/>
      <c r="RE191" s="3"/>
      <c r="RF191" s="3"/>
      <c r="RG191" s="3"/>
      <c r="RH191" s="3"/>
      <c r="RI191" s="3"/>
      <c r="RJ191" s="3"/>
      <c r="RK191" s="3"/>
      <c r="RL191" s="3"/>
      <c r="RM191" s="3"/>
      <c r="RN191" s="3"/>
      <c r="RO191" s="3"/>
      <c r="RP191" s="3"/>
      <c r="RQ191" s="3"/>
      <c r="RR191" s="3"/>
      <c r="RS191" s="3"/>
      <c r="RT191" s="3"/>
      <c r="RU191" s="3"/>
      <c r="RV191" s="3"/>
      <c r="RW191" s="3"/>
      <c r="RX191" s="3"/>
      <c r="RY191" s="3"/>
      <c r="RZ191" s="3"/>
      <c r="SA191" s="3"/>
      <c r="SB191" s="3"/>
      <c r="SC191" s="3"/>
      <c r="SD191" s="3"/>
      <c r="SE191" s="3"/>
      <c r="SF191" s="3"/>
      <c r="SG191" s="3"/>
      <c r="SH191" s="3"/>
      <c r="SI191" s="3"/>
      <c r="SJ191" s="3"/>
      <c r="SK191" s="3"/>
      <c r="SL191" s="3"/>
      <c r="SM191" s="3"/>
      <c r="SN191" s="3"/>
      <c r="SO191" s="3"/>
      <c r="SP191" s="3"/>
      <c r="SQ191" s="3"/>
      <c r="SR191" s="3"/>
      <c r="SS191" s="3"/>
      <c r="ST191" s="3"/>
      <c r="SU191" s="3"/>
      <c r="SV191" s="3"/>
      <c r="SW191" s="3"/>
      <c r="SX191" s="3"/>
      <c r="SY191" s="3"/>
      <c r="SZ191" s="3"/>
      <c r="TA191" s="3"/>
      <c r="TB191" s="3"/>
      <c r="TC191" s="3"/>
      <c r="TD191" s="3"/>
      <c r="TE191" s="3"/>
      <c r="TF191" s="3"/>
      <c r="TG191" s="3"/>
      <c r="TH191" s="3"/>
      <c r="TI191" s="3"/>
      <c r="TJ191" s="3"/>
      <c r="TK191" s="3"/>
      <c r="TL191" s="3"/>
      <c r="TM191" s="3"/>
      <c r="TN191" s="3"/>
      <c r="TO191" s="3"/>
      <c r="TP191" s="3"/>
      <c r="TQ191" s="3"/>
      <c r="TR191" s="3"/>
      <c r="TS191" s="3"/>
      <c r="TT191" s="3"/>
      <c r="TU191" s="3"/>
      <c r="TV191" s="3"/>
      <c r="TW191" s="3"/>
      <c r="TX191" s="3"/>
      <c r="TY191" s="3"/>
      <c r="TZ191" s="3"/>
      <c r="UA191" s="3"/>
      <c r="UB191" s="3"/>
      <c r="UC191" s="3"/>
      <c r="UD191" s="3"/>
      <c r="UE191" s="3"/>
      <c r="UF191" s="3"/>
      <c r="UG191" s="3"/>
      <c r="UH191" s="3"/>
      <c r="UI191" s="3"/>
      <c r="UJ191" s="3"/>
      <c r="UK191" s="3"/>
      <c r="UL191" s="3"/>
      <c r="UM191" s="3"/>
      <c r="UN191" s="3"/>
      <c r="UO191" s="3"/>
      <c r="UP191" s="3"/>
      <c r="UQ191" s="3"/>
      <c r="UR191" s="3"/>
      <c r="US191" s="3"/>
      <c r="UT191" s="3"/>
      <c r="UU191" s="3"/>
      <c r="UV191" s="3"/>
      <c r="UW191" s="3"/>
      <c r="UX191" s="3"/>
      <c r="UY191" s="3"/>
      <c r="UZ191" s="3"/>
      <c r="VA191" s="3"/>
      <c r="VB191" s="3"/>
      <c r="VC191" s="3"/>
      <c r="VD191" s="3"/>
      <c r="VE191" s="3"/>
      <c r="VF191" s="3"/>
      <c r="VG191" s="3"/>
      <c r="VH191" s="3"/>
      <c r="VI191" s="3"/>
      <c r="VJ191" s="3"/>
      <c r="VK191" s="3"/>
      <c r="VL191" s="3"/>
      <c r="VM191" s="3"/>
      <c r="VN191" s="3"/>
      <c r="VO191" s="3"/>
      <c r="VP191" s="3"/>
      <c r="VQ191" s="3"/>
      <c r="VR191" s="3"/>
      <c r="VS191" s="3"/>
      <c r="VT191" s="3"/>
      <c r="VU191" s="3"/>
      <c r="VV191" s="3"/>
      <c r="VW191" s="3"/>
      <c r="VX191" s="3"/>
      <c r="VY191" s="3"/>
      <c r="VZ191" s="3"/>
      <c r="WA191" s="3"/>
      <c r="WB191" s="3"/>
      <c r="WC191" s="3"/>
      <c r="WD191" s="3"/>
      <c r="WE191" s="3"/>
      <c r="WF191" s="3"/>
      <c r="WG191" s="3"/>
      <c r="WH191" s="3"/>
      <c r="WI191" s="3"/>
      <c r="WJ191" s="3"/>
      <c r="WK191" s="3"/>
      <c r="WL191" s="3"/>
      <c r="WM191" s="3"/>
      <c r="WN191" s="3"/>
      <c r="WO191" s="3"/>
      <c r="WP191" s="3"/>
      <c r="WQ191" s="3"/>
      <c r="WR191" s="3"/>
      <c r="WS191" s="3"/>
      <c r="WT191" s="3"/>
      <c r="WU191" s="3"/>
      <c r="WV191" s="3"/>
      <c r="WW191" s="3"/>
      <c r="WX191" s="3"/>
      <c r="WY191" s="3"/>
      <c r="WZ191" s="3"/>
      <c r="XA191" s="3"/>
      <c r="XB191" s="3"/>
      <c r="XC191" s="3"/>
      <c r="XD191" s="3"/>
      <c r="XE191" s="3"/>
      <c r="XF191" s="3"/>
      <c r="XG191" s="3"/>
      <c r="XH191" s="3"/>
      <c r="XI191" s="3"/>
      <c r="XJ191" s="3"/>
      <c r="XK191" s="3"/>
      <c r="XL191" s="3"/>
      <c r="XM191" s="3"/>
      <c r="XN191" s="3"/>
      <c r="XO191" s="3"/>
      <c r="XP191" s="3"/>
      <c r="XQ191" s="3"/>
      <c r="XR191" s="3"/>
      <c r="XS191" s="3"/>
      <c r="XT191" s="3"/>
      <c r="XU191" s="3"/>
      <c r="XV191" s="3"/>
      <c r="XW191" s="3"/>
      <c r="XX191" s="3"/>
      <c r="XY191" s="3"/>
      <c r="XZ191" s="3"/>
      <c r="YA191" s="3"/>
      <c r="YB191" s="3"/>
      <c r="YC191" s="3"/>
      <c r="YD191" s="3"/>
      <c r="YE191" s="3"/>
      <c r="YF191" s="3"/>
      <c r="YG191" s="3"/>
      <c r="YH191" s="3"/>
      <c r="YI191" s="3"/>
      <c r="YJ191" s="3"/>
      <c r="YK191" s="3"/>
      <c r="YL191" s="3"/>
      <c r="YM191" s="3"/>
      <c r="YN191" s="3"/>
      <c r="YO191" s="3"/>
      <c r="YP191" s="3"/>
      <c r="YQ191" s="3"/>
      <c r="YR191" s="3"/>
      <c r="YS191" s="3"/>
      <c r="YT191" s="3"/>
      <c r="YU191" s="3"/>
      <c r="YV191" s="3"/>
      <c r="YW191" s="3"/>
      <c r="YX191" s="3"/>
      <c r="YY191" s="3"/>
      <c r="YZ191" s="3"/>
      <c r="ZA191" s="3"/>
      <c r="ZB191" s="3"/>
      <c r="ZC191" s="3"/>
    </row>
    <row r="192" spans="1:679" s="2" customFormat="1" x14ac:dyDescent="0.45">
      <c r="A192" s="3" t="s">
        <v>11</v>
      </c>
      <c r="B192" s="4">
        <v>35915</v>
      </c>
      <c r="C192" s="7" t="s">
        <v>21</v>
      </c>
      <c r="D192" s="6" t="s">
        <v>207</v>
      </c>
      <c r="E192" s="3"/>
      <c r="F192" s="3">
        <v>9</v>
      </c>
      <c r="L192" s="3"/>
      <c r="M192" s="3"/>
      <c r="N192" s="48"/>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c r="DV192" s="3"/>
      <c r="DW192" s="3"/>
      <c r="DX192" s="3"/>
      <c r="DY192" s="3"/>
      <c r="DZ192" s="3"/>
      <c r="EA192" s="3"/>
      <c r="EB192" s="3"/>
      <c r="EC192" s="3"/>
      <c r="ED192" s="3"/>
      <c r="EE192" s="3"/>
      <c r="EF192" s="3"/>
      <c r="EG192" s="3"/>
      <c r="EH192" s="3"/>
      <c r="EI192" s="3"/>
      <c r="EJ192" s="3"/>
      <c r="EK192" s="3"/>
      <c r="EL192" s="3"/>
      <c r="EM192" s="3"/>
      <c r="EN192" s="3"/>
      <c r="EO192" s="3"/>
      <c r="EP192" s="3"/>
      <c r="EQ192" s="3"/>
      <c r="ER192" s="3"/>
      <c r="ES192" s="3"/>
      <c r="ET192" s="3"/>
      <c r="EU192" s="3"/>
      <c r="EV192" s="3"/>
      <c r="EW192" s="3"/>
      <c r="EX192" s="3"/>
      <c r="EY192" s="3"/>
      <c r="EZ192" s="3"/>
      <c r="FA192" s="3"/>
      <c r="FB192" s="3"/>
      <c r="FC192" s="3"/>
      <c r="FD192" s="3"/>
      <c r="FE192" s="3"/>
      <c r="FF192" s="3"/>
      <c r="FG192" s="3"/>
      <c r="FH192" s="3"/>
      <c r="FI192" s="3"/>
      <c r="FJ192" s="3"/>
      <c r="FK192" s="3"/>
      <c r="FL192" s="3"/>
      <c r="FM192" s="3"/>
      <c r="FN192" s="3"/>
      <c r="FO192" s="3"/>
      <c r="FP192" s="3"/>
      <c r="FQ192" s="3"/>
      <c r="FR192" s="3"/>
      <c r="FS192" s="3"/>
      <c r="FT192" s="3"/>
      <c r="FU192" s="3"/>
      <c r="FV192" s="3"/>
      <c r="FW192" s="3"/>
      <c r="FX192" s="3"/>
      <c r="FY192" s="3"/>
      <c r="FZ192" s="3"/>
      <c r="GA192" s="3"/>
      <c r="GB192" s="3"/>
      <c r="GC192" s="3"/>
      <c r="GD192" s="3"/>
      <c r="GE192" s="3"/>
      <c r="GF192" s="3"/>
      <c r="GG192" s="3"/>
      <c r="GH192" s="3"/>
      <c r="GI192" s="3"/>
      <c r="GJ192" s="3"/>
      <c r="GK192" s="3"/>
      <c r="GL192" s="3"/>
      <c r="GM192" s="3"/>
      <c r="GN192" s="3"/>
      <c r="GO192" s="3"/>
      <c r="GP192" s="3"/>
      <c r="GQ192" s="3"/>
      <c r="GR192" s="3"/>
      <c r="GS192" s="3"/>
      <c r="GT192" s="3"/>
      <c r="GU192" s="3"/>
      <c r="GV192" s="3"/>
      <c r="GW192" s="3"/>
      <c r="GX192" s="3"/>
      <c r="GY192" s="3"/>
      <c r="GZ192" s="3"/>
      <c r="HA192" s="3"/>
      <c r="HB192" s="3"/>
      <c r="HC192" s="3"/>
      <c r="HD192" s="3"/>
      <c r="HE192" s="3"/>
      <c r="HF192" s="3"/>
      <c r="HG192" s="3"/>
      <c r="HH192" s="3"/>
      <c r="HI192" s="3"/>
      <c r="HJ192" s="3"/>
      <c r="HK192" s="3"/>
      <c r="HL192" s="3"/>
      <c r="HM192" s="3"/>
      <c r="HN192" s="3"/>
      <c r="HO192" s="3"/>
      <c r="HP192" s="3"/>
      <c r="HQ192" s="3"/>
      <c r="HR192" s="3"/>
      <c r="HS192" s="3"/>
      <c r="HT192" s="3"/>
      <c r="HU192" s="3"/>
      <c r="HV192" s="3"/>
      <c r="HW192" s="3"/>
      <c r="HX192" s="3"/>
      <c r="HY192" s="3"/>
      <c r="HZ192" s="3"/>
      <c r="IA192" s="3"/>
      <c r="IB192" s="3"/>
      <c r="IC192" s="3"/>
      <c r="ID192" s="3"/>
      <c r="IE192" s="3"/>
      <c r="IF192" s="3"/>
      <c r="IG192" s="3"/>
      <c r="IH192" s="3"/>
      <c r="II192" s="3"/>
      <c r="IJ192" s="3"/>
      <c r="IK192" s="3"/>
      <c r="IL192" s="3"/>
      <c r="IM192" s="3"/>
      <c r="IN192" s="3"/>
      <c r="IO192" s="3"/>
      <c r="IP192" s="3"/>
      <c r="IQ192" s="3"/>
      <c r="IR192" s="3"/>
      <c r="IS192" s="3"/>
      <c r="IT192" s="3"/>
      <c r="IU192" s="3"/>
      <c r="IV192" s="3"/>
      <c r="IW192" s="3"/>
      <c r="IX192" s="3"/>
      <c r="IY192" s="3"/>
      <c r="IZ192" s="3"/>
      <c r="JA192" s="3"/>
      <c r="JB192" s="3"/>
      <c r="JC192" s="3"/>
      <c r="JD192" s="3"/>
      <c r="JE192" s="3"/>
      <c r="JF192" s="3"/>
      <c r="JG192" s="3"/>
      <c r="JH192" s="3"/>
      <c r="JI192" s="3"/>
      <c r="JJ192" s="3"/>
      <c r="JK192" s="3"/>
      <c r="JL192" s="3"/>
      <c r="JM192" s="3"/>
      <c r="JN192" s="3"/>
      <c r="JO192" s="3"/>
      <c r="JP192" s="3"/>
      <c r="JQ192" s="3"/>
      <c r="JR192" s="3"/>
      <c r="JS192" s="3"/>
      <c r="JT192" s="3"/>
      <c r="JU192" s="3"/>
      <c r="JV192" s="3"/>
      <c r="JW192" s="3"/>
      <c r="JX192" s="3"/>
      <c r="JY192" s="3"/>
      <c r="JZ192" s="3"/>
      <c r="KA192" s="3"/>
      <c r="KB192" s="3"/>
      <c r="KC192" s="3"/>
      <c r="KD192" s="3"/>
      <c r="KE192" s="3"/>
      <c r="KF192" s="3"/>
      <c r="KG192" s="3"/>
      <c r="KH192" s="3"/>
      <c r="KI192" s="3"/>
      <c r="KJ192" s="3"/>
      <c r="KK192" s="3"/>
      <c r="KL192" s="3"/>
      <c r="KM192" s="3"/>
      <c r="KN192" s="3"/>
      <c r="KO192" s="3"/>
      <c r="KP192" s="3"/>
      <c r="KQ192" s="3"/>
      <c r="KR192" s="3"/>
      <c r="KS192" s="3"/>
      <c r="KT192" s="3"/>
      <c r="KU192" s="3"/>
      <c r="KV192" s="3"/>
      <c r="KW192" s="3"/>
      <c r="KX192" s="3"/>
      <c r="KY192" s="3"/>
      <c r="KZ192" s="3"/>
      <c r="LA192" s="3"/>
      <c r="LB192" s="3"/>
      <c r="LC192" s="3"/>
      <c r="LD192" s="3"/>
      <c r="LE192" s="3"/>
      <c r="LF192" s="3"/>
      <c r="LG192" s="3"/>
      <c r="LH192" s="3"/>
      <c r="LI192" s="3"/>
      <c r="LJ192" s="3"/>
      <c r="LK192" s="3"/>
      <c r="LL192" s="3"/>
      <c r="LM192" s="3"/>
      <c r="LN192" s="3"/>
      <c r="LO192" s="3"/>
      <c r="LP192" s="3"/>
      <c r="LQ192" s="3"/>
      <c r="LR192" s="3"/>
      <c r="LS192" s="3"/>
      <c r="LT192" s="3"/>
      <c r="LU192" s="3"/>
      <c r="LV192" s="3"/>
      <c r="LW192" s="3"/>
      <c r="LX192" s="3"/>
      <c r="LY192" s="3"/>
      <c r="LZ192" s="3"/>
      <c r="MA192" s="3"/>
      <c r="MB192" s="3"/>
      <c r="MC192" s="3"/>
      <c r="MD192" s="3"/>
      <c r="ME192" s="3"/>
      <c r="MF192" s="3"/>
      <c r="MG192" s="3"/>
      <c r="MH192" s="3"/>
      <c r="MI192" s="3"/>
      <c r="MJ192" s="3"/>
      <c r="MK192" s="3"/>
      <c r="ML192" s="3"/>
      <c r="MM192" s="3"/>
      <c r="MN192" s="3"/>
      <c r="MO192" s="3"/>
      <c r="MP192" s="3"/>
      <c r="MQ192" s="3"/>
      <c r="MR192" s="3"/>
      <c r="MS192" s="3"/>
      <c r="MT192" s="3"/>
      <c r="MU192" s="3"/>
      <c r="MV192" s="3"/>
      <c r="MW192" s="3"/>
      <c r="MX192" s="3"/>
      <c r="MY192" s="3"/>
      <c r="MZ192" s="3"/>
      <c r="NA192" s="3"/>
      <c r="NB192" s="3"/>
      <c r="NC192" s="3"/>
      <c r="ND192" s="3"/>
      <c r="NE192" s="3"/>
      <c r="NF192" s="3"/>
      <c r="NG192" s="3"/>
      <c r="NH192" s="3"/>
      <c r="NI192" s="3"/>
      <c r="NJ192" s="3"/>
      <c r="NK192" s="3"/>
      <c r="NL192" s="3"/>
      <c r="NM192" s="3"/>
      <c r="NN192" s="3"/>
      <c r="NO192" s="3"/>
      <c r="NP192" s="3"/>
      <c r="NQ192" s="3"/>
      <c r="NR192" s="3"/>
      <c r="NS192" s="3"/>
      <c r="NT192" s="3"/>
      <c r="NU192" s="3"/>
      <c r="NV192" s="3"/>
      <c r="NW192" s="3"/>
      <c r="NX192" s="3"/>
      <c r="NY192" s="3"/>
      <c r="NZ192" s="3"/>
      <c r="OA192" s="3"/>
      <c r="OB192" s="3"/>
      <c r="OC192" s="3"/>
      <c r="OD192" s="3"/>
      <c r="OE192" s="3"/>
      <c r="OF192" s="3"/>
      <c r="OG192" s="3"/>
      <c r="OH192" s="3"/>
      <c r="OI192" s="3"/>
      <c r="OJ192" s="3"/>
      <c r="OK192" s="3"/>
      <c r="OL192" s="3"/>
      <c r="OM192" s="3"/>
      <c r="ON192" s="3"/>
      <c r="OO192" s="3"/>
      <c r="OP192" s="3"/>
      <c r="OQ192" s="3"/>
      <c r="OR192" s="3"/>
      <c r="OS192" s="3"/>
      <c r="OT192" s="3"/>
      <c r="OU192" s="3"/>
      <c r="OV192" s="3"/>
      <c r="OW192" s="3"/>
      <c r="OX192" s="3"/>
      <c r="OY192" s="3"/>
      <c r="OZ192" s="3"/>
      <c r="PA192" s="3"/>
      <c r="PB192" s="3"/>
      <c r="PC192" s="3"/>
      <c r="PD192" s="3"/>
      <c r="PE192" s="3"/>
      <c r="PF192" s="3"/>
      <c r="PG192" s="3"/>
      <c r="PH192" s="3"/>
      <c r="PI192" s="3"/>
      <c r="PJ192" s="3"/>
      <c r="PK192" s="3"/>
      <c r="PL192" s="3"/>
      <c r="PM192" s="3"/>
      <c r="PN192" s="3"/>
      <c r="PO192" s="3"/>
      <c r="PP192" s="3"/>
      <c r="PQ192" s="3"/>
      <c r="PR192" s="3"/>
      <c r="PS192" s="3"/>
      <c r="PT192" s="3"/>
      <c r="PU192" s="3"/>
      <c r="PV192" s="3"/>
      <c r="PW192" s="3"/>
      <c r="PX192" s="3"/>
      <c r="PY192" s="3"/>
      <c r="PZ192" s="3"/>
      <c r="QA192" s="3"/>
      <c r="QB192" s="3"/>
      <c r="QC192" s="3"/>
      <c r="QD192" s="3"/>
      <c r="QE192" s="3"/>
      <c r="QF192" s="3"/>
      <c r="QG192" s="3"/>
      <c r="QH192" s="3"/>
      <c r="QI192" s="3"/>
      <c r="QJ192" s="3"/>
      <c r="QK192" s="3"/>
      <c r="QL192" s="3"/>
      <c r="QM192" s="3"/>
      <c r="QN192" s="3"/>
      <c r="QO192" s="3"/>
      <c r="QP192" s="3"/>
      <c r="QQ192" s="3"/>
      <c r="QR192" s="3"/>
      <c r="QS192" s="3"/>
      <c r="QT192" s="3"/>
      <c r="QU192" s="3"/>
      <c r="QV192" s="3"/>
      <c r="QW192" s="3"/>
      <c r="QX192" s="3"/>
      <c r="QY192" s="3"/>
      <c r="QZ192" s="3"/>
      <c r="RA192" s="3"/>
      <c r="RB192" s="3"/>
      <c r="RC192" s="3"/>
      <c r="RD192" s="3"/>
      <c r="RE192" s="3"/>
      <c r="RF192" s="3"/>
      <c r="RG192" s="3"/>
      <c r="RH192" s="3"/>
      <c r="RI192" s="3"/>
      <c r="RJ192" s="3"/>
      <c r="RK192" s="3"/>
      <c r="RL192" s="3"/>
      <c r="RM192" s="3"/>
      <c r="RN192" s="3"/>
      <c r="RO192" s="3"/>
      <c r="RP192" s="3"/>
      <c r="RQ192" s="3"/>
      <c r="RR192" s="3"/>
      <c r="RS192" s="3"/>
      <c r="RT192" s="3"/>
      <c r="RU192" s="3"/>
      <c r="RV192" s="3"/>
      <c r="RW192" s="3"/>
      <c r="RX192" s="3"/>
      <c r="RY192" s="3"/>
      <c r="RZ192" s="3"/>
      <c r="SA192" s="3"/>
      <c r="SB192" s="3"/>
      <c r="SC192" s="3"/>
      <c r="SD192" s="3"/>
      <c r="SE192" s="3"/>
      <c r="SF192" s="3"/>
      <c r="SG192" s="3"/>
      <c r="SH192" s="3"/>
      <c r="SI192" s="3"/>
      <c r="SJ192" s="3"/>
      <c r="SK192" s="3"/>
      <c r="SL192" s="3"/>
      <c r="SM192" s="3"/>
      <c r="SN192" s="3"/>
      <c r="SO192" s="3"/>
      <c r="SP192" s="3"/>
      <c r="SQ192" s="3"/>
      <c r="SR192" s="3"/>
      <c r="SS192" s="3"/>
      <c r="ST192" s="3"/>
      <c r="SU192" s="3"/>
      <c r="SV192" s="3"/>
      <c r="SW192" s="3"/>
      <c r="SX192" s="3"/>
      <c r="SY192" s="3"/>
      <c r="SZ192" s="3"/>
      <c r="TA192" s="3"/>
      <c r="TB192" s="3"/>
      <c r="TC192" s="3"/>
      <c r="TD192" s="3"/>
      <c r="TE192" s="3"/>
      <c r="TF192" s="3"/>
      <c r="TG192" s="3"/>
      <c r="TH192" s="3"/>
      <c r="TI192" s="3"/>
      <c r="TJ192" s="3"/>
      <c r="TK192" s="3"/>
      <c r="TL192" s="3"/>
      <c r="TM192" s="3"/>
      <c r="TN192" s="3"/>
      <c r="TO192" s="3"/>
      <c r="TP192" s="3"/>
      <c r="TQ192" s="3"/>
      <c r="TR192" s="3"/>
      <c r="TS192" s="3"/>
      <c r="TT192" s="3"/>
      <c r="TU192" s="3"/>
      <c r="TV192" s="3"/>
      <c r="TW192" s="3"/>
      <c r="TX192" s="3"/>
      <c r="TY192" s="3"/>
      <c r="TZ192" s="3"/>
      <c r="UA192" s="3"/>
      <c r="UB192" s="3"/>
      <c r="UC192" s="3"/>
      <c r="UD192" s="3"/>
      <c r="UE192" s="3"/>
      <c r="UF192" s="3"/>
      <c r="UG192" s="3"/>
      <c r="UH192" s="3"/>
      <c r="UI192" s="3"/>
      <c r="UJ192" s="3"/>
      <c r="UK192" s="3"/>
      <c r="UL192" s="3"/>
      <c r="UM192" s="3"/>
      <c r="UN192" s="3"/>
      <c r="UO192" s="3"/>
      <c r="UP192" s="3"/>
      <c r="UQ192" s="3"/>
      <c r="UR192" s="3"/>
      <c r="US192" s="3"/>
      <c r="UT192" s="3"/>
      <c r="UU192" s="3"/>
      <c r="UV192" s="3"/>
      <c r="UW192" s="3"/>
      <c r="UX192" s="3"/>
      <c r="UY192" s="3"/>
      <c r="UZ192" s="3"/>
      <c r="VA192" s="3"/>
      <c r="VB192" s="3"/>
      <c r="VC192" s="3"/>
      <c r="VD192" s="3"/>
      <c r="VE192" s="3"/>
      <c r="VF192" s="3"/>
      <c r="VG192" s="3"/>
      <c r="VH192" s="3"/>
      <c r="VI192" s="3"/>
      <c r="VJ192" s="3"/>
      <c r="VK192" s="3"/>
      <c r="VL192" s="3"/>
      <c r="VM192" s="3"/>
      <c r="VN192" s="3"/>
      <c r="VO192" s="3"/>
      <c r="VP192" s="3"/>
      <c r="VQ192" s="3"/>
      <c r="VR192" s="3"/>
      <c r="VS192" s="3"/>
      <c r="VT192" s="3"/>
      <c r="VU192" s="3"/>
      <c r="VV192" s="3"/>
      <c r="VW192" s="3"/>
      <c r="VX192" s="3"/>
      <c r="VY192" s="3"/>
      <c r="VZ192" s="3"/>
      <c r="WA192" s="3"/>
      <c r="WB192" s="3"/>
      <c r="WC192" s="3"/>
      <c r="WD192" s="3"/>
      <c r="WE192" s="3"/>
      <c r="WF192" s="3"/>
      <c r="WG192" s="3"/>
      <c r="WH192" s="3"/>
      <c r="WI192" s="3"/>
      <c r="WJ192" s="3"/>
      <c r="WK192" s="3"/>
      <c r="WL192" s="3"/>
      <c r="WM192" s="3"/>
      <c r="WN192" s="3"/>
      <c r="WO192" s="3"/>
      <c r="WP192" s="3"/>
      <c r="WQ192" s="3"/>
      <c r="WR192" s="3"/>
      <c r="WS192" s="3"/>
      <c r="WT192" s="3"/>
      <c r="WU192" s="3"/>
      <c r="WV192" s="3"/>
      <c r="WW192" s="3"/>
      <c r="WX192" s="3"/>
      <c r="WY192" s="3"/>
      <c r="WZ192" s="3"/>
      <c r="XA192" s="3"/>
      <c r="XB192" s="3"/>
      <c r="XC192" s="3"/>
      <c r="XD192" s="3"/>
      <c r="XE192" s="3"/>
      <c r="XF192" s="3"/>
      <c r="XG192" s="3"/>
      <c r="XH192" s="3"/>
      <c r="XI192" s="3"/>
      <c r="XJ192" s="3"/>
      <c r="XK192" s="3"/>
      <c r="XL192" s="3"/>
      <c r="XM192" s="3"/>
      <c r="XN192" s="3"/>
      <c r="XO192" s="3"/>
      <c r="XP192" s="3"/>
      <c r="XQ192" s="3"/>
      <c r="XR192" s="3"/>
      <c r="XS192" s="3"/>
      <c r="XT192" s="3"/>
      <c r="XU192" s="3"/>
      <c r="XV192" s="3"/>
      <c r="XW192" s="3"/>
      <c r="XX192" s="3"/>
      <c r="XY192" s="3"/>
      <c r="XZ192" s="3"/>
      <c r="YA192" s="3"/>
      <c r="YB192" s="3"/>
      <c r="YC192" s="3"/>
      <c r="YD192" s="3"/>
      <c r="YE192" s="3"/>
      <c r="YF192" s="3"/>
      <c r="YG192" s="3"/>
      <c r="YH192" s="3"/>
      <c r="YI192" s="3"/>
      <c r="YJ192" s="3"/>
      <c r="YK192" s="3"/>
      <c r="YL192" s="3"/>
      <c r="YM192" s="3"/>
      <c r="YN192" s="3"/>
      <c r="YO192" s="3"/>
      <c r="YP192" s="3"/>
      <c r="YQ192" s="3"/>
      <c r="YR192" s="3"/>
      <c r="YS192" s="3"/>
      <c r="YT192" s="3"/>
      <c r="YU192" s="3"/>
      <c r="YV192" s="3"/>
      <c r="YW192" s="3"/>
      <c r="YX192" s="3"/>
      <c r="YY192" s="3"/>
      <c r="YZ192" s="3"/>
      <c r="ZA192" s="3"/>
      <c r="ZB192" s="3"/>
      <c r="ZC192" s="3"/>
    </row>
    <row r="193" spans="1:679" s="2" customFormat="1" x14ac:dyDescent="0.45">
      <c r="A193" s="3" t="s">
        <v>11</v>
      </c>
      <c r="B193" s="4">
        <v>35923</v>
      </c>
      <c r="C193" s="7" t="s">
        <v>25</v>
      </c>
      <c r="D193" s="6" t="s">
        <v>208</v>
      </c>
      <c r="E193" s="3"/>
      <c r="F193" s="3">
        <v>11</v>
      </c>
      <c r="L193" s="3"/>
      <c r="M193" s="3"/>
      <c r="N193" s="48"/>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c r="DV193" s="3"/>
      <c r="DW193" s="3"/>
      <c r="DX193" s="3"/>
      <c r="DY193" s="3"/>
      <c r="DZ193" s="3"/>
      <c r="EA193" s="3"/>
      <c r="EB193" s="3"/>
      <c r="EC193" s="3"/>
      <c r="ED193" s="3"/>
      <c r="EE193" s="3"/>
      <c r="EF193" s="3"/>
      <c r="EG193" s="3"/>
      <c r="EH193" s="3"/>
      <c r="EI193" s="3"/>
      <c r="EJ193" s="3"/>
      <c r="EK193" s="3"/>
      <c r="EL193" s="3"/>
      <c r="EM193" s="3"/>
      <c r="EN193" s="3"/>
      <c r="EO193" s="3"/>
      <c r="EP193" s="3"/>
      <c r="EQ193" s="3"/>
      <c r="ER193" s="3"/>
      <c r="ES193" s="3"/>
      <c r="ET193" s="3"/>
      <c r="EU193" s="3"/>
      <c r="EV193" s="3"/>
      <c r="EW193" s="3"/>
      <c r="EX193" s="3"/>
      <c r="EY193" s="3"/>
      <c r="EZ193" s="3"/>
      <c r="FA193" s="3"/>
      <c r="FB193" s="3"/>
      <c r="FC193" s="3"/>
      <c r="FD193" s="3"/>
      <c r="FE193" s="3"/>
      <c r="FF193" s="3"/>
      <c r="FG193" s="3"/>
      <c r="FH193" s="3"/>
      <c r="FI193" s="3"/>
      <c r="FJ193" s="3"/>
      <c r="FK193" s="3"/>
      <c r="FL193" s="3"/>
      <c r="FM193" s="3"/>
      <c r="FN193" s="3"/>
      <c r="FO193" s="3"/>
      <c r="FP193" s="3"/>
      <c r="FQ193" s="3"/>
      <c r="FR193" s="3"/>
      <c r="FS193" s="3"/>
      <c r="FT193" s="3"/>
      <c r="FU193" s="3"/>
      <c r="FV193" s="3"/>
      <c r="FW193" s="3"/>
      <c r="FX193" s="3"/>
      <c r="FY193" s="3"/>
      <c r="FZ193" s="3"/>
      <c r="GA193" s="3"/>
      <c r="GB193" s="3"/>
      <c r="GC193" s="3"/>
      <c r="GD193" s="3"/>
      <c r="GE193" s="3"/>
      <c r="GF193" s="3"/>
      <c r="GG193" s="3"/>
      <c r="GH193" s="3"/>
      <c r="GI193" s="3"/>
      <c r="GJ193" s="3"/>
      <c r="GK193" s="3"/>
      <c r="GL193" s="3"/>
      <c r="GM193" s="3"/>
      <c r="GN193" s="3"/>
      <c r="GO193" s="3"/>
      <c r="GP193" s="3"/>
      <c r="GQ193" s="3"/>
      <c r="GR193" s="3"/>
      <c r="GS193" s="3"/>
      <c r="GT193" s="3"/>
      <c r="GU193" s="3"/>
      <c r="GV193" s="3"/>
      <c r="GW193" s="3"/>
      <c r="GX193" s="3"/>
      <c r="GY193" s="3"/>
      <c r="GZ193" s="3"/>
      <c r="HA193" s="3"/>
      <c r="HB193" s="3"/>
      <c r="HC193" s="3"/>
      <c r="HD193" s="3"/>
      <c r="HE193" s="3"/>
      <c r="HF193" s="3"/>
      <c r="HG193" s="3"/>
      <c r="HH193" s="3"/>
      <c r="HI193" s="3"/>
      <c r="HJ193" s="3"/>
      <c r="HK193" s="3"/>
      <c r="HL193" s="3"/>
      <c r="HM193" s="3"/>
      <c r="HN193" s="3"/>
      <c r="HO193" s="3"/>
      <c r="HP193" s="3"/>
      <c r="HQ193" s="3"/>
      <c r="HR193" s="3"/>
      <c r="HS193" s="3"/>
      <c r="HT193" s="3"/>
      <c r="HU193" s="3"/>
      <c r="HV193" s="3"/>
      <c r="HW193" s="3"/>
      <c r="HX193" s="3"/>
      <c r="HY193" s="3"/>
      <c r="HZ193" s="3"/>
      <c r="IA193" s="3"/>
      <c r="IB193" s="3"/>
      <c r="IC193" s="3"/>
      <c r="ID193" s="3"/>
      <c r="IE193" s="3"/>
      <c r="IF193" s="3"/>
      <c r="IG193" s="3"/>
      <c r="IH193" s="3"/>
      <c r="II193" s="3"/>
      <c r="IJ193" s="3"/>
      <c r="IK193" s="3"/>
      <c r="IL193" s="3"/>
      <c r="IM193" s="3"/>
      <c r="IN193" s="3"/>
      <c r="IO193" s="3"/>
      <c r="IP193" s="3"/>
      <c r="IQ193" s="3"/>
      <c r="IR193" s="3"/>
      <c r="IS193" s="3"/>
      <c r="IT193" s="3"/>
      <c r="IU193" s="3"/>
      <c r="IV193" s="3"/>
      <c r="IW193" s="3"/>
      <c r="IX193" s="3"/>
      <c r="IY193" s="3"/>
      <c r="IZ193" s="3"/>
      <c r="JA193" s="3"/>
      <c r="JB193" s="3"/>
      <c r="JC193" s="3"/>
      <c r="JD193" s="3"/>
      <c r="JE193" s="3"/>
      <c r="JF193" s="3"/>
      <c r="JG193" s="3"/>
      <c r="JH193" s="3"/>
      <c r="JI193" s="3"/>
      <c r="JJ193" s="3"/>
      <c r="JK193" s="3"/>
      <c r="JL193" s="3"/>
      <c r="JM193" s="3"/>
      <c r="JN193" s="3"/>
      <c r="JO193" s="3"/>
      <c r="JP193" s="3"/>
      <c r="JQ193" s="3"/>
      <c r="JR193" s="3"/>
      <c r="JS193" s="3"/>
      <c r="JT193" s="3"/>
      <c r="JU193" s="3"/>
      <c r="JV193" s="3"/>
      <c r="JW193" s="3"/>
      <c r="JX193" s="3"/>
      <c r="JY193" s="3"/>
      <c r="JZ193" s="3"/>
      <c r="KA193" s="3"/>
      <c r="KB193" s="3"/>
      <c r="KC193" s="3"/>
      <c r="KD193" s="3"/>
      <c r="KE193" s="3"/>
      <c r="KF193" s="3"/>
      <c r="KG193" s="3"/>
      <c r="KH193" s="3"/>
      <c r="KI193" s="3"/>
      <c r="KJ193" s="3"/>
      <c r="KK193" s="3"/>
      <c r="KL193" s="3"/>
      <c r="KM193" s="3"/>
      <c r="KN193" s="3"/>
      <c r="KO193" s="3"/>
      <c r="KP193" s="3"/>
      <c r="KQ193" s="3"/>
      <c r="KR193" s="3"/>
      <c r="KS193" s="3"/>
      <c r="KT193" s="3"/>
      <c r="KU193" s="3"/>
      <c r="KV193" s="3"/>
      <c r="KW193" s="3"/>
      <c r="KX193" s="3"/>
      <c r="KY193" s="3"/>
      <c r="KZ193" s="3"/>
      <c r="LA193" s="3"/>
      <c r="LB193" s="3"/>
      <c r="LC193" s="3"/>
      <c r="LD193" s="3"/>
      <c r="LE193" s="3"/>
      <c r="LF193" s="3"/>
      <c r="LG193" s="3"/>
      <c r="LH193" s="3"/>
      <c r="LI193" s="3"/>
      <c r="LJ193" s="3"/>
      <c r="LK193" s="3"/>
      <c r="LL193" s="3"/>
      <c r="LM193" s="3"/>
      <c r="LN193" s="3"/>
      <c r="LO193" s="3"/>
      <c r="LP193" s="3"/>
      <c r="LQ193" s="3"/>
      <c r="LR193" s="3"/>
      <c r="LS193" s="3"/>
      <c r="LT193" s="3"/>
      <c r="LU193" s="3"/>
      <c r="LV193" s="3"/>
      <c r="LW193" s="3"/>
      <c r="LX193" s="3"/>
      <c r="LY193" s="3"/>
      <c r="LZ193" s="3"/>
      <c r="MA193" s="3"/>
      <c r="MB193" s="3"/>
      <c r="MC193" s="3"/>
      <c r="MD193" s="3"/>
      <c r="ME193" s="3"/>
      <c r="MF193" s="3"/>
      <c r="MG193" s="3"/>
      <c r="MH193" s="3"/>
      <c r="MI193" s="3"/>
      <c r="MJ193" s="3"/>
      <c r="MK193" s="3"/>
      <c r="ML193" s="3"/>
      <c r="MM193" s="3"/>
      <c r="MN193" s="3"/>
      <c r="MO193" s="3"/>
      <c r="MP193" s="3"/>
      <c r="MQ193" s="3"/>
      <c r="MR193" s="3"/>
      <c r="MS193" s="3"/>
      <c r="MT193" s="3"/>
      <c r="MU193" s="3"/>
      <c r="MV193" s="3"/>
      <c r="MW193" s="3"/>
      <c r="MX193" s="3"/>
      <c r="MY193" s="3"/>
      <c r="MZ193" s="3"/>
      <c r="NA193" s="3"/>
      <c r="NB193" s="3"/>
      <c r="NC193" s="3"/>
      <c r="ND193" s="3"/>
      <c r="NE193" s="3"/>
      <c r="NF193" s="3"/>
      <c r="NG193" s="3"/>
      <c r="NH193" s="3"/>
      <c r="NI193" s="3"/>
      <c r="NJ193" s="3"/>
      <c r="NK193" s="3"/>
      <c r="NL193" s="3"/>
      <c r="NM193" s="3"/>
      <c r="NN193" s="3"/>
      <c r="NO193" s="3"/>
      <c r="NP193" s="3"/>
      <c r="NQ193" s="3"/>
      <c r="NR193" s="3"/>
      <c r="NS193" s="3"/>
      <c r="NT193" s="3"/>
      <c r="NU193" s="3"/>
      <c r="NV193" s="3"/>
      <c r="NW193" s="3"/>
      <c r="NX193" s="3"/>
      <c r="NY193" s="3"/>
      <c r="NZ193" s="3"/>
      <c r="OA193" s="3"/>
      <c r="OB193" s="3"/>
      <c r="OC193" s="3"/>
      <c r="OD193" s="3"/>
      <c r="OE193" s="3"/>
      <c r="OF193" s="3"/>
      <c r="OG193" s="3"/>
      <c r="OH193" s="3"/>
      <c r="OI193" s="3"/>
      <c r="OJ193" s="3"/>
      <c r="OK193" s="3"/>
      <c r="OL193" s="3"/>
      <c r="OM193" s="3"/>
      <c r="ON193" s="3"/>
      <c r="OO193" s="3"/>
      <c r="OP193" s="3"/>
      <c r="OQ193" s="3"/>
      <c r="OR193" s="3"/>
      <c r="OS193" s="3"/>
      <c r="OT193" s="3"/>
      <c r="OU193" s="3"/>
      <c r="OV193" s="3"/>
      <c r="OW193" s="3"/>
      <c r="OX193" s="3"/>
      <c r="OY193" s="3"/>
      <c r="OZ193" s="3"/>
      <c r="PA193" s="3"/>
      <c r="PB193" s="3"/>
      <c r="PC193" s="3"/>
      <c r="PD193" s="3"/>
      <c r="PE193" s="3"/>
      <c r="PF193" s="3"/>
      <c r="PG193" s="3"/>
      <c r="PH193" s="3"/>
      <c r="PI193" s="3"/>
      <c r="PJ193" s="3"/>
      <c r="PK193" s="3"/>
      <c r="PL193" s="3"/>
      <c r="PM193" s="3"/>
      <c r="PN193" s="3"/>
      <c r="PO193" s="3"/>
      <c r="PP193" s="3"/>
      <c r="PQ193" s="3"/>
      <c r="PR193" s="3"/>
      <c r="PS193" s="3"/>
      <c r="PT193" s="3"/>
      <c r="PU193" s="3"/>
      <c r="PV193" s="3"/>
      <c r="PW193" s="3"/>
      <c r="PX193" s="3"/>
      <c r="PY193" s="3"/>
      <c r="PZ193" s="3"/>
      <c r="QA193" s="3"/>
      <c r="QB193" s="3"/>
      <c r="QC193" s="3"/>
      <c r="QD193" s="3"/>
      <c r="QE193" s="3"/>
      <c r="QF193" s="3"/>
      <c r="QG193" s="3"/>
      <c r="QH193" s="3"/>
      <c r="QI193" s="3"/>
      <c r="QJ193" s="3"/>
      <c r="QK193" s="3"/>
      <c r="QL193" s="3"/>
      <c r="QM193" s="3"/>
      <c r="QN193" s="3"/>
      <c r="QO193" s="3"/>
      <c r="QP193" s="3"/>
      <c r="QQ193" s="3"/>
      <c r="QR193" s="3"/>
      <c r="QS193" s="3"/>
      <c r="QT193" s="3"/>
      <c r="QU193" s="3"/>
      <c r="QV193" s="3"/>
      <c r="QW193" s="3"/>
      <c r="QX193" s="3"/>
      <c r="QY193" s="3"/>
      <c r="QZ193" s="3"/>
      <c r="RA193" s="3"/>
      <c r="RB193" s="3"/>
      <c r="RC193" s="3"/>
      <c r="RD193" s="3"/>
      <c r="RE193" s="3"/>
      <c r="RF193" s="3"/>
      <c r="RG193" s="3"/>
      <c r="RH193" s="3"/>
      <c r="RI193" s="3"/>
      <c r="RJ193" s="3"/>
      <c r="RK193" s="3"/>
      <c r="RL193" s="3"/>
      <c r="RM193" s="3"/>
      <c r="RN193" s="3"/>
      <c r="RO193" s="3"/>
      <c r="RP193" s="3"/>
      <c r="RQ193" s="3"/>
      <c r="RR193" s="3"/>
      <c r="RS193" s="3"/>
      <c r="RT193" s="3"/>
      <c r="RU193" s="3"/>
      <c r="RV193" s="3"/>
      <c r="RW193" s="3"/>
      <c r="RX193" s="3"/>
      <c r="RY193" s="3"/>
      <c r="RZ193" s="3"/>
      <c r="SA193" s="3"/>
      <c r="SB193" s="3"/>
      <c r="SC193" s="3"/>
      <c r="SD193" s="3"/>
      <c r="SE193" s="3"/>
      <c r="SF193" s="3"/>
      <c r="SG193" s="3"/>
      <c r="SH193" s="3"/>
      <c r="SI193" s="3"/>
      <c r="SJ193" s="3"/>
      <c r="SK193" s="3"/>
      <c r="SL193" s="3"/>
      <c r="SM193" s="3"/>
      <c r="SN193" s="3"/>
      <c r="SO193" s="3"/>
      <c r="SP193" s="3"/>
      <c r="SQ193" s="3"/>
      <c r="SR193" s="3"/>
      <c r="SS193" s="3"/>
      <c r="ST193" s="3"/>
      <c r="SU193" s="3"/>
      <c r="SV193" s="3"/>
      <c r="SW193" s="3"/>
      <c r="SX193" s="3"/>
      <c r="SY193" s="3"/>
      <c r="SZ193" s="3"/>
      <c r="TA193" s="3"/>
      <c r="TB193" s="3"/>
      <c r="TC193" s="3"/>
      <c r="TD193" s="3"/>
      <c r="TE193" s="3"/>
      <c r="TF193" s="3"/>
      <c r="TG193" s="3"/>
      <c r="TH193" s="3"/>
      <c r="TI193" s="3"/>
      <c r="TJ193" s="3"/>
      <c r="TK193" s="3"/>
      <c r="TL193" s="3"/>
      <c r="TM193" s="3"/>
      <c r="TN193" s="3"/>
      <c r="TO193" s="3"/>
      <c r="TP193" s="3"/>
      <c r="TQ193" s="3"/>
      <c r="TR193" s="3"/>
      <c r="TS193" s="3"/>
      <c r="TT193" s="3"/>
      <c r="TU193" s="3"/>
      <c r="TV193" s="3"/>
      <c r="TW193" s="3"/>
      <c r="TX193" s="3"/>
      <c r="TY193" s="3"/>
      <c r="TZ193" s="3"/>
      <c r="UA193" s="3"/>
      <c r="UB193" s="3"/>
      <c r="UC193" s="3"/>
      <c r="UD193" s="3"/>
      <c r="UE193" s="3"/>
      <c r="UF193" s="3"/>
      <c r="UG193" s="3"/>
      <c r="UH193" s="3"/>
      <c r="UI193" s="3"/>
      <c r="UJ193" s="3"/>
      <c r="UK193" s="3"/>
      <c r="UL193" s="3"/>
      <c r="UM193" s="3"/>
      <c r="UN193" s="3"/>
      <c r="UO193" s="3"/>
      <c r="UP193" s="3"/>
      <c r="UQ193" s="3"/>
      <c r="UR193" s="3"/>
      <c r="US193" s="3"/>
      <c r="UT193" s="3"/>
      <c r="UU193" s="3"/>
      <c r="UV193" s="3"/>
      <c r="UW193" s="3"/>
      <c r="UX193" s="3"/>
      <c r="UY193" s="3"/>
      <c r="UZ193" s="3"/>
      <c r="VA193" s="3"/>
      <c r="VB193" s="3"/>
      <c r="VC193" s="3"/>
      <c r="VD193" s="3"/>
      <c r="VE193" s="3"/>
      <c r="VF193" s="3"/>
      <c r="VG193" s="3"/>
      <c r="VH193" s="3"/>
      <c r="VI193" s="3"/>
      <c r="VJ193" s="3"/>
      <c r="VK193" s="3"/>
      <c r="VL193" s="3"/>
      <c r="VM193" s="3"/>
      <c r="VN193" s="3"/>
      <c r="VO193" s="3"/>
      <c r="VP193" s="3"/>
      <c r="VQ193" s="3"/>
      <c r="VR193" s="3"/>
      <c r="VS193" s="3"/>
      <c r="VT193" s="3"/>
      <c r="VU193" s="3"/>
      <c r="VV193" s="3"/>
      <c r="VW193" s="3"/>
      <c r="VX193" s="3"/>
      <c r="VY193" s="3"/>
      <c r="VZ193" s="3"/>
      <c r="WA193" s="3"/>
      <c r="WB193" s="3"/>
      <c r="WC193" s="3"/>
      <c r="WD193" s="3"/>
      <c r="WE193" s="3"/>
      <c r="WF193" s="3"/>
      <c r="WG193" s="3"/>
      <c r="WH193" s="3"/>
      <c r="WI193" s="3"/>
      <c r="WJ193" s="3"/>
      <c r="WK193" s="3"/>
      <c r="WL193" s="3"/>
      <c r="WM193" s="3"/>
      <c r="WN193" s="3"/>
      <c r="WO193" s="3"/>
      <c r="WP193" s="3"/>
      <c r="WQ193" s="3"/>
      <c r="WR193" s="3"/>
      <c r="WS193" s="3"/>
      <c r="WT193" s="3"/>
      <c r="WU193" s="3"/>
      <c r="WV193" s="3"/>
      <c r="WW193" s="3"/>
      <c r="WX193" s="3"/>
      <c r="WY193" s="3"/>
      <c r="WZ193" s="3"/>
      <c r="XA193" s="3"/>
      <c r="XB193" s="3"/>
      <c r="XC193" s="3"/>
      <c r="XD193" s="3"/>
      <c r="XE193" s="3"/>
      <c r="XF193" s="3"/>
      <c r="XG193" s="3"/>
      <c r="XH193" s="3"/>
      <c r="XI193" s="3"/>
      <c r="XJ193" s="3"/>
      <c r="XK193" s="3"/>
      <c r="XL193" s="3"/>
      <c r="XM193" s="3"/>
      <c r="XN193" s="3"/>
      <c r="XO193" s="3"/>
      <c r="XP193" s="3"/>
      <c r="XQ193" s="3"/>
      <c r="XR193" s="3"/>
      <c r="XS193" s="3"/>
      <c r="XT193" s="3"/>
      <c r="XU193" s="3"/>
      <c r="XV193" s="3"/>
      <c r="XW193" s="3"/>
      <c r="XX193" s="3"/>
      <c r="XY193" s="3"/>
      <c r="XZ193" s="3"/>
      <c r="YA193" s="3"/>
      <c r="YB193" s="3"/>
      <c r="YC193" s="3"/>
      <c r="YD193" s="3"/>
      <c r="YE193" s="3"/>
      <c r="YF193" s="3"/>
      <c r="YG193" s="3"/>
      <c r="YH193" s="3"/>
      <c r="YI193" s="3"/>
      <c r="YJ193" s="3"/>
      <c r="YK193" s="3"/>
      <c r="YL193" s="3"/>
      <c r="YM193" s="3"/>
      <c r="YN193" s="3"/>
      <c r="YO193" s="3"/>
      <c r="YP193" s="3"/>
      <c r="YQ193" s="3"/>
      <c r="YR193" s="3"/>
      <c r="YS193" s="3"/>
      <c r="YT193" s="3"/>
      <c r="YU193" s="3"/>
      <c r="YV193" s="3"/>
      <c r="YW193" s="3"/>
      <c r="YX193" s="3"/>
      <c r="YY193" s="3"/>
      <c r="YZ193" s="3"/>
      <c r="ZA193" s="3"/>
      <c r="ZB193" s="3"/>
      <c r="ZC193" s="3"/>
    </row>
    <row r="194" spans="1:679" s="2" customFormat="1" x14ac:dyDescent="0.45">
      <c r="A194" s="3" t="s">
        <v>11</v>
      </c>
      <c r="B194" s="4">
        <v>35943</v>
      </c>
      <c r="C194" s="7" t="s">
        <v>21</v>
      </c>
      <c r="D194" s="6" t="s">
        <v>209</v>
      </c>
      <c r="E194" s="3"/>
      <c r="F194" s="3">
        <v>21</v>
      </c>
      <c r="L194" s="3"/>
      <c r="M194" s="3"/>
      <c r="N194" s="48"/>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c r="DV194" s="3"/>
      <c r="DW194" s="3"/>
      <c r="DX194" s="3"/>
      <c r="DY194" s="3"/>
      <c r="DZ194" s="3"/>
      <c r="EA194" s="3"/>
      <c r="EB194" s="3"/>
      <c r="EC194" s="3"/>
      <c r="ED194" s="3"/>
      <c r="EE194" s="3"/>
      <c r="EF194" s="3"/>
      <c r="EG194" s="3"/>
      <c r="EH194" s="3"/>
      <c r="EI194" s="3"/>
      <c r="EJ194" s="3"/>
      <c r="EK194" s="3"/>
      <c r="EL194" s="3"/>
      <c r="EM194" s="3"/>
      <c r="EN194" s="3"/>
      <c r="EO194" s="3"/>
      <c r="EP194" s="3"/>
      <c r="EQ194" s="3"/>
      <c r="ER194" s="3"/>
      <c r="ES194" s="3"/>
      <c r="ET194" s="3"/>
      <c r="EU194" s="3"/>
      <c r="EV194" s="3"/>
      <c r="EW194" s="3"/>
      <c r="EX194" s="3"/>
      <c r="EY194" s="3"/>
      <c r="EZ194" s="3"/>
      <c r="FA194" s="3"/>
      <c r="FB194" s="3"/>
      <c r="FC194" s="3"/>
      <c r="FD194" s="3"/>
      <c r="FE194" s="3"/>
      <c r="FF194" s="3"/>
      <c r="FG194" s="3"/>
      <c r="FH194" s="3"/>
      <c r="FI194" s="3"/>
      <c r="FJ194" s="3"/>
      <c r="FK194" s="3"/>
      <c r="FL194" s="3"/>
      <c r="FM194" s="3"/>
      <c r="FN194" s="3"/>
      <c r="FO194" s="3"/>
      <c r="FP194" s="3"/>
      <c r="FQ194" s="3"/>
      <c r="FR194" s="3"/>
      <c r="FS194" s="3"/>
      <c r="FT194" s="3"/>
      <c r="FU194" s="3"/>
      <c r="FV194" s="3"/>
      <c r="FW194" s="3"/>
      <c r="FX194" s="3"/>
      <c r="FY194" s="3"/>
      <c r="FZ194" s="3"/>
      <c r="GA194" s="3"/>
      <c r="GB194" s="3"/>
      <c r="GC194" s="3"/>
      <c r="GD194" s="3"/>
      <c r="GE194" s="3"/>
      <c r="GF194" s="3"/>
      <c r="GG194" s="3"/>
      <c r="GH194" s="3"/>
      <c r="GI194" s="3"/>
      <c r="GJ194" s="3"/>
      <c r="GK194" s="3"/>
      <c r="GL194" s="3"/>
      <c r="GM194" s="3"/>
      <c r="GN194" s="3"/>
      <c r="GO194" s="3"/>
      <c r="GP194" s="3"/>
      <c r="GQ194" s="3"/>
      <c r="GR194" s="3"/>
      <c r="GS194" s="3"/>
      <c r="GT194" s="3"/>
      <c r="GU194" s="3"/>
      <c r="GV194" s="3"/>
      <c r="GW194" s="3"/>
      <c r="GX194" s="3"/>
      <c r="GY194" s="3"/>
      <c r="GZ194" s="3"/>
      <c r="HA194" s="3"/>
      <c r="HB194" s="3"/>
      <c r="HC194" s="3"/>
      <c r="HD194" s="3"/>
      <c r="HE194" s="3"/>
      <c r="HF194" s="3"/>
      <c r="HG194" s="3"/>
      <c r="HH194" s="3"/>
      <c r="HI194" s="3"/>
      <c r="HJ194" s="3"/>
      <c r="HK194" s="3"/>
      <c r="HL194" s="3"/>
      <c r="HM194" s="3"/>
      <c r="HN194" s="3"/>
      <c r="HO194" s="3"/>
      <c r="HP194" s="3"/>
      <c r="HQ194" s="3"/>
      <c r="HR194" s="3"/>
      <c r="HS194" s="3"/>
      <c r="HT194" s="3"/>
      <c r="HU194" s="3"/>
      <c r="HV194" s="3"/>
      <c r="HW194" s="3"/>
      <c r="HX194" s="3"/>
      <c r="HY194" s="3"/>
      <c r="HZ194" s="3"/>
      <c r="IA194" s="3"/>
      <c r="IB194" s="3"/>
      <c r="IC194" s="3"/>
      <c r="ID194" s="3"/>
      <c r="IE194" s="3"/>
      <c r="IF194" s="3"/>
      <c r="IG194" s="3"/>
      <c r="IH194" s="3"/>
      <c r="II194" s="3"/>
      <c r="IJ194" s="3"/>
      <c r="IK194" s="3"/>
      <c r="IL194" s="3"/>
      <c r="IM194" s="3"/>
      <c r="IN194" s="3"/>
      <c r="IO194" s="3"/>
      <c r="IP194" s="3"/>
      <c r="IQ194" s="3"/>
      <c r="IR194" s="3"/>
      <c r="IS194" s="3"/>
      <c r="IT194" s="3"/>
      <c r="IU194" s="3"/>
      <c r="IV194" s="3"/>
      <c r="IW194" s="3"/>
      <c r="IX194" s="3"/>
      <c r="IY194" s="3"/>
      <c r="IZ194" s="3"/>
      <c r="JA194" s="3"/>
      <c r="JB194" s="3"/>
      <c r="JC194" s="3"/>
      <c r="JD194" s="3"/>
      <c r="JE194" s="3"/>
      <c r="JF194" s="3"/>
      <c r="JG194" s="3"/>
      <c r="JH194" s="3"/>
      <c r="JI194" s="3"/>
      <c r="JJ194" s="3"/>
      <c r="JK194" s="3"/>
      <c r="JL194" s="3"/>
      <c r="JM194" s="3"/>
      <c r="JN194" s="3"/>
      <c r="JO194" s="3"/>
      <c r="JP194" s="3"/>
      <c r="JQ194" s="3"/>
      <c r="JR194" s="3"/>
      <c r="JS194" s="3"/>
      <c r="JT194" s="3"/>
      <c r="JU194" s="3"/>
      <c r="JV194" s="3"/>
      <c r="JW194" s="3"/>
      <c r="JX194" s="3"/>
      <c r="JY194" s="3"/>
      <c r="JZ194" s="3"/>
      <c r="KA194" s="3"/>
      <c r="KB194" s="3"/>
      <c r="KC194" s="3"/>
      <c r="KD194" s="3"/>
      <c r="KE194" s="3"/>
      <c r="KF194" s="3"/>
      <c r="KG194" s="3"/>
      <c r="KH194" s="3"/>
      <c r="KI194" s="3"/>
      <c r="KJ194" s="3"/>
      <c r="KK194" s="3"/>
      <c r="KL194" s="3"/>
      <c r="KM194" s="3"/>
      <c r="KN194" s="3"/>
      <c r="KO194" s="3"/>
      <c r="KP194" s="3"/>
      <c r="KQ194" s="3"/>
      <c r="KR194" s="3"/>
      <c r="KS194" s="3"/>
      <c r="KT194" s="3"/>
      <c r="KU194" s="3"/>
      <c r="KV194" s="3"/>
      <c r="KW194" s="3"/>
      <c r="KX194" s="3"/>
      <c r="KY194" s="3"/>
      <c r="KZ194" s="3"/>
      <c r="LA194" s="3"/>
      <c r="LB194" s="3"/>
      <c r="LC194" s="3"/>
      <c r="LD194" s="3"/>
      <c r="LE194" s="3"/>
      <c r="LF194" s="3"/>
      <c r="LG194" s="3"/>
      <c r="LH194" s="3"/>
      <c r="LI194" s="3"/>
      <c r="LJ194" s="3"/>
      <c r="LK194" s="3"/>
      <c r="LL194" s="3"/>
      <c r="LM194" s="3"/>
      <c r="LN194" s="3"/>
      <c r="LO194" s="3"/>
      <c r="LP194" s="3"/>
      <c r="LQ194" s="3"/>
      <c r="LR194" s="3"/>
      <c r="LS194" s="3"/>
      <c r="LT194" s="3"/>
      <c r="LU194" s="3"/>
      <c r="LV194" s="3"/>
      <c r="LW194" s="3"/>
      <c r="LX194" s="3"/>
      <c r="LY194" s="3"/>
      <c r="LZ194" s="3"/>
      <c r="MA194" s="3"/>
      <c r="MB194" s="3"/>
      <c r="MC194" s="3"/>
      <c r="MD194" s="3"/>
      <c r="ME194" s="3"/>
      <c r="MF194" s="3"/>
      <c r="MG194" s="3"/>
      <c r="MH194" s="3"/>
      <c r="MI194" s="3"/>
      <c r="MJ194" s="3"/>
      <c r="MK194" s="3"/>
      <c r="ML194" s="3"/>
      <c r="MM194" s="3"/>
      <c r="MN194" s="3"/>
      <c r="MO194" s="3"/>
      <c r="MP194" s="3"/>
      <c r="MQ194" s="3"/>
      <c r="MR194" s="3"/>
      <c r="MS194" s="3"/>
      <c r="MT194" s="3"/>
      <c r="MU194" s="3"/>
      <c r="MV194" s="3"/>
      <c r="MW194" s="3"/>
      <c r="MX194" s="3"/>
      <c r="MY194" s="3"/>
      <c r="MZ194" s="3"/>
      <c r="NA194" s="3"/>
      <c r="NB194" s="3"/>
      <c r="NC194" s="3"/>
      <c r="ND194" s="3"/>
      <c r="NE194" s="3"/>
      <c r="NF194" s="3"/>
      <c r="NG194" s="3"/>
      <c r="NH194" s="3"/>
      <c r="NI194" s="3"/>
      <c r="NJ194" s="3"/>
      <c r="NK194" s="3"/>
      <c r="NL194" s="3"/>
      <c r="NM194" s="3"/>
      <c r="NN194" s="3"/>
      <c r="NO194" s="3"/>
      <c r="NP194" s="3"/>
      <c r="NQ194" s="3"/>
      <c r="NR194" s="3"/>
      <c r="NS194" s="3"/>
      <c r="NT194" s="3"/>
      <c r="NU194" s="3"/>
      <c r="NV194" s="3"/>
      <c r="NW194" s="3"/>
      <c r="NX194" s="3"/>
      <c r="NY194" s="3"/>
      <c r="NZ194" s="3"/>
      <c r="OA194" s="3"/>
      <c r="OB194" s="3"/>
      <c r="OC194" s="3"/>
      <c r="OD194" s="3"/>
      <c r="OE194" s="3"/>
      <c r="OF194" s="3"/>
      <c r="OG194" s="3"/>
      <c r="OH194" s="3"/>
      <c r="OI194" s="3"/>
      <c r="OJ194" s="3"/>
      <c r="OK194" s="3"/>
      <c r="OL194" s="3"/>
      <c r="OM194" s="3"/>
      <c r="ON194" s="3"/>
      <c r="OO194" s="3"/>
      <c r="OP194" s="3"/>
      <c r="OQ194" s="3"/>
      <c r="OR194" s="3"/>
      <c r="OS194" s="3"/>
      <c r="OT194" s="3"/>
      <c r="OU194" s="3"/>
      <c r="OV194" s="3"/>
      <c r="OW194" s="3"/>
      <c r="OX194" s="3"/>
      <c r="OY194" s="3"/>
      <c r="OZ194" s="3"/>
      <c r="PA194" s="3"/>
      <c r="PB194" s="3"/>
      <c r="PC194" s="3"/>
      <c r="PD194" s="3"/>
      <c r="PE194" s="3"/>
      <c r="PF194" s="3"/>
      <c r="PG194" s="3"/>
      <c r="PH194" s="3"/>
      <c r="PI194" s="3"/>
      <c r="PJ194" s="3"/>
      <c r="PK194" s="3"/>
      <c r="PL194" s="3"/>
      <c r="PM194" s="3"/>
      <c r="PN194" s="3"/>
      <c r="PO194" s="3"/>
      <c r="PP194" s="3"/>
      <c r="PQ194" s="3"/>
      <c r="PR194" s="3"/>
      <c r="PS194" s="3"/>
      <c r="PT194" s="3"/>
      <c r="PU194" s="3"/>
      <c r="PV194" s="3"/>
      <c r="PW194" s="3"/>
      <c r="PX194" s="3"/>
      <c r="PY194" s="3"/>
      <c r="PZ194" s="3"/>
      <c r="QA194" s="3"/>
      <c r="QB194" s="3"/>
      <c r="QC194" s="3"/>
      <c r="QD194" s="3"/>
      <c r="QE194" s="3"/>
      <c r="QF194" s="3"/>
      <c r="QG194" s="3"/>
      <c r="QH194" s="3"/>
      <c r="QI194" s="3"/>
      <c r="QJ194" s="3"/>
      <c r="QK194" s="3"/>
      <c r="QL194" s="3"/>
      <c r="QM194" s="3"/>
      <c r="QN194" s="3"/>
      <c r="QO194" s="3"/>
      <c r="QP194" s="3"/>
      <c r="QQ194" s="3"/>
      <c r="QR194" s="3"/>
      <c r="QS194" s="3"/>
      <c r="QT194" s="3"/>
      <c r="QU194" s="3"/>
      <c r="QV194" s="3"/>
      <c r="QW194" s="3"/>
      <c r="QX194" s="3"/>
      <c r="QY194" s="3"/>
      <c r="QZ194" s="3"/>
      <c r="RA194" s="3"/>
      <c r="RB194" s="3"/>
      <c r="RC194" s="3"/>
      <c r="RD194" s="3"/>
      <c r="RE194" s="3"/>
      <c r="RF194" s="3"/>
      <c r="RG194" s="3"/>
      <c r="RH194" s="3"/>
      <c r="RI194" s="3"/>
      <c r="RJ194" s="3"/>
      <c r="RK194" s="3"/>
      <c r="RL194" s="3"/>
      <c r="RM194" s="3"/>
      <c r="RN194" s="3"/>
      <c r="RO194" s="3"/>
      <c r="RP194" s="3"/>
      <c r="RQ194" s="3"/>
      <c r="RR194" s="3"/>
      <c r="RS194" s="3"/>
      <c r="RT194" s="3"/>
      <c r="RU194" s="3"/>
      <c r="RV194" s="3"/>
      <c r="RW194" s="3"/>
      <c r="RX194" s="3"/>
      <c r="RY194" s="3"/>
      <c r="RZ194" s="3"/>
      <c r="SA194" s="3"/>
      <c r="SB194" s="3"/>
      <c r="SC194" s="3"/>
      <c r="SD194" s="3"/>
      <c r="SE194" s="3"/>
      <c r="SF194" s="3"/>
      <c r="SG194" s="3"/>
      <c r="SH194" s="3"/>
      <c r="SI194" s="3"/>
      <c r="SJ194" s="3"/>
      <c r="SK194" s="3"/>
      <c r="SL194" s="3"/>
      <c r="SM194" s="3"/>
      <c r="SN194" s="3"/>
      <c r="SO194" s="3"/>
      <c r="SP194" s="3"/>
      <c r="SQ194" s="3"/>
      <c r="SR194" s="3"/>
      <c r="SS194" s="3"/>
      <c r="ST194" s="3"/>
      <c r="SU194" s="3"/>
      <c r="SV194" s="3"/>
      <c r="SW194" s="3"/>
      <c r="SX194" s="3"/>
      <c r="SY194" s="3"/>
      <c r="SZ194" s="3"/>
      <c r="TA194" s="3"/>
      <c r="TB194" s="3"/>
      <c r="TC194" s="3"/>
      <c r="TD194" s="3"/>
      <c r="TE194" s="3"/>
      <c r="TF194" s="3"/>
      <c r="TG194" s="3"/>
      <c r="TH194" s="3"/>
      <c r="TI194" s="3"/>
      <c r="TJ194" s="3"/>
      <c r="TK194" s="3"/>
      <c r="TL194" s="3"/>
      <c r="TM194" s="3"/>
      <c r="TN194" s="3"/>
      <c r="TO194" s="3"/>
      <c r="TP194" s="3"/>
      <c r="TQ194" s="3"/>
      <c r="TR194" s="3"/>
      <c r="TS194" s="3"/>
      <c r="TT194" s="3"/>
      <c r="TU194" s="3"/>
      <c r="TV194" s="3"/>
      <c r="TW194" s="3"/>
      <c r="TX194" s="3"/>
      <c r="TY194" s="3"/>
      <c r="TZ194" s="3"/>
      <c r="UA194" s="3"/>
      <c r="UB194" s="3"/>
      <c r="UC194" s="3"/>
      <c r="UD194" s="3"/>
      <c r="UE194" s="3"/>
      <c r="UF194" s="3"/>
      <c r="UG194" s="3"/>
      <c r="UH194" s="3"/>
      <c r="UI194" s="3"/>
      <c r="UJ194" s="3"/>
      <c r="UK194" s="3"/>
      <c r="UL194" s="3"/>
      <c r="UM194" s="3"/>
      <c r="UN194" s="3"/>
      <c r="UO194" s="3"/>
      <c r="UP194" s="3"/>
      <c r="UQ194" s="3"/>
      <c r="UR194" s="3"/>
      <c r="US194" s="3"/>
      <c r="UT194" s="3"/>
      <c r="UU194" s="3"/>
      <c r="UV194" s="3"/>
      <c r="UW194" s="3"/>
      <c r="UX194" s="3"/>
      <c r="UY194" s="3"/>
      <c r="UZ194" s="3"/>
      <c r="VA194" s="3"/>
      <c r="VB194" s="3"/>
      <c r="VC194" s="3"/>
      <c r="VD194" s="3"/>
      <c r="VE194" s="3"/>
      <c r="VF194" s="3"/>
      <c r="VG194" s="3"/>
      <c r="VH194" s="3"/>
      <c r="VI194" s="3"/>
      <c r="VJ194" s="3"/>
      <c r="VK194" s="3"/>
      <c r="VL194" s="3"/>
      <c r="VM194" s="3"/>
      <c r="VN194" s="3"/>
      <c r="VO194" s="3"/>
      <c r="VP194" s="3"/>
      <c r="VQ194" s="3"/>
      <c r="VR194" s="3"/>
      <c r="VS194" s="3"/>
      <c r="VT194" s="3"/>
      <c r="VU194" s="3"/>
      <c r="VV194" s="3"/>
      <c r="VW194" s="3"/>
      <c r="VX194" s="3"/>
      <c r="VY194" s="3"/>
      <c r="VZ194" s="3"/>
      <c r="WA194" s="3"/>
      <c r="WB194" s="3"/>
      <c r="WC194" s="3"/>
      <c r="WD194" s="3"/>
      <c r="WE194" s="3"/>
      <c r="WF194" s="3"/>
      <c r="WG194" s="3"/>
      <c r="WH194" s="3"/>
      <c r="WI194" s="3"/>
      <c r="WJ194" s="3"/>
      <c r="WK194" s="3"/>
      <c r="WL194" s="3"/>
      <c r="WM194" s="3"/>
      <c r="WN194" s="3"/>
      <c r="WO194" s="3"/>
      <c r="WP194" s="3"/>
      <c r="WQ194" s="3"/>
      <c r="WR194" s="3"/>
      <c r="WS194" s="3"/>
      <c r="WT194" s="3"/>
      <c r="WU194" s="3"/>
      <c r="WV194" s="3"/>
      <c r="WW194" s="3"/>
      <c r="WX194" s="3"/>
      <c r="WY194" s="3"/>
      <c r="WZ194" s="3"/>
      <c r="XA194" s="3"/>
      <c r="XB194" s="3"/>
      <c r="XC194" s="3"/>
      <c r="XD194" s="3"/>
      <c r="XE194" s="3"/>
      <c r="XF194" s="3"/>
      <c r="XG194" s="3"/>
      <c r="XH194" s="3"/>
      <c r="XI194" s="3"/>
      <c r="XJ194" s="3"/>
      <c r="XK194" s="3"/>
      <c r="XL194" s="3"/>
      <c r="XM194" s="3"/>
      <c r="XN194" s="3"/>
      <c r="XO194" s="3"/>
      <c r="XP194" s="3"/>
      <c r="XQ194" s="3"/>
      <c r="XR194" s="3"/>
      <c r="XS194" s="3"/>
      <c r="XT194" s="3"/>
      <c r="XU194" s="3"/>
      <c r="XV194" s="3"/>
      <c r="XW194" s="3"/>
      <c r="XX194" s="3"/>
      <c r="XY194" s="3"/>
      <c r="XZ194" s="3"/>
      <c r="YA194" s="3"/>
      <c r="YB194" s="3"/>
      <c r="YC194" s="3"/>
      <c r="YD194" s="3"/>
      <c r="YE194" s="3"/>
      <c r="YF194" s="3"/>
      <c r="YG194" s="3"/>
      <c r="YH194" s="3"/>
      <c r="YI194" s="3"/>
      <c r="YJ194" s="3"/>
      <c r="YK194" s="3"/>
      <c r="YL194" s="3"/>
      <c r="YM194" s="3"/>
      <c r="YN194" s="3"/>
      <c r="YO194" s="3"/>
      <c r="YP194" s="3"/>
      <c r="YQ194" s="3"/>
      <c r="YR194" s="3"/>
      <c r="YS194" s="3"/>
      <c r="YT194" s="3"/>
      <c r="YU194" s="3"/>
      <c r="YV194" s="3"/>
      <c r="YW194" s="3"/>
      <c r="YX194" s="3"/>
      <c r="YY194" s="3"/>
      <c r="YZ194" s="3"/>
      <c r="ZA194" s="3"/>
      <c r="ZB194" s="3"/>
      <c r="ZC194" s="3"/>
    </row>
    <row r="195" spans="1:679" s="2" customFormat="1" x14ac:dyDescent="0.45">
      <c r="A195" s="3" t="s">
        <v>11</v>
      </c>
      <c r="B195" s="4">
        <v>35975</v>
      </c>
      <c r="C195" s="7" t="s">
        <v>21</v>
      </c>
      <c r="D195" s="6" t="s">
        <v>210</v>
      </c>
      <c r="E195" s="3"/>
      <c r="F195" s="3">
        <v>2</v>
      </c>
      <c r="L195" s="3"/>
      <c r="M195" s="3"/>
      <c r="N195" s="48"/>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c r="DV195" s="3"/>
      <c r="DW195" s="3"/>
      <c r="DX195" s="3"/>
      <c r="DY195" s="3"/>
      <c r="DZ195" s="3"/>
      <c r="EA195" s="3"/>
      <c r="EB195" s="3"/>
      <c r="EC195" s="3"/>
      <c r="ED195" s="3"/>
      <c r="EE195" s="3"/>
      <c r="EF195" s="3"/>
      <c r="EG195" s="3"/>
      <c r="EH195" s="3"/>
      <c r="EI195" s="3"/>
      <c r="EJ195" s="3"/>
      <c r="EK195" s="3"/>
      <c r="EL195" s="3"/>
      <c r="EM195" s="3"/>
      <c r="EN195" s="3"/>
      <c r="EO195" s="3"/>
      <c r="EP195" s="3"/>
      <c r="EQ195" s="3"/>
      <c r="ER195" s="3"/>
      <c r="ES195" s="3"/>
      <c r="ET195" s="3"/>
      <c r="EU195" s="3"/>
      <c r="EV195" s="3"/>
      <c r="EW195" s="3"/>
      <c r="EX195" s="3"/>
      <c r="EY195" s="3"/>
      <c r="EZ195" s="3"/>
      <c r="FA195" s="3"/>
      <c r="FB195" s="3"/>
      <c r="FC195" s="3"/>
      <c r="FD195" s="3"/>
      <c r="FE195" s="3"/>
      <c r="FF195" s="3"/>
      <c r="FG195" s="3"/>
      <c r="FH195" s="3"/>
      <c r="FI195" s="3"/>
      <c r="FJ195" s="3"/>
      <c r="FK195" s="3"/>
      <c r="FL195" s="3"/>
      <c r="FM195" s="3"/>
      <c r="FN195" s="3"/>
      <c r="FO195" s="3"/>
      <c r="FP195" s="3"/>
      <c r="FQ195" s="3"/>
      <c r="FR195" s="3"/>
      <c r="FS195" s="3"/>
      <c r="FT195" s="3"/>
      <c r="FU195" s="3"/>
      <c r="FV195" s="3"/>
      <c r="FW195" s="3"/>
      <c r="FX195" s="3"/>
      <c r="FY195" s="3"/>
      <c r="FZ195" s="3"/>
      <c r="GA195" s="3"/>
      <c r="GB195" s="3"/>
      <c r="GC195" s="3"/>
      <c r="GD195" s="3"/>
      <c r="GE195" s="3"/>
      <c r="GF195" s="3"/>
      <c r="GG195" s="3"/>
      <c r="GH195" s="3"/>
      <c r="GI195" s="3"/>
      <c r="GJ195" s="3"/>
      <c r="GK195" s="3"/>
      <c r="GL195" s="3"/>
      <c r="GM195" s="3"/>
      <c r="GN195" s="3"/>
      <c r="GO195" s="3"/>
      <c r="GP195" s="3"/>
      <c r="GQ195" s="3"/>
      <c r="GR195" s="3"/>
      <c r="GS195" s="3"/>
      <c r="GT195" s="3"/>
      <c r="GU195" s="3"/>
      <c r="GV195" s="3"/>
      <c r="GW195" s="3"/>
      <c r="GX195" s="3"/>
      <c r="GY195" s="3"/>
      <c r="GZ195" s="3"/>
      <c r="HA195" s="3"/>
      <c r="HB195" s="3"/>
      <c r="HC195" s="3"/>
      <c r="HD195" s="3"/>
      <c r="HE195" s="3"/>
      <c r="HF195" s="3"/>
      <c r="HG195" s="3"/>
      <c r="HH195" s="3"/>
      <c r="HI195" s="3"/>
      <c r="HJ195" s="3"/>
      <c r="HK195" s="3"/>
      <c r="HL195" s="3"/>
      <c r="HM195" s="3"/>
      <c r="HN195" s="3"/>
      <c r="HO195" s="3"/>
      <c r="HP195" s="3"/>
      <c r="HQ195" s="3"/>
      <c r="HR195" s="3"/>
      <c r="HS195" s="3"/>
      <c r="HT195" s="3"/>
      <c r="HU195" s="3"/>
      <c r="HV195" s="3"/>
      <c r="HW195" s="3"/>
      <c r="HX195" s="3"/>
      <c r="HY195" s="3"/>
      <c r="HZ195" s="3"/>
      <c r="IA195" s="3"/>
      <c r="IB195" s="3"/>
      <c r="IC195" s="3"/>
      <c r="ID195" s="3"/>
      <c r="IE195" s="3"/>
      <c r="IF195" s="3"/>
      <c r="IG195" s="3"/>
      <c r="IH195" s="3"/>
      <c r="II195" s="3"/>
      <c r="IJ195" s="3"/>
      <c r="IK195" s="3"/>
      <c r="IL195" s="3"/>
      <c r="IM195" s="3"/>
      <c r="IN195" s="3"/>
      <c r="IO195" s="3"/>
      <c r="IP195" s="3"/>
      <c r="IQ195" s="3"/>
      <c r="IR195" s="3"/>
      <c r="IS195" s="3"/>
      <c r="IT195" s="3"/>
      <c r="IU195" s="3"/>
      <c r="IV195" s="3"/>
      <c r="IW195" s="3"/>
      <c r="IX195" s="3"/>
      <c r="IY195" s="3"/>
      <c r="IZ195" s="3"/>
      <c r="JA195" s="3"/>
      <c r="JB195" s="3"/>
      <c r="JC195" s="3"/>
      <c r="JD195" s="3"/>
      <c r="JE195" s="3"/>
      <c r="JF195" s="3"/>
      <c r="JG195" s="3"/>
      <c r="JH195" s="3"/>
      <c r="JI195" s="3"/>
      <c r="JJ195" s="3"/>
      <c r="JK195" s="3"/>
      <c r="JL195" s="3"/>
      <c r="JM195" s="3"/>
      <c r="JN195" s="3"/>
      <c r="JO195" s="3"/>
      <c r="JP195" s="3"/>
      <c r="JQ195" s="3"/>
      <c r="JR195" s="3"/>
      <c r="JS195" s="3"/>
      <c r="JT195" s="3"/>
      <c r="JU195" s="3"/>
      <c r="JV195" s="3"/>
      <c r="JW195" s="3"/>
      <c r="JX195" s="3"/>
      <c r="JY195" s="3"/>
      <c r="JZ195" s="3"/>
      <c r="KA195" s="3"/>
      <c r="KB195" s="3"/>
      <c r="KC195" s="3"/>
      <c r="KD195" s="3"/>
      <c r="KE195" s="3"/>
      <c r="KF195" s="3"/>
      <c r="KG195" s="3"/>
      <c r="KH195" s="3"/>
      <c r="KI195" s="3"/>
      <c r="KJ195" s="3"/>
      <c r="KK195" s="3"/>
      <c r="KL195" s="3"/>
      <c r="KM195" s="3"/>
      <c r="KN195" s="3"/>
      <c r="KO195" s="3"/>
      <c r="KP195" s="3"/>
      <c r="KQ195" s="3"/>
      <c r="KR195" s="3"/>
      <c r="KS195" s="3"/>
      <c r="KT195" s="3"/>
      <c r="KU195" s="3"/>
      <c r="KV195" s="3"/>
      <c r="KW195" s="3"/>
      <c r="KX195" s="3"/>
      <c r="KY195" s="3"/>
      <c r="KZ195" s="3"/>
      <c r="LA195" s="3"/>
      <c r="LB195" s="3"/>
      <c r="LC195" s="3"/>
      <c r="LD195" s="3"/>
      <c r="LE195" s="3"/>
      <c r="LF195" s="3"/>
      <c r="LG195" s="3"/>
      <c r="LH195" s="3"/>
      <c r="LI195" s="3"/>
      <c r="LJ195" s="3"/>
      <c r="LK195" s="3"/>
      <c r="LL195" s="3"/>
      <c r="LM195" s="3"/>
      <c r="LN195" s="3"/>
      <c r="LO195" s="3"/>
      <c r="LP195" s="3"/>
      <c r="LQ195" s="3"/>
      <c r="LR195" s="3"/>
      <c r="LS195" s="3"/>
      <c r="LT195" s="3"/>
      <c r="LU195" s="3"/>
      <c r="LV195" s="3"/>
      <c r="LW195" s="3"/>
      <c r="LX195" s="3"/>
      <c r="LY195" s="3"/>
      <c r="LZ195" s="3"/>
      <c r="MA195" s="3"/>
      <c r="MB195" s="3"/>
      <c r="MC195" s="3"/>
      <c r="MD195" s="3"/>
      <c r="ME195" s="3"/>
      <c r="MF195" s="3"/>
      <c r="MG195" s="3"/>
      <c r="MH195" s="3"/>
      <c r="MI195" s="3"/>
      <c r="MJ195" s="3"/>
      <c r="MK195" s="3"/>
      <c r="ML195" s="3"/>
      <c r="MM195" s="3"/>
      <c r="MN195" s="3"/>
      <c r="MO195" s="3"/>
      <c r="MP195" s="3"/>
      <c r="MQ195" s="3"/>
      <c r="MR195" s="3"/>
      <c r="MS195" s="3"/>
      <c r="MT195" s="3"/>
      <c r="MU195" s="3"/>
      <c r="MV195" s="3"/>
      <c r="MW195" s="3"/>
      <c r="MX195" s="3"/>
      <c r="MY195" s="3"/>
      <c r="MZ195" s="3"/>
      <c r="NA195" s="3"/>
      <c r="NB195" s="3"/>
      <c r="NC195" s="3"/>
      <c r="ND195" s="3"/>
      <c r="NE195" s="3"/>
      <c r="NF195" s="3"/>
      <c r="NG195" s="3"/>
      <c r="NH195" s="3"/>
      <c r="NI195" s="3"/>
      <c r="NJ195" s="3"/>
      <c r="NK195" s="3"/>
      <c r="NL195" s="3"/>
      <c r="NM195" s="3"/>
      <c r="NN195" s="3"/>
      <c r="NO195" s="3"/>
      <c r="NP195" s="3"/>
      <c r="NQ195" s="3"/>
      <c r="NR195" s="3"/>
      <c r="NS195" s="3"/>
      <c r="NT195" s="3"/>
      <c r="NU195" s="3"/>
      <c r="NV195" s="3"/>
      <c r="NW195" s="3"/>
      <c r="NX195" s="3"/>
      <c r="NY195" s="3"/>
      <c r="NZ195" s="3"/>
      <c r="OA195" s="3"/>
      <c r="OB195" s="3"/>
      <c r="OC195" s="3"/>
      <c r="OD195" s="3"/>
      <c r="OE195" s="3"/>
      <c r="OF195" s="3"/>
      <c r="OG195" s="3"/>
      <c r="OH195" s="3"/>
      <c r="OI195" s="3"/>
      <c r="OJ195" s="3"/>
      <c r="OK195" s="3"/>
      <c r="OL195" s="3"/>
      <c r="OM195" s="3"/>
      <c r="ON195" s="3"/>
      <c r="OO195" s="3"/>
      <c r="OP195" s="3"/>
      <c r="OQ195" s="3"/>
      <c r="OR195" s="3"/>
      <c r="OS195" s="3"/>
      <c r="OT195" s="3"/>
      <c r="OU195" s="3"/>
      <c r="OV195" s="3"/>
      <c r="OW195" s="3"/>
      <c r="OX195" s="3"/>
      <c r="OY195" s="3"/>
      <c r="OZ195" s="3"/>
      <c r="PA195" s="3"/>
      <c r="PB195" s="3"/>
      <c r="PC195" s="3"/>
      <c r="PD195" s="3"/>
      <c r="PE195" s="3"/>
      <c r="PF195" s="3"/>
      <c r="PG195" s="3"/>
      <c r="PH195" s="3"/>
      <c r="PI195" s="3"/>
      <c r="PJ195" s="3"/>
      <c r="PK195" s="3"/>
      <c r="PL195" s="3"/>
      <c r="PM195" s="3"/>
      <c r="PN195" s="3"/>
      <c r="PO195" s="3"/>
      <c r="PP195" s="3"/>
      <c r="PQ195" s="3"/>
      <c r="PR195" s="3"/>
      <c r="PS195" s="3"/>
      <c r="PT195" s="3"/>
      <c r="PU195" s="3"/>
      <c r="PV195" s="3"/>
      <c r="PW195" s="3"/>
      <c r="PX195" s="3"/>
      <c r="PY195" s="3"/>
      <c r="PZ195" s="3"/>
      <c r="QA195" s="3"/>
      <c r="QB195" s="3"/>
      <c r="QC195" s="3"/>
      <c r="QD195" s="3"/>
      <c r="QE195" s="3"/>
      <c r="QF195" s="3"/>
      <c r="QG195" s="3"/>
      <c r="QH195" s="3"/>
      <c r="QI195" s="3"/>
      <c r="QJ195" s="3"/>
      <c r="QK195" s="3"/>
      <c r="QL195" s="3"/>
      <c r="QM195" s="3"/>
      <c r="QN195" s="3"/>
      <c r="QO195" s="3"/>
      <c r="QP195" s="3"/>
      <c r="QQ195" s="3"/>
      <c r="QR195" s="3"/>
      <c r="QS195" s="3"/>
      <c r="QT195" s="3"/>
      <c r="QU195" s="3"/>
      <c r="QV195" s="3"/>
      <c r="QW195" s="3"/>
      <c r="QX195" s="3"/>
      <c r="QY195" s="3"/>
      <c r="QZ195" s="3"/>
      <c r="RA195" s="3"/>
      <c r="RB195" s="3"/>
      <c r="RC195" s="3"/>
      <c r="RD195" s="3"/>
      <c r="RE195" s="3"/>
      <c r="RF195" s="3"/>
      <c r="RG195" s="3"/>
      <c r="RH195" s="3"/>
      <c r="RI195" s="3"/>
      <c r="RJ195" s="3"/>
      <c r="RK195" s="3"/>
      <c r="RL195" s="3"/>
      <c r="RM195" s="3"/>
      <c r="RN195" s="3"/>
      <c r="RO195" s="3"/>
      <c r="RP195" s="3"/>
      <c r="RQ195" s="3"/>
      <c r="RR195" s="3"/>
      <c r="RS195" s="3"/>
      <c r="RT195" s="3"/>
      <c r="RU195" s="3"/>
      <c r="RV195" s="3"/>
      <c r="RW195" s="3"/>
      <c r="RX195" s="3"/>
      <c r="RY195" s="3"/>
      <c r="RZ195" s="3"/>
      <c r="SA195" s="3"/>
      <c r="SB195" s="3"/>
      <c r="SC195" s="3"/>
      <c r="SD195" s="3"/>
      <c r="SE195" s="3"/>
      <c r="SF195" s="3"/>
      <c r="SG195" s="3"/>
      <c r="SH195" s="3"/>
      <c r="SI195" s="3"/>
      <c r="SJ195" s="3"/>
      <c r="SK195" s="3"/>
      <c r="SL195" s="3"/>
      <c r="SM195" s="3"/>
      <c r="SN195" s="3"/>
      <c r="SO195" s="3"/>
      <c r="SP195" s="3"/>
      <c r="SQ195" s="3"/>
      <c r="SR195" s="3"/>
      <c r="SS195" s="3"/>
      <c r="ST195" s="3"/>
      <c r="SU195" s="3"/>
      <c r="SV195" s="3"/>
      <c r="SW195" s="3"/>
      <c r="SX195" s="3"/>
      <c r="SY195" s="3"/>
      <c r="SZ195" s="3"/>
      <c r="TA195" s="3"/>
      <c r="TB195" s="3"/>
      <c r="TC195" s="3"/>
      <c r="TD195" s="3"/>
      <c r="TE195" s="3"/>
      <c r="TF195" s="3"/>
      <c r="TG195" s="3"/>
      <c r="TH195" s="3"/>
      <c r="TI195" s="3"/>
      <c r="TJ195" s="3"/>
      <c r="TK195" s="3"/>
      <c r="TL195" s="3"/>
      <c r="TM195" s="3"/>
      <c r="TN195" s="3"/>
      <c r="TO195" s="3"/>
      <c r="TP195" s="3"/>
      <c r="TQ195" s="3"/>
      <c r="TR195" s="3"/>
      <c r="TS195" s="3"/>
      <c r="TT195" s="3"/>
      <c r="TU195" s="3"/>
      <c r="TV195" s="3"/>
      <c r="TW195" s="3"/>
      <c r="TX195" s="3"/>
      <c r="TY195" s="3"/>
      <c r="TZ195" s="3"/>
      <c r="UA195" s="3"/>
      <c r="UB195" s="3"/>
      <c r="UC195" s="3"/>
      <c r="UD195" s="3"/>
      <c r="UE195" s="3"/>
      <c r="UF195" s="3"/>
      <c r="UG195" s="3"/>
      <c r="UH195" s="3"/>
      <c r="UI195" s="3"/>
      <c r="UJ195" s="3"/>
      <c r="UK195" s="3"/>
      <c r="UL195" s="3"/>
      <c r="UM195" s="3"/>
      <c r="UN195" s="3"/>
      <c r="UO195" s="3"/>
      <c r="UP195" s="3"/>
      <c r="UQ195" s="3"/>
      <c r="UR195" s="3"/>
      <c r="US195" s="3"/>
      <c r="UT195" s="3"/>
      <c r="UU195" s="3"/>
      <c r="UV195" s="3"/>
      <c r="UW195" s="3"/>
      <c r="UX195" s="3"/>
      <c r="UY195" s="3"/>
      <c r="UZ195" s="3"/>
      <c r="VA195" s="3"/>
      <c r="VB195" s="3"/>
      <c r="VC195" s="3"/>
      <c r="VD195" s="3"/>
      <c r="VE195" s="3"/>
      <c r="VF195" s="3"/>
      <c r="VG195" s="3"/>
      <c r="VH195" s="3"/>
      <c r="VI195" s="3"/>
      <c r="VJ195" s="3"/>
      <c r="VK195" s="3"/>
      <c r="VL195" s="3"/>
      <c r="VM195" s="3"/>
      <c r="VN195" s="3"/>
      <c r="VO195" s="3"/>
      <c r="VP195" s="3"/>
      <c r="VQ195" s="3"/>
      <c r="VR195" s="3"/>
      <c r="VS195" s="3"/>
      <c r="VT195" s="3"/>
      <c r="VU195" s="3"/>
      <c r="VV195" s="3"/>
      <c r="VW195" s="3"/>
      <c r="VX195" s="3"/>
      <c r="VY195" s="3"/>
      <c r="VZ195" s="3"/>
      <c r="WA195" s="3"/>
      <c r="WB195" s="3"/>
      <c r="WC195" s="3"/>
      <c r="WD195" s="3"/>
      <c r="WE195" s="3"/>
      <c r="WF195" s="3"/>
      <c r="WG195" s="3"/>
      <c r="WH195" s="3"/>
      <c r="WI195" s="3"/>
      <c r="WJ195" s="3"/>
      <c r="WK195" s="3"/>
      <c r="WL195" s="3"/>
      <c r="WM195" s="3"/>
      <c r="WN195" s="3"/>
      <c r="WO195" s="3"/>
      <c r="WP195" s="3"/>
      <c r="WQ195" s="3"/>
      <c r="WR195" s="3"/>
      <c r="WS195" s="3"/>
      <c r="WT195" s="3"/>
      <c r="WU195" s="3"/>
      <c r="WV195" s="3"/>
      <c r="WW195" s="3"/>
      <c r="WX195" s="3"/>
      <c r="WY195" s="3"/>
      <c r="WZ195" s="3"/>
      <c r="XA195" s="3"/>
      <c r="XB195" s="3"/>
      <c r="XC195" s="3"/>
      <c r="XD195" s="3"/>
      <c r="XE195" s="3"/>
      <c r="XF195" s="3"/>
      <c r="XG195" s="3"/>
      <c r="XH195" s="3"/>
      <c r="XI195" s="3"/>
      <c r="XJ195" s="3"/>
      <c r="XK195" s="3"/>
      <c r="XL195" s="3"/>
      <c r="XM195" s="3"/>
      <c r="XN195" s="3"/>
      <c r="XO195" s="3"/>
      <c r="XP195" s="3"/>
      <c r="XQ195" s="3"/>
      <c r="XR195" s="3"/>
      <c r="XS195" s="3"/>
      <c r="XT195" s="3"/>
      <c r="XU195" s="3"/>
      <c r="XV195" s="3"/>
      <c r="XW195" s="3"/>
      <c r="XX195" s="3"/>
      <c r="XY195" s="3"/>
      <c r="XZ195" s="3"/>
      <c r="YA195" s="3"/>
      <c r="YB195" s="3"/>
      <c r="YC195" s="3"/>
      <c r="YD195" s="3"/>
      <c r="YE195" s="3"/>
      <c r="YF195" s="3"/>
      <c r="YG195" s="3"/>
      <c r="YH195" s="3"/>
      <c r="YI195" s="3"/>
      <c r="YJ195" s="3"/>
      <c r="YK195" s="3"/>
      <c r="YL195" s="3"/>
      <c r="YM195" s="3"/>
      <c r="YN195" s="3"/>
      <c r="YO195" s="3"/>
      <c r="YP195" s="3"/>
      <c r="YQ195" s="3"/>
      <c r="YR195" s="3"/>
      <c r="YS195" s="3"/>
      <c r="YT195" s="3"/>
      <c r="YU195" s="3"/>
      <c r="YV195" s="3"/>
      <c r="YW195" s="3"/>
      <c r="YX195" s="3"/>
      <c r="YY195" s="3"/>
      <c r="YZ195" s="3"/>
      <c r="ZA195" s="3"/>
      <c r="ZB195" s="3"/>
      <c r="ZC195" s="3"/>
    </row>
    <row r="196" spans="1:679" s="2" customFormat="1" x14ac:dyDescent="0.45">
      <c r="A196" s="3" t="s">
        <v>11</v>
      </c>
      <c r="B196" s="4">
        <v>35982</v>
      </c>
      <c r="C196" s="7" t="s">
        <v>21</v>
      </c>
      <c r="D196" s="9" t="s">
        <v>211</v>
      </c>
      <c r="E196" s="6" t="s">
        <v>212</v>
      </c>
      <c r="F196" s="3">
        <v>6</v>
      </c>
      <c r="L196" s="3"/>
      <c r="M196" s="3"/>
      <c r="N196" s="48"/>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c r="DV196" s="3"/>
      <c r="DW196" s="3"/>
      <c r="DX196" s="3"/>
      <c r="DY196" s="3"/>
      <c r="DZ196" s="3"/>
      <c r="EA196" s="3"/>
      <c r="EB196" s="3"/>
      <c r="EC196" s="3"/>
      <c r="ED196" s="3"/>
      <c r="EE196" s="3"/>
      <c r="EF196" s="3"/>
      <c r="EG196" s="3"/>
      <c r="EH196" s="3"/>
      <c r="EI196" s="3"/>
      <c r="EJ196" s="3"/>
      <c r="EK196" s="3"/>
      <c r="EL196" s="3"/>
      <c r="EM196" s="3"/>
      <c r="EN196" s="3"/>
      <c r="EO196" s="3"/>
      <c r="EP196" s="3"/>
      <c r="EQ196" s="3"/>
      <c r="ER196" s="3"/>
      <c r="ES196" s="3"/>
      <c r="ET196" s="3"/>
      <c r="EU196" s="3"/>
      <c r="EV196" s="3"/>
      <c r="EW196" s="3"/>
      <c r="EX196" s="3"/>
      <c r="EY196" s="3"/>
      <c r="EZ196" s="3"/>
      <c r="FA196" s="3"/>
      <c r="FB196" s="3"/>
      <c r="FC196" s="3"/>
      <c r="FD196" s="3"/>
      <c r="FE196" s="3"/>
      <c r="FF196" s="3"/>
      <c r="FG196" s="3"/>
      <c r="FH196" s="3"/>
      <c r="FI196" s="3"/>
      <c r="FJ196" s="3"/>
      <c r="FK196" s="3"/>
      <c r="FL196" s="3"/>
      <c r="FM196" s="3"/>
      <c r="FN196" s="3"/>
      <c r="FO196" s="3"/>
      <c r="FP196" s="3"/>
      <c r="FQ196" s="3"/>
      <c r="FR196" s="3"/>
      <c r="FS196" s="3"/>
      <c r="FT196" s="3"/>
      <c r="FU196" s="3"/>
      <c r="FV196" s="3"/>
      <c r="FW196" s="3"/>
      <c r="FX196" s="3"/>
      <c r="FY196" s="3"/>
      <c r="FZ196" s="3"/>
      <c r="GA196" s="3"/>
      <c r="GB196" s="3"/>
      <c r="GC196" s="3"/>
      <c r="GD196" s="3"/>
      <c r="GE196" s="3"/>
      <c r="GF196" s="3"/>
      <c r="GG196" s="3"/>
      <c r="GH196" s="3"/>
      <c r="GI196" s="3"/>
      <c r="GJ196" s="3"/>
      <c r="GK196" s="3"/>
      <c r="GL196" s="3"/>
      <c r="GM196" s="3"/>
      <c r="GN196" s="3"/>
      <c r="GO196" s="3"/>
      <c r="GP196" s="3"/>
      <c r="GQ196" s="3"/>
      <c r="GR196" s="3"/>
      <c r="GS196" s="3"/>
      <c r="GT196" s="3"/>
      <c r="GU196" s="3"/>
      <c r="GV196" s="3"/>
      <c r="GW196" s="3"/>
      <c r="GX196" s="3"/>
      <c r="GY196" s="3"/>
      <c r="GZ196" s="3"/>
      <c r="HA196" s="3"/>
      <c r="HB196" s="3"/>
      <c r="HC196" s="3"/>
      <c r="HD196" s="3"/>
      <c r="HE196" s="3"/>
      <c r="HF196" s="3"/>
      <c r="HG196" s="3"/>
      <c r="HH196" s="3"/>
      <c r="HI196" s="3"/>
      <c r="HJ196" s="3"/>
      <c r="HK196" s="3"/>
      <c r="HL196" s="3"/>
      <c r="HM196" s="3"/>
      <c r="HN196" s="3"/>
      <c r="HO196" s="3"/>
      <c r="HP196" s="3"/>
      <c r="HQ196" s="3"/>
      <c r="HR196" s="3"/>
      <c r="HS196" s="3"/>
      <c r="HT196" s="3"/>
      <c r="HU196" s="3"/>
      <c r="HV196" s="3"/>
      <c r="HW196" s="3"/>
      <c r="HX196" s="3"/>
      <c r="HY196" s="3"/>
      <c r="HZ196" s="3"/>
      <c r="IA196" s="3"/>
      <c r="IB196" s="3"/>
      <c r="IC196" s="3"/>
      <c r="ID196" s="3"/>
      <c r="IE196" s="3"/>
      <c r="IF196" s="3"/>
      <c r="IG196" s="3"/>
      <c r="IH196" s="3"/>
      <c r="II196" s="3"/>
      <c r="IJ196" s="3"/>
      <c r="IK196" s="3"/>
      <c r="IL196" s="3"/>
      <c r="IM196" s="3"/>
      <c r="IN196" s="3"/>
      <c r="IO196" s="3"/>
      <c r="IP196" s="3"/>
      <c r="IQ196" s="3"/>
      <c r="IR196" s="3"/>
      <c r="IS196" s="3"/>
      <c r="IT196" s="3"/>
      <c r="IU196" s="3"/>
      <c r="IV196" s="3"/>
      <c r="IW196" s="3"/>
      <c r="IX196" s="3"/>
      <c r="IY196" s="3"/>
      <c r="IZ196" s="3"/>
      <c r="JA196" s="3"/>
      <c r="JB196" s="3"/>
      <c r="JC196" s="3"/>
      <c r="JD196" s="3"/>
      <c r="JE196" s="3"/>
      <c r="JF196" s="3"/>
      <c r="JG196" s="3"/>
      <c r="JH196" s="3"/>
      <c r="JI196" s="3"/>
      <c r="JJ196" s="3"/>
      <c r="JK196" s="3"/>
      <c r="JL196" s="3"/>
      <c r="JM196" s="3"/>
      <c r="JN196" s="3"/>
      <c r="JO196" s="3"/>
      <c r="JP196" s="3"/>
      <c r="JQ196" s="3"/>
      <c r="JR196" s="3"/>
      <c r="JS196" s="3"/>
      <c r="JT196" s="3"/>
      <c r="JU196" s="3"/>
      <c r="JV196" s="3"/>
      <c r="JW196" s="3"/>
      <c r="JX196" s="3"/>
      <c r="JY196" s="3"/>
      <c r="JZ196" s="3"/>
      <c r="KA196" s="3"/>
      <c r="KB196" s="3"/>
      <c r="KC196" s="3"/>
      <c r="KD196" s="3"/>
      <c r="KE196" s="3"/>
      <c r="KF196" s="3"/>
      <c r="KG196" s="3"/>
      <c r="KH196" s="3"/>
      <c r="KI196" s="3"/>
      <c r="KJ196" s="3"/>
      <c r="KK196" s="3"/>
      <c r="KL196" s="3"/>
      <c r="KM196" s="3"/>
      <c r="KN196" s="3"/>
      <c r="KO196" s="3"/>
      <c r="KP196" s="3"/>
      <c r="KQ196" s="3"/>
      <c r="KR196" s="3"/>
      <c r="KS196" s="3"/>
      <c r="KT196" s="3"/>
      <c r="KU196" s="3"/>
      <c r="KV196" s="3"/>
      <c r="KW196" s="3"/>
      <c r="KX196" s="3"/>
      <c r="KY196" s="3"/>
      <c r="KZ196" s="3"/>
      <c r="LA196" s="3"/>
      <c r="LB196" s="3"/>
      <c r="LC196" s="3"/>
      <c r="LD196" s="3"/>
      <c r="LE196" s="3"/>
      <c r="LF196" s="3"/>
      <c r="LG196" s="3"/>
      <c r="LH196" s="3"/>
      <c r="LI196" s="3"/>
      <c r="LJ196" s="3"/>
      <c r="LK196" s="3"/>
      <c r="LL196" s="3"/>
      <c r="LM196" s="3"/>
      <c r="LN196" s="3"/>
      <c r="LO196" s="3"/>
      <c r="LP196" s="3"/>
      <c r="LQ196" s="3"/>
      <c r="LR196" s="3"/>
      <c r="LS196" s="3"/>
      <c r="LT196" s="3"/>
      <c r="LU196" s="3"/>
      <c r="LV196" s="3"/>
      <c r="LW196" s="3"/>
      <c r="LX196" s="3"/>
      <c r="LY196" s="3"/>
      <c r="LZ196" s="3"/>
      <c r="MA196" s="3"/>
      <c r="MB196" s="3"/>
      <c r="MC196" s="3"/>
      <c r="MD196" s="3"/>
      <c r="ME196" s="3"/>
      <c r="MF196" s="3"/>
      <c r="MG196" s="3"/>
      <c r="MH196" s="3"/>
      <c r="MI196" s="3"/>
      <c r="MJ196" s="3"/>
      <c r="MK196" s="3"/>
      <c r="ML196" s="3"/>
      <c r="MM196" s="3"/>
      <c r="MN196" s="3"/>
      <c r="MO196" s="3"/>
      <c r="MP196" s="3"/>
      <c r="MQ196" s="3"/>
      <c r="MR196" s="3"/>
      <c r="MS196" s="3"/>
      <c r="MT196" s="3"/>
      <c r="MU196" s="3"/>
      <c r="MV196" s="3"/>
      <c r="MW196" s="3"/>
      <c r="MX196" s="3"/>
      <c r="MY196" s="3"/>
      <c r="MZ196" s="3"/>
      <c r="NA196" s="3"/>
      <c r="NB196" s="3"/>
      <c r="NC196" s="3"/>
      <c r="ND196" s="3"/>
      <c r="NE196" s="3"/>
      <c r="NF196" s="3"/>
      <c r="NG196" s="3"/>
      <c r="NH196" s="3"/>
      <c r="NI196" s="3"/>
      <c r="NJ196" s="3"/>
      <c r="NK196" s="3"/>
      <c r="NL196" s="3"/>
      <c r="NM196" s="3"/>
      <c r="NN196" s="3"/>
      <c r="NO196" s="3"/>
      <c r="NP196" s="3"/>
      <c r="NQ196" s="3"/>
      <c r="NR196" s="3"/>
      <c r="NS196" s="3"/>
      <c r="NT196" s="3"/>
      <c r="NU196" s="3"/>
      <c r="NV196" s="3"/>
      <c r="NW196" s="3"/>
      <c r="NX196" s="3"/>
      <c r="NY196" s="3"/>
      <c r="NZ196" s="3"/>
      <c r="OA196" s="3"/>
      <c r="OB196" s="3"/>
      <c r="OC196" s="3"/>
      <c r="OD196" s="3"/>
      <c r="OE196" s="3"/>
      <c r="OF196" s="3"/>
      <c r="OG196" s="3"/>
      <c r="OH196" s="3"/>
      <c r="OI196" s="3"/>
      <c r="OJ196" s="3"/>
      <c r="OK196" s="3"/>
      <c r="OL196" s="3"/>
      <c r="OM196" s="3"/>
      <c r="ON196" s="3"/>
      <c r="OO196" s="3"/>
      <c r="OP196" s="3"/>
      <c r="OQ196" s="3"/>
      <c r="OR196" s="3"/>
      <c r="OS196" s="3"/>
      <c r="OT196" s="3"/>
      <c r="OU196" s="3"/>
      <c r="OV196" s="3"/>
      <c r="OW196" s="3"/>
      <c r="OX196" s="3"/>
      <c r="OY196" s="3"/>
      <c r="OZ196" s="3"/>
      <c r="PA196" s="3"/>
      <c r="PB196" s="3"/>
      <c r="PC196" s="3"/>
      <c r="PD196" s="3"/>
      <c r="PE196" s="3"/>
      <c r="PF196" s="3"/>
      <c r="PG196" s="3"/>
      <c r="PH196" s="3"/>
      <c r="PI196" s="3"/>
      <c r="PJ196" s="3"/>
      <c r="PK196" s="3"/>
      <c r="PL196" s="3"/>
      <c r="PM196" s="3"/>
      <c r="PN196" s="3"/>
      <c r="PO196" s="3"/>
      <c r="PP196" s="3"/>
      <c r="PQ196" s="3"/>
      <c r="PR196" s="3"/>
      <c r="PS196" s="3"/>
      <c r="PT196" s="3"/>
      <c r="PU196" s="3"/>
      <c r="PV196" s="3"/>
      <c r="PW196" s="3"/>
      <c r="PX196" s="3"/>
      <c r="PY196" s="3"/>
      <c r="PZ196" s="3"/>
      <c r="QA196" s="3"/>
      <c r="QB196" s="3"/>
      <c r="QC196" s="3"/>
      <c r="QD196" s="3"/>
      <c r="QE196" s="3"/>
      <c r="QF196" s="3"/>
      <c r="QG196" s="3"/>
      <c r="QH196" s="3"/>
      <c r="QI196" s="3"/>
      <c r="QJ196" s="3"/>
      <c r="QK196" s="3"/>
      <c r="QL196" s="3"/>
      <c r="QM196" s="3"/>
      <c r="QN196" s="3"/>
      <c r="QO196" s="3"/>
      <c r="QP196" s="3"/>
      <c r="QQ196" s="3"/>
      <c r="QR196" s="3"/>
      <c r="QS196" s="3"/>
      <c r="QT196" s="3"/>
      <c r="QU196" s="3"/>
      <c r="QV196" s="3"/>
      <c r="QW196" s="3"/>
      <c r="QX196" s="3"/>
      <c r="QY196" s="3"/>
      <c r="QZ196" s="3"/>
      <c r="RA196" s="3"/>
      <c r="RB196" s="3"/>
      <c r="RC196" s="3"/>
      <c r="RD196" s="3"/>
      <c r="RE196" s="3"/>
      <c r="RF196" s="3"/>
      <c r="RG196" s="3"/>
      <c r="RH196" s="3"/>
      <c r="RI196" s="3"/>
      <c r="RJ196" s="3"/>
      <c r="RK196" s="3"/>
      <c r="RL196" s="3"/>
      <c r="RM196" s="3"/>
      <c r="RN196" s="3"/>
      <c r="RO196" s="3"/>
      <c r="RP196" s="3"/>
      <c r="RQ196" s="3"/>
      <c r="RR196" s="3"/>
      <c r="RS196" s="3"/>
      <c r="RT196" s="3"/>
      <c r="RU196" s="3"/>
      <c r="RV196" s="3"/>
      <c r="RW196" s="3"/>
      <c r="RX196" s="3"/>
      <c r="RY196" s="3"/>
      <c r="RZ196" s="3"/>
      <c r="SA196" s="3"/>
      <c r="SB196" s="3"/>
      <c r="SC196" s="3"/>
      <c r="SD196" s="3"/>
      <c r="SE196" s="3"/>
      <c r="SF196" s="3"/>
      <c r="SG196" s="3"/>
      <c r="SH196" s="3"/>
      <c r="SI196" s="3"/>
      <c r="SJ196" s="3"/>
      <c r="SK196" s="3"/>
      <c r="SL196" s="3"/>
      <c r="SM196" s="3"/>
      <c r="SN196" s="3"/>
      <c r="SO196" s="3"/>
      <c r="SP196" s="3"/>
      <c r="SQ196" s="3"/>
      <c r="SR196" s="3"/>
      <c r="SS196" s="3"/>
      <c r="ST196" s="3"/>
      <c r="SU196" s="3"/>
      <c r="SV196" s="3"/>
      <c r="SW196" s="3"/>
      <c r="SX196" s="3"/>
      <c r="SY196" s="3"/>
      <c r="SZ196" s="3"/>
      <c r="TA196" s="3"/>
      <c r="TB196" s="3"/>
      <c r="TC196" s="3"/>
      <c r="TD196" s="3"/>
      <c r="TE196" s="3"/>
      <c r="TF196" s="3"/>
      <c r="TG196" s="3"/>
      <c r="TH196" s="3"/>
      <c r="TI196" s="3"/>
      <c r="TJ196" s="3"/>
      <c r="TK196" s="3"/>
      <c r="TL196" s="3"/>
      <c r="TM196" s="3"/>
      <c r="TN196" s="3"/>
      <c r="TO196" s="3"/>
      <c r="TP196" s="3"/>
      <c r="TQ196" s="3"/>
      <c r="TR196" s="3"/>
      <c r="TS196" s="3"/>
      <c r="TT196" s="3"/>
      <c r="TU196" s="3"/>
      <c r="TV196" s="3"/>
      <c r="TW196" s="3"/>
      <c r="TX196" s="3"/>
      <c r="TY196" s="3"/>
      <c r="TZ196" s="3"/>
      <c r="UA196" s="3"/>
      <c r="UB196" s="3"/>
      <c r="UC196" s="3"/>
      <c r="UD196" s="3"/>
      <c r="UE196" s="3"/>
      <c r="UF196" s="3"/>
      <c r="UG196" s="3"/>
      <c r="UH196" s="3"/>
      <c r="UI196" s="3"/>
      <c r="UJ196" s="3"/>
      <c r="UK196" s="3"/>
      <c r="UL196" s="3"/>
      <c r="UM196" s="3"/>
      <c r="UN196" s="3"/>
      <c r="UO196" s="3"/>
      <c r="UP196" s="3"/>
      <c r="UQ196" s="3"/>
      <c r="UR196" s="3"/>
      <c r="US196" s="3"/>
      <c r="UT196" s="3"/>
      <c r="UU196" s="3"/>
      <c r="UV196" s="3"/>
      <c r="UW196" s="3"/>
      <c r="UX196" s="3"/>
      <c r="UY196" s="3"/>
      <c r="UZ196" s="3"/>
      <c r="VA196" s="3"/>
      <c r="VB196" s="3"/>
      <c r="VC196" s="3"/>
      <c r="VD196" s="3"/>
      <c r="VE196" s="3"/>
      <c r="VF196" s="3"/>
      <c r="VG196" s="3"/>
      <c r="VH196" s="3"/>
      <c r="VI196" s="3"/>
      <c r="VJ196" s="3"/>
      <c r="VK196" s="3"/>
      <c r="VL196" s="3"/>
      <c r="VM196" s="3"/>
      <c r="VN196" s="3"/>
      <c r="VO196" s="3"/>
      <c r="VP196" s="3"/>
      <c r="VQ196" s="3"/>
      <c r="VR196" s="3"/>
      <c r="VS196" s="3"/>
      <c r="VT196" s="3"/>
      <c r="VU196" s="3"/>
      <c r="VV196" s="3"/>
      <c r="VW196" s="3"/>
      <c r="VX196" s="3"/>
      <c r="VY196" s="3"/>
      <c r="VZ196" s="3"/>
      <c r="WA196" s="3"/>
      <c r="WB196" s="3"/>
      <c r="WC196" s="3"/>
      <c r="WD196" s="3"/>
      <c r="WE196" s="3"/>
      <c r="WF196" s="3"/>
      <c r="WG196" s="3"/>
      <c r="WH196" s="3"/>
      <c r="WI196" s="3"/>
      <c r="WJ196" s="3"/>
      <c r="WK196" s="3"/>
      <c r="WL196" s="3"/>
      <c r="WM196" s="3"/>
      <c r="WN196" s="3"/>
      <c r="WO196" s="3"/>
      <c r="WP196" s="3"/>
      <c r="WQ196" s="3"/>
      <c r="WR196" s="3"/>
      <c r="WS196" s="3"/>
      <c r="WT196" s="3"/>
      <c r="WU196" s="3"/>
      <c r="WV196" s="3"/>
      <c r="WW196" s="3"/>
      <c r="WX196" s="3"/>
      <c r="WY196" s="3"/>
      <c r="WZ196" s="3"/>
      <c r="XA196" s="3"/>
      <c r="XB196" s="3"/>
      <c r="XC196" s="3"/>
      <c r="XD196" s="3"/>
      <c r="XE196" s="3"/>
      <c r="XF196" s="3"/>
      <c r="XG196" s="3"/>
      <c r="XH196" s="3"/>
      <c r="XI196" s="3"/>
      <c r="XJ196" s="3"/>
      <c r="XK196" s="3"/>
      <c r="XL196" s="3"/>
      <c r="XM196" s="3"/>
      <c r="XN196" s="3"/>
      <c r="XO196" s="3"/>
      <c r="XP196" s="3"/>
      <c r="XQ196" s="3"/>
      <c r="XR196" s="3"/>
      <c r="XS196" s="3"/>
      <c r="XT196" s="3"/>
      <c r="XU196" s="3"/>
      <c r="XV196" s="3"/>
      <c r="XW196" s="3"/>
      <c r="XX196" s="3"/>
      <c r="XY196" s="3"/>
      <c r="XZ196" s="3"/>
      <c r="YA196" s="3"/>
      <c r="YB196" s="3"/>
      <c r="YC196" s="3"/>
      <c r="YD196" s="3"/>
      <c r="YE196" s="3"/>
      <c r="YF196" s="3"/>
      <c r="YG196" s="3"/>
      <c r="YH196" s="3"/>
      <c r="YI196" s="3"/>
      <c r="YJ196" s="3"/>
      <c r="YK196" s="3"/>
      <c r="YL196" s="3"/>
      <c r="YM196" s="3"/>
      <c r="YN196" s="3"/>
      <c r="YO196" s="3"/>
      <c r="YP196" s="3"/>
      <c r="YQ196" s="3"/>
      <c r="YR196" s="3"/>
      <c r="YS196" s="3"/>
      <c r="YT196" s="3"/>
      <c r="YU196" s="3"/>
      <c r="YV196" s="3"/>
      <c r="YW196" s="3"/>
      <c r="YX196" s="3"/>
      <c r="YY196" s="3"/>
      <c r="YZ196" s="3"/>
      <c r="ZA196" s="3"/>
      <c r="ZB196" s="3"/>
      <c r="ZC196" s="3"/>
    </row>
    <row r="197" spans="1:679" s="2" customFormat="1" x14ac:dyDescent="0.45">
      <c r="A197" s="3" t="s">
        <v>11</v>
      </c>
      <c r="B197" s="4">
        <v>35991</v>
      </c>
      <c r="C197" s="7" t="s">
        <v>21</v>
      </c>
      <c r="D197" s="6" t="s">
        <v>213</v>
      </c>
      <c r="E197" s="3"/>
      <c r="F197" s="3">
        <v>3</v>
      </c>
      <c r="L197" s="3"/>
      <c r="M197" s="3"/>
      <c r="N197" s="48"/>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c r="DV197" s="3"/>
      <c r="DW197" s="3"/>
      <c r="DX197" s="3"/>
      <c r="DY197" s="3"/>
      <c r="DZ197" s="3"/>
      <c r="EA197" s="3"/>
      <c r="EB197" s="3"/>
      <c r="EC197" s="3"/>
      <c r="ED197" s="3"/>
      <c r="EE197" s="3"/>
      <c r="EF197" s="3"/>
      <c r="EG197" s="3"/>
      <c r="EH197" s="3"/>
      <c r="EI197" s="3"/>
      <c r="EJ197" s="3"/>
      <c r="EK197" s="3"/>
      <c r="EL197" s="3"/>
      <c r="EM197" s="3"/>
      <c r="EN197" s="3"/>
      <c r="EO197" s="3"/>
      <c r="EP197" s="3"/>
      <c r="EQ197" s="3"/>
      <c r="ER197" s="3"/>
      <c r="ES197" s="3"/>
      <c r="ET197" s="3"/>
      <c r="EU197" s="3"/>
      <c r="EV197" s="3"/>
      <c r="EW197" s="3"/>
      <c r="EX197" s="3"/>
      <c r="EY197" s="3"/>
      <c r="EZ197" s="3"/>
      <c r="FA197" s="3"/>
      <c r="FB197" s="3"/>
      <c r="FC197" s="3"/>
      <c r="FD197" s="3"/>
      <c r="FE197" s="3"/>
      <c r="FF197" s="3"/>
      <c r="FG197" s="3"/>
      <c r="FH197" s="3"/>
      <c r="FI197" s="3"/>
      <c r="FJ197" s="3"/>
      <c r="FK197" s="3"/>
      <c r="FL197" s="3"/>
      <c r="FM197" s="3"/>
      <c r="FN197" s="3"/>
      <c r="FO197" s="3"/>
      <c r="FP197" s="3"/>
      <c r="FQ197" s="3"/>
      <c r="FR197" s="3"/>
      <c r="FS197" s="3"/>
      <c r="FT197" s="3"/>
      <c r="FU197" s="3"/>
      <c r="FV197" s="3"/>
      <c r="FW197" s="3"/>
      <c r="FX197" s="3"/>
      <c r="FY197" s="3"/>
      <c r="FZ197" s="3"/>
      <c r="GA197" s="3"/>
      <c r="GB197" s="3"/>
      <c r="GC197" s="3"/>
      <c r="GD197" s="3"/>
      <c r="GE197" s="3"/>
      <c r="GF197" s="3"/>
      <c r="GG197" s="3"/>
      <c r="GH197" s="3"/>
      <c r="GI197" s="3"/>
      <c r="GJ197" s="3"/>
      <c r="GK197" s="3"/>
      <c r="GL197" s="3"/>
      <c r="GM197" s="3"/>
      <c r="GN197" s="3"/>
      <c r="GO197" s="3"/>
      <c r="GP197" s="3"/>
      <c r="GQ197" s="3"/>
      <c r="GR197" s="3"/>
      <c r="GS197" s="3"/>
      <c r="GT197" s="3"/>
      <c r="GU197" s="3"/>
      <c r="GV197" s="3"/>
      <c r="GW197" s="3"/>
      <c r="GX197" s="3"/>
      <c r="GY197" s="3"/>
      <c r="GZ197" s="3"/>
      <c r="HA197" s="3"/>
      <c r="HB197" s="3"/>
      <c r="HC197" s="3"/>
      <c r="HD197" s="3"/>
      <c r="HE197" s="3"/>
      <c r="HF197" s="3"/>
      <c r="HG197" s="3"/>
      <c r="HH197" s="3"/>
      <c r="HI197" s="3"/>
      <c r="HJ197" s="3"/>
      <c r="HK197" s="3"/>
      <c r="HL197" s="3"/>
      <c r="HM197" s="3"/>
      <c r="HN197" s="3"/>
      <c r="HO197" s="3"/>
      <c r="HP197" s="3"/>
      <c r="HQ197" s="3"/>
      <c r="HR197" s="3"/>
      <c r="HS197" s="3"/>
      <c r="HT197" s="3"/>
      <c r="HU197" s="3"/>
      <c r="HV197" s="3"/>
      <c r="HW197" s="3"/>
      <c r="HX197" s="3"/>
      <c r="HY197" s="3"/>
      <c r="HZ197" s="3"/>
      <c r="IA197" s="3"/>
      <c r="IB197" s="3"/>
      <c r="IC197" s="3"/>
      <c r="ID197" s="3"/>
      <c r="IE197" s="3"/>
      <c r="IF197" s="3"/>
      <c r="IG197" s="3"/>
      <c r="IH197" s="3"/>
      <c r="II197" s="3"/>
      <c r="IJ197" s="3"/>
      <c r="IK197" s="3"/>
      <c r="IL197" s="3"/>
      <c r="IM197" s="3"/>
      <c r="IN197" s="3"/>
      <c r="IO197" s="3"/>
      <c r="IP197" s="3"/>
      <c r="IQ197" s="3"/>
      <c r="IR197" s="3"/>
      <c r="IS197" s="3"/>
      <c r="IT197" s="3"/>
      <c r="IU197" s="3"/>
      <c r="IV197" s="3"/>
      <c r="IW197" s="3"/>
      <c r="IX197" s="3"/>
      <c r="IY197" s="3"/>
      <c r="IZ197" s="3"/>
      <c r="JA197" s="3"/>
      <c r="JB197" s="3"/>
      <c r="JC197" s="3"/>
      <c r="JD197" s="3"/>
      <c r="JE197" s="3"/>
      <c r="JF197" s="3"/>
      <c r="JG197" s="3"/>
      <c r="JH197" s="3"/>
      <c r="JI197" s="3"/>
      <c r="JJ197" s="3"/>
      <c r="JK197" s="3"/>
      <c r="JL197" s="3"/>
      <c r="JM197" s="3"/>
      <c r="JN197" s="3"/>
      <c r="JO197" s="3"/>
      <c r="JP197" s="3"/>
      <c r="JQ197" s="3"/>
      <c r="JR197" s="3"/>
      <c r="JS197" s="3"/>
      <c r="JT197" s="3"/>
      <c r="JU197" s="3"/>
      <c r="JV197" s="3"/>
      <c r="JW197" s="3"/>
      <c r="JX197" s="3"/>
      <c r="JY197" s="3"/>
      <c r="JZ197" s="3"/>
      <c r="KA197" s="3"/>
      <c r="KB197" s="3"/>
      <c r="KC197" s="3"/>
      <c r="KD197" s="3"/>
      <c r="KE197" s="3"/>
      <c r="KF197" s="3"/>
      <c r="KG197" s="3"/>
      <c r="KH197" s="3"/>
      <c r="KI197" s="3"/>
      <c r="KJ197" s="3"/>
      <c r="KK197" s="3"/>
      <c r="KL197" s="3"/>
      <c r="KM197" s="3"/>
      <c r="KN197" s="3"/>
      <c r="KO197" s="3"/>
      <c r="KP197" s="3"/>
      <c r="KQ197" s="3"/>
      <c r="KR197" s="3"/>
      <c r="KS197" s="3"/>
      <c r="KT197" s="3"/>
      <c r="KU197" s="3"/>
      <c r="KV197" s="3"/>
      <c r="KW197" s="3"/>
      <c r="KX197" s="3"/>
      <c r="KY197" s="3"/>
      <c r="KZ197" s="3"/>
      <c r="LA197" s="3"/>
      <c r="LB197" s="3"/>
      <c r="LC197" s="3"/>
      <c r="LD197" s="3"/>
      <c r="LE197" s="3"/>
      <c r="LF197" s="3"/>
      <c r="LG197" s="3"/>
      <c r="LH197" s="3"/>
      <c r="LI197" s="3"/>
      <c r="LJ197" s="3"/>
      <c r="LK197" s="3"/>
      <c r="LL197" s="3"/>
      <c r="LM197" s="3"/>
      <c r="LN197" s="3"/>
      <c r="LO197" s="3"/>
      <c r="LP197" s="3"/>
      <c r="LQ197" s="3"/>
      <c r="LR197" s="3"/>
      <c r="LS197" s="3"/>
      <c r="LT197" s="3"/>
      <c r="LU197" s="3"/>
      <c r="LV197" s="3"/>
      <c r="LW197" s="3"/>
      <c r="LX197" s="3"/>
      <c r="LY197" s="3"/>
      <c r="LZ197" s="3"/>
      <c r="MA197" s="3"/>
      <c r="MB197" s="3"/>
      <c r="MC197" s="3"/>
      <c r="MD197" s="3"/>
      <c r="ME197" s="3"/>
      <c r="MF197" s="3"/>
      <c r="MG197" s="3"/>
      <c r="MH197" s="3"/>
      <c r="MI197" s="3"/>
      <c r="MJ197" s="3"/>
      <c r="MK197" s="3"/>
      <c r="ML197" s="3"/>
      <c r="MM197" s="3"/>
      <c r="MN197" s="3"/>
      <c r="MO197" s="3"/>
      <c r="MP197" s="3"/>
      <c r="MQ197" s="3"/>
      <c r="MR197" s="3"/>
      <c r="MS197" s="3"/>
      <c r="MT197" s="3"/>
      <c r="MU197" s="3"/>
      <c r="MV197" s="3"/>
      <c r="MW197" s="3"/>
      <c r="MX197" s="3"/>
      <c r="MY197" s="3"/>
      <c r="MZ197" s="3"/>
      <c r="NA197" s="3"/>
      <c r="NB197" s="3"/>
      <c r="NC197" s="3"/>
      <c r="ND197" s="3"/>
      <c r="NE197" s="3"/>
      <c r="NF197" s="3"/>
      <c r="NG197" s="3"/>
      <c r="NH197" s="3"/>
      <c r="NI197" s="3"/>
      <c r="NJ197" s="3"/>
      <c r="NK197" s="3"/>
      <c r="NL197" s="3"/>
      <c r="NM197" s="3"/>
      <c r="NN197" s="3"/>
      <c r="NO197" s="3"/>
      <c r="NP197" s="3"/>
      <c r="NQ197" s="3"/>
      <c r="NR197" s="3"/>
      <c r="NS197" s="3"/>
      <c r="NT197" s="3"/>
      <c r="NU197" s="3"/>
      <c r="NV197" s="3"/>
      <c r="NW197" s="3"/>
      <c r="NX197" s="3"/>
      <c r="NY197" s="3"/>
      <c r="NZ197" s="3"/>
      <c r="OA197" s="3"/>
      <c r="OB197" s="3"/>
      <c r="OC197" s="3"/>
      <c r="OD197" s="3"/>
      <c r="OE197" s="3"/>
      <c r="OF197" s="3"/>
      <c r="OG197" s="3"/>
      <c r="OH197" s="3"/>
      <c r="OI197" s="3"/>
      <c r="OJ197" s="3"/>
      <c r="OK197" s="3"/>
      <c r="OL197" s="3"/>
      <c r="OM197" s="3"/>
      <c r="ON197" s="3"/>
      <c r="OO197" s="3"/>
      <c r="OP197" s="3"/>
      <c r="OQ197" s="3"/>
      <c r="OR197" s="3"/>
      <c r="OS197" s="3"/>
      <c r="OT197" s="3"/>
      <c r="OU197" s="3"/>
      <c r="OV197" s="3"/>
      <c r="OW197" s="3"/>
      <c r="OX197" s="3"/>
      <c r="OY197" s="3"/>
      <c r="OZ197" s="3"/>
      <c r="PA197" s="3"/>
      <c r="PB197" s="3"/>
      <c r="PC197" s="3"/>
      <c r="PD197" s="3"/>
      <c r="PE197" s="3"/>
      <c r="PF197" s="3"/>
      <c r="PG197" s="3"/>
      <c r="PH197" s="3"/>
      <c r="PI197" s="3"/>
      <c r="PJ197" s="3"/>
      <c r="PK197" s="3"/>
      <c r="PL197" s="3"/>
      <c r="PM197" s="3"/>
      <c r="PN197" s="3"/>
      <c r="PO197" s="3"/>
      <c r="PP197" s="3"/>
      <c r="PQ197" s="3"/>
      <c r="PR197" s="3"/>
      <c r="PS197" s="3"/>
      <c r="PT197" s="3"/>
      <c r="PU197" s="3"/>
      <c r="PV197" s="3"/>
      <c r="PW197" s="3"/>
      <c r="PX197" s="3"/>
      <c r="PY197" s="3"/>
      <c r="PZ197" s="3"/>
      <c r="QA197" s="3"/>
      <c r="QB197" s="3"/>
      <c r="QC197" s="3"/>
      <c r="QD197" s="3"/>
      <c r="QE197" s="3"/>
      <c r="QF197" s="3"/>
      <c r="QG197" s="3"/>
      <c r="QH197" s="3"/>
      <c r="QI197" s="3"/>
      <c r="QJ197" s="3"/>
      <c r="QK197" s="3"/>
      <c r="QL197" s="3"/>
      <c r="QM197" s="3"/>
      <c r="QN197" s="3"/>
      <c r="QO197" s="3"/>
      <c r="QP197" s="3"/>
      <c r="QQ197" s="3"/>
      <c r="QR197" s="3"/>
      <c r="QS197" s="3"/>
      <c r="QT197" s="3"/>
      <c r="QU197" s="3"/>
      <c r="QV197" s="3"/>
      <c r="QW197" s="3"/>
      <c r="QX197" s="3"/>
      <c r="QY197" s="3"/>
      <c r="QZ197" s="3"/>
      <c r="RA197" s="3"/>
      <c r="RB197" s="3"/>
      <c r="RC197" s="3"/>
      <c r="RD197" s="3"/>
      <c r="RE197" s="3"/>
      <c r="RF197" s="3"/>
      <c r="RG197" s="3"/>
      <c r="RH197" s="3"/>
      <c r="RI197" s="3"/>
      <c r="RJ197" s="3"/>
      <c r="RK197" s="3"/>
      <c r="RL197" s="3"/>
      <c r="RM197" s="3"/>
      <c r="RN197" s="3"/>
      <c r="RO197" s="3"/>
      <c r="RP197" s="3"/>
      <c r="RQ197" s="3"/>
      <c r="RR197" s="3"/>
      <c r="RS197" s="3"/>
      <c r="RT197" s="3"/>
      <c r="RU197" s="3"/>
      <c r="RV197" s="3"/>
      <c r="RW197" s="3"/>
      <c r="RX197" s="3"/>
      <c r="RY197" s="3"/>
      <c r="RZ197" s="3"/>
      <c r="SA197" s="3"/>
      <c r="SB197" s="3"/>
      <c r="SC197" s="3"/>
      <c r="SD197" s="3"/>
      <c r="SE197" s="3"/>
      <c r="SF197" s="3"/>
      <c r="SG197" s="3"/>
      <c r="SH197" s="3"/>
      <c r="SI197" s="3"/>
      <c r="SJ197" s="3"/>
      <c r="SK197" s="3"/>
      <c r="SL197" s="3"/>
      <c r="SM197" s="3"/>
      <c r="SN197" s="3"/>
      <c r="SO197" s="3"/>
      <c r="SP197" s="3"/>
      <c r="SQ197" s="3"/>
      <c r="SR197" s="3"/>
      <c r="SS197" s="3"/>
      <c r="ST197" s="3"/>
      <c r="SU197" s="3"/>
      <c r="SV197" s="3"/>
      <c r="SW197" s="3"/>
      <c r="SX197" s="3"/>
      <c r="SY197" s="3"/>
      <c r="SZ197" s="3"/>
      <c r="TA197" s="3"/>
      <c r="TB197" s="3"/>
      <c r="TC197" s="3"/>
      <c r="TD197" s="3"/>
      <c r="TE197" s="3"/>
      <c r="TF197" s="3"/>
      <c r="TG197" s="3"/>
      <c r="TH197" s="3"/>
      <c r="TI197" s="3"/>
      <c r="TJ197" s="3"/>
      <c r="TK197" s="3"/>
      <c r="TL197" s="3"/>
      <c r="TM197" s="3"/>
      <c r="TN197" s="3"/>
      <c r="TO197" s="3"/>
      <c r="TP197" s="3"/>
      <c r="TQ197" s="3"/>
      <c r="TR197" s="3"/>
      <c r="TS197" s="3"/>
      <c r="TT197" s="3"/>
      <c r="TU197" s="3"/>
      <c r="TV197" s="3"/>
      <c r="TW197" s="3"/>
      <c r="TX197" s="3"/>
      <c r="TY197" s="3"/>
      <c r="TZ197" s="3"/>
      <c r="UA197" s="3"/>
      <c r="UB197" s="3"/>
      <c r="UC197" s="3"/>
      <c r="UD197" s="3"/>
      <c r="UE197" s="3"/>
      <c r="UF197" s="3"/>
      <c r="UG197" s="3"/>
      <c r="UH197" s="3"/>
      <c r="UI197" s="3"/>
      <c r="UJ197" s="3"/>
      <c r="UK197" s="3"/>
      <c r="UL197" s="3"/>
      <c r="UM197" s="3"/>
      <c r="UN197" s="3"/>
      <c r="UO197" s="3"/>
      <c r="UP197" s="3"/>
      <c r="UQ197" s="3"/>
      <c r="UR197" s="3"/>
      <c r="US197" s="3"/>
      <c r="UT197" s="3"/>
      <c r="UU197" s="3"/>
      <c r="UV197" s="3"/>
      <c r="UW197" s="3"/>
      <c r="UX197" s="3"/>
      <c r="UY197" s="3"/>
      <c r="UZ197" s="3"/>
      <c r="VA197" s="3"/>
      <c r="VB197" s="3"/>
      <c r="VC197" s="3"/>
      <c r="VD197" s="3"/>
      <c r="VE197" s="3"/>
      <c r="VF197" s="3"/>
      <c r="VG197" s="3"/>
      <c r="VH197" s="3"/>
      <c r="VI197" s="3"/>
      <c r="VJ197" s="3"/>
      <c r="VK197" s="3"/>
      <c r="VL197" s="3"/>
      <c r="VM197" s="3"/>
      <c r="VN197" s="3"/>
      <c r="VO197" s="3"/>
      <c r="VP197" s="3"/>
      <c r="VQ197" s="3"/>
      <c r="VR197" s="3"/>
      <c r="VS197" s="3"/>
      <c r="VT197" s="3"/>
      <c r="VU197" s="3"/>
      <c r="VV197" s="3"/>
      <c r="VW197" s="3"/>
      <c r="VX197" s="3"/>
      <c r="VY197" s="3"/>
      <c r="VZ197" s="3"/>
      <c r="WA197" s="3"/>
      <c r="WB197" s="3"/>
      <c r="WC197" s="3"/>
      <c r="WD197" s="3"/>
      <c r="WE197" s="3"/>
      <c r="WF197" s="3"/>
      <c r="WG197" s="3"/>
      <c r="WH197" s="3"/>
      <c r="WI197" s="3"/>
      <c r="WJ197" s="3"/>
      <c r="WK197" s="3"/>
      <c r="WL197" s="3"/>
      <c r="WM197" s="3"/>
      <c r="WN197" s="3"/>
      <c r="WO197" s="3"/>
      <c r="WP197" s="3"/>
      <c r="WQ197" s="3"/>
      <c r="WR197" s="3"/>
      <c r="WS197" s="3"/>
      <c r="WT197" s="3"/>
      <c r="WU197" s="3"/>
      <c r="WV197" s="3"/>
      <c r="WW197" s="3"/>
      <c r="WX197" s="3"/>
      <c r="WY197" s="3"/>
      <c r="WZ197" s="3"/>
      <c r="XA197" s="3"/>
      <c r="XB197" s="3"/>
      <c r="XC197" s="3"/>
      <c r="XD197" s="3"/>
      <c r="XE197" s="3"/>
      <c r="XF197" s="3"/>
      <c r="XG197" s="3"/>
      <c r="XH197" s="3"/>
      <c r="XI197" s="3"/>
      <c r="XJ197" s="3"/>
      <c r="XK197" s="3"/>
      <c r="XL197" s="3"/>
      <c r="XM197" s="3"/>
      <c r="XN197" s="3"/>
      <c r="XO197" s="3"/>
      <c r="XP197" s="3"/>
      <c r="XQ197" s="3"/>
      <c r="XR197" s="3"/>
      <c r="XS197" s="3"/>
      <c r="XT197" s="3"/>
      <c r="XU197" s="3"/>
      <c r="XV197" s="3"/>
      <c r="XW197" s="3"/>
      <c r="XX197" s="3"/>
      <c r="XY197" s="3"/>
      <c r="XZ197" s="3"/>
      <c r="YA197" s="3"/>
      <c r="YB197" s="3"/>
      <c r="YC197" s="3"/>
      <c r="YD197" s="3"/>
      <c r="YE197" s="3"/>
      <c r="YF197" s="3"/>
      <c r="YG197" s="3"/>
      <c r="YH197" s="3"/>
      <c r="YI197" s="3"/>
      <c r="YJ197" s="3"/>
      <c r="YK197" s="3"/>
      <c r="YL197" s="3"/>
      <c r="YM197" s="3"/>
      <c r="YN197" s="3"/>
      <c r="YO197" s="3"/>
      <c r="YP197" s="3"/>
      <c r="YQ197" s="3"/>
      <c r="YR197" s="3"/>
      <c r="YS197" s="3"/>
      <c r="YT197" s="3"/>
      <c r="YU197" s="3"/>
      <c r="YV197" s="3"/>
      <c r="YW197" s="3"/>
      <c r="YX197" s="3"/>
      <c r="YY197" s="3"/>
      <c r="YZ197" s="3"/>
      <c r="ZA197" s="3"/>
      <c r="ZB197" s="3"/>
      <c r="ZC197" s="3"/>
    </row>
    <row r="198" spans="1:679" s="2" customFormat="1" x14ac:dyDescent="0.45">
      <c r="A198" s="3" t="s">
        <v>11</v>
      </c>
      <c r="B198" s="4">
        <v>35999</v>
      </c>
      <c r="C198" s="7" t="s">
        <v>21</v>
      </c>
      <c r="D198" s="6" t="s">
        <v>214</v>
      </c>
      <c r="E198" s="3"/>
      <c r="F198" s="3">
        <v>18</v>
      </c>
      <c r="L198" s="3"/>
      <c r="M198" s="3"/>
      <c r="N198" s="48"/>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c r="DV198" s="3"/>
      <c r="DW198" s="3"/>
      <c r="DX198" s="3"/>
      <c r="DY198" s="3"/>
      <c r="DZ198" s="3"/>
      <c r="EA198" s="3"/>
      <c r="EB198" s="3"/>
      <c r="EC198" s="3"/>
      <c r="ED198" s="3"/>
      <c r="EE198" s="3"/>
      <c r="EF198" s="3"/>
      <c r="EG198" s="3"/>
      <c r="EH198" s="3"/>
      <c r="EI198" s="3"/>
      <c r="EJ198" s="3"/>
      <c r="EK198" s="3"/>
      <c r="EL198" s="3"/>
      <c r="EM198" s="3"/>
      <c r="EN198" s="3"/>
      <c r="EO198" s="3"/>
      <c r="EP198" s="3"/>
      <c r="EQ198" s="3"/>
      <c r="ER198" s="3"/>
      <c r="ES198" s="3"/>
      <c r="ET198" s="3"/>
      <c r="EU198" s="3"/>
      <c r="EV198" s="3"/>
      <c r="EW198" s="3"/>
      <c r="EX198" s="3"/>
      <c r="EY198" s="3"/>
      <c r="EZ198" s="3"/>
      <c r="FA198" s="3"/>
      <c r="FB198" s="3"/>
      <c r="FC198" s="3"/>
      <c r="FD198" s="3"/>
      <c r="FE198" s="3"/>
      <c r="FF198" s="3"/>
      <c r="FG198" s="3"/>
      <c r="FH198" s="3"/>
      <c r="FI198" s="3"/>
      <c r="FJ198" s="3"/>
      <c r="FK198" s="3"/>
      <c r="FL198" s="3"/>
      <c r="FM198" s="3"/>
      <c r="FN198" s="3"/>
      <c r="FO198" s="3"/>
      <c r="FP198" s="3"/>
      <c r="FQ198" s="3"/>
      <c r="FR198" s="3"/>
      <c r="FS198" s="3"/>
      <c r="FT198" s="3"/>
      <c r="FU198" s="3"/>
      <c r="FV198" s="3"/>
      <c r="FW198" s="3"/>
      <c r="FX198" s="3"/>
      <c r="FY198" s="3"/>
      <c r="FZ198" s="3"/>
      <c r="GA198" s="3"/>
      <c r="GB198" s="3"/>
      <c r="GC198" s="3"/>
      <c r="GD198" s="3"/>
      <c r="GE198" s="3"/>
      <c r="GF198" s="3"/>
      <c r="GG198" s="3"/>
      <c r="GH198" s="3"/>
      <c r="GI198" s="3"/>
      <c r="GJ198" s="3"/>
      <c r="GK198" s="3"/>
      <c r="GL198" s="3"/>
      <c r="GM198" s="3"/>
      <c r="GN198" s="3"/>
      <c r="GO198" s="3"/>
      <c r="GP198" s="3"/>
      <c r="GQ198" s="3"/>
      <c r="GR198" s="3"/>
      <c r="GS198" s="3"/>
      <c r="GT198" s="3"/>
      <c r="GU198" s="3"/>
      <c r="GV198" s="3"/>
      <c r="GW198" s="3"/>
      <c r="GX198" s="3"/>
      <c r="GY198" s="3"/>
      <c r="GZ198" s="3"/>
      <c r="HA198" s="3"/>
      <c r="HB198" s="3"/>
      <c r="HC198" s="3"/>
      <c r="HD198" s="3"/>
      <c r="HE198" s="3"/>
      <c r="HF198" s="3"/>
      <c r="HG198" s="3"/>
      <c r="HH198" s="3"/>
      <c r="HI198" s="3"/>
      <c r="HJ198" s="3"/>
      <c r="HK198" s="3"/>
      <c r="HL198" s="3"/>
      <c r="HM198" s="3"/>
      <c r="HN198" s="3"/>
      <c r="HO198" s="3"/>
      <c r="HP198" s="3"/>
      <c r="HQ198" s="3"/>
      <c r="HR198" s="3"/>
      <c r="HS198" s="3"/>
      <c r="HT198" s="3"/>
      <c r="HU198" s="3"/>
      <c r="HV198" s="3"/>
      <c r="HW198" s="3"/>
      <c r="HX198" s="3"/>
      <c r="HY198" s="3"/>
      <c r="HZ198" s="3"/>
      <c r="IA198" s="3"/>
      <c r="IB198" s="3"/>
      <c r="IC198" s="3"/>
      <c r="ID198" s="3"/>
      <c r="IE198" s="3"/>
      <c r="IF198" s="3"/>
      <c r="IG198" s="3"/>
      <c r="IH198" s="3"/>
      <c r="II198" s="3"/>
      <c r="IJ198" s="3"/>
      <c r="IK198" s="3"/>
      <c r="IL198" s="3"/>
      <c r="IM198" s="3"/>
      <c r="IN198" s="3"/>
      <c r="IO198" s="3"/>
      <c r="IP198" s="3"/>
      <c r="IQ198" s="3"/>
      <c r="IR198" s="3"/>
      <c r="IS198" s="3"/>
      <c r="IT198" s="3"/>
      <c r="IU198" s="3"/>
      <c r="IV198" s="3"/>
      <c r="IW198" s="3"/>
      <c r="IX198" s="3"/>
      <c r="IY198" s="3"/>
      <c r="IZ198" s="3"/>
      <c r="JA198" s="3"/>
      <c r="JB198" s="3"/>
      <c r="JC198" s="3"/>
      <c r="JD198" s="3"/>
      <c r="JE198" s="3"/>
      <c r="JF198" s="3"/>
      <c r="JG198" s="3"/>
      <c r="JH198" s="3"/>
      <c r="JI198" s="3"/>
      <c r="JJ198" s="3"/>
      <c r="JK198" s="3"/>
      <c r="JL198" s="3"/>
      <c r="JM198" s="3"/>
      <c r="JN198" s="3"/>
      <c r="JO198" s="3"/>
      <c r="JP198" s="3"/>
      <c r="JQ198" s="3"/>
      <c r="JR198" s="3"/>
      <c r="JS198" s="3"/>
      <c r="JT198" s="3"/>
      <c r="JU198" s="3"/>
      <c r="JV198" s="3"/>
      <c r="JW198" s="3"/>
      <c r="JX198" s="3"/>
      <c r="JY198" s="3"/>
      <c r="JZ198" s="3"/>
      <c r="KA198" s="3"/>
      <c r="KB198" s="3"/>
      <c r="KC198" s="3"/>
      <c r="KD198" s="3"/>
      <c r="KE198" s="3"/>
      <c r="KF198" s="3"/>
      <c r="KG198" s="3"/>
      <c r="KH198" s="3"/>
      <c r="KI198" s="3"/>
      <c r="KJ198" s="3"/>
      <c r="KK198" s="3"/>
      <c r="KL198" s="3"/>
      <c r="KM198" s="3"/>
      <c r="KN198" s="3"/>
      <c r="KO198" s="3"/>
      <c r="KP198" s="3"/>
      <c r="KQ198" s="3"/>
      <c r="KR198" s="3"/>
      <c r="KS198" s="3"/>
      <c r="KT198" s="3"/>
      <c r="KU198" s="3"/>
      <c r="KV198" s="3"/>
      <c r="KW198" s="3"/>
      <c r="KX198" s="3"/>
      <c r="KY198" s="3"/>
      <c r="KZ198" s="3"/>
      <c r="LA198" s="3"/>
      <c r="LB198" s="3"/>
      <c r="LC198" s="3"/>
      <c r="LD198" s="3"/>
      <c r="LE198" s="3"/>
      <c r="LF198" s="3"/>
      <c r="LG198" s="3"/>
      <c r="LH198" s="3"/>
      <c r="LI198" s="3"/>
      <c r="LJ198" s="3"/>
      <c r="LK198" s="3"/>
      <c r="LL198" s="3"/>
      <c r="LM198" s="3"/>
      <c r="LN198" s="3"/>
      <c r="LO198" s="3"/>
      <c r="LP198" s="3"/>
      <c r="LQ198" s="3"/>
      <c r="LR198" s="3"/>
      <c r="LS198" s="3"/>
      <c r="LT198" s="3"/>
      <c r="LU198" s="3"/>
      <c r="LV198" s="3"/>
      <c r="LW198" s="3"/>
      <c r="LX198" s="3"/>
      <c r="LY198" s="3"/>
      <c r="LZ198" s="3"/>
      <c r="MA198" s="3"/>
      <c r="MB198" s="3"/>
      <c r="MC198" s="3"/>
      <c r="MD198" s="3"/>
      <c r="ME198" s="3"/>
      <c r="MF198" s="3"/>
      <c r="MG198" s="3"/>
      <c r="MH198" s="3"/>
      <c r="MI198" s="3"/>
      <c r="MJ198" s="3"/>
      <c r="MK198" s="3"/>
      <c r="ML198" s="3"/>
      <c r="MM198" s="3"/>
      <c r="MN198" s="3"/>
      <c r="MO198" s="3"/>
      <c r="MP198" s="3"/>
      <c r="MQ198" s="3"/>
      <c r="MR198" s="3"/>
      <c r="MS198" s="3"/>
      <c r="MT198" s="3"/>
      <c r="MU198" s="3"/>
      <c r="MV198" s="3"/>
      <c r="MW198" s="3"/>
      <c r="MX198" s="3"/>
      <c r="MY198" s="3"/>
      <c r="MZ198" s="3"/>
      <c r="NA198" s="3"/>
      <c r="NB198" s="3"/>
      <c r="NC198" s="3"/>
      <c r="ND198" s="3"/>
      <c r="NE198" s="3"/>
      <c r="NF198" s="3"/>
      <c r="NG198" s="3"/>
      <c r="NH198" s="3"/>
      <c r="NI198" s="3"/>
      <c r="NJ198" s="3"/>
      <c r="NK198" s="3"/>
      <c r="NL198" s="3"/>
      <c r="NM198" s="3"/>
      <c r="NN198" s="3"/>
      <c r="NO198" s="3"/>
      <c r="NP198" s="3"/>
      <c r="NQ198" s="3"/>
      <c r="NR198" s="3"/>
      <c r="NS198" s="3"/>
      <c r="NT198" s="3"/>
      <c r="NU198" s="3"/>
      <c r="NV198" s="3"/>
      <c r="NW198" s="3"/>
      <c r="NX198" s="3"/>
      <c r="NY198" s="3"/>
      <c r="NZ198" s="3"/>
      <c r="OA198" s="3"/>
      <c r="OB198" s="3"/>
      <c r="OC198" s="3"/>
      <c r="OD198" s="3"/>
      <c r="OE198" s="3"/>
      <c r="OF198" s="3"/>
      <c r="OG198" s="3"/>
      <c r="OH198" s="3"/>
      <c r="OI198" s="3"/>
      <c r="OJ198" s="3"/>
      <c r="OK198" s="3"/>
      <c r="OL198" s="3"/>
      <c r="OM198" s="3"/>
      <c r="ON198" s="3"/>
      <c r="OO198" s="3"/>
      <c r="OP198" s="3"/>
      <c r="OQ198" s="3"/>
      <c r="OR198" s="3"/>
      <c r="OS198" s="3"/>
      <c r="OT198" s="3"/>
      <c r="OU198" s="3"/>
      <c r="OV198" s="3"/>
      <c r="OW198" s="3"/>
      <c r="OX198" s="3"/>
      <c r="OY198" s="3"/>
      <c r="OZ198" s="3"/>
      <c r="PA198" s="3"/>
      <c r="PB198" s="3"/>
      <c r="PC198" s="3"/>
      <c r="PD198" s="3"/>
      <c r="PE198" s="3"/>
      <c r="PF198" s="3"/>
      <c r="PG198" s="3"/>
      <c r="PH198" s="3"/>
      <c r="PI198" s="3"/>
      <c r="PJ198" s="3"/>
      <c r="PK198" s="3"/>
      <c r="PL198" s="3"/>
      <c r="PM198" s="3"/>
      <c r="PN198" s="3"/>
      <c r="PO198" s="3"/>
      <c r="PP198" s="3"/>
      <c r="PQ198" s="3"/>
      <c r="PR198" s="3"/>
      <c r="PS198" s="3"/>
      <c r="PT198" s="3"/>
      <c r="PU198" s="3"/>
      <c r="PV198" s="3"/>
      <c r="PW198" s="3"/>
      <c r="PX198" s="3"/>
      <c r="PY198" s="3"/>
      <c r="PZ198" s="3"/>
      <c r="QA198" s="3"/>
      <c r="QB198" s="3"/>
      <c r="QC198" s="3"/>
      <c r="QD198" s="3"/>
      <c r="QE198" s="3"/>
      <c r="QF198" s="3"/>
      <c r="QG198" s="3"/>
      <c r="QH198" s="3"/>
      <c r="QI198" s="3"/>
      <c r="QJ198" s="3"/>
      <c r="QK198" s="3"/>
      <c r="QL198" s="3"/>
      <c r="QM198" s="3"/>
      <c r="QN198" s="3"/>
      <c r="QO198" s="3"/>
      <c r="QP198" s="3"/>
      <c r="QQ198" s="3"/>
      <c r="QR198" s="3"/>
      <c r="QS198" s="3"/>
      <c r="QT198" s="3"/>
      <c r="QU198" s="3"/>
      <c r="QV198" s="3"/>
      <c r="QW198" s="3"/>
      <c r="QX198" s="3"/>
      <c r="QY198" s="3"/>
      <c r="QZ198" s="3"/>
      <c r="RA198" s="3"/>
      <c r="RB198" s="3"/>
      <c r="RC198" s="3"/>
      <c r="RD198" s="3"/>
      <c r="RE198" s="3"/>
      <c r="RF198" s="3"/>
      <c r="RG198" s="3"/>
      <c r="RH198" s="3"/>
      <c r="RI198" s="3"/>
      <c r="RJ198" s="3"/>
      <c r="RK198" s="3"/>
      <c r="RL198" s="3"/>
      <c r="RM198" s="3"/>
      <c r="RN198" s="3"/>
      <c r="RO198" s="3"/>
      <c r="RP198" s="3"/>
      <c r="RQ198" s="3"/>
      <c r="RR198" s="3"/>
      <c r="RS198" s="3"/>
      <c r="RT198" s="3"/>
      <c r="RU198" s="3"/>
      <c r="RV198" s="3"/>
      <c r="RW198" s="3"/>
      <c r="RX198" s="3"/>
      <c r="RY198" s="3"/>
      <c r="RZ198" s="3"/>
      <c r="SA198" s="3"/>
      <c r="SB198" s="3"/>
      <c r="SC198" s="3"/>
      <c r="SD198" s="3"/>
      <c r="SE198" s="3"/>
      <c r="SF198" s="3"/>
      <c r="SG198" s="3"/>
      <c r="SH198" s="3"/>
      <c r="SI198" s="3"/>
      <c r="SJ198" s="3"/>
      <c r="SK198" s="3"/>
      <c r="SL198" s="3"/>
      <c r="SM198" s="3"/>
      <c r="SN198" s="3"/>
      <c r="SO198" s="3"/>
      <c r="SP198" s="3"/>
      <c r="SQ198" s="3"/>
      <c r="SR198" s="3"/>
      <c r="SS198" s="3"/>
      <c r="ST198" s="3"/>
      <c r="SU198" s="3"/>
      <c r="SV198" s="3"/>
      <c r="SW198" s="3"/>
      <c r="SX198" s="3"/>
      <c r="SY198" s="3"/>
      <c r="SZ198" s="3"/>
      <c r="TA198" s="3"/>
      <c r="TB198" s="3"/>
      <c r="TC198" s="3"/>
      <c r="TD198" s="3"/>
      <c r="TE198" s="3"/>
      <c r="TF198" s="3"/>
      <c r="TG198" s="3"/>
      <c r="TH198" s="3"/>
      <c r="TI198" s="3"/>
      <c r="TJ198" s="3"/>
      <c r="TK198" s="3"/>
      <c r="TL198" s="3"/>
      <c r="TM198" s="3"/>
      <c r="TN198" s="3"/>
      <c r="TO198" s="3"/>
      <c r="TP198" s="3"/>
      <c r="TQ198" s="3"/>
      <c r="TR198" s="3"/>
      <c r="TS198" s="3"/>
      <c r="TT198" s="3"/>
      <c r="TU198" s="3"/>
      <c r="TV198" s="3"/>
      <c r="TW198" s="3"/>
      <c r="TX198" s="3"/>
      <c r="TY198" s="3"/>
      <c r="TZ198" s="3"/>
      <c r="UA198" s="3"/>
      <c r="UB198" s="3"/>
      <c r="UC198" s="3"/>
      <c r="UD198" s="3"/>
      <c r="UE198" s="3"/>
      <c r="UF198" s="3"/>
      <c r="UG198" s="3"/>
      <c r="UH198" s="3"/>
      <c r="UI198" s="3"/>
      <c r="UJ198" s="3"/>
      <c r="UK198" s="3"/>
      <c r="UL198" s="3"/>
      <c r="UM198" s="3"/>
      <c r="UN198" s="3"/>
      <c r="UO198" s="3"/>
      <c r="UP198" s="3"/>
      <c r="UQ198" s="3"/>
      <c r="UR198" s="3"/>
      <c r="US198" s="3"/>
      <c r="UT198" s="3"/>
      <c r="UU198" s="3"/>
      <c r="UV198" s="3"/>
      <c r="UW198" s="3"/>
      <c r="UX198" s="3"/>
      <c r="UY198" s="3"/>
      <c r="UZ198" s="3"/>
      <c r="VA198" s="3"/>
      <c r="VB198" s="3"/>
      <c r="VC198" s="3"/>
      <c r="VD198" s="3"/>
      <c r="VE198" s="3"/>
      <c r="VF198" s="3"/>
      <c r="VG198" s="3"/>
      <c r="VH198" s="3"/>
      <c r="VI198" s="3"/>
      <c r="VJ198" s="3"/>
      <c r="VK198" s="3"/>
      <c r="VL198" s="3"/>
      <c r="VM198" s="3"/>
      <c r="VN198" s="3"/>
      <c r="VO198" s="3"/>
      <c r="VP198" s="3"/>
      <c r="VQ198" s="3"/>
      <c r="VR198" s="3"/>
      <c r="VS198" s="3"/>
      <c r="VT198" s="3"/>
      <c r="VU198" s="3"/>
      <c r="VV198" s="3"/>
      <c r="VW198" s="3"/>
      <c r="VX198" s="3"/>
      <c r="VY198" s="3"/>
      <c r="VZ198" s="3"/>
      <c r="WA198" s="3"/>
      <c r="WB198" s="3"/>
      <c r="WC198" s="3"/>
      <c r="WD198" s="3"/>
      <c r="WE198" s="3"/>
      <c r="WF198" s="3"/>
      <c r="WG198" s="3"/>
      <c r="WH198" s="3"/>
      <c r="WI198" s="3"/>
      <c r="WJ198" s="3"/>
      <c r="WK198" s="3"/>
      <c r="WL198" s="3"/>
      <c r="WM198" s="3"/>
      <c r="WN198" s="3"/>
      <c r="WO198" s="3"/>
      <c r="WP198" s="3"/>
      <c r="WQ198" s="3"/>
      <c r="WR198" s="3"/>
      <c r="WS198" s="3"/>
      <c r="WT198" s="3"/>
      <c r="WU198" s="3"/>
      <c r="WV198" s="3"/>
      <c r="WW198" s="3"/>
      <c r="WX198" s="3"/>
      <c r="WY198" s="3"/>
      <c r="WZ198" s="3"/>
      <c r="XA198" s="3"/>
      <c r="XB198" s="3"/>
      <c r="XC198" s="3"/>
      <c r="XD198" s="3"/>
      <c r="XE198" s="3"/>
      <c r="XF198" s="3"/>
      <c r="XG198" s="3"/>
      <c r="XH198" s="3"/>
      <c r="XI198" s="3"/>
      <c r="XJ198" s="3"/>
      <c r="XK198" s="3"/>
      <c r="XL198" s="3"/>
      <c r="XM198" s="3"/>
      <c r="XN198" s="3"/>
      <c r="XO198" s="3"/>
      <c r="XP198" s="3"/>
      <c r="XQ198" s="3"/>
      <c r="XR198" s="3"/>
      <c r="XS198" s="3"/>
      <c r="XT198" s="3"/>
      <c r="XU198" s="3"/>
      <c r="XV198" s="3"/>
      <c r="XW198" s="3"/>
      <c r="XX198" s="3"/>
      <c r="XY198" s="3"/>
      <c r="XZ198" s="3"/>
      <c r="YA198" s="3"/>
      <c r="YB198" s="3"/>
      <c r="YC198" s="3"/>
      <c r="YD198" s="3"/>
      <c r="YE198" s="3"/>
      <c r="YF198" s="3"/>
      <c r="YG198" s="3"/>
      <c r="YH198" s="3"/>
      <c r="YI198" s="3"/>
      <c r="YJ198" s="3"/>
      <c r="YK198" s="3"/>
      <c r="YL198" s="3"/>
      <c r="YM198" s="3"/>
      <c r="YN198" s="3"/>
      <c r="YO198" s="3"/>
      <c r="YP198" s="3"/>
      <c r="YQ198" s="3"/>
      <c r="YR198" s="3"/>
      <c r="YS198" s="3"/>
      <c r="YT198" s="3"/>
      <c r="YU198" s="3"/>
      <c r="YV198" s="3"/>
      <c r="YW198" s="3"/>
      <c r="YX198" s="3"/>
      <c r="YY198" s="3"/>
      <c r="YZ198" s="3"/>
      <c r="ZA198" s="3"/>
      <c r="ZB198" s="3"/>
      <c r="ZC198" s="3"/>
    </row>
    <row r="199" spans="1:679" s="2" customFormat="1" x14ac:dyDescent="0.45">
      <c r="A199" s="3" t="s">
        <v>11</v>
      </c>
      <c r="B199" s="4">
        <v>36027</v>
      </c>
      <c r="C199" s="7" t="s">
        <v>21</v>
      </c>
      <c r="D199" s="6" t="s">
        <v>215</v>
      </c>
      <c r="E199" s="3"/>
      <c r="F199" s="3">
        <v>4</v>
      </c>
      <c r="L199" s="3"/>
      <c r="M199" s="3"/>
      <c r="N199" s="48"/>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c r="DV199" s="3"/>
      <c r="DW199" s="3"/>
      <c r="DX199" s="3"/>
      <c r="DY199" s="3"/>
      <c r="DZ199" s="3"/>
      <c r="EA199" s="3"/>
      <c r="EB199" s="3"/>
      <c r="EC199" s="3"/>
      <c r="ED199" s="3"/>
      <c r="EE199" s="3"/>
      <c r="EF199" s="3"/>
      <c r="EG199" s="3"/>
      <c r="EH199" s="3"/>
      <c r="EI199" s="3"/>
      <c r="EJ199" s="3"/>
      <c r="EK199" s="3"/>
      <c r="EL199" s="3"/>
      <c r="EM199" s="3"/>
      <c r="EN199" s="3"/>
      <c r="EO199" s="3"/>
      <c r="EP199" s="3"/>
      <c r="EQ199" s="3"/>
      <c r="ER199" s="3"/>
      <c r="ES199" s="3"/>
      <c r="ET199" s="3"/>
      <c r="EU199" s="3"/>
      <c r="EV199" s="3"/>
      <c r="EW199" s="3"/>
      <c r="EX199" s="3"/>
      <c r="EY199" s="3"/>
      <c r="EZ199" s="3"/>
      <c r="FA199" s="3"/>
      <c r="FB199" s="3"/>
      <c r="FC199" s="3"/>
      <c r="FD199" s="3"/>
      <c r="FE199" s="3"/>
      <c r="FF199" s="3"/>
      <c r="FG199" s="3"/>
      <c r="FH199" s="3"/>
      <c r="FI199" s="3"/>
      <c r="FJ199" s="3"/>
      <c r="FK199" s="3"/>
      <c r="FL199" s="3"/>
      <c r="FM199" s="3"/>
      <c r="FN199" s="3"/>
      <c r="FO199" s="3"/>
      <c r="FP199" s="3"/>
      <c r="FQ199" s="3"/>
      <c r="FR199" s="3"/>
      <c r="FS199" s="3"/>
      <c r="FT199" s="3"/>
      <c r="FU199" s="3"/>
      <c r="FV199" s="3"/>
      <c r="FW199" s="3"/>
      <c r="FX199" s="3"/>
      <c r="FY199" s="3"/>
      <c r="FZ199" s="3"/>
      <c r="GA199" s="3"/>
      <c r="GB199" s="3"/>
      <c r="GC199" s="3"/>
      <c r="GD199" s="3"/>
      <c r="GE199" s="3"/>
      <c r="GF199" s="3"/>
      <c r="GG199" s="3"/>
      <c r="GH199" s="3"/>
      <c r="GI199" s="3"/>
      <c r="GJ199" s="3"/>
      <c r="GK199" s="3"/>
      <c r="GL199" s="3"/>
      <c r="GM199" s="3"/>
      <c r="GN199" s="3"/>
      <c r="GO199" s="3"/>
      <c r="GP199" s="3"/>
      <c r="GQ199" s="3"/>
      <c r="GR199" s="3"/>
      <c r="GS199" s="3"/>
      <c r="GT199" s="3"/>
      <c r="GU199" s="3"/>
      <c r="GV199" s="3"/>
      <c r="GW199" s="3"/>
      <c r="GX199" s="3"/>
      <c r="GY199" s="3"/>
      <c r="GZ199" s="3"/>
      <c r="HA199" s="3"/>
      <c r="HB199" s="3"/>
      <c r="HC199" s="3"/>
      <c r="HD199" s="3"/>
      <c r="HE199" s="3"/>
      <c r="HF199" s="3"/>
      <c r="HG199" s="3"/>
      <c r="HH199" s="3"/>
      <c r="HI199" s="3"/>
      <c r="HJ199" s="3"/>
      <c r="HK199" s="3"/>
      <c r="HL199" s="3"/>
      <c r="HM199" s="3"/>
      <c r="HN199" s="3"/>
      <c r="HO199" s="3"/>
      <c r="HP199" s="3"/>
      <c r="HQ199" s="3"/>
      <c r="HR199" s="3"/>
      <c r="HS199" s="3"/>
      <c r="HT199" s="3"/>
      <c r="HU199" s="3"/>
      <c r="HV199" s="3"/>
      <c r="HW199" s="3"/>
      <c r="HX199" s="3"/>
      <c r="HY199" s="3"/>
      <c r="HZ199" s="3"/>
      <c r="IA199" s="3"/>
      <c r="IB199" s="3"/>
      <c r="IC199" s="3"/>
      <c r="ID199" s="3"/>
      <c r="IE199" s="3"/>
      <c r="IF199" s="3"/>
      <c r="IG199" s="3"/>
      <c r="IH199" s="3"/>
      <c r="II199" s="3"/>
      <c r="IJ199" s="3"/>
      <c r="IK199" s="3"/>
      <c r="IL199" s="3"/>
      <c r="IM199" s="3"/>
      <c r="IN199" s="3"/>
      <c r="IO199" s="3"/>
      <c r="IP199" s="3"/>
      <c r="IQ199" s="3"/>
      <c r="IR199" s="3"/>
      <c r="IS199" s="3"/>
      <c r="IT199" s="3"/>
      <c r="IU199" s="3"/>
      <c r="IV199" s="3"/>
      <c r="IW199" s="3"/>
      <c r="IX199" s="3"/>
      <c r="IY199" s="3"/>
      <c r="IZ199" s="3"/>
      <c r="JA199" s="3"/>
      <c r="JB199" s="3"/>
      <c r="JC199" s="3"/>
      <c r="JD199" s="3"/>
      <c r="JE199" s="3"/>
      <c r="JF199" s="3"/>
      <c r="JG199" s="3"/>
      <c r="JH199" s="3"/>
      <c r="JI199" s="3"/>
      <c r="JJ199" s="3"/>
      <c r="JK199" s="3"/>
      <c r="JL199" s="3"/>
      <c r="JM199" s="3"/>
      <c r="JN199" s="3"/>
      <c r="JO199" s="3"/>
      <c r="JP199" s="3"/>
      <c r="JQ199" s="3"/>
      <c r="JR199" s="3"/>
      <c r="JS199" s="3"/>
      <c r="JT199" s="3"/>
      <c r="JU199" s="3"/>
      <c r="JV199" s="3"/>
      <c r="JW199" s="3"/>
      <c r="JX199" s="3"/>
      <c r="JY199" s="3"/>
      <c r="JZ199" s="3"/>
      <c r="KA199" s="3"/>
      <c r="KB199" s="3"/>
      <c r="KC199" s="3"/>
      <c r="KD199" s="3"/>
      <c r="KE199" s="3"/>
      <c r="KF199" s="3"/>
      <c r="KG199" s="3"/>
      <c r="KH199" s="3"/>
      <c r="KI199" s="3"/>
      <c r="KJ199" s="3"/>
      <c r="KK199" s="3"/>
      <c r="KL199" s="3"/>
      <c r="KM199" s="3"/>
      <c r="KN199" s="3"/>
      <c r="KO199" s="3"/>
      <c r="KP199" s="3"/>
      <c r="KQ199" s="3"/>
      <c r="KR199" s="3"/>
      <c r="KS199" s="3"/>
      <c r="KT199" s="3"/>
      <c r="KU199" s="3"/>
      <c r="KV199" s="3"/>
      <c r="KW199" s="3"/>
      <c r="KX199" s="3"/>
      <c r="KY199" s="3"/>
      <c r="KZ199" s="3"/>
      <c r="LA199" s="3"/>
      <c r="LB199" s="3"/>
      <c r="LC199" s="3"/>
      <c r="LD199" s="3"/>
      <c r="LE199" s="3"/>
      <c r="LF199" s="3"/>
      <c r="LG199" s="3"/>
      <c r="LH199" s="3"/>
      <c r="LI199" s="3"/>
      <c r="LJ199" s="3"/>
      <c r="LK199" s="3"/>
      <c r="LL199" s="3"/>
      <c r="LM199" s="3"/>
      <c r="LN199" s="3"/>
      <c r="LO199" s="3"/>
      <c r="LP199" s="3"/>
      <c r="LQ199" s="3"/>
      <c r="LR199" s="3"/>
      <c r="LS199" s="3"/>
      <c r="LT199" s="3"/>
      <c r="LU199" s="3"/>
      <c r="LV199" s="3"/>
      <c r="LW199" s="3"/>
      <c r="LX199" s="3"/>
      <c r="LY199" s="3"/>
      <c r="LZ199" s="3"/>
      <c r="MA199" s="3"/>
      <c r="MB199" s="3"/>
      <c r="MC199" s="3"/>
      <c r="MD199" s="3"/>
      <c r="ME199" s="3"/>
      <c r="MF199" s="3"/>
      <c r="MG199" s="3"/>
      <c r="MH199" s="3"/>
      <c r="MI199" s="3"/>
      <c r="MJ199" s="3"/>
      <c r="MK199" s="3"/>
      <c r="ML199" s="3"/>
      <c r="MM199" s="3"/>
      <c r="MN199" s="3"/>
      <c r="MO199" s="3"/>
      <c r="MP199" s="3"/>
      <c r="MQ199" s="3"/>
      <c r="MR199" s="3"/>
      <c r="MS199" s="3"/>
      <c r="MT199" s="3"/>
      <c r="MU199" s="3"/>
      <c r="MV199" s="3"/>
      <c r="MW199" s="3"/>
      <c r="MX199" s="3"/>
      <c r="MY199" s="3"/>
      <c r="MZ199" s="3"/>
      <c r="NA199" s="3"/>
      <c r="NB199" s="3"/>
      <c r="NC199" s="3"/>
      <c r="ND199" s="3"/>
      <c r="NE199" s="3"/>
      <c r="NF199" s="3"/>
      <c r="NG199" s="3"/>
      <c r="NH199" s="3"/>
      <c r="NI199" s="3"/>
      <c r="NJ199" s="3"/>
      <c r="NK199" s="3"/>
      <c r="NL199" s="3"/>
      <c r="NM199" s="3"/>
      <c r="NN199" s="3"/>
      <c r="NO199" s="3"/>
      <c r="NP199" s="3"/>
      <c r="NQ199" s="3"/>
      <c r="NR199" s="3"/>
      <c r="NS199" s="3"/>
      <c r="NT199" s="3"/>
      <c r="NU199" s="3"/>
      <c r="NV199" s="3"/>
      <c r="NW199" s="3"/>
      <c r="NX199" s="3"/>
      <c r="NY199" s="3"/>
      <c r="NZ199" s="3"/>
      <c r="OA199" s="3"/>
      <c r="OB199" s="3"/>
      <c r="OC199" s="3"/>
      <c r="OD199" s="3"/>
      <c r="OE199" s="3"/>
      <c r="OF199" s="3"/>
      <c r="OG199" s="3"/>
      <c r="OH199" s="3"/>
      <c r="OI199" s="3"/>
      <c r="OJ199" s="3"/>
      <c r="OK199" s="3"/>
      <c r="OL199" s="3"/>
      <c r="OM199" s="3"/>
      <c r="ON199" s="3"/>
      <c r="OO199" s="3"/>
      <c r="OP199" s="3"/>
      <c r="OQ199" s="3"/>
      <c r="OR199" s="3"/>
      <c r="OS199" s="3"/>
      <c r="OT199" s="3"/>
      <c r="OU199" s="3"/>
      <c r="OV199" s="3"/>
      <c r="OW199" s="3"/>
      <c r="OX199" s="3"/>
      <c r="OY199" s="3"/>
      <c r="OZ199" s="3"/>
      <c r="PA199" s="3"/>
      <c r="PB199" s="3"/>
      <c r="PC199" s="3"/>
      <c r="PD199" s="3"/>
      <c r="PE199" s="3"/>
      <c r="PF199" s="3"/>
      <c r="PG199" s="3"/>
      <c r="PH199" s="3"/>
      <c r="PI199" s="3"/>
      <c r="PJ199" s="3"/>
      <c r="PK199" s="3"/>
      <c r="PL199" s="3"/>
      <c r="PM199" s="3"/>
      <c r="PN199" s="3"/>
      <c r="PO199" s="3"/>
      <c r="PP199" s="3"/>
      <c r="PQ199" s="3"/>
      <c r="PR199" s="3"/>
      <c r="PS199" s="3"/>
      <c r="PT199" s="3"/>
      <c r="PU199" s="3"/>
      <c r="PV199" s="3"/>
      <c r="PW199" s="3"/>
      <c r="PX199" s="3"/>
      <c r="PY199" s="3"/>
      <c r="PZ199" s="3"/>
      <c r="QA199" s="3"/>
      <c r="QB199" s="3"/>
      <c r="QC199" s="3"/>
      <c r="QD199" s="3"/>
      <c r="QE199" s="3"/>
      <c r="QF199" s="3"/>
      <c r="QG199" s="3"/>
      <c r="QH199" s="3"/>
      <c r="QI199" s="3"/>
      <c r="QJ199" s="3"/>
      <c r="QK199" s="3"/>
      <c r="QL199" s="3"/>
      <c r="QM199" s="3"/>
      <c r="QN199" s="3"/>
      <c r="QO199" s="3"/>
      <c r="QP199" s="3"/>
      <c r="QQ199" s="3"/>
      <c r="QR199" s="3"/>
      <c r="QS199" s="3"/>
      <c r="QT199" s="3"/>
      <c r="QU199" s="3"/>
      <c r="QV199" s="3"/>
      <c r="QW199" s="3"/>
      <c r="QX199" s="3"/>
      <c r="QY199" s="3"/>
      <c r="QZ199" s="3"/>
      <c r="RA199" s="3"/>
      <c r="RB199" s="3"/>
      <c r="RC199" s="3"/>
      <c r="RD199" s="3"/>
      <c r="RE199" s="3"/>
      <c r="RF199" s="3"/>
      <c r="RG199" s="3"/>
      <c r="RH199" s="3"/>
      <c r="RI199" s="3"/>
      <c r="RJ199" s="3"/>
      <c r="RK199" s="3"/>
      <c r="RL199" s="3"/>
      <c r="RM199" s="3"/>
      <c r="RN199" s="3"/>
      <c r="RO199" s="3"/>
      <c r="RP199" s="3"/>
      <c r="RQ199" s="3"/>
      <c r="RR199" s="3"/>
      <c r="RS199" s="3"/>
      <c r="RT199" s="3"/>
      <c r="RU199" s="3"/>
      <c r="RV199" s="3"/>
      <c r="RW199" s="3"/>
      <c r="RX199" s="3"/>
      <c r="RY199" s="3"/>
      <c r="RZ199" s="3"/>
      <c r="SA199" s="3"/>
      <c r="SB199" s="3"/>
      <c r="SC199" s="3"/>
      <c r="SD199" s="3"/>
      <c r="SE199" s="3"/>
      <c r="SF199" s="3"/>
      <c r="SG199" s="3"/>
      <c r="SH199" s="3"/>
      <c r="SI199" s="3"/>
      <c r="SJ199" s="3"/>
      <c r="SK199" s="3"/>
      <c r="SL199" s="3"/>
      <c r="SM199" s="3"/>
      <c r="SN199" s="3"/>
      <c r="SO199" s="3"/>
      <c r="SP199" s="3"/>
      <c r="SQ199" s="3"/>
      <c r="SR199" s="3"/>
      <c r="SS199" s="3"/>
      <c r="ST199" s="3"/>
      <c r="SU199" s="3"/>
      <c r="SV199" s="3"/>
      <c r="SW199" s="3"/>
      <c r="SX199" s="3"/>
      <c r="SY199" s="3"/>
      <c r="SZ199" s="3"/>
      <c r="TA199" s="3"/>
      <c r="TB199" s="3"/>
      <c r="TC199" s="3"/>
      <c r="TD199" s="3"/>
      <c r="TE199" s="3"/>
      <c r="TF199" s="3"/>
      <c r="TG199" s="3"/>
      <c r="TH199" s="3"/>
      <c r="TI199" s="3"/>
      <c r="TJ199" s="3"/>
      <c r="TK199" s="3"/>
      <c r="TL199" s="3"/>
      <c r="TM199" s="3"/>
      <c r="TN199" s="3"/>
      <c r="TO199" s="3"/>
      <c r="TP199" s="3"/>
      <c r="TQ199" s="3"/>
      <c r="TR199" s="3"/>
      <c r="TS199" s="3"/>
      <c r="TT199" s="3"/>
      <c r="TU199" s="3"/>
      <c r="TV199" s="3"/>
      <c r="TW199" s="3"/>
      <c r="TX199" s="3"/>
      <c r="TY199" s="3"/>
      <c r="TZ199" s="3"/>
      <c r="UA199" s="3"/>
      <c r="UB199" s="3"/>
      <c r="UC199" s="3"/>
      <c r="UD199" s="3"/>
      <c r="UE199" s="3"/>
      <c r="UF199" s="3"/>
      <c r="UG199" s="3"/>
      <c r="UH199" s="3"/>
      <c r="UI199" s="3"/>
      <c r="UJ199" s="3"/>
      <c r="UK199" s="3"/>
      <c r="UL199" s="3"/>
      <c r="UM199" s="3"/>
      <c r="UN199" s="3"/>
      <c r="UO199" s="3"/>
      <c r="UP199" s="3"/>
      <c r="UQ199" s="3"/>
      <c r="UR199" s="3"/>
      <c r="US199" s="3"/>
      <c r="UT199" s="3"/>
      <c r="UU199" s="3"/>
      <c r="UV199" s="3"/>
      <c r="UW199" s="3"/>
      <c r="UX199" s="3"/>
      <c r="UY199" s="3"/>
      <c r="UZ199" s="3"/>
      <c r="VA199" s="3"/>
      <c r="VB199" s="3"/>
      <c r="VC199" s="3"/>
      <c r="VD199" s="3"/>
      <c r="VE199" s="3"/>
      <c r="VF199" s="3"/>
      <c r="VG199" s="3"/>
      <c r="VH199" s="3"/>
      <c r="VI199" s="3"/>
      <c r="VJ199" s="3"/>
      <c r="VK199" s="3"/>
      <c r="VL199" s="3"/>
      <c r="VM199" s="3"/>
      <c r="VN199" s="3"/>
      <c r="VO199" s="3"/>
      <c r="VP199" s="3"/>
      <c r="VQ199" s="3"/>
      <c r="VR199" s="3"/>
      <c r="VS199" s="3"/>
      <c r="VT199" s="3"/>
      <c r="VU199" s="3"/>
      <c r="VV199" s="3"/>
      <c r="VW199" s="3"/>
      <c r="VX199" s="3"/>
      <c r="VY199" s="3"/>
      <c r="VZ199" s="3"/>
      <c r="WA199" s="3"/>
      <c r="WB199" s="3"/>
      <c r="WC199" s="3"/>
      <c r="WD199" s="3"/>
      <c r="WE199" s="3"/>
      <c r="WF199" s="3"/>
      <c r="WG199" s="3"/>
      <c r="WH199" s="3"/>
      <c r="WI199" s="3"/>
      <c r="WJ199" s="3"/>
      <c r="WK199" s="3"/>
      <c r="WL199" s="3"/>
      <c r="WM199" s="3"/>
      <c r="WN199" s="3"/>
      <c r="WO199" s="3"/>
      <c r="WP199" s="3"/>
      <c r="WQ199" s="3"/>
      <c r="WR199" s="3"/>
      <c r="WS199" s="3"/>
      <c r="WT199" s="3"/>
      <c r="WU199" s="3"/>
      <c r="WV199" s="3"/>
      <c r="WW199" s="3"/>
      <c r="WX199" s="3"/>
      <c r="WY199" s="3"/>
      <c r="WZ199" s="3"/>
      <c r="XA199" s="3"/>
      <c r="XB199" s="3"/>
      <c r="XC199" s="3"/>
      <c r="XD199" s="3"/>
      <c r="XE199" s="3"/>
      <c r="XF199" s="3"/>
      <c r="XG199" s="3"/>
      <c r="XH199" s="3"/>
      <c r="XI199" s="3"/>
      <c r="XJ199" s="3"/>
      <c r="XK199" s="3"/>
      <c r="XL199" s="3"/>
      <c r="XM199" s="3"/>
      <c r="XN199" s="3"/>
      <c r="XO199" s="3"/>
      <c r="XP199" s="3"/>
      <c r="XQ199" s="3"/>
      <c r="XR199" s="3"/>
      <c r="XS199" s="3"/>
      <c r="XT199" s="3"/>
      <c r="XU199" s="3"/>
      <c r="XV199" s="3"/>
      <c r="XW199" s="3"/>
      <c r="XX199" s="3"/>
      <c r="XY199" s="3"/>
      <c r="XZ199" s="3"/>
      <c r="YA199" s="3"/>
      <c r="YB199" s="3"/>
      <c r="YC199" s="3"/>
      <c r="YD199" s="3"/>
      <c r="YE199" s="3"/>
      <c r="YF199" s="3"/>
      <c r="YG199" s="3"/>
      <c r="YH199" s="3"/>
      <c r="YI199" s="3"/>
      <c r="YJ199" s="3"/>
      <c r="YK199" s="3"/>
      <c r="YL199" s="3"/>
      <c r="YM199" s="3"/>
      <c r="YN199" s="3"/>
      <c r="YO199" s="3"/>
      <c r="YP199" s="3"/>
      <c r="YQ199" s="3"/>
      <c r="YR199" s="3"/>
      <c r="YS199" s="3"/>
      <c r="YT199" s="3"/>
      <c r="YU199" s="3"/>
      <c r="YV199" s="3"/>
      <c r="YW199" s="3"/>
      <c r="YX199" s="3"/>
      <c r="YY199" s="3"/>
      <c r="YZ199" s="3"/>
      <c r="ZA199" s="3"/>
      <c r="ZB199" s="3"/>
      <c r="ZC199" s="3"/>
    </row>
    <row r="200" spans="1:679" s="2" customFormat="1" x14ac:dyDescent="0.45">
      <c r="A200" s="3" t="s">
        <v>11</v>
      </c>
      <c r="B200" s="4">
        <v>36028</v>
      </c>
      <c r="C200" s="5" t="s">
        <v>12</v>
      </c>
      <c r="D200" s="6" t="s">
        <v>216</v>
      </c>
      <c r="E200" s="3"/>
      <c r="F200" s="3">
        <v>25</v>
      </c>
      <c r="L200" s="3"/>
      <c r="M200" s="3"/>
      <c r="N200" s="48"/>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c r="DF200" s="3"/>
      <c r="DG200" s="3"/>
      <c r="DH200" s="3"/>
      <c r="DI200" s="3"/>
      <c r="DJ200" s="3"/>
      <c r="DK200" s="3"/>
      <c r="DL200" s="3"/>
      <c r="DM200" s="3"/>
      <c r="DN200" s="3"/>
      <c r="DO200" s="3"/>
      <c r="DP200" s="3"/>
      <c r="DQ200" s="3"/>
      <c r="DR200" s="3"/>
      <c r="DS200" s="3"/>
      <c r="DT200" s="3"/>
      <c r="DU200" s="3"/>
      <c r="DV200" s="3"/>
      <c r="DW200" s="3"/>
      <c r="DX200" s="3"/>
      <c r="DY200" s="3"/>
      <c r="DZ200" s="3"/>
      <c r="EA200" s="3"/>
      <c r="EB200" s="3"/>
      <c r="EC200" s="3"/>
      <c r="ED200" s="3"/>
      <c r="EE200" s="3"/>
      <c r="EF200" s="3"/>
      <c r="EG200" s="3"/>
      <c r="EH200" s="3"/>
      <c r="EI200" s="3"/>
      <c r="EJ200" s="3"/>
      <c r="EK200" s="3"/>
      <c r="EL200" s="3"/>
      <c r="EM200" s="3"/>
      <c r="EN200" s="3"/>
      <c r="EO200" s="3"/>
      <c r="EP200" s="3"/>
      <c r="EQ200" s="3"/>
      <c r="ER200" s="3"/>
      <c r="ES200" s="3"/>
      <c r="ET200" s="3"/>
      <c r="EU200" s="3"/>
      <c r="EV200" s="3"/>
      <c r="EW200" s="3"/>
      <c r="EX200" s="3"/>
      <c r="EY200" s="3"/>
      <c r="EZ200" s="3"/>
      <c r="FA200" s="3"/>
      <c r="FB200" s="3"/>
      <c r="FC200" s="3"/>
      <c r="FD200" s="3"/>
      <c r="FE200" s="3"/>
      <c r="FF200" s="3"/>
      <c r="FG200" s="3"/>
      <c r="FH200" s="3"/>
      <c r="FI200" s="3"/>
      <c r="FJ200" s="3"/>
      <c r="FK200" s="3"/>
      <c r="FL200" s="3"/>
      <c r="FM200" s="3"/>
      <c r="FN200" s="3"/>
      <c r="FO200" s="3"/>
      <c r="FP200" s="3"/>
      <c r="FQ200" s="3"/>
      <c r="FR200" s="3"/>
      <c r="FS200" s="3"/>
      <c r="FT200" s="3"/>
      <c r="FU200" s="3"/>
      <c r="FV200" s="3"/>
      <c r="FW200" s="3"/>
      <c r="FX200" s="3"/>
      <c r="FY200" s="3"/>
      <c r="FZ200" s="3"/>
      <c r="GA200" s="3"/>
      <c r="GB200" s="3"/>
      <c r="GC200" s="3"/>
      <c r="GD200" s="3"/>
      <c r="GE200" s="3"/>
      <c r="GF200" s="3"/>
      <c r="GG200" s="3"/>
      <c r="GH200" s="3"/>
      <c r="GI200" s="3"/>
      <c r="GJ200" s="3"/>
      <c r="GK200" s="3"/>
      <c r="GL200" s="3"/>
      <c r="GM200" s="3"/>
      <c r="GN200" s="3"/>
      <c r="GO200" s="3"/>
      <c r="GP200" s="3"/>
      <c r="GQ200" s="3"/>
      <c r="GR200" s="3"/>
      <c r="GS200" s="3"/>
      <c r="GT200" s="3"/>
      <c r="GU200" s="3"/>
      <c r="GV200" s="3"/>
      <c r="GW200" s="3"/>
      <c r="GX200" s="3"/>
      <c r="GY200" s="3"/>
      <c r="GZ200" s="3"/>
      <c r="HA200" s="3"/>
      <c r="HB200" s="3"/>
      <c r="HC200" s="3"/>
      <c r="HD200" s="3"/>
      <c r="HE200" s="3"/>
      <c r="HF200" s="3"/>
      <c r="HG200" s="3"/>
      <c r="HH200" s="3"/>
      <c r="HI200" s="3"/>
      <c r="HJ200" s="3"/>
      <c r="HK200" s="3"/>
      <c r="HL200" s="3"/>
      <c r="HM200" s="3"/>
      <c r="HN200" s="3"/>
      <c r="HO200" s="3"/>
      <c r="HP200" s="3"/>
      <c r="HQ200" s="3"/>
      <c r="HR200" s="3"/>
      <c r="HS200" s="3"/>
      <c r="HT200" s="3"/>
      <c r="HU200" s="3"/>
      <c r="HV200" s="3"/>
      <c r="HW200" s="3"/>
      <c r="HX200" s="3"/>
      <c r="HY200" s="3"/>
      <c r="HZ200" s="3"/>
      <c r="IA200" s="3"/>
      <c r="IB200" s="3"/>
      <c r="IC200" s="3"/>
      <c r="ID200" s="3"/>
      <c r="IE200" s="3"/>
      <c r="IF200" s="3"/>
      <c r="IG200" s="3"/>
      <c r="IH200" s="3"/>
      <c r="II200" s="3"/>
      <c r="IJ200" s="3"/>
      <c r="IK200" s="3"/>
      <c r="IL200" s="3"/>
      <c r="IM200" s="3"/>
      <c r="IN200" s="3"/>
      <c r="IO200" s="3"/>
      <c r="IP200" s="3"/>
      <c r="IQ200" s="3"/>
      <c r="IR200" s="3"/>
      <c r="IS200" s="3"/>
      <c r="IT200" s="3"/>
      <c r="IU200" s="3"/>
      <c r="IV200" s="3"/>
      <c r="IW200" s="3"/>
      <c r="IX200" s="3"/>
      <c r="IY200" s="3"/>
      <c r="IZ200" s="3"/>
      <c r="JA200" s="3"/>
      <c r="JB200" s="3"/>
      <c r="JC200" s="3"/>
      <c r="JD200" s="3"/>
      <c r="JE200" s="3"/>
      <c r="JF200" s="3"/>
      <c r="JG200" s="3"/>
      <c r="JH200" s="3"/>
      <c r="JI200" s="3"/>
      <c r="JJ200" s="3"/>
      <c r="JK200" s="3"/>
      <c r="JL200" s="3"/>
      <c r="JM200" s="3"/>
      <c r="JN200" s="3"/>
      <c r="JO200" s="3"/>
      <c r="JP200" s="3"/>
      <c r="JQ200" s="3"/>
      <c r="JR200" s="3"/>
      <c r="JS200" s="3"/>
      <c r="JT200" s="3"/>
      <c r="JU200" s="3"/>
      <c r="JV200" s="3"/>
      <c r="JW200" s="3"/>
      <c r="JX200" s="3"/>
      <c r="JY200" s="3"/>
      <c r="JZ200" s="3"/>
      <c r="KA200" s="3"/>
      <c r="KB200" s="3"/>
      <c r="KC200" s="3"/>
      <c r="KD200" s="3"/>
      <c r="KE200" s="3"/>
      <c r="KF200" s="3"/>
      <c r="KG200" s="3"/>
      <c r="KH200" s="3"/>
      <c r="KI200" s="3"/>
      <c r="KJ200" s="3"/>
      <c r="KK200" s="3"/>
      <c r="KL200" s="3"/>
      <c r="KM200" s="3"/>
      <c r="KN200" s="3"/>
      <c r="KO200" s="3"/>
      <c r="KP200" s="3"/>
      <c r="KQ200" s="3"/>
      <c r="KR200" s="3"/>
      <c r="KS200" s="3"/>
      <c r="KT200" s="3"/>
      <c r="KU200" s="3"/>
      <c r="KV200" s="3"/>
      <c r="KW200" s="3"/>
      <c r="KX200" s="3"/>
      <c r="KY200" s="3"/>
      <c r="KZ200" s="3"/>
      <c r="LA200" s="3"/>
      <c r="LB200" s="3"/>
      <c r="LC200" s="3"/>
      <c r="LD200" s="3"/>
      <c r="LE200" s="3"/>
      <c r="LF200" s="3"/>
      <c r="LG200" s="3"/>
      <c r="LH200" s="3"/>
      <c r="LI200" s="3"/>
      <c r="LJ200" s="3"/>
      <c r="LK200" s="3"/>
      <c r="LL200" s="3"/>
      <c r="LM200" s="3"/>
      <c r="LN200" s="3"/>
      <c r="LO200" s="3"/>
      <c r="LP200" s="3"/>
      <c r="LQ200" s="3"/>
      <c r="LR200" s="3"/>
      <c r="LS200" s="3"/>
      <c r="LT200" s="3"/>
      <c r="LU200" s="3"/>
      <c r="LV200" s="3"/>
      <c r="LW200" s="3"/>
      <c r="LX200" s="3"/>
      <c r="LY200" s="3"/>
      <c r="LZ200" s="3"/>
      <c r="MA200" s="3"/>
      <c r="MB200" s="3"/>
      <c r="MC200" s="3"/>
      <c r="MD200" s="3"/>
      <c r="ME200" s="3"/>
      <c r="MF200" s="3"/>
      <c r="MG200" s="3"/>
      <c r="MH200" s="3"/>
      <c r="MI200" s="3"/>
      <c r="MJ200" s="3"/>
      <c r="MK200" s="3"/>
      <c r="ML200" s="3"/>
      <c r="MM200" s="3"/>
      <c r="MN200" s="3"/>
      <c r="MO200" s="3"/>
      <c r="MP200" s="3"/>
      <c r="MQ200" s="3"/>
      <c r="MR200" s="3"/>
      <c r="MS200" s="3"/>
      <c r="MT200" s="3"/>
      <c r="MU200" s="3"/>
      <c r="MV200" s="3"/>
      <c r="MW200" s="3"/>
      <c r="MX200" s="3"/>
      <c r="MY200" s="3"/>
      <c r="MZ200" s="3"/>
      <c r="NA200" s="3"/>
      <c r="NB200" s="3"/>
      <c r="NC200" s="3"/>
      <c r="ND200" s="3"/>
      <c r="NE200" s="3"/>
      <c r="NF200" s="3"/>
      <c r="NG200" s="3"/>
      <c r="NH200" s="3"/>
      <c r="NI200" s="3"/>
      <c r="NJ200" s="3"/>
      <c r="NK200" s="3"/>
      <c r="NL200" s="3"/>
      <c r="NM200" s="3"/>
      <c r="NN200" s="3"/>
      <c r="NO200" s="3"/>
      <c r="NP200" s="3"/>
      <c r="NQ200" s="3"/>
      <c r="NR200" s="3"/>
      <c r="NS200" s="3"/>
      <c r="NT200" s="3"/>
      <c r="NU200" s="3"/>
      <c r="NV200" s="3"/>
      <c r="NW200" s="3"/>
      <c r="NX200" s="3"/>
      <c r="NY200" s="3"/>
      <c r="NZ200" s="3"/>
      <c r="OA200" s="3"/>
      <c r="OB200" s="3"/>
      <c r="OC200" s="3"/>
      <c r="OD200" s="3"/>
      <c r="OE200" s="3"/>
      <c r="OF200" s="3"/>
      <c r="OG200" s="3"/>
      <c r="OH200" s="3"/>
      <c r="OI200" s="3"/>
      <c r="OJ200" s="3"/>
      <c r="OK200" s="3"/>
      <c r="OL200" s="3"/>
      <c r="OM200" s="3"/>
      <c r="ON200" s="3"/>
      <c r="OO200" s="3"/>
      <c r="OP200" s="3"/>
      <c r="OQ200" s="3"/>
      <c r="OR200" s="3"/>
      <c r="OS200" s="3"/>
      <c r="OT200" s="3"/>
      <c r="OU200" s="3"/>
      <c r="OV200" s="3"/>
      <c r="OW200" s="3"/>
      <c r="OX200" s="3"/>
      <c r="OY200" s="3"/>
      <c r="OZ200" s="3"/>
      <c r="PA200" s="3"/>
      <c r="PB200" s="3"/>
      <c r="PC200" s="3"/>
      <c r="PD200" s="3"/>
      <c r="PE200" s="3"/>
      <c r="PF200" s="3"/>
      <c r="PG200" s="3"/>
      <c r="PH200" s="3"/>
      <c r="PI200" s="3"/>
      <c r="PJ200" s="3"/>
      <c r="PK200" s="3"/>
      <c r="PL200" s="3"/>
      <c r="PM200" s="3"/>
      <c r="PN200" s="3"/>
      <c r="PO200" s="3"/>
      <c r="PP200" s="3"/>
      <c r="PQ200" s="3"/>
      <c r="PR200" s="3"/>
      <c r="PS200" s="3"/>
      <c r="PT200" s="3"/>
      <c r="PU200" s="3"/>
      <c r="PV200" s="3"/>
      <c r="PW200" s="3"/>
      <c r="PX200" s="3"/>
      <c r="PY200" s="3"/>
      <c r="PZ200" s="3"/>
      <c r="QA200" s="3"/>
      <c r="QB200" s="3"/>
      <c r="QC200" s="3"/>
      <c r="QD200" s="3"/>
      <c r="QE200" s="3"/>
      <c r="QF200" s="3"/>
      <c r="QG200" s="3"/>
      <c r="QH200" s="3"/>
      <c r="QI200" s="3"/>
      <c r="QJ200" s="3"/>
      <c r="QK200" s="3"/>
      <c r="QL200" s="3"/>
      <c r="QM200" s="3"/>
      <c r="QN200" s="3"/>
      <c r="QO200" s="3"/>
      <c r="QP200" s="3"/>
      <c r="QQ200" s="3"/>
      <c r="QR200" s="3"/>
      <c r="QS200" s="3"/>
      <c r="QT200" s="3"/>
      <c r="QU200" s="3"/>
      <c r="QV200" s="3"/>
      <c r="QW200" s="3"/>
      <c r="QX200" s="3"/>
      <c r="QY200" s="3"/>
      <c r="QZ200" s="3"/>
      <c r="RA200" s="3"/>
      <c r="RB200" s="3"/>
      <c r="RC200" s="3"/>
      <c r="RD200" s="3"/>
      <c r="RE200" s="3"/>
      <c r="RF200" s="3"/>
      <c r="RG200" s="3"/>
      <c r="RH200" s="3"/>
      <c r="RI200" s="3"/>
      <c r="RJ200" s="3"/>
      <c r="RK200" s="3"/>
      <c r="RL200" s="3"/>
      <c r="RM200" s="3"/>
      <c r="RN200" s="3"/>
      <c r="RO200" s="3"/>
      <c r="RP200" s="3"/>
      <c r="RQ200" s="3"/>
      <c r="RR200" s="3"/>
      <c r="RS200" s="3"/>
      <c r="RT200" s="3"/>
      <c r="RU200" s="3"/>
      <c r="RV200" s="3"/>
      <c r="RW200" s="3"/>
      <c r="RX200" s="3"/>
      <c r="RY200" s="3"/>
      <c r="RZ200" s="3"/>
      <c r="SA200" s="3"/>
      <c r="SB200" s="3"/>
      <c r="SC200" s="3"/>
      <c r="SD200" s="3"/>
      <c r="SE200" s="3"/>
      <c r="SF200" s="3"/>
      <c r="SG200" s="3"/>
      <c r="SH200" s="3"/>
      <c r="SI200" s="3"/>
      <c r="SJ200" s="3"/>
      <c r="SK200" s="3"/>
      <c r="SL200" s="3"/>
      <c r="SM200" s="3"/>
      <c r="SN200" s="3"/>
      <c r="SO200" s="3"/>
      <c r="SP200" s="3"/>
      <c r="SQ200" s="3"/>
      <c r="SR200" s="3"/>
      <c r="SS200" s="3"/>
      <c r="ST200" s="3"/>
      <c r="SU200" s="3"/>
      <c r="SV200" s="3"/>
      <c r="SW200" s="3"/>
      <c r="SX200" s="3"/>
      <c r="SY200" s="3"/>
      <c r="SZ200" s="3"/>
      <c r="TA200" s="3"/>
      <c r="TB200" s="3"/>
      <c r="TC200" s="3"/>
      <c r="TD200" s="3"/>
      <c r="TE200" s="3"/>
      <c r="TF200" s="3"/>
      <c r="TG200" s="3"/>
      <c r="TH200" s="3"/>
      <c r="TI200" s="3"/>
      <c r="TJ200" s="3"/>
      <c r="TK200" s="3"/>
      <c r="TL200" s="3"/>
      <c r="TM200" s="3"/>
      <c r="TN200" s="3"/>
      <c r="TO200" s="3"/>
      <c r="TP200" s="3"/>
      <c r="TQ200" s="3"/>
      <c r="TR200" s="3"/>
      <c r="TS200" s="3"/>
      <c r="TT200" s="3"/>
      <c r="TU200" s="3"/>
      <c r="TV200" s="3"/>
      <c r="TW200" s="3"/>
      <c r="TX200" s="3"/>
      <c r="TY200" s="3"/>
      <c r="TZ200" s="3"/>
      <c r="UA200" s="3"/>
      <c r="UB200" s="3"/>
      <c r="UC200" s="3"/>
      <c r="UD200" s="3"/>
      <c r="UE200" s="3"/>
      <c r="UF200" s="3"/>
      <c r="UG200" s="3"/>
      <c r="UH200" s="3"/>
      <c r="UI200" s="3"/>
      <c r="UJ200" s="3"/>
      <c r="UK200" s="3"/>
      <c r="UL200" s="3"/>
      <c r="UM200" s="3"/>
      <c r="UN200" s="3"/>
      <c r="UO200" s="3"/>
      <c r="UP200" s="3"/>
      <c r="UQ200" s="3"/>
      <c r="UR200" s="3"/>
      <c r="US200" s="3"/>
      <c r="UT200" s="3"/>
      <c r="UU200" s="3"/>
      <c r="UV200" s="3"/>
      <c r="UW200" s="3"/>
      <c r="UX200" s="3"/>
      <c r="UY200" s="3"/>
      <c r="UZ200" s="3"/>
      <c r="VA200" s="3"/>
      <c r="VB200" s="3"/>
      <c r="VC200" s="3"/>
      <c r="VD200" s="3"/>
      <c r="VE200" s="3"/>
      <c r="VF200" s="3"/>
      <c r="VG200" s="3"/>
      <c r="VH200" s="3"/>
      <c r="VI200" s="3"/>
      <c r="VJ200" s="3"/>
      <c r="VK200" s="3"/>
      <c r="VL200" s="3"/>
      <c r="VM200" s="3"/>
      <c r="VN200" s="3"/>
      <c r="VO200" s="3"/>
      <c r="VP200" s="3"/>
      <c r="VQ200" s="3"/>
      <c r="VR200" s="3"/>
      <c r="VS200" s="3"/>
      <c r="VT200" s="3"/>
      <c r="VU200" s="3"/>
      <c r="VV200" s="3"/>
      <c r="VW200" s="3"/>
      <c r="VX200" s="3"/>
      <c r="VY200" s="3"/>
      <c r="VZ200" s="3"/>
      <c r="WA200" s="3"/>
      <c r="WB200" s="3"/>
      <c r="WC200" s="3"/>
      <c r="WD200" s="3"/>
      <c r="WE200" s="3"/>
      <c r="WF200" s="3"/>
      <c r="WG200" s="3"/>
      <c r="WH200" s="3"/>
      <c r="WI200" s="3"/>
      <c r="WJ200" s="3"/>
      <c r="WK200" s="3"/>
      <c r="WL200" s="3"/>
      <c r="WM200" s="3"/>
      <c r="WN200" s="3"/>
      <c r="WO200" s="3"/>
      <c r="WP200" s="3"/>
      <c r="WQ200" s="3"/>
      <c r="WR200" s="3"/>
      <c r="WS200" s="3"/>
      <c r="WT200" s="3"/>
      <c r="WU200" s="3"/>
      <c r="WV200" s="3"/>
      <c r="WW200" s="3"/>
      <c r="WX200" s="3"/>
      <c r="WY200" s="3"/>
      <c r="WZ200" s="3"/>
      <c r="XA200" s="3"/>
      <c r="XB200" s="3"/>
      <c r="XC200" s="3"/>
      <c r="XD200" s="3"/>
      <c r="XE200" s="3"/>
      <c r="XF200" s="3"/>
      <c r="XG200" s="3"/>
      <c r="XH200" s="3"/>
      <c r="XI200" s="3"/>
      <c r="XJ200" s="3"/>
      <c r="XK200" s="3"/>
      <c r="XL200" s="3"/>
      <c r="XM200" s="3"/>
      <c r="XN200" s="3"/>
      <c r="XO200" s="3"/>
      <c r="XP200" s="3"/>
      <c r="XQ200" s="3"/>
      <c r="XR200" s="3"/>
      <c r="XS200" s="3"/>
      <c r="XT200" s="3"/>
      <c r="XU200" s="3"/>
      <c r="XV200" s="3"/>
      <c r="XW200" s="3"/>
      <c r="XX200" s="3"/>
      <c r="XY200" s="3"/>
      <c r="XZ200" s="3"/>
      <c r="YA200" s="3"/>
      <c r="YB200" s="3"/>
      <c r="YC200" s="3"/>
      <c r="YD200" s="3"/>
      <c r="YE200" s="3"/>
      <c r="YF200" s="3"/>
      <c r="YG200" s="3"/>
      <c r="YH200" s="3"/>
      <c r="YI200" s="3"/>
      <c r="YJ200" s="3"/>
      <c r="YK200" s="3"/>
      <c r="YL200" s="3"/>
      <c r="YM200" s="3"/>
      <c r="YN200" s="3"/>
      <c r="YO200" s="3"/>
      <c r="YP200" s="3"/>
      <c r="YQ200" s="3"/>
      <c r="YR200" s="3"/>
      <c r="YS200" s="3"/>
      <c r="YT200" s="3"/>
      <c r="YU200" s="3"/>
      <c r="YV200" s="3"/>
      <c r="YW200" s="3"/>
      <c r="YX200" s="3"/>
      <c r="YY200" s="3"/>
      <c r="YZ200" s="3"/>
      <c r="ZA200" s="3"/>
      <c r="ZB200" s="3"/>
      <c r="ZC200" s="3"/>
    </row>
    <row r="201" spans="1:679" s="2" customFormat="1" x14ac:dyDescent="0.45">
      <c r="A201" s="3" t="s">
        <v>11</v>
      </c>
      <c r="B201" s="4">
        <v>36057</v>
      </c>
      <c r="C201" s="7" t="s">
        <v>21</v>
      </c>
      <c r="D201" s="6" t="s">
        <v>217</v>
      </c>
      <c r="E201" s="3"/>
      <c r="F201" s="3">
        <v>31</v>
      </c>
      <c r="L201" s="3"/>
      <c r="M201" s="3"/>
      <c r="N201" s="48"/>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c r="DE201" s="3"/>
      <c r="DF201" s="3"/>
      <c r="DG201" s="3"/>
      <c r="DH201" s="3"/>
      <c r="DI201" s="3"/>
      <c r="DJ201" s="3"/>
      <c r="DK201" s="3"/>
      <c r="DL201" s="3"/>
      <c r="DM201" s="3"/>
      <c r="DN201" s="3"/>
      <c r="DO201" s="3"/>
      <c r="DP201" s="3"/>
      <c r="DQ201" s="3"/>
      <c r="DR201" s="3"/>
      <c r="DS201" s="3"/>
      <c r="DT201" s="3"/>
      <c r="DU201" s="3"/>
      <c r="DV201" s="3"/>
      <c r="DW201" s="3"/>
      <c r="DX201" s="3"/>
      <c r="DY201" s="3"/>
      <c r="DZ201" s="3"/>
      <c r="EA201" s="3"/>
      <c r="EB201" s="3"/>
      <c r="EC201" s="3"/>
      <c r="ED201" s="3"/>
      <c r="EE201" s="3"/>
      <c r="EF201" s="3"/>
      <c r="EG201" s="3"/>
      <c r="EH201" s="3"/>
      <c r="EI201" s="3"/>
      <c r="EJ201" s="3"/>
      <c r="EK201" s="3"/>
      <c r="EL201" s="3"/>
      <c r="EM201" s="3"/>
      <c r="EN201" s="3"/>
      <c r="EO201" s="3"/>
      <c r="EP201" s="3"/>
      <c r="EQ201" s="3"/>
      <c r="ER201" s="3"/>
      <c r="ES201" s="3"/>
      <c r="ET201" s="3"/>
      <c r="EU201" s="3"/>
      <c r="EV201" s="3"/>
      <c r="EW201" s="3"/>
      <c r="EX201" s="3"/>
      <c r="EY201" s="3"/>
      <c r="EZ201" s="3"/>
      <c r="FA201" s="3"/>
      <c r="FB201" s="3"/>
      <c r="FC201" s="3"/>
      <c r="FD201" s="3"/>
      <c r="FE201" s="3"/>
      <c r="FF201" s="3"/>
      <c r="FG201" s="3"/>
      <c r="FH201" s="3"/>
      <c r="FI201" s="3"/>
      <c r="FJ201" s="3"/>
      <c r="FK201" s="3"/>
      <c r="FL201" s="3"/>
      <c r="FM201" s="3"/>
      <c r="FN201" s="3"/>
      <c r="FO201" s="3"/>
      <c r="FP201" s="3"/>
      <c r="FQ201" s="3"/>
      <c r="FR201" s="3"/>
      <c r="FS201" s="3"/>
      <c r="FT201" s="3"/>
      <c r="FU201" s="3"/>
      <c r="FV201" s="3"/>
      <c r="FW201" s="3"/>
      <c r="FX201" s="3"/>
      <c r="FY201" s="3"/>
      <c r="FZ201" s="3"/>
      <c r="GA201" s="3"/>
      <c r="GB201" s="3"/>
      <c r="GC201" s="3"/>
      <c r="GD201" s="3"/>
      <c r="GE201" s="3"/>
      <c r="GF201" s="3"/>
      <c r="GG201" s="3"/>
      <c r="GH201" s="3"/>
      <c r="GI201" s="3"/>
      <c r="GJ201" s="3"/>
      <c r="GK201" s="3"/>
      <c r="GL201" s="3"/>
      <c r="GM201" s="3"/>
      <c r="GN201" s="3"/>
      <c r="GO201" s="3"/>
      <c r="GP201" s="3"/>
      <c r="GQ201" s="3"/>
      <c r="GR201" s="3"/>
      <c r="GS201" s="3"/>
      <c r="GT201" s="3"/>
      <c r="GU201" s="3"/>
      <c r="GV201" s="3"/>
      <c r="GW201" s="3"/>
      <c r="GX201" s="3"/>
      <c r="GY201" s="3"/>
      <c r="GZ201" s="3"/>
      <c r="HA201" s="3"/>
      <c r="HB201" s="3"/>
      <c r="HC201" s="3"/>
      <c r="HD201" s="3"/>
      <c r="HE201" s="3"/>
      <c r="HF201" s="3"/>
      <c r="HG201" s="3"/>
      <c r="HH201" s="3"/>
      <c r="HI201" s="3"/>
      <c r="HJ201" s="3"/>
      <c r="HK201" s="3"/>
      <c r="HL201" s="3"/>
      <c r="HM201" s="3"/>
      <c r="HN201" s="3"/>
      <c r="HO201" s="3"/>
      <c r="HP201" s="3"/>
      <c r="HQ201" s="3"/>
      <c r="HR201" s="3"/>
      <c r="HS201" s="3"/>
      <c r="HT201" s="3"/>
      <c r="HU201" s="3"/>
      <c r="HV201" s="3"/>
      <c r="HW201" s="3"/>
      <c r="HX201" s="3"/>
      <c r="HY201" s="3"/>
      <c r="HZ201" s="3"/>
      <c r="IA201" s="3"/>
      <c r="IB201" s="3"/>
      <c r="IC201" s="3"/>
      <c r="ID201" s="3"/>
      <c r="IE201" s="3"/>
      <c r="IF201" s="3"/>
      <c r="IG201" s="3"/>
      <c r="IH201" s="3"/>
      <c r="II201" s="3"/>
      <c r="IJ201" s="3"/>
      <c r="IK201" s="3"/>
      <c r="IL201" s="3"/>
      <c r="IM201" s="3"/>
      <c r="IN201" s="3"/>
      <c r="IO201" s="3"/>
      <c r="IP201" s="3"/>
      <c r="IQ201" s="3"/>
      <c r="IR201" s="3"/>
      <c r="IS201" s="3"/>
      <c r="IT201" s="3"/>
      <c r="IU201" s="3"/>
      <c r="IV201" s="3"/>
      <c r="IW201" s="3"/>
      <c r="IX201" s="3"/>
      <c r="IY201" s="3"/>
      <c r="IZ201" s="3"/>
      <c r="JA201" s="3"/>
      <c r="JB201" s="3"/>
      <c r="JC201" s="3"/>
      <c r="JD201" s="3"/>
      <c r="JE201" s="3"/>
      <c r="JF201" s="3"/>
      <c r="JG201" s="3"/>
      <c r="JH201" s="3"/>
      <c r="JI201" s="3"/>
      <c r="JJ201" s="3"/>
      <c r="JK201" s="3"/>
      <c r="JL201" s="3"/>
      <c r="JM201" s="3"/>
      <c r="JN201" s="3"/>
      <c r="JO201" s="3"/>
      <c r="JP201" s="3"/>
      <c r="JQ201" s="3"/>
      <c r="JR201" s="3"/>
      <c r="JS201" s="3"/>
      <c r="JT201" s="3"/>
      <c r="JU201" s="3"/>
      <c r="JV201" s="3"/>
      <c r="JW201" s="3"/>
      <c r="JX201" s="3"/>
      <c r="JY201" s="3"/>
      <c r="JZ201" s="3"/>
      <c r="KA201" s="3"/>
      <c r="KB201" s="3"/>
      <c r="KC201" s="3"/>
      <c r="KD201" s="3"/>
      <c r="KE201" s="3"/>
      <c r="KF201" s="3"/>
      <c r="KG201" s="3"/>
      <c r="KH201" s="3"/>
      <c r="KI201" s="3"/>
      <c r="KJ201" s="3"/>
      <c r="KK201" s="3"/>
      <c r="KL201" s="3"/>
      <c r="KM201" s="3"/>
      <c r="KN201" s="3"/>
      <c r="KO201" s="3"/>
      <c r="KP201" s="3"/>
      <c r="KQ201" s="3"/>
      <c r="KR201" s="3"/>
      <c r="KS201" s="3"/>
      <c r="KT201" s="3"/>
      <c r="KU201" s="3"/>
      <c r="KV201" s="3"/>
      <c r="KW201" s="3"/>
      <c r="KX201" s="3"/>
      <c r="KY201" s="3"/>
      <c r="KZ201" s="3"/>
      <c r="LA201" s="3"/>
      <c r="LB201" s="3"/>
      <c r="LC201" s="3"/>
      <c r="LD201" s="3"/>
      <c r="LE201" s="3"/>
      <c r="LF201" s="3"/>
      <c r="LG201" s="3"/>
      <c r="LH201" s="3"/>
      <c r="LI201" s="3"/>
      <c r="LJ201" s="3"/>
      <c r="LK201" s="3"/>
      <c r="LL201" s="3"/>
      <c r="LM201" s="3"/>
      <c r="LN201" s="3"/>
      <c r="LO201" s="3"/>
      <c r="LP201" s="3"/>
      <c r="LQ201" s="3"/>
      <c r="LR201" s="3"/>
      <c r="LS201" s="3"/>
      <c r="LT201" s="3"/>
      <c r="LU201" s="3"/>
      <c r="LV201" s="3"/>
      <c r="LW201" s="3"/>
      <c r="LX201" s="3"/>
      <c r="LY201" s="3"/>
      <c r="LZ201" s="3"/>
      <c r="MA201" s="3"/>
      <c r="MB201" s="3"/>
      <c r="MC201" s="3"/>
      <c r="MD201" s="3"/>
      <c r="ME201" s="3"/>
      <c r="MF201" s="3"/>
      <c r="MG201" s="3"/>
      <c r="MH201" s="3"/>
      <c r="MI201" s="3"/>
      <c r="MJ201" s="3"/>
      <c r="MK201" s="3"/>
      <c r="ML201" s="3"/>
      <c r="MM201" s="3"/>
      <c r="MN201" s="3"/>
      <c r="MO201" s="3"/>
      <c r="MP201" s="3"/>
      <c r="MQ201" s="3"/>
      <c r="MR201" s="3"/>
      <c r="MS201" s="3"/>
      <c r="MT201" s="3"/>
      <c r="MU201" s="3"/>
      <c r="MV201" s="3"/>
      <c r="MW201" s="3"/>
      <c r="MX201" s="3"/>
      <c r="MY201" s="3"/>
      <c r="MZ201" s="3"/>
      <c r="NA201" s="3"/>
      <c r="NB201" s="3"/>
      <c r="NC201" s="3"/>
      <c r="ND201" s="3"/>
      <c r="NE201" s="3"/>
      <c r="NF201" s="3"/>
      <c r="NG201" s="3"/>
      <c r="NH201" s="3"/>
      <c r="NI201" s="3"/>
      <c r="NJ201" s="3"/>
      <c r="NK201" s="3"/>
      <c r="NL201" s="3"/>
      <c r="NM201" s="3"/>
      <c r="NN201" s="3"/>
      <c r="NO201" s="3"/>
      <c r="NP201" s="3"/>
      <c r="NQ201" s="3"/>
      <c r="NR201" s="3"/>
      <c r="NS201" s="3"/>
      <c r="NT201" s="3"/>
      <c r="NU201" s="3"/>
      <c r="NV201" s="3"/>
      <c r="NW201" s="3"/>
      <c r="NX201" s="3"/>
      <c r="NY201" s="3"/>
      <c r="NZ201" s="3"/>
      <c r="OA201" s="3"/>
      <c r="OB201" s="3"/>
      <c r="OC201" s="3"/>
      <c r="OD201" s="3"/>
      <c r="OE201" s="3"/>
      <c r="OF201" s="3"/>
      <c r="OG201" s="3"/>
      <c r="OH201" s="3"/>
      <c r="OI201" s="3"/>
      <c r="OJ201" s="3"/>
      <c r="OK201" s="3"/>
      <c r="OL201" s="3"/>
      <c r="OM201" s="3"/>
      <c r="ON201" s="3"/>
      <c r="OO201" s="3"/>
      <c r="OP201" s="3"/>
      <c r="OQ201" s="3"/>
      <c r="OR201" s="3"/>
      <c r="OS201" s="3"/>
      <c r="OT201" s="3"/>
      <c r="OU201" s="3"/>
      <c r="OV201" s="3"/>
      <c r="OW201" s="3"/>
      <c r="OX201" s="3"/>
      <c r="OY201" s="3"/>
      <c r="OZ201" s="3"/>
      <c r="PA201" s="3"/>
      <c r="PB201" s="3"/>
      <c r="PC201" s="3"/>
      <c r="PD201" s="3"/>
      <c r="PE201" s="3"/>
      <c r="PF201" s="3"/>
      <c r="PG201" s="3"/>
      <c r="PH201" s="3"/>
      <c r="PI201" s="3"/>
      <c r="PJ201" s="3"/>
      <c r="PK201" s="3"/>
      <c r="PL201" s="3"/>
      <c r="PM201" s="3"/>
      <c r="PN201" s="3"/>
      <c r="PO201" s="3"/>
      <c r="PP201" s="3"/>
      <c r="PQ201" s="3"/>
      <c r="PR201" s="3"/>
      <c r="PS201" s="3"/>
      <c r="PT201" s="3"/>
      <c r="PU201" s="3"/>
      <c r="PV201" s="3"/>
      <c r="PW201" s="3"/>
      <c r="PX201" s="3"/>
      <c r="PY201" s="3"/>
      <c r="PZ201" s="3"/>
      <c r="QA201" s="3"/>
      <c r="QB201" s="3"/>
      <c r="QC201" s="3"/>
      <c r="QD201" s="3"/>
      <c r="QE201" s="3"/>
      <c r="QF201" s="3"/>
      <c r="QG201" s="3"/>
      <c r="QH201" s="3"/>
      <c r="QI201" s="3"/>
      <c r="QJ201" s="3"/>
      <c r="QK201" s="3"/>
      <c r="QL201" s="3"/>
      <c r="QM201" s="3"/>
      <c r="QN201" s="3"/>
      <c r="QO201" s="3"/>
      <c r="QP201" s="3"/>
      <c r="QQ201" s="3"/>
      <c r="QR201" s="3"/>
      <c r="QS201" s="3"/>
      <c r="QT201" s="3"/>
      <c r="QU201" s="3"/>
      <c r="QV201" s="3"/>
      <c r="QW201" s="3"/>
      <c r="QX201" s="3"/>
      <c r="QY201" s="3"/>
      <c r="QZ201" s="3"/>
      <c r="RA201" s="3"/>
      <c r="RB201" s="3"/>
      <c r="RC201" s="3"/>
      <c r="RD201" s="3"/>
      <c r="RE201" s="3"/>
      <c r="RF201" s="3"/>
      <c r="RG201" s="3"/>
      <c r="RH201" s="3"/>
      <c r="RI201" s="3"/>
      <c r="RJ201" s="3"/>
      <c r="RK201" s="3"/>
      <c r="RL201" s="3"/>
      <c r="RM201" s="3"/>
      <c r="RN201" s="3"/>
      <c r="RO201" s="3"/>
      <c r="RP201" s="3"/>
      <c r="RQ201" s="3"/>
      <c r="RR201" s="3"/>
      <c r="RS201" s="3"/>
      <c r="RT201" s="3"/>
      <c r="RU201" s="3"/>
      <c r="RV201" s="3"/>
      <c r="RW201" s="3"/>
      <c r="RX201" s="3"/>
      <c r="RY201" s="3"/>
      <c r="RZ201" s="3"/>
      <c r="SA201" s="3"/>
      <c r="SB201" s="3"/>
      <c r="SC201" s="3"/>
      <c r="SD201" s="3"/>
      <c r="SE201" s="3"/>
      <c r="SF201" s="3"/>
      <c r="SG201" s="3"/>
      <c r="SH201" s="3"/>
      <c r="SI201" s="3"/>
      <c r="SJ201" s="3"/>
      <c r="SK201" s="3"/>
      <c r="SL201" s="3"/>
      <c r="SM201" s="3"/>
      <c r="SN201" s="3"/>
      <c r="SO201" s="3"/>
      <c r="SP201" s="3"/>
      <c r="SQ201" s="3"/>
      <c r="SR201" s="3"/>
      <c r="SS201" s="3"/>
      <c r="ST201" s="3"/>
      <c r="SU201" s="3"/>
      <c r="SV201" s="3"/>
      <c r="SW201" s="3"/>
      <c r="SX201" s="3"/>
      <c r="SY201" s="3"/>
      <c r="SZ201" s="3"/>
      <c r="TA201" s="3"/>
      <c r="TB201" s="3"/>
      <c r="TC201" s="3"/>
      <c r="TD201" s="3"/>
      <c r="TE201" s="3"/>
      <c r="TF201" s="3"/>
      <c r="TG201" s="3"/>
      <c r="TH201" s="3"/>
      <c r="TI201" s="3"/>
      <c r="TJ201" s="3"/>
      <c r="TK201" s="3"/>
      <c r="TL201" s="3"/>
      <c r="TM201" s="3"/>
      <c r="TN201" s="3"/>
      <c r="TO201" s="3"/>
      <c r="TP201" s="3"/>
      <c r="TQ201" s="3"/>
      <c r="TR201" s="3"/>
      <c r="TS201" s="3"/>
      <c r="TT201" s="3"/>
      <c r="TU201" s="3"/>
      <c r="TV201" s="3"/>
      <c r="TW201" s="3"/>
      <c r="TX201" s="3"/>
      <c r="TY201" s="3"/>
      <c r="TZ201" s="3"/>
      <c r="UA201" s="3"/>
      <c r="UB201" s="3"/>
      <c r="UC201" s="3"/>
      <c r="UD201" s="3"/>
      <c r="UE201" s="3"/>
      <c r="UF201" s="3"/>
      <c r="UG201" s="3"/>
      <c r="UH201" s="3"/>
      <c r="UI201" s="3"/>
      <c r="UJ201" s="3"/>
      <c r="UK201" s="3"/>
      <c r="UL201" s="3"/>
      <c r="UM201" s="3"/>
      <c r="UN201" s="3"/>
      <c r="UO201" s="3"/>
      <c r="UP201" s="3"/>
      <c r="UQ201" s="3"/>
      <c r="UR201" s="3"/>
      <c r="US201" s="3"/>
      <c r="UT201" s="3"/>
      <c r="UU201" s="3"/>
      <c r="UV201" s="3"/>
      <c r="UW201" s="3"/>
      <c r="UX201" s="3"/>
      <c r="UY201" s="3"/>
      <c r="UZ201" s="3"/>
      <c r="VA201" s="3"/>
      <c r="VB201" s="3"/>
      <c r="VC201" s="3"/>
      <c r="VD201" s="3"/>
      <c r="VE201" s="3"/>
      <c r="VF201" s="3"/>
      <c r="VG201" s="3"/>
      <c r="VH201" s="3"/>
      <c r="VI201" s="3"/>
      <c r="VJ201" s="3"/>
      <c r="VK201" s="3"/>
      <c r="VL201" s="3"/>
      <c r="VM201" s="3"/>
      <c r="VN201" s="3"/>
      <c r="VO201" s="3"/>
      <c r="VP201" s="3"/>
      <c r="VQ201" s="3"/>
      <c r="VR201" s="3"/>
      <c r="VS201" s="3"/>
      <c r="VT201" s="3"/>
      <c r="VU201" s="3"/>
      <c r="VV201" s="3"/>
      <c r="VW201" s="3"/>
      <c r="VX201" s="3"/>
      <c r="VY201" s="3"/>
      <c r="VZ201" s="3"/>
      <c r="WA201" s="3"/>
      <c r="WB201" s="3"/>
      <c r="WC201" s="3"/>
      <c r="WD201" s="3"/>
      <c r="WE201" s="3"/>
      <c r="WF201" s="3"/>
      <c r="WG201" s="3"/>
      <c r="WH201" s="3"/>
      <c r="WI201" s="3"/>
      <c r="WJ201" s="3"/>
      <c r="WK201" s="3"/>
      <c r="WL201" s="3"/>
      <c r="WM201" s="3"/>
      <c r="WN201" s="3"/>
      <c r="WO201" s="3"/>
      <c r="WP201" s="3"/>
      <c r="WQ201" s="3"/>
      <c r="WR201" s="3"/>
      <c r="WS201" s="3"/>
      <c r="WT201" s="3"/>
      <c r="WU201" s="3"/>
      <c r="WV201" s="3"/>
      <c r="WW201" s="3"/>
      <c r="WX201" s="3"/>
      <c r="WY201" s="3"/>
      <c r="WZ201" s="3"/>
      <c r="XA201" s="3"/>
      <c r="XB201" s="3"/>
      <c r="XC201" s="3"/>
      <c r="XD201" s="3"/>
      <c r="XE201" s="3"/>
      <c r="XF201" s="3"/>
      <c r="XG201" s="3"/>
      <c r="XH201" s="3"/>
      <c r="XI201" s="3"/>
      <c r="XJ201" s="3"/>
      <c r="XK201" s="3"/>
      <c r="XL201" s="3"/>
      <c r="XM201" s="3"/>
      <c r="XN201" s="3"/>
      <c r="XO201" s="3"/>
      <c r="XP201" s="3"/>
      <c r="XQ201" s="3"/>
      <c r="XR201" s="3"/>
      <c r="XS201" s="3"/>
      <c r="XT201" s="3"/>
      <c r="XU201" s="3"/>
      <c r="XV201" s="3"/>
      <c r="XW201" s="3"/>
      <c r="XX201" s="3"/>
      <c r="XY201" s="3"/>
      <c r="XZ201" s="3"/>
      <c r="YA201" s="3"/>
      <c r="YB201" s="3"/>
      <c r="YC201" s="3"/>
      <c r="YD201" s="3"/>
      <c r="YE201" s="3"/>
      <c r="YF201" s="3"/>
      <c r="YG201" s="3"/>
      <c r="YH201" s="3"/>
      <c r="YI201" s="3"/>
      <c r="YJ201" s="3"/>
      <c r="YK201" s="3"/>
      <c r="YL201" s="3"/>
      <c r="YM201" s="3"/>
      <c r="YN201" s="3"/>
      <c r="YO201" s="3"/>
      <c r="YP201" s="3"/>
      <c r="YQ201" s="3"/>
      <c r="YR201" s="3"/>
      <c r="YS201" s="3"/>
      <c r="YT201" s="3"/>
      <c r="YU201" s="3"/>
      <c r="YV201" s="3"/>
      <c r="YW201" s="3"/>
      <c r="YX201" s="3"/>
      <c r="YY201" s="3"/>
      <c r="YZ201" s="3"/>
      <c r="ZA201" s="3"/>
      <c r="ZB201" s="3"/>
      <c r="ZC201" s="3"/>
    </row>
    <row r="202" spans="1:679" s="2" customFormat="1" x14ac:dyDescent="0.45">
      <c r="A202" s="3" t="s">
        <v>11</v>
      </c>
      <c r="B202" s="4">
        <v>36063</v>
      </c>
      <c r="C202" s="7" t="s">
        <v>25</v>
      </c>
      <c r="D202" s="6" t="s">
        <v>218</v>
      </c>
      <c r="E202" s="3"/>
      <c r="F202" s="3">
        <v>5</v>
      </c>
      <c r="L202" s="3"/>
      <c r="M202" s="3"/>
      <c r="N202" s="48"/>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c r="CV202" s="3"/>
      <c r="CW202" s="3"/>
      <c r="CX202" s="3"/>
      <c r="CY202" s="3"/>
      <c r="CZ202" s="3"/>
      <c r="DA202" s="3"/>
      <c r="DB202" s="3"/>
      <c r="DC202" s="3"/>
      <c r="DD202" s="3"/>
      <c r="DE202" s="3"/>
      <c r="DF202" s="3"/>
      <c r="DG202" s="3"/>
      <c r="DH202" s="3"/>
      <c r="DI202" s="3"/>
      <c r="DJ202" s="3"/>
      <c r="DK202" s="3"/>
      <c r="DL202" s="3"/>
      <c r="DM202" s="3"/>
      <c r="DN202" s="3"/>
      <c r="DO202" s="3"/>
      <c r="DP202" s="3"/>
      <c r="DQ202" s="3"/>
      <c r="DR202" s="3"/>
      <c r="DS202" s="3"/>
      <c r="DT202" s="3"/>
      <c r="DU202" s="3"/>
      <c r="DV202" s="3"/>
      <c r="DW202" s="3"/>
      <c r="DX202" s="3"/>
      <c r="DY202" s="3"/>
      <c r="DZ202" s="3"/>
      <c r="EA202" s="3"/>
      <c r="EB202" s="3"/>
      <c r="EC202" s="3"/>
      <c r="ED202" s="3"/>
      <c r="EE202" s="3"/>
      <c r="EF202" s="3"/>
      <c r="EG202" s="3"/>
      <c r="EH202" s="3"/>
      <c r="EI202" s="3"/>
      <c r="EJ202" s="3"/>
      <c r="EK202" s="3"/>
      <c r="EL202" s="3"/>
      <c r="EM202" s="3"/>
      <c r="EN202" s="3"/>
      <c r="EO202" s="3"/>
      <c r="EP202" s="3"/>
      <c r="EQ202" s="3"/>
      <c r="ER202" s="3"/>
      <c r="ES202" s="3"/>
      <c r="ET202" s="3"/>
      <c r="EU202" s="3"/>
      <c r="EV202" s="3"/>
      <c r="EW202" s="3"/>
      <c r="EX202" s="3"/>
      <c r="EY202" s="3"/>
      <c r="EZ202" s="3"/>
      <c r="FA202" s="3"/>
      <c r="FB202" s="3"/>
      <c r="FC202" s="3"/>
      <c r="FD202" s="3"/>
      <c r="FE202" s="3"/>
      <c r="FF202" s="3"/>
      <c r="FG202" s="3"/>
      <c r="FH202" s="3"/>
      <c r="FI202" s="3"/>
      <c r="FJ202" s="3"/>
      <c r="FK202" s="3"/>
      <c r="FL202" s="3"/>
      <c r="FM202" s="3"/>
      <c r="FN202" s="3"/>
      <c r="FO202" s="3"/>
      <c r="FP202" s="3"/>
      <c r="FQ202" s="3"/>
      <c r="FR202" s="3"/>
      <c r="FS202" s="3"/>
      <c r="FT202" s="3"/>
      <c r="FU202" s="3"/>
      <c r="FV202" s="3"/>
      <c r="FW202" s="3"/>
      <c r="FX202" s="3"/>
      <c r="FY202" s="3"/>
      <c r="FZ202" s="3"/>
      <c r="GA202" s="3"/>
      <c r="GB202" s="3"/>
      <c r="GC202" s="3"/>
      <c r="GD202" s="3"/>
      <c r="GE202" s="3"/>
      <c r="GF202" s="3"/>
      <c r="GG202" s="3"/>
      <c r="GH202" s="3"/>
      <c r="GI202" s="3"/>
      <c r="GJ202" s="3"/>
      <c r="GK202" s="3"/>
      <c r="GL202" s="3"/>
      <c r="GM202" s="3"/>
      <c r="GN202" s="3"/>
      <c r="GO202" s="3"/>
      <c r="GP202" s="3"/>
      <c r="GQ202" s="3"/>
      <c r="GR202" s="3"/>
      <c r="GS202" s="3"/>
      <c r="GT202" s="3"/>
      <c r="GU202" s="3"/>
      <c r="GV202" s="3"/>
      <c r="GW202" s="3"/>
      <c r="GX202" s="3"/>
      <c r="GY202" s="3"/>
      <c r="GZ202" s="3"/>
      <c r="HA202" s="3"/>
      <c r="HB202" s="3"/>
      <c r="HC202" s="3"/>
      <c r="HD202" s="3"/>
      <c r="HE202" s="3"/>
      <c r="HF202" s="3"/>
      <c r="HG202" s="3"/>
      <c r="HH202" s="3"/>
      <c r="HI202" s="3"/>
      <c r="HJ202" s="3"/>
      <c r="HK202" s="3"/>
      <c r="HL202" s="3"/>
      <c r="HM202" s="3"/>
      <c r="HN202" s="3"/>
      <c r="HO202" s="3"/>
      <c r="HP202" s="3"/>
      <c r="HQ202" s="3"/>
      <c r="HR202" s="3"/>
      <c r="HS202" s="3"/>
      <c r="HT202" s="3"/>
      <c r="HU202" s="3"/>
      <c r="HV202" s="3"/>
      <c r="HW202" s="3"/>
      <c r="HX202" s="3"/>
      <c r="HY202" s="3"/>
      <c r="HZ202" s="3"/>
      <c r="IA202" s="3"/>
      <c r="IB202" s="3"/>
      <c r="IC202" s="3"/>
      <c r="ID202" s="3"/>
      <c r="IE202" s="3"/>
      <c r="IF202" s="3"/>
      <c r="IG202" s="3"/>
      <c r="IH202" s="3"/>
      <c r="II202" s="3"/>
      <c r="IJ202" s="3"/>
      <c r="IK202" s="3"/>
      <c r="IL202" s="3"/>
      <c r="IM202" s="3"/>
      <c r="IN202" s="3"/>
      <c r="IO202" s="3"/>
      <c r="IP202" s="3"/>
      <c r="IQ202" s="3"/>
      <c r="IR202" s="3"/>
      <c r="IS202" s="3"/>
      <c r="IT202" s="3"/>
      <c r="IU202" s="3"/>
      <c r="IV202" s="3"/>
      <c r="IW202" s="3"/>
      <c r="IX202" s="3"/>
      <c r="IY202" s="3"/>
      <c r="IZ202" s="3"/>
      <c r="JA202" s="3"/>
      <c r="JB202" s="3"/>
      <c r="JC202" s="3"/>
      <c r="JD202" s="3"/>
      <c r="JE202" s="3"/>
      <c r="JF202" s="3"/>
      <c r="JG202" s="3"/>
      <c r="JH202" s="3"/>
      <c r="JI202" s="3"/>
      <c r="JJ202" s="3"/>
      <c r="JK202" s="3"/>
      <c r="JL202" s="3"/>
      <c r="JM202" s="3"/>
      <c r="JN202" s="3"/>
      <c r="JO202" s="3"/>
      <c r="JP202" s="3"/>
      <c r="JQ202" s="3"/>
      <c r="JR202" s="3"/>
      <c r="JS202" s="3"/>
      <c r="JT202" s="3"/>
      <c r="JU202" s="3"/>
      <c r="JV202" s="3"/>
      <c r="JW202" s="3"/>
      <c r="JX202" s="3"/>
      <c r="JY202" s="3"/>
      <c r="JZ202" s="3"/>
      <c r="KA202" s="3"/>
      <c r="KB202" s="3"/>
      <c r="KC202" s="3"/>
      <c r="KD202" s="3"/>
      <c r="KE202" s="3"/>
      <c r="KF202" s="3"/>
      <c r="KG202" s="3"/>
      <c r="KH202" s="3"/>
      <c r="KI202" s="3"/>
      <c r="KJ202" s="3"/>
      <c r="KK202" s="3"/>
      <c r="KL202" s="3"/>
      <c r="KM202" s="3"/>
      <c r="KN202" s="3"/>
      <c r="KO202" s="3"/>
      <c r="KP202" s="3"/>
      <c r="KQ202" s="3"/>
      <c r="KR202" s="3"/>
      <c r="KS202" s="3"/>
      <c r="KT202" s="3"/>
      <c r="KU202" s="3"/>
      <c r="KV202" s="3"/>
      <c r="KW202" s="3"/>
      <c r="KX202" s="3"/>
      <c r="KY202" s="3"/>
      <c r="KZ202" s="3"/>
      <c r="LA202" s="3"/>
      <c r="LB202" s="3"/>
      <c r="LC202" s="3"/>
      <c r="LD202" s="3"/>
      <c r="LE202" s="3"/>
      <c r="LF202" s="3"/>
      <c r="LG202" s="3"/>
      <c r="LH202" s="3"/>
      <c r="LI202" s="3"/>
      <c r="LJ202" s="3"/>
      <c r="LK202" s="3"/>
      <c r="LL202" s="3"/>
      <c r="LM202" s="3"/>
      <c r="LN202" s="3"/>
      <c r="LO202" s="3"/>
      <c r="LP202" s="3"/>
      <c r="LQ202" s="3"/>
      <c r="LR202" s="3"/>
      <c r="LS202" s="3"/>
      <c r="LT202" s="3"/>
      <c r="LU202" s="3"/>
      <c r="LV202" s="3"/>
      <c r="LW202" s="3"/>
      <c r="LX202" s="3"/>
      <c r="LY202" s="3"/>
      <c r="LZ202" s="3"/>
      <c r="MA202" s="3"/>
      <c r="MB202" s="3"/>
      <c r="MC202" s="3"/>
      <c r="MD202" s="3"/>
      <c r="ME202" s="3"/>
      <c r="MF202" s="3"/>
      <c r="MG202" s="3"/>
      <c r="MH202" s="3"/>
      <c r="MI202" s="3"/>
      <c r="MJ202" s="3"/>
      <c r="MK202" s="3"/>
      <c r="ML202" s="3"/>
      <c r="MM202" s="3"/>
      <c r="MN202" s="3"/>
      <c r="MO202" s="3"/>
      <c r="MP202" s="3"/>
      <c r="MQ202" s="3"/>
      <c r="MR202" s="3"/>
      <c r="MS202" s="3"/>
      <c r="MT202" s="3"/>
      <c r="MU202" s="3"/>
      <c r="MV202" s="3"/>
      <c r="MW202" s="3"/>
      <c r="MX202" s="3"/>
      <c r="MY202" s="3"/>
      <c r="MZ202" s="3"/>
      <c r="NA202" s="3"/>
      <c r="NB202" s="3"/>
      <c r="NC202" s="3"/>
      <c r="ND202" s="3"/>
      <c r="NE202" s="3"/>
      <c r="NF202" s="3"/>
      <c r="NG202" s="3"/>
      <c r="NH202" s="3"/>
      <c r="NI202" s="3"/>
      <c r="NJ202" s="3"/>
      <c r="NK202" s="3"/>
      <c r="NL202" s="3"/>
      <c r="NM202" s="3"/>
      <c r="NN202" s="3"/>
      <c r="NO202" s="3"/>
      <c r="NP202" s="3"/>
      <c r="NQ202" s="3"/>
      <c r="NR202" s="3"/>
      <c r="NS202" s="3"/>
      <c r="NT202" s="3"/>
      <c r="NU202" s="3"/>
      <c r="NV202" s="3"/>
      <c r="NW202" s="3"/>
      <c r="NX202" s="3"/>
      <c r="NY202" s="3"/>
      <c r="NZ202" s="3"/>
      <c r="OA202" s="3"/>
      <c r="OB202" s="3"/>
      <c r="OC202" s="3"/>
      <c r="OD202" s="3"/>
      <c r="OE202" s="3"/>
      <c r="OF202" s="3"/>
      <c r="OG202" s="3"/>
      <c r="OH202" s="3"/>
      <c r="OI202" s="3"/>
      <c r="OJ202" s="3"/>
      <c r="OK202" s="3"/>
      <c r="OL202" s="3"/>
      <c r="OM202" s="3"/>
      <c r="ON202" s="3"/>
      <c r="OO202" s="3"/>
      <c r="OP202" s="3"/>
      <c r="OQ202" s="3"/>
      <c r="OR202" s="3"/>
      <c r="OS202" s="3"/>
      <c r="OT202" s="3"/>
      <c r="OU202" s="3"/>
      <c r="OV202" s="3"/>
      <c r="OW202" s="3"/>
      <c r="OX202" s="3"/>
      <c r="OY202" s="3"/>
      <c r="OZ202" s="3"/>
      <c r="PA202" s="3"/>
      <c r="PB202" s="3"/>
      <c r="PC202" s="3"/>
      <c r="PD202" s="3"/>
      <c r="PE202" s="3"/>
      <c r="PF202" s="3"/>
      <c r="PG202" s="3"/>
      <c r="PH202" s="3"/>
      <c r="PI202" s="3"/>
      <c r="PJ202" s="3"/>
      <c r="PK202" s="3"/>
      <c r="PL202" s="3"/>
      <c r="PM202" s="3"/>
      <c r="PN202" s="3"/>
      <c r="PO202" s="3"/>
      <c r="PP202" s="3"/>
      <c r="PQ202" s="3"/>
      <c r="PR202" s="3"/>
      <c r="PS202" s="3"/>
      <c r="PT202" s="3"/>
      <c r="PU202" s="3"/>
      <c r="PV202" s="3"/>
      <c r="PW202" s="3"/>
      <c r="PX202" s="3"/>
      <c r="PY202" s="3"/>
      <c r="PZ202" s="3"/>
      <c r="QA202" s="3"/>
      <c r="QB202" s="3"/>
      <c r="QC202" s="3"/>
      <c r="QD202" s="3"/>
      <c r="QE202" s="3"/>
      <c r="QF202" s="3"/>
      <c r="QG202" s="3"/>
      <c r="QH202" s="3"/>
      <c r="QI202" s="3"/>
      <c r="QJ202" s="3"/>
      <c r="QK202" s="3"/>
      <c r="QL202" s="3"/>
      <c r="QM202" s="3"/>
      <c r="QN202" s="3"/>
      <c r="QO202" s="3"/>
      <c r="QP202" s="3"/>
      <c r="QQ202" s="3"/>
      <c r="QR202" s="3"/>
      <c r="QS202" s="3"/>
      <c r="QT202" s="3"/>
      <c r="QU202" s="3"/>
      <c r="QV202" s="3"/>
      <c r="QW202" s="3"/>
      <c r="QX202" s="3"/>
      <c r="QY202" s="3"/>
      <c r="QZ202" s="3"/>
      <c r="RA202" s="3"/>
      <c r="RB202" s="3"/>
      <c r="RC202" s="3"/>
      <c r="RD202" s="3"/>
      <c r="RE202" s="3"/>
      <c r="RF202" s="3"/>
      <c r="RG202" s="3"/>
      <c r="RH202" s="3"/>
      <c r="RI202" s="3"/>
      <c r="RJ202" s="3"/>
      <c r="RK202" s="3"/>
      <c r="RL202" s="3"/>
      <c r="RM202" s="3"/>
      <c r="RN202" s="3"/>
      <c r="RO202" s="3"/>
      <c r="RP202" s="3"/>
      <c r="RQ202" s="3"/>
      <c r="RR202" s="3"/>
      <c r="RS202" s="3"/>
      <c r="RT202" s="3"/>
      <c r="RU202" s="3"/>
      <c r="RV202" s="3"/>
      <c r="RW202" s="3"/>
      <c r="RX202" s="3"/>
      <c r="RY202" s="3"/>
      <c r="RZ202" s="3"/>
      <c r="SA202" s="3"/>
      <c r="SB202" s="3"/>
      <c r="SC202" s="3"/>
      <c r="SD202" s="3"/>
      <c r="SE202" s="3"/>
      <c r="SF202" s="3"/>
      <c r="SG202" s="3"/>
      <c r="SH202" s="3"/>
      <c r="SI202" s="3"/>
      <c r="SJ202" s="3"/>
      <c r="SK202" s="3"/>
      <c r="SL202" s="3"/>
      <c r="SM202" s="3"/>
      <c r="SN202" s="3"/>
      <c r="SO202" s="3"/>
      <c r="SP202" s="3"/>
      <c r="SQ202" s="3"/>
      <c r="SR202" s="3"/>
      <c r="SS202" s="3"/>
      <c r="ST202" s="3"/>
      <c r="SU202" s="3"/>
      <c r="SV202" s="3"/>
      <c r="SW202" s="3"/>
      <c r="SX202" s="3"/>
      <c r="SY202" s="3"/>
      <c r="SZ202" s="3"/>
      <c r="TA202" s="3"/>
      <c r="TB202" s="3"/>
      <c r="TC202" s="3"/>
      <c r="TD202" s="3"/>
      <c r="TE202" s="3"/>
      <c r="TF202" s="3"/>
      <c r="TG202" s="3"/>
      <c r="TH202" s="3"/>
      <c r="TI202" s="3"/>
      <c r="TJ202" s="3"/>
      <c r="TK202" s="3"/>
      <c r="TL202" s="3"/>
      <c r="TM202" s="3"/>
      <c r="TN202" s="3"/>
      <c r="TO202" s="3"/>
      <c r="TP202" s="3"/>
      <c r="TQ202" s="3"/>
      <c r="TR202" s="3"/>
      <c r="TS202" s="3"/>
      <c r="TT202" s="3"/>
      <c r="TU202" s="3"/>
      <c r="TV202" s="3"/>
      <c r="TW202" s="3"/>
      <c r="TX202" s="3"/>
      <c r="TY202" s="3"/>
      <c r="TZ202" s="3"/>
      <c r="UA202" s="3"/>
      <c r="UB202" s="3"/>
      <c r="UC202" s="3"/>
      <c r="UD202" s="3"/>
      <c r="UE202" s="3"/>
      <c r="UF202" s="3"/>
      <c r="UG202" s="3"/>
      <c r="UH202" s="3"/>
      <c r="UI202" s="3"/>
      <c r="UJ202" s="3"/>
      <c r="UK202" s="3"/>
      <c r="UL202" s="3"/>
      <c r="UM202" s="3"/>
      <c r="UN202" s="3"/>
      <c r="UO202" s="3"/>
      <c r="UP202" s="3"/>
      <c r="UQ202" s="3"/>
      <c r="UR202" s="3"/>
      <c r="US202" s="3"/>
      <c r="UT202" s="3"/>
      <c r="UU202" s="3"/>
      <c r="UV202" s="3"/>
      <c r="UW202" s="3"/>
      <c r="UX202" s="3"/>
      <c r="UY202" s="3"/>
      <c r="UZ202" s="3"/>
      <c r="VA202" s="3"/>
      <c r="VB202" s="3"/>
      <c r="VC202" s="3"/>
      <c r="VD202" s="3"/>
      <c r="VE202" s="3"/>
      <c r="VF202" s="3"/>
      <c r="VG202" s="3"/>
      <c r="VH202" s="3"/>
      <c r="VI202" s="3"/>
      <c r="VJ202" s="3"/>
      <c r="VK202" s="3"/>
      <c r="VL202" s="3"/>
      <c r="VM202" s="3"/>
      <c r="VN202" s="3"/>
      <c r="VO202" s="3"/>
      <c r="VP202" s="3"/>
      <c r="VQ202" s="3"/>
      <c r="VR202" s="3"/>
      <c r="VS202" s="3"/>
      <c r="VT202" s="3"/>
      <c r="VU202" s="3"/>
      <c r="VV202" s="3"/>
      <c r="VW202" s="3"/>
      <c r="VX202" s="3"/>
      <c r="VY202" s="3"/>
      <c r="VZ202" s="3"/>
      <c r="WA202" s="3"/>
      <c r="WB202" s="3"/>
      <c r="WC202" s="3"/>
      <c r="WD202" s="3"/>
      <c r="WE202" s="3"/>
      <c r="WF202" s="3"/>
      <c r="WG202" s="3"/>
      <c r="WH202" s="3"/>
      <c r="WI202" s="3"/>
      <c r="WJ202" s="3"/>
      <c r="WK202" s="3"/>
      <c r="WL202" s="3"/>
      <c r="WM202" s="3"/>
      <c r="WN202" s="3"/>
      <c r="WO202" s="3"/>
      <c r="WP202" s="3"/>
      <c r="WQ202" s="3"/>
      <c r="WR202" s="3"/>
      <c r="WS202" s="3"/>
      <c r="WT202" s="3"/>
      <c r="WU202" s="3"/>
      <c r="WV202" s="3"/>
      <c r="WW202" s="3"/>
      <c r="WX202" s="3"/>
      <c r="WY202" s="3"/>
      <c r="WZ202" s="3"/>
      <c r="XA202" s="3"/>
      <c r="XB202" s="3"/>
      <c r="XC202" s="3"/>
      <c r="XD202" s="3"/>
      <c r="XE202" s="3"/>
      <c r="XF202" s="3"/>
      <c r="XG202" s="3"/>
      <c r="XH202" s="3"/>
      <c r="XI202" s="3"/>
      <c r="XJ202" s="3"/>
      <c r="XK202" s="3"/>
      <c r="XL202" s="3"/>
      <c r="XM202" s="3"/>
      <c r="XN202" s="3"/>
      <c r="XO202" s="3"/>
      <c r="XP202" s="3"/>
      <c r="XQ202" s="3"/>
      <c r="XR202" s="3"/>
      <c r="XS202" s="3"/>
      <c r="XT202" s="3"/>
      <c r="XU202" s="3"/>
      <c r="XV202" s="3"/>
      <c r="XW202" s="3"/>
      <c r="XX202" s="3"/>
      <c r="XY202" s="3"/>
      <c r="XZ202" s="3"/>
      <c r="YA202" s="3"/>
      <c r="YB202" s="3"/>
      <c r="YC202" s="3"/>
      <c r="YD202" s="3"/>
      <c r="YE202" s="3"/>
      <c r="YF202" s="3"/>
      <c r="YG202" s="3"/>
      <c r="YH202" s="3"/>
      <c r="YI202" s="3"/>
      <c r="YJ202" s="3"/>
      <c r="YK202" s="3"/>
      <c r="YL202" s="3"/>
      <c r="YM202" s="3"/>
      <c r="YN202" s="3"/>
      <c r="YO202" s="3"/>
      <c r="YP202" s="3"/>
      <c r="YQ202" s="3"/>
      <c r="YR202" s="3"/>
      <c r="YS202" s="3"/>
      <c r="YT202" s="3"/>
      <c r="YU202" s="3"/>
      <c r="YV202" s="3"/>
      <c r="YW202" s="3"/>
      <c r="YX202" s="3"/>
      <c r="YY202" s="3"/>
      <c r="YZ202" s="3"/>
      <c r="ZA202" s="3"/>
      <c r="ZB202" s="3"/>
      <c r="ZC202" s="3"/>
    </row>
    <row r="203" spans="1:679" s="2" customFormat="1" x14ac:dyDescent="0.45">
      <c r="A203" s="3" t="s">
        <v>11</v>
      </c>
      <c r="B203" s="4">
        <v>36083</v>
      </c>
      <c r="C203" s="7" t="s">
        <v>25</v>
      </c>
      <c r="D203" s="6" t="s">
        <v>219</v>
      </c>
      <c r="E203" s="3"/>
      <c r="F203" s="3">
        <v>3</v>
      </c>
      <c r="L203" s="3"/>
      <c r="M203" s="3"/>
      <c r="N203" s="48"/>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c r="CU203" s="3"/>
      <c r="CV203" s="3"/>
      <c r="CW203" s="3"/>
      <c r="CX203" s="3"/>
      <c r="CY203" s="3"/>
      <c r="CZ203" s="3"/>
      <c r="DA203" s="3"/>
      <c r="DB203" s="3"/>
      <c r="DC203" s="3"/>
      <c r="DD203" s="3"/>
      <c r="DE203" s="3"/>
      <c r="DF203" s="3"/>
      <c r="DG203" s="3"/>
      <c r="DH203" s="3"/>
      <c r="DI203" s="3"/>
      <c r="DJ203" s="3"/>
      <c r="DK203" s="3"/>
      <c r="DL203" s="3"/>
      <c r="DM203" s="3"/>
      <c r="DN203" s="3"/>
      <c r="DO203" s="3"/>
      <c r="DP203" s="3"/>
      <c r="DQ203" s="3"/>
      <c r="DR203" s="3"/>
      <c r="DS203" s="3"/>
      <c r="DT203" s="3"/>
      <c r="DU203" s="3"/>
      <c r="DV203" s="3"/>
      <c r="DW203" s="3"/>
      <c r="DX203" s="3"/>
      <c r="DY203" s="3"/>
      <c r="DZ203" s="3"/>
      <c r="EA203" s="3"/>
      <c r="EB203" s="3"/>
      <c r="EC203" s="3"/>
      <c r="ED203" s="3"/>
      <c r="EE203" s="3"/>
      <c r="EF203" s="3"/>
      <c r="EG203" s="3"/>
      <c r="EH203" s="3"/>
      <c r="EI203" s="3"/>
      <c r="EJ203" s="3"/>
      <c r="EK203" s="3"/>
      <c r="EL203" s="3"/>
      <c r="EM203" s="3"/>
      <c r="EN203" s="3"/>
      <c r="EO203" s="3"/>
      <c r="EP203" s="3"/>
      <c r="EQ203" s="3"/>
      <c r="ER203" s="3"/>
      <c r="ES203" s="3"/>
      <c r="ET203" s="3"/>
      <c r="EU203" s="3"/>
      <c r="EV203" s="3"/>
      <c r="EW203" s="3"/>
      <c r="EX203" s="3"/>
      <c r="EY203" s="3"/>
      <c r="EZ203" s="3"/>
      <c r="FA203" s="3"/>
      <c r="FB203" s="3"/>
      <c r="FC203" s="3"/>
      <c r="FD203" s="3"/>
      <c r="FE203" s="3"/>
      <c r="FF203" s="3"/>
      <c r="FG203" s="3"/>
      <c r="FH203" s="3"/>
      <c r="FI203" s="3"/>
      <c r="FJ203" s="3"/>
      <c r="FK203" s="3"/>
      <c r="FL203" s="3"/>
      <c r="FM203" s="3"/>
      <c r="FN203" s="3"/>
      <c r="FO203" s="3"/>
      <c r="FP203" s="3"/>
      <c r="FQ203" s="3"/>
      <c r="FR203" s="3"/>
      <c r="FS203" s="3"/>
      <c r="FT203" s="3"/>
      <c r="FU203" s="3"/>
      <c r="FV203" s="3"/>
      <c r="FW203" s="3"/>
      <c r="FX203" s="3"/>
      <c r="FY203" s="3"/>
      <c r="FZ203" s="3"/>
      <c r="GA203" s="3"/>
      <c r="GB203" s="3"/>
      <c r="GC203" s="3"/>
      <c r="GD203" s="3"/>
      <c r="GE203" s="3"/>
      <c r="GF203" s="3"/>
      <c r="GG203" s="3"/>
      <c r="GH203" s="3"/>
      <c r="GI203" s="3"/>
      <c r="GJ203" s="3"/>
      <c r="GK203" s="3"/>
      <c r="GL203" s="3"/>
      <c r="GM203" s="3"/>
      <c r="GN203" s="3"/>
      <c r="GO203" s="3"/>
      <c r="GP203" s="3"/>
      <c r="GQ203" s="3"/>
      <c r="GR203" s="3"/>
      <c r="GS203" s="3"/>
      <c r="GT203" s="3"/>
      <c r="GU203" s="3"/>
      <c r="GV203" s="3"/>
      <c r="GW203" s="3"/>
      <c r="GX203" s="3"/>
      <c r="GY203" s="3"/>
      <c r="GZ203" s="3"/>
      <c r="HA203" s="3"/>
      <c r="HB203" s="3"/>
      <c r="HC203" s="3"/>
      <c r="HD203" s="3"/>
      <c r="HE203" s="3"/>
      <c r="HF203" s="3"/>
      <c r="HG203" s="3"/>
      <c r="HH203" s="3"/>
      <c r="HI203" s="3"/>
      <c r="HJ203" s="3"/>
      <c r="HK203" s="3"/>
      <c r="HL203" s="3"/>
      <c r="HM203" s="3"/>
      <c r="HN203" s="3"/>
      <c r="HO203" s="3"/>
      <c r="HP203" s="3"/>
      <c r="HQ203" s="3"/>
      <c r="HR203" s="3"/>
      <c r="HS203" s="3"/>
      <c r="HT203" s="3"/>
      <c r="HU203" s="3"/>
      <c r="HV203" s="3"/>
      <c r="HW203" s="3"/>
      <c r="HX203" s="3"/>
      <c r="HY203" s="3"/>
      <c r="HZ203" s="3"/>
      <c r="IA203" s="3"/>
      <c r="IB203" s="3"/>
      <c r="IC203" s="3"/>
      <c r="ID203" s="3"/>
      <c r="IE203" s="3"/>
      <c r="IF203" s="3"/>
      <c r="IG203" s="3"/>
      <c r="IH203" s="3"/>
      <c r="II203" s="3"/>
      <c r="IJ203" s="3"/>
      <c r="IK203" s="3"/>
      <c r="IL203" s="3"/>
      <c r="IM203" s="3"/>
      <c r="IN203" s="3"/>
      <c r="IO203" s="3"/>
      <c r="IP203" s="3"/>
      <c r="IQ203" s="3"/>
      <c r="IR203" s="3"/>
      <c r="IS203" s="3"/>
      <c r="IT203" s="3"/>
      <c r="IU203" s="3"/>
      <c r="IV203" s="3"/>
      <c r="IW203" s="3"/>
      <c r="IX203" s="3"/>
      <c r="IY203" s="3"/>
      <c r="IZ203" s="3"/>
      <c r="JA203" s="3"/>
      <c r="JB203" s="3"/>
      <c r="JC203" s="3"/>
      <c r="JD203" s="3"/>
      <c r="JE203" s="3"/>
      <c r="JF203" s="3"/>
      <c r="JG203" s="3"/>
      <c r="JH203" s="3"/>
      <c r="JI203" s="3"/>
      <c r="JJ203" s="3"/>
      <c r="JK203" s="3"/>
      <c r="JL203" s="3"/>
      <c r="JM203" s="3"/>
      <c r="JN203" s="3"/>
      <c r="JO203" s="3"/>
      <c r="JP203" s="3"/>
      <c r="JQ203" s="3"/>
      <c r="JR203" s="3"/>
      <c r="JS203" s="3"/>
      <c r="JT203" s="3"/>
      <c r="JU203" s="3"/>
      <c r="JV203" s="3"/>
      <c r="JW203" s="3"/>
      <c r="JX203" s="3"/>
      <c r="JY203" s="3"/>
      <c r="JZ203" s="3"/>
      <c r="KA203" s="3"/>
      <c r="KB203" s="3"/>
      <c r="KC203" s="3"/>
      <c r="KD203" s="3"/>
      <c r="KE203" s="3"/>
      <c r="KF203" s="3"/>
      <c r="KG203" s="3"/>
      <c r="KH203" s="3"/>
      <c r="KI203" s="3"/>
      <c r="KJ203" s="3"/>
      <c r="KK203" s="3"/>
      <c r="KL203" s="3"/>
      <c r="KM203" s="3"/>
      <c r="KN203" s="3"/>
      <c r="KO203" s="3"/>
      <c r="KP203" s="3"/>
      <c r="KQ203" s="3"/>
      <c r="KR203" s="3"/>
      <c r="KS203" s="3"/>
      <c r="KT203" s="3"/>
      <c r="KU203" s="3"/>
      <c r="KV203" s="3"/>
      <c r="KW203" s="3"/>
      <c r="KX203" s="3"/>
      <c r="KY203" s="3"/>
      <c r="KZ203" s="3"/>
      <c r="LA203" s="3"/>
      <c r="LB203" s="3"/>
      <c r="LC203" s="3"/>
      <c r="LD203" s="3"/>
      <c r="LE203" s="3"/>
      <c r="LF203" s="3"/>
      <c r="LG203" s="3"/>
      <c r="LH203" s="3"/>
      <c r="LI203" s="3"/>
      <c r="LJ203" s="3"/>
      <c r="LK203" s="3"/>
      <c r="LL203" s="3"/>
      <c r="LM203" s="3"/>
      <c r="LN203" s="3"/>
      <c r="LO203" s="3"/>
      <c r="LP203" s="3"/>
      <c r="LQ203" s="3"/>
      <c r="LR203" s="3"/>
      <c r="LS203" s="3"/>
      <c r="LT203" s="3"/>
      <c r="LU203" s="3"/>
      <c r="LV203" s="3"/>
      <c r="LW203" s="3"/>
      <c r="LX203" s="3"/>
      <c r="LY203" s="3"/>
      <c r="LZ203" s="3"/>
      <c r="MA203" s="3"/>
      <c r="MB203" s="3"/>
      <c r="MC203" s="3"/>
      <c r="MD203" s="3"/>
      <c r="ME203" s="3"/>
      <c r="MF203" s="3"/>
      <c r="MG203" s="3"/>
      <c r="MH203" s="3"/>
      <c r="MI203" s="3"/>
      <c r="MJ203" s="3"/>
      <c r="MK203" s="3"/>
      <c r="ML203" s="3"/>
      <c r="MM203" s="3"/>
      <c r="MN203" s="3"/>
      <c r="MO203" s="3"/>
      <c r="MP203" s="3"/>
      <c r="MQ203" s="3"/>
      <c r="MR203" s="3"/>
      <c r="MS203" s="3"/>
      <c r="MT203" s="3"/>
      <c r="MU203" s="3"/>
      <c r="MV203" s="3"/>
      <c r="MW203" s="3"/>
      <c r="MX203" s="3"/>
      <c r="MY203" s="3"/>
      <c r="MZ203" s="3"/>
      <c r="NA203" s="3"/>
      <c r="NB203" s="3"/>
      <c r="NC203" s="3"/>
      <c r="ND203" s="3"/>
      <c r="NE203" s="3"/>
      <c r="NF203" s="3"/>
      <c r="NG203" s="3"/>
      <c r="NH203" s="3"/>
      <c r="NI203" s="3"/>
      <c r="NJ203" s="3"/>
      <c r="NK203" s="3"/>
      <c r="NL203" s="3"/>
      <c r="NM203" s="3"/>
      <c r="NN203" s="3"/>
      <c r="NO203" s="3"/>
      <c r="NP203" s="3"/>
      <c r="NQ203" s="3"/>
      <c r="NR203" s="3"/>
      <c r="NS203" s="3"/>
      <c r="NT203" s="3"/>
      <c r="NU203" s="3"/>
      <c r="NV203" s="3"/>
      <c r="NW203" s="3"/>
      <c r="NX203" s="3"/>
      <c r="NY203" s="3"/>
      <c r="NZ203" s="3"/>
      <c r="OA203" s="3"/>
      <c r="OB203" s="3"/>
      <c r="OC203" s="3"/>
      <c r="OD203" s="3"/>
      <c r="OE203" s="3"/>
      <c r="OF203" s="3"/>
      <c r="OG203" s="3"/>
      <c r="OH203" s="3"/>
      <c r="OI203" s="3"/>
      <c r="OJ203" s="3"/>
      <c r="OK203" s="3"/>
      <c r="OL203" s="3"/>
      <c r="OM203" s="3"/>
      <c r="ON203" s="3"/>
      <c r="OO203" s="3"/>
      <c r="OP203" s="3"/>
      <c r="OQ203" s="3"/>
      <c r="OR203" s="3"/>
      <c r="OS203" s="3"/>
      <c r="OT203" s="3"/>
      <c r="OU203" s="3"/>
      <c r="OV203" s="3"/>
      <c r="OW203" s="3"/>
      <c r="OX203" s="3"/>
      <c r="OY203" s="3"/>
      <c r="OZ203" s="3"/>
      <c r="PA203" s="3"/>
      <c r="PB203" s="3"/>
      <c r="PC203" s="3"/>
      <c r="PD203" s="3"/>
      <c r="PE203" s="3"/>
      <c r="PF203" s="3"/>
      <c r="PG203" s="3"/>
      <c r="PH203" s="3"/>
      <c r="PI203" s="3"/>
      <c r="PJ203" s="3"/>
      <c r="PK203" s="3"/>
      <c r="PL203" s="3"/>
      <c r="PM203" s="3"/>
      <c r="PN203" s="3"/>
      <c r="PO203" s="3"/>
      <c r="PP203" s="3"/>
      <c r="PQ203" s="3"/>
      <c r="PR203" s="3"/>
      <c r="PS203" s="3"/>
      <c r="PT203" s="3"/>
      <c r="PU203" s="3"/>
      <c r="PV203" s="3"/>
      <c r="PW203" s="3"/>
      <c r="PX203" s="3"/>
      <c r="PY203" s="3"/>
      <c r="PZ203" s="3"/>
      <c r="QA203" s="3"/>
      <c r="QB203" s="3"/>
      <c r="QC203" s="3"/>
      <c r="QD203" s="3"/>
      <c r="QE203" s="3"/>
      <c r="QF203" s="3"/>
      <c r="QG203" s="3"/>
      <c r="QH203" s="3"/>
      <c r="QI203" s="3"/>
      <c r="QJ203" s="3"/>
      <c r="QK203" s="3"/>
      <c r="QL203" s="3"/>
      <c r="QM203" s="3"/>
      <c r="QN203" s="3"/>
      <c r="QO203" s="3"/>
      <c r="QP203" s="3"/>
      <c r="QQ203" s="3"/>
      <c r="QR203" s="3"/>
      <c r="QS203" s="3"/>
      <c r="QT203" s="3"/>
      <c r="QU203" s="3"/>
      <c r="QV203" s="3"/>
      <c r="QW203" s="3"/>
      <c r="QX203" s="3"/>
      <c r="QY203" s="3"/>
      <c r="QZ203" s="3"/>
      <c r="RA203" s="3"/>
      <c r="RB203" s="3"/>
      <c r="RC203" s="3"/>
      <c r="RD203" s="3"/>
      <c r="RE203" s="3"/>
      <c r="RF203" s="3"/>
      <c r="RG203" s="3"/>
      <c r="RH203" s="3"/>
      <c r="RI203" s="3"/>
      <c r="RJ203" s="3"/>
      <c r="RK203" s="3"/>
      <c r="RL203" s="3"/>
      <c r="RM203" s="3"/>
      <c r="RN203" s="3"/>
      <c r="RO203" s="3"/>
      <c r="RP203" s="3"/>
      <c r="RQ203" s="3"/>
      <c r="RR203" s="3"/>
      <c r="RS203" s="3"/>
      <c r="RT203" s="3"/>
      <c r="RU203" s="3"/>
      <c r="RV203" s="3"/>
      <c r="RW203" s="3"/>
      <c r="RX203" s="3"/>
      <c r="RY203" s="3"/>
      <c r="RZ203" s="3"/>
      <c r="SA203" s="3"/>
      <c r="SB203" s="3"/>
      <c r="SC203" s="3"/>
      <c r="SD203" s="3"/>
      <c r="SE203" s="3"/>
      <c r="SF203" s="3"/>
      <c r="SG203" s="3"/>
      <c r="SH203" s="3"/>
      <c r="SI203" s="3"/>
      <c r="SJ203" s="3"/>
      <c r="SK203" s="3"/>
      <c r="SL203" s="3"/>
      <c r="SM203" s="3"/>
      <c r="SN203" s="3"/>
      <c r="SO203" s="3"/>
      <c r="SP203" s="3"/>
      <c r="SQ203" s="3"/>
      <c r="SR203" s="3"/>
      <c r="SS203" s="3"/>
      <c r="ST203" s="3"/>
      <c r="SU203" s="3"/>
      <c r="SV203" s="3"/>
      <c r="SW203" s="3"/>
      <c r="SX203" s="3"/>
      <c r="SY203" s="3"/>
      <c r="SZ203" s="3"/>
      <c r="TA203" s="3"/>
      <c r="TB203" s="3"/>
      <c r="TC203" s="3"/>
      <c r="TD203" s="3"/>
      <c r="TE203" s="3"/>
      <c r="TF203" s="3"/>
      <c r="TG203" s="3"/>
      <c r="TH203" s="3"/>
      <c r="TI203" s="3"/>
      <c r="TJ203" s="3"/>
      <c r="TK203" s="3"/>
      <c r="TL203" s="3"/>
      <c r="TM203" s="3"/>
      <c r="TN203" s="3"/>
      <c r="TO203" s="3"/>
      <c r="TP203" s="3"/>
      <c r="TQ203" s="3"/>
      <c r="TR203" s="3"/>
      <c r="TS203" s="3"/>
      <c r="TT203" s="3"/>
      <c r="TU203" s="3"/>
      <c r="TV203" s="3"/>
      <c r="TW203" s="3"/>
      <c r="TX203" s="3"/>
      <c r="TY203" s="3"/>
      <c r="TZ203" s="3"/>
      <c r="UA203" s="3"/>
      <c r="UB203" s="3"/>
      <c r="UC203" s="3"/>
      <c r="UD203" s="3"/>
      <c r="UE203" s="3"/>
      <c r="UF203" s="3"/>
      <c r="UG203" s="3"/>
      <c r="UH203" s="3"/>
      <c r="UI203" s="3"/>
      <c r="UJ203" s="3"/>
      <c r="UK203" s="3"/>
      <c r="UL203" s="3"/>
      <c r="UM203" s="3"/>
      <c r="UN203" s="3"/>
      <c r="UO203" s="3"/>
      <c r="UP203" s="3"/>
      <c r="UQ203" s="3"/>
      <c r="UR203" s="3"/>
      <c r="US203" s="3"/>
      <c r="UT203" s="3"/>
      <c r="UU203" s="3"/>
      <c r="UV203" s="3"/>
      <c r="UW203" s="3"/>
      <c r="UX203" s="3"/>
      <c r="UY203" s="3"/>
      <c r="UZ203" s="3"/>
      <c r="VA203" s="3"/>
      <c r="VB203" s="3"/>
      <c r="VC203" s="3"/>
      <c r="VD203" s="3"/>
      <c r="VE203" s="3"/>
      <c r="VF203" s="3"/>
      <c r="VG203" s="3"/>
      <c r="VH203" s="3"/>
      <c r="VI203" s="3"/>
      <c r="VJ203" s="3"/>
      <c r="VK203" s="3"/>
      <c r="VL203" s="3"/>
      <c r="VM203" s="3"/>
      <c r="VN203" s="3"/>
      <c r="VO203" s="3"/>
      <c r="VP203" s="3"/>
      <c r="VQ203" s="3"/>
      <c r="VR203" s="3"/>
      <c r="VS203" s="3"/>
      <c r="VT203" s="3"/>
      <c r="VU203" s="3"/>
      <c r="VV203" s="3"/>
      <c r="VW203" s="3"/>
      <c r="VX203" s="3"/>
      <c r="VY203" s="3"/>
      <c r="VZ203" s="3"/>
      <c r="WA203" s="3"/>
      <c r="WB203" s="3"/>
      <c r="WC203" s="3"/>
      <c r="WD203" s="3"/>
      <c r="WE203" s="3"/>
      <c r="WF203" s="3"/>
      <c r="WG203" s="3"/>
      <c r="WH203" s="3"/>
      <c r="WI203" s="3"/>
      <c r="WJ203" s="3"/>
      <c r="WK203" s="3"/>
      <c r="WL203" s="3"/>
      <c r="WM203" s="3"/>
      <c r="WN203" s="3"/>
      <c r="WO203" s="3"/>
      <c r="WP203" s="3"/>
      <c r="WQ203" s="3"/>
      <c r="WR203" s="3"/>
      <c r="WS203" s="3"/>
      <c r="WT203" s="3"/>
      <c r="WU203" s="3"/>
      <c r="WV203" s="3"/>
      <c r="WW203" s="3"/>
      <c r="WX203" s="3"/>
      <c r="WY203" s="3"/>
      <c r="WZ203" s="3"/>
      <c r="XA203" s="3"/>
      <c r="XB203" s="3"/>
      <c r="XC203" s="3"/>
      <c r="XD203" s="3"/>
      <c r="XE203" s="3"/>
      <c r="XF203" s="3"/>
      <c r="XG203" s="3"/>
      <c r="XH203" s="3"/>
      <c r="XI203" s="3"/>
      <c r="XJ203" s="3"/>
      <c r="XK203" s="3"/>
      <c r="XL203" s="3"/>
      <c r="XM203" s="3"/>
      <c r="XN203" s="3"/>
      <c r="XO203" s="3"/>
      <c r="XP203" s="3"/>
      <c r="XQ203" s="3"/>
      <c r="XR203" s="3"/>
      <c r="XS203" s="3"/>
      <c r="XT203" s="3"/>
      <c r="XU203" s="3"/>
      <c r="XV203" s="3"/>
      <c r="XW203" s="3"/>
      <c r="XX203" s="3"/>
      <c r="XY203" s="3"/>
      <c r="XZ203" s="3"/>
      <c r="YA203" s="3"/>
      <c r="YB203" s="3"/>
      <c r="YC203" s="3"/>
      <c r="YD203" s="3"/>
      <c r="YE203" s="3"/>
      <c r="YF203" s="3"/>
      <c r="YG203" s="3"/>
      <c r="YH203" s="3"/>
      <c r="YI203" s="3"/>
      <c r="YJ203" s="3"/>
      <c r="YK203" s="3"/>
      <c r="YL203" s="3"/>
      <c r="YM203" s="3"/>
      <c r="YN203" s="3"/>
      <c r="YO203" s="3"/>
      <c r="YP203" s="3"/>
      <c r="YQ203" s="3"/>
      <c r="YR203" s="3"/>
      <c r="YS203" s="3"/>
      <c r="YT203" s="3"/>
      <c r="YU203" s="3"/>
      <c r="YV203" s="3"/>
      <c r="YW203" s="3"/>
      <c r="YX203" s="3"/>
      <c r="YY203" s="3"/>
      <c r="YZ203" s="3"/>
      <c r="ZA203" s="3"/>
      <c r="ZB203" s="3"/>
      <c r="ZC203" s="3"/>
    </row>
    <row r="204" spans="1:679" s="2" customFormat="1" x14ac:dyDescent="0.45">
      <c r="A204" s="3" t="s">
        <v>11</v>
      </c>
      <c r="B204" s="4">
        <v>36166</v>
      </c>
      <c r="C204" s="7" t="s">
        <v>25</v>
      </c>
      <c r="D204" s="6" t="s">
        <v>220</v>
      </c>
      <c r="E204" s="3"/>
      <c r="F204" s="3">
        <v>10</v>
      </c>
      <c r="L204" s="3"/>
      <c r="M204" s="3"/>
      <c r="N204" s="48"/>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c r="CV204" s="3"/>
      <c r="CW204" s="3"/>
      <c r="CX204" s="3"/>
      <c r="CY204" s="3"/>
      <c r="CZ204" s="3"/>
      <c r="DA204" s="3"/>
      <c r="DB204" s="3"/>
      <c r="DC204" s="3"/>
      <c r="DD204" s="3"/>
      <c r="DE204" s="3"/>
      <c r="DF204" s="3"/>
      <c r="DG204" s="3"/>
      <c r="DH204" s="3"/>
      <c r="DI204" s="3"/>
      <c r="DJ204" s="3"/>
      <c r="DK204" s="3"/>
      <c r="DL204" s="3"/>
      <c r="DM204" s="3"/>
      <c r="DN204" s="3"/>
      <c r="DO204" s="3"/>
      <c r="DP204" s="3"/>
      <c r="DQ204" s="3"/>
      <c r="DR204" s="3"/>
      <c r="DS204" s="3"/>
      <c r="DT204" s="3"/>
      <c r="DU204" s="3"/>
      <c r="DV204" s="3"/>
      <c r="DW204" s="3"/>
      <c r="DX204" s="3"/>
      <c r="DY204" s="3"/>
      <c r="DZ204" s="3"/>
      <c r="EA204" s="3"/>
      <c r="EB204" s="3"/>
      <c r="EC204" s="3"/>
      <c r="ED204" s="3"/>
      <c r="EE204" s="3"/>
      <c r="EF204" s="3"/>
      <c r="EG204" s="3"/>
      <c r="EH204" s="3"/>
      <c r="EI204" s="3"/>
      <c r="EJ204" s="3"/>
      <c r="EK204" s="3"/>
      <c r="EL204" s="3"/>
      <c r="EM204" s="3"/>
      <c r="EN204" s="3"/>
      <c r="EO204" s="3"/>
      <c r="EP204" s="3"/>
      <c r="EQ204" s="3"/>
      <c r="ER204" s="3"/>
      <c r="ES204" s="3"/>
      <c r="ET204" s="3"/>
      <c r="EU204" s="3"/>
      <c r="EV204" s="3"/>
      <c r="EW204" s="3"/>
      <c r="EX204" s="3"/>
      <c r="EY204" s="3"/>
      <c r="EZ204" s="3"/>
      <c r="FA204" s="3"/>
      <c r="FB204" s="3"/>
      <c r="FC204" s="3"/>
      <c r="FD204" s="3"/>
      <c r="FE204" s="3"/>
      <c r="FF204" s="3"/>
      <c r="FG204" s="3"/>
      <c r="FH204" s="3"/>
      <c r="FI204" s="3"/>
      <c r="FJ204" s="3"/>
      <c r="FK204" s="3"/>
      <c r="FL204" s="3"/>
      <c r="FM204" s="3"/>
      <c r="FN204" s="3"/>
      <c r="FO204" s="3"/>
      <c r="FP204" s="3"/>
      <c r="FQ204" s="3"/>
      <c r="FR204" s="3"/>
      <c r="FS204" s="3"/>
      <c r="FT204" s="3"/>
      <c r="FU204" s="3"/>
      <c r="FV204" s="3"/>
      <c r="FW204" s="3"/>
      <c r="FX204" s="3"/>
      <c r="FY204" s="3"/>
      <c r="FZ204" s="3"/>
      <c r="GA204" s="3"/>
      <c r="GB204" s="3"/>
      <c r="GC204" s="3"/>
      <c r="GD204" s="3"/>
      <c r="GE204" s="3"/>
      <c r="GF204" s="3"/>
      <c r="GG204" s="3"/>
      <c r="GH204" s="3"/>
      <c r="GI204" s="3"/>
      <c r="GJ204" s="3"/>
      <c r="GK204" s="3"/>
      <c r="GL204" s="3"/>
      <c r="GM204" s="3"/>
      <c r="GN204" s="3"/>
      <c r="GO204" s="3"/>
      <c r="GP204" s="3"/>
      <c r="GQ204" s="3"/>
      <c r="GR204" s="3"/>
      <c r="GS204" s="3"/>
      <c r="GT204" s="3"/>
      <c r="GU204" s="3"/>
      <c r="GV204" s="3"/>
      <c r="GW204" s="3"/>
      <c r="GX204" s="3"/>
      <c r="GY204" s="3"/>
      <c r="GZ204" s="3"/>
      <c r="HA204" s="3"/>
      <c r="HB204" s="3"/>
      <c r="HC204" s="3"/>
      <c r="HD204" s="3"/>
      <c r="HE204" s="3"/>
      <c r="HF204" s="3"/>
      <c r="HG204" s="3"/>
      <c r="HH204" s="3"/>
      <c r="HI204" s="3"/>
      <c r="HJ204" s="3"/>
      <c r="HK204" s="3"/>
      <c r="HL204" s="3"/>
      <c r="HM204" s="3"/>
      <c r="HN204" s="3"/>
      <c r="HO204" s="3"/>
      <c r="HP204" s="3"/>
      <c r="HQ204" s="3"/>
      <c r="HR204" s="3"/>
      <c r="HS204" s="3"/>
      <c r="HT204" s="3"/>
      <c r="HU204" s="3"/>
      <c r="HV204" s="3"/>
      <c r="HW204" s="3"/>
      <c r="HX204" s="3"/>
      <c r="HY204" s="3"/>
      <c r="HZ204" s="3"/>
      <c r="IA204" s="3"/>
      <c r="IB204" s="3"/>
      <c r="IC204" s="3"/>
      <c r="ID204" s="3"/>
      <c r="IE204" s="3"/>
      <c r="IF204" s="3"/>
      <c r="IG204" s="3"/>
      <c r="IH204" s="3"/>
      <c r="II204" s="3"/>
      <c r="IJ204" s="3"/>
      <c r="IK204" s="3"/>
      <c r="IL204" s="3"/>
      <c r="IM204" s="3"/>
      <c r="IN204" s="3"/>
      <c r="IO204" s="3"/>
      <c r="IP204" s="3"/>
      <c r="IQ204" s="3"/>
      <c r="IR204" s="3"/>
      <c r="IS204" s="3"/>
      <c r="IT204" s="3"/>
      <c r="IU204" s="3"/>
      <c r="IV204" s="3"/>
      <c r="IW204" s="3"/>
      <c r="IX204" s="3"/>
      <c r="IY204" s="3"/>
      <c r="IZ204" s="3"/>
      <c r="JA204" s="3"/>
      <c r="JB204" s="3"/>
      <c r="JC204" s="3"/>
      <c r="JD204" s="3"/>
      <c r="JE204" s="3"/>
      <c r="JF204" s="3"/>
      <c r="JG204" s="3"/>
      <c r="JH204" s="3"/>
      <c r="JI204" s="3"/>
      <c r="JJ204" s="3"/>
      <c r="JK204" s="3"/>
      <c r="JL204" s="3"/>
      <c r="JM204" s="3"/>
      <c r="JN204" s="3"/>
      <c r="JO204" s="3"/>
      <c r="JP204" s="3"/>
      <c r="JQ204" s="3"/>
      <c r="JR204" s="3"/>
      <c r="JS204" s="3"/>
      <c r="JT204" s="3"/>
      <c r="JU204" s="3"/>
      <c r="JV204" s="3"/>
      <c r="JW204" s="3"/>
      <c r="JX204" s="3"/>
      <c r="JY204" s="3"/>
      <c r="JZ204" s="3"/>
      <c r="KA204" s="3"/>
      <c r="KB204" s="3"/>
      <c r="KC204" s="3"/>
      <c r="KD204" s="3"/>
      <c r="KE204" s="3"/>
      <c r="KF204" s="3"/>
      <c r="KG204" s="3"/>
      <c r="KH204" s="3"/>
      <c r="KI204" s="3"/>
      <c r="KJ204" s="3"/>
      <c r="KK204" s="3"/>
      <c r="KL204" s="3"/>
      <c r="KM204" s="3"/>
      <c r="KN204" s="3"/>
      <c r="KO204" s="3"/>
      <c r="KP204" s="3"/>
      <c r="KQ204" s="3"/>
      <c r="KR204" s="3"/>
      <c r="KS204" s="3"/>
      <c r="KT204" s="3"/>
      <c r="KU204" s="3"/>
      <c r="KV204" s="3"/>
      <c r="KW204" s="3"/>
      <c r="KX204" s="3"/>
      <c r="KY204" s="3"/>
      <c r="KZ204" s="3"/>
      <c r="LA204" s="3"/>
      <c r="LB204" s="3"/>
      <c r="LC204" s="3"/>
      <c r="LD204" s="3"/>
      <c r="LE204" s="3"/>
      <c r="LF204" s="3"/>
      <c r="LG204" s="3"/>
      <c r="LH204" s="3"/>
      <c r="LI204" s="3"/>
      <c r="LJ204" s="3"/>
      <c r="LK204" s="3"/>
      <c r="LL204" s="3"/>
      <c r="LM204" s="3"/>
      <c r="LN204" s="3"/>
      <c r="LO204" s="3"/>
      <c r="LP204" s="3"/>
      <c r="LQ204" s="3"/>
      <c r="LR204" s="3"/>
      <c r="LS204" s="3"/>
      <c r="LT204" s="3"/>
      <c r="LU204" s="3"/>
      <c r="LV204" s="3"/>
      <c r="LW204" s="3"/>
      <c r="LX204" s="3"/>
      <c r="LY204" s="3"/>
      <c r="LZ204" s="3"/>
      <c r="MA204" s="3"/>
      <c r="MB204" s="3"/>
      <c r="MC204" s="3"/>
      <c r="MD204" s="3"/>
      <c r="ME204" s="3"/>
      <c r="MF204" s="3"/>
      <c r="MG204" s="3"/>
      <c r="MH204" s="3"/>
      <c r="MI204" s="3"/>
      <c r="MJ204" s="3"/>
      <c r="MK204" s="3"/>
      <c r="ML204" s="3"/>
      <c r="MM204" s="3"/>
      <c r="MN204" s="3"/>
      <c r="MO204" s="3"/>
      <c r="MP204" s="3"/>
      <c r="MQ204" s="3"/>
      <c r="MR204" s="3"/>
      <c r="MS204" s="3"/>
      <c r="MT204" s="3"/>
      <c r="MU204" s="3"/>
      <c r="MV204" s="3"/>
      <c r="MW204" s="3"/>
      <c r="MX204" s="3"/>
      <c r="MY204" s="3"/>
      <c r="MZ204" s="3"/>
      <c r="NA204" s="3"/>
      <c r="NB204" s="3"/>
      <c r="NC204" s="3"/>
      <c r="ND204" s="3"/>
      <c r="NE204" s="3"/>
      <c r="NF204" s="3"/>
      <c r="NG204" s="3"/>
      <c r="NH204" s="3"/>
      <c r="NI204" s="3"/>
      <c r="NJ204" s="3"/>
      <c r="NK204" s="3"/>
      <c r="NL204" s="3"/>
      <c r="NM204" s="3"/>
      <c r="NN204" s="3"/>
      <c r="NO204" s="3"/>
      <c r="NP204" s="3"/>
      <c r="NQ204" s="3"/>
      <c r="NR204" s="3"/>
      <c r="NS204" s="3"/>
      <c r="NT204" s="3"/>
      <c r="NU204" s="3"/>
      <c r="NV204" s="3"/>
      <c r="NW204" s="3"/>
      <c r="NX204" s="3"/>
      <c r="NY204" s="3"/>
      <c r="NZ204" s="3"/>
      <c r="OA204" s="3"/>
      <c r="OB204" s="3"/>
      <c r="OC204" s="3"/>
      <c r="OD204" s="3"/>
      <c r="OE204" s="3"/>
      <c r="OF204" s="3"/>
      <c r="OG204" s="3"/>
      <c r="OH204" s="3"/>
      <c r="OI204" s="3"/>
      <c r="OJ204" s="3"/>
      <c r="OK204" s="3"/>
      <c r="OL204" s="3"/>
      <c r="OM204" s="3"/>
      <c r="ON204" s="3"/>
      <c r="OO204" s="3"/>
      <c r="OP204" s="3"/>
      <c r="OQ204" s="3"/>
      <c r="OR204" s="3"/>
      <c r="OS204" s="3"/>
      <c r="OT204" s="3"/>
      <c r="OU204" s="3"/>
      <c r="OV204" s="3"/>
      <c r="OW204" s="3"/>
      <c r="OX204" s="3"/>
      <c r="OY204" s="3"/>
      <c r="OZ204" s="3"/>
      <c r="PA204" s="3"/>
      <c r="PB204" s="3"/>
      <c r="PC204" s="3"/>
      <c r="PD204" s="3"/>
      <c r="PE204" s="3"/>
      <c r="PF204" s="3"/>
      <c r="PG204" s="3"/>
      <c r="PH204" s="3"/>
      <c r="PI204" s="3"/>
      <c r="PJ204" s="3"/>
      <c r="PK204" s="3"/>
      <c r="PL204" s="3"/>
      <c r="PM204" s="3"/>
      <c r="PN204" s="3"/>
      <c r="PO204" s="3"/>
      <c r="PP204" s="3"/>
      <c r="PQ204" s="3"/>
      <c r="PR204" s="3"/>
      <c r="PS204" s="3"/>
      <c r="PT204" s="3"/>
      <c r="PU204" s="3"/>
      <c r="PV204" s="3"/>
      <c r="PW204" s="3"/>
      <c r="PX204" s="3"/>
      <c r="PY204" s="3"/>
      <c r="PZ204" s="3"/>
      <c r="QA204" s="3"/>
      <c r="QB204" s="3"/>
      <c r="QC204" s="3"/>
      <c r="QD204" s="3"/>
      <c r="QE204" s="3"/>
      <c r="QF204" s="3"/>
      <c r="QG204" s="3"/>
      <c r="QH204" s="3"/>
      <c r="QI204" s="3"/>
      <c r="QJ204" s="3"/>
      <c r="QK204" s="3"/>
      <c r="QL204" s="3"/>
      <c r="QM204" s="3"/>
      <c r="QN204" s="3"/>
      <c r="QO204" s="3"/>
      <c r="QP204" s="3"/>
      <c r="QQ204" s="3"/>
      <c r="QR204" s="3"/>
      <c r="QS204" s="3"/>
      <c r="QT204" s="3"/>
      <c r="QU204" s="3"/>
      <c r="QV204" s="3"/>
      <c r="QW204" s="3"/>
      <c r="QX204" s="3"/>
      <c r="QY204" s="3"/>
      <c r="QZ204" s="3"/>
      <c r="RA204" s="3"/>
      <c r="RB204" s="3"/>
      <c r="RC204" s="3"/>
      <c r="RD204" s="3"/>
      <c r="RE204" s="3"/>
      <c r="RF204" s="3"/>
      <c r="RG204" s="3"/>
      <c r="RH204" s="3"/>
      <c r="RI204" s="3"/>
      <c r="RJ204" s="3"/>
      <c r="RK204" s="3"/>
      <c r="RL204" s="3"/>
      <c r="RM204" s="3"/>
      <c r="RN204" s="3"/>
      <c r="RO204" s="3"/>
      <c r="RP204" s="3"/>
      <c r="RQ204" s="3"/>
      <c r="RR204" s="3"/>
      <c r="RS204" s="3"/>
      <c r="RT204" s="3"/>
      <c r="RU204" s="3"/>
      <c r="RV204" s="3"/>
      <c r="RW204" s="3"/>
      <c r="RX204" s="3"/>
      <c r="RY204" s="3"/>
      <c r="RZ204" s="3"/>
      <c r="SA204" s="3"/>
      <c r="SB204" s="3"/>
      <c r="SC204" s="3"/>
      <c r="SD204" s="3"/>
      <c r="SE204" s="3"/>
      <c r="SF204" s="3"/>
      <c r="SG204" s="3"/>
      <c r="SH204" s="3"/>
      <c r="SI204" s="3"/>
      <c r="SJ204" s="3"/>
      <c r="SK204" s="3"/>
      <c r="SL204" s="3"/>
      <c r="SM204" s="3"/>
      <c r="SN204" s="3"/>
      <c r="SO204" s="3"/>
      <c r="SP204" s="3"/>
      <c r="SQ204" s="3"/>
      <c r="SR204" s="3"/>
      <c r="SS204" s="3"/>
      <c r="ST204" s="3"/>
      <c r="SU204" s="3"/>
      <c r="SV204" s="3"/>
      <c r="SW204" s="3"/>
      <c r="SX204" s="3"/>
      <c r="SY204" s="3"/>
      <c r="SZ204" s="3"/>
      <c r="TA204" s="3"/>
      <c r="TB204" s="3"/>
      <c r="TC204" s="3"/>
      <c r="TD204" s="3"/>
      <c r="TE204" s="3"/>
      <c r="TF204" s="3"/>
      <c r="TG204" s="3"/>
      <c r="TH204" s="3"/>
      <c r="TI204" s="3"/>
      <c r="TJ204" s="3"/>
      <c r="TK204" s="3"/>
      <c r="TL204" s="3"/>
      <c r="TM204" s="3"/>
      <c r="TN204" s="3"/>
      <c r="TO204" s="3"/>
      <c r="TP204" s="3"/>
      <c r="TQ204" s="3"/>
      <c r="TR204" s="3"/>
      <c r="TS204" s="3"/>
      <c r="TT204" s="3"/>
      <c r="TU204" s="3"/>
      <c r="TV204" s="3"/>
      <c r="TW204" s="3"/>
      <c r="TX204" s="3"/>
      <c r="TY204" s="3"/>
      <c r="TZ204" s="3"/>
      <c r="UA204" s="3"/>
      <c r="UB204" s="3"/>
      <c r="UC204" s="3"/>
      <c r="UD204" s="3"/>
      <c r="UE204" s="3"/>
      <c r="UF204" s="3"/>
      <c r="UG204" s="3"/>
      <c r="UH204" s="3"/>
      <c r="UI204" s="3"/>
      <c r="UJ204" s="3"/>
      <c r="UK204" s="3"/>
      <c r="UL204" s="3"/>
      <c r="UM204" s="3"/>
      <c r="UN204" s="3"/>
      <c r="UO204" s="3"/>
      <c r="UP204" s="3"/>
      <c r="UQ204" s="3"/>
      <c r="UR204" s="3"/>
      <c r="US204" s="3"/>
      <c r="UT204" s="3"/>
      <c r="UU204" s="3"/>
      <c r="UV204" s="3"/>
      <c r="UW204" s="3"/>
      <c r="UX204" s="3"/>
      <c r="UY204" s="3"/>
      <c r="UZ204" s="3"/>
      <c r="VA204" s="3"/>
      <c r="VB204" s="3"/>
      <c r="VC204" s="3"/>
      <c r="VD204" s="3"/>
      <c r="VE204" s="3"/>
      <c r="VF204" s="3"/>
      <c r="VG204" s="3"/>
      <c r="VH204" s="3"/>
      <c r="VI204" s="3"/>
      <c r="VJ204" s="3"/>
      <c r="VK204" s="3"/>
      <c r="VL204" s="3"/>
      <c r="VM204" s="3"/>
      <c r="VN204" s="3"/>
      <c r="VO204" s="3"/>
      <c r="VP204" s="3"/>
      <c r="VQ204" s="3"/>
      <c r="VR204" s="3"/>
      <c r="VS204" s="3"/>
      <c r="VT204" s="3"/>
      <c r="VU204" s="3"/>
      <c r="VV204" s="3"/>
      <c r="VW204" s="3"/>
      <c r="VX204" s="3"/>
      <c r="VY204" s="3"/>
      <c r="VZ204" s="3"/>
      <c r="WA204" s="3"/>
      <c r="WB204" s="3"/>
      <c r="WC204" s="3"/>
      <c r="WD204" s="3"/>
      <c r="WE204" s="3"/>
      <c r="WF204" s="3"/>
      <c r="WG204" s="3"/>
      <c r="WH204" s="3"/>
      <c r="WI204" s="3"/>
      <c r="WJ204" s="3"/>
      <c r="WK204" s="3"/>
      <c r="WL204" s="3"/>
      <c r="WM204" s="3"/>
      <c r="WN204" s="3"/>
      <c r="WO204" s="3"/>
      <c r="WP204" s="3"/>
      <c r="WQ204" s="3"/>
      <c r="WR204" s="3"/>
      <c r="WS204" s="3"/>
      <c r="WT204" s="3"/>
      <c r="WU204" s="3"/>
      <c r="WV204" s="3"/>
      <c r="WW204" s="3"/>
      <c r="WX204" s="3"/>
      <c r="WY204" s="3"/>
      <c r="WZ204" s="3"/>
      <c r="XA204" s="3"/>
      <c r="XB204" s="3"/>
      <c r="XC204" s="3"/>
      <c r="XD204" s="3"/>
      <c r="XE204" s="3"/>
      <c r="XF204" s="3"/>
      <c r="XG204" s="3"/>
      <c r="XH204" s="3"/>
      <c r="XI204" s="3"/>
      <c r="XJ204" s="3"/>
      <c r="XK204" s="3"/>
      <c r="XL204" s="3"/>
      <c r="XM204" s="3"/>
      <c r="XN204" s="3"/>
      <c r="XO204" s="3"/>
      <c r="XP204" s="3"/>
      <c r="XQ204" s="3"/>
      <c r="XR204" s="3"/>
      <c r="XS204" s="3"/>
      <c r="XT204" s="3"/>
      <c r="XU204" s="3"/>
      <c r="XV204" s="3"/>
      <c r="XW204" s="3"/>
      <c r="XX204" s="3"/>
      <c r="XY204" s="3"/>
      <c r="XZ204" s="3"/>
      <c r="YA204" s="3"/>
      <c r="YB204" s="3"/>
      <c r="YC204" s="3"/>
      <c r="YD204" s="3"/>
      <c r="YE204" s="3"/>
      <c r="YF204" s="3"/>
      <c r="YG204" s="3"/>
      <c r="YH204" s="3"/>
      <c r="YI204" s="3"/>
      <c r="YJ204" s="3"/>
      <c r="YK204" s="3"/>
      <c r="YL204" s="3"/>
      <c r="YM204" s="3"/>
      <c r="YN204" s="3"/>
      <c r="YO204" s="3"/>
      <c r="YP204" s="3"/>
      <c r="YQ204" s="3"/>
      <c r="YR204" s="3"/>
      <c r="YS204" s="3"/>
      <c r="YT204" s="3"/>
      <c r="YU204" s="3"/>
      <c r="YV204" s="3"/>
      <c r="YW204" s="3"/>
      <c r="YX204" s="3"/>
      <c r="YY204" s="3"/>
      <c r="YZ204" s="3"/>
      <c r="ZA204" s="3"/>
      <c r="ZB204" s="3"/>
      <c r="ZC204" s="3"/>
    </row>
    <row r="205" spans="1:679" s="2" customFormat="1" x14ac:dyDescent="0.45">
      <c r="A205" s="3" t="s">
        <v>11</v>
      </c>
      <c r="B205" s="4">
        <v>36171</v>
      </c>
      <c r="C205" s="7" t="s">
        <v>25</v>
      </c>
      <c r="D205" s="6" t="s">
        <v>221</v>
      </c>
      <c r="E205" s="3"/>
      <c r="F205" s="3">
        <v>29</v>
      </c>
      <c r="L205" s="3"/>
      <c r="M205" s="3"/>
      <c r="N205" s="48"/>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3"/>
      <c r="CT205" s="3"/>
      <c r="CU205" s="3"/>
      <c r="CV205" s="3"/>
      <c r="CW205" s="3"/>
      <c r="CX205" s="3"/>
      <c r="CY205" s="3"/>
      <c r="CZ205" s="3"/>
      <c r="DA205" s="3"/>
      <c r="DB205" s="3"/>
      <c r="DC205" s="3"/>
      <c r="DD205" s="3"/>
      <c r="DE205" s="3"/>
      <c r="DF205" s="3"/>
      <c r="DG205" s="3"/>
      <c r="DH205" s="3"/>
      <c r="DI205" s="3"/>
      <c r="DJ205" s="3"/>
      <c r="DK205" s="3"/>
      <c r="DL205" s="3"/>
      <c r="DM205" s="3"/>
      <c r="DN205" s="3"/>
      <c r="DO205" s="3"/>
      <c r="DP205" s="3"/>
      <c r="DQ205" s="3"/>
      <c r="DR205" s="3"/>
      <c r="DS205" s="3"/>
      <c r="DT205" s="3"/>
      <c r="DU205" s="3"/>
      <c r="DV205" s="3"/>
      <c r="DW205" s="3"/>
      <c r="DX205" s="3"/>
      <c r="DY205" s="3"/>
      <c r="DZ205" s="3"/>
      <c r="EA205" s="3"/>
      <c r="EB205" s="3"/>
      <c r="EC205" s="3"/>
      <c r="ED205" s="3"/>
      <c r="EE205" s="3"/>
      <c r="EF205" s="3"/>
      <c r="EG205" s="3"/>
      <c r="EH205" s="3"/>
      <c r="EI205" s="3"/>
      <c r="EJ205" s="3"/>
      <c r="EK205" s="3"/>
      <c r="EL205" s="3"/>
      <c r="EM205" s="3"/>
      <c r="EN205" s="3"/>
      <c r="EO205" s="3"/>
      <c r="EP205" s="3"/>
      <c r="EQ205" s="3"/>
      <c r="ER205" s="3"/>
      <c r="ES205" s="3"/>
      <c r="ET205" s="3"/>
      <c r="EU205" s="3"/>
      <c r="EV205" s="3"/>
      <c r="EW205" s="3"/>
      <c r="EX205" s="3"/>
      <c r="EY205" s="3"/>
      <c r="EZ205" s="3"/>
      <c r="FA205" s="3"/>
      <c r="FB205" s="3"/>
      <c r="FC205" s="3"/>
      <c r="FD205" s="3"/>
      <c r="FE205" s="3"/>
      <c r="FF205" s="3"/>
      <c r="FG205" s="3"/>
      <c r="FH205" s="3"/>
      <c r="FI205" s="3"/>
      <c r="FJ205" s="3"/>
      <c r="FK205" s="3"/>
      <c r="FL205" s="3"/>
      <c r="FM205" s="3"/>
      <c r="FN205" s="3"/>
      <c r="FO205" s="3"/>
      <c r="FP205" s="3"/>
      <c r="FQ205" s="3"/>
      <c r="FR205" s="3"/>
      <c r="FS205" s="3"/>
      <c r="FT205" s="3"/>
      <c r="FU205" s="3"/>
      <c r="FV205" s="3"/>
      <c r="FW205" s="3"/>
      <c r="FX205" s="3"/>
      <c r="FY205" s="3"/>
      <c r="FZ205" s="3"/>
      <c r="GA205" s="3"/>
      <c r="GB205" s="3"/>
      <c r="GC205" s="3"/>
      <c r="GD205" s="3"/>
      <c r="GE205" s="3"/>
      <c r="GF205" s="3"/>
      <c r="GG205" s="3"/>
      <c r="GH205" s="3"/>
      <c r="GI205" s="3"/>
      <c r="GJ205" s="3"/>
      <c r="GK205" s="3"/>
      <c r="GL205" s="3"/>
      <c r="GM205" s="3"/>
      <c r="GN205" s="3"/>
      <c r="GO205" s="3"/>
      <c r="GP205" s="3"/>
      <c r="GQ205" s="3"/>
      <c r="GR205" s="3"/>
      <c r="GS205" s="3"/>
      <c r="GT205" s="3"/>
      <c r="GU205" s="3"/>
      <c r="GV205" s="3"/>
      <c r="GW205" s="3"/>
      <c r="GX205" s="3"/>
      <c r="GY205" s="3"/>
      <c r="GZ205" s="3"/>
      <c r="HA205" s="3"/>
      <c r="HB205" s="3"/>
      <c r="HC205" s="3"/>
      <c r="HD205" s="3"/>
      <c r="HE205" s="3"/>
      <c r="HF205" s="3"/>
      <c r="HG205" s="3"/>
      <c r="HH205" s="3"/>
      <c r="HI205" s="3"/>
      <c r="HJ205" s="3"/>
      <c r="HK205" s="3"/>
      <c r="HL205" s="3"/>
      <c r="HM205" s="3"/>
      <c r="HN205" s="3"/>
      <c r="HO205" s="3"/>
      <c r="HP205" s="3"/>
      <c r="HQ205" s="3"/>
      <c r="HR205" s="3"/>
      <c r="HS205" s="3"/>
      <c r="HT205" s="3"/>
      <c r="HU205" s="3"/>
      <c r="HV205" s="3"/>
      <c r="HW205" s="3"/>
      <c r="HX205" s="3"/>
      <c r="HY205" s="3"/>
      <c r="HZ205" s="3"/>
      <c r="IA205" s="3"/>
      <c r="IB205" s="3"/>
      <c r="IC205" s="3"/>
      <c r="ID205" s="3"/>
      <c r="IE205" s="3"/>
      <c r="IF205" s="3"/>
      <c r="IG205" s="3"/>
      <c r="IH205" s="3"/>
      <c r="II205" s="3"/>
      <c r="IJ205" s="3"/>
      <c r="IK205" s="3"/>
      <c r="IL205" s="3"/>
      <c r="IM205" s="3"/>
      <c r="IN205" s="3"/>
      <c r="IO205" s="3"/>
      <c r="IP205" s="3"/>
      <c r="IQ205" s="3"/>
      <c r="IR205" s="3"/>
      <c r="IS205" s="3"/>
      <c r="IT205" s="3"/>
      <c r="IU205" s="3"/>
      <c r="IV205" s="3"/>
      <c r="IW205" s="3"/>
      <c r="IX205" s="3"/>
      <c r="IY205" s="3"/>
      <c r="IZ205" s="3"/>
      <c r="JA205" s="3"/>
      <c r="JB205" s="3"/>
      <c r="JC205" s="3"/>
      <c r="JD205" s="3"/>
      <c r="JE205" s="3"/>
      <c r="JF205" s="3"/>
      <c r="JG205" s="3"/>
      <c r="JH205" s="3"/>
      <c r="JI205" s="3"/>
      <c r="JJ205" s="3"/>
      <c r="JK205" s="3"/>
      <c r="JL205" s="3"/>
      <c r="JM205" s="3"/>
      <c r="JN205" s="3"/>
      <c r="JO205" s="3"/>
      <c r="JP205" s="3"/>
      <c r="JQ205" s="3"/>
      <c r="JR205" s="3"/>
      <c r="JS205" s="3"/>
      <c r="JT205" s="3"/>
      <c r="JU205" s="3"/>
      <c r="JV205" s="3"/>
      <c r="JW205" s="3"/>
      <c r="JX205" s="3"/>
      <c r="JY205" s="3"/>
      <c r="JZ205" s="3"/>
      <c r="KA205" s="3"/>
      <c r="KB205" s="3"/>
      <c r="KC205" s="3"/>
      <c r="KD205" s="3"/>
      <c r="KE205" s="3"/>
      <c r="KF205" s="3"/>
      <c r="KG205" s="3"/>
      <c r="KH205" s="3"/>
      <c r="KI205" s="3"/>
      <c r="KJ205" s="3"/>
      <c r="KK205" s="3"/>
      <c r="KL205" s="3"/>
      <c r="KM205" s="3"/>
      <c r="KN205" s="3"/>
      <c r="KO205" s="3"/>
      <c r="KP205" s="3"/>
      <c r="KQ205" s="3"/>
      <c r="KR205" s="3"/>
      <c r="KS205" s="3"/>
      <c r="KT205" s="3"/>
      <c r="KU205" s="3"/>
      <c r="KV205" s="3"/>
      <c r="KW205" s="3"/>
      <c r="KX205" s="3"/>
      <c r="KY205" s="3"/>
      <c r="KZ205" s="3"/>
      <c r="LA205" s="3"/>
      <c r="LB205" s="3"/>
      <c r="LC205" s="3"/>
      <c r="LD205" s="3"/>
      <c r="LE205" s="3"/>
      <c r="LF205" s="3"/>
      <c r="LG205" s="3"/>
      <c r="LH205" s="3"/>
      <c r="LI205" s="3"/>
      <c r="LJ205" s="3"/>
      <c r="LK205" s="3"/>
      <c r="LL205" s="3"/>
      <c r="LM205" s="3"/>
      <c r="LN205" s="3"/>
      <c r="LO205" s="3"/>
      <c r="LP205" s="3"/>
      <c r="LQ205" s="3"/>
      <c r="LR205" s="3"/>
      <c r="LS205" s="3"/>
      <c r="LT205" s="3"/>
      <c r="LU205" s="3"/>
      <c r="LV205" s="3"/>
      <c r="LW205" s="3"/>
      <c r="LX205" s="3"/>
      <c r="LY205" s="3"/>
      <c r="LZ205" s="3"/>
      <c r="MA205" s="3"/>
      <c r="MB205" s="3"/>
      <c r="MC205" s="3"/>
      <c r="MD205" s="3"/>
      <c r="ME205" s="3"/>
      <c r="MF205" s="3"/>
      <c r="MG205" s="3"/>
      <c r="MH205" s="3"/>
      <c r="MI205" s="3"/>
      <c r="MJ205" s="3"/>
      <c r="MK205" s="3"/>
      <c r="ML205" s="3"/>
      <c r="MM205" s="3"/>
      <c r="MN205" s="3"/>
      <c r="MO205" s="3"/>
      <c r="MP205" s="3"/>
      <c r="MQ205" s="3"/>
      <c r="MR205" s="3"/>
      <c r="MS205" s="3"/>
      <c r="MT205" s="3"/>
      <c r="MU205" s="3"/>
      <c r="MV205" s="3"/>
      <c r="MW205" s="3"/>
      <c r="MX205" s="3"/>
      <c r="MY205" s="3"/>
      <c r="MZ205" s="3"/>
      <c r="NA205" s="3"/>
      <c r="NB205" s="3"/>
      <c r="NC205" s="3"/>
      <c r="ND205" s="3"/>
      <c r="NE205" s="3"/>
      <c r="NF205" s="3"/>
      <c r="NG205" s="3"/>
      <c r="NH205" s="3"/>
      <c r="NI205" s="3"/>
      <c r="NJ205" s="3"/>
      <c r="NK205" s="3"/>
      <c r="NL205" s="3"/>
      <c r="NM205" s="3"/>
      <c r="NN205" s="3"/>
      <c r="NO205" s="3"/>
      <c r="NP205" s="3"/>
      <c r="NQ205" s="3"/>
      <c r="NR205" s="3"/>
      <c r="NS205" s="3"/>
      <c r="NT205" s="3"/>
      <c r="NU205" s="3"/>
      <c r="NV205" s="3"/>
      <c r="NW205" s="3"/>
      <c r="NX205" s="3"/>
      <c r="NY205" s="3"/>
      <c r="NZ205" s="3"/>
      <c r="OA205" s="3"/>
      <c r="OB205" s="3"/>
      <c r="OC205" s="3"/>
      <c r="OD205" s="3"/>
      <c r="OE205" s="3"/>
      <c r="OF205" s="3"/>
      <c r="OG205" s="3"/>
      <c r="OH205" s="3"/>
      <c r="OI205" s="3"/>
      <c r="OJ205" s="3"/>
      <c r="OK205" s="3"/>
      <c r="OL205" s="3"/>
      <c r="OM205" s="3"/>
      <c r="ON205" s="3"/>
      <c r="OO205" s="3"/>
      <c r="OP205" s="3"/>
      <c r="OQ205" s="3"/>
      <c r="OR205" s="3"/>
      <c r="OS205" s="3"/>
      <c r="OT205" s="3"/>
      <c r="OU205" s="3"/>
      <c r="OV205" s="3"/>
      <c r="OW205" s="3"/>
      <c r="OX205" s="3"/>
      <c r="OY205" s="3"/>
      <c r="OZ205" s="3"/>
      <c r="PA205" s="3"/>
      <c r="PB205" s="3"/>
      <c r="PC205" s="3"/>
      <c r="PD205" s="3"/>
      <c r="PE205" s="3"/>
      <c r="PF205" s="3"/>
      <c r="PG205" s="3"/>
      <c r="PH205" s="3"/>
      <c r="PI205" s="3"/>
      <c r="PJ205" s="3"/>
      <c r="PK205" s="3"/>
      <c r="PL205" s="3"/>
      <c r="PM205" s="3"/>
      <c r="PN205" s="3"/>
      <c r="PO205" s="3"/>
      <c r="PP205" s="3"/>
      <c r="PQ205" s="3"/>
      <c r="PR205" s="3"/>
      <c r="PS205" s="3"/>
      <c r="PT205" s="3"/>
      <c r="PU205" s="3"/>
      <c r="PV205" s="3"/>
      <c r="PW205" s="3"/>
      <c r="PX205" s="3"/>
      <c r="PY205" s="3"/>
      <c r="PZ205" s="3"/>
      <c r="QA205" s="3"/>
      <c r="QB205" s="3"/>
      <c r="QC205" s="3"/>
      <c r="QD205" s="3"/>
      <c r="QE205" s="3"/>
      <c r="QF205" s="3"/>
      <c r="QG205" s="3"/>
      <c r="QH205" s="3"/>
      <c r="QI205" s="3"/>
      <c r="QJ205" s="3"/>
      <c r="QK205" s="3"/>
      <c r="QL205" s="3"/>
      <c r="QM205" s="3"/>
      <c r="QN205" s="3"/>
      <c r="QO205" s="3"/>
      <c r="QP205" s="3"/>
      <c r="QQ205" s="3"/>
      <c r="QR205" s="3"/>
      <c r="QS205" s="3"/>
      <c r="QT205" s="3"/>
      <c r="QU205" s="3"/>
      <c r="QV205" s="3"/>
      <c r="QW205" s="3"/>
      <c r="QX205" s="3"/>
      <c r="QY205" s="3"/>
      <c r="QZ205" s="3"/>
      <c r="RA205" s="3"/>
      <c r="RB205" s="3"/>
      <c r="RC205" s="3"/>
      <c r="RD205" s="3"/>
      <c r="RE205" s="3"/>
      <c r="RF205" s="3"/>
      <c r="RG205" s="3"/>
      <c r="RH205" s="3"/>
      <c r="RI205" s="3"/>
      <c r="RJ205" s="3"/>
      <c r="RK205" s="3"/>
      <c r="RL205" s="3"/>
      <c r="RM205" s="3"/>
      <c r="RN205" s="3"/>
      <c r="RO205" s="3"/>
      <c r="RP205" s="3"/>
      <c r="RQ205" s="3"/>
      <c r="RR205" s="3"/>
      <c r="RS205" s="3"/>
      <c r="RT205" s="3"/>
      <c r="RU205" s="3"/>
      <c r="RV205" s="3"/>
      <c r="RW205" s="3"/>
      <c r="RX205" s="3"/>
      <c r="RY205" s="3"/>
      <c r="RZ205" s="3"/>
      <c r="SA205" s="3"/>
      <c r="SB205" s="3"/>
      <c r="SC205" s="3"/>
      <c r="SD205" s="3"/>
      <c r="SE205" s="3"/>
      <c r="SF205" s="3"/>
      <c r="SG205" s="3"/>
      <c r="SH205" s="3"/>
      <c r="SI205" s="3"/>
      <c r="SJ205" s="3"/>
      <c r="SK205" s="3"/>
      <c r="SL205" s="3"/>
      <c r="SM205" s="3"/>
      <c r="SN205" s="3"/>
      <c r="SO205" s="3"/>
      <c r="SP205" s="3"/>
      <c r="SQ205" s="3"/>
      <c r="SR205" s="3"/>
      <c r="SS205" s="3"/>
      <c r="ST205" s="3"/>
      <c r="SU205" s="3"/>
      <c r="SV205" s="3"/>
      <c r="SW205" s="3"/>
      <c r="SX205" s="3"/>
      <c r="SY205" s="3"/>
      <c r="SZ205" s="3"/>
      <c r="TA205" s="3"/>
      <c r="TB205" s="3"/>
      <c r="TC205" s="3"/>
      <c r="TD205" s="3"/>
      <c r="TE205" s="3"/>
      <c r="TF205" s="3"/>
      <c r="TG205" s="3"/>
      <c r="TH205" s="3"/>
      <c r="TI205" s="3"/>
      <c r="TJ205" s="3"/>
      <c r="TK205" s="3"/>
      <c r="TL205" s="3"/>
      <c r="TM205" s="3"/>
      <c r="TN205" s="3"/>
      <c r="TO205" s="3"/>
      <c r="TP205" s="3"/>
      <c r="TQ205" s="3"/>
      <c r="TR205" s="3"/>
      <c r="TS205" s="3"/>
      <c r="TT205" s="3"/>
      <c r="TU205" s="3"/>
      <c r="TV205" s="3"/>
      <c r="TW205" s="3"/>
      <c r="TX205" s="3"/>
      <c r="TY205" s="3"/>
      <c r="TZ205" s="3"/>
      <c r="UA205" s="3"/>
      <c r="UB205" s="3"/>
      <c r="UC205" s="3"/>
      <c r="UD205" s="3"/>
      <c r="UE205" s="3"/>
      <c r="UF205" s="3"/>
      <c r="UG205" s="3"/>
      <c r="UH205" s="3"/>
      <c r="UI205" s="3"/>
      <c r="UJ205" s="3"/>
      <c r="UK205" s="3"/>
      <c r="UL205" s="3"/>
      <c r="UM205" s="3"/>
      <c r="UN205" s="3"/>
      <c r="UO205" s="3"/>
      <c r="UP205" s="3"/>
      <c r="UQ205" s="3"/>
      <c r="UR205" s="3"/>
      <c r="US205" s="3"/>
      <c r="UT205" s="3"/>
      <c r="UU205" s="3"/>
      <c r="UV205" s="3"/>
      <c r="UW205" s="3"/>
      <c r="UX205" s="3"/>
      <c r="UY205" s="3"/>
      <c r="UZ205" s="3"/>
      <c r="VA205" s="3"/>
      <c r="VB205" s="3"/>
      <c r="VC205" s="3"/>
      <c r="VD205" s="3"/>
      <c r="VE205" s="3"/>
      <c r="VF205" s="3"/>
      <c r="VG205" s="3"/>
      <c r="VH205" s="3"/>
      <c r="VI205" s="3"/>
      <c r="VJ205" s="3"/>
      <c r="VK205" s="3"/>
      <c r="VL205" s="3"/>
      <c r="VM205" s="3"/>
      <c r="VN205" s="3"/>
      <c r="VO205" s="3"/>
      <c r="VP205" s="3"/>
      <c r="VQ205" s="3"/>
      <c r="VR205" s="3"/>
      <c r="VS205" s="3"/>
      <c r="VT205" s="3"/>
      <c r="VU205" s="3"/>
      <c r="VV205" s="3"/>
      <c r="VW205" s="3"/>
      <c r="VX205" s="3"/>
      <c r="VY205" s="3"/>
      <c r="VZ205" s="3"/>
      <c r="WA205" s="3"/>
      <c r="WB205" s="3"/>
      <c r="WC205" s="3"/>
      <c r="WD205" s="3"/>
      <c r="WE205" s="3"/>
      <c r="WF205" s="3"/>
      <c r="WG205" s="3"/>
      <c r="WH205" s="3"/>
      <c r="WI205" s="3"/>
      <c r="WJ205" s="3"/>
      <c r="WK205" s="3"/>
      <c r="WL205" s="3"/>
      <c r="WM205" s="3"/>
      <c r="WN205" s="3"/>
      <c r="WO205" s="3"/>
      <c r="WP205" s="3"/>
      <c r="WQ205" s="3"/>
      <c r="WR205" s="3"/>
      <c r="WS205" s="3"/>
      <c r="WT205" s="3"/>
      <c r="WU205" s="3"/>
      <c r="WV205" s="3"/>
      <c r="WW205" s="3"/>
      <c r="WX205" s="3"/>
      <c r="WY205" s="3"/>
      <c r="WZ205" s="3"/>
      <c r="XA205" s="3"/>
      <c r="XB205" s="3"/>
      <c r="XC205" s="3"/>
      <c r="XD205" s="3"/>
      <c r="XE205" s="3"/>
      <c r="XF205" s="3"/>
      <c r="XG205" s="3"/>
      <c r="XH205" s="3"/>
      <c r="XI205" s="3"/>
      <c r="XJ205" s="3"/>
      <c r="XK205" s="3"/>
      <c r="XL205" s="3"/>
      <c r="XM205" s="3"/>
      <c r="XN205" s="3"/>
      <c r="XO205" s="3"/>
      <c r="XP205" s="3"/>
      <c r="XQ205" s="3"/>
      <c r="XR205" s="3"/>
      <c r="XS205" s="3"/>
      <c r="XT205" s="3"/>
      <c r="XU205" s="3"/>
      <c r="XV205" s="3"/>
      <c r="XW205" s="3"/>
      <c r="XX205" s="3"/>
      <c r="XY205" s="3"/>
      <c r="XZ205" s="3"/>
      <c r="YA205" s="3"/>
      <c r="YB205" s="3"/>
      <c r="YC205" s="3"/>
      <c r="YD205" s="3"/>
      <c r="YE205" s="3"/>
      <c r="YF205" s="3"/>
      <c r="YG205" s="3"/>
      <c r="YH205" s="3"/>
      <c r="YI205" s="3"/>
      <c r="YJ205" s="3"/>
      <c r="YK205" s="3"/>
      <c r="YL205" s="3"/>
      <c r="YM205" s="3"/>
      <c r="YN205" s="3"/>
      <c r="YO205" s="3"/>
      <c r="YP205" s="3"/>
      <c r="YQ205" s="3"/>
      <c r="YR205" s="3"/>
      <c r="YS205" s="3"/>
      <c r="YT205" s="3"/>
      <c r="YU205" s="3"/>
      <c r="YV205" s="3"/>
      <c r="YW205" s="3"/>
      <c r="YX205" s="3"/>
      <c r="YY205" s="3"/>
      <c r="YZ205" s="3"/>
      <c r="ZA205" s="3"/>
      <c r="ZB205" s="3"/>
      <c r="ZC205" s="3"/>
    </row>
    <row r="206" spans="1:679" s="2" customFormat="1" x14ac:dyDescent="0.45">
      <c r="A206" s="3" t="s">
        <v>11</v>
      </c>
      <c r="B206" s="4">
        <v>36181</v>
      </c>
      <c r="C206" s="7" t="s">
        <v>25</v>
      </c>
      <c r="D206" s="6" t="s">
        <v>222</v>
      </c>
      <c r="E206" s="3"/>
      <c r="F206" s="3">
        <v>41</v>
      </c>
      <c r="L206" s="3"/>
      <c r="M206" s="3"/>
      <c r="N206" s="48"/>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3"/>
      <c r="CS206" s="3"/>
      <c r="CT206" s="3"/>
      <c r="CU206" s="3"/>
      <c r="CV206" s="3"/>
      <c r="CW206" s="3"/>
      <c r="CX206" s="3"/>
      <c r="CY206" s="3"/>
      <c r="CZ206" s="3"/>
      <c r="DA206" s="3"/>
      <c r="DB206" s="3"/>
      <c r="DC206" s="3"/>
      <c r="DD206" s="3"/>
      <c r="DE206" s="3"/>
      <c r="DF206" s="3"/>
      <c r="DG206" s="3"/>
      <c r="DH206" s="3"/>
      <c r="DI206" s="3"/>
      <c r="DJ206" s="3"/>
      <c r="DK206" s="3"/>
      <c r="DL206" s="3"/>
      <c r="DM206" s="3"/>
      <c r="DN206" s="3"/>
      <c r="DO206" s="3"/>
      <c r="DP206" s="3"/>
      <c r="DQ206" s="3"/>
      <c r="DR206" s="3"/>
      <c r="DS206" s="3"/>
      <c r="DT206" s="3"/>
      <c r="DU206" s="3"/>
      <c r="DV206" s="3"/>
      <c r="DW206" s="3"/>
      <c r="DX206" s="3"/>
      <c r="DY206" s="3"/>
      <c r="DZ206" s="3"/>
      <c r="EA206" s="3"/>
      <c r="EB206" s="3"/>
      <c r="EC206" s="3"/>
      <c r="ED206" s="3"/>
      <c r="EE206" s="3"/>
      <c r="EF206" s="3"/>
      <c r="EG206" s="3"/>
      <c r="EH206" s="3"/>
      <c r="EI206" s="3"/>
      <c r="EJ206" s="3"/>
      <c r="EK206" s="3"/>
      <c r="EL206" s="3"/>
      <c r="EM206" s="3"/>
      <c r="EN206" s="3"/>
      <c r="EO206" s="3"/>
      <c r="EP206" s="3"/>
      <c r="EQ206" s="3"/>
      <c r="ER206" s="3"/>
      <c r="ES206" s="3"/>
      <c r="ET206" s="3"/>
      <c r="EU206" s="3"/>
      <c r="EV206" s="3"/>
      <c r="EW206" s="3"/>
      <c r="EX206" s="3"/>
      <c r="EY206" s="3"/>
      <c r="EZ206" s="3"/>
      <c r="FA206" s="3"/>
      <c r="FB206" s="3"/>
      <c r="FC206" s="3"/>
      <c r="FD206" s="3"/>
      <c r="FE206" s="3"/>
      <c r="FF206" s="3"/>
      <c r="FG206" s="3"/>
      <c r="FH206" s="3"/>
      <c r="FI206" s="3"/>
      <c r="FJ206" s="3"/>
      <c r="FK206" s="3"/>
      <c r="FL206" s="3"/>
      <c r="FM206" s="3"/>
      <c r="FN206" s="3"/>
      <c r="FO206" s="3"/>
      <c r="FP206" s="3"/>
      <c r="FQ206" s="3"/>
      <c r="FR206" s="3"/>
      <c r="FS206" s="3"/>
      <c r="FT206" s="3"/>
      <c r="FU206" s="3"/>
      <c r="FV206" s="3"/>
      <c r="FW206" s="3"/>
      <c r="FX206" s="3"/>
      <c r="FY206" s="3"/>
      <c r="FZ206" s="3"/>
      <c r="GA206" s="3"/>
      <c r="GB206" s="3"/>
      <c r="GC206" s="3"/>
      <c r="GD206" s="3"/>
      <c r="GE206" s="3"/>
      <c r="GF206" s="3"/>
      <c r="GG206" s="3"/>
      <c r="GH206" s="3"/>
      <c r="GI206" s="3"/>
      <c r="GJ206" s="3"/>
      <c r="GK206" s="3"/>
      <c r="GL206" s="3"/>
      <c r="GM206" s="3"/>
      <c r="GN206" s="3"/>
      <c r="GO206" s="3"/>
      <c r="GP206" s="3"/>
      <c r="GQ206" s="3"/>
      <c r="GR206" s="3"/>
      <c r="GS206" s="3"/>
      <c r="GT206" s="3"/>
      <c r="GU206" s="3"/>
      <c r="GV206" s="3"/>
      <c r="GW206" s="3"/>
      <c r="GX206" s="3"/>
      <c r="GY206" s="3"/>
      <c r="GZ206" s="3"/>
      <c r="HA206" s="3"/>
      <c r="HB206" s="3"/>
      <c r="HC206" s="3"/>
      <c r="HD206" s="3"/>
      <c r="HE206" s="3"/>
      <c r="HF206" s="3"/>
      <c r="HG206" s="3"/>
      <c r="HH206" s="3"/>
      <c r="HI206" s="3"/>
      <c r="HJ206" s="3"/>
      <c r="HK206" s="3"/>
      <c r="HL206" s="3"/>
      <c r="HM206" s="3"/>
      <c r="HN206" s="3"/>
      <c r="HO206" s="3"/>
      <c r="HP206" s="3"/>
      <c r="HQ206" s="3"/>
      <c r="HR206" s="3"/>
      <c r="HS206" s="3"/>
      <c r="HT206" s="3"/>
      <c r="HU206" s="3"/>
      <c r="HV206" s="3"/>
      <c r="HW206" s="3"/>
      <c r="HX206" s="3"/>
      <c r="HY206" s="3"/>
      <c r="HZ206" s="3"/>
      <c r="IA206" s="3"/>
      <c r="IB206" s="3"/>
      <c r="IC206" s="3"/>
      <c r="ID206" s="3"/>
      <c r="IE206" s="3"/>
      <c r="IF206" s="3"/>
      <c r="IG206" s="3"/>
      <c r="IH206" s="3"/>
      <c r="II206" s="3"/>
      <c r="IJ206" s="3"/>
      <c r="IK206" s="3"/>
      <c r="IL206" s="3"/>
      <c r="IM206" s="3"/>
      <c r="IN206" s="3"/>
      <c r="IO206" s="3"/>
      <c r="IP206" s="3"/>
      <c r="IQ206" s="3"/>
      <c r="IR206" s="3"/>
      <c r="IS206" s="3"/>
      <c r="IT206" s="3"/>
      <c r="IU206" s="3"/>
      <c r="IV206" s="3"/>
      <c r="IW206" s="3"/>
      <c r="IX206" s="3"/>
      <c r="IY206" s="3"/>
      <c r="IZ206" s="3"/>
      <c r="JA206" s="3"/>
      <c r="JB206" s="3"/>
      <c r="JC206" s="3"/>
      <c r="JD206" s="3"/>
      <c r="JE206" s="3"/>
      <c r="JF206" s="3"/>
      <c r="JG206" s="3"/>
      <c r="JH206" s="3"/>
      <c r="JI206" s="3"/>
      <c r="JJ206" s="3"/>
      <c r="JK206" s="3"/>
      <c r="JL206" s="3"/>
      <c r="JM206" s="3"/>
      <c r="JN206" s="3"/>
      <c r="JO206" s="3"/>
      <c r="JP206" s="3"/>
      <c r="JQ206" s="3"/>
      <c r="JR206" s="3"/>
      <c r="JS206" s="3"/>
      <c r="JT206" s="3"/>
      <c r="JU206" s="3"/>
      <c r="JV206" s="3"/>
      <c r="JW206" s="3"/>
      <c r="JX206" s="3"/>
      <c r="JY206" s="3"/>
      <c r="JZ206" s="3"/>
      <c r="KA206" s="3"/>
      <c r="KB206" s="3"/>
      <c r="KC206" s="3"/>
      <c r="KD206" s="3"/>
      <c r="KE206" s="3"/>
      <c r="KF206" s="3"/>
      <c r="KG206" s="3"/>
      <c r="KH206" s="3"/>
      <c r="KI206" s="3"/>
      <c r="KJ206" s="3"/>
      <c r="KK206" s="3"/>
      <c r="KL206" s="3"/>
      <c r="KM206" s="3"/>
      <c r="KN206" s="3"/>
      <c r="KO206" s="3"/>
      <c r="KP206" s="3"/>
      <c r="KQ206" s="3"/>
      <c r="KR206" s="3"/>
      <c r="KS206" s="3"/>
      <c r="KT206" s="3"/>
      <c r="KU206" s="3"/>
      <c r="KV206" s="3"/>
      <c r="KW206" s="3"/>
      <c r="KX206" s="3"/>
      <c r="KY206" s="3"/>
      <c r="KZ206" s="3"/>
      <c r="LA206" s="3"/>
      <c r="LB206" s="3"/>
      <c r="LC206" s="3"/>
      <c r="LD206" s="3"/>
      <c r="LE206" s="3"/>
      <c r="LF206" s="3"/>
      <c r="LG206" s="3"/>
      <c r="LH206" s="3"/>
      <c r="LI206" s="3"/>
      <c r="LJ206" s="3"/>
      <c r="LK206" s="3"/>
      <c r="LL206" s="3"/>
      <c r="LM206" s="3"/>
      <c r="LN206" s="3"/>
      <c r="LO206" s="3"/>
      <c r="LP206" s="3"/>
      <c r="LQ206" s="3"/>
      <c r="LR206" s="3"/>
      <c r="LS206" s="3"/>
      <c r="LT206" s="3"/>
      <c r="LU206" s="3"/>
      <c r="LV206" s="3"/>
      <c r="LW206" s="3"/>
      <c r="LX206" s="3"/>
      <c r="LY206" s="3"/>
      <c r="LZ206" s="3"/>
      <c r="MA206" s="3"/>
      <c r="MB206" s="3"/>
      <c r="MC206" s="3"/>
      <c r="MD206" s="3"/>
      <c r="ME206" s="3"/>
      <c r="MF206" s="3"/>
      <c r="MG206" s="3"/>
      <c r="MH206" s="3"/>
      <c r="MI206" s="3"/>
      <c r="MJ206" s="3"/>
      <c r="MK206" s="3"/>
      <c r="ML206" s="3"/>
      <c r="MM206" s="3"/>
      <c r="MN206" s="3"/>
      <c r="MO206" s="3"/>
      <c r="MP206" s="3"/>
      <c r="MQ206" s="3"/>
      <c r="MR206" s="3"/>
      <c r="MS206" s="3"/>
      <c r="MT206" s="3"/>
      <c r="MU206" s="3"/>
      <c r="MV206" s="3"/>
      <c r="MW206" s="3"/>
      <c r="MX206" s="3"/>
      <c r="MY206" s="3"/>
      <c r="MZ206" s="3"/>
      <c r="NA206" s="3"/>
      <c r="NB206" s="3"/>
      <c r="NC206" s="3"/>
      <c r="ND206" s="3"/>
      <c r="NE206" s="3"/>
      <c r="NF206" s="3"/>
      <c r="NG206" s="3"/>
      <c r="NH206" s="3"/>
      <c r="NI206" s="3"/>
      <c r="NJ206" s="3"/>
      <c r="NK206" s="3"/>
      <c r="NL206" s="3"/>
      <c r="NM206" s="3"/>
      <c r="NN206" s="3"/>
      <c r="NO206" s="3"/>
      <c r="NP206" s="3"/>
      <c r="NQ206" s="3"/>
      <c r="NR206" s="3"/>
      <c r="NS206" s="3"/>
      <c r="NT206" s="3"/>
      <c r="NU206" s="3"/>
      <c r="NV206" s="3"/>
      <c r="NW206" s="3"/>
      <c r="NX206" s="3"/>
      <c r="NY206" s="3"/>
      <c r="NZ206" s="3"/>
      <c r="OA206" s="3"/>
      <c r="OB206" s="3"/>
      <c r="OC206" s="3"/>
      <c r="OD206" s="3"/>
      <c r="OE206" s="3"/>
      <c r="OF206" s="3"/>
      <c r="OG206" s="3"/>
      <c r="OH206" s="3"/>
      <c r="OI206" s="3"/>
      <c r="OJ206" s="3"/>
      <c r="OK206" s="3"/>
      <c r="OL206" s="3"/>
      <c r="OM206" s="3"/>
      <c r="ON206" s="3"/>
      <c r="OO206" s="3"/>
      <c r="OP206" s="3"/>
      <c r="OQ206" s="3"/>
      <c r="OR206" s="3"/>
      <c r="OS206" s="3"/>
      <c r="OT206" s="3"/>
      <c r="OU206" s="3"/>
      <c r="OV206" s="3"/>
      <c r="OW206" s="3"/>
      <c r="OX206" s="3"/>
      <c r="OY206" s="3"/>
      <c r="OZ206" s="3"/>
      <c r="PA206" s="3"/>
      <c r="PB206" s="3"/>
      <c r="PC206" s="3"/>
      <c r="PD206" s="3"/>
      <c r="PE206" s="3"/>
      <c r="PF206" s="3"/>
      <c r="PG206" s="3"/>
      <c r="PH206" s="3"/>
      <c r="PI206" s="3"/>
      <c r="PJ206" s="3"/>
      <c r="PK206" s="3"/>
      <c r="PL206" s="3"/>
      <c r="PM206" s="3"/>
      <c r="PN206" s="3"/>
      <c r="PO206" s="3"/>
      <c r="PP206" s="3"/>
      <c r="PQ206" s="3"/>
      <c r="PR206" s="3"/>
      <c r="PS206" s="3"/>
      <c r="PT206" s="3"/>
      <c r="PU206" s="3"/>
      <c r="PV206" s="3"/>
      <c r="PW206" s="3"/>
      <c r="PX206" s="3"/>
      <c r="PY206" s="3"/>
      <c r="PZ206" s="3"/>
      <c r="QA206" s="3"/>
      <c r="QB206" s="3"/>
      <c r="QC206" s="3"/>
      <c r="QD206" s="3"/>
      <c r="QE206" s="3"/>
      <c r="QF206" s="3"/>
      <c r="QG206" s="3"/>
      <c r="QH206" s="3"/>
      <c r="QI206" s="3"/>
      <c r="QJ206" s="3"/>
      <c r="QK206" s="3"/>
      <c r="QL206" s="3"/>
      <c r="QM206" s="3"/>
      <c r="QN206" s="3"/>
      <c r="QO206" s="3"/>
      <c r="QP206" s="3"/>
      <c r="QQ206" s="3"/>
      <c r="QR206" s="3"/>
      <c r="QS206" s="3"/>
      <c r="QT206" s="3"/>
      <c r="QU206" s="3"/>
      <c r="QV206" s="3"/>
      <c r="QW206" s="3"/>
      <c r="QX206" s="3"/>
      <c r="QY206" s="3"/>
      <c r="QZ206" s="3"/>
      <c r="RA206" s="3"/>
      <c r="RB206" s="3"/>
      <c r="RC206" s="3"/>
      <c r="RD206" s="3"/>
      <c r="RE206" s="3"/>
      <c r="RF206" s="3"/>
      <c r="RG206" s="3"/>
      <c r="RH206" s="3"/>
      <c r="RI206" s="3"/>
      <c r="RJ206" s="3"/>
      <c r="RK206" s="3"/>
      <c r="RL206" s="3"/>
      <c r="RM206" s="3"/>
      <c r="RN206" s="3"/>
      <c r="RO206" s="3"/>
      <c r="RP206" s="3"/>
      <c r="RQ206" s="3"/>
      <c r="RR206" s="3"/>
      <c r="RS206" s="3"/>
      <c r="RT206" s="3"/>
      <c r="RU206" s="3"/>
      <c r="RV206" s="3"/>
      <c r="RW206" s="3"/>
      <c r="RX206" s="3"/>
      <c r="RY206" s="3"/>
      <c r="RZ206" s="3"/>
      <c r="SA206" s="3"/>
      <c r="SB206" s="3"/>
      <c r="SC206" s="3"/>
      <c r="SD206" s="3"/>
      <c r="SE206" s="3"/>
      <c r="SF206" s="3"/>
      <c r="SG206" s="3"/>
      <c r="SH206" s="3"/>
      <c r="SI206" s="3"/>
      <c r="SJ206" s="3"/>
      <c r="SK206" s="3"/>
      <c r="SL206" s="3"/>
      <c r="SM206" s="3"/>
      <c r="SN206" s="3"/>
      <c r="SO206" s="3"/>
      <c r="SP206" s="3"/>
      <c r="SQ206" s="3"/>
      <c r="SR206" s="3"/>
      <c r="SS206" s="3"/>
      <c r="ST206" s="3"/>
      <c r="SU206" s="3"/>
      <c r="SV206" s="3"/>
      <c r="SW206" s="3"/>
      <c r="SX206" s="3"/>
      <c r="SY206" s="3"/>
      <c r="SZ206" s="3"/>
      <c r="TA206" s="3"/>
      <c r="TB206" s="3"/>
      <c r="TC206" s="3"/>
      <c r="TD206" s="3"/>
      <c r="TE206" s="3"/>
      <c r="TF206" s="3"/>
      <c r="TG206" s="3"/>
      <c r="TH206" s="3"/>
      <c r="TI206" s="3"/>
      <c r="TJ206" s="3"/>
      <c r="TK206" s="3"/>
      <c r="TL206" s="3"/>
      <c r="TM206" s="3"/>
      <c r="TN206" s="3"/>
      <c r="TO206" s="3"/>
      <c r="TP206" s="3"/>
      <c r="TQ206" s="3"/>
      <c r="TR206" s="3"/>
      <c r="TS206" s="3"/>
      <c r="TT206" s="3"/>
      <c r="TU206" s="3"/>
      <c r="TV206" s="3"/>
      <c r="TW206" s="3"/>
      <c r="TX206" s="3"/>
      <c r="TY206" s="3"/>
      <c r="TZ206" s="3"/>
      <c r="UA206" s="3"/>
      <c r="UB206" s="3"/>
      <c r="UC206" s="3"/>
      <c r="UD206" s="3"/>
      <c r="UE206" s="3"/>
      <c r="UF206" s="3"/>
      <c r="UG206" s="3"/>
      <c r="UH206" s="3"/>
      <c r="UI206" s="3"/>
      <c r="UJ206" s="3"/>
      <c r="UK206" s="3"/>
      <c r="UL206" s="3"/>
      <c r="UM206" s="3"/>
      <c r="UN206" s="3"/>
      <c r="UO206" s="3"/>
      <c r="UP206" s="3"/>
      <c r="UQ206" s="3"/>
      <c r="UR206" s="3"/>
      <c r="US206" s="3"/>
      <c r="UT206" s="3"/>
      <c r="UU206" s="3"/>
      <c r="UV206" s="3"/>
      <c r="UW206" s="3"/>
      <c r="UX206" s="3"/>
      <c r="UY206" s="3"/>
      <c r="UZ206" s="3"/>
      <c r="VA206" s="3"/>
      <c r="VB206" s="3"/>
      <c r="VC206" s="3"/>
      <c r="VD206" s="3"/>
      <c r="VE206" s="3"/>
      <c r="VF206" s="3"/>
      <c r="VG206" s="3"/>
      <c r="VH206" s="3"/>
      <c r="VI206" s="3"/>
      <c r="VJ206" s="3"/>
      <c r="VK206" s="3"/>
      <c r="VL206" s="3"/>
      <c r="VM206" s="3"/>
      <c r="VN206" s="3"/>
      <c r="VO206" s="3"/>
      <c r="VP206" s="3"/>
      <c r="VQ206" s="3"/>
      <c r="VR206" s="3"/>
      <c r="VS206" s="3"/>
      <c r="VT206" s="3"/>
      <c r="VU206" s="3"/>
      <c r="VV206" s="3"/>
      <c r="VW206" s="3"/>
      <c r="VX206" s="3"/>
      <c r="VY206" s="3"/>
      <c r="VZ206" s="3"/>
      <c r="WA206" s="3"/>
      <c r="WB206" s="3"/>
      <c r="WC206" s="3"/>
      <c r="WD206" s="3"/>
      <c r="WE206" s="3"/>
      <c r="WF206" s="3"/>
      <c r="WG206" s="3"/>
      <c r="WH206" s="3"/>
      <c r="WI206" s="3"/>
      <c r="WJ206" s="3"/>
      <c r="WK206" s="3"/>
      <c r="WL206" s="3"/>
      <c r="WM206" s="3"/>
      <c r="WN206" s="3"/>
      <c r="WO206" s="3"/>
      <c r="WP206" s="3"/>
      <c r="WQ206" s="3"/>
      <c r="WR206" s="3"/>
      <c r="WS206" s="3"/>
      <c r="WT206" s="3"/>
      <c r="WU206" s="3"/>
      <c r="WV206" s="3"/>
      <c r="WW206" s="3"/>
      <c r="WX206" s="3"/>
      <c r="WY206" s="3"/>
      <c r="WZ206" s="3"/>
      <c r="XA206" s="3"/>
      <c r="XB206" s="3"/>
      <c r="XC206" s="3"/>
      <c r="XD206" s="3"/>
      <c r="XE206" s="3"/>
      <c r="XF206" s="3"/>
      <c r="XG206" s="3"/>
      <c r="XH206" s="3"/>
      <c r="XI206" s="3"/>
      <c r="XJ206" s="3"/>
      <c r="XK206" s="3"/>
      <c r="XL206" s="3"/>
      <c r="XM206" s="3"/>
      <c r="XN206" s="3"/>
      <c r="XO206" s="3"/>
      <c r="XP206" s="3"/>
      <c r="XQ206" s="3"/>
      <c r="XR206" s="3"/>
      <c r="XS206" s="3"/>
      <c r="XT206" s="3"/>
      <c r="XU206" s="3"/>
      <c r="XV206" s="3"/>
      <c r="XW206" s="3"/>
      <c r="XX206" s="3"/>
      <c r="XY206" s="3"/>
      <c r="XZ206" s="3"/>
      <c r="YA206" s="3"/>
      <c r="YB206" s="3"/>
      <c r="YC206" s="3"/>
      <c r="YD206" s="3"/>
      <c r="YE206" s="3"/>
      <c r="YF206" s="3"/>
      <c r="YG206" s="3"/>
      <c r="YH206" s="3"/>
      <c r="YI206" s="3"/>
      <c r="YJ206" s="3"/>
      <c r="YK206" s="3"/>
      <c r="YL206" s="3"/>
      <c r="YM206" s="3"/>
      <c r="YN206" s="3"/>
      <c r="YO206" s="3"/>
      <c r="YP206" s="3"/>
      <c r="YQ206" s="3"/>
      <c r="YR206" s="3"/>
      <c r="YS206" s="3"/>
      <c r="YT206" s="3"/>
      <c r="YU206" s="3"/>
      <c r="YV206" s="3"/>
      <c r="YW206" s="3"/>
      <c r="YX206" s="3"/>
      <c r="YY206" s="3"/>
      <c r="YZ206" s="3"/>
      <c r="ZA206" s="3"/>
      <c r="ZB206" s="3"/>
      <c r="ZC206" s="3"/>
    </row>
    <row r="207" spans="1:679" s="2" customFormat="1" x14ac:dyDescent="0.45">
      <c r="A207" s="3" t="s">
        <v>11</v>
      </c>
      <c r="B207" s="4">
        <v>36187</v>
      </c>
      <c r="C207" s="7" t="s">
        <v>21</v>
      </c>
      <c r="D207" s="6" t="s">
        <v>223</v>
      </c>
      <c r="E207" s="3"/>
      <c r="F207" s="3">
        <v>29</v>
      </c>
      <c r="L207" s="3"/>
      <c r="M207" s="3"/>
      <c r="N207" s="48"/>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c r="DE207" s="3"/>
      <c r="DF207" s="3"/>
      <c r="DG207" s="3"/>
      <c r="DH207" s="3"/>
      <c r="DI207" s="3"/>
      <c r="DJ207" s="3"/>
      <c r="DK207" s="3"/>
      <c r="DL207" s="3"/>
      <c r="DM207" s="3"/>
      <c r="DN207" s="3"/>
      <c r="DO207" s="3"/>
      <c r="DP207" s="3"/>
      <c r="DQ207" s="3"/>
      <c r="DR207" s="3"/>
      <c r="DS207" s="3"/>
      <c r="DT207" s="3"/>
      <c r="DU207" s="3"/>
      <c r="DV207" s="3"/>
      <c r="DW207" s="3"/>
      <c r="DX207" s="3"/>
      <c r="DY207" s="3"/>
      <c r="DZ207" s="3"/>
      <c r="EA207" s="3"/>
      <c r="EB207" s="3"/>
      <c r="EC207" s="3"/>
      <c r="ED207" s="3"/>
      <c r="EE207" s="3"/>
      <c r="EF207" s="3"/>
      <c r="EG207" s="3"/>
      <c r="EH207" s="3"/>
      <c r="EI207" s="3"/>
      <c r="EJ207" s="3"/>
      <c r="EK207" s="3"/>
      <c r="EL207" s="3"/>
      <c r="EM207" s="3"/>
      <c r="EN207" s="3"/>
      <c r="EO207" s="3"/>
      <c r="EP207" s="3"/>
      <c r="EQ207" s="3"/>
      <c r="ER207" s="3"/>
      <c r="ES207" s="3"/>
      <c r="ET207" s="3"/>
      <c r="EU207" s="3"/>
      <c r="EV207" s="3"/>
      <c r="EW207" s="3"/>
      <c r="EX207" s="3"/>
      <c r="EY207" s="3"/>
      <c r="EZ207" s="3"/>
      <c r="FA207" s="3"/>
      <c r="FB207" s="3"/>
      <c r="FC207" s="3"/>
      <c r="FD207" s="3"/>
      <c r="FE207" s="3"/>
      <c r="FF207" s="3"/>
      <c r="FG207" s="3"/>
      <c r="FH207" s="3"/>
      <c r="FI207" s="3"/>
      <c r="FJ207" s="3"/>
      <c r="FK207" s="3"/>
      <c r="FL207" s="3"/>
      <c r="FM207" s="3"/>
      <c r="FN207" s="3"/>
      <c r="FO207" s="3"/>
      <c r="FP207" s="3"/>
      <c r="FQ207" s="3"/>
      <c r="FR207" s="3"/>
      <c r="FS207" s="3"/>
      <c r="FT207" s="3"/>
      <c r="FU207" s="3"/>
      <c r="FV207" s="3"/>
      <c r="FW207" s="3"/>
      <c r="FX207" s="3"/>
      <c r="FY207" s="3"/>
      <c r="FZ207" s="3"/>
      <c r="GA207" s="3"/>
      <c r="GB207" s="3"/>
      <c r="GC207" s="3"/>
      <c r="GD207" s="3"/>
      <c r="GE207" s="3"/>
      <c r="GF207" s="3"/>
      <c r="GG207" s="3"/>
      <c r="GH207" s="3"/>
      <c r="GI207" s="3"/>
      <c r="GJ207" s="3"/>
      <c r="GK207" s="3"/>
      <c r="GL207" s="3"/>
      <c r="GM207" s="3"/>
      <c r="GN207" s="3"/>
      <c r="GO207" s="3"/>
      <c r="GP207" s="3"/>
      <c r="GQ207" s="3"/>
      <c r="GR207" s="3"/>
      <c r="GS207" s="3"/>
      <c r="GT207" s="3"/>
      <c r="GU207" s="3"/>
      <c r="GV207" s="3"/>
      <c r="GW207" s="3"/>
      <c r="GX207" s="3"/>
      <c r="GY207" s="3"/>
      <c r="GZ207" s="3"/>
      <c r="HA207" s="3"/>
      <c r="HB207" s="3"/>
      <c r="HC207" s="3"/>
      <c r="HD207" s="3"/>
      <c r="HE207" s="3"/>
      <c r="HF207" s="3"/>
      <c r="HG207" s="3"/>
      <c r="HH207" s="3"/>
      <c r="HI207" s="3"/>
      <c r="HJ207" s="3"/>
      <c r="HK207" s="3"/>
      <c r="HL207" s="3"/>
      <c r="HM207" s="3"/>
      <c r="HN207" s="3"/>
      <c r="HO207" s="3"/>
      <c r="HP207" s="3"/>
      <c r="HQ207" s="3"/>
      <c r="HR207" s="3"/>
      <c r="HS207" s="3"/>
      <c r="HT207" s="3"/>
      <c r="HU207" s="3"/>
      <c r="HV207" s="3"/>
      <c r="HW207" s="3"/>
      <c r="HX207" s="3"/>
      <c r="HY207" s="3"/>
      <c r="HZ207" s="3"/>
      <c r="IA207" s="3"/>
      <c r="IB207" s="3"/>
      <c r="IC207" s="3"/>
      <c r="ID207" s="3"/>
      <c r="IE207" s="3"/>
      <c r="IF207" s="3"/>
      <c r="IG207" s="3"/>
      <c r="IH207" s="3"/>
      <c r="II207" s="3"/>
      <c r="IJ207" s="3"/>
      <c r="IK207" s="3"/>
      <c r="IL207" s="3"/>
      <c r="IM207" s="3"/>
      <c r="IN207" s="3"/>
      <c r="IO207" s="3"/>
      <c r="IP207" s="3"/>
      <c r="IQ207" s="3"/>
      <c r="IR207" s="3"/>
      <c r="IS207" s="3"/>
      <c r="IT207" s="3"/>
      <c r="IU207" s="3"/>
      <c r="IV207" s="3"/>
      <c r="IW207" s="3"/>
      <c r="IX207" s="3"/>
      <c r="IY207" s="3"/>
      <c r="IZ207" s="3"/>
      <c r="JA207" s="3"/>
      <c r="JB207" s="3"/>
      <c r="JC207" s="3"/>
      <c r="JD207" s="3"/>
      <c r="JE207" s="3"/>
      <c r="JF207" s="3"/>
      <c r="JG207" s="3"/>
      <c r="JH207" s="3"/>
      <c r="JI207" s="3"/>
      <c r="JJ207" s="3"/>
      <c r="JK207" s="3"/>
      <c r="JL207" s="3"/>
      <c r="JM207" s="3"/>
      <c r="JN207" s="3"/>
      <c r="JO207" s="3"/>
      <c r="JP207" s="3"/>
      <c r="JQ207" s="3"/>
      <c r="JR207" s="3"/>
      <c r="JS207" s="3"/>
      <c r="JT207" s="3"/>
      <c r="JU207" s="3"/>
      <c r="JV207" s="3"/>
      <c r="JW207" s="3"/>
      <c r="JX207" s="3"/>
      <c r="JY207" s="3"/>
      <c r="JZ207" s="3"/>
      <c r="KA207" s="3"/>
      <c r="KB207" s="3"/>
      <c r="KC207" s="3"/>
      <c r="KD207" s="3"/>
      <c r="KE207" s="3"/>
      <c r="KF207" s="3"/>
      <c r="KG207" s="3"/>
      <c r="KH207" s="3"/>
      <c r="KI207" s="3"/>
      <c r="KJ207" s="3"/>
      <c r="KK207" s="3"/>
      <c r="KL207" s="3"/>
      <c r="KM207" s="3"/>
      <c r="KN207" s="3"/>
      <c r="KO207" s="3"/>
      <c r="KP207" s="3"/>
      <c r="KQ207" s="3"/>
      <c r="KR207" s="3"/>
      <c r="KS207" s="3"/>
      <c r="KT207" s="3"/>
      <c r="KU207" s="3"/>
      <c r="KV207" s="3"/>
      <c r="KW207" s="3"/>
      <c r="KX207" s="3"/>
      <c r="KY207" s="3"/>
      <c r="KZ207" s="3"/>
      <c r="LA207" s="3"/>
      <c r="LB207" s="3"/>
      <c r="LC207" s="3"/>
      <c r="LD207" s="3"/>
      <c r="LE207" s="3"/>
      <c r="LF207" s="3"/>
      <c r="LG207" s="3"/>
      <c r="LH207" s="3"/>
      <c r="LI207" s="3"/>
      <c r="LJ207" s="3"/>
      <c r="LK207" s="3"/>
      <c r="LL207" s="3"/>
      <c r="LM207" s="3"/>
      <c r="LN207" s="3"/>
      <c r="LO207" s="3"/>
      <c r="LP207" s="3"/>
      <c r="LQ207" s="3"/>
      <c r="LR207" s="3"/>
      <c r="LS207" s="3"/>
      <c r="LT207" s="3"/>
      <c r="LU207" s="3"/>
      <c r="LV207" s="3"/>
      <c r="LW207" s="3"/>
      <c r="LX207" s="3"/>
      <c r="LY207" s="3"/>
      <c r="LZ207" s="3"/>
      <c r="MA207" s="3"/>
      <c r="MB207" s="3"/>
      <c r="MC207" s="3"/>
      <c r="MD207" s="3"/>
      <c r="ME207" s="3"/>
      <c r="MF207" s="3"/>
      <c r="MG207" s="3"/>
      <c r="MH207" s="3"/>
      <c r="MI207" s="3"/>
      <c r="MJ207" s="3"/>
      <c r="MK207" s="3"/>
      <c r="ML207" s="3"/>
      <c r="MM207" s="3"/>
      <c r="MN207" s="3"/>
      <c r="MO207" s="3"/>
      <c r="MP207" s="3"/>
      <c r="MQ207" s="3"/>
      <c r="MR207" s="3"/>
      <c r="MS207" s="3"/>
      <c r="MT207" s="3"/>
      <c r="MU207" s="3"/>
      <c r="MV207" s="3"/>
      <c r="MW207" s="3"/>
      <c r="MX207" s="3"/>
      <c r="MY207" s="3"/>
      <c r="MZ207" s="3"/>
      <c r="NA207" s="3"/>
      <c r="NB207" s="3"/>
      <c r="NC207" s="3"/>
      <c r="ND207" s="3"/>
      <c r="NE207" s="3"/>
      <c r="NF207" s="3"/>
      <c r="NG207" s="3"/>
      <c r="NH207" s="3"/>
      <c r="NI207" s="3"/>
      <c r="NJ207" s="3"/>
      <c r="NK207" s="3"/>
      <c r="NL207" s="3"/>
      <c r="NM207" s="3"/>
      <c r="NN207" s="3"/>
      <c r="NO207" s="3"/>
      <c r="NP207" s="3"/>
      <c r="NQ207" s="3"/>
      <c r="NR207" s="3"/>
      <c r="NS207" s="3"/>
      <c r="NT207" s="3"/>
      <c r="NU207" s="3"/>
      <c r="NV207" s="3"/>
      <c r="NW207" s="3"/>
      <c r="NX207" s="3"/>
      <c r="NY207" s="3"/>
      <c r="NZ207" s="3"/>
      <c r="OA207" s="3"/>
      <c r="OB207" s="3"/>
      <c r="OC207" s="3"/>
      <c r="OD207" s="3"/>
      <c r="OE207" s="3"/>
      <c r="OF207" s="3"/>
      <c r="OG207" s="3"/>
      <c r="OH207" s="3"/>
      <c r="OI207" s="3"/>
      <c r="OJ207" s="3"/>
      <c r="OK207" s="3"/>
      <c r="OL207" s="3"/>
      <c r="OM207" s="3"/>
      <c r="ON207" s="3"/>
      <c r="OO207" s="3"/>
      <c r="OP207" s="3"/>
      <c r="OQ207" s="3"/>
      <c r="OR207" s="3"/>
      <c r="OS207" s="3"/>
      <c r="OT207" s="3"/>
      <c r="OU207" s="3"/>
      <c r="OV207" s="3"/>
      <c r="OW207" s="3"/>
      <c r="OX207" s="3"/>
      <c r="OY207" s="3"/>
      <c r="OZ207" s="3"/>
      <c r="PA207" s="3"/>
      <c r="PB207" s="3"/>
      <c r="PC207" s="3"/>
      <c r="PD207" s="3"/>
      <c r="PE207" s="3"/>
      <c r="PF207" s="3"/>
      <c r="PG207" s="3"/>
      <c r="PH207" s="3"/>
      <c r="PI207" s="3"/>
      <c r="PJ207" s="3"/>
      <c r="PK207" s="3"/>
      <c r="PL207" s="3"/>
      <c r="PM207" s="3"/>
      <c r="PN207" s="3"/>
      <c r="PO207" s="3"/>
      <c r="PP207" s="3"/>
      <c r="PQ207" s="3"/>
      <c r="PR207" s="3"/>
      <c r="PS207" s="3"/>
      <c r="PT207" s="3"/>
      <c r="PU207" s="3"/>
      <c r="PV207" s="3"/>
      <c r="PW207" s="3"/>
      <c r="PX207" s="3"/>
      <c r="PY207" s="3"/>
      <c r="PZ207" s="3"/>
      <c r="QA207" s="3"/>
      <c r="QB207" s="3"/>
      <c r="QC207" s="3"/>
      <c r="QD207" s="3"/>
      <c r="QE207" s="3"/>
      <c r="QF207" s="3"/>
      <c r="QG207" s="3"/>
      <c r="QH207" s="3"/>
      <c r="QI207" s="3"/>
      <c r="QJ207" s="3"/>
      <c r="QK207" s="3"/>
      <c r="QL207" s="3"/>
      <c r="QM207" s="3"/>
      <c r="QN207" s="3"/>
      <c r="QO207" s="3"/>
      <c r="QP207" s="3"/>
      <c r="QQ207" s="3"/>
      <c r="QR207" s="3"/>
      <c r="QS207" s="3"/>
      <c r="QT207" s="3"/>
      <c r="QU207" s="3"/>
      <c r="QV207" s="3"/>
      <c r="QW207" s="3"/>
      <c r="QX207" s="3"/>
      <c r="QY207" s="3"/>
      <c r="QZ207" s="3"/>
      <c r="RA207" s="3"/>
      <c r="RB207" s="3"/>
      <c r="RC207" s="3"/>
      <c r="RD207" s="3"/>
      <c r="RE207" s="3"/>
      <c r="RF207" s="3"/>
      <c r="RG207" s="3"/>
      <c r="RH207" s="3"/>
      <c r="RI207" s="3"/>
      <c r="RJ207" s="3"/>
      <c r="RK207" s="3"/>
      <c r="RL207" s="3"/>
      <c r="RM207" s="3"/>
      <c r="RN207" s="3"/>
      <c r="RO207" s="3"/>
      <c r="RP207" s="3"/>
      <c r="RQ207" s="3"/>
      <c r="RR207" s="3"/>
      <c r="RS207" s="3"/>
      <c r="RT207" s="3"/>
      <c r="RU207" s="3"/>
      <c r="RV207" s="3"/>
      <c r="RW207" s="3"/>
      <c r="RX207" s="3"/>
      <c r="RY207" s="3"/>
      <c r="RZ207" s="3"/>
      <c r="SA207" s="3"/>
      <c r="SB207" s="3"/>
      <c r="SC207" s="3"/>
      <c r="SD207" s="3"/>
      <c r="SE207" s="3"/>
      <c r="SF207" s="3"/>
      <c r="SG207" s="3"/>
      <c r="SH207" s="3"/>
      <c r="SI207" s="3"/>
      <c r="SJ207" s="3"/>
      <c r="SK207" s="3"/>
      <c r="SL207" s="3"/>
      <c r="SM207" s="3"/>
      <c r="SN207" s="3"/>
      <c r="SO207" s="3"/>
      <c r="SP207" s="3"/>
      <c r="SQ207" s="3"/>
      <c r="SR207" s="3"/>
      <c r="SS207" s="3"/>
      <c r="ST207" s="3"/>
      <c r="SU207" s="3"/>
      <c r="SV207" s="3"/>
      <c r="SW207" s="3"/>
      <c r="SX207" s="3"/>
      <c r="SY207" s="3"/>
      <c r="SZ207" s="3"/>
      <c r="TA207" s="3"/>
      <c r="TB207" s="3"/>
      <c r="TC207" s="3"/>
      <c r="TD207" s="3"/>
      <c r="TE207" s="3"/>
      <c r="TF207" s="3"/>
      <c r="TG207" s="3"/>
      <c r="TH207" s="3"/>
      <c r="TI207" s="3"/>
      <c r="TJ207" s="3"/>
      <c r="TK207" s="3"/>
      <c r="TL207" s="3"/>
      <c r="TM207" s="3"/>
      <c r="TN207" s="3"/>
      <c r="TO207" s="3"/>
      <c r="TP207" s="3"/>
      <c r="TQ207" s="3"/>
      <c r="TR207" s="3"/>
      <c r="TS207" s="3"/>
      <c r="TT207" s="3"/>
      <c r="TU207" s="3"/>
      <c r="TV207" s="3"/>
      <c r="TW207" s="3"/>
      <c r="TX207" s="3"/>
      <c r="TY207" s="3"/>
      <c r="TZ207" s="3"/>
      <c r="UA207" s="3"/>
      <c r="UB207" s="3"/>
      <c r="UC207" s="3"/>
      <c r="UD207" s="3"/>
      <c r="UE207" s="3"/>
      <c r="UF207" s="3"/>
      <c r="UG207" s="3"/>
      <c r="UH207" s="3"/>
      <c r="UI207" s="3"/>
      <c r="UJ207" s="3"/>
      <c r="UK207" s="3"/>
      <c r="UL207" s="3"/>
      <c r="UM207" s="3"/>
      <c r="UN207" s="3"/>
      <c r="UO207" s="3"/>
      <c r="UP207" s="3"/>
      <c r="UQ207" s="3"/>
      <c r="UR207" s="3"/>
      <c r="US207" s="3"/>
      <c r="UT207" s="3"/>
      <c r="UU207" s="3"/>
      <c r="UV207" s="3"/>
      <c r="UW207" s="3"/>
      <c r="UX207" s="3"/>
      <c r="UY207" s="3"/>
      <c r="UZ207" s="3"/>
      <c r="VA207" s="3"/>
      <c r="VB207" s="3"/>
      <c r="VC207" s="3"/>
      <c r="VD207" s="3"/>
      <c r="VE207" s="3"/>
      <c r="VF207" s="3"/>
      <c r="VG207" s="3"/>
      <c r="VH207" s="3"/>
      <c r="VI207" s="3"/>
      <c r="VJ207" s="3"/>
      <c r="VK207" s="3"/>
      <c r="VL207" s="3"/>
      <c r="VM207" s="3"/>
      <c r="VN207" s="3"/>
      <c r="VO207" s="3"/>
      <c r="VP207" s="3"/>
      <c r="VQ207" s="3"/>
      <c r="VR207" s="3"/>
      <c r="VS207" s="3"/>
      <c r="VT207" s="3"/>
      <c r="VU207" s="3"/>
      <c r="VV207" s="3"/>
      <c r="VW207" s="3"/>
      <c r="VX207" s="3"/>
      <c r="VY207" s="3"/>
      <c r="VZ207" s="3"/>
      <c r="WA207" s="3"/>
      <c r="WB207" s="3"/>
      <c r="WC207" s="3"/>
      <c r="WD207" s="3"/>
      <c r="WE207" s="3"/>
      <c r="WF207" s="3"/>
      <c r="WG207" s="3"/>
      <c r="WH207" s="3"/>
      <c r="WI207" s="3"/>
      <c r="WJ207" s="3"/>
      <c r="WK207" s="3"/>
      <c r="WL207" s="3"/>
      <c r="WM207" s="3"/>
      <c r="WN207" s="3"/>
      <c r="WO207" s="3"/>
      <c r="WP207" s="3"/>
      <c r="WQ207" s="3"/>
      <c r="WR207" s="3"/>
      <c r="WS207" s="3"/>
      <c r="WT207" s="3"/>
      <c r="WU207" s="3"/>
      <c r="WV207" s="3"/>
      <c r="WW207" s="3"/>
      <c r="WX207" s="3"/>
      <c r="WY207" s="3"/>
      <c r="WZ207" s="3"/>
      <c r="XA207" s="3"/>
      <c r="XB207" s="3"/>
      <c r="XC207" s="3"/>
      <c r="XD207" s="3"/>
      <c r="XE207" s="3"/>
      <c r="XF207" s="3"/>
      <c r="XG207" s="3"/>
      <c r="XH207" s="3"/>
      <c r="XI207" s="3"/>
      <c r="XJ207" s="3"/>
      <c r="XK207" s="3"/>
      <c r="XL207" s="3"/>
      <c r="XM207" s="3"/>
      <c r="XN207" s="3"/>
      <c r="XO207" s="3"/>
      <c r="XP207" s="3"/>
      <c r="XQ207" s="3"/>
      <c r="XR207" s="3"/>
      <c r="XS207" s="3"/>
      <c r="XT207" s="3"/>
      <c r="XU207" s="3"/>
      <c r="XV207" s="3"/>
      <c r="XW207" s="3"/>
      <c r="XX207" s="3"/>
      <c r="XY207" s="3"/>
      <c r="XZ207" s="3"/>
      <c r="YA207" s="3"/>
      <c r="YB207" s="3"/>
      <c r="YC207" s="3"/>
      <c r="YD207" s="3"/>
      <c r="YE207" s="3"/>
      <c r="YF207" s="3"/>
      <c r="YG207" s="3"/>
      <c r="YH207" s="3"/>
      <c r="YI207" s="3"/>
      <c r="YJ207" s="3"/>
      <c r="YK207" s="3"/>
      <c r="YL207" s="3"/>
      <c r="YM207" s="3"/>
      <c r="YN207" s="3"/>
      <c r="YO207" s="3"/>
      <c r="YP207" s="3"/>
      <c r="YQ207" s="3"/>
      <c r="YR207" s="3"/>
      <c r="YS207" s="3"/>
      <c r="YT207" s="3"/>
      <c r="YU207" s="3"/>
      <c r="YV207" s="3"/>
      <c r="YW207" s="3"/>
      <c r="YX207" s="3"/>
      <c r="YY207" s="3"/>
      <c r="YZ207" s="3"/>
      <c r="ZA207" s="3"/>
      <c r="ZB207" s="3"/>
      <c r="ZC207" s="3"/>
    </row>
    <row r="208" spans="1:679" s="2" customFormat="1" x14ac:dyDescent="0.45">
      <c r="A208" s="3" t="s">
        <v>11</v>
      </c>
      <c r="B208" s="4">
        <v>36214</v>
      </c>
      <c r="C208" s="7" t="s">
        <v>21</v>
      </c>
      <c r="D208" s="6" t="s">
        <v>224</v>
      </c>
      <c r="E208" s="3"/>
      <c r="F208" s="3">
        <v>24</v>
      </c>
      <c r="L208" s="3"/>
      <c r="M208" s="3"/>
      <c r="N208" s="48"/>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3"/>
      <c r="DI208" s="3"/>
      <c r="DJ208" s="3"/>
      <c r="DK208" s="3"/>
      <c r="DL208" s="3"/>
      <c r="DM208" s="3"/>
      <c r="DN208" s="3"/>
      <c r="DO208" s="3"/>
      <c r="DP208" s="3"/>
      <c r="DQ208" s="3"/>
      <c r="DR208" s="3"/>
      <c r="DS208" s="3"/>
      <c r="DT208" s="3"/>
      <c r="DU208" s="3"/>
      <c r="DV208" s="3"/>
      <c r="DW208" s="3"/>
      <c r="DX208" s="3"/>
      <c r="DY208" s="3"/>
      <c r="DZ208" s="3"/>
      <c r="EA208" s="3"/>
      <c r="EB208" s="3"/>
      <c r="EC208" s="3"/>
      <c r="ED208" s="3"/>
      <c r="EE208" s="3"/>
      <c r="EF208" s="3"/>
      <c r="EG208" s="3"/>
      <c r="EH208" s="3"/>
      <c r="EI208" s="3"/>
      <c r="EJ208" s="3"/>
      <c r="EK208" s="3"/>
      <c r="EL208" s="3"/>
      <c r="EM208" s="3"/>
      <c r="EN208" s="3"/>
      <c r="EO208" s="3"/>
      <c r="EP208" s="3"/>
      <c r="EQ208" s="3"/>
      <c r="ER208" s="3"/>
      <c r="ES208" s="3"/>
      <c r="ET208" s="3"/>
      <c r="EU208" s="3"/>
      <c r="EV208" s="3"/>
      <c r="EW208" s="3"/>
      <c r="EX208" s="3"/>
      <c r="EY208" s="3"/>
      <c r="EZ208" s="3"/>
      <c r="FA208" s="3"/>
      <c r="FB208" s="3"/>
      <c r="FC208" s="3"/>
      <c r="FD208" s="3"/>
      <c r="FE208" s="3"/>
      <c r="FF208" s="3"/>
      <c r="FG208" s="3"/>
      <c r="FH208" s="3"/>
      <c r="FI208" s="3"/>
      <c r="FJ208" s="3"/>
      <c r="FK208" s="3"/>
      <c r="FL208" s="3"/>
      <c r="FM208" s="3"/>
      <c r="FN208" s="3"/>
      <c r="FO208" s="3"/>
      <c r="FP208" s="3"/>
      <c r="FQ208" s="3"/>
      <c r="FR208" s="3"/>
      <c r="FS208" s="3"/>
      <c r="FT208" s="3"/>
      <c r="FU208" s="3"/>
      <c r="FV208" s="3"/>
      <c r="FW208" s="3"/>
      <c r="FX208" s="3"/>
      <c r="FY208" s="3"/>
      <c r="FZ208" s="3"/>
      <c r="GA208" s="3"/>
      <c r="GB208" s="3"/>
      <c r="GC208" s="3"/>
      <c r="GD208" s="3"/>
      <c r="GE208" s="3"/>
      <c r="GF208" s="3"/>
      <c r="GG208" s="3"/>
      <c r="GH208" s="3"/>
      <c r="GI208" s="3"/>
      <c r="GJ208" s="3"/>
      <c r="GK208" s="3"/>
      <c r="GL208" s="3"/>
      <c r="GM208" s="3"/>
      <c r="GN208" s="3"/>
      <c r="GO208" s="3"/>
      <c r="GP208" s="3"/>
      <c r="GQ208" s="3"/>
      <c r="GR208" s="3"/>
      <c r="GS208" s="3"/>
      <c r="GT208" s="3"/>
      <c r="GU208" s="3"/>
      <c r="GV208" s="3"/>
      <c r="GW208" s="3"/>
      <c r="GX208" s="3"/>
      <c r="GY208" s="3"/>
      <c r="GZ208" s="3"/>
      <c r="HA208" s="3"/>
      <c r="HB208" s="3"/>
      <c r="HC208" s="3"/>
      <c r="HD208" s="3"/>
      <c r="HE208" s="3"/>
      <c r="HF208" s="3"/>
      <c r="HG208" s="3"/>
      <c r="HH208" s="3"/>
      <c r="HI208" s="3"/>
      <c r="HJ208" s="3"/>
      <c r="HK208" s="3"/>
      <c r="HL208" s="3"/>
      <c r="HM208" s="3"/>
      <c r="HN208" s="3"/>
      <c r="HO208" s="3"/>
      <c r="HP208" s="3"/>
      <c r="HQ208" s="3"/>
      <c r="HR208" s="3"/>
      <c r="HS208" s="3"/>
      <c r="HT208" s="3"/>
      <c r="HU208" s="3"/>
      <c r="HV208" s="3"/>
      <c r="HW208" s="3"/>
      <c r="HX208" s="3"/>
      <c r="HY208" s="3"/>
      <c r="HZ208" s="3"/>
      <c r="IA208" s="3"/>
      <c r="IB208" s="3"/>
      <c r="IC208" s="3"/>
      <c r="ID208" s="3"/>
      <c r="IE208" s="3"/>
      <c r="IF208" s="3"/>
      <c r="IG208" s="3"/>
      <c r="IH208" s="3"/>
      <c r="II208" s="3"/>
      <c r="IJ208" s="3"/>
      <c r="IK208" s="3"/>
      <c r="IL208" s="3"/>
      <c r="IM208" s="3"/>
      <c r="IN208" s="3"/>
      <c r="IO208" s="3"/>
      <c r="IP208" s="3"/>
      <c r="IQ208" s="3"/>
      <c r="IR208" s="3"/>
      <c r="IS208" s="3"/>
      <c r="IT208" s="3"/>
      <c r="IU208" s="3"/>
      <c r="IV208" s="3"/>
      <c r="IW208" s="3"/>
      <c r="IX208" s="3"/>
      <c r="IY208" s="3"/>
      <c r="IZ208" s="3"/>
      <c r="JA208" s="3"/>
      <c r="JB208" s="3"/>
      <c r="JC208" s="3"/>
      <c r="JD208" s="3"/>
      <c r="JE208" s="3"/>
      <c r="JF208" s="3"/>
      <c r="JG208" s="3"/>
      <c r="JH208" s="3"/>
      <c r="JI208" s="3"/>
      <c r="JJ208" s="3"/>
      <c r="JK208" s="3"/>
      <c r="JL208" s="3"/>
      <c r="JM208" s="3"/>
      <c r="JN208" s="3"/>
      <c r="JO208" s="3"/>
      <c r="JP208" s="3"/>
      <c r="JQ208" s="3"/>
      <c r="JR208" s="3"/>
      <c r="JS208" s="3"/>
      <c r="JT208" s="3"/>
      <c r="JU208" s="3"/>
      <c r="JV208" s="3"/>
      <c r="JW208" s="3"/>
      <c r="JX208" s="3"/>
      <c r="JY208" s="3"/>
      <c r="JZ208" s="3"/>
      <c r="KA208" s="3"/>
      <c r="KB208" s="3"/>
      <c r="KC208" s="3"/>
      <c r="KD208" s="3"/>
      <c r="KE208" s="3"/>
      <c r="KF208" s="3"/>
      <c r="KG208" s="3"/>
      <c r="KH208" s="3"/>
      <c r="KI208" s="3"/>
      <c r="KJ208" s="3"/>
      <c r="KK208" s="3"/>
      <c r="KL208" s="3"/>
      <c r="KM208" s="3"/>
      <c r="KN208" s="3"/>
      <c r="KO208" s="3"/>
      <c r="KP208" s="3"/>
      <c r="KQ208" s="3"/>
      <c r="KR208" s="3"/>
      <c r="KS208" s="3"/>
      <c r="KT208" s="3"/>
      <c r="KU208" s="3"/>
      <c r="KV208" s="3"/>
      <c r="KW208" s="3"/>
      <c r="KX208" s="3"/>
      <c r="KY208" s="3"/>
      <c r="KZ208" s="3"/>
      <c r="LA208" s="3"/>
      <c r="LB208" s="3"/>
      <c r="LC208" s="3"/>
      <c r="LD208" s="3"/>
      <c r="LE208" s="3"/>
      <c r="LF208" s="3"/>
      <c r="LG208" s="3"/>
      <c r="LH208" s="3"/>
      <c r="LI208" s="3"/>
      <c r="LJ208" s="3"/>
      <c r="LK208" s="3"/>
      <c r="LL208" s="3"/>
      <c r="LM208" s="3"/>
      <c r="LN208" s="3"/>
      <c r="LO208" s="3"/>
      <c r="LP208" s="3"/>
      <c r="LQ208" s="3"/>
      <c r="LR208" s="3"/>
      <c r="LS208" s="3"/>
      <c r="LT208" s="3"/>
      <c r="LU208" s="3"/>
      <c r="LV208" s="3"/>
      <c r="LW208" s="3"/>
      <c r="LX208" s="3"/>
      <c r="LY208" s="3"/>
      <c r="LZ208" s="3"/>
      <c r="MA208" s="3"/>
      <c r="MB208" s="3"/>
      <c r="MC208" s="3"/>
      <c r="MD208" s="3"/>
      <c r="ME208" s="3"/>
      <c r="MF208" s="3"/>
      <c r="MG208" s="3"/>
      <c r="MH208" s="3"/>
      <c r="MI208" s="3"/>
      <c r="MJ208" s="3"/>
      <c r="MK208" s="3"/>
      <c r="ML208" s="3"/>
      <c r="MM208" s="3"/>
      <c r="MN208" s="3"/>
      <c r="MO208" s="3"/>
      <c r="MP208" s="3"/>
      <c r="MQ208" s="3"/>
      <c r="MR208" s="3"/>
      <c r="MS208" s="3"/>
      <c r="MT208" s="3"/>
      <c r="MU208" s="3"/>
      <c r="MV208" s="3"/>
      <c r="MW208" s="3"/>
      <c r="MX208" s="3"/>
      <c r="MY208" s="3"/>
      <c r="MZ208" s="3"/>
      <c r="NA208" s="3"/>
      <c r="NB208" s="3"/>
      <c r="NC208" s="3"/>
      <c r="ND208" s="3"/>
      <c r="NE208" s="3"/>
      <c r="NF208" s="3"/>
      <c r="NG208" s="3"/>
      <c r="NH208" s="3"/>
      <c r="NI208" s="3"/>
      <c r="NJ208" s="3"/>
      <c r="NK208" s="3"/>
      <c r="NL208" s="3"/>
      <c r="NM208" s="3"/>
      <c r="NN208" s="3"/>
      <c r="NO208" s="3"/>
      <c r="NP208" s="3"/>
      <c r="NQ208" s="3"/>
      <c r="NR208" s="3"/>
      <c r="NS208" s="3"/>
      <c r="NT208" s="3"/>
      <c r="NU208" s="3"/>
      <c r="NV208" s="3"/>
      <c r="NW208" s="3"/>
      <c r="NX208" s="3"/>
      <c r="NY208" s="3"/>
      <c r="NZ208" s="3"/>
      <c r="OA208" s="3"/>
      <c r="OB208" s="3"/>
      <c r="OC208" s="3"/>
      <c r="OD208" s="3"/>
      <c r="OE208" s="3"/>
      <c r="OF208" s="3"/>
      <c r="OG208" s="3"/>
      <c r="OH208" s="3"/>
      <c r="OI208" s="3"/>
      <c r="OJ208" s="3"/>
      <c r="OK208" s="3"/>
      <c r="OL208" s="3"/>
      <c r="OM208" s="3"/>
      <c r="ON208" s="3"/>
      <c r="OO208" s="3"/>
      <c r="OP208" s="3"/>
      <c r="OQ208" s="3"/>
      <c r="OR208" s="3"/>
      <c r="OS208" s="3"/>
      <c r="OT208" s="3"/>
      <c r="OU208" s="3"/>
      <c r="OV208" s="3"/>
      <c r="OW208" s="3"/>
      <c r="OX208" s="3"/>
      <c r="OY208" s="3"/>
      <c r="OZ208" s="3"/>
      <c r="PA208" s="3"/>
      <c r="PB208" s="3"/>
      <c r="PC208" s="3"/>
      <c r="PD208" s="3"/>
      <c r="PE208" s="3"/>
      <c r="PF208" s="3"/>
      <c r="PG208" s="3"/>
      <c r="PH208" s="3"/>
      <c r="PI208" s="3"/>
      <c r="PJ208" s="3"/>
      <c r="PK208" s="3"/>
      <c r="PL208" s="3"/>
      <c r="PM208" s="3"/>
      <c r="PN208" s="3"/>
      <c r="PO208" s="3"/>
      <c r="PP208" s="3"/>
      <c r="PQ208" s="3"/>
      <c r="PR208" s="3"/>
      <c r="PS208" s="3"/>
      <c r="PT208" s="3"/>
      <c r="PU208" s="3"/>
      <c r="PV208" s="3"/>
      <c r="PW208" s="3"/>
      <c r="PX208" s="3"/>
      <c r="PY208" s="3"/>
      <c r="PZ208" s="3"/>
      <c r="QA208" s="3"/>
      <c r="QB208" s="3"/>
      <c r="QC208" s="3"/>
      <c r="QD208" s="3"/>
      <c r="QE208" s="3"/>
      <c r="QF208" s="3"/>
      <c r="QG208" s="3"/>
      <c r="QH208" s="3"/>
      <c r="QI208" s="3"/>
      <c r="QJ208" s="3"/>
      <c r="QK208" s="3"/>
      <c r="QL208" s="3"/>
      <c r="QM208" s="3"/>
      <c r="QN208" s="3"/>
      <c r="QO208" s="3"/>
      <c r="QP208" s="3"/>
      <c r="QQ208" s="3"/>
      <c r="QR208" s="3"/>
      <c r="QS208" s="3"/>
      <c r="QT208" s="3"/>
      <c r="QU208" s="3"/>
      <c r="QV208" s="3"/>
      <c r="QW208" s="3"/>
      <c r="QX208" s="3"/>
      <c r="QY208" s="3"/>
      <c r="QZ208" s="3"/>
      <c r="RA208" s="3"/>
      <c r="RB208" s="3"/>
      <c r="RC208" s="3"/>
      <c r="RD208" s="3"/>
      <c r="RE208" s="3"/>
      <c r="RF208" s="3"/>
      <c r="RG208" s="3"/>
      <c r="RH208" s="3"/>
      <c r="RI208" s="3"/>
      <c r="RJ208" s="3"/>
      <c r="RK208" s="3"/>
      <c r="RL208" s="3"/>
      <c r="RM208" s="3"/>
      <c r="RN208" s="3"/>
      <c r="RO208" s="3"/>
      <c r="RP208" s="3"/>
      <c r="RQ208" s="3"/>
      <c r="RR208" s="3"/>
      <c r="RS208" s="3"/>
      <c r="RT208" s="3"/>
      <c r="RU208" s="3"/>
      <c r="RV208" s="3"/>
      <c r="RW208" s="3"/>
      <c r="RX208" s="3"/>
      <c r="RY208" s="3"/>
      <c r="RZ208" s="3"/>
      <c r="SA208" s="3"/>
      <c r="SB208" s="3"/>
      <c r="SC208" s="3"/>
      <c r="SD208" s="3"/>
      <c r="SE208" s="3"/>
      <c r="SF208" s="3"/>
      <c r="SG208" s="3"/>
      <c r="SH208" s="3"/>
      <c r="SI208" s="3"/>
      <c r="SJ208" s="3"/>
      <c r="SK208" s="3"/>
      <c r="SL208" s="3"/>
      <c r="SM208" s="3"/>
      <c r="SN208" s="3"/>
      <c r="SO208" s="3"/>
      <c r="SP208" s="3"/>
      <c r="SQ208" s="3"/>
      <c r="SR208" s="3"/>
      <c r="SS208" s="3"/>
      <c r="ST208" s="3"/>
      <c r="SU208" s="3"/>
      <c r="SV208" s="3"/>
      <c r="SW208" s="3"/>
      <c r="SX208" s="3"/>
      <c r="SY208" s="3"/>
      <c r="SZ208" s="3"/>
      <c r="TA208" s="3"/>
      <c r="TB208" s="3"/>
      <c r="TC208" s="3"/>
      <c r="TD208" s="3"/>
      <c r="TE208" s="3"/>
      <c r="TF208" s="3"/>
      <c r="TG208" s="3"/>
      <c r="TH208" s="3"/>
      <c r="TI208" s="3"/>
      <c r="TJ208" s="3"/>
      <c r="TK208" s="3"/>
      <c r="TL208" s="3"/>
      <c r="TM208" s="3"/>
      <c r="TN208" s="3"/>
      <c r="TO208" s="3"/>
      <c r="TP208" s="3"/>
      <c r="TQ208" s="3"/>
      <c r="TR208" s="3"/>
      <c r="TS208" s="3"/>
      <c r="TT208" s="3"/>
      <c r="TU208" s="3"/>
      <c r="TV208" s="3"/>
      <c r="TW208" s="3"/>
      <c r="TX208" s="3"/>
      <c r="TY208" s="3"/>
      <c r="TZ208" s="3"/>
      <c r="UA208" s="3"/>
      <c r="UB208" s="3"/>
      <c r="UC208" s="3"/>
      <c r="UD208" s="3"/>
      <c r="UE208" s="3"/>
      <c r="UF208" s="3"/>
      <c r="UG208" s="3"/>
      <c r="UH208" s="3"/>
      <c r="UI208" s="3"/>
      <c r="UJ208" s="3"/>
      <c r="UK208" s="3"/>
      <c r="UL208" s="3"/>
      <c r="UM208" s="3"/>
      <c r="UN208" s="3"/>
      <c r="UO208" s="3"/>
      <c r="UP208" s="3"/>
      <c r="UQ208" s="3"/>
      <c r="UR208" s="3"/>
      <c r="US208" s="3"/>
      <c r="UT208" s="3"/>
      <c r="UU208" s="3"/>
      <c r="UV208" s="3"/>
      <c r="UW208" s="3"/>
      <c r="UX208" s="3"/>
      <c r="UY208" s="3"/>
      <c r="UZ208" s="3"/>
      <c r="VA208" s="3"/>
      <c r="VB208" s="3"/>
      <c r="VC208" s="3"/>
      <c r="VD208" s="3"/>
      <c r="VE208" s="3"/>
      <c r="VF208" s="3"/>
      <c r="VG208" s="3"/>
      <c r="VH208" s="3"/>
      <c r="VI208" s="3"/>
      <c r="VJ208" s="3"/>
      <c r="VK208" s="3"/>
      <c r="VL208" s="3"/>
      <c r="VM208" s="3"/>
      <c r="VN208" s="3"/>
      <c r="VO208" s="3"/>
      <c r="VP208" s="3"/>
      <c r="VQ208" s="3"/>
      <c r="VR208" s="3"/>
      <c r="VS208" s="3"/>
      <c r="VT208" s="3"/>
      <c r="VU208" s="3"/>
      <c r="VV208" s="3"/>
      <c r="VW208" s="3"/>
      <c r="VX208" s="3"/>
      <c r="VY208" s="3"/>
      <c r="VZ208" s="3"/>
      <c r="WA208" s="3"/>
      <c r="WB208" s="3"/>
      <c r="WC208" s="3"/>
      <c r="WD208" s="3"/>
      <c r="WE208" s="3"/>
      <c r="WF208" s="3"/>
      <c r="WG208" s="3"/>
      <c r="WH208" s="3"/>
      <c r="WI208" s="3"/>
      <c r="WJ208" s="3"/>
      <c r="WK208" s="3"/>
      <c r="WL208" s="3"/>
      <c r="WM208" s="3"/>
      <c r="WN208" s="3"/>
      <c r="WO208" s="3"/>
      <c r="WP208" s="3"/>
      <c r="WQ208" s="3"/>
      <c r="WR208" s="3"/>
      <c r="WS208" s="3"/>
      <c r="WT208" s="3"/>
      <c r="WU208" s="3"/>
      <c r="WV208" s="3"/>
      <c r="WW208" s="3"/>
      <c r="WX208" s="3"/>
      <c r="WY208" s="3"/>
      <c r="WZ208" s="3"/>
      <c r="XA208" s="3"/>
      <c r="XB208" s="3"/>
      <c r="XC208" s="3"/>
      <c r="XD208" s="3"/>
      <c r="XE208" s="3"/>
      <c r="XF208" s="3"/>
      <c r="XG208" s="3"/>
      <c r="XH208" s="3"/>
      <c r="XI208" s="3"/>
      <c r="XJ208" s="3"/>
      <c r="XK208" s="3"/>
      <c r="XL208" s="3"/>
      <c r="XM208" s="3"/>
      <c r="XN208" s="3"/>
      <c r="XO208" s="3"/>
      <c r="XP208" s="3"/>
      <c r="XQ208" s="3"/>
      <c r="XR208" s="3"/>
      <c r="XS208" s="3"/>
      <c r="XT208" s="3"/>
      <c r="XU208" s="3"/>
      <c r="XV208" s="3"/>
      <c r="XW208" s="3"/>
      <c r="XX208" s="3"/>
      <c r="XY208" s="3"/>
      <c r="XZ208" s="3"/>
      <c r="YA208" s="3"/>
      <c r="YB208" s="3"/>
      <c r="YC208" s="3"/>
      <c r="YD208" s="3"/>
      <c r="YE208" s="3"/>
      <c r="YF208" s="3"/>
      <c r="YG208" s="3"/>
      <c r="YH208" s="3"/>
      <c r="YI208" s="3"/>
      <c r="YJ208" s="3"/>
      <c r="YK208" s="3"/>
      <c r="YL208" s="3"/>
      <c r="YM208" s="3"/>
      <c r="YN208" s="3"/>
      <c r="YO208" s="3"/>
      <c r="YP208" s="3"/>
      <c r="YQ208" s="3"/>
      <c r="YR208" s="3"/>
      <c r="YS208" s="3"/>
      <c r="YT208" s="3"/>
      <c r="YU208" s="3"/>
      <c r="YV208" s="3"/>
      <c r="YW208" s="3"/>
      <c r="YX208" s="3"/>
      <c r="YY208" s="3"/>
      <c r="YZ208" s="3"/>
      <c r="ZA208" s="3"/>
      <c r="ZB208" s="3"/>
      <c r="ZC208" s="3"/>
    </row>
    <row r="209" spans="1:679" s="2" customFormat="1" x14ac:dyDescent="0.45">
      <c r="A209" s="3" t="s">
        <v>11</v>
      </c>
      <c r="B209" s="4">
        <v>36224</v>
      </c>
      <c r="C209" s="7" t="s">
        <v>21</v>
      </c>
      <c r="D209" s="6" t="s">
        <v>225</v>
      </c>
      <c r="E209" s="3"/>
      <c r="F209" s="3">
        <v>4</v>
      </c>
      <c r="L209" s="3"/>
      <c r="M209" s="3"/>
      <c r="N209" s="48"/>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c r="CW209" s="3"/>
      <c r="CX209" s="3"/>
      <c r="CY209" s="3"/>
      <c r="CZ209" s="3"/>
      <c r="DA209" s="3"/>
      <c r="DB209" s="3"/>
      <c r="DC209" s="3"/>
      <c r="DD209" s="3"/>
      <c r="DE209" s="3"/>
      <c r="DF209" s="3"/>
      <c r="DG209" s="3"/>
      <c r="DH209" s="3"/>
      <c r="DI209" s="3"/>
      <c r="DJ209" s="3"/>
      <c r="DK209" s="3"/>
      <c r="DL209" s="3"/>
      <c r="DM209" s="3"/>
      <c r="DN209" s="3"/>
      <c r="DO209" s="3"/>
      <c r="DP209" s="3"/>
      <c r="DQ209" s="3"/>
      <c r="DR209" s="3"/>
      <c r="DS209" s="3"/>
      <c r="DT209" s="3"/>
      <c r="DU209" s="3"/>
      <c r="DV209" s="3"/>
      <c r="DW209" s="3"/>
      <c r="DX209" s="3"/>
      <c r="DY209" s="3"/>
      <c r="DZ209" s="3"/>
      <c r="EA209" s="3"/>
      <c r="EB209" s="3"/>
      <c r="EC209" s="3"/>
      <c r="ED209" s="3"/>
      <c r="EE209" s="3"/>
      <c r="EF209" s="3"/>
      <c r="EG209" s="3"/>
      <c r="EH209" s="3"/>
      <c r="EI209" s="3"/>
      <c r="EJ209" s="3"/>
      <c r="EK209" s="3"/>
      <c r="EL209" s="3"/>
      <c r="EM209" s="3"/>
      <c r="EN209" s="3"/>
      <c r="EO209" s="3"/>
      <c r="EP209" s="3"/>
      <c r="EQ209" s="3"/>
      <c r="ER209" s="3"/>
      <c r="ES209" s="3"/>
      <c r="ET209" s="3"/>
      <c r="EU209" s="3"/>
      <c r="EV209" s="3"/>
      <c r="EW209" s="3"/>
      <c r="EX209" s="3"/>
      <c r="EY209" s="3"/>
      <c r="EZ209" s="3"/>
      <c r="FA209" s="3"/>
      <c r="FB209" s="3"/>
      <c r="FC209" s="3"/>
      <c r="FD209" s="3"/>
      <c r="FE209" s="3"/>
      <c r="FF209" s="3"/>
      <c r="FG209" s="3"/>
      <c r="FH209" s="3"/>
      <c r="FI209" s="3"/>
      <c r="FJ209" s="3"/>
      <c r="FK209" s="3"/>
      <c r="FL209" s="3"/>
      <c r="FM209" s="3"/>
      <c r="FN209" s="3"/>
      <c r="FO209" s="3"/>
      <c r="FP209" s="3"/>
      <c r="FQ209" s="3"/>
      <c r="FR209" s="3"/>
      <c r="FS209" s="3"/>
      <c r="FT209" s="3"/>
      <c r="FU209" s="3"/>
      <c r="FV209" s="3"/>
      <c r="FW209" s="3"/>
      <c r="FX209" s="3"/>
      <c r="FY209" s="3"/>
      <c r="FZ209" s="3"/>
      <c r="GA209" s="3"/>
      <c r="GB209" s="3"/>
      <c r="GC209" s="3"/>
      <c r="GD209" s="3"/>
      <c r="GE209" s="3"/>
      <c r="GF209" s="3"/>
      <c r="GG209" s="3"/>
      <c r="GH209" s="3"/>
      <c r="GI209" s="3"/>
      <c r="GJ209" s="3"/>
      <c r="GK209" s="3"/>
      <c r="GL209" s="3"/>
      <c r="GM209" s="3"/>
      <c r="GN209" s="3"/>
      <c r="GO209" s="3"/>
      <c r="GP209" s="3"/>
      <c r="GQ209" s="3"/>
      <c r="GR209" s="3"/>
      <c r="GS209" s="3"/>
      <c r="GT209" s="3"/>
      <c r="GU209" s="3"/>
      <c r="GV209" s="3"/>
      <c r="GW209" s="3"/>
      <c r="GX209" s="3"/>
      <c r="GY209" s="3"/>
      <c r="GZ209" s="3"/>
      <c r="HA209" s="3"/>
      <c r="HB209" s="3"/>
      <c r="HC209" s="3"/>
      <c r="HD209" s="3"/>
      <c r="HE209" s="3"/>
      <c r="HF209" s="3"/>
      <c r="HG209" s="3"/>
      <c r="HH209" s="3"/>
      <c r="HI209" s="3"/>
      <c r="HJ209" s="3"/>
      <c r="HK209" s="3"/>
      <c r="HL209" s="3"/>
      <c r="HM209" s="3"/>
      <c r="HN209" s="3"/>
      <c r="HO209" s="3"/>
      <c r="HP209" s="3"/>
      <c r="HQ209" s="3"/>
      <c r="HR209" s="3"/>
      <c r="HS209" s="3"/>
      <c r="HT209" s="3"/>
      <c r="HU209" s="3"/>
      <c r="HV209" s="3"/>
      <c r="HW209" s="3"/>
      <c r="HX209" s="3"/>
      <c r="HY209" s="3"/>
      <c r="HZ209" s="3"/>
      <c r="IA209" s="3"/>
      <c r="IB209" s="3"/>
      <c r="IC209" s="3"/>
      <c r="ID209" s="3"/>
      <c r="IE209" s="3"/>
      <c r="IF209" s="3"/>
      <c r="IG209" s="3"/>
      <c r="IH209" s="3"/>
      <c r="II209" s="3"/>
      <c r="IJ209" s="3"/>
      <c r="IK209" s="3"/>
      <c r="IL209" s="3"/>
      <c r="IM209" s="3"/>
      <c r="IN209" s="3"/>
      <c r="IO209" s="3"/>
      <c r="IP209" s="3"/>
      <c r="IQ209" s="3"/>
      <c r="IR209" s="3"/>
      <c r="IS209" s="3"/>
      <c r="IT209" s="3"/>
      <c r="IU209" s="3"/>
      <c r="IV209" s="3"/>
      <c r="IW209" s="3"/>
      <c r="IX209" s="3"/>
      <c r="IY209" s="3"/>
      <c r="IZ209" s="3"/>
      <c r="JA209" s="3"/>
      <c r="JB209" s="3"/>
      <c r="JC209" s="3"/>
      <c r="JD209" s="3"/>
      <c r="JE209" s="3"/>
      <c r="JF209" s="3"/>
      <c r="JG209" s="3"/>
      <c r="JH209" s="3"/>
      <c r="JI209" s="3"/>
      <c r="JJ209" s="3"/>
      <c r="JK209" s="3"/>
      <c r="JL209" s="3"/>
      <c r="JM209" s="3"/>
      <c r="JN209" s="3"/>
      <c r="JO209" s="3"/>
      <c r="JP209" s="3"/>
      <c r="JQ209" s="3"/>
      <c r="JR209" s="3"/>
      <c r="JS209" s="3"/>
      <c r="JT209" s="3"/>
      <c r="JU209" s="3"/>
      <c r="JV209" s="3"/>
      <c r="JW209" s="3"/>
      <c r="JX209" s="3"/>
      <c r="JY209" s="3"/>
      <c r="JZ209" s="3"/>
      <c r="KA209" s="3"/>
      <c r="KB209" s="3"/>
      <c r="KC209" s="3"/>
      <c r="KD209" s="3"/>
      <c r="KE209" s="3"/>
      <c r="KF209" s="3"/>
      <c r="KG209" s="3"/>
      <c r="KH209" s="3"/>
      <c r="KI209" s="3"/>
      <c r="KJ209" s="3"/>
      <c r="KK209" s="3"/>
      <c r="KL209" s="3"/>
      <c r="KM209" s="3"/>
      <c r="KN209" s="3"/>
      <c r="KO209" s="3"/>
      <c r="KP209" s="3"/>
      <c r="KQ209" s="3"/>
      <c r="KR209" s="3"/>
      <c r="KS209" s="3"/>
      <c r="KT209" s="3"/>
      <c r="KU209" s="3"/>
      <c r="KV209" s="3"/>
      <c r="KW209" s="3"/>
      <c r="KX209" s="3"/>
      <c r="KY209" s="3"/>
      <c r="KZ209" s="3"/>
      <c r="LA209" s="3"/>
      <c r="LB209" s="3"/>
      <c r="LC209" s="3"/>
      <c r="LD209" s="3"/>
      <c r="LE209" s="3"/>
      <c r="LF209" s="3"/>
      <c r="LG209" s="3"/>
      <c r="LH209" s="3"/>
      <c r="LI209" s="3"/>
      <c r="LJ209" s="3"/>
      <c r="LK209" s="3"/>
      <c r="LL209" s="3"/>
      <c r="LM209" s="3"/>
      <c r="LN209" s="3"/>
      <c r="LO209" s="3"/>
      <c r="LP209" s="3"/>
      <c r="LQ209" s="3"/>
      <c r="LR209" s="3"/>
      <c r="LS209" s="3"/>
      <c r="LT209" s="3"/>
      <c r="LU209" s="3"/>
      <c r="LV209" s="3"/>
      <c r="LW209" s="3"/>
      <c r="LX209" s="3"/>
      <c r="LY209" s="3"/>
      <c r="LZ209" s="3"/>
      <c r="MA209" s="3"/>
      <c r="MB209" s="3"/>
      <c r="MC209" s="3"/>
      <c r="MD209" s="3"/>
      <c r="ME209" s="3"/>
      <c r="MF209" s="3"/>
      <c r="MG209" s="3"/>
      <c r="MH209" s="3"/>
      <c r="MI209" s="3"/>
      <c r="MJ209" s="3"/>
      <c r="MK209" s="3"/>
      <c r="ML209" s="3"/>
      <c r="MM209" s="3"/>
      <c r="MN209" s="3"/>
      <c r="MO209" s="3"/>
      <c r="MP209" s="3"/>
      <c r="MQ209" s="3"/>
      <c r="MR209" s="3"/>
      <c r="MS209" s="3"/>
      <c r="MT209" s="3"/>
      <c r="MU209" s="3"/>
      <c r="MV209" s="3"/>
      <c r="MW209" s="3"/>
      <c r="MX209" s="3"/>
      <c r="MY209" s="3"/>
      <c r="MZ209" s="3"/>
      <c r="NA209" s="3"/>
      <c r="NB209" s="3"/>
      <c r="NC209" s="3"/>
      <c r="ND209" s="3"/>
      <c r="NE209" s="3"/>
      <c r="NF209" s="3"/>
      <c r="NG209" s="3"/>
      <c r="NH209" s="3"/>
      <c r="NI209" s="3"/>
      <c r="NJ209" s="3"/>
      <c r="NK209" s="3"/>
      <c r="NL209" s="3"/>
      <c r="NM209" s="3"/>
      <c r="NN209" s="3"/>
      <c r="NO209" s="3"/>
      <c r="NP209" s="3"/>
      <c r="NQ209" s="3"/>
      <c r="NR209" s="3"/>
      <c r="NS209" s="3"/>
      <c r="NT209" s="3"/>
      <c r="NU209" s="3"/>
      <c r="NV209" s="3"/>
      <c r="NW209" s="3"/>
      <c r="NX209" s="3"/>
      <c r="NY209" s="3"/>
      <c r="NZ209" s="3"/>
      <c r="OA209" s="3"/>
      <c r="OB209" s="3"/>
      <c r="OC209" s="3"/>
      <c r="OD209" s="3"/>
      <c r="OE209" s="3"/>
      <c r="OF209" s="3"/>
      <c r="OG209" s="3"/>
      <c r="OH209" s="3"/>
      <c r="OI209" s="3"/>
      <c r="OJ209" s="3"/>
      <c r="OK209" s="3"/>
      <c r="OL209" s="3"/>
      <c r="OM209" s="3"/>
      <c r="ON209" s="3"/>
      <c r="OO209" s="3"/>
      <c r="OP209" s="3"/>
      <c r="OQ209" s="3"/>
      <c r="OR209" s="3"/>
      <c r="OS209" s="3"/>
      <c r="OT209" s="3"/>
      <c r="OU209" s="3"/>
      <c r="OV209" s="3"/>
      <c r="OW209" s="3"/>
      <c r="OX209" s="3"/>
      <c r="OY209" s="3"/>
      <c r="OZ209" s="3"/>
      <c r="PA209" s="3"/>
      <c r="PB209" s="3"/>
      <c r="PC209" s="3"/>
      <c r="PD209" s="3"/>
      <c r="PE209" s="3"/>
      <c r="PF209" s="3"/>
      <c r="PG209" s="3"/>
      <c r="PH209" s="3"/>
      <c r="PI209" s="3"/>
      <c r="PJ209" s="3"/>
      <c r="PK209" s="3"/>
      <c r="PL209" s="3"/>
      <c r="PM209" s="3"/>
      <c r="PN209" s="3"/>
      <c r="PO209" s="3"/>
      <c r="PP209" s="3"/>
      <c r="PQ209" s="3"/>
      <c r="PR209" s="3"/>
      <c r="PS209" s="3"/>
      <c r="PT209" s="3"/>
      <c r="PU209" s="3"/>
      <c r="PV209" s="3"/>
      <c r="PW209" s="3"/>
      <c r="PX209" s="3"/>
      <c r="PY209" s="3"/>
      <c r="PZ209" s="3"/>
      <c r="QA209" s="3"/>
      <c r="QB209" s="3"/>
      <c r="QC209" s="3"/>
      <c r="QD209" s="3"/>
      <c r="QE209" s="3"/>
      <c r="QF209" s="3"/>
      <c r="QG209" s="3"/>
      <c r="QH209" s="3"/>
      <c r="QI209" s="3"/>
      <c r="QJ209" s="3"/>
      <c r="QK209" s="3"/>
      <c r="QL209" s="3"/>
      <c r="QM209" s="3"/>
      <c r="QN209" s="3"/>
      <c r="QO209" s="3"/>
      <c r="QP209" s="3"/>
      <c r="QQ209" s="3"/>
      <c r="QR209" s="3"/>
      <c r="QS209" s="3"/>
      <c r="QT209" s="3"/>
      <c r="QU209" s="3"/>
      <c r="QV209" s="3"/>
      <c r="QW209" s="3"/>
      <c r="QX209" s="3"/>
      <c r="QY209" s="3"/>
      <c r="QZ209" s="3"/>
      <c r="RA209" s="3"/>
      <c r="RB209" s="3"/>
      <c r="RC209" s="3"/>
      <c r="RD209" s="3"/>
      <c r="RE209" s="3"/>
      <c r="RF209" s="3"/>
      <c r="RG209" s="3"/>
      <c r="RH209" s="3"/>
      <c r="RI209" s="3"/>
      <c r="RJ209" s="3"/>
      <c r="RK209" s="3"/>
      <c r="RL209" s="3"/>
      <c r="RM209" s="3"/>
      <c r="RN209" s="3"/>
      <c r="RO209" s="3"/>
      <c r="RP209" s="3"/>
      <c r="RQ209" s="3"/>
      <c r="RR209" s="3"/>
      <c r="RS209" s="3"/>
      <c r="RT209" s="3"/>
      <c r="RU209" s="3"/>
      <c r="RV209" s="3"/>
      <c r="RW209" s="3"/>
      <c r="RX209" s="3"/>
      <c r="RY209" s="3"/>
      <c r="RZ209" s="3"/>
      <c r="SA209" s="3"/>
      <c r="SB209" s="3"/>
      <c r="SC209" s="3"/>
      <c r="SD209" s="3"/>
      <c r="SE209" s="3"/>
      <c r="SF209" s="3"/>
      <c r="SG209" s="3"/>
      <c r="SH209" s="3"/>
      <c r="SI209" s="3"/>
      <c r="SJ209" s="3"/>
      <c r="SK209" s="3"/>
      <c r="SL209" s="3"/>
      <c r="SM209" s="3"/>
      <c r="SN209" s="3"/>
      <c r="SO209" s="3"/>
      <c r="SP209" s="3"/>
      <c r="SQ209" s="3"/>
      <c r="SR209" s="3"/>
      <c r="SS209" s="3"/>
      <c r="ST209" s="3"/>
      <c r="SU209" s="3"/>
      <c r="SV209" s="3"/>
      <c r="SW209" s="3"/>
      <c r="SX209" s="3"/>
      <c r="SY209" s="3"/>
      <c r="SZ209" s="3"/>
      <c r="TA209" s="3"/>
      <c r="TB209" s="3"/>
      <c r="TC209" s="3"/>
      <c r="TD209" s="3"/>
      <c r="TE209" s="3"/>
      <c r="TF209" s="3"/>
      <c r="TG209" s="3"/>
      <c r="TH209" s="3"/>
      <c r="TI209" s="3"/>
      <c r="TJ209" s="3"/>
      <c r="TK209" s="3"/>
      <c r="TL209" s="3"/>
      <c r="TM209" s="3"/>
      <c r="TN209" s="3"/>
      <c r="TO209" s="3"/>
      <c r="TP209" s="3"/>
      <c r="TQ209" s="3"/>
      <c r="TR209" s="3"/>
      <c r="TS209" s="3"/>
      <c r="TT209" s="3"/>
      <c r="TU209" s="3"/>
      <c r="TV209" s="3"/>
      <c r="TW209" s="3"/>
      <c r="TX209" s="3"/>
      <c r="TY209" s="3"/>
      <c r="TZ209" s="3"/>
      <c r="UA209" s="3"/>
      <c r="UB209" s="3"/>
      <c r="UC209" s="3"/>
      <c r="UD209" s="3"/>
      <c r="UE209" s="3"/>
      <c r="UF209" s="3"/>
      <c r="UG209" s="3"/>
      <c r="UH209" s="3"/>
      <c r="UI209" s="3"/>
      <c r="UJ209" s="3"/>
      <c r="UK209" s="3"/>
      <c r="UL209" s="3"/>
      <c r="UM209" s="3"/>
      <c r="UN209" s="3"/>
      <c r="UO209" s="3"/>
      <c r="UP209" s="3"/>
      <c r="UQ209" s="3"/>
      <c r="UR209" s="3"/>
      <c r="US209" s="3"/>
      <c r="UT209" s="3"/>
      <c r="UU209" s="3"/>
      <c r="UV209" s="3"/>
      <c r="UW209" s="3"/>
      <c r="UX209" s="3"/>
      <c r="UY209" s="3"/>
      <c r="UZ209" s="3"/>
      <c r="VA209" s="3"/>
      <c r="VB209" s="3"/>
      <c r="VC209" s="3"/>
      <c r="VD209" s="3"/>
      <c r="VE209" s="3"/>
      <c r="VF209" s="3"/>
      <c r="VG209" s="3"/>
      <c r="VH209" s="3"/>
      <c r="VI209" s="3"/>
      <c r="VJ209" s="3"/>
      <c r="VK209" s="3"/>
      <c r="VL209" s="3"/>
      <c r="VM209" s="3"/>
      <c r="VN209" s="3"/>
      <c r="VO209" s="3"/>
      <c r="VP209" s="3"/>
      <c r="VQ209" s="3"/>
      <c r="VR209" s="3"/>
      <c r="VS209" s="3"/>
      <c r="VT209" s="3"/>
      <c r="VU209" s="3"/>
      <c r="VV209" s="3"/>
      <c r="VW209" s="3"/>
      <c r="VX209" s="3"/>
      <c r="VY209" s="3"/>
      <c r="VZ209" s="3"/>
      <c r="WA209" s="3"/>
      <c r="WB209" s="3"/>
      <c r="WC209" s="3"/>
      <c r="WD209" s="3"/>
      <c r="WE209" s="3"/>
      <c r="WF209" s="3"/>
      <c r="WG209" s="3"/>
      <c r="WH209" s="3"/>
      <c r="WI209" s="3"/>
      <c r="WJ209" s="3"/>
      <c r="WK209" s="3"/>
      <c r="WL209" s="3"/>
      <c r="WM209" s="3"/>
      <c r="WN209" s="3"/>
      <c r="WO209" s="3"/>
      <c r="WP209" s="3"/>
      <c r="WQ209" s="3"/>
      <c r="WR209" s="3"/>
      <c r="WS209" s="3"/>
      <c r="WT209" s="3"/>
      <c r="WU209" s="3"/>
      <c r="WV209" s="3"/>
      <c r="WW209" s="3"/>
      <c r="WX209" s="3"/>
      <c r="WY209" s="3"/>
      <c r="WZ209" s="3"/>
      <c r="XA209" s="3"/>
      <c r="XB209" s="3"/>
      <c r="XC209" s="3"/>
      <c r="XD209" s="3"/>
      <c r="XE209" s="3"/>
      <c r="XF209" s="3"/>
      <c r="XG209" s="3"/>
      <c r="XH209" s="3"/>
      <c r="XI209" s="3"/>
      <c r="XJ209" s="3"/>
      <c r="XK209" s="3"/>
      <c r="XL209" s="3"/>
      <c r="XM209" s="3"/>
      <c r="XN209" s="3"/>
      <c r="XO209" s="3"/>
      <c r="XP209" s="3"/>
      <c r="XQ209" s="3"/>
      <c r="XR209" s="3"/>
      <c r="XS209" s="3"/>
      <c r="XT209" s="3"/>
      <c r="XU209" s="3"/>
      <c r="XV209" s="3"/>
      <c r="XW209" s="3"/>
      <c r="XX209" s="3"/>
      <c r="XY209" s="3"/>
      <c r="XZ209" s="3"/>
      <c r="YA209" s="3"/>
      <c r="YB209" s="3"/>
      <c r="YC209" s="3"/>
      <c r="YD209" s="3"/>
      <c r="YE209" s="3"/>
      <c r="YF209" s="3"/>
      <c r="YG209" s="3"/>
      <c r="YH209" s="3"/>
      <c r="YI209" s="3"/>
      <c r="YJ209" s="3"/>
      <c r="YK209" s="3"/>
      <c r="YL209" s="3"/>
      <c r="YM209" s="3"/>
      <c r="YN209" s="3"/>
      <c r="YO209" s="3"/>
      <c r="YP209" s="3"/>
      <c r="YQ209" s="3"/>
      <c r="YR209" s="3"/>
      <c r="YS209" s="3"/>
      <c r="YT209" s="3"/>
      <c r="YU209" s="3"/>
      <c r="YV209" s="3"/>
      <c r="YW209" s="3"/>
      <c r="YX209" s="3"/>
      <c r="YY209" s="3"/>
      <c r="YZ209" s="3"/>
      <c r="ZA209" s="3"/>
      <c r="ZB209" s="3"/>
      <c r="ZC209" s="3"/>
    </row>
    <row r="210" spans="1:679" s="2" customFormat="1" x14ac:dyDescent="0.45">
      <c r="A210" s="3" t="s">
        <v>11</v>
      </c>
      <c r="B210" s="4">
        <v>36230</v>
      </c>
      <c r="C210" s="7" t="s">
        <v>21</v>
      </c>
      <c r="D210" s="6" t="s">
        <v>226</v>
      </c>
      <c r="E210" s="3"/>
      <c r="F210" s="3">
        <v>2</v>
      </c>
      <c r="L210" s="3"/>
      <c r="M210" s="3"/>
      <c r="N210" s="48"/>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c r="CU210" s="3"/>
      <c r="CV210" s="3"/>
      <c r="CW210" s="3"/>
      <c r="CX210" s="3"/>
      <c r="CY210" s="3"/>
      <c r="CZ210" s="3"/>
      <c r="DA210" s="3"/>
      <c r="DB210" s="3"/>
      <c r="DC210" s="3"/>
      <c r="DD210" s="3"/>
      <c r="DE210" s="3"/>
      <c r="DF210" s="3"/>
      <c r="DG210" s="3"/>
      <c r="DH210" s="3"/>
      <c r="DI210" s="3"/>
      <c r="DJ210" s="3"/>
      <c r="DK210" s="3"/>
      <c r="DL210" s="3"/>
      <c r="DM210" s="3"/>
      <c r="DN210" s="3"/>
      <c r="DO210" s="3"/>
      <c r="DP210" s="3"/>
      <c r="DQ210" s="3"/>
      <c r="DR210" s="3"/>
      <c r="DS210" s="3"/>
      <c r="DT210" s="3"/>
      <c r="DU210" s="3"/>
      <c r="DV210" s="3"/>
      <c r="DW210" s="3"/>
      <c r="DX210" s="3"/>
      <c r="DY210" s="3"/>
      <c r="DZ210" s="3"/>
      <c r="EA210" s="3"/>
      <c r="EB210" s="3"/>
      <c r="EC210" s="3"/>
      <c r="ED210" s="3"/>
      <c r="EE210" s="3"/>
      <c r="EF210" s="3"/>
      <c r="EG210" s="3"/>
      <c r="EH210" s="3"/>
      <c r="EI210" s="3"/>
      <c r="EJ210" s="3"/>
      <c r="EK210" s="3"/>
      <c r="EL210" s="3"/>
      <c r="EM210" s="3"/>
      <c r="EN210" s="3"/>
      <c r="EO210" s="3"/>
      <c r="EP210" s="3"/>
      <c r="EQ210" s="3"/>
      <c r="ER210" s="3"/>
      <c r="ES210" s="3"/>
      <c r="ET210" s="3"/>
      <c r="EU210" s="3"/>
      <c r="EV210" s="3"/>
      <c r="EW210" s="3"/>
      <c r="EX210" s="3"/>
      <c r="EY210" s="3"/>
      <c r="EZ210" s="3"/>
      <c r="FA210" s="3"/>
      <c r="FB210" s="3"/>
      <c r="FC210" s="3"/>
      <c r="FD210" s="3"/>
      <c r="FE210" s="3"/>
      <c r="FF210" s="3"/>
      <c r="FG210" s="3"/>
      <c r="FH210" s="3"/>
      <c r="FI210" s="3"/>
      <c r="FJ210" s="3"/>
      <c r="FK210" s="3"/>
      <c r="FL210" s="3"/>
      <c r="FM210" s="3"/>
      <c r="FN210" s="3"/>
      <c r="FO210" s="3"/>
      <c r="FP210" s="3"/>
      <c r="FQ210" s="3"/>
      <c r="FR210" s="3"/>
      <c r="FS210" s="3"/>
      <c r="FT210" s="3"/>
      <c r="FU210" s="3"/>
      <c r="FV210" s="3"/>
      <c r="FW210" s="3"/>
      <c r="FX210" s="3"/>
      <c r="FY210" s="3"/>
      <c r="FZ210" s="3"/>
      <c r="GA210" s="3"/>
      <c r="GB210" s="3"/>
      <c r="GC210" s="3"/>
      <c r="GD210" s="3"/>
      <c r="GE210" s="3"/>
      <c r="GF210" s="3"/>
      <c r="GG210" s="3"/>
      <c r="GH210" s="3"/>
      <c r="GI210" s="3"/>
      <c r="GJ210" s="3"/>
      <c r="GK210" s="3"/>
      <c r="GL210" s="3"/>
      <c r="GM210" s="3"/>
      <c r="GN210" s="3"/>
      <c r="GO210" s="3"/>
      <c r="GP210" s="3"/>
      <c r="GQ210" s="3"/>
      <c r="GR210" s="3"/>
      <c r="GS210" s="3"/>
      <c r="GT210" s="3"/>
      <c r="GU210" s="3"/>
      <c r="GV210" s="3"/>
      <c r="GW210" s="3"/>
      <c r="GX210" s="3"/>
      <c r="GY210" s="3"/>
      <c r="GZ210" s="3"/>
      <c r="HA210" s="3"/>
      <c r="HB210" s="3"/>
      <c r="HC210" s="3"/>
      <c r="HD210" s="3"/>
      <c r="HE210" s="3"/>
      <c r="HF210" s="3"/>
      <c r="HG210" s="3"/>
      <c r="HH210" s="3"/>
      <c r="HI210" s="3"/>
      <c r="HJ210" s="3"/>
      <c r="HK210" s="3"/>
      <c r="HL210" s="3"/>
      <c r="HM210" s="3"/>
      <c r="HN210" s="3"/>
      <c r="HO210" s="3"/>
      <c r="HP210" s="3"/>
      <c r="HQ210" s="3"/>
      <c r="HR210" s="3"/>
      <c r="HS210" s="3"/>
      <c r="HT210" s="3"/>
      <c r="HU210" s="3"/>
      <c r="HV210" s="3"/>
      <c r="HW210" s="3"/>
      <c r="HX210" s="3"/>
      <c r="HY210" s="3"/>
      <c r="HZ210" s="3"/>
      <c r="IA210" s="3"/>
      <c r="IB210" s="3"/>
      <c r="IC210" s="3"/>
      <c r="ID210" s="3"/>
      <c r="IE210" s="3"/>
      <c r="IF210" s="3"/>
      <c r="IG210" s="3"/>
      <c r="IH210" s="3"/>
      <c r="II210" s="3"/>
      <c r="IJ210" s="3"/>
      <c r="IK210" s="3"/>
      <c r="IL210" s="3"/>
      <c r="IM210" s="3"/>
      <c r="IN210" s="3"/>
      <c r="IO210" s="3"/>
      <c r="IP210" s="3"/>
      <c r="IQ210" s="3"/>
      <c r="IR210" s="3"/>
      <c r="IS210" s="3"/>
      <c r="IT210" s="3"/>
      <c r="IU210" s="3"/>
      <c r="IV210" s="3"/>
      <c r="IW210" s="3"/>
      <c r="IX210" s="3"/>
      <c r="IY210" s="3"/>
      <c r="IZ210" s="3"/>
      <c r="JA210" s="3"/>
      <c r="JB210" s="3"/>
      <c r="JC210" s="3"/>
      <c r="JD210" s="3"/>
      <c r="JE210" s="3"/>
      <c r="JF210" s="3"/>
      <c r="JG210" s="3"/>
      <c r="JH210" s="3"/>
      <c r="JI210" s="3"/>
      <c r="JJ210" s="3"/>
      <c r="JK210" s="3"/>
      <c r="JL210" s="3"/>
      <c r="JM210" s="3"/>
      <c r="JN210" s="3"/>
      <c r="JO210" s="3"/>
      <c r="JP210" s="3"/>
      <c r="JQ210" s="3"/>
      <c r="JR210" s="3"/>
      <c r="JS210" s="3"/>
      <c r="JT210" s="3"/>
      <c r="JU210" s="3"/>
      <c r="JV210" s="3"/>
      <c r="JW210" s="3"/>
      <c r="JX210" s="3"/>
      <c r="JY210" s="3"/>
      <c r="JZ210" s="3"/>
      <c r="KA210" s="3"/>
      <c r="KB210" s="3"/>
      <c r="KC210" s="3"/>
      <c r="KD210" s="3"/>
      <c r="KE210" s="3"/>
      <c r="KF210" s="3"/>
      <c r="KG210" s="3"/>
      <c r="KH210" s="3"/>
      <c r="KI210" s="3"/>
      <c r="KJ210" s="3"/>
      <c r="KK210" s="3"/>
      <c r="KL210" s="3"/>
      <c r="KM210" s="3"/>
      <c r="KN210" s="3"/>
      <c r="KO210" s="3"/>
      <c r="KP210" s="3"/>
      <c r="KQ210" s="3"/>
      <c r="KR210" s="3"/>
      <c r="KS210" s="3"/>
      <c r="KT210" s="3"/>
      <c r="KU210" s="3"/>
      <c r="KV210" s="3"/>
      <c r="KW210" s="3"/>
      <c r="KX210" s="3"/>
      <c r="KY210" s="3"/>
      <c r="KZ210" s="3"/>
      <c r="LA210" s="3"/>
      <c r="LB210" s="3"/>
      <c r="LC210" s="3"/>
      <c r="LD210" s="3"/>
      <c r="LE210" s="3"/>
      <c r="LF210" s="3"/>
      <c r="LG210" s="3"/>
      <c r="LH210" s="3"/>
      <c r="LI210" s="3"/>
      <c r="LJ210" s="3"/>
      <c r="LK210" s="3"/>
      <c r="LL210" s="3"/>
      <c r="LM210" s="3"/>
      <c r="LN210" s="3"/>
      <c r="LO210" s="3"/>
      <c r="LP210" s="3"/>
      <c r="LQ210" s="3"/>
      <c r="LR210" s="3"/>
      <c r="LS210" s="3"/>
      <c r="LT210" s="3"/>
      <c r="LU210" s="3"/>
      <c r="LV210" s="3"/>
      <c r="LW210" s="3"/>
      <c r="LX210" s="3"/>
      <c r="LY210" s="3"/>
      <c r="LZ210" s="3"/>
      <c r="MA210" s="3"/>
      <c r="MB210" s="3"/>
      <c r="MC210" s="3"/>
      <c r="MD210" s="3"/>
      <c r="ME210" s="3"/>
      <c r="MF210" s="3"/>
      <c r="MG210" s="3"/>
      <c r="MH210" s="3"/>
      <c r="MI210" s="3"/>
      <c r="MJ210" s="3"/>
      <c r="MK210" s="3"/>
      <c r="ML210" s="3"/>
      <c r="MM210" s="3"/>
      <c r="MN210" s="3"/>
      <c r="MO210" s="3"/>
      <c r="MP210" s="3"/>
      <c r="MQ210" s="3"/>
      <c r="MR210" s="3"/>
      <c r="MS210" s="3"/>
      <c r="MT210" s="3"/>
      <c r="MU210" s="3"/>
      <c r="MV210" s="3"/>
      <c r="MW210" s="3"/>
      <c r="MX210" s="3"/>
      <c r="MY210" s="3"/>
      <c r="MZ210" s="3"/>
      <c r="NA210" s="3"/>
      <c r="NB210" s="3"/>
      <c r="NC210" s="3"/>
      <c r="ND210" s="3"/>
      <c r="NE210" s="3"/>
      <c r="NF210" s="3"/>
      <c r="NG210" s="3"/>
      <c r="NH210" s="3"/>
      <c r="NI210" s="3"/>
      <c r="NJ210" s="3"/>
      <c r="NK210" s="3"/>
      <c r="NL210" s="3"/>
      <c r="NM210" s="3"/>
      <c r="NN210" s="3"/>
      <c r="NO210" s="3"/>
      <c r="NP210" s="3"/>
      <c r="NQ210" s="3"/>
      <c r="NR210" s="3"/>
      <c r="NS210" s="3"/>
      <c r="NT210" s="3"/>
      <c r="NU210" s="3"/>
      <c r="NV210" s="3"/>
      <c r="NW210" s="3"/>
      <c r="NX210" s="3"/>
      <c r="NY210" s="3"/>
      <c r="NZ210" s="3"/>
      <c r="OA210" s="3"/>
      <c r="OB210" s="3"/>
      <c r="OC210" s="3"/>
      <c r="OD210" s="3"/>
      <c r="OE210" s="3"/>
      <c r="OF210" s="3"/>
      <c r="OG210" s="3"/>
      <c r="OH210" s="3"/>
      <c r="OI210" s="3"/>
      <c r="OJ210" s="3"/>
      <c r="OK210" s="3"/>
      <c r="OL210" s="3"/>
      <c r="OM210" s="3"/>
      <c r="ON210" s="3"/>
      <c r="OO210" s="3"/>
      <c r="OP210" s="3"/>
      <c r="OQ210" s="3"/>
      <c r="OR210" s="3"/>
      <c r="OS210" s="3"/>
      <c r="OT210" s="3"/>
      <c r="OU210" s="3"/>
      <c r="OV210" s="3"/>
      <c r="OW210" s="3"/>
      <c r="OX210" s="3"/>
      <c r="OY210" s="3"/>
      <c r="OZ210" s="3"/>
      <c r="PA210" s="3"/>
      <c r="PB210" s="3"/>
      <c r="PC210" s="3"/>
      <c r="PD210" s="3"/>
      <c r="PE210" s="3"/>
      <c r="PF210" s="3"/>
      <c r="PG210" s="3"/>
      <c r="PH210" s="3"/>
      <c r="PI210" s="3"/>
      <c r="PJ210" s="3"/>
      <c r="PK210" s="3"/>
      <c r="PL210" s="3"/>
      <c r="PM210" s="3"/>
      <c r="PN210" s="3"/>
      <c r="PO210" s="3"/>
      <c r="PP210" s="3"/>
      <c r="PQ210" s="3"/>
      <c r="PR210" s="3"/>
      <c r="PS210" s="3"/>
      <c r="PT210" s="3"/>
      <c r="PU210" s="3"/>
      <c r="PV210" s="3"/>
      <c r="PW210" s="3"/>
      <c r="PX210" s="3"/>
      <c r="PY210" s="3"/>
      <c r="PZ210" s="3"/>
      <c r="QA210" s="3"/>
      <c r="QB210" s="3"/>
      <c r="QC210" s="3"/>
      <c r="QD210" s="3"/>
      <c r="QE210" s="3"/>
      <c r="QF210" s="3"/>
      <c r="QG210" s="3"/>
      <c r="QH210" s="3"/>
      <c r="QI210" s="3"/>
      <c r="QJ210" s="3"/>
      <c r="QK210" s="3"/>
      <c r="QL210" s="3"/>
      <c r="QM210" s="3"/>
      <c r="QN210" s="3"/>
      <c r="QO210" s="3"/>
      <c r="QP210" s="3"/>
      <c r="QQ210" s="3"/>
      <c r="QR210" s="3"/>
      <c r="QS210" s="3"/>
      <c r="QT210" s="3"/>
      <c r="QU210" s="3"/>
      <c r="QV210" s="3"/>
      <c r="QW210" s="3"/>
      <c r="QX210" s="3"/>
      <c r="QY210" s="3"/>
      <c r="QZ210" s="3"/>
      <c r="RA210" s="3"/>
      <c r="RB210" s="3"/>
      <c r="RC210" s="3"/>
      <c r="RD210" s="3"/>
      <c r="RE210" s="3"/>
      <c r="RF210" s="3"/>
      <c r="RG210" s="3"/>
      <c r="RH210" s="3"/>
      <c r="RI210" s="3"/>
      <c r="RJ210" s="3"/>
      <c r="RK210" s="3"/>
      <c r="RL210" s="3"/>
      <c r="RM210" s="3"/>
      <c r="RN210" s="3"/>
      <c r="RO210" s="3"/>
      <c r="RP210" s="3"/>
      <c r="RQ210" s="3"/>
      <c r="RR210" s="3"/>
      <c r="RS210" s="3"/>
      <c r="RT210" s="3"/>
      <c r="RU210" s="3"/>
      <c r="RV210" s="3"/>
      <c r="RW210" s="3"/>
      <c r="RX210" s="3"/>
      <c r="RY210" s="3"/>
      <c r="RZ210" s="3"/>
      <c r="SA210" s="3"/>
      <c r="SB210" s="3"/>
      <c r="SC210" s="3"/>
      <c r="SD210" s="3"/>
      <c r="SE210" s="3"/>
      <c r="SF210" s="3"/>
      <c r="SG210" s="3"/>
      <c r="SH210" s="3"/>
      <c r="SI210" s="3"/>
      <c r="SJ210" s="3"/>
      <c r="SK210" s="3"/>
      <c r="SL210" s="3"/>
      <c r="SM210" s="3"/>
      <c r="SN210" s="3"/>
      <c r="SO210" s="3"/>
      <c r="SP210" s="3"/>
      <c r="SQ210" s="3"/>
      <c r="SR210" s="3"/>
      <c r="SS210" s="3"/>
      <c r="ST210" s="3"/>
      <c r="SU210" s="3"/>
      <c r="SV210" s="3"/>
      <c r="SW210" s="3"/>
      <c r="SX210" s="3"/>
      <c r="SY210" s="3"/>
      <c r="SZ210" s="3"/>
      <c r="TA210" s="3"/>
      <c r="TB210" s="3"/>
      <c r="TC210" s="3"/>
      <c r="TD210" s="3"/>
      <c r="TE210" s="3"/>
      <c r="TF210" s="3"/>
      <c r="TG210" s="3"/>
      <c r="TH210" s="3"/>
      <c r="TI210" s="3"/>
      <c r="TJ210" s="3"/>
      <c r="TK210" s="3"/>
      <c r="TL210" s="3"/>
      <c r="TM210" s="3"/>
      <c r="TN210" s="3"/>
      <c r="TO210" s="3"/>
      <c r="TP210" s="3"/>
      <c r="TQ210" s="3"/>
      <c r="TR210" s="3"/>
      <c r="TS210" s="3"/>
      <c r="TT210" s="3"/>
      <c r="TU210" s="3"/>
      <c r="TV210" s="3"/>
      <c r="TW210" s="3"/>
      <c r="TX210" s="3"/>
      <c r="TY210" s="3"/>
      <c r="TZ210" s="3"/>
      <c r="UA210" s="3"/>
      <c r="UB210" s="3"/>
      <c r="UC210" s="3"/>
      <c r="UD210" s="3"/>
      <c r="UE210" s="3"/>
      <c r="UF210" s="3"/>
      <c r="UG210" s="3"/>
      <c r="UH210" s="3"/>
      <c r="UI210" s="3"/>
      <c r="UJ210" s="3"/>
      <c r="UK210" s="3"/>
      <c r="UL210" s="3"/>
      <c r="UM210" s="3"/>
      <c r="UN210" s="3"/>
      <c r="UO210" s="3"/>
      <c r="UP210" s="3"/>
      <c r="UQ210" s="3"/>
      <c r="UR210" s="3"/>
      <c r="US210" s="3"/>
      <c r="UT210" s="3"/>
      <c r="UU210" s="3"/>
      <c r="UV210" s="3"/>
      <c r="UW210" s="3"/>
      <c r="UX210" s="3"/>
      <c r="UY210" s="3"/>
      <c r="UZ210" s="3"/>
      <c r="VA210" s="3"/>
      <c r="VB210" s="3"/>
      <c r="VC210" s="3"/>
      <c r="VD210" s="3"/>
      <c r="VE210" s="3"/>
      <c r="VF210" s="3"/>
      <c r="VG210" s="3"/>
      <c r="VH210" s="3"/>
      <c r="VI210" s="3"/>
      <c r="VJ210" s="3"/>
      <c r="VK210" s="3"/>
      <c r="VL210" s="3"/>
      <c r="VM210" s="3"/>
      <c r="VN210" s="3"/>
      <c r="VO210" s="3"/>
      <c r="VP210" s="3"/>
      <c r="VQ210" s="3"/>
      <c r="VR210" s="3"/>
      <c r="VS210" s="3"/>
      <c r="VT210" s="3"/>
      <c r="VU210" s="3"/>
      <c r="VV210" s="3"/>
      <c r="VW210" s="3"/>
      <c r="VX210" s="3"/>
      <c r="VY210" s="3"/>
      <c r="VZ210" s="3"/>
      <c r="WA210" s="3"/>
      <c r="WB210" s="3"/>
      <c r="WC210" s="3"/>
      <c r="WD210" s="3"/>
      <c r="WE210" s="3"/>
      <c r="WF210" s="3"/>
      <c r="WG210" s="3"/>
      <c r="WH210" s="3"/>
      <c r="WI210" s="3"/>
      <c r="WJ210" s="3"/>
      <c r="WK210" s="3"/>
      <c r="WL210" s="3"/>
      <c r="WM210" s="3"/>
      <c r="WN210" s="3"/>
      <c r="WO210" s="3"/>
      <c r="WP210" s="3"/>
      <c r="WQ210" s="3"/>
      <c r="WR210" s="3"/>
      <c r="WS210" s="3"/>
      <c r="WT210" s="3"/>
      <c r="WU210" s="3"/>
      <c r="WV210" s="3"/>
      <c r="WW210" s="3"/>
      <c r="WX210" s="3"/>
      <c r="WY210" s="3"/>
      <c r="WZ210" s="3"/>
      <c r="XA210" s="3"/>
      <c r="XB210" s="3"/>
      <c r="XC210" s="3"/>
      <c r="XD210" s="3"/>
      <c r="XE210" s="3"/>
      <c r="XF210" s="3"/>
      <c r="XG210" s="3"/>
      <c r="XH210" s="3"/>
      <c r="XI210" s="3"/>
      <c r="XJ210" s="3"/>
      <c r="XK210" s="3"/>
      <c r="XL210" s="3"/>
      <c r="XM210" s="3"/>
      <c r="XN210" s="3"/>
      <c r="XO210" s="3"/>
      <c r="XP210" s="3"/>
      <c r="XQ210" s="3"/>
      <c r="XR210" s="3"/>
      <c r="XS210" s="3"/>
      <c r="XT210" s="3"/>
      <c r="XU210" s="3"/>
      <c r="XV210" s="3"/>
      <c r="XW210" s="3"/>
      <c r="XX210" s="3"/>
      <c r="XY210" s="3"/>
      <c r="XZ210" s="3"/>
      <c r="YA210" s="3"/>
      <c r="YB210" s="3"/>
      <c r="YC210" s="3"/>
      <c r="YD210" s="3"/>
      <c r="YE210" s="3"/>
      <c r="YF210" s="3"/>
      <c r="YG210" s="3"/>
      <c r="YH210" s="3"/>
      <c r="YI210" s="3"/>
      <c r="YJ210" s="3"/>
      <c r="YK210" s="3"/>
      <c r="YL210" s="3"/>
      <c r="YM210" s="3"/>
      <c r="YN210" s="3"/>
      <c r="YO210" s="3"/>
      <c r="YP210" s="3"/>
      <c r="YQ210" s="3"/>
      <c r="YR210" s="3"/>
      <c r="YS210" s="3"/>
      <c r="YT210" s="3"/>
      <c r="YU210" s="3"/>
      <c r="YV210" s="3"/>
      <c r="YW210" s="3"/>
      <c r="YX210" s="3"/>
      <c r="YY210" s="3"/>
      <c r="YZ210" s="3"/>
      <c r="ZA210" s="3"/>
      <c r="ZB210" s="3"/>
      <c r="ZC210" s="3"/>
    </row>
    <row r="211" spans="1:679" s="2" customFormat="1" x14ac:dyDescent="0.45">
      <c r="A211" s="3" t="s">
        <v>11</v>
      </c>
      <c r="B211" s="4">
        <v>36244</v>
      </c>
      <c r="C211" s="7" t="s">
        <v>21</v>
      </c>
      <c r="D211" s="6" t="s">
        <v>227</v>
      </c>
      <c r="E211" s="3"/>
      <c r="F211" s="3">
        <v>49</v>
      </c>
      <c r="L211" s="3"/>
      <c r="M211" s="3"/>
      <c r="N211" s="48"/>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c r="DE211" s="3"/>
      <c r="DF211" s="3"/>
      <c r="DG211" s="3"/>
      <c r="DH211" s="3"/>
      <c r="DI211" s="3"/>
      <c r="DJ211" s="3"/>
      <c r="DK211" s="3"/>
      <c r="DL211" s="3"/>
      <c r="DM211" s="3"/>
      <c r="DN211" s="3"/>
      <c r="DO211" s="3"/>
      <c r="DP211" s="3"/>
      <c r="DQ211" s="3"/>
      <c r="DR211" s="3"/>
      <c r="DS211" s="3"/>
      <c r="DT211" s="3"/>
      <c r="DU211" s="3"/>
      <c r="DV211" s="3"/>
      <c r="DW211" s="3"/>
      <c r="DX211" s="3"/>
      <c r="DY211" s="3"/>
      <c r="DZ211" s="3"/>
      <c r="EA211" s="3"/>
      <c r="EB211" s="3"/>
      <c r="EC211" s="3"/>
      <c r="ED211" s="3"/>
      <c r="EE211" s="3"/>
      <c r="EF211" s="3"/>
      <c r="EG211" s="3"/>
      <c r="EH211" s="3"/>
      <c r="EI211" s="3"/>
      <c r="EJ211" s="3"/>
      <c r="EK211" s="3"/>
      <c r="EL211" s="3"/>
      <c r="EM211" s="3"/>
      <c r="EN211" s="3"/>
      <c r="EO211" s="3"/>
      <c r="EP211" s="3"/>
      <c r="EQ211" s="3"/>
      <c r="ER211" s="3"/>
      <c r="ES211" s="3"/>
      <c r="ET211" s="3"/>
      <c r="EU211" s="3"/>
      <c r="EV211" s="3"/>
      <c r="EW211" s="3"/>
      <c r="EX211" s="3"/>
      <c r="EY211" s="3"/>
      <c r="EZ211" s="3"/>
      <c r="FA211" s="3"/>
      <c r="FB211" s="3"/>
      <c r="FC211" s="3"/>
      <c r="FD211" s="3"/>
      <c r="FE211" s="3"/>
      <c r="FF211" s="3"/>
      <c r="FG211" s="3"/>
      <c r="FH211" s="3"/>
      <c r="FI211" s="3"/>
      <c r="FJ211" s="3"/>
      <c r="FK211" s="3"/>
      <c r="FL211" s="3"/>
      <c r="FM211" s="3"/>
      <c r="FN211" s="3"/>
      <c r="FO211" s="3"/>
      <c r="FP211" s="3"/>
      <c r="FQ211" s="3"/>
      <c r="FR211" s="3"/>
      <c r="FS211" s="3"/>
      <c r="FT211" s="3"/>
      <c r="FU211" s="3"/>
      <c r="FV211" s="3"/>
      <c r="FW211" s="3"/>
      <c r="FX211" s="3"/>
      <c r="FY211" s="3"/>
      <c r="FZ211" s="3"/>
      <c r="GA211" s="3"/>
      <c r="GB211" s="3"/>
      <c r="GC211" s="3"/>
      <c r="GD211" s="3"/>
      <c r="GE211" s="3"/>
      <c r="GF211" s="3"/>
      <c r="GG211" s="3"/>
      <c r="GH211" s="3"/>
      <c r="GI211" s="3"/>
      <c r="GJ211" s="3"/>
      <c r="GK211" s="3"/>
      <c r="GL211" s="3"/>
      <c r="GM211" s="3"/>
      <c r="GN211" s="3"/>
      <c r="GO211" s="3"/>
      <c r="GP211" s="3"/>
      <c r="GQ211" s="3"/>
      <c r="GR211" s="3"/>
      <c r="GS211" s="3"/>
      <c r="GT211" s="3"/>
      <c r="GU211" s="3"/>
      <c r="GV211" s="3"/>
      <c r="GW211" s="3"/>
      <c r="GX211" s="3"/>
      <c r="GY211" s="3"/>
      <c r="GZ211" s="3"/>
      <c r="HA211" s="3"/>
      <c r="HB211" s="3"/>
      <c r="HC211" s="3"/>
      <c r="HD211" s="3"/>
      <c r="HE211" s="3"/>
      <c r="HF211" s="3"/>
      <c r="HG211" s="3"/>
      <c r="HH211" s="3"/>
      <c r="HI211" s="3"/>
      <c r="HJ211" s="3"/>
      <c r="HK211" s="3"/>
      <c r="HL211" s="3"/>
      <c r="HM211" s="3"/>
      <c r="HN211" s="3"/>
      <c r="HO211" s="3"/>
      <c r="HP211" s="3"/>
      <c r="HQ211" s="3"/>
      <c r="HR211" s="3"/>
      <c r="HS211" s="3"/>
      <c r="HT211" s="3"/>
      <c r="HU211" s="3"/>
      <c r="HV211" s="3"/>
      <c r="HW211" s="3"/>
      <c r="HX211" s="3"/>
      <c r="HY211" s="3"/>
      <c r="HZ211" s="3"/>
      <c r="IA211" s="3"/>
      <c r="IB211" s="3"/>
      <c r="IC211" s="3"/>
      <c r="ID211" s="3"/>
      <c r="IE211" s="3"/>
      <c r="IF211" s="3"/>
      <c r="IG211" s="3"/>
      <c r="IH211" s="3"/>
      <c r="II211" s="3"/>
      <c r="IJ211" s="3"/>
      <c r="IK211" s="3"/>
      <c r="IL211" s="3"/>
      <c r="IM211" s="3"/>
      <c r="IN211" s="3"/>
      <c r="IO211" s="3"/>
      <c r="IP211" s="3"/>
      <c r="IQ211" s="3"/>
      <c r="IR211" s="3"/>
      <c r="IS211" s="3"/>
      <c r="IT211" s="3"/>
      <c r="IU211" s="3"/>
      <c r="IV211" s="3"/>
      <c r="IW211" s="3"/>
      <c r="IX211" s="3"/>
      <c r="IY211" s="3"/>
      <c r="IZ211" s="3"/>
      <c r="JA211" s="3"/>
      <c r="JB211" s="3"/>
      <c r="JC211" s="3"/>
      <c r="JD211" s="3"/>
      <c r="JE211" s="3"/>
      <c r="JF211" s="3"/>
      <c r="JG211" s="3"/>
      <c r="JH211" s="3"/>
      <c r="JI211" s="3"/>
      <c r="JJ211" s="3"/>
      <c r="JK211" s="3"/>
      <c r="JL211" s="3"/>
      <c r="JM211" s="3"/>
      <c r="JN211" s="3"/>
      <c r="JO211" s="3"/>
      <c r="JP211" s="3"/>
      <c r="JQ211" s="3"/>
      <c r="JR211" s="3"/>
      <c r="JS211" s="3"/>
      <c r="JT211" s="3"/>
      <c r="JU211" s="3"/>
      <c r="JV211" s="3"/>
      <c r="JW211" s="3"/>
      <c r="JX211" s="3"/>
      <c r="JY211" s="3"/>
      <c r="JZ211" s="3"/>
      <c r="KA211" s="3"/>
      <c r="KB211" s="3"/>
      <c r="KC211" s="3"/>
      <c r="KD211" s="3"/>
      <c r="KE211" s="3"/>
      <c r="KF211" s="3"/>
      <c r="KG211" s="3"/>
      <c r="KH211" s="3"/>
      <c r="KI211" s="3"/>
      <c r="KJ211" s="3"/>
      <c r="KK211" s="3"/>
      <c r="KL211" s="3"/>
      <c r="KM211" s="3"/>
      <c r="KN211" s="3"/>
      <c r="KO211" s="3"/>
      <c r="KP211" s="3"/>
      <c r="KQ211" s="3"/>
      <c r="KR211" s="3"/>
      <c r="KS211" s="3"/>
      <c r="KT211" s="3"/>
      <c r="KU211" s="3"/>
      <c r="KV211" s="3"/>
      <c r="KW211" s="3"/>
      <c r="KX211" s="3"/>
      <c r="KY211" s="3"/>
      <c r="KZ211" s="3"/>
      <c r="LA211" s="3"/>
      <c r="LB211" s="3"/>
      <c r="LC211" s="3"/>
      <c r="LD211" s="3"/>
      <c r="LE211" s="3"/>
      <c r="LF211" s="3"/>
      <c r="LG211" s="3"/>
      <c r="LH211" s="3"/>
      <c r="LI211" s="3"/>
      <c r="LJ211" s="3"/>
      <c r="LK211" s="3"/>
      <c r="LL211" s="3"/>
      <c r="LM211" s="3"/>
      <c r="LN211" s="3"/>
      <c r="LO211" s="3"/>
      <c r="LP211" s="3"/>
      <c r="LQ211" s="3"/>
      <c r="LR211" s="3"/>
      <c r="LS211" s="3"/>
      <c r="LT211" s="3"/>
      <c r="LU211" s="3"/>
      <c r="LV211" s="3"/>
      <c r="LW211" s="3"/>
      <c r="LX211" s="3"/>
      <c r="LY211" s="3"/>
      <c r="LZ211" s="3"/>
      <c r="MA211" s="3"/>
      <c r="MB211" s="3"/>
      <c r="MC211" s="3"/>
      <c r="MD211" s="3"/>
      <c r="ME211" s="3"/>
      <c r="MF211" s="3"/>
      <c r="MG211" s="3"/>
      <c r="MH211" s="3"/>
      <c r="MI211" s="3"/>
      <c r="MJ211" s="3"/>
      <c r="MK211" s="3"/>
      <c r="ML211" s="3"/>
      <c r="MM211" s="3"/>
      <c r="MN211" s="3"/>
      <c r="MO211" s="3"/>
      <c r="MP211" s="3"/>
      <c r="MQ211" s="3"/>
      <c r="MR211" s="3"/>
      <c r="MS211" s="3"/>
      <c r="MT211" s="3"/>
      <c r="MU211" s="3"/>
      <c r="MV211" s="3"/>
      <c r="MW211" s="3"/>
      <c r="MX211" s="3"/>
      <c r="MY211" s="3"/>
      <c r="MZ211" s="3"/>
      <c r="NA211" s="3"/>
      <c r="NB211" s="3"/>
      <c r="NC211" s="3"/>
      <c r="ND211" s="3"/>
      <c r="NE211" s="3"/>
      <c r="NF211" s="3"/>
      <c r="NG211" s="3"/>
      <c r="NH211" s="3"/>
      <c r="NI211" s="3"/>
      <c r="NJ211" s="3"/>
      <c r="NK211" s="3"/>
      <c r="NL211" s="3"/>
      <c r="NM211" s="3"/>
      <c r="NN211" s="3"/>
      <c r="NO211" s="3"/>
      <c r="NP211" s="3"/>
      <c r="NQ211" s="3"/>
      <c r="NR211" s="3"/>
      <c r="NS211" s="3"/>
      <c r="NT211" s="3"/>
      <c r="NU211" s="3"/>
      <c r="NV211" s="3"/>
      <c r="NW211" s="3"/>
      <c r="NX211" s="3"/>
      <c r="NY211" s="3"/>
      <c r="NZ211" s="3"/>
      <c r="OA211" s="3"/>
      <c r="OB211" s="3"/>
      <c r="OC211" s="3"/>
      <c r="OD211" s="3"/>
      <c r="OE211" s="3"/>
      <c r="OF211" s="3"/>
      <c r="OG211" s="3"/>
      <c r="OH211" s="3"/>
      <c r="OI211" s="3"/>
      <c r="OJ211" s="3"/>
      <c r="OK211" s="3"/>
      <c r="OL211" s="3"/>
      <c r="OM211" s="3"/>
      <c r="ON211" s="3"/>
      <c r="OO211" s="3"/>
      <c r="OP211" s="3"/>
      <c r="OQ211" s="3"/>
      <c r="OR211" s="3"/>
      <c r="OS211" s="3"/>
      <c r="OT211" s="3"/>
      <c r="OU211" s="3"/>
      <c r="OV211" s="3"/>
      <c r="OW211" s="3"/>
      <c r="OX211" s="3"/>
      <c r="OY211" s="3"/>
      <c r="OZ211" s="3"/>
      <c r="PA211" s="3"/>
      <c r="PB211" s="3"/>
      <c r="PC211" s="3"/>
      <c r="PD211" s="3"/>
      <c r="PE211" s="3"/>
      <c r="PF211" s="3"/>
      <c r="PG211" s="3"/>
      <c r="PH211" s="3"/>
      <c r="PI211" s="3"/>
      <c r="PJ211" s="3"/>
      <c r="PK211" s="3"/>
      <c r="PL211" s="3"/>
      <c r="PM211" s="3"/>
      <c r="PN211" s="3"/>
      <c r="PO211" s="3"/>
      <c r="PP211" s="3"/>
      <c r="PQ211" s="3"/>
      <c r="PR211" s="3"/>
      <c r="PS211" s="3"/>
      <c r="PT211" s="3"/>
      <c r="PU211" s="3"/>
      <c r="PV211" s="3"/>
      <c r="PW211" s="3"/>
      <c r="PX211" s="3"/>
      <c r="PY211" s="3"/>
      <c r="PZ211" s="3"/>
      <c r="QA211" s="3"/>
      <c r="QB211" s="3"/>
      <c r="QC211" s="3"/>
      <c r="QD211" s="3"/>
      <c r="QE211" s="3"/>
      <c r="QF211" s="3"/>
      <c r="QG211" s="3"/>
      <c r="QH211" s="3"/>
      <c r="QI211" s="3"/>
      <c r="QJ211" s="3"/>
      <c r="QK211" s="3"/>
      <c r="QL211" s="3"/>
      <c r="QM211" s="3"/>
      <c r="QN211" s="3"/>
      <c r="QO211" s="3"/>
      <c r="QP211" s="3"/>
      <c r="QQ211" s="3"/>
      <c r="QR211" s="3"/>
      <c r="QS211" s="3"/>
      <c r="QT211" s="3"/>
      <c r="QU211" s="3"/>
      <c r="QV211" s="3"/>
      <c r="QW211" s="3"/>
      <c r="QX211" s="3"/>
      <c r="QY211" s="3"/>
      <c r="QZ211" s="3"/>
      <c r="RA211" s="3"/>
      <c r="RB211" s="3"/>
      <c r="RC211" s="3"/>
      <c r="RD211" s="3"/>
      <c r="RE211" s="3"/>
      <c r="RF211" s="3"/>
      <c r="RG211" s="3"/>
      <c r="RH211" s="3"/>
      <c r="RI211" s="3"/>
      <c r="RJ211" s="3"/>
      <c r="RK211" s="3"/>
      <c r="RL211" s="3"/>
      <c r="RM211" s="3"/>
      <c r="RN211" s="3"/>
      <c r="RO211" s="3"/>
      <c r="RP211" s="3"/>
      <c r="RQ211" s="3"/>
      <c r="RR211" s="3"/>
      <c r="RS211" s="3"/>
      <c r="RT211" s="3"/>
      <c r="RU211" s="3"/>
      <c r="RV211" s="3"/>
      <c r="RW211" s="3"/>
      <c r="RX211" s="3"/>
      <c r="RY211" s="3"/>
      <c r="RZ211" s="3"/>
      <c r="SA211" s="3"/>
      <c r="SB211" s="3"/>
      <c r="SC211" s="3"/>
      <c r="SD211" s="3"/>
      <c r="SE211" s="3"/>
      <c r="SF211" s="3"/>
      <c r="SG211" s="3"/>
      <c r="SH211" s="3"/>
      <c r="SI211" s="3"/>
      <c r="SJ211" s="3"/>
      <c r="SK211" s="3"/>
      <c r="SL211" s="3"/>
      <c r="SM211" s="3"/>
      <c r="SN211" s="3"/>
      <c r="SO211" s="3"/>
      <c r="SP211" s="3"/>
      <c r="SQ211" s="3"/>
      <c r="SR211" s="3"/>
      <c r="SS211" s="3"/>
      <c r="ST211" s="3"/>
      <c r="SU211" s="3"/>
      <c r="SV211" s="3"/>
      <c r="SW211" s="3"/>
      <c r="SX211" s="3"/>
      <c r="SY211" s="3"/>
      <c r="SZ211" s="3"/>
      <c r="TA211" s="3"/>
      <c r="TB211" s="3"/>
      <c r="TC211" s="3"/>
      <c r="TD211" s="3"/>
      <c r="TE211" s="3"/>
      <c r="TF211" s="3"/>
      <c r="TG211" s="3"/>
      <c r="TH211" s="3"/>
      <c r="TI211" s="3"/>
      <c r="TJ211" s="3"/>
      <c r="TK211" s="3"/>
      <c r="TL211" s="3"/>
      <c r="TM211" s="3"/>
      <c r="TN211" s="3"/>
      <c r="TO211" s="3"/>
      <c r="TP211" s="3"/>
      <c r="TQ211" s="3"/>
      <c r="TR211" s="3"/>
      <c r="TS211" s="3"/>
      <c r="TT211" s="3"/>
      <c r="TU211" s="3"/>
      <c r="TV211" s="3"/>
      <c r="TW211" s="3"/>
      <c r="TX211" s="3"/>
      <c r="TY211" s="3"/>
      <c r="TZ211" s="3"/>
      <c r="UA211" s="3"/>
      <c r="UB211" s="3"/>
      <c r="UC211" s="3"/>
      <c r="UD211" s="3"/>
      <c r="UE211" s="3"/>
      <c r="UF211" s="3"/>
      <c r="UG211" s="3"/>
      <c r="UH211" s="3"/>
      <c r="UI211" s="3"/>
      <c r="UJ211" s="3"/>
      <c r="UK211" s="3"/>
      <c r="UL211" s="3"/>
      <c r="UM211" s="3"/>
      <c r="UN211" s="3"/>
      <c r="UO211" s="3"/>
      <c r="UP211" s="3"/>
      <c r="UQ211" s="3"/>
      <c r="UR211" s="3"/>
      <c r="US211" s="3"/>
      <c r="UT211" s="3"/>
      <c r="UU211" s="3"/>
      <c r="UV211" s="3"/>
      <c r="UW211" s="3"/>
      <c r="UX211" s="3"/>
      <c r="UY211" s="3"/>
      <c r="UZ211" s="3"/>
      <c r="VA211" s="3"/>
      <c r="VB211" s="3"/>
      <c r="VC211" s="3"/>
      <c r="VD211" s="3"/>
      <c r="VE211" s="3"/>
      <c r="VF211" s="3"/>
      <c r="VG211" s="3"/>
      <c r="VH211" s="3"/>
      <c r="VI211" s="3"/>
      <c r="VJ211" s="3"/>
      <c r="VK211" s="3"/>
      <c r="VL211" s="3"/>
      <c r="VM211" s="3"/>
      <c r="VN211" s="3"/>
      <c r="VO211" s="3"/>
      <c r="VP211" s="3"/>
      <c r="VQ211" s="3"/>
      <c r="VR211" s="3"/>
      <c r="VS211" s="3"/>
      <c r="VT211" s="3"/>
      <c r="VU211" s="3"/>
      <c r="VV211" s="3"/>
      <c r="VW211" s="3"/>
      <c r="VX211" s="3"/>
      <c r="VY211" s="3"/>
      <c r="VZ211" s="3"/>
      <c r="WA211" s="3"/>
      <c r="WB211" s="3"/>
      <c r="WC211" s="3"/>
      <c r="WD211" s="3"/>
      <c r="WE211" s="3"/>
      <c r="WF211" s="3"/>
      <c r="WG211" s="3"/>
      <c r="WH211" s="3"/>
      <c r="WI211" s="3"/>
      <c r="WJ211" s="3"/>
      <c r="WK211" s="3"/>
      <c r="WL211" s="3"/>
      <c r="WM211" s="3"/>
      <c r="WN211" s="3"/>
      <c r="WO211" s="3"/>
      <c r="WP211" s="3"/>
      <c r="WQ211" s="3"/>
      <c r="WR211" s="3"/>
      <c r="WS211" s="3"/>
      <c r="WT211" s="3"/>
      <c r="WU211" s="3"/>
      <c r="WV211" s="3"/>
      <c r="WW211" s="3"/>
      <c r="WX211" s="3"/>
      <c r="WY211" s="3"/>
      <c r="WZ211" s="3"/>
      <c r="XA211" s="3"/>
      <c r="XB211" s="3"/>
      <c r="XC211" s="3"/>
      <c r="XD211" s="3"/>
      <c r="XE211" s="3"/>
      <c r="XF211" s="3"/>
      <c r="XG211" s="3"/>
      <c r="XH211" s="3"/>
      <c r="XI211" s="3"/>
      <c r="XJ211" s="3"/>
      <c r="XK211" s="3"/>
      <c r="XL211" s="3"/>
      <c r="XM211" s="3"/>
      <c r="XN211" s="3"/>
      <c r="XO211" s="3"/>
      <c r="XP211" s="3"/>
      <c r="XQ211" s="3"/>
      <c r="XR211" s="3"/>
      <c r="XS211" s="3"/>
      <c r="XT211" s="3"/>
      <c r="XU211" s="3"/>
      <c r="XV211" s="3"/>
      <c r="XW211" s="3"/>
      <c r="XX211" s="3"/>
      <c r="XY211" s="3"/>
      <c r="XZ211" s="3"/>
      <c r="YA211" s="3"/>
      <c r="YB211" s="3"/>
      <c r="YC211" s="3"/>
      <c r="YD211" s="3"/>
      <c r="YE211" s="3"/>
      <c r="YF211" s="3"/>
      <c r="YG211" s="3"/>
      <c r="YH211" s="3"/>
      <c r="YI211" s="3"/>
      <c r="YJ211" s="3"/>
      <c r="YK211" s="3"/>
      <c r="YL211" s="3"/>
      <c r="YM211" s="3"/>
      <c r="YN211" s="3"/>
      <c r="YO211" s="3"/>
      <c r="YP211" s="3"/>
      <c r="YQ211" s="3"/>
      <c r="YR211" s="3"/>
      <c r="YS211" s="3"/>
      <c r="YT211" s="3"/>
      <c r="YU211" s="3"/>
      <c r="YV211" s="3"/>
      <c r="YW211" s="3"/>
      <c r="YX211" s="3"/>
      <c r="YY211" s="3"/>
      <c r="YZ211" s="3"/>
      <c r="ZA211" s="3"/>
      <c r="ZB211" s="3"/>
      <c r="ZC211" s="3"/>
    </row>
    <row r="212" spans="1:679" s="2" customFormat="1" x14ac:dyDescent="0.45">
      <c r="A212" s="3" t="s">
        <v>11</v>
      </c>
      <c r="B212" s="4">
        <v>36313</v>
      </c>
      <c r="C212" s="7" t="s">
        <v>21</v>
      </c>
      <c r="D212" s="6" t="s">
        <v>228</v>
      </c>
      <c r="E212" s="3"/>
      <c r="F212" s="3">
        <v>2</v>
      </c>
      <c r="L212" s="3"/>
      <c r="M212" s="3"/>
      <c r="N212" s="48"/>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c r="CU212" s="3"/>
      <c r="CV212" s="3"/>
      <c r="CW212" s="3"/>
      <c r="CX212" s="3"/>
      <c r="CY212" s="3"/>
      <c r="CZ212" s="3"/>
      <c r="DA212" s="3"/>
      <c r="DB212" s="3"/>
      <c r="DC212" s="3"/>
      <c r="DD212" s="3"/>
      <c r="DE212" s="3"/>
      <c r="DF212" s="3"/>
      <c r="DG212" s="3"/>
      <c r="DH212" s="3"/>
      <c r="DI212" s="3"/>
      <c r="DJ212" s="3"/>
      <c r="DK212" s="3"/>
      <c r="DL212" s="3"/>
      <c r="DM212" s="3"/>
      <c r="DN212" s="3"/>
      <c r="DO212" s="3"/>
      <c r="DP212" s="3"/>
      <c r="DQ212" s="3"/>
      <c r="DR212" s="3"/>
      <c r="DS212" s="3"/>
      <c r="DT212" s="3"/>
      <c r="DU212" s="3"/>
      <c r="DV212" s="3"/>
      <c r="DW212" s="3"/>
      <c r="DX212" s="3"/>
      <c r="DY212" s="3"/>
      <c r="DZ212" s="3"/>
      <c r="EA212" s="3"/>
      <c r="EB212" s="3"/>
      <c r="EC212" s="3"/>
      <c r="ED212" s="3"/>
      <c r="EE212" s="3"/>
      <c r="EF212" s="3"/>
      <c r="EG212" s="3"/>
      <c r="EH212" s="3"/>
      <c r="EI212" s="3"/>
      <c r="EJ212" s="3"/>
      <c r="EK212" s="3"/>
      <c r="EL212" s="3"/>
      <c r="EM212" s="3"/>
      <c r="EN212" s="3"/>
      <c r="EO212" s="3"/>
      <c r="EP212" s="3"/>
      <c r="EQ212" s="3"/>
      <c r="ER212" s="3"/>
      <c r="ES212" s="3"/>
      <c r="ET212" s="3"/>
      <c r="EU212" s="3"/>
      <c r="EV212" s="3"/>
      <c r="EW212" s="3"/>
      <c r="EX212" s="3"/>
      <c r="EY212" s="3"/>
      <c r="EZ212" s="3"/>
      <c r="FA212" s="3"/>
      <c r="FB212" s="3"/>
      <c r="FC212" s="3"/>
      <c r="FD212" s="3"/>
      <c r="FE212" s="3"/>
      <c r="FF212" s="3"/>
      <c r="FG212" s="3"/>
      <c r="FH212" s="3"/>
      <c r="FI212" s="3"/>
      <c r="FJ212" s="3"/>
      <c r="FK212" s="3"/>
      <c r="FL212" s="3"/>
      <c r="FM212" s="3"/>
      <c r="FN212" s="3"/>
      <c r="FO212" s="3"/>
      <c r="FP212" s="3"/>
      <c r="FQ212" s="3"/>
      <c r="FR212" s="3"/>
      <c r="FS212" s="3"/>
      <c r="FT212" s="3"/>
      <c r="FU212" s="3"/>
      <c r="FV212" s="3"/>
      <c r="FW212" s="3"/>
      <c r="FX212" s="3"/>
      <c r="FY212" s="3"/>
      <c r="FZ212" s="3"/>
      <c r="GA212" s="3"/>
      <c r="GB212" s="3"/>
      <c r="GC212" s="3"/>
      <c r="GD212" s="3"/>
      <c r="GE212" s="3"/>
      <c r="GF212" s="3"/>
      <c r="GG212" s="3"/>
      <c r="GH212" s="3"/>
      <c r="GI212" s="3"/>
      <c r="GJ212" s="3"/>
      <c r="GK212" s="3"/>
      <c r="GL212" s="3"/>
      <c r="GM212" s="3"/>
      <c r="GN212" s="3"/>
      <c r="GO212" s="3"/>
      <c r="GP212" s="3"/>
      <c r="GQ212" s="3"/>
      <c r="GR212" s="3"/>
      <c r="GS212" s="3"/>
      <c r="GT212" s="3"/>
      <c r="GU212" s="3"/>
      <c r="GV212" s="3"/>
      <c r="GW212" s="3"/>
      <c r="GX212" s="3"/>
      <c r="GY212" s="3"/>
      <c r="GZ212" s="3"/>
      <c r="HA212" s="3"/>
      <c r="HB212" s="3"/>
      <c r="HC212" s="3"/>
      <c r="HD212" s="3"/>
      <c r="HE212" s="3"/>
      <c r="HF212" s="3"/>
      <c r="HG212" s="3"/>
      <c r="HH212" s="3"/>
      <c r="HI212" s="3"/>
      <c r="HJ212" s="3"/>
      <c r="HK212" s="3"/>
      <c r="HL212" s="3"/>
      <c r="HM212" s="3"/>
      <c r="HN212" s="3"/>
      <c r="HO212" s="3"/>
      <c r="HP212" s="3"/>
      <c r="HQ212" s="3"/>
      <c r="HR212" s="3"/>
      <c r="HS212" s="3"/>
      <c r="HT212" s="3"/>
      <c r="HU212" s="3"/>
      <c r="HV212" s="3"/>
      <c r="HW212" s="3"/>
      <c r="HX212" s="3"/>
      <c r="HY212" s="3"/>
      <c r="HZ212" s="3"/>
      <c r="IA212" s="3"/>
      <c r="IB212" s="3"/>
      <c r="IC212" s="3"/>
      <c r="ID212" s="3"/>
      <c r="IE212" s="3"/>
      <c r="IF212" s="3"/>
      <c r="IG212" s="3"/>
      <c r="IH212" s="3"/>
      <c r="II212" s="3"/>
      <c r="IJ212" s="3"/>
      <c r="IK212" s="3"/>
      <c r="IL212" s="3"/>
      <c r="IM212" s="3"/>
      <c r="IN212" s="3"/>
      <c r="IO212" s="3"/>
      <c r="IP212" s="3"/>
      <c r="IQ212" s="3"/>
      <c r="IR212" s="3"/>
      <c r="IS212" s="3"/>
      <c r="IT212" s="3"/>
      <c r="IU212" s="3"/>
      <c r="IV212" s="3"/>
      <c r="IW212" s="3"/>
      <c r="IX212" s="3"/>
      <c r="IY212" s="3"/>
      <c r="IZ212" s="3"/>
      <c r="JA212" s="3"/>
      <c r="JB212" s="3"/>
      <c r="JC212" s="3"/>
      <c r="JD212" s="3"/>
      <c r="JE212" s="3"/>
      <c r="JF212" s="3"/>
      <c r="JG212" s="3"/>
      <c r="JH212" s="3"/>
      <c r="JI212" s="3"/>
      <c r="JJ212" s="3"/>
      <c r="JK212" s="3"/>
      <c r="JL212" s="3"/>
      <c r="JM212" s="3"/>
      <c r="JN212" s="3"/>
      <c r="JO212" s="3"/>
      <c r="JP212" s="3"/>
      <c r="JQ212" s="3"/>
      <c r="JR212" s="3"/>
      <c r="JS212" s="3"/>
      <c r="JT212" s="3"/>
      <c r="JU212" s="3"/>
      <c r="JV212" s="3"/>
      <c r="JW212" s="3"/>
      <c r="JX212" s="3"/>
      <c r="JY212" s="3"/>
      <c r="JZ212" s="3"/>
      <c r="KA212" s="3"/>
      <c r="KB212" s="3"/>
      <c r="KC212" s="3"/>
      <c r="KD212" s="3"/>
      <c r="KE212" s="3"/>
      <c r="KF212" s="3"/>
      <c r="KG212" s="3"/>
      <c r="KH212" s="3"/>
      <c r="KI212" s="3"/>
      <c r="KJ212" s="3"/>
      <c r="KK212" s="3"/>
      <c r="KL212" s="3"/>
      <c r="KM212" s="3"/>
      <c r="KN212" s="3"/>
      <c r="KO212" s="3"/>
      <c r="KP212" s="3"/>
      <c r="KQ212" s="3"/>
      <c r="KR212" s="3"/>
      <c r="KS212" s="3"/>
      <c r="KT212" s="3"/>
      <c r="KU212" s="3"/>
      <c r="KV212" s="3"/>
      <c r="KW212" s="3"/>
      <c r="KX212" s="3"/>
      <c r="KY212" s="3"/>
      <c r="KZ212" s="3"/>
      <c r="LA212" s="3"/>
      <c r="LB212" s="3"/>
      <c r="LC212" s="3"/>
      <c r="LD212" s="3"/>
      <c r="LE212" s="3"/>
      <c r="LF212" s="3"/>
      <c r="LG212" s="3"/>
      <c r="LH212" s="3"/>
      <c r="LI212" s="3"/>
      <c r="LJ212" s="3"/>
      <c r="LK212" s="3"/>
      <c r="LL212" s="3"/>
      <c r="LM212" s="3"/>
      <c r="LN212" s="3"/>
      <c r="LO212" s="3"/>
      <c r="LP212" s="3"/>
      <c r="LQ212" s="3"/>
      <c r="LR212" s="3"/>
      <c r="LS212" s="3"/>
      <c r="LT212" s="3"/>
      <c r="LU212" s="3"/>
      <c r="LV212" s="3"/>
      <c r="LW212" s="3"/>
      <c r="LX212" s="3"/>
      <c r="LY212" s="3"/>
      <c r="LZ212" s="3"/>
      <c r="MA212" s="3"/>
      <c r="MB212" s="3"/>
      <c r="MC212" s="3"/>
      <c r="MD212" s="3"/>
      <c r="ME212" s="3"/>
      <c r="MF212" s="3"/>
      <c r="MG212" s="3"/>
      <c r="MH212" s="3"/>
      <c r="MI212" s="3"/>
      <c r="MJ212" s="3"/>
      <c r="MK212" s="3"/>
      <c r="ML212" s="3"/>
      <c r="MM212" s="3"/>
      <c r="MN212" s="3"/>
      <c r="MO212" s="3"/>
      <c r="MP212" s="3"/>
      <c r="MQ212" s="3"/>
      <c r="MR212" s="3"/>
      <c r="MS212" s="3"/>
      <c r="MT212" s="3"/>
      <c r="MU212" s="3"/>
      <c r="MV212" s="3"/>
      <c r="MW212" s="3"/>
      <c r="MX212" s="3"/>
      <c r="MY212" s="3"/>
      <c r="MZ212" s="3"/>
      <c r="NA212" s="3"/>
      <c r="NB212" s="3"/>
      <c r="NC212" s="3"/>
      <c r="ND212" s="3"/>
      <c r="NE212" s="3"/>
      <c r="NF212" s="3"/>
      <c r="NG212" s="3"/>
      <c r="NH212" s="3"/>
      <c r="NI212" s="3"/>
      <c r="NJ212" s="3"/>
      <c r="NK212" s="3"/>
      <c r="NL212" s="3"/>
      <c r="NM212" s="3"/>
      <c r="NN212" s="3"/>
      <c r="NO212" s="3"/>
      <c r="NP212" s="3"/>
      <c r="NQ212" s="3"/>
      <c r="NR212" s="3"/>
      <c r="NS212" s="3"/>
      <c r="NT212" s="3"/>
      <c r="NU212" s="3"/>
      <c r="NV212" s="3"/>
      <c r="NW212" s="3"/>
      <c r="NX212" s="3"/>
      <c r="NY212" s="3"/>
      <c r="NZ212" s="3"/>
      <c r="OA212" s="3"/>
      <c r="OB212" s="3"/>
      <c r="OC212" s="3"/>
      <c r="OD212" s="3"/>
      <c r="OE212" s="3"/>
      <c r="OF212" s="3"/>
      <c r="OG212" s="3"/>
      <c r="OH212" s="3"/>
      <c r="OI212" s="3"/>
      <c r="OJ212" s="3"/>
      <c r="OK212" s="3"/>
      <c r="OL212" s="3"/>
      <c r="OM212" s="3"/>
      <c r="ON212" s="3"/>
      <c r="OO212" s="3"/>
      <c r="OP212" s="3"/>
      <c r="OQ212" s="3"/>
      <c r="OR212" s="3"/>
      <c r="OS212" s="3"/>
      <c r="OT212" s="3"/>
      <c r="OU212" s="3"/>
      <c r="OV212" s="3"/>
      <c r="OW212" s="3"/>
      <c r="OX212" s="3"/>
      <c r="OY212" s="3"/>
      <c r="OZ212" s="3"/>
      <c r="PA212" s="3"/>
      <c r="PB212" s="3"/>
      <c r="PC212" s="3"/>
      <c r="PD212" s="3"/>
      <c r="PE212" s="3"/>
      <c r="PF212" s="3"/>
      <c r="PG212" s="3"/>
      <c r="PH212" s="3"/>
      <c r="PI212" s="3"/>
      <c r="PJ212" s="3"/>
      <c r="PK212" s="3"/>
      <c r="PL212" s="3"/>
      <c r="PM212" s="3"/>
      <c r="PN212" s="3"/>
      <c r="PO212" s="3"/>
      <c r="PP212" s="3"/>
      <c r="PQ212" s="3"/>
      <c r="PR212" s="3"/>
      <c r="PS212" s="3"/>
      <c r="PT212" s="3"/>
      <c r="PU212" s="3"/>
      <c r="PV212" s="3"/>
      <c r="PW212" s="3"/>
      <c r="PX212" s="3"/>
      <c r="PY212" s="3"/>
      <c r="PZ212" s="3"/>
      <c r="QA212" s="3"/>
      <c r="QB212" s="3"/>
      <c r="QC212" s="3"/>
      <c r="QD212" s="3"/>
      <c r="QE212" s="3"/>
      <c r="QF212" s="3"/>
      <c r="QG212" s="3"/>
      <c r="QH212" s="3"/>
      <c r="QI212" s="3"/>
      <c r="QJ212" s="3"/>
      <c r="QK212" s="3"/>
      <c r="QL212" s="3"/>
      <c r="QM212" s="3"/>
      <c r="QN212" s="3"/>
      <c r="QO212" s="3"/>
      <c r="QP212" s="3"/>
      <c r="QQ212" s="3"/>
      <c r="QR212" s="3"/>
      <c r="QS212" s="3"/>
      <c r="QT212" s="3"/>
      <c r="QU212" s="3"/>
      <c r="QV212" s="3"/>
      <c r="QW212" s="3"/>
      <c r="QX212" s="3"/>
      <c r="QY212" s="3"/>
      <c r="QZ212" s="3"/>
      <c r="RA212" s="3"/>
      <c r="RB212" s="3"/>
      <c r="RC212" s="3"/>
      <c r="RD212" s="3"/>
      <c r="RE212" s="3"/>
      <c r="RF212" s="3"/>
      <c r="RG212" s="3"/>
      <c r="RH212" s="3"/>
      <c r="RI212" s="3"/>
      <c r="RJ212" s="3"/>
      <c r="RK212" s="3"/>
      <c r="RL212" s="3"/>
      <c r="RM212" s="3"/>
      <c r="RN212" s="3"/>
      <c r="RO212" s="3"/>
      <c r="RP212" s="3"/>
      <c r="RQ212" s="3"/>
      <c r="RR212" s="3"/>
      <c r="RS212" s="3"/>
      <c r="RT212" s="3"/>
      <c r="RU212" s="3"/>
      <c r="RV212" s="3"/>
      <c r="RW212" s="3"/>
      <c r="RX212" s="3"/>
      <c r="RY212" s="3"/>
      <c r="RZ212" s="3"/>
      <c r="SA212" s="3"/>
      <c r="SB212" s="3"/>
      <c r="SC212" s="3"/>
      <c r="SD212" s="3"/>
      <c r="SE212" s="3"/>
      <c r="SF212" s="3"/>
      <c r="SG212" s="3"/>
      <c r="SH212" s="3"/>
      <c r="SI212" s="3"/>
      <c r="SJ212" s="3"/>
      <c r="SK212" s="3"/>
      <c r="SL212" s="3"/>
      <c r="SM212" s="3"/>
      <c r="SN212" s="3"/>
      <c r="SO212" s="3"/>
      <c r="SP212" s="3"/>
      <c r="SQ212" s="3"/>
      <c r="SR212" s="3"/>
      <c r="SS212" s="3"/>
      <c r="ST212" s="3"/>
      <c r="SU212" s="3"/>
      <c r="SV212" s="3"/>
      <c r="SW212" s="3"/>
      <c r="SX212" s="3"/>
      <c r="SY212" s="3"/>
      <c r="SZ212" s="3"/>
      <c r="TA212" s="3"/>
      <c r="TB212" s="3"/>
      <c r="TC212" s="3"/>
      <c r="TD212" s="3"/>
      <c r="TE212" s="3"/>
      <c r="TF212" s="3"/>
      <c r="TG212" s="3"/>
      <c r="TH212" s="3"/>
      <c r="TI212" s="3"/>
      <c r="TJ212" s="3"/>
      <c r="TK212" s="3"/>
      <c r="TL212" s="3"/>
      <c r="TM212" s="3"/>
      <c r="TN212" s="3"/>
      <c r="TO212" s="3"/>
      <c r="TP212" s="3"/>
      <c r="TQ212" s="3"/>
      <c r="TR212" s="3"/>
      <c r="TS212" s="3"/>
      <c r="TT212" s="3"/>
      <c r="TU212" s="3"/>
      <c r="TV212" s="3"/>
      <c r="TW212" s="3"/>
      <c r="TX212" s="3"/>
      <c r="TY212" s="3"/>
      <c r="TZ212" s="3"/>
      <c r="UA212" s="3"/>
      <c r="UB212" s="3"/>
      <c r="UC212" s="3"/>
      <c r="UD212" s="3"/>
      <c r="UE212" s="3"/>
      <c r="UF212" s="3"/>
      <c r="UG212" s="3"/>
      <c r="UH212" s="3"/>
      <c r="UI212" s="3"/>
      <c r="UJ212" s="3"/>
      <c r="UK212" s="3"/>
      <c r="UL212" s="3"/>
      <c r="UM212" s="3"/>
      <c r="UN212" s="3"/>
      <c r="UO212" s="3"/>
      <c r="UP212" s="3"/>
      <c r="UQ212" s="3"/>
      <c r="UR212" s="3"/>
      <c r="US212" s="3"/>
      <c r="UT212" s="3"/>
      <c r="UU212" s="3"/>
      <c r="UV212" s="3"/>
      <c r="UW212" s="3"/>
      <c r="UX212" s="3"/>
      <c r="UY212" s="3"/>
      <c r="UZ212" s="3"/>
      <c r="VA212" s="3"/>
      <c r="VB212" s="3"/>
      <c r="VC212" s="3"/>
      <c r="VD212" s="3"/>
      <c r="VE212" s="3"/>
      <c r="VF212" s="3"/>
      <c r="VG212" s="3"/>
      <c r="VH212" s="3"/>
      <c r="VI212" s="3"/>
      <c r="VJ212" s="3"/>
      <c r="VK212" s="3"/>
      <c r="VL212" s="3"/>
      <c r="VM212" s="3"/>
      <c r="VN212" s="3"/>
      <c r="VO212" s="3"/>
      <c r="VP212" s="3"/>
      <c r="VQ212" s="3"/>
      <c r="VR212" s="3"/>
      <c r="VS212" s="3"/>
      <c r="VT212" s="3"/>
      <c r="VU212" s="3"/>
      <c r="VV212" s="3"/>
      <c r="VW212" s="3"/>
      <c r="VX212" s="3"/>
      <c r="VY212" s="3"/>
      <c r="VZ212" s="3"/>
      <c r="WA212" s="3"/>
      <c r="WB212" s="3"/>
      <c r="WC212" s="3"/>
      <c r="WD212" s="3"/>
      <c r="WE212" s="3"/>
      <c r="WF212" s="3"/>
      <c r="WG212" s="3"/>
      <c r="WH212" s="3"/>
      <c r="WI212" s="3"/>
      <c r="WJ212" s="3"/>
      <c r="WK212" s="3"/>
      <c r="WL212" s="3"/>
      <c r="WM212" s="3"/>
      <c r="WN212" s="3"/>
      <c r="WO212" s="3"/>
      <c r="WP212" s="3"/>
      <c r="WQ212" s="3"/>
      <c r="WR212" s="3"/>
      <c r="WS212" s="3"/>
      <c r="WT212" s="3"/>
      <c r="WU212" s="3"/>
      <c r="WV212" s="3"/>
      <c r="WW212" s="3"/>
      <c r="WX212" s="3"/>
      <c r="WY212" s="3"/>
      <c r="WZ212" s="3"/>
      <c r="XA212" s="3"/>
      <c r="XB212" s="3"/>
      <c r="XC212" s="3"/>
      <c r="XD212" s="3"/>
      <c r="XE212" s="3"/>
      <c r="XF212" s="3"/>
      <c r="XG212" s="3"/>
      <c r="XH212" s="3"/>
      <c r="XI212" s="3"/>
      <c r="XJ212" s="3"/>
      <c r="XK212" s="3"/>
      <c r="XL212" s="3"/>
      <c r="XM212" s="3"/>
      <c r="XN212" s="3"/>
      <c r="XO212" s="3"/>
      <c r="XP212" s="3"/>
      <c r="XQ212" s="3"/>
      <c r="XR212" s="3"/>
      <c r="XS212" s="3"/>
      <c r="XT212" s="3"/>
      <c r="XU212" s="3"/>
      <c r="XV212" s="3"/>
      <c r="XW212" s="3"/>
      <c r="XX212" s="3"/>
      <c r="XY212" s="3"/>
      <c r="XZ212" s="3"/>
      <c r="YA212" s="3"/>
      <c r="YB212" s="3"/>
      <c r="YC212" s="3"/>
      <c r="YD212" s="3"/>
      <c r="YE212" s="3"/>
      <c r="YF212" s="3"/>
      <c r="YG212" s="3"/>
      <c r="YH212" s="3"/>
      <c r="YI212" s="3"/>
      <c r="YJ212" s="3"/>
      <c r="YK212" s="3"/>
      <c r="YL212" s="3"/>
      <c r="YM212" s="3"/>
      <c r="YN212" s="3"/>
      <c r="YO212" s="3"/>
      <c r="YP212" s="3"/>
      <c r="YQ212" s="3"/>
      <c r="YR212" s="3"/>
      <c r="YS212" s="3"/>
      <c r="YT212" s="3"/>
      <c r="YU212" s="3"/>
      <c r="YV212" s="3"/>
      <c r="YW212" s="3"/>
      <c r="YX212" s="3"/>
      <c r="YY212" s="3"/>
      <c r="YZ212" s="3"/>
      <c r="ZA212" s="3"/>
      <c r="ZB212" s="3"/>
      <c r="ZC212" s="3"/>
    </row>
    <row r="213" spans="1:679" s="2" customFormat="1" x14ac:dyDescent="0.45">
      <c r="A213" s="3" t="s">
        <v>11</v>
      </c>
      <c r="B213" s="4">
        <v>36560</v>
      </c>
      <c r="C213" s="7" t="s">
        <v>25</v>
      </c>
      <c r="D213" s="6" t="s">
        <v>229</v>
      </c>
      <c r="E213" s="3"/>
      <c r="F213" s="3">
        <v>26</v>
      </c>
      <c r="L213" s="3"/>
      <c r="M213" s="3"/>
      <c r="N213" s="48"/>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3"/>
      <c r="DI213" s="3"/>
      <c r="DJ213" s="3"/>
      <c r="DK213" s="3"/>
      <c r="DL213" s="3"/>
      <c r="DM213" s="3"/>
      <c r="DN213" s="3"/>
      <c r="DO213" s="3"/>
      <c r="DP213" s="3"/>
      <c r="DQ213" s="3"/>
      <c r="DR213" s="3"/>
      <c r="DS213" s="3"/>
      <c r="DT213" s="3"/>
      <c r="DU213" s="3"/>
      <c r="DV213" s="3"/>
      <c r="DW213" s="3"/>
      <c r="DX213" s="3"/>
      <c r="DY213" s="3"/>
      <c r="DZ213" s="3"/>
      <c r="EA213" s="3"/>
      <c r="EB213" s="3"/>
      <c r="EC213" s="3"/>
      <c r="ED213" s="3"/>
      <c r="EE213" s="3"/>
      <c r="EF213" s="3"/>
      <c r="EG213" s="3"/>
      <c r="EH213" s="3"/>
      <c r="EI213" s="3"/>
      <c r="EJ213" s="3"/>
      <c r="EK213" s="3"/>
      <c r="EL213" s="3"/>
      <c r="EM213" s="3"/>
      <c r="EN213" s="3"/>
      <c r="EO213" s="3"/>
      <c r="EP213" s="3"/>
      <c r="EQ213" s="3"/>
      <c r="ER213" s="3"/>
      <c r="ES213" s="3"/>
      <c r="ET213" s="3"/>
      <c r="EU213" s="3"/>
      <c r="EV213" s="3"/>
      <c r="EW213" s="3"/>
      <c r="EX213" s="3"/>
      <c r="EY213" s="3"/>
      <c r="EZ213" s="3"/>
      <c r="FA213" s="3"/>
      <c r="FB213" s="3"/>
      <c r="FC213" s="3"/>
      <c r="FD213" s="3"/>
      <c r="FE213" s="3"/>
      <c r="FF213" s="3"/>
      <c r="FG213" s="3"/>
      <c r="FH213" s="3"/>
      <c r="FI213" s="3"/>
      <c r="FJ213" s="3"/>
      <c r="FK213" s="3"/>
      <c r="FL213" s="3"/>
      <c r="FM213" s="3"/>
      <c r="FN213" s="3"/>
      <c r="FO213" s="3"/>
      <c r="FP213" s="3"/>
      <c r="FQ213" s="3"/>
      <c r="FR213" s="3"/>
      <c r="FS213" s="3"/>
      <c r="FT213" s="3"/>
      <c r="FU213" s="3"/>
      <c r="FV213" s="3"/>
      <c r="FW213" s="3"/>
      <c r="FX213" s="3"/>
      <c r="FY213" s="3"/>
      <c r="FZ213" s="3"/>
      <c r="GA213" s="3"/>
      <c r="GB213" s="3"/>
      <c r="GC213" s="3"/>
      <c r="GD213" s="3"/>
      <c r="GE213" s="3"/>
      <c r="GF213" s="3"/>
      <c r="GG213" s="3"/>
      <c r="GH213" s="3"/>
      <c r="GI213" s="3"/>
      <c r="GJ213" s="3"/>
      <c r="GK213" s="3"/>
      <c r="GL213" s="3"/>
      <c r="GM213" s="3"/>
      <c r="GN213" s="3"/>
      <c r="GO213" s="3"/>
      <c r="GP213" s="3"/>
      <c r="GQ213" s="3"/>
      <c r="GR213" s="3"/>
      <c r="GS213" s="3"/>
      <c r="GT213" s="3"/>
      <c r="GU213" s="3"/>
      <c r="GV213" s="3"/>
      <c r="GW213" s="3"/>
      <c r="GX213" s="3"/>
      <c r="GY213" s="3"/>
      <c r="GZ213" s="3"/>
      <c r="HA213" s="3"/>
      <c r="HB213" s="3"/>
      <c r="HC213" s="3"/>
      <c r="HD213" s="3"/>
      <c r="HE213" s="3"/>
      <c r="HF213" s="3"/>
      <c r="HG213" s="3"/>
      <c r="HH213" s="3"/>
      <c r="HI213" s="3"/>
      <c r="HJ213" s="3"/>
      <c r="HK213" s="3"/>
      <c r="HL213" s="3"/>
      <c r="HM213" s="3"/>
      <c r="HN213" s="3"/>
      <c r="HO213" s="3"/>
      <c r="HP213" s="3"/>
      <c r="HQ213" s="3"/>
      <c r="HR213" s="3"/>
      <c r="HS213" s="3"/>
      <c r="HT213" s="3"/>
      <c r="HU213" s="3"/>
      <c r="HV213" s="3"/>
      <c r="HW213" s="3"/>
      <c r="HX213" s="3"/>
      <c r="HY213" s="3"/>
      <c r="HZ213" s="3"/>
      <c r="IA213" s="3"/>
      <c r="IB213" s="3"/>
      <c r="IC213" s="3"/>
      <c r="ID213" s="3"/>
      <c r="IE213" s="3"/>
      <c r="IF213" s="3"/>
      <c r="IG213" s="3"/>
      <c r="IH213" s="3"/>
      <c r="II213" s="3"/>
      <c r="IJ213" s="3"/>
      <c r="IK213" s="3"/>
      <c r="IL213" s="3"/>
      <c r="IM213" s="3"/>
      <c r="IN213" s="3"/>
      <c r="IO213" s="3"/>
      <c r="IP213" s="3"/>
      <c r="IQ213" s="3"/>
      <c r="IR213" s="3"/>
      <c r="IS213" s="3"/>
      <c r="IT213" s="3"/>
      <c r="IU213" s="3"/>
      <c r="IV213" s="3"/>
      <c r="IW213" s="3"/>
      <c r="IX213" s="3"/>
      <c r="IY213" s="3"/>
      <c r="IZ213" s="3"/>
      <c r="JA213" s="3"/>
      <c r="JB213" s="3"/>
      <c r="JC213" s="3"/>
      <c r="JD213" s="3"/>
      <c r="JE213" s="3"/>
      <c r="JF213" s="3"/>
      <c r="JG213" s="3"/>
      <c r="JH213" s="3"/>
      <c r="JI213" s="3"/>
      <c r="JJ213" s="3"/>
      <c r="JK213" s="3"/>
      <c r="JL213" s="3"/>
      <c r="JM213" s="3"/>
      <c r="JN213" s="3"/>
      <c r="JO213" s="3"/>
      <c r="JP213" s="3"/>
      <c r="JQ213" s="3"/>
      <c r="JR213" s="3"/>
      <c r="JS213" s="3"/>
      <c r="JT213" s="3"/>
      <c r="JU213" s="3"/>
      <c r="JV213" s="3"/>
      <c r="JW213" s="3"/>
      <c r="JX213" s="3"/>
      <c r="JY213" s="3"/>
      <c r="JZ213" s="3"/>
      <c r="KA213" s="3"/>
      <c r="KB213" s="3"/>
      <c r="KC213" s="3"/>
      <c r="KD213" s="3"/>
      <c r="KE213" s="3"/>
      <c r="KF213" s="3"/>
      <c r="KG213" s="3"/>
      <c r="KH213" s="3"/>
      <c r="KI213" s="3"/>
      <c r="KJ213" s="3"/>
      <c r="KK213" s="3"/>
      <c r="KL213" s="3"/>
      <c r="KM213" s="3"/>
      <c r="KN213" s="3"/>
      <c r="KO213" s="3"/>
      <c r="KP213" s="3"/>
      <c r="KQ213" s="3"/>
      <c r="KR213" s="3"/>
      <c r="KS213" s="3"/>
      <c r="KT213" s="3"/>
      <c r="KU213" s="3"/>
      <c r="KV213" s="3"/>
      <c r="KW213" s="3"/>
      <c r="KX213" s="3"/>
      <c r="KY213" s="3"/>
      <c r="KZ213" s="3"/>
      <c r="LA213" s="3"/>
      <c r="LB213" s="3"/>
      <c r="LC213" s="3"/>
      <c r="LD213" s="3"/>
      <c r="LE213" s="3"/>
      <c r="LF213" s="3"/>
      <c r="LG213" s="3"/>
      <c r="LH213" s="3"/>
      <c r="LI213" s="3"/>
      <c r="LJ213" s="3"/>
      <c r="LK213" s="3"/>
      <c r="LL213" s="3"/>
      <c r="LM213" s="3"/>
      <c r="LN213" s="3"/>
      <c r="LO213" s="3"/>
      <c r="LP213" s="3"/>
      <c r="LQ213" s="3"/>
      <c r="LR213" s="3"/>
      <c r="LS213" s="3"/>
      <c r="LT213" s="3"/>
      <c r="LU213" s="3"/>
      <c r="LV213" s="3"/>
      <c r="LW213" s="3"/>
      <c r="LX213" s="3"/>
      <c r="LY213" s="3"/>
      <c r="LZ213" s="3"/>
      <c r="MA213" s="3"/>
      <c r="MB213" s="3"/>
      <c r="MC213" s="3"/>
      <c r="MD213" s="3"/>
      <c r="ME213" s="3"/>
      <c r="MF213" s="3"/>
      <c r="MG213" s="3"/>
      <c r="MH213" s="3"/>
      <c r="MI213" s="3"/>
      <c r="MJ213" s="3"/>
      <c r="MK213" s="3"/>
      <c r="ML213" s="3"/>
      <c r="MM213" s="3"/>
      <c r="MN213" s="3"/>
      <c r="MO213" s="3"/>
      <c r="MP213" s="3"/>
      <c r="MQ213" s="3"/>
      <c r="MR213" s="3"/>
      <c r="MS213" s="3"/>
      <c r="MT213" s="3"/>
      <c r="MU213" s="3"/>
      <c r="MV213" s="3"/>
      <c r="MW213" s="3"/>
      <c r="MX213" s="3"/>
      <c r="MY213" s="3"/>
      <c r="MZ213" s="3"/>
      <c r="NA213" s="3"/>
      <c r="NB213" s="3"/>
      <c r="NC213" s="3"/>
      <c r="ND213" s="3"/>
      <c r="NE213" s="3"/>
      <c r="NF213" s="3"/>
      <c r="NG213" s="3"/>
      <c r="NH213" s="3"/>
      <c r="NI213" s="3"/>
      <c r="NJ213" s="3"/>
      <c r="NK213" s="3"/>
      <c r="NL213" s="3"/>
      <c r="NM213" s="3"/>
      <c r="NN213" s="3"/>
      <c r="NO213" s="3"/>
      <c r="NP213" s="3"/>
      <c r="NQ213" s="3"/>
      <c r="NR213" s="3"/>
      <c r="NS213" s="3"/>
      <c r="NT213" s="3"/>
      <c r="NU213" s="3"/>
      <c r="NV213" s="3"/>
      <c r="NW213" s="3"/>
      <c r="NX213" s="3"/>
      <c r="NY213" s="3"/>
      <c r="NZ213" s="3"/>
      <c r="OA213" s="3"/>
      <c r="OB213" s="3"/>
      <c r="OC213" s="3"/>
      <c r="OD213" s="3"/>
      <c r="OE213" s="3"/>
      <c r="OF213" s="3"/>
      <c r="OG213" s="3"/>
      <c r="OH213" s="3"/>
      <c r="OI213" s="3"/>
      <c r="OJ213" s="3"/>
      <c r="OK213" s="3"/>
      <c r="OL213" s="3"/>
      <c r="OM213" s="3"/>
      <c r="ON213" s="3"/>
      <c r="OO213" s="3"/>
      <c r="OP213" s="3"/>
      <c r="OQ213" s="3"/>
      <c r="OR213" s="3"/>
      <c r="OS213" s="3"/>
      <c r="OT213" s="3"/>
      <c r="OU213" s="3"/>
      <c r="OV213" s="3"/>
      <c r="OW213" s="3"/>
      <c r="OX213" s="3"/>
      <c r="OY213" s="3"/>
      <c r="OZ213" s="3"/>
      <c r="PA213" s="3"/>
      <c r="PB213" s="3"/>
      <c r="PC213" s="3"/>
      <c r="PD213" s="3"/>
      <c r="PE213" s="3"/>
      <c r="PF213" s="3"/>
      <c r="PG213" s="3"/>
      <c r="PH213" s="3"/>
      <c r="PI213" s="3"/>
      <c r="PJ213" s="3"/>
      <c r="PK213" s="3"/>
      <c r="PL213" s="3"/>
      <c r="PM213" s="3"/>
      <c r="PN213" s="3"/>
      <c r="PO213" s="3"/>
      <c r="PP213" s="3"/>
      <c r="PQ213" s="3"/>
      <c r="PR213" s="3"/>
      <c r="PS213" s="3"/>
      <c r="PT213" s="3"/>
      <c r="PU213" s="3"/>
      <c r="PV213" s="3"/>
      <c r="PW213" s="3"/>
      <c r="PX213" s="3"/>
      <c r="PY213" s="3"/>
      <c r="PZ213" s="3"/>
      <c r="QA213" s="3"/>
      <c r="QB213" s="3"/>
      <c r="QC213" s="3"/>
      <c r="QD213" s="3"/>
      <c r="QE213" s="3"/>
      <c r="QF213" s="3"/>
      <c r="QG213" s="3"/>
      <c r="QH213" s="3"/>
      <c r="QI213" s="3"/>
      <c r="QJ213" s="3"/>
      <c r="QK213" s="3"/>
      <c r="QL213" s="3"/>
      <c r="QM213" s="3"/>
      <c r="QN213" s="3"/>
      <c r="QO213" s="3"/>
      <c r="QP213" s="3"/>
      <c r="QQ213" s="3"/>
      <c r="QR213" s="3"/>
      <c r="QS213" s="3"/>
      <c r="QT213" s="3"/>
      <c r="QU213" s="3"/>
      <c r="QV213" s="3"/>
      <c r="QW213" s="3"/>
      <c r="QX213" s="3"/>
      <c r="QY213" s="3"/>
      <c r="QZ213" s="3"/>
      <c r="RA213" s="3"/>
      <c r="RB213" s="3"/>
      <c r="RC213" s="3"/>
      <c r="RD213" s="3"/>
      <c r="RE213" s="3"/>
      <c r="RF213" s="3"/>
      <c r="RG213" s="3"/>
      <c r="RH213" s="3"/>
      <c r="RI213" s="3"/>
      <c r="RJ213" s="3"/>
      <c r="RK213" s="3"/>
      <c r="RL213" s="3"/>
      <c r="RM213" s="3"/>
      <c r="RN213" s="3"/>
      <c r="RO213" s="3"/>
      <c r="RP213" s="3"/>
      <c r="RQ213" s="3"/>
      <c r="RR213" s="3"/>
      <c r="RS213" s="3"/>
      <c r="RT213" s="3"/>
      <c r="RU213" s="3"/>
      <c r="RV213" s="3"/>
      <c r="RW213" s="3"/>
      <c r="RX213" s="3"/>
      <c r="RY213" s="3"/>
      <c r="RZ213" s="3"/>
      <c r="SA213" s="3"/>
      <c r="SB213" s="3"/>
      <c r="SC213" s="3"/>
      <c r="SD213" s="3"/>
      <c r="SE213" s="3"/>
      <c r="SF213" s="3"/>
      <c r="SG213" s="3"/>
      <c r="SH213" s="3"/>
      <c r="SI213" s="3"/>
      <c r="SJ213" s="3"/>
      <c r="SK213" s="3"/>
      <c r="SL213" s="3"/>
      <c r="SM213" s="3"/>
      <c r="SN213" s="3"/>
      <c r="SO213" s="3"/>
      <c r="SP213" s="3"/>
      <c r="SQ213" s="3"/>
      <c r="SR213" s="3"/>
      <c r="SS213" s="3"/>
      <c r="ST213" s="3"/>
      <c r="SU213" s="3"/>
      <c r="SV213" s="3"/>
      <c r="SW213" s="3"/>
      <c r="SX213" s="3"/>
      <c r="SY213" s="3"/>
      <c r="SZ213" s="3"/>
      <c r="TA213" s="3"/>
      <c r="TB213" s="3"/>
      <c r="TC213" s="3"/>
      <c r="TD213" s="3"/>
      <c r="TE213" s="3"/>
      <c r="TF213" s="3"/>
      <c r="TG213" s="3"/>
      <c r="TH213" s="3"/>
      <c r="TI213" s="3"/>
      <c r="TJ213" s="3"/>
      <c r="TK213" s="3"/>
      <c r="TL213" s="3"/>
      <c r="TM213" s="3"/>
      <c r="TN213" s="3"/>
      <c r="TO213" s="3"/>
      <c r="TP213" s="3"/>
      <c r="TQ213" s="3"/>
      <c r="TR213" s="3"/>
      <c r="TS213" s="3"/>
      <c r="TT213" s="3"/>
      <c r="TU213" s="3"/>
      <c r="TV213" s="3"/>
      <c r="TW213" s="3"/>
      <c r="TX213" s="3"/>
      <c r="TY213" s="3"/>
      <c r="TZ213" s="3"/>
      <c r="UA213" s="3"/>
      <c r="UB213" s="3"/>
      <c r="UC213" s="3"/>
      <c r="UD213" s="3"/>
      <c r="UE213" s="3"/>
      <c r="UF213" s="3"/>
      <c r="UG213" s="3"/>
      <c r="UH213" s="3"/>
      <c r="UI213" s="3"/>
      <c r="UJ213" s="3"/>
      <c r="UK213" s="3"/>
      <c r="UL213" s="3"/>
      <c r="UM213" s="3"/>
      <c r="UN213" s="3"/>
      <c r="UO213" s="3"/>
      <c r="UP213" s="3"/>
      <c r="UQ213" s="3"/>
      <c r="UR213" s="3"/>
      <c r="US213" s="3"/>
      <c r="UT213" s="3"/>
      <c r="UU213" s="3"/>
      <c r="UV213" s="3"/>
      <c r="UW213" s="3"/>
      <c r="UX213" s="3"/>
      <c r="UY213" s="3"/>
      <c r="UZ213" s="3"/>
      <c r="VA213" s="3"/>
      <c r="VB213" s="3"/>
      <c r="VC213" s="3"/>
      <c r="VD213" s="3"/>
      <c r="VE213" s="3"/>
      <c r="VF213" s="3"/>
      <c r="VG213" s="3"/>
      <c r="VH213" s="3"/>
      <c r="VI213" s="3"/>
      <c r="VJ213" s="3"/>
      <c r="VK213" s="3"/>
      <c r="VL213" s="3"/>
      <c r="VM213" s="3"/>
      <c r="VN213" s="3"/>
      <c r="VO213" s="3"/>
      <c r="VP213" s="3"/>
      <c r="VQ213" s="3"/>
      <c r="VR213" s="3"/>
      <c r="VS213" s="3"/>
      <c r="VT213" s="3"/>
      <c r="VU213" s="3"/>
      <c r="VV213" s="3"/>
      <c r="VW213" s="3"/>
      <c r="VX213" s="3"/>
      <c r="VY213" s="3"/>
      <c r="VZ213" s="3"/>
      <c r="WA213" s="3"/>
      <c r="WB213" s="3"/>
      <c r="WC213" s="3"/>
      <c r="WD213" s="3"/>
      <c r="WE213" s="3"/>
      <c r="WF213" s="3"/>
      <c r="WG213" s="3"/>
      <c r="WH213" s="3"/>
      <c r="WI213" s="3"/>
      <c r="WJ213" s="3"/>
      <c r="WK213" s="3"/>
      <c r="WL213" s="3"/>
      <c r="WM213" s="3"/>
      <c r="WN213" s="3"/>
      <c r="WO213" s="3"/>
      <c r="WP213" s="3"/>
      <c r="WQ213" s="3"/>
      <c r="WR213" s="3"/>
      <c r="WS213" s="3"/>
      <c r="WT213" s="3"/>
      <c r="WU213" s="3"/>
      <c r="WV213" s="3"/>
      <c r="WW213" s="3"/>
      <c r="WX213" s="3"/>
      <c r="WY213" s="3"/>
      <c r="WZ213" s="3"/>
      <c r="XA213" s="3"/>
      <c r="XB213" s="3"/>
      <c r="XC213" s="3"/>
      <c r="XD213" s="3"/>
      <c r="XE213" s="3"/>
      <c r="XF213" s="3"/>
      <c r="XG213" s="3"/>
      <c r="XH213" s="3"/>
      <c r="XI213" s="3"/>
      <c r="XJ213" s="3"/>
      <c r="XK213" s="3"/>
      <c r="XL213" s="3"/>
      <c r="XM213" s="3"/>
      <c r="XN213" s="3"/>
      <c r="XO213" s="3"/>
      <c r="XP213" s="3"/>
      <c r="XQ213" s="3"/>
      <c r="XR213" s="3"/>
      <c r="XS213" s="3"/>
      <c r="XT213" s="3"/>
      <c r="XU213" s="3"/>
      <c r="XV213" s="3"/>
      <c r="XW213" s="3"/>
      <c r="XX213" s="3"/>
      <c r="XY213" s="3"/>
      <c r="XZ213" s="3"/>
      <c r="YA213" s="3"/>
      <c r="YB213" s="3"/>
      <c r="YC213" s="3"/>
      <c r="YD213" s="3"/>
      <c r="YE213" s="3"/>
      <c r="YF213" s="3"/>
      <c r="YG213" s="3"/>
      <c r="YH213" s="3"/>
      <c r="YI213" s="3"/>
      <c r="YJ213" s="3"/>
      <c r="YK213" s="3"/>
      <c r="YL213" s="3"/>
      <c r="YM213" s="3"/>
      <c r="YN213" s="3"/>
      <c r="YO213" s="3"/>
      <c r="YP213" s="3"/>
      <c r="YQ213" s="3"/>
      <c r="YR213" s="3"/>
      <c r="YS213" s="3"/>
      <c r="YT213" s="3"/>
      <c r="YU213" s="3"/>
      <c r="YV213" s="3"/>
      <c r="YW213" s="3"/>
      <c r="YX213" s="3"/>
      <c r="YY213" s="3"/>
      <c r="YZ213" s="3"/>
      <c r="ZA213" s="3"/>
      <c r="ZB213" s="3"/>
      <c r="ZC213" s="3"/>
    </row>
    <row r="214" spans="1:679" s="2" customFormat="1" x14ac:dyDescent="0.45">
      <c r="A214" s="3" t="s">
        <v>11</v>
      </c>
      <c r="B214" s="4">
        <v>36566</v>
      </c>
      <c r="C214" s="7" t="s">
        <v>21</v>
      </c>
      <c r="D214" s="6" t="s">
        <v>230</v>
      </c>
      <c r="E214" s="3"/>
      <c r="F214" s="3">
        <v>27</v>
      </c>
      <c r="L214" s="3"/>
      <c r="M214" s="3"/>
      <c r="N214" s="48"/>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c r="CU214" s="3"/>
      <c r="CV214" s="3"/>
      <c r="CW214" s="3"/>
      <c r="CX214" s="3"/>
      <c r="CY214" s="3"/>
      <c r="CZ214" s="3"/>
      <c r="DA214" s="3"/>
      <c r="DB214" s="3"/>
      <c r="DC214" s="3"/>
      <c r="DD214" s="3"/>
      <c r="DE214" s="3"/>
      <c r="DF214" s="3"/>
      <c r="DG214" s="3"/>
      <c r="DH214" s="3"/>
      <c r="DI214" s="3"/>
      <c r="DJ214" s="3"/>
      <c r="DK214" s="3"/>
      <c r="DL214" s="3"/>
      <c r="DM214" s="3"/>
      <c r="DN214" s="3"/>
      <c r="DO214" s="3"/>
      <c r="DP214" s="3"/>
      <c r="DQ214" s="3"/>
      <c r="DR214" s="3"/>
      <c r="DS214" s="3"/>
      <c r="DT214" s="3"/>
      <c r="DU214" s="3"/>
      <c r="DV214" s="3"/>
      <c r="DW214" s="3"/>
      <c r="DX214" s="3"/>
      <c r="DY214" s="3"/>
      <c r="DZ214" s="3"/>
      <c r="EA214" s="3"/>
      <c r="EB214" s="3"/>
      <c r="EC214" s="3"/>
      <c r="ED214" s="3"/>
      <c r="EE214" s="3"/>
      <c r="EF214" s="3"/>
      <c r="EG214" s="3"/>
      <c r="EH214" s="3"/>
      <c r="EI214" s="3"/>
      <c r="EJ214" s="3"/>
      <c r="EK214" s="3"/>
      <c r="EL214" s="3"/>
      <c r="EM214" s="3"/>
      <c r="EN214" s="3"/>
      <c r="EO214" s="3"/>
      <c r="EP214" s="3"/>
      <c r="EQ214" s="3"/>
      <c r="ER214" s="3"/>
      <c r="ES214" s="3"/>
      <c r="ET214" s="3"/>
      <c r="EU214" s="3"/>
      <c r="EV214" s="3"/>
      <c r="EW214" s="3"/>
      <c r="EX214" s="3"/>
      <c r="EY214" s="3"/>
      <c r="EZ214" s="3"/>
      <c r="FA214" s="3"/>
      <c r="FB214" s="3"/>
      <c r="FC214" s="3"/>
      <c r="FD214" s="3"/>
      <c r="FE214" s="3"/>
      <c r="FF214" s="3"/>
      <c r="FG214" s="3"/>
      <c r="FH214" s="3"/>
      <c r="FI214" s="3"/>
      <c r="FJ214" s="3"/>
      <c r="FK214" s="3"/>
      <c r="FL214" s="3"/>
      <c r="FM214" s="3"/>
      <c r="FN214" s="3"/>
      <c r="FO214" s="3"/>
      <c r="FP214" s="3"/>
      <c r="FQ214" s="3"/>
      <c r="FR214" s="3"/>
      <c r="FS214" s="3"/>
      <c r="FT214" s="3"/>
      <c r="FU214" s="3"/>
      <c r="FV214" s="3"/>
      <c r="FW214" s="3"/>
      <c r="FX214" s="3"/>
      <c r="FY214" s="3"/>
      <c r="FZ214" s="3"/>
      <c r="GA214" s="3"/>
      <c r="GB214" s="3"/>
      <c r="GC214" s="3"/>
      <c r="GD214" s="3"/>
      <c r="GE214" s="3"/>
      <c r="GF214" s="3"/>
      <c r="GG214" s="3"/>
      <c r="GH214" s="3"/>
      <c r="GI214" s="3"/>
      <c r="GJ214" s="3"/>
      <c r="GK214" s="3"/>
      <c r="GL214" s="3"/>
      <c r="GM214" s="3"/>
      <c r="GN214" s="3"/>
      <c r="GO214" s="3"/>
      <c r="GP214" s="3"/>
      <c r="GQ214" s="3"/>
      <c r="GR214" s="3"/>
      <c r="GS214" s="3"/>
      <c r="GT214" s="3"/>
      <c r="GU214" s="3"/>
      <c r="GV214" s="3"/>
      <c r="GW214" s="3"/>
      <c r="GX214" s="3"/>
      <c r="GY214" s="3"/>
      <c r="GZ214" s="3"/>
      <c r="HA214" s="3"/>
      <c r="HB214" s="3"/>
      <c r="HC214" s="3"/>
      <c r="HD214" s="3"/>
      <c r="HE214" s="3"/>
      <c r="HF214" s="3"/>
      <c r="HG214" s="3"/>
      <c r="HH214" s="3"/>
      <c r="HI214" s="3"/>
      <c r="HJ214" s="3"/>
      <c r="HK214" s="3"/>
      <c r="HL214" s="3"/>
      <c r="HM214" s="3"/>
      <c r="HN214" s="3"/>
      <c r="HO214" s="3"/>
      <c r="HP214" s="3"/>
      <c r="HQ214" s="3"/>
      <c r="HR214" s="3"/>
      <c r="HS214" s="3"/>
      <c r="HT214" s="3"/>
      <c r="HU214" s="3"/>
      <c r="HV214" s="3"/>
      <c r="HW214" s="3"/>
      <c r="HX214" s="3"/>
      <c r="HY214" s="3"/>
      <c r="HZ214" s="3"/>
      <c r="IA214" s="3"/>
      <c r="IB214" s="3"/>
      <c r="IC214" s="3"/>
      <c r="ID214" s="3"/>
      <c r="IE214" s="3"/>
      <c r="IF214" s="3"/>
      <c r="IG214" s="3"/>
      <c r="IH214" s="3"/>
      <c r="II214" s="3"/>
      <c r="IJ214" s="3"/>
      <c r="IK214" s="3"/>
      <c r="IL214" s="3"/>
      <c r="IM214" s="3"/>
      <c r="IN214" s="3"/>
      <c r="IO214" s="3"/>
      <c r="IP214" s="3"/>
      <c r="IQ214" s="3"/>
      <c r="IR214" s="3"/>
      <c r="IS214" s="3"/>
      <c r="IT214" s="3"/>
      <c r="IU214" s="3"/>
      <c r="IV214" s="3"/>
      <c r="IW214" s="3"/>
      <c r="IX214" s="3"/>
      <c r="IY214" s="3"/>
      <c r="IZ214" s="3"/>
      <c r="JA214" s="3"/>
      <c r="JB214" s="3"/>
      <c r="JC214" s="3"/>
      <c r="JD214" s="3"/>
      <c r="JE214" s="3"/>
      <c r="JF214" s="3"/>
      <c r="JG214" s="3"/>
      <c r="JH214" s="3"/>
      <c r="JI214" s="3"/>
      <c r="JJ214" s="3"/>
      <c r="JK214" s="3"/>
      <c r="JL214" s="3"/>
      <c r="JM214" s="3"/>
      <c r="JN214" s="3"/>
      <c r="JO214" s="3"/>
      <c r="JP214" s="3"/>
      <c r="JQ214" s="3"/>
      <c r="JR214" s="3"/>
      <c r="JS214" s="3"/>
      <c r="JT214" s="3"/>
      <c r="JU214" s="3"/>
      <c r="JV214" s="3"/>
      <c r="JW214" s="3"/>
      <c r="JX214" s="3"/>
      <c r="JY214" s="3"/>
      <c r="JZ214" s="3"/>
      <c r="KA214" s="3"/>
      <c r="KB214" s="3"/>
      <c r="KC214" s="3"/>
      <c r="KD214" s="3"/>
      <c r="KE214" s="3"/>
      <c r="KF214" s="3"/>
      <c r="KG214" s="3"/>
      <c r="KH214" s="3"/>
      <c r="KI214" s="3"/>
      <c r="KJ214" s="3"/>
      <c r="KK214" s="3"/>
      <c r="KL214" s="3"/>
      <c r="KM214" s="3"/>
      <c r="KN214" s="3"/>
      <c r="KO214" s="3"/>
      <c r="KP214" s="3"/>
      <c r="KQ214" s="3"/>
      <c r="KR214" s="3"/>
      <c r="KS214" s="3"/>
      <c r="KT214" s="3"/>
      <c r="KU214" s="3"/>
      <c r="KV214" s="3"/>
      <c r="KW214" s="3"/>
      <c r="KX214" s="3"/>
      <c r="KY214" s="3"/>
      <c r="KZ214" s="3"/>
      <c r="LA214" s="3"/>
      <c r="LB214" s="3"/>
      <c r="LC214" s="3"/>
      <c r="LD214" s="3"/>
      <c r="LE214" s="3"/>
      <c r="LF214" s="3"/>
      <c r="LG214" s="3"/>
      <c r="LH214" s="3"/>
      <c r="LI214" s="3"/>
      <c r="LJ214" s="3"/>
      <c r="LK214" s="3"/>
      <c r="LL214" s="3"/>
      <c r="LM214" s="3"/>
      <c r="LN214" s="3"/>
      <c r="LO214" s="3"/>
      <c r="LP214" s="3"/>
      <c r="LQ214" s="3"/>
      <c r="LR214" s="3"/>
      <c r="LS214" s="3"/>
      <c r="LT214" s="3"/>
      <c r="LU214" s="3"/>
      <c r="LV214" s="3"/>
      <c r="LW214" s="3"/>
      <c r="LX214" s="3"/>
      <c r="LY214" s="3"/>
      <c r="LZ214" s="3"/>
      <c r="MA214" s="3"/>
      <c r="MB214" s="3"/>
      <c r="MC214" s="3"/>
      <c r="MD214" s="3"/>
      <c r="ME214" s="3"/>
      <c r="MF214" s="3"/>
      <c r="MG214" s="3"/>
      <c r="MH214" s="3"/>
      <c r="MI214" s="3"/>
      <c r="MJ214" s="3"/>
      <c r="MK214" s="3"/>
      <c r="ML214" s="3"/>
      <c r="MM214" s="3"/>
      <c r="MN214" s="3"/>
      <c r="MO214" s="3"/>
      <c r="MP214" s="3"/>
      <c r="MQ214" s="3"/>
      <c r="MR214" s="3"/>
      <c r="MS214" s="3"/>
      <c r="MT214" s="3"/>
      <c r="MU214" s="3"/>
      <c r="MV214" s="3"/>
      <c r="MW214" s="3"/>
      <c r="MX214" s="3"/>
      <c r="MY214" s="3"/>
      <c r="MZ214" s="3"/>
      <c r="NA214" s="3"/>
      <c r="NB214" s="3"/>
      <c r="NC214" s="3"/>
      <c r="ND214" s="3"/>
      <c r="NE214" s="3"/>
      <c r="NF214" s="3"/>
      <c r="NG214" s="3"/>
      <c r="NH214" s="3"/>
      <c r="NI214" s="3"/>
      <c r="NJ214" s="3"/>
      <c r="NK214" s="3"/>
      <c r="NL214" s="3"/>
      <c r="NM214" s="3"/>
      <c r="NN214" s="3"/>
      <c r="NO214" s="3"/>
      <c r="NP214" s="3"/>
      <c r="NQ214" s="3"/>
      <c r="NR214" s="3"/>
      <c r="NS214" s="3"/>
      <c r="NT214" s="3"/>
      <c r="NU214" s="3"/>
      <c r="NV214" s="3"/>
      <c r="NW214" s="3"/>
      <c r="NX214" s="3"/>
      <c r="NY214" s="3"/>
      <c r="NZ214" s="3"/>
      <c r="OA214" s="3"/>
      <c r="OB214" s="3"/>
      <c r="OC214" s="3"/>
      <c r="OD214" s="3"/>
      <c r="OE214" s="3"/>
      <c r="OF214" s="3"/>
      <c r="OG214" s="3"/>
      <c r="OH214" s="3"/>
      <c r="OI214" s="3"/>
      <c r="OJ214" s="3"/>
      <c r="OK214" s="3"/>
      <c r="OL214" s="3"/>
      <c r="OM214" s="3"/>
      <c r="ON214" s="3"/>
      <c r="OO214" s="3"/>
      <c r="OP214" s="3"/>
      <c r="OQ214" s="3"/>
      <c r="OR214" s="3"/>
      <c r="OS214" s="3"/>
      <c r="OT214" s="3"/>
      <c r="OU214" s="3"/>
      <c r="OV214" s="3"/>
      <c r="OW214" s="3"/>
      <c r="OX214" s="3"/>
      <c r="OY214" s="3"/>
      <c r="OZ214" s="3"/>
      <c r="PA214" s="3"/>
      <c r="PB214" s="3"/>
      <c r="PC214" s="3"/>
      <c r="PD214" s="3"/>
      <c r="PE214" s="3"/>
      <c r="PF214" s="3"/>
      <c r="PG214" s="3"/>
      <c r="PH214" s="3"/>
      <c r="PI214" s="3"/>
      <c r="PJ214" s="3"/>
      <c r="PK214" s="3"/>
      <c r="PL214" s="3"/>
      <c r="PM214" s="3"/>
      <c r="PN214" s="3"/>
      <c r="PO214" s="3"/>
      <c r="PP214" s="3"/>
      <c r="PQ214" s="3"/>
      <c r="PR214" s="3"/>
      <c r="PS214" s="3"/>
      <c r="PT214" s="3"/>
      <c r="PU214" s="3"/>
      <c r="PV214" s="3"/>
      <c r="PW214" s="3"/>
      <c r="PX214" s="3"/>
      <c r="PY214" s="3"/>
      <c r="PZ214" s="3"/>
      <c r="QA214" s="3"/>
      <c r="QB214" s="3"/>
      <c r="QC214" s="3"/>
      <c r="QD214" s="3"/>
      <c r="QE214" s="3"/>
      <c r="QF214" s="3"/>
      <c r="QG214" s="3"/>
      <c r="QH214" s="3"/>
      <c r="QI214" s="3"/>
      <c r="QJ214" s="3"/>
      <c r="QK214" s="3"/>
      <c r="QL214" s="3"/>
      <c r="QM214" s="3"/>
      <c r="QN214" s="3"/>
      <c r="QO214" s="3"/>
      <c r="QP214" s="3"/>
      <c r="QQ214" s="3"/>
      <c r="QR214" s="3"/>
      <c r="QS214" s="3"/>
      <c r="QT214" s="3"/>
      <c r="QU214" s="3"/>
      <c r="QV214" s="3"/>
      <c r="QW214" s="3"/>
      <c r="QX214" s="3"/>
      <c r="QY214" s="3"/>
      <c r="QZ214" s="3"/>
      <c r="RA214" s="3"/>
      <c r="RB214" s="3"/>
      <c r="RC214" s="3"/>
      <c r="RD214" s="3"/>
      <c r="RE214" s="3"/>
      <c r="RF214" s="3"/>
      <c r="RG214" s="3"/>
      <c r="RH214" s="3"/>
      <c r="RI214" s="3"/>
      <c r="RJ214" s="3"/>
      <c r="RK214" s="3"/>
      <c r="RL214" s="3"/>
      <c r="RM214" s="3"/>
      <c r="RN214" s="3"/>
      <c r="RO214" s="3"/>
      <c r="RP214" s="3"/>
      <c r="RQ214" s="3"/>
      <c r="RR214" s="3"/>
      <c r="RS214" s="3"/>
      <c r="RT214" s="3"/>
      <c r="RU214" s="3"/>
      <c r="RV214" s="3"/>
      <c r="RW214" s="3"/>
      <c r="RX214" s="3"/>
      <c r="RY214" s="3"/>
      <c r="RZ214" s="3"/>
      <c r="SA214" s="3"/>
      <c r="SB214" s="3"/>
      <c r="SC214" s="3"/>
      <c r="SD214" s="3"/>
      <c r="SE214" s="3"/>
      <c r="SF214" s="3"/>
      <c r="SG214" s="3"/>
      <c r="SH214" s="3"/>
      <c r="SI214" s="3"/>
      <c r="SJ214" s="3"/>
      <c r="SK214" s="3"/>
      <c r="SL214" s="3"/>
      <c r="SM214" s="3"/>
      <c r="SN214" s="3"/>
      <c r="SO214" s="3"/>
      <c r="SP214" s="3"/>
      <c r="SQ214" s="3"/>
      <c r="SR214" s="3"/>
      <c r="SS214" s="3"/>
      <c r="ST214" s="3"/>
      <c r="SU214" s="3"/>
      <c r="SV214" s="3"/>
      <c r="SW214" s="3"/>
      <c r="SX214" s="3"/>
      <c r="SY214" s="3"/>
      <c r="SZ214" s="3"/>
      <c r="TA214" s="3"/>
      <c r="TB214" s="3"/>
      <c r="TC214" s="3"/>
      <c r="TD214" s="3"/>
      <c r="TE214" s="3"/>
      <c r="TF214" s="3"/>
      <c r="TG214" s="3"/>
      <c r="TH214" s="3"/>
      <c r="TI214" s="3"/>
      <c r="TJ214" s="3"/>
      <c r="TK214" s="3"/>
      <c r="TL214" s="3"/>
      <c r="TM214" s="3"/>
      <c r="TN214" s="3"/>
      <c r="TO214" s="3"/>
      <c r="TP214" s="3"/>
      <c r="TQ214" s="3"/>
      <c r="TR214" s="3"/>
      <c r="TS214" s="3"/>
      <c r="TT214" s="3"/>
      <c r="TU214" s="3"/>
      <c r="TV214" s="3"/>
      <c r="TW214" s="3"/>
      <c r="TX214" s="3"/>
      <c r="TY214" s="3"/>
      <c r="TZ214" s="3"/>
      <c r="UA214" s="3"/>
      <c r="UB214" s="3"/>
      <c r="UC214" s="3"/>
      <c r="UD214" s="3"/>
      <c r="UE214" s="3"/>
      <c r="UF214" s="3"/>
      <c r="UG214" s="3"/>
      <c r="UH214" s="3"/>
      <c r="UI214" s="3"/>
      <c r="UJ214" s="3"/>
      <c r="UK214" s="3"/>
      <c r="UL214" s="3"/>
      <c r="UM214" s="3"/>
      <c r="UN214" s="3"/>
      <c r="UO214" s="3"/>
      <c r="UP214" s="3"/>
      <c r="UQ214" s="3"/>
      <c r="UR214" s="3"/>
      <c r="US214" s="3"/>
      <c r="UT214" s="3"/>
      <c r="UU214" s="3"/>
      <c r="UV214" s="3"/>
      <c r="UW214" s="3"/>
      <c r="UX214" s="3"/>
      <c r="UY214" s="3"/>
      <c r="UZ214" s="3"/>
      <c r="VA214" s="3"/>
      <c r="VB214" s="3"/>
      <c r="VC214" s="3"/>
      <c r="VD214" s="3"/>
      <c r="VE214" s="3"/>
      <c r="VF214" s="3"/>
      <c r="VG214" s="3"/>
      <c r="VH214" s="3"/>
      <c r="VI214" s="3"/>
      <c r="VJ214" s="3"/>
      <c r="VK214" s="3"/>
      <c r="VL214" s="3"/>
      <c r="VM214" s="3"/>
      <c r="VN214" s="3"/>
      <c r="VO214" s="3"/>
      <c r="VP214" s="3"/>
      <c r="VQ214" s="3"/>
      <c r="VR214" s="3"/>
      <c r="VS214" s="3"/>
      <c r="VT214" s="3"/>
      <c r="VU214" s="3"/>
      <c r="VV214" s="3"/>
      <c r="VW214" s="3"/>
      <c r="VX214" s="3"/>
      <c r="VY214" s="3"/>
      <c r="VZ214" s="3"/>
      <c r="WA214" s="3"/>
      <c r="WB214" s="3"/>
      <c r="WC214" s="3"/>
      <c r="WD214" s="3"/>
      <c r="WE214" s="3"/>
      <c r="WF214" s="3"/>
      <c r="WG214" s="3"/>
      <c r="WH214" s="3"/>
      <c r="WI214" s="3"/>
      <c r="WJ214" s="3"/>
      <c r="WK214" s="3"/>
      <c r="WL214" s="3"/>
      <c r="WM214" s="3"/>
      <c r="WN214" s="3"/>
      <c r="WO214" s="3"/>
      <c r="WP214" s="3"/>
      <c r="WQ214" s="3"/>
      <c r="WR214" s="3"/>
      <c r="WS214" s="3"/>
      <c r="WT214" s="3"/>
      <c r="WU214" s="3"/>
      <c r="WV214" s="3"/>
      <c r="WW214" s="3"/>
      <c r="WX214" s="3"/>
      <c r="WY214" s="3"/>
      <c r="WZ214" s="3"/>
      <c r="XA214" s="3"/>
      <c r="XB214" s="3"/>
      <c r="XC214" s="3"/>
      <c r="XD214" s="3"/>
      <c r="XE214" s="3"/>
      <c r="XF214" s="3"/>
      <c r="XG214" s="3"/>
      <c r="XH214" s="3"/>
      <c r="XI214" s="3"/>
      <c r="XJ214" s="3"/>
      <c r="XK214" s="3"/>
      <c r="XL214" s="3"/>
      <c r="XM214" s="3"/>
      <c r="XN214" s="3"/>
      <c r="XO214" s="3"/>
      <c r="XP214" s="3"/>
      <c r="XQ214" s="3"/>
      <c r="XR214" s="3"/>
      <c r="XS214" s="3"/>
      <c r="XT214" s="3"/>
      <c r="XU214" s="3"/>
      <c r="XV214" s="3"/>
      <c r="XW214" s="3"/>
      <c r="XX214" s="3"/>
      <c r="XY214" s="3"/>
      <c r="XZ214" s="3"/>
      <c r="YA214" s="3"/>
      <c r="YB214" s="3"/>
      <c r="YC214" s="3"/>
      <c r="YD214" s="3"/>
      <c r="YE214" s="3"/>
      <c r="YF214" s="3"/>
      <c r="YG214" s="3"/>
      <c r="YH214" s="3"/>
      <c r="YI214" s="3"/>
      <c r="YJ214" s="3"/>
      <c r="YK214" s="3"/>
      <c r="YL214" s="3"/>
      <c r="YM214" s="3"/>
      <c r="YN214" s="3"/>
      <c r="YO214" s="3"/>
      <c r="YP214" s="3"/>
      <c r="YQ214" s="3"/>
      <c r="YR214" s="3"/>
      <c r="YS214" s="3"/>
      <c r="YT214" s="3"/>
      <c r="YU214" s="3"/>
      <c r="YV214" s="3"/>
      <c r="YW214" s="3"/>
      <c r="YX214" s="3"/>
      <c r="YY214" s="3"/>
      <c r="YZ214" s="3"/>
      <c r="ZA214" s="3"/>
      <c r="ZB214" s="3"/>
      <c r="ZC214" s="3"/>
    </row>
    <row r="215" spans="1:679" s="2" customFormat="1" x14ac:dyDescent="0.45">
      <c r="A215" s="3" t="s">
        <v>11</v>
      </c>
      <c r="B215" s="4">
        <v>36574</v>
      </c>
      <c r="C215" s="7" t="s">
        <v>25</v>
      </c>
      <c r="D215" s="6" t="s">
        <v>231</v>
      </c>
      <c r="E215" s="3"/>
      <c r="F215" s="3">
        <v>7</v>
      </c>
      <c r="L215" s="3"/>
      <c r="M215" s="3"/>
      <c r="N215" s="48"/>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c r="DE215" s="3"/>
      <c r="DF215" s="3"/>
      <c r="DG215" s="3"/>
      <c r="DH215" s="3"/>
      <c r="DI215" s="3"/>
      <c r="DJ215" s="3"/>
      <c r="DK215" s="3"/>
      <c r="DL215" s="3"/>
      <c r="DM215" s="3"/>
      <c r="DN215" s="3"/>
      <c r="DO215" s="3"/>
      <c r="DP215" s="3"/>
      <c r="DQ215" s="3"/>
      <c r="DR215" s="3"/>
      <c r="DS215" s="3"/>
      <c r="DT215" s="3"/>
      <c r="DU215" s="3"/>
      <c r="DV215" s="3"/>
      <c r="DW215" s="3"/>
      <c r="DX215" s="3"/>
      <c r="DY215" s="3"/>
      <c r="DZ215" s="3"/>
      <c r="EA215" s="3"/>
      <c r="EB215" s="3"/>
      <c r="EC215" s="3"/>
      <c r="ED215" s="3"/>
      <c r="EE215" s="3"/>
      <c r="EF215" s="3"/>
      <c r="EG215" s="3"/>
      <c r="EH215" s="3"/>
      <c r="EI215" s="3"/>
      <c r="EJ215" s="3"/>
      <c r="EK215" s="3"/>
      <c r="EL215" s="3"/>
      <c r="EM215" s="3"/>
      <c r="EN215" s="3"/>
      <c r="EO215" s="3"/>
      <c r="EP215" s="3"/>
      <c r="EQ215" s="3"/>
      <c r="ER215" s="3"/>
      <c r="ES215" s="3"/>
      <c r="ET215" s="3"/>
      <c r="EU215" s="3"/>
      <c r="EV215" s="3"/>
      <c r="EW215" s="3"/>
      <c r="EX215" s="3"/>
      <c r="EY215" s="3"/>
      <c r="EZ215" s="3"/>
      <c r="FA215" s="3"/>
      <c r="FB215" s="3"/>
      <c r="FC215" s="3"/>
      <c r="FD215" s="3"/>
      <c r="FE215" s="3"/>
      <c r="FF215" s="3"/>
      <c r="FG215" s="3"/>
      <c r="FH215" s="3"/>
      <c r="FI215" s="3"/>
      <c r="FJ215" s="3"/>
      <c r="FK215" s="3"/>
      <c r="FL215" s="3"/>
      <c r="FM215" s="3"/>
      <c r="FN215" s="3"/>
      <c r="FO215" s="3"/>
      <c r="FP215" s="3"/>
      <c r="FQ215" s="3"/>
      <c r="FR215" s="3"/>
      <c r="FS215" s="3"/>
      <c r="FT215" s="3"/>
      <c r="FU215" s="3"/>
      <c r="FV215" s="3"/>
      <c r="FW215" s="3"/>
      <c r="FX215" s="3"/>
      <c r="FY215" s="3"/>
      <c r="FZ215" s="3"/>
      <c r="GA215" s="3"/>
      <c r="GB215" s="3"/>
      <c r="GC215" s="3"/>
      <c r="GD215" s="3"/>
      <c r="GE215" s="3"/>
      <c r="GF215" s="3"/>
      <c r="GG215" s="3"/>
      <c r="GH215" s="3"/>
      <c r="GI215" s="3"/>
      <c r="GJ215" s="3"/>
      <c r="GK215" s="3"/>
      <c r="GL215" s="3"/>
      <c r="GM215" s="3"/>
      <c r="GN215" s="3"/>
      <c r="GO215" s="3"/>
      <c r="GP215" s="3"/>
      <c r="GQ215" s="3"/>
      <c r="GR215" s="3"/>
      <c r="GS215" s="3"/>
      <c r="GT215" s="3"/>
      <c r="GU215" s="3"/>
      <c r="GV215" s="3"/>
      <c r="GW215" s="3"/>
      <c r="GX215" s="3"/>
      <c r="GY215" s="3"/>
      <c r="GZ215" s="3"/>
      <c r="HA215" s="3"/>
      <c r="HB215" s="3"/>
      <c r="HC215" s="3"/>
      <c r="HD215" s="3"/>
      <c r="HE215" s="3"/>
      <c r="HF215" s="3"/>
      <c r="HG215" s="3"/>
      <c r="HH215" s="3"/>
      <c r="HI215" s="3"/>
      <c r="HJ215" s="3"/>
      <c r="HK215" s="3"/>
      <c r="HL215" s="3"/>
      <c r="HM215" s="3"/>
      <c r="HN215" s="3"/>
      <c r="HO215" s="3"/>
      <c r="HP215" s="3"/>
      <c r="HQ215" s="3"/>
      <c r="HR215" s="3"/>
      <c r="HS215" s="3"/>
      <c r="HT215" s="3"/>
      <c r="HU215" s="3"/>
      <c r="HV215" s="3"/>
      <c r="HW215" s="3"/>
      <c r="HX215" s="3"/>
      <c r="HY215" s="3"/>
      <c r="HZ215" s="3"/>
      <c r="IA215" s="3"/>
      <c r="IB215" s="3"/>
      <c r="IC215" s="3"/>
      <c r="ID215" s="3"/>
      <c r="IE215" s="3"/>
      <c r="IF215" s="3"/>
      <c r="IG215" s="3"/>
      <c r="IH215" s="3"/>
      <c r="II215" s="3"/>
      <c r="IJ215" s="3"/>
      <c r="IK215" s="3"/>
      <c r="IL215" s="3"/>
      <c r="IM215" s="3"/>
      <c r="IN215" s="3"/>
      <c r="IO215" s="3"/>
      <c r="IP215" s="3"/>
      <c r="IQ215" s="3"/>
      <c r="IR215" s="3"/>
      <c r="IS215" s="3"/>
      <c r="IT215" s="3"/>
      <c r="IU215" s="3"/>
      <c r="IV215" s="3"/>
      <c r="IW215" s="3"/>
      <c r="IX215" s="3"/>
      <c r="IY215" s="3"/>
      <c r="IZ215" s="3"/>
      <c r="JA215" s="3"/>
      <c r="JB215" s="3"/>
      <c r="JC215" s="3"/>
      <c r="JD215" s="3"/>
      <c r="JE215" s="3"/>
      <c r="JF215" s="3"/>
      <c r="JG215" s="3"/>
      <c r="JH215" s="3"/>
      <c r="JI215" s="3"/>
      <c r="JJ215" s="3"/>
      <c r="JK215" s="3"/>
      <c r="JL215" s="3"/>
      <c r="JM215" s="3"/>
      <c r="JN215" s="3"/>
      <c r="JO215" s="3"/>
      <c r="JP215" s="3"/>
      <c r="JQ215" s="3"/>
      <c r="JR215" s="3"/>
      <c r="JS215" s="3"/>
      <c r="JT215" s="3"/>
      <c r="JU215" s="3"/>
      <c r="JV215" s="3"/>
      <c r="JW215" s="3"/>
      <c r="JX215" s="3"/>
      <c r="JY215" s="3"/>
      <c r="JZ215" s="3"/>
      <c r="KA215" s="3"/>
      <c r="KB215" s="3"/>
      <c r="KC215" s="3"/>
      <c r="KD215" s="3"/>
      <c r="KE215" s="3"/>
      <c r="KF215" s="3"/>
      <c r="KG215" s="3"/>
      <c r="KH215" s="3"/>
      <c r="KI215" s="3"/>
      <c r="KJ215" s="3"/>
      <c r="KK215" s="3"/>
      <c r="KL215" s="3"/>
      <c r="KM215" s="3"/>
      <c r="KN215" s="3"/>
      <c r="KO215" s="3"/>
      <c r="KP215" s="3"/>
      <c r="KQ215" s="3"/>
      <c r="KR215" s="3"/>
      <c r="KS215" s="3"/>
      <c r="KT215" s="3"/>
      <c r="KU215" s="3"/>
      <c r="KV215" s="3"/>
      <c r="KW215" s="3"/>
      <c r="KX215" s="3"/>
      <c r="KY215" s="3"/>
      <c r="KZ215" s="3"/>
      <c r="LA215" s="3"/>
      <c r="LB215" s="3"/>
      <c r="LC215" s="3"/>
      <c r="LD215" s="3"/>
      <c r="LE215" s="3"/>
      <c r="LF215" s="3"/>
      <c r="LG215" s="3"/>
      <c r="LH215" s="3"/>
      <c r="LI215" s="3"/>
      <c r="LJ215" s="3"/>
      <c r="LK215" s="3"/>
      <c r="LL215" s="3"/>
      <c r="LM215" s="3"/>
      <c r="LN215" s="3"/>
      <c r="LO215" s="3"/>
      <c r="LP215" s="3"/>
      <c r="LQ215" s="3"/>
      <c r="LR215" s="3"/>
      <c r="LS215" s="3"/>
      <c r="LT215" s="3"/>
      <c r="LU215" s="3"/>
      <c r="LV215" s="3"/>
      <c r="LW215" s="3"/>
      <c r="LX215" s="3"/>
      <c r="LY215" s="3"/>
      <c r="LZ215" s="3"/>
      <c r="MA215" s="3"/>
      <c r="MB215" s="3"/>
      <c r="MC215" s="3"/>
      <c r="MD215" s="3"/>
      <c r="ME215" s="3"/>
      <c r="MF215" s="3"/>
      <c r="MG215" s="3"/>
      <c r="MH215" s="3"/>
      <c r="MI215" s="3"/>
      <c r="MJ215" s="3"/>
      <c r="MK215" s="3"/>
      <c r="ML215" s="3"/>
      <c r="MM215" s="3"/>
      <c r="MN215" s="3"/>
      <c r="MO215" s="3"/>
      <c r="MP215" s="3"/>
      <c r="MQ215" s="3"/>
      <c r="MR215" s="3"/>
      <c r="MS215" s="3"/>
      <c r="MT215" s="3"/>
      <c r="MU215" s="3"/>
      <c r="MV215" s="3"/>
      <c r="MW215" s="3"/>
      <c r="MX215" s="3"/>
      <c r="MY215" s="3"/>
      <c r="MZ215" s="3"/>
      <c r="NA215" s="3"/>
      <c r="NB215" s="3"/>
      <c r="NC215" s="3"/>
      <c r="ND215" s="3"/>
      <c r="NE215" s="3"/>
      <c r="NF215" s="3"/>
      <c r="NG215" s="3"/>
      <c r="NH215" s="3"/>
      <c r="NI215" s="3"/>
      <c r="NJ215" s="3"/>
      <c r="NK215" s="3"/>
      <c r="NL215" s="3"/>
      <c r="NM215" s="3"/>
      <c r="NN215" s="3"/>
      <c r="NO215" s="3"/>
      <c r="NP215" s="3"/>
      <c r="NQ215" s="3"/>
      <c r="NR215" s="3"/>
      <c r="NS215" s="3"/>
      <c r="NT215" s="3"/>
      <c r="NU215" s="3"/>
      <c r="NV215" s="3"/>
      <c r="NW215" s="3"/>
      <c r="NX215" s="3"/>
      <c r="NY215" s="3"/>
      <c r="NZ215" s="3"/>
      <c r="OA215" s="3"/>
      <c r="OB215" s="3"/>
      <c r="OC215" s="3"/>
      <c r="OD215" s="3"/>
      <c r="OE215" s="3"/>
      <c r="OF215" s="3"/>
      <c r="OG215" s="3"/>
      <c r="OH215" s="3"/>
      <c r="OI215" s="3"/>
      <c r="OJ215" s="3"/>
      <c r="OK215" s="3"/>
      <c r="OL215" s="3"/>
      <c r="OM215" s="3"/>
      <c r="ON215" s="3"/>
      <c r="OO215" s="3"/>
      <c r="OP215" s="3"/>
      <c r="OQ215" s="3"/>
      <c r="OR215" s="3"/>
      <c r="OS215" s="3"/>
      <c r="OT215" s="3"/>
      <c r="OU215" s="3"/>
      <c r="OV215" s="3"/>
      <c r="OW215" s="3"/>
      <c r="OX215" s="3"/>
      <c r="OY215" s="3"/>
      <c r="OZ215" s="3"/>
      <c r="PA215" s="3"/>
      <c r="PB215" s="3"/>
      <c r="PC215" s="3"/>
      <c r="PD215" s="3"/>
      <c r="PE215" s="3"/>
      <c r="PF215" s="3"/>
      <c r="PG215" s="3"/>
      <c r="PH215" s="3"/>
      <c r="PI215" s="3"/>
      <c r="PJ215" s="3"/>
      <c r="PK215" s="3"/>
      <c r="PL215" s="3"/>
      <c r="PM215" s="3"/>
      <c r="PN215" s="3"/>
      <c r="PO215" s="3"/>
      <c r="PP215" s="3"/>
      <c r="PQ215" s="3"/>
      <c r="PR215" s="3"/>
      <c r="PS215" s="3"/>
      <c r="PT215" s="3"/>
      <c r="PU215" s="3"/>
      <c r="PV215" s="3"/>
      <c r="PW215" s="3"/>
      <c r="PX215" s="3"/>
      <c r="PY215" s="3"/>
      <c r="PZ215" s="3"/>
      <c r="QA215" s="3"/>
      <c r="QB215" s="3"/>
      <c r="QC215" s="3"/>
      <c r="QD215" s="3"/>
      <c r="QE215" s="3"/>
      <c r="QF215" s="3"/>
      <c r="QG215" s="3"/>
      <c r="QH215" s="3"/>
      <c r="QI215" s="3"/>
      <c r="QJ215" s="3"/>
      <c r="QK215" s="3"/>
      <c r="QL215" s="3"/>
      <c r="QM215" s="3"/>
      <c r="QN215" s="3"/>
      <c r="QO215" s="3"/>
      <c r="QP215" s="3"/>
      <c r="QQ215" s="3"/>
      <c r="QR215" s="3"/>
      <c r="QS215" s="3"/>
      <c r="QT215" s="3"/>
      <c r="QU215" s="3"/>
      <c r="QV215" s="3"/>
      <c r="QW215" s="3"/>
      <c r="QX215" s="3"/>
      <c r="QY215" s="3"/>
      <c r="QZ215" s="3"/>
      <c r="RA215" s="3"/>
      <c r="RB215" s="3"/>
      <c r="RC215" s="3"/>
      <c r="RD215" s="3"/>
      <c r="RE215" s="3"/>
      <c r="RF215" s="3"/>
      <c r="RG215" s="3"/>
      <c r="RH215" s="3"/>
      <c r="RI215" s="3"/>
      <c r="RJ215" s="3"/>
      <c r="RK215" s="3"/>
      <c r="RL215" s="3"/>
      <c r="RM215" s="3"/>
      <c r="RN215" s="3"/>
      <c r="RO215" s="3"/>
      <c r="RP215" s="3"/>
      <c r="RQ215" s="3"/>
      <c r="RR215" s="3"/>
      <c r="RS215" s="3"/>
      <c r="RT215" s="3"/>
      <c r="RU215" s="3"/>
      <c r="RV215" s="3"/>
      <c r="RW215" s="3"/>
      <c r="RX215" s="3"/>
      <c r="RY215" s="3"/>
      <c r="RZ215" s="3"/>
      <c r="SA215" s="3"/>
      <c r="SB215" s="3"/>
      <c r="SC215" s="3"/>
      <c r="SD215" s="3"/>
      <c r="SE215" s="3"/>
      <c r="SF215" s="3"/>
      <c r="SG215" s="3"/>
      <c r="SH215" s="3"/>
      <c r="SI215" s="3"/>
      <c r="SJ215" s="3"/>
      <c r="SK215" s="3"/>
      <c r="SL215" s="3"/>
      <c r="SM215" s="3"/>
      <c r="SN215" s="3"/>
      <c r="SO215" s="3"/>
      <c r="SP215" s="3"/>
      <c r="SQ215" s="3"/>
      <c r="SR215" s="3"/>
      <c r="SS215" s="3"/>
      <c r="ST215" s="3"/>
      <c r="SU215" s="3"/>
      <c r="SV215" s="3"/>
      <c r="SW215" s="3"/>
      <c r="SX215" s="3"/>
      <c r="SY215" s="3"/>
      <c r="SZ215" s="3"/>
      <c r="TA215" s="3"/>
      <c r="TB215" s="3"/>
      <c r="TC215" s="3"/>
      <c r="TD215" s="3"/>
      <c r="TE215" s="3"/>
      <c r="TF215" s="3"/>
      <c r="TG215" s="3"/>
      <c r="TH215" s="3"/>
      <c r="TI215" s="3"/>
      <c r="TJ215" s="3"/>
      <c r="TK215" s="3"/>
      <c r="TL215" s="3"/>
      <c r="TM215" s="3"/>
      <c r="TN215" s="3"/>
      <c r="TO215" s="3"/>
      <c r="TP215" s="3"/>
      <c r="TQ215" s="3"/>
      <c r="TR215" s="3"/>
      <c r="TS215" s="3"/>
      <c r="TT215" s="3"/>
      <c r="TU215" s="3"/>
      <c r="TV215" s="3"/>
      <c r="TW215" s="3"/>
      <c r="TX215" s="3"/>
      <c r="TY215" s="3"/>
      <c r="TZ215" s="3"/>
      <c r="UA215" s="3"/>
      <c r="UB215" s="3"/>
      <c r="UC215" s="3"/>
      <c r="UD215" s="3"/>
      <c r="UE215" s="3"/>
      <c r="UF215" s="3"/>
      <c r="UG215" s="3"/>
      <c r="UH215" s="3"/>
      <c r="UI215" s="3"/>
      <c r="UJ215" s="3"/>
      <c r="UK215" s="3"/>
      <c r="UL215" s="3"/>
      <c r="UM215" s="3"/>
      <c r="UN215" s="3"/>
      <c r="UO215" s="3"/>
      <c r="UP215" s="3"/>
      <c r="UQ215" s="3"/>
      <c r="UR215" s="3"/>
      <c r="US215" s="3"/>
      <c r="UT215" s="3"/>
      <c r="UU215" s="3"/>
      <c r="UV215" s="3"/>
      <c r="UW215" s="3"/>
      <c r="UX215" s="3"/>
      <c r="UY215" s="3"/>
      <c r="UZ215" s="3"/>
      <c r="VA215" s="3"/>
      <c r="VB215" s="3"/>
      <c r="VC215" s="3"/>
      <c r="VD215" s="3"/>
      <c r="VE215" s="3"/>
      <c r="VF215" s="3"/>
      <c r="VG215" s="3"/>
      <c r="VH215" s="3"/>
      <c r="VI215" s="3"/>
      <c r="VJ215" s="3"/>
      <c r="VK215" s="3"/>
      <c r="VL215" s="3"/>
      <c r="VM215" s="3"/>
      <c r="VN215" s="3"/>
      <c r="VO215" s="3"/>
      <c r="VP215" s="3"/>
      <c r="VQ215" s="3"/>
      <c r="VR215" s="3"/>
      <c r="VS215" s="3"/>
      <c r="VT215" s="3"/>
      <c r="VU215" s="3"/>
      <c r="VV215" s="3"/>
      <c r="VW215" s="3"/>
      <c r="VX215" s="3"/>
      <c r="VY215" s="3"/>
      <c r="VZ215" s="3"/>
      <c r="WA215" s="3"/>
      <c r="WB215" s="3"/>
      <c r="WC215" s="3"/>
      <c r="WD215" s="3"/>
      <c r="WE215" s="3"/>
      <c r="WF215" s="3"/>
      <c r="WG215" s="3"/>
      <c r="WH215" s="3"/>
      <c r="WI215" s="3"/>
      <c r="WJ215" s="3"/>
      <c r="WK215" s="3"/>
      <c r="WL215" s="3"/>
      <c r="WM215" s="3"/>
      <c r="WN215" s="3"/>
      <c r="WO215" s="3"/>
      <c r="WP215" s="3"/>
      <c r="WQ215" s="3"/>
      <c r="WR215" s="3"/>
      <c r="WS215" s="3"/>
      <c r="WT215" s="3"/>
      <c r="WU215" s="3"/>
      <c r="WV215" s="3"/>
      <c r="WW215" s="3"/>
      <c r="WX215" s="3"/>
      <c r="WY215" s="3"/>
      <c r="WZ215" s="3"/>
      <c r="XA215" s="3"/>
      <c r="XB215" s="3"/>
      <c r="XC215" s="3"/>
      <c r="XD215" s="3"/>
      <c r="XE215" s="3"/>
      <c r="XF215" s="3"/>
      <c r="XG215" s="3"/>
      <c r="XH215" s="3"/>
      <c r="XI215" s="3"/>
      <c r="XJ215" s="3"/>
      <c r="XK215" s="3"/>
      <c r="XL215" s="3"/>
      <c r="XM215" s="3"/>
      <c r="XN215" s="3"/>
      <c r="XO215" s="3"/>
      <c r="XP215" s="3"/>
      <c r="XQ215" s="3"/>
      <c r="XR215" s="3"/>
      <c r="XS215" s="3"/>
      <c r="XT215" s="3"/>
      <c r="XU215" s="3"/>
      <c r="XV215" s="3"/>
      <c r="XW215" s="3"/>
      <c r="XX215" s="3"/>
      <c r="XY215" s="3"/>
      <c r="XZ215" s="3"/>
      <c r="YA215" s="3"/>
      <c r="YB215" s="3"/>
      <c r="YC215" s="3"/>
      <c r="YD215" s="3"/>
      <c r="YE215" s="3"/>
      <c r="YF215" s="3"/>
      <c r="YG215" s="3"/>
      <c r="YH215" s="3"/>
      <c r="YI215" s="3"/>
      <c r="YJ215" s="3"/>
      <c r="YK215" s="3"/>
      <c r="YL215" s="3"/>
      <c r="YM215" s="3"/>
      <c r="YN215" s="3"/>
      <c r="YO215" s="3"/>
      <c r="YP215" s="3"/>
      <c r="YQ215" s="3"/>
      <c r="YR215" s="3"/>
      <c r="YS215" s="3"/>
      <c r="YT215" s="3"/>
      <c r="YU215" s="3"/>
      <c r="YV215" s="3"/>
      <c r="YW215" s="3"/>
      <c r="YX215" s="3"/>
      <c r="YY215" s="3"/>
      <c r="YZ215" s="3"/>
      <c r="ZA215" s="3"/>
      <c r="ZB215" s="3"/>
      <c r="ZC215" s="3"/>
    </row>
    <row r="216" spans="1:679" s="2" customFormat="1" x14ac:dyDescent="0.45">
      <c r="A216" s="3" t="s">
        <v>11</v>
      </c>
      <c r="B216" s="4">
        <v>36598</v>
      </c>
      <c r="C216" s="5" t="s">
        <v>12</v>
      </c>
      <c r="D216" s="6" t="s">
        <v>232</v>
      </c>
      <c r="E216" s="3" t="s">
        <v>233</v>
      </c>
      <c r="F216" s="3">
        <v>6</v>
      </c>
      <c r="L216" s="3"/>
      <c r="M216" s="3"/>
      <c r="N216" s="48"/>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c r="CU216" s="3"/>
      <c r="CV216" s="3"/>
      <c r="CW216" s="3"/>
      <c r="CX216" s="3"/>
      <c r="CY216" s="3"/>
      <c r="CZ216" s="3"/>
      <c r="DA216" s="3"/>
      <c r="DB216" s="3"/>
      <c r="DC216" s="3"/>
      <c r="DD216" s="3"/>
      <c r="DE216" s="3"/>
      <c r="DF216" s="3"/>
      <c r="DG216" s="3"/>
      <c r="DH216" s="3"/>
      <c r="DI216" s="3"/>
      <c r="DJ216" s="3"/>
      <c r="DK216" s="3"/>
      <c r="DL216" s="3"/>
      <c r="DM216" s="3"/>
      <c r="DN216" s="3"/>
      <c r="DO216" s="3"/>
      <c r="DP216" s="3"/>
      <c r="DQ216" s="3"/>
      <c r="DR216" s="3"/>
      <c r="DS216" s="3"/>
      <c r="DT216" s="3"/>
      <c r="DU216" s="3"/>
      <c r="DV216" s="3"/>
      <c r="DW216" s="3"/>
      <c r="DX216" s="3"/>
      <c r="DY216" s="3"/>
      <c r="DZ216" s="3"/>
      <c r="EA216" s="3"/>
      <c r="EB216" s="3"/>
      <c r="EC216" s="3"/>
      <c r="ED216" s="3"/>
      <c r="EE216" s="3"/>
      <c r="EF216" s="3"/>
      <c r="EG216" s="3"/>
      <c r="EH216" s="3"/>
      <c r="EI216" s="3"/>
      <c r="EJ216" s="3"/>
      <c r="EK216" s="3"/>
      <c r="EL216" s="3"/>
      <c r="EM216" s="3"/>
      <c r="EN216" s="3"/>
      <c r="EO216" s="3"/>
      <c r="EP216" s="3"/>
      <c r="EQ216" s="3"/>
      <c r="ER216" s="3"/>
      <c r="ES216" s="3"/>
      <c r="ET216" s="3"/>
      <c r="EU216" s="3"/>
      <c r="EV216" s="3"/>
      <c r="EW216" s="3"/>
      <c r="EX216" s="3"/>
      <c r="EY216" s="3"/>
      <c r="EZ216" s="3"/>
      <c r="FA216" s="3"/>
      <c r="FB216" s="3"/>
      <c r="FC216" s="3"/>
      <c r="FD216" s="3"/>
      <c r="FE216" s="3"/>
      <c r="FF216" s="3"/>
      <c r="FG216" s="3"/>
      <c r="FH216" s="3"/>
      <c r="FI216" s="3"/>
      <c r="FJ216" s="3"/>
      <c r="FK216" s="3"/>
      <c r="FL216" s="3"/>
      <c r="FM216" s="3"/>
      <c r="FN216" s="3"/>
      <c r="FO216" s="3"/>
      <c r="FP216" s="3"/>
      <c r="FQ216" s="3"/>
      <c r="FR216" s="3"/>
      <c r="FS216" s="3"/>
      <c r="FT216" s="3"/>
      <c r="FU216" s="3"/>
      <c r="FV216" s="3"/>
      <c r="FW216" s="3"/>
      <c r="FX216" s="3"/>
      <c r="FY216" s="3"/>
      <c r="FZ216" s="3"/>
      <c r="GA216" s="3"/>
      <c r="GB216" s="3"/>
      <c r="GC216" s="3"/>
      <c r="GD216" s="3"/>
      <c r="GE216" s="3"/>
      <c r="GF216" s="3"/>
      <c r="GG216" s="3"/>
      <c r="GH216" s="3"/>
      <c r="GI216" s="3"/>
      <c r="GJ216" s="3"/>
      <c r="GK216" s="3"/>
      <c r="GL216" s="3"/>
      <c r="GM216" s="3"/>
      <c r="GN216" s="3"/>
      <c r="GO216" s="3"/>
      <c r="GP216" s="3"/>
      <c r="GQ216" s="3"/>
      <c r="GR216" s="3"/>
      <c r="GS216" s="3"/>
      <c r="GT216" s="3"/>
      <c r="GU216" s="3"/>
      <c r="GV216" s="3"/>
      <c r="GW216" s="3"/>
      <c r="GX216" s="3"/>
      <c r="GY216" s="3"/>
      <c r="GZ216" s="3"/>
      <c r="HA216" s="3"/>
      <c r="HB216" s="3"/>
      <c r="HC216" s="3"/>
      <c r="HD216" s="3"/>
      <c r="HE216" s="3"/>
      <c r="HF216" s="3"/>
      <c r="HG216" s="3"/>
      <c r="HH216" s="3"/>
      <c r="HI216" s="3"/>
      <c r="HJ216" s="3"/>
      <c r="HK216" s="3"/>
      <c r="HL216" s="3"/>
      <c r="HM216" s="3"/>
      <c r="HN216" s="3"/>
      <c r="HO216" s="3"/>
      <c r="HP216" s="3"/>
      <c r="HQ216" s="3"/>
      <c r="HR216" s="3"/>
      <c r="HS216" s="3"/>
      <c r="HT216" s="3"/>
      <c r="HU216" s="3"/>
      <c r="HV216" s="3"/>
      <c r="HW216" s="3"/>
      <c r="HX216" s="3"/>
      <c r="HY216" s="3"/>
      <c r="HZ216" s="3"/>
      <c r="IA216" s="3"/>
      <c r="IB216" s="3"/>
      <c r="IC216" s="3"/>
      <c r="ID216" s="3"/>
      <c r="IE216" s="3"/>
      <c r="IF216" s="3"/>
      <c r="IG216" s="3"/>
      <c r="IH216" s="3"/>
      <c r="II216" s="3"/>
      <c r="IJ216" s="3"/>
      <c r="IK216" s="3"/>
      <c r="IL216" s="3"/>
      <c r="IM216" s="3"/>
      <c r="IN216" s="3"/>
      <c r="IO216" s="3"/>
      <c r="IP216" s="3"/>
      <c r="IQ216" s="3"/>
      <c r="IR216" s="3"/>
      <c r="IS216" s="3"/>
      <c r="IT216" s="3"/>
      <c r="IU216" s="3"/>
      <c r="IV216" s="3"/>
      <c r="IW216" s="3"/>
      <c r="IX216" s="3"/>
      <c r="IY216" s="3"/>
      <c r="IZ216" s="3"/>
      <c r="JA216" s="3"/>
      <c r="JB216" s="3"/>
      <c r="JC216" s="3"/>
      <c r="JD216" s="3"/>
      <c r="JE216" s="3"/>
      <c r="JF216" s="3"/>
      <c r="JG216" s="3"/>
      <c r="JH216" s="3"/>
      <c r="JI216" s="3"/>
      <c r="JJ216" s="3"/>
      <c r="JK216" s="3"/>
      <c r="JL216" s="3"/>
      <c r="JM216" s="3"/>
      <c r="JN216" s="3"/>
      <c r="JO216" s="3"/>
      <c r="JP216" s="3"/>
      <c r="JQ216" s="3"/>
      <c r="JR216" s="3"/>
      <c r="JS216" s="3"/>
      <c r="JT216" s="3"/>
      <c r="JU216" s="3"/>
      <c r="JV216" s="3"/>
      <c r="JW216" s="3"/>
      <c r="JX216" s="3"/>
      <c r="JY216" s="3"/>
      <c r="JZ216" s="3"/>
      <c r="KA216" s="3"/>
      <c r="KB216" s="3"/>
      <c r="KC216" s="3"/>
      <c r="KD216" s="3"/>
      <c r="KE216" s="3"/>
      <c r="KF216" s="3"/>
      <c r="KG216" s="3"/>
      <c r="KH216" s="3"/>
      <c r="KI216" s="3"/>
      <c r="KJ216" s="3"/>
      <c r="KK216" s="3"/>
      <c r="KL216" s="3"/>
      <c r="KM216" s="3"/>
      <c r="KN216" s="3"/>
      <c r="KO216" s="3"/>
      <c r="KP216" s="3"/>
      <c r="KQ216" s="3"/>
      <c r="KR216" s="3"/>
      <c r="KS216" s="3"/>
      <c r="KT216" s="3"/>
      <c r="KU216" s="3"/>
      <c r="KV216" s="3"/>
      <c r="KW216" s="3"/>
      <c r="KX216" s="3"/>
      <c r="KY216" s="3"/>
      <c r="KZ216" s="3"/>
      <c r="LA216" s="3"/>
      <c r="LB216" s="3"/>
      <c r="LC216" s="3"/>
      <c r="LD216" s="3"/>
      <c r="LE216" s="3"/>
      <c r="LF216" s="3"/>
      <c r="LG216" s="3"/>
      <c r="LH216" s="3"/>
      <c r="LI216" s="3"/>
      <c r="LJ216" s="3"/>
      <c r="LK216" s="3"/>
      <c r="LL216" s="3"/>
      <c r="LM216" s="3"/>
      <c r="LN216" s="3"/>
      <c r="LO216" s="3"/>
      <c r="LP216" s="3"/>
      <c r="LQ216" s="3"/>
      <c r="LR216" s="3"/>
      <c r="LS216" s="3"/>
      <c r="LT216" s="3"/>
      <c r="LU216" s="3"/>
      <c r="LV216" s="3"/>
      <c r="LW216" s="3"/>
      <c r="LX216" s="3"/>
      <c r="LY216" s="3"/>
      <c r="LZ216" s="3"/>
      <c r="MA216" s="3"/>
      <c r="MB216" s="3"/>
      <c r="MC216" s="3"/>
      <c r="MD216" s="3"/>
      <c r="ME216" s="3"/>
      <c r="MF216" s="3"/>
      <c r="MG216" s="3"/>
      <c r="MH216" s="3"/>
      <c r="MI216" s="3"/>
      <c r="MJ216" s="3"/>
      <c r="MK216" s="3"/>
      <c r="ML216" s="3"/>
      <c r="MM216" s="3"/>
      <c r="MN216" s="3"/>
      <c r="MO216" s="3"/>
      <c r="MP216" s="3"/>
      <c r="MQ216" s="3"/>
      <c r="MR216" s="3"/>
      <c r="MS216" s="3"/>
      <c r="MT216" s="3"/>
      <c r="MU216" s="3"/>
      <c r="MV216" s="3"/>
      <c r="MW216" s="3"/>
      <c r="MX216" s="3"/>
      <c r="MY216" s="3"/>
      <c r="MZ216" s="3"/>
      <c r="NA216" s="3"/>
      <c r="NB216" s="3"/>
      <c r="NC216" s="3"/>
      <c r="ND216" s="3"/>
      <c r="NE216" s="3"/>
      <c r="NF216" s="3"/>
      <c r="NG216" s="3"/>
      <c r="NH216" s="3"/>
      <c r="NI216" s="3"/>
      <c r="NJ216" s="3"/>
      <c r="NK216" s="3"/>
      <c r="NL216" s="3"/>
      <c r="NM216" s="3"/>
      <c r="NN216" s="3"/>
      <c r="NO216" s="3"/>
      <c r="NP216" s="3"/>
      <c r="NQ216" s="3"/>
      <c r="NR216" s="3"/>
      <c r="NS216" s="3"/>
      <c r="NT216" s="3"/>
      <c r="NU216" s="3"/>
      <c r="NV216" s="3"/>
      <c r="NW216" s="3"/>
      <c r="NX216" s="3"/>
      <c r="NY216" s="3"/>
      <c r="NZ216" s="3"/>
      <c r="OA216" s="3"/>
      <c r="OB216" s="3"/>
      <c r="OC216" s="3"/>
      <c r="OD216" s="3"/>
      <c r="OE216" s="3"/>
      <c r="OF216" s="3"/>
      <c r="OG216" s="3"/>
      <c r="OH216" s="3"/>
      <c r="OI216" s="3"/>
      <c r="OJ216" s="3"/>
      <c r="OK216" s="3"/>
      <c r="OL216" s="3"/>
      <c r="OM216" s="3"/>
      <c r="ON216" s="3"/>
      <c r="OO216" s="3"/>
      <c r="OP216" s="3"/>
      <c r="OQ216" s="3"/>
      <c r="OR216" s="3"/>
      <c r="OS216" s="3"/>
      <c r="OT216" s="3"/>
      <c r="OU216" s="3"/>
      <c r="OV216" s="3"/>
      <c r="OW216" s="3"/>
      <c r="OX216" s="3"/>
      <c r="OY216" s="3"/>
      <c r="OZ216" s="3"/>
      <c r="PA216" s="3"/>
      <c r="PB216" s="3"/>
      <c r="PC216" s="3"/>
      <c r="PD216" s="3"/>
      <c r="PE216" s="3"/>
      <c r="PF216" s="3"/>
      <c r="PG216" s="3"/>
      <c r="PH216" s="3"/>
      <c r="PI216" s="3"/>
      <c r="PJ216" s="3"/>
      <c r="PK216" s="3"/>
      <c r="PL216" s="3"/>
      <c r="PM216" s="3"/>
      <c r="PN216" s="3"/>
      <c r="PO216" s="3"/>
      <c r="PP216" s="3"/>
      <c r="PQ216" s="3"/>
      <c r="PR216" s="3"/>
      <c r="PS216" s="3"/>
      <c r="PT216" s="3"/>
      <c r="PU216" s="3"/>
      <c r="PV216" s="3"/>
      <c r="PW216" s="3"/>
      <c r="PX216" s="3"/>
      <c r="PY216" s="3"/>
      <c r="PZ216" s="3"/>
      <c r="QA216" s="3"/>
      <c r="QB216" s="3"/>
      <c r="QC216" s="3"/>
      <c r="QD216" s="3"/>
      <c r="QE216" s="3"/>
      <c r="QF216" s="3"/>
      <c r="QG216" s="3"/>
      <c r="QH216" s="3"/>
      <c r="QI216" s="3"/>
      <c r="QJ216" s="3"/>
      <c r="QK216" s="3"/>
      <c r="QL216" s="3"/>
      <c r="QM216" s="3"/>
      <c r="QN216" s="3"/>
      <c r="QO216" s="3"/>
      <c r="QP216" s="3"/>
      <c r="QQ216" s="3"/>
      <c r="QR216" s="3"/>
      <c r="QS216" s="3"/>
      <c r="QT216" s="3"/>
      <c r="QU216" s="3"/>
      <c r="QV216" s="3"/>
      <c r="QW216" s="3"/>
      <c r="QX216" s="3"/>
      <c r="QY216" s="3"/>
      <c r="QZ216" s="3"/>
      <c r="RA216" s="3"/>
      <c r="RB216" s="3"/>
      <c r="RC216" s="3"/>
      <c r="RD216" s="3"/>
      <c r="RE216" s="3"/>
      <c r="RF216" s="3"/>
      <c r="RG216" s="3"/>
      <c r="RH216" s="3"/>
      <c r="RI216" s="3"/>
      <c r="RJ216" s="3"/>
      <c r="RK216" s="3"/>
      <c r="RL216" s="3"/>
      <c r="RM216" s="3"/>
      <c r="RN216" s="3"/>
      <c r="RO216" s="3"/>
      <c r="RP216" s="3"/>
      <c r="RQ216" s="3"/>
      <c r="RR216" s="3"/>
      <c r="RS216" s="3"/>
      <c r="RT216" s="3"/>
      <c r="RU216" s="3"/>
      <c r="RV216" s="3"/>
      <c r="RW216" s="3"/>
      <c r="RX216" s="3"/>
      <c r="RY216" s="3"/>
      <c r="RZ216" s="3"/>
      <c r="SA216" s="3"/>
      <c r="SB216" s="3"/>
      <c r="SC216" s="3"/>
      <c r="SD216" s="3"/>
      <c r="SE216" s="3"/>
      <c r="SF216" s="3"/>
      <c r="SG216" s="3"/>
      <c r="SH216" s="3"/>
      <c r="SI216" s="3"/>
      <c r="SJ216" s="3"/>
      <c r="SK216" s="3"/>
      <c r="SL216" s="3"/>
      <c r="SM216" s="3"/>
      <c r="SN216" s="3"/>
      <c r="SO216" s="3"/>
      <c r="SP216" s="3"/>
      <c r="SQ216" s="3"/>
      <c r="SR216" s="3"/>
      <c r="SS216" s="3"/>
      <c r="ST216" s="3"/>
      <c r="SU216" s="3"/>
      <c r="SV216" s="3"/>
      <c r="SW216" s="3"/>
      <c r="SX216" s="3"/>
      <c r="SY216" s="3"/>
      <c r="SZ216" s="3"/>
      <c r="TA216" s="3"/>
      <c r="TB216" s="3"/>
      <c r="TC216" s="3"/>
      <c r="TD216" s="3"/>
      <c r="TE216" s="3"/>
      <c r="TF216" s="3"/>
      <c r="TG216" s="3"/>
      <c r="TH216" s="3"/>
      <c r="TI216" s="3"/>
      <c r="TJ216" s="3"/>
      <c r="TK216" s="3"/>
      <c r="TL216" s="3"/>
      <c r="TM216" s="3"/>
      <c r="TN216" s="3"/>
      <c r="TO216" s="3"/>
      <c r="TP216" s="3"/>
      <c r="TQ216" s="3"/>
      <c r="TR216" s="3"/>
      <c r="TS216" s="3"/>
      <c r="TT216" s="3"/>
      <c r="TU216" s="3"/>
      <c r="TV216" s="3"/>
      <c r="TW216" s="3"/>
      <c r="TX216" s="3"/>
      <c r="TY216" s="3"/>
      <c r="TZ216" s="3"/>
      <c r="UA216" s="3"/>
      <c r="UB216" s="3"/>
      <c r="UC216" s="3"/>
      <c r="UD216" s="3"/>
      <c r="UE216" s="3"/>
      <c r="UF216" s="3"/>
      <c r="UG216" s="3"/>
      <c r="UH216" s="3"/>
      <c r="UI216" s="3"/>
      <c r="UJ216" s="3"/>
      <c r="UK216" s="3"/>
      <c r="UL216" s="3"/>
      <c r="UM216" s="3"/>
      <c r="UN216" s="3"/>
      <c r="UO216" s="3"/>
      <c r="UP216" s="3"/>
      <c r="UQ216" s="3"/>
      <c r="UR216" s="3"/>
      <c r="US216" s="3"/>
      <c r="UT216" s="3"/>
      <c r="UU216" s="3"/>
      <c r="UV216" s="3"/>
      <c r="UW216" s="3"/>
      <c r="UX216" s="3"/>
      <c r="UY216" s="3"/>
      <c r="UZ216" s="3"/>
      <c r="VA216" s="3"/>
      <c r="VB216" s="3"/>
      <c r="VC216" s="3"/>
      <c r="VD216" s="3"/>
      <c r="VE216" s="3"/>
      <c r="VF216" s="3"/>
      <c r="VG216" s="3"/>
      <c r="VH216" s="3"/>
      <c r="VI216" s="3"/>
      <c r="VJ216" s="3"/>
      <c r="VK216" s="3"/>
      <c r="VL216" s="3"/>
      <c r="VM216" s="3"/>
      <c r="VN216" s="3"/>
      <c r="VO216" s="3"/>
      <c r="VP216" s="3"/>
      <c r="VQ216" s="3"/>
      <c r="VR216" s="3"/>
      <c r="VS216" s="3"/>
      <c r="VT216" s="3"/>
      <c r="VU216" s="3"/>
      <c r="VV216" s="3"/>
      <c r="VW216" s="3"/>
      <c r="VX216" s="3"/>
      <c r="VY216" s="3"/>
      <c r="VZ216" s="3"/>
      <c r="WA216" s="3"/>
      <c r="WB216" s="3"/>
      <c r="WC216" s="3"/>
      <c r="WD216" s="3"/>
      <c r="WE216" s="3"/>
      <c r="WF216" s="3"/>
      <c r="WG216" s="3"/>
      <c r="WH216" s="3"/>
      <c r="WI216" s="3"/>
      <c r="WJ216" s="3"/>
      <c r="WK216" s="3"/>
      <c r="WL216" s="3"/>
      <c r="WM216" s="3"/>
      <c r="WN216" s="3"/>
      <c r="WO216" s="3"/>
      <c r="WP216" s="3"/>
      <c r="WQ216" s="3"/>
      <c r="WR216" s="3"/>
      <c r="WS216" s="3"/>
      <c r="WT216" s="3"/>
      <c r="WU216" s="3"/>
      <c r="WV216" s="3"/>
      <c r="WW216" s="3"/>
      <c r="WX216" s="3"/>
      <c r="WY216" s="3"/>
      <c r="WZ216" s="3"/>
      <c r="XA216" s="3"/>
      <c r="XB216" s="3"/>
      <c r="XC216" s="3"/>
      <c r="XD216" s="3"/>
      <c r="XE216" s="3"/>
      <c r="XF216" s="3"/>
      <c r="XG216" s="3"/>
      <c r="XH216" s="3"/>
      <c r="XI216" s="3"/>
      <c r="XJ216" s="3"/>
      <c r="XK216" s="3"/>
      <c r="XL216" s="3"/>
      <c r="XM216" s="3"/>
      <c r="XN216" s="3"/>
      <c r="XO216" s="3"/>
      <c r="XP216" s="3"/>
      <c r="XQ216" s="3"/>
      <c r="XR216" s="3"/>
      <c r="XS216" s="3"/>
      <c r="XT216" s="3"/>
      <c r="XU216" s="3"/>
      <c r="XV216" s="3"/>
      <c r="XW216" s="3"/>
      <c r="XX216" s="3"/>
      <c r="XY216" s="3"/>
      <c r="XZ216" s="3"/>
      <c r="YA216" s="3"/>
      <c r="YB216" s="3"/>
      <c r="YC216" s="3"/>
      <c r="YD216" s="3"/>
      <c r="YE216" s="3"/>
      <c r="YF216" s="3"/>
      <c r="YG216" s="3"/>
      <c r="YH216" s="3"/>
      <c r="YI216" s="3"/>
      <c r="YJ216" s="3"/>
      <c r="YK216" s="3"/>
      <c r="YL216" s="3"/>
      <c r="YM216" s="3"/>
      <c r="YN216" s="3"/>
      <c r="YO216" s="3"/>
      <c r="YP216" s="3"/>
      <c r="YQ216" s="3"/>
      <c r="YR216" s="3"/>
      <c r="YS216" s="3"/>
      <c r="YT216" s="3"/>
      <c r="YU216" s="3"/>
      <c r="YV216" s="3"/>
      <c r="YW216" s="3"/>
      <c r="YX216" s="3"/>
      <c r="YY216" s="3"/>
      <c r="YZ216" s="3"/>
      <c r="ZA216" s="3"/>
      <c r="ZB216" s="3"/>
      <c r="ZC216" s="3"/>
    </row>
    <row r="217" spans="1:679" s="2" customFormat="1" x14ac:dyDescent="0.45">
      <c r="A217" s="3" t="s">
        <v>11</v>
      </c>
      <c r="B217" s="4">
        <v>36601</v>
      </c>
      <c r="C217" s="7" t="s">
        <v>25</v>
      </c>
      <c r="D217" s="6" t="s">
        <v>234</v>
      </c>
      <c r="E217" s="3"/>
      <c r="F217" s="3">
        <v>7</v>
      </c>
      <c r="L217" s="3"/>
      <c r="M217" s="3"/>
      <c r="N217" s="48"/>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c r="DE217" s="3"/>
      <c r="DF217" s="3"/>
      <c r="DG217" s="3"/>
      <c r="DH217" s="3"/>
      <c r="DI217" s="3"/>
      <c r="DJ217" s="3"/>
      <c r="DK217" s="3"/>
      <c r="DL217" s="3"/>
      <c r="DM217" s="3"/>
      <c r="DN217" s="3"/>
      <c r="DO217" s="3"/>
      <c r="DP217" s="3"/>
      <c r="DQ217" s="3"/>
      <c r="DR217" s="3"/>
      <c r="DS217" s="3"/>
      <c r="DT217" s="3"/>
      <c r="DU217" s="3"/>
      <c r="DV217" s="3"/>
      <c r="DW217" s="3"/>
      <c r="DX217" s="3"/>
      <c r="DY217" s="3"/>
      <c r="DZ217" s="3"/>
      <c r="EA217" s="3"/>
      <c r="EB217" s="3"/>
      <c r="EC217" s="3"/>
      <c r="ED217" s="3"/>
      <c r="EE217" s="3"/>
      <c r="EF217" s="3"/>
      <c r="EG217" s="3"/>
      <c r="EH217" s="3"/>
      <c r="EI217" s="3"/>
      <c r="EJ217" s="3"/>
      <c r="EK217" s="3"/>
      <c r="EL217" s="3"/>
      <c r="EM217" s="3"/>
      <c r="EN217" s="3"/>
      <c r="EO217" s="3"/>
      <c r="EP217" s="3"/>
      <c r="EQ217" s="3"/>
      <c r="ER217" s="3"/>
      <c r="ES217" s="3"/>
      <c r="ET217" s="3"/>
      <c r="EU217" s="3"/>
      <c r="EV217" s="3"/>
      <c r="EW217" s="3"/>
      <c r="EX217" s="3"/>
      <c r="EY217" s="3"/>
      <c r="EZ217" s="3"/>
      <c r="FA217" s="3"/>
      <c r="FB217" s="3"/>
      <c r="FC217" s="3"/>
      <c r="FD217" s="3"/>
      <c r="FE217" s="3"/>
      <c r="FF217" s="3"/>
      <c r="FG217" s="3"/>
      <c r="FH217" s="3"/>
      <c r="FI217" s="3"/>
      <c r="FJ217" s="3"/>
      <c r="FK217" s="3"/>
      <c r="FL217" s="3"/>
      <c r="FM217" s="3"/>
      <c r="FN217" s="3"/>
      <c r="FO217" s="3"/>
      <c r="FP217" s="3"/>
      <c r="FQ217" s="3"/>
      <c r="FR217" s="3"/>
      <c r="FS217" s="3"/>
      <c r="FT217" s="3"/>
      <c r="FU217" s="3"/>
      <c r="FV217" s="3"/>
      <c r="FW217" s="3"/>
      <c r="FX217" s="3"/>
      <c r="FY217" s="3"/>
      <c r="FZ217" s="3"/>
      <c r="GA217" s="3"/>
      <c r="GB217" s="3"/>
      <c r="GC217" s="3"/>
      <c r="GD217" s="3"/>
      <c r="GE217" s="3"/>
      <c r="GF217" s="3"/>
      <c r="GG217" s="3"/>
      <c r="GH217" s="3"/>
      <c r="GI217" s="3"/>
      <c r="GJ217" s="3"/>
      <c r="GK217" s="3"/>
      <c r="GL217" s="3"/>
      <c r="GM217" s="3"/>
      <c r="GN217" s="3"/>
      <c r="GO217" s="3"/>
      <c r="GP217" s="3"/>
      <c r="GQ217" s="3"/>
      <c r="GR217" s="3"/>
      <c r="GS217" s="3"/>
      <c r="GT217" s="3"/>
      <c r="GU217" s="3"/>
      <c r="GV217" s="3"/>
      <c r="GW217" s="3"/>
      <c r="GX217" s="3"/>
      <c r="GY217" s="3"/>
      <c r="GZ217" s="3"/>
      <c r="HA217" s="3"/>
      <c r="HB217" s="3"/>
      <c r="HC217" s="3"/>
      <c r="HD217" s="3"/>
      <c r="HE217" s="3"/>
      <c r="HF217" s="3"/>
      <c r="HG217" s="3"/>
      <c r="HH217" s="3"/>
      <c r="HI217" s="3"/>
      <c r="HJ217" s="3"/>
      <c r="HK217" s="3"/>
      <c r="HL217" s="3"/>
      <c r="HM217" s="3"/>
      <c r="HN217" s="3"/>
      <c r="HO217" s="3"/>
      <c r="HP217" s="3"/>
      <c r="HQ217" s="3"/>
      <c r="HR217" s="3"/>
      <c r="HS217" s="3"/>
      <c r="HT217" s="3"/>
      <c r="HU217" s="3"/>
      <c r="HV217" s="3"/>
      <c r="HW217" s="3"/>
      <c r="HX217" s="3"/>
      <c r="HY217" s="3"/>
      <c r="HZ217" s="3"/>
      <c r="IA217" s="3"/>
      <c r="IB217" s="3"/>
      <c r="IC217" s="3"/>
      <c r="ID217" s="3"/>
      <c r="IE217" s="3"/>
      <c r="IF217" s="3"/>
      <c r="IG217" s="3"/>
      <c r="IH217" s="3"/>
      <c r="II217" s="3"/>
      <c r="IJ217" s="3"/>
      <c r="IK217" s="3"/>
      <c r="IL217" s="3"/>
      <c r="IM217" s="3"/>
      <c r="IN217" s="3"/>
      <c r="IO217" s="3"/>
      <c r="IP217" s="3"/>
      <c r="IQ217" s="3"/>
      <c r="IR217" s="3"/>
      <c r="IS217" s="3"/>
      <c r="IT217" s="3"/>
      <c r="IU217" s="3"/>
      <c r="IV217" s="3"/>
      <c r="IW217" s="3"/>
      <c r="IX217" s="3"/>
      <c r="IY217" s="3"/>
      <c r="IZ217" s="3"/>
      <c r="JA217" s="3"/>
      <c r="JB217" s="3"/>
      <c r="JC217" s="3"/>
      <c r="JD217" s="3"/>
      <c r="JE217" s="3"/>
      <c r="JF217" s="3"/>
      <c r="JG217" s="3"/>
      <c r="JH217" s="3"/>
      <c r="JI217" s="3"/>
      <c r="JJ217" s="3"/>
      <c r="JK217" s="3"/>
      <c r="JL217" s="3"/>
      <c r="JM217" s="3"/>
      <c r="JN217" s="3"/>
      <c r="JO217" s="3"/>
      <c r="JP217" s="3"/>
      <c r="JQ217" s="3"/>
      <c r="JR217" s="3"/>
      <c r="JS217" s="3"/>
      <c r="JT217" s="3"/>
      <c r="JU217" s="3"/>
      <c r="JV217" s="3"/>
      <c r="JW217" s="3"/>
      <c r="JX217" s="3"/>
      <c r="JY217" s="3"/>
      <c r="JZ217" s="3"/>
      <c r="KA217" s="3"/>
      <c r="KB217" s="3"/>
      <c r="KC217" s="3"/>
      <c r="KD217" s="3"/>
      <c r="KE217" s="3"/>
      <c r="KF217" s="3"/>
      <c r="KG217" s="3"/>
      <c r="KH217" s="3"/>
      <c r="KI217" s="3"/>
      <c r="KJ217" s="3"/>
      <c r="KK217" s="3"/>
      <c r="KL217" s="3"/>
      <c r="KM217" s="3"/>
      <c r="KN217" s="3"/>
      <c r="KO217" s="3"/>
      <c r="KP217" s="3"/>
      <c r="KQ217" s="3"/>
      <c r="KR217" s="3"/>
      <c r="KS217" s="3"/>
      <c r="KT217" s="3"/>
      <c r="KU217" s="3"/>
      <c r="KV217" s="3"/>
      <c r="KW217" s="3"/>
      <c r="KX217" s="3"/>
      <c r="KY217" s="3"/>
      <c r="KZ217" s="3"/>
      <c r="LA217" s="3"/>
      <c r="LB217" s="3"/>
      <c r="LC217" s="3"/>
      <c r="LD217" s="3"/>
      <c r="LE217" s="3"/>
      <c r="LF217" s="3"/>
      <c r="LG217" s="3"/>
      <c r="LH217" s="3"/>
      <c r="LI217" s="3"/>
      <c r="LJ217" s="3"/>
      <c r="LK217" s="3"/>
      <c r="LL217" s="3"/>
      <c r="LM217" s="3"/>
      <c r="LN217" s="3"/>
      <c r="LO217" s="3"/>
      <c r="LP217" s="3"/>
      <c r="LQ217" s="3"/>
      <c r="LR217" s="3"/>
      <c r="LS217" s="3"/>
      <c r="LT217" s="3"/>
      <c r="LU217" s="3"/>
      <c r="LV217" s="3"/>
      <c r="LW217" s="3"/>
      <c r="LX217" s="3"/>
      <c r="LY217" s="3"/>
      <c r="LZ217" s="3"/>
      <c r="MA217" s="3"/>
      <c r="MB217" s="3"/>
      <c r="MC217" s="3"/>
      <c r="MD217" s="3"/>
      <c r="ME217" s="3"/>
      <c r="MF217" s="3"/>
      <c r="MG217" s="3"/>
      <c r="MH217" s="3"/>
      <c r="MI217" s="3"/>
      <c r="MJ217" s="3"/>
      <c r="MK217" s="3"/>
      <c r="ML217" s="3"/>
      <c r="MM217" s="3"/>
      <c r="MN217" s="3"/>
      <c r="MO217" s="3"/>
      <c r="MP217" s="3"/>
      <c r="MQ217" s="3"/>
      <c r="MR217" s="3"/>
      <c r="MS217" s="3"/>
      <c r="MT217" s="3"/>
      <c r="MU217" s="3"/>
      <c r="MV217" s="3"/>
      <c r="MW217" s="3"/>
      <c r="MX217" s="3"/>
      <c r="MY217" s="3"/>
      <c r="MZ217" s="3"/>
      <c r="NA217" s="3"/>
      <c r="NB217" s="3"/>
      <c r="NC217" s="3"/>
      <c r="ND217" s="3"/>
      <c r="NE217" s="3"/>
      <c r="NF217" s="3"/>
      <c r="NG217" s="3"/>
      <c r="NH217" s="3"/>
      <c r="NI217" s="3"/>
      <c r="NJ217" s="3"/>
      <c r="NK217" s="3"/>
      <c r="NL217" s="3"/>
      <c r="NM217" s="3"/>
      <c r="NN217" s="3"/>
      <c r="NO217" s="3"/>
      <c r="NP217" s="3"/>
      <c r="NQ217" s="3"/>
      <c r="NR217" s="3"/>
      <c r="NS217" s="3"/>
      <c r="NT217" s="3"/>
      <c r="NU217" s="3"/>
      <c r="NV217" s="3"/>
      <c r="NW217" s="3"/>
      <c r="NX217" s="3"/>
      <c r="NY217" s="3"/>
      <c r="NZ217" s="3"/>
      <c r="OA217" s="3"/>
      <c r="OB217" s="3"/>
      <c r="OC217" s="3"/>
      <c r="OD217" s="3"/>
      <c r="OE217" s="3"/>
      <c r="OF217" s="3"/>
      <c r="OG217" s="3"/>
      <c r="OH217" s="3"/>
      <c r="OI217" s="3"/>
      <c r="OJ217" s="3"/>
      <c r="OK217" s="3"/>
      <c r="OL217" s="3"/>
      <c r="OM217" s="3"/>
      <c r="ON217" s="3"/>
      <c r="OO217" s="3"/>
      <c r="OP217" s="3"/>
      <c r="OQ217" s="3"/>
      <c r="OR217" s="3"/>
      <c r="OS217" s="3"/>
      <c r="OT217" s="3"/>
      <c r="OU217" s="3"/>
      <c r="OV217" s="3"/>
      <c r="OW217" s="3"/>
      <c r="OX217" s="3"/>
      <c r="OY217" s="3"/>
      <c r="OZ217" s="3"/>
      <c r="PA217" s="3"/>
      <c r="PB217" s="3"/>
      <c r="PC217" s="3"/>
      <c r="PD217" s="3"/>
      <c r="PE217" s="3"/>
      <c r="PF217" s="3"/>
      <c r="PG217" s="3"/>
      <c r="PH217" s="3"/>
      <c r="PI217" s="3"/>
      <c r="PJ217" s="3"/>
      <c r="PK217" s="3"/>
      <c r="PL217" s="3"/>
      <c r="PM217" s="3"/>
      <c r="PN217" s="3"/>
      <c r="PO217" s="3"/>
      <c r="PP217" s="3"/>
      <c r="PQ217" s="3"/>
      <c r="PR217" s="3"/>
      <c r="PS217" s="3"/>
      <c r="PT217" s="3"/>
      <c r="PU217" s="3"/>
      <c r="PV217" s="3"/>
      <c r="PW217" s="3"/>
      <c r="PX217" s="3"/>
      <c r="PY217" s="3"/>
      <c r="PZ217" s="3"/>
      <c r="QA217" s="3"/>
      <c r="QB217" s="3"/>
      <c r="QC217" s="3"/>
      <c r="QD217" s="3"/>
      <c r="QE217" s="3"/>
      <c r="QF217" s="3"/>
      <c r="QG217" s="3"/>
      <c r="QH217" s="3"/>
      <c r="QI217" s="3"/>
      <c r="QJ217" s="3"/>
      <c r="QK217" s="3"/>
      <c r="QL217" s="3"/>
      <c r="QM217" s="3"/>
      <c r="QN217" s="3"/>
      <c r="QO217" s="3"/>
      <c r="QP217" s="3"/>
      <c r="QQ217" s="3"/>
      <c r="QR217" s="3"/>
      <c r="QS217" s="3"/>
      <c r="QT217" s="3"/>
      <c r="QU217" s="3"/>
      <c r="QV217" s="3"/>
      <c r="QW217" s="3"/>
      <c r="QX217" s="3"/>
      <c r="QY217" s="3"/>
      <c r="QZ217" s="3"/>
      <c r="RA217" s="3"/>
      <c r="RB217" s="3"/>
      <c r="RC217" s="3"/>
      <c r="RD217" s="3"/>
      <c r="RE217" s="3"/>
      <c r="RF217" s="3"/>
      <c r="RG217" s="3"/>
      <c r="RH217" s="3"/>
      <c r="RI217" s="3"/>
      <c r="RJ217" s="3"/>
      <c r="RK217" s="3"/>
      <c r="RL217" s="3"/>
      <c r="RM217" s="3"/>
      <c r="RN217" s="3"/>
      <c r="RO217" s="3"/>
      <c r="RP217" s="3"/>
      <c r="RQ217" s="3"/>
      <c r="RR217" s="3"/>
      <c r="RS217" s="3"/>
      <c r="RT217" s="3"/>
      <c r="RU217" s="3"/>
      <c r="RV217" s="3"/>
      <c r="RW217" s="3"/>
      <c r="RX217" s="3"/>
      <c r="RY217" s="3"/>
      <c r="RZ217" s="3"/>
      <c r="SA217" s="3"/>
      <c r="SB217" s="3"/>
      <c r="SC217" s="3"/>
      <c r="SD217" s="3"/>
      <c r="SE217" s="3"/>
      <c r="SF217" s="3"/>
      <c r="SG217" s="3"/>
      <c r="SH217" s="3"/>
      <c r="SI217" s="3"/>
      <c r="SJ217" s="3"/>
      <c r="SK217" s="3"/>
      <c r="SL217" s="3"/>
      <c r="SM217" s="3"/>
      <c r="SN217" s="3"/>
      <c r="SO217" s="3"/>
      <c r="SP217" s="3"/>
      <c r="SQ217" s="3"/>
      <c r="SR217" s="3"/>
      <c r="SS217" s="3"/>
      <c r="ST217" s="3"/>
      <c r="SU217" s="3"/>
      <c r="SV217" s="3"/>
      <c r="SW217" s="3"/>
      <c r="SX217" s="3"/>
      <c r="SY217" s="3"/>
      <c r="SZ217" s="3"/>
      <c r="TA217" s="3"/>
      <c r="TB217" s="3"/>
      <c r="TC217" s="3"/>
      <c r="TD217" s="3"/>
      <c r="TE217" s="3"/>
      <c r="TF217" s="3"/>
      <c r="TG217" s="3"/>
      <c r="TH217" s="3"/>
      <c r="TI217" s="3"/>
      <c r="TJ217" s="3"/>
      <c r="TK217" s="3"/>
      <c r="TL217" s="3"/>
      <c r="TM217" s="3"/>
      <c r="TN217" s="3"/>
      <c r="TO217" s="3"/>
      <c r="TP217" s="3"/>
      <c r="TQ217" s="3"/>
      <c r="TR217" s="3"/>
      <c r="TS217" s="3"/>
      <c r="TT217" s="3"/>
      <c r="TU217" s="3"/>
      <c r="TV217" s="3"/>
      <c r="TW217" s="3"/>
      <c r="TX217" s="3"/>
      <c r="TY217" s="3"/>
      <c r="TZ217" s="3"/>
      <c r="UA217" s="3"/>
      <c r="UB217" s="3"/>
      <c r="UC217" s="3"/>
      <c r="UD217" s="3"/>
      <c r="UE217" s="3"/>
      <c r="UF217" s="3"/>
      <c r="UG217" s="3"/>
      <c r="UH217" s="3"/>
      <c r="UI217" s="3"/>
      <c r="UJ217" s="3"/>
      <c r="UK217" s="3"/>
      <c r="UL217" s="3"/>
      <c r="UM217" s="3"/>
      <c r="UN217" s="3"/>
      <c r="UO217" s="3"/>
      <c r="UP217" s="3"/>
      <c r="UQ217" s="3"/>
      <c r="UR217" s="3"/>
      <c r="US217" s="3"/>
      <c r="UT217" s="3"/>
      <c r="UU217" s="3"/>
      <c r="UV217" s="3"/>
      <c r="UW217" s="3"/>
      <c r="UX217" s="3"/>
      <c r="UY217" s="3"/>
      <c r="UZ217" s="3"/>
      <c r="VA217" s="3"/>
      <c r="VB217" s="3"/>
      <c r="VC217" s="3"/>
      <c r="VD217" s="3"/>
      <c r="VE217" s="3"/>
      <c r="VF217" s="3"/>
      <c r="VG217" s="3"/>
      <c r="VH217" s="3"/>
      <c r="VI217" s="3"/>
      <c r="VJ217" s="3"/>
      <c r="VK217" s="3"/>
      <c r="VL217" s="3"/>
      <c r="VM217" s="3"/>
      <c r="VN217" s="3"/>
      <c r="VO217" s="3"/>
      <c r="VP217" s="3"/>
      <c r="VQ217" s="3"/>
      <c r="VR217" s="3"/>
      <c r="VS217" s="3"/>
      <c r="VT217" s="3"/>
      <c r="VU217" s="3"/>
      <c r="VV217" s="3"/>
      <c r="VW217" s="3"/>
      <c r="VX217" s="3"/>
      <c r="VY217" s="3"/>
      <c r="VZ217" s="3"/>
      <c r="WA217" s="3"/>
      <c r="WB217" s="3"/>
      <c r="WC217" s="3"/>
      <c r="WD217" s="3"/>
      <c r="WE217" s="3"/>
      <c r="WF217" s="3"/>
      <c r="WG217" s="3"/>
      <c r="WH217" s="3"/>
      <c r="WI217" s="3"/>
      <c r="WJ217" s="3"/>
      <c r="WK217" s="3"/>
      <c r="WL217" s="3"/>
      <c r="WM217" s="3"/>
      <c r="WN217" s="3"/>
      <c r="WO217" s="3"/>
      <c r="WP217" s="3"/>
      <c r="WQ217" s="3"/>
      <c r="WR217" s="3"/>
      <c r="WS217" s="3"/>
      <c r="WT217" s="3"/>
      <c r="WU217" s="3"/>
      <c r="WV217" s="3"/>
      <c r="WW217" s="3"/>
      <c r="WX217" s="3"/>
      <c r="WY217" s="3"/>
      <c r="WZ217" s="3"/>
      <c r="XA217" s="3"/>
      <c r="XB217" s="3"/>
      <c r="XC217" s="3"/>
      <c r="XD217" s="3"/>
      <c r="XE217" s="3"/>
      <c r="XF217" s="3"/>
      <c r="XG217" s="3"/>
      <c r="XH217" s="3"/>
      <c r="XI217" s="3"/>
      <c r="XJ217" s="3"/>
      <c r="XK217" s="3"/>
      <c r="XL217" s="3"/>
      <c r="XM217" s="3"/>
      <c r="XN217" s="3"/>
      <c r="XO217" s="3"/>
      <c r="XP217" s="3"/>
      <c r="XQ217" s="3"/>
      <c r="XR217" s="3"/>
      <c r="XS217" s="3"/>
      <c r="XT217" s="3"/>
      <c r="XU217" s="3"/>
      <c r="XV217" s="3"/>
      <c r="XW217" s="3"/>
      <c r="XX217" s="3"/>
      <c r="XY217" s="3"/>
      <c r="XZ217" s="3"/>
      <c r="YA217" s="3"/>
      <c r="YB217" s="3"/>
      <c r="YC217" s="3"/>
      <c r="YD217" s="3"/>
      <c r="YE217" s="3"/>
      <c r="YF217" s="3"/>
      <c r="YG217" s="3"/>
      <c r="YH217" s="3"/>
      <c r="YI217" s="3"/>
      <c r="YJ217" s="3"/>
      <c r="YK217" s="3"/>
      <c r="YL217" s="3"/>
      <c r="YM217" s="3"/>
      <c r="YN217" s="3"/>
      <c r="YO217" s="3"/>
      <c r="YP217" s="3"/>
      <c r="YQ217" s="3"/>
      <c r="YR217" s="3"/>
      <c r="YS217" s="3"/>
      <c r="YT217" s="3"/>
      <c r="YU217" s="3"/>
      <c r="YV217" s="3"/>
      <c r="YW217" s="3"/>
      <c r="YX217" s="3"/>
      <c r="YY217" s="3"/>
      <c r="YZ217" s="3"/>
      <c r="ZA217" s="3"/>
      <c r="ZB217" s="3"/>
      <c r="ZC217" s="3"/>
    </row>
    <row r="218" spans="1:679" s="2" customFormat="1" x14ac:dyDescent="0.45">
      <c r="A218" s="3" t="s">
        <v>11</v>
      </c>
      <c r="B218" s="4">
        <v>36615</v>
      </c>
      <c r="C218" s="7" t="s">
        <v>25</v>
      </c>
      <c r="D218" s="6" t="s">
        <v>235</v>
      </c>
      <c r="E218" s="3"/>
      <c r="F218" s="3">
        <v>4</v>
      </c>
      <c r="L218" s="3"/>
      <c r="M218" s="3"/>
      <c r="N218" s="48"/>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3"/>
      <c r="CT218" s="3"/>
      <c r="CU218" s="3"/>
      <c r="CV218" s="3"/>
      <c r="CW218" s="3"/>
      <c r="CX218" s="3"/>
      <c r="CY218" s="3"/>
      <c r="CZ218" s="3"/>
      <c r="DA218" s="3"/>
      <c r="DB218" s="3"/>
      <c r="DC218" s="3"/>
      <c r="DD218" s="3"/>
      <c r="DE218" s="3"/>
      <c r="DF218" s="3"/>
      <c r="DG218" s="3"/>
      <c r="DH218" s="3"/>
      <c r="DI218" s="3"/>
      <c r="DJ218" s="3"/>
      <c r="DK218" s="3"/>
      <c r="DL218" s="3"/>
      <c r="DM218" s="3"/>
      <c r="DN218" s="3"/>
      <c r="DO218" s="3"/>
      <c r="DP218" s="3"/>
      <c r="DQ218" s="3"/>
      <c r="DR218" s="3"/>
      <c r="DS218" s="3"/>
      <c r="DT218" s="3"/>
      <c r="DU218" s="3"/>
      <c r="DV218" s="3"/>
      <c r="DW218" s="3"/>
      <c r="DX218" s="3"/>
      <c r="DY218" s="3"/>
      <c r="DZ218" s="3"/>
      <c r="EA218" s="3"/>
      <c r="EB218" s="3"/>
      <c r="EC218" s="3"/>
      <c r="ED218" s="3"/>
      <c r="EE218" s="3"/>
      <c r="EF218" s="3"/>
      <c r="EG218" s="3"/>
      <c r="EH218" s="3"/>
      <c r="EI218" s="3"/>
      <c r="EJ218" s="3"/>
      <c r="EK218" s="3"/>
      <c r="EL218" s="3"/>
      <c r="EM218" s="3"/>
      <c r="EN218" s="3"/>
      <c r="EO218" s="3"/>
      <c r="EP218" s="3"/>
      <c r="EQ218" s="3"/>
      <c r="ER218" s="3"/>
      <c r="ES218" s="3"/>
      <c r="ET218" s="3"/>
      <c r="EU218" s="3"/>
      <c r="EV218" s="3"/>
      <c r="EW218" s="3"/>
      <c r="EX218" s="3"/>
      <c r="EY218" s="3"/>
      <c r="EZ218" s="3"/>
      <c r="FA218" s="3"/>
      <c r="FB218" s="3"/>
      <c r="FC218" s="3"/>
      <c r="FD218" s="3"/>
      <c r="FE218" s="3"/>
      <c r="FF218" s="3"/>
      <c r="FG218" s="3"/>
      <c r="FH218" s="3"/>
      <c r="FI218" s="3"/>
      <c r="FJ218" s="3"/>
      <c r="FK218" s="3"/>
      <c r="FL218" s="3"/>
      <c r="FM218" s="3"/>
      <c r="FN218" s="3"/>
      <c r="FO218" s="3"/>
      <c r="FP218" s="3"/>
      <c r="FQ218" s="3"/>
      <c r="FR218" s="3"/>
      <c r="FS218" s="3"/>
      <c r="FT218" s="3"/>
      <c r="FU218" s="3"/>
      <c r="FV218" s="3"/>
      <c r="FW218" s="3"/>
      <c r="FX218" s="3"/>
      <c r="FY218" s="3"/>
      <c r="FZ218" s="3"/>
      <c r="GA218" s="3"/>
      <c r="GB218" s="3"/>
      <c r="GC218" s="3"/>
      <c r="GD218" s="3"/>
      <c r="GE218" s="3"/>
      <c r="GF218" s="3"/>
      <c r="GG218" s="3"/>
      <c r="GH218" s="3"/>
      <c r="GI218" s="3"/>
      <c r="GJ218" s="3"/>
      <c r="GK218" s="3"/>
      <c r="GL218" s="3"/>
      <c r="GM218" s="3"/>
      <c r="GN218" s="3"/>
      <c r="GO218" s="3"/>
      <c r="GP218" s="3"/>
      <c r="GQ218" s="3"/>
      <c r="GR218" s="3"/>
      <c r="GS218" s="3"/>
      <c r="GT218" s="3"/>
      <c r="GU218" s="3"/>
      <c r="GV218" s="3"/>
      <c r="GW218" s="3"/>
      <c r="GX218" s="3"/>
      <c r="GY218" s="3"/>
      <c r="GZ218" s="3"/>
      <c r="HA218" s="3"/>
      <c r="HB218" s="3"/>
      <c r="HC218" s="3"/>
      <c r="HD218" s="3"/>
      <c r="HE218" s="3"/>
      <c r="HF218" s="3"/>
      <c r="HG218" s="3"/>
      <c r="HH218" s="3"/>
      <c r="HI218" s="3"/>
      <c r="HJ218" s="3"/>
      <c r="HK218" s="3"/>
      <c r="HL218" s="3"/>
      <c r="HM218" s="3"/>
      <c r="HN218" s="3"/>
      <c r="HO218" s="3"/>
      <c r="HP218" s="3"/>
      <c r="HQ218" s="3"/>
      <c r="HR218" s="3"/>
      <c r="HS218" s="3"/>
      <c r="HT218" s="3"/>
      <c r="HU218" s="3"/>
      <c r="HV218" s="3"/>
      <c r="HW218" s="3"/>
      <c r="HX218" s="3"/>
      <c r="HY218" s="3"/>
      <c r="HZ218" s="3"/>
      <c r="IA218" s="3"/>
      <c r="IB218" s="3"/>
      <c r="IC218" s="3"/>
      <c r="ID218" s="3"/>
      <c r="IE218" s="3"/>
      <c r="IF218" s="3"/>
      <c r="IG218" s="3"/>
      <c r="IH218" s="3"/>
      <c r="II218" s="3"/>
      <c r="IJ218" s="3"/>
      <c r="IK218" s="3"/>
      <c r="IL218" s="3"/>
      <c r="IM218" s="3"/>
      <c r="IN218" s="3"/>
      <c r="IO218" s="3"/>
      <c r="IP218" s="3"/>
      <c r="IQ218" s="3"/>
      <c r="IR218" s="3"/>
      <c r="IS218" s="3"/>
      <c r="IT218" s="3"/>
      <c r="IU218" s="3"/>
      <c r="IV218" s="3"/>
      <c r="IW218" s="3"/>
      <c r="IX218" s="3"/>
      <c r="IY218" s="3"/>
      <c r="IZ218" s="3"/>
      <c r="JA218" s="3"/>
      <c r="JB218" s="3"/>
      <c r="JC218" s="3"/>
      <c r="JD218" s="3"/>
      <c r="JE218" s="3"/>
      <c r="JF218" s="3"/>
      <c r="JG218" s="3"/>
      <c r="JH218" s="3"/>
      <c r="JI218" s="3"/>
      <c r="JJ218" s="3"/>
      <c r="JK218" s="3"/>
      <c r="JL218" s="3"/>
      <c r="JM218" s="3"/>
      <c r="JN218" s="3"/>
      <c r="JO218" s="3"/>
      <c r="JP218" s="3"/>
      <c r="JQ218" s="3"/>
      <c r="JR218" s="3"/>
      <c r="JS218" s="3"/>
      <c r="JT218" s="3"/>
      <c r="JU218" s="3"/>
      <c r="JV218" s="3"/>
      <c r="JW218" s="3"/>
      <c r="JX218" s="3"/>
      <c r="JY218" s="3"/>
      <c r="JZ218" s="3"/>
      <c r="KA218" s="3"/>
      <c r="KB218" s="3"/>
      <c r="KC218" s="3"/>
      <c r="KD218" s="3"/>
      <c r="KE218" s="3"/>
      <c r="KF218" s="3"/>
      <c r="KG218" s="3"/>
      <c r="KH218" s="3"/>
      <c r="KI218" s="3"/>
      <c r="KJ218" s="3"/>
      <c r="KK218" s="3"/>
      <c r="KL218" s="3"/>
      <c r="KM218" s="3"/>
      <c r="KN218" s="3"/>
      <c r="KO218" s="3"/>
      <c r="KP218" s="3"/>
      <c r="KQ218" s="3"/>
      <c r="KR218" s="3"/>
      <c r="KS218" s="3"/>
      <c r="KT218" s="3"/>
      <c r="KU218" s="3"/>
      <c r="KV218" s="3"/>
      <c r="KW218" s="3"/>
      <c r="KX218" s="3"/>
      <c r="KY218" s="3"/>
      <c r="KZ218" s="3"/>
      <c r="LA218" s="3"/>
      <c r="LB218" s="3"/>
      <c r="LC218" s="3"/>
      <c r="LD218" s="3"/>
      <c r="LE218" s="3"/>
      <c r="LF218" s="3"/>
      <c r="LG218" s="3"/>
      <c r="LH218" s="3"/>
      <c r="LI218" s="3"/>
      <c r="LJ218" s="3"/>
      <c r="LK218" s="3"/>
      <c r="LL218" s="3"/>
      <c r="LM218" s="3"/>
      <c r="LN218" s="3"/>
      <c r="LO218" s="3"/>
      <c r="LP218" s="3"/>
      <c r="LQ218" s="3"/>
      <c r="LR218" s="3"/>
      <c r="LS218" s="3"/>
      <c r="LT218" s="3"/>
      <c r="LU218" s="3"/>
      <c r="LV218" s="3"/>
      <c r="LW218" s="3"/>
      <c r="LX218" s="3"/>
      <c r="LY218" s="3"/>
      <c r="LZ218" s="3"/>
      <c r="MA218" s="3"/>
      <c r="MB218" s="3"/>
      <c r="MC218" s="3"/>
      <c r="MD218" s="3"/>
      <c r="ME218" s="3"/>
      <c r="MF218" s="3"/>
      <c r="MG218" s="3"/>
      <c r="MH218" s="3"/>
      <c r="MI218" s="3"/>
      <c r="MJ218" s="3"/>
      <c r="MK218" s="3"/>
      <c r="ML218" s="3"/>
      <c r="MM218" s="3"/>
      <c r="MN218" s="3"/>
      <c r="MO218" s="3"/>
      <c r="MP218" s="3"/>
      <c r="MQ218" s="3"/>
      <c r="MR218" s="3"/>
      <c r="MS218" s="3"/>
      <c r="MT218" s="3"/>
      <c r="MU218" s="3"/>
      <c r="MV218" s="3"/>
      <c r="MW218" s="3"/>
      <c r="MX218" s="3"/>
      <c r="MY218" s="3"/>
      <c r="MZ218" s="3"/>
      <c r="NA218" s="3"/>
      <c r="NB218" s="3"/>
      <c r="NC218" s="3"/>
      <c r="ND218" s="3"/>
      <c r="NE218" s="3"/>
      <c r="NF218" s="3"/>
      <c r="NG218" s="3"/>
      <c r="NH218" s="3"/>
      <c r="NI218" s="3"/>
      <c r="NJ218" s="3"/>
      <c r="NK218" s="3"/>
      <c r="NL218" s="3"/>
      <c r="NM218" s="3"/>
      <c r="NN218" s="3"/>
      <c r="NO218" s="3"/>
      <c r="NP218" s="3"/>
      <c r="NQ218" s="3"/>
      <c r="NR218" s="3"/>
      <c r="NS218" s="3"/>
      <c r="NT218" s="3"/>
      <c r="NU218" s="3"/>
      <c r="NV218" s="3"/>
      <c r="NW218" s="3"/>
      <c r="NX218" s="3"/>
      <c r="NY218" s="3"/>
      <c r="NZ218" s="3"/>
      <c r="OA218" s="3"/>
      <c r="OB218" s="3"/>
      <c r="OC218" s="3"/>
      <c r="OD218" s="3"/>
      <c r="OE218" s="3"/>
      <c r="OF218" s="3"/>
      <c r="OG218" s="3"/>
      <c r="OH218" s="3"/>
      <c r="OI218" s="3"/>
      <c r="OJ218" s="3"/>
      <c r="OK218" s="3"/>
      <c r="OL218" s="3"/>
      <c r="OM218" s="3"/>
      <c r="ON218" s="3"/>
      <c r="OO218" s="3"/>
      <c r="OP218" s="3"/>
      <c r="OQ218" s="3"/>
      <c r="OR218" s="3"/>
      <c r="OS218" s="3"/>
      <c r="OT218" s="3"/>
      <c r="OU218" s="3"/>
      <c r="OV218" s="3"/>
      <c r="OW218" s="3"/>
      <c r="OX218" s="3"/>
      <c r="OY218" s="3"/>
      <c r="OZ218" s="3"/>
      <c r="PA218" s="3"/>
      <c r="PB218" s="3"/>
      <c r="PC218" s="3"/>
      <c r="PD218" s="3"/>
      <c r="PE218" s="3"/>
      <c r="PF218" s="3"/>
      <c r="PG218" s="3"/>
      <c r="PH218" s="3"/>
      <c r="PI218" s="3"/>
      <c r="PJ218" s="3"/>
      <c r="PK218" s="3"/>
      <c r="PL218" s="3"/>
      <c r="PM218" s="3"/>
      <c r="PN218" s="3"/>
      <c r="PO218" s="3"/>
      <c r="PP218" s="3"/>
      <c r="PQ218" s="3"/>
      <c r="PR218" s="3"/>
      <c r="PS218" s="3"/>
      <c r="PT218" s="3"/>
      <c r="PU218" s="3"/>
      <c r="PV218" s="3"/>
      <c r="PW218" s="3"/>
      <c r="PX218" s="3"/>
      <c r="PY218" s="3"/>
      <c r="PZ218" s="3"/>
      <c r="QA218" s="3"/>
      <c r="QB218" s="3"/>
      <c r="QC218" s="3"/>
      <c r="QD218" s="3"/>
      <c r="QE218" s="3"/>
      <c r="QF218" s="3"/>
      <c r="QG218" s="3"/>
      <c r="QH218" s="3"/>
      <c r="QI218" s="3"/>
      <c r="QJ218" s="3"/>
      <c r="QK218" s="3"/>
      <c r="QL218" s="3"/>
      <c r="QM218" s="3"/>
      <c r="QN218" s="3"/>
      <c r="QO218" s="3"/>
      <c r="QP218" s="3"/>
      <c r="QQ218" s="3"/>
      <c r="QR218" s="3"/>
      <c r="QS218" s="3"/>
      <c r="QT218" s="3"/>
      <c r="QU218" s="3"/>
      <c r="QV218" s="3"/>
      <c r="QW218" s="3"/>
      <c r="QX218" s="3"/>
      <c r="QY218" s="3"/>
      <c r="QZ218" s="3"/>
      <c r="RA218" s="3"/>
      <c r="RB218" s="3"/>
      <c r="RC218" s="3"/>
      <c r="RD218" s="3"/>
      <c r="RE218" s="3"/>
      <c r="RF218" s="3"/>
      <c r="RG218" s="3"/>
      <c r="RH218" s="3"/>
      <c r="RI218" s="3"/>
      <c r="RJ218" s="3"/>
      <c r="RK218" s="3"/>
      <c r="RL218" s="3"/>
      <c r="RM218" s="3"/>
      <c r="RN218" s="3"/>
      <c r="RO218" s="3"/>
      <c r="RP218" s="3"/>
      <c r="RQ218" s="3"/>
      <c r="RR218" s="3"/>
      <c r="RS218" s="3"/>
      <c r="RT218" s="3"/>
      <c r="RU218" s="3"/>
      <c r="RV218" s="3"/>
      <c r="RW218" s="3"/>
      <c r="RX218" s="3"/>
      <c r="RY218" s="3"/>
      <c r="RZ218" s="3"/>
      <c r="SA218" s="3"/>
      <c r="SB218" s="3"/>
      <c r="SC218" s="3"/>
      <c r="SD218" s="3"/>
      <c r="SE218" s="3"/>
      <c r="SF218" s="3"/>
      <c r="SG218" s="3"/>
      <c r="SH218" s="3"/>
      <c r="SI218" s="3"/>
      <c r="SJ218" s="3"/>
      <c r="SK218" s="3"/>
      <c r="SL218" s="3"/>
      <c r="SM218" s="3"/>
      <c r="SN218" s="3"/>
      <c r="SO218" s="3"/>
      <c r="SP218" s="3"/>
      <c r="SQ218" s="3"/>
      <c r="SR218" s="3"/>
      <c r="SS218" s="3"/>
      <c r="ST218" s="3"/>
      <c r="SU218" s="3"/>
      <c r="SV218" s="3"/>
      <c r="SW218" s="3"/>
      <c r="SX218" s="3"/>
      <c r="SY218" s="3"/>
      <c r="SZ218" s="3"/>
      <c r="TA218" s="3"/>
      <c r="TB218" s="3"/>
      <c r="TC218" s="3"/>
      <c r="TD218" s="3"/>
      <c r="TE218" s="3"/>
      <c r="TF218" s="3"/>
      <c r="TG218" s="3"/>
      <c r="TH218" s="3"/>
      <c r="TI218" s="3"/>
      <c r="TJ218" s="3"/>
      <c r="TK218" s="3"/>
      <c r="TL218" s="3"/>
      <c r="TM218" s="3"/>
      <c r="TN218" s="3"/>
      <c r="TO218" s="3"/>
      <c r="TP218" s="3"/>
      <c r="TQ218" s="3"/>
      <c r="TR218" s="3"/>
      <c r="TS218" s="3"/>
      <c r="TT218" s="3"/>
      <c r="TU218" s="3"/>
      <c r="TV218" s="3"/>
      <c r="TW218" s="3"/>
      <c r="TX218" s="3"/>
      <c r="TY218" s="3"/>
      <c r="TZ218" s="3"/>
      <c r="UA218" s="3"/>
      <c r="UB218" s="3"/>
      <c r="UC218" s="3"/>
      <c r="UD218" s="3"/>
      <c r="UE218" s="3"/>
      <c r="UF218" s="3"/>
      <c r="UG218" s="3"/>
      <c r="UH218" s="3"/>
      <c r="UI218" s="3"/>
      <c r="UJ218" s="3"/>
      <c r="UK218" s="3"/>
      <c r="UL218" s="3"/>
      <c r="UM218" s="3"/>
      <c r="UN218" s="3"/>
      <c r="UO218" s="3"/>
      <c r="UP218" s="3"/>
      <c r="UQ218" s="3"/>
      <c r="UR218" s="3"/>
      <c r="US218" s="3"/>
      <c r="UT218" s="3"/>
      <c r="UU218" s="3"/>
      <c r="UV218" s="3"/>
      <c r="UW218" s="3"/>
      <c r="UX218" s="3"/>
      <c r="UY218" s="3"/>
      <c r="UZ218" s="3"/>
      <c r="VA218" s="3"/>
      <c r="VB218" s="3"/>
      <c r="VC218" s="3"/>
      <c r="VD218" s="3"/>
      <c r="VE218" s="3"/>
      <c r="VF218" s="3"/>
      <c r="VG218" s="3"/>
      <c r="VH218" s="3"/>
      <c r="VI218" s="3"/>
      <c r="VJ218" s="3"/>
      <c r="VK218" s="3"/>
      <c r="VL218" s="3"/>
      <c r="VM218" s="3"/>
      <c r="VN218" s="3"/>
      <c r="VO218" s="3"/>
      <c r="VP218" s="3"/>
      <c r="VQ218" s="3"/>
      <c r="VR218" s="3"/>
      <c r="VS218" s="3"/>
      <c r="VT218" s="3"/>
      <c r="VU218" s="3"/>
      <c r="VV218" s="3"/>
      <c r="VW218" s="3"/>
      <c r="VX218" s="3"/>
      <c r="VY218" s="3"/>
      <c r="VZ218" s="3"/>
      <c r="WA218" s="3"/>
      <c r="WB218" s="3"/>
      <c r="WC218" s="3"/>
      <c r="WD218" s="3"/>
      <c r="WE218" s="3"/>
      <c r="WF218" s="3"/>
      <c r="WG218" s="3"/>
      <c r="WH218" s="3"/>
      <c r="WI218" s="3"/>
      <c r="WJ218" s="3"/>
      <c r="WK218" s="3"/>
      <c r="WL218" s="3"/>
      <c r="WM218" s="3"/>
      <c r="WN218" s="3"/>
      <c r="WO218" s="3"/>
      <c r="WP218" s="3"/>
      <c r="WQ218" s="3"/>
      <c r="WR218" s="3"/>
      <c r="WS218" s="3"/>
      <c r="WT218" s="3"/>
      <c r="WU218" s="3"/>
      <c r="WV218" s="3"/>
      <c r="WW218" s="3"/>
      <c r="WX218" s="3"/>
      <c r="WY218" s="3"/>
      <c r="WZ218" s="3"/>
      <c r="XA218" s="3"/>
      <c r="XB218" s="3"/>
      <c r="XC218" s="3"/>
      <c r="XD218" s="3"/>
      <c r="XE218" s="3"/>
      <c r="XF218" s="3"/>
      <c r="XG218" s="3"/>
      <c r="XH218" s="3"/>
      <c r="XI218" s="3"/>
      <c r="XJ218" s="3"/>
      <c r="XK218" s="3"/>
      <c r="XL218" s="3"/>
      <c r="XM218" s="3"/>
      <c r="XN218" s="3"/>
      <c r="XO218" s="3"/>
      <c r="XP218" s="3"/>
      <c r="XQ218" s="3"/>
      <c r="XR218" s="3"/>
      <c r="XS218" s="3"/>
      <c r="XT218" s="3"/>
      <c r="XU218" s="3"/>
      <c r="XV218" s="3"/>
      <c r="XW218" s="3"/>
      <c r="XX218" s="3"/>
      <c r="XY218" s="3"/>
      <c r="XZ218" s="3"/>
      <c r="YA218" s="3"/>
      <c r="YB218" s="3"/>
      <c r="YC218" s="3"/>
      <c r="YD218" s="3"/>
      <c r="YE218" s="3"/>
      <c r="YF218" s="3"/>
      <c r="YG218" s="3"/>
      <c r="YH218" s="3"/>
      <c r="YI218" s="3"/>
      <c r="YJ218" s="3"/>
      <c r="YK218" s="3"/>
      <c r="YL218" s="3"/>
      <c r="YM218" s="3"/>
      <c r="YN218" s="3"/>
      <c r="YO218" s="3"/>
      <c r="YP218" s="3"/>
      <c r="YQ218" s="3"/>
      <c r="YR218" s="3"/>
      <c r="YS218" s="3"/>
      <c r="YT218" s="3"/>
      <c r="YU218" s="3"/>
      <c r="YV218" s="3"/>
      <c r="YW218" s="3"/>
      <c r="YX218" s="3"/>
      <c r="YY218" s="3"/>
      <c r="YZ218" s="3"/>
      <c r="ZA218" s="3"/>
      <c r="ZB218" s="3"/>
      <c r="ZC218" s="3"/>
    </row>
    <row r="219" spans="1:679" s="2" customFormat="1" x14ac:dyDescent="0.45">
      <c r="A219" s="3" t="s">
        <v>11</v>
      </c>
      <c r="B219" s="4">
        <v>36634</v>
      </c>
      <c r="C219" s="7" t="s">
        <v>21</v>
      </c>
      <c r="D219" s="6" t="s">
        <v>236</v>
      </c>
      <c r="E219" s="3"/>
      <c r="F219" s="3">
        <v>82</v>
      </c>
      <c r="L219" s="3"/>
      <c r="M219" s="3"/>
      <c r="N219" s="48"/>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3"/>
      <c r="DI219" s="3"/>
      <c r="DJ219" s="3"/>
      <c r="DK219" s="3"/>
      <c r="DL219" s="3"/>
      <c r="DM219" s="3"/>
      <c r="DN219" s="3"/>
      <c r="DO219" s="3"/>
      <c r="DP219" s="3"/>
      <c r="DQ219" s="3"/>
      <c r="DR219" s="3"/>
      <c r="DS219" s="3"/>
      <c r="DT219" s="3"/>
      <c r="DU219" s="3"/>
      <c r="DV219" s="3"/>
      <c r="DW219" s="3"/>
      <c r="DX219" s="3"/>
      <c r="DY219" s="3"/>
      <c r="DZ219" s="3"/>
      <c r="EA219" s="3"/>
      <c r="EB219" s="3"/>
      <c r="EC219" s="3"/>
      <c r="ED219" s="3"/>
      <c r="EE219" s="3"/>
      <c r="EF219" s="3"/>
      <c r="EG219" s="3"/>
      <c r="EH219" s="3"/>
      <c r="EI219" s="3"/>
      <c r="EJ219" s="3"/>
      <c r="EK219" s="3"/>
      <c r="EL219" s="3"/>
      <c r="EM219" s="3"/>
      <c r="EN219" s="3"/>
      <c r="EO219" s="3"/>
      <c r="EP219" s="3"/>
      <c r="EQ219" s="3"/>
      <c r="ER219" s="3"/>
      <c r="ES219" s="3"/>
      <c r="ET219" s="3"/>
      <c r="EU219" s="3"/>
      <c r="EV219" s="3"/>
      <c r="EW219" s="3"/>
      <c r="EX219" s="3"/>
      <c r="EY219" s="3"/>
      <c r="EZ219" s="3"/>
      <c r="FA219" s="3"/>
      <c r="FB219" s="3"/>
      <c r="FC219" s="3"/>
      <c r="FD219" s="3"/>
      <c r="FE219" s="3"/>
      <c r="FF219" s="3"/>
      <c r="FG219" s="3"/>
      <c r="FH219" s="3"/>
      <c r="FI219" s="3"/>
      <c r="FJ219" s="3"/>
      <c r="FK219" s="3"/>
      <c r="FL219" s="3"/>
      <c r="FM219" s="3"/>
      <c r="FN219" s="3"/>
      <c r="FO219" s="3"/>
      <c r="FP219" s="3"/>
      <c r="FQ219" s="3"/>
      <c r="FR219" s="3"/>
      <c r="FS219" s="3"/>
      <c r="FT219" s="3"/>
      <c r="FU219" s="3"/>
      <c r="FV219" s="3"/>
      <c r="FW219" s="3"/>
      <c r="FX219" s="3"/>
      <c r="FY219" s="3"/>
      <c r="FZ219" s="3"/>
      <c r="GA219" s="3"/>
      <c r="GB219" s="3"/>
      <c r="GC219" s="3"/>
      <c r="GD219" s="3"/>
      <c r="GE219" s="3"/>
      <c r="GF219" s="3"/>
      <c r="GG219" s="3"/>
      <c r="GH219" s="3"/>
      <c r="GI219" s="3"/>
      <c r="GJ219" s="3"/>
      <c r="GK219" s="3"/>
      <c r="GL219" s="3"/>
      <c r="GM219" s="3"/>
      <c r="GN219" s="3"/>
      <c r="GO219" s="3"/>
      <c r="GP219" s="3"/>
      <c r="GQ219" s="3"/>
      <c r="GR219" s="3"/>
      <c r="GS219" s="3"/>
      <c r="GT219" s="3"/>
      <c r="GU219" s="3"/>
      <c r="GV219" s="3"/>
      <c r="GW219" s="3"/>
      <c r="GX219" s="3"/>
      <c r="GY219" s="3"/>
      <c r="GZ219" s="3"/>
      <c r="HA219" s="3"/>
      <c r="HB219" s="3"/>
      <c r="HC219" s="3"/>
      <c r="HD219" s="3"/>
      <c r="HE219" s="3"/>
      <c r="HF219" s="3"/>
      <c r="HG219" s="3"/>
      <c r="HH219" s="3"/>
      <c r="HI219" s="3"/>
      <c r="HJ219" s="3"/>
      <c r="HK219" s="3"/>
      <c r="HL219" s="3"/>
      <c r="HM219" s="3"/>
      <c r="HN219" s="3"/>
      <c r="HO219" s="3"/>
      <c r="HP219" s="3"/>
      <c r="HQ219" s="3"/>
      <c r="HR219" s="3"/>
      <c r="HS219" s="3"/>
      <c r="HT219" s="3"/>
      <c r="HU219" s="3"/>
      <c r="HV219" s="3"/>
      <c r="HW219" s="3"/>
      <c r="HX219" s="3"/>
      <c r="HY219" s="3"/>
      <c r="HZ219" s="3"/>
      <c r="IA219" s="3"/>
      <c r="IB219" s="3"/>
      <c r="IC219" s="3"/>
      <c r="ID219" s="3"/>
      <c r="IE219" s="3"/>
      <c r="IF219" s="3"/>
      <c r="IG219" s="3"/>
      <c r="IH219" s="3"/>
      <c r="II219" s="3"/>
      <c r="IJ219" s="3"/>
      <c r="IK219" s="3"/>
      <c r="IL219" s="3"/>
      <c r="IM219" s="3"/>
      <c r="IN219" s="3"/>
      <c r="IO219" s="3"/>
      <c r="IP219" s="3"/>
      <c r="IQ219" s="3"/>
      <c r="IR219" s="3"/>
      <c r="IS219" s="3"/>
      <c r="IT219" s="3"/>
      <c r="IU219" s="3"/>
      <c r="IV219" s="3"/>
      <c r="IW219" s="3"/>
      <c r="IX219" s="3"/>
      <c r="IY219" s="3"/>
      <c r="IZ219" s="3"/>
      <c r="JA219" s="3"/>
      <c r="JB219" s="3"/>
      <c r="JC219" s="3"/>
      <c r="JD219" s="3"/>
      <c r="JE219" s="3"/>
      <c r="JF219" s="3"/>
      <c r="JG219" s="3"/>
      <c r="JH219" s="3"/>
      <c r="JI219" s="3"/>
      <c r="JJ219" s="3"/>
      <c r="JK219" s="3"/>
      <c r="JL219" s="3"/>
      <c r="JM219" s="3"/>
      <c r="JN219" s="3"/>
      <c r="JO219" s="3"/>
      <c r="JP219" s="3"/>
      <c r="JQ219" s="3"/>
      <c r="JR219" s="3"/>
      <c r="JS219" s="3"/>
      <c r="JT219" s="3"/>
      <c r="JU219" s="3"/>
      <c r="JV219" s="3"/>
      <c r="JW219" s="3"/>
      <c r="JX219" s="3"/>
      <c r="JY219" s="3"/>
      <c r="JZ219" s="3"/>
      <c r="KA219" s="3"/>
      <c r="KB219" s="3"/>
      <c r="KC219" s="3"/>
      <c r="KD219" s="3"/>
      <c r="KE219" s="3"/>
      <c r="KF219" s="3"/>
      <c r="KG219" s="3"/>
      <c r="KH219" s="3"/>
      <c r="KI219" s="3"/>
      <c r="KJ219" s="3"/>
      <c r="KK219" s="3"/>
      <c r="KL219" s="3"/>
      <c r="KM219" s="3"/>
      <c r="KN219" s="3"/>
      <c r="KO219" s="3"/>
      <c r="KP219" s="3"/>
      <c r="KQ219" s="3"/>
      <c r="KR219" s="3"/>
      <c r="KS219" s="3"/>
      <c r="KT219" s="3"/>
      <c r="KU219" s="3"/>
      <c r="KV219" s="3"/>
      <c r="KW219" s="3"/>
      <c r="KX219" s="3"/>
      <c r="KY219" s="3"/>
      <c r="KZ219" s="3"/>
      <c r="LA219" s="3"/>
      <c r="LB219" s="3"/>
      <c r="LC219" s="3"/>
      <c r="LD219" s="3"/>
      <c r="LE219" s="3"/>
      <c r="LF219" s="3"/>
      <c r="LG219" s="3"/>
      <c r="LH219" s="3"/>
      <c r="LI219" s="3"/>
      <c r="LJ219" s="3"/>
      <c r="LK219" s="3"/>
      <c r="LL219" s="3"/>
      <c r="LM219" s="3"/>
      <c r="LN219" s="3"/>
      <c r="LO219" s="3"/>
      <c r="LP219" s="3"/>
      <c r="LQ219" s="3"/>
      <c r="LR219" s="3"/>
      <c r="LS219" s="3"/>
      <c r="LT219" s="3"/>
      <c r="LU219" s="3"/>
      <c r="LV219" s="3"/>
      <c r="LW219" s="3"/>
      <c r="LX219" s="3"/>
      <c r="LY219" s="3"/>
      <c r="LZ219" s="3"/>
      <c r="MA219" s="3"/>
      <c r="MB219" s="3"/>
      <c r="MC219" s="3"/>
      <c r="MD219" s="3"/>
      <c r="ME219" s="3"/>
      <c r="MF219" s="3"/>
      <c r="MG219" s="3"/>
      <c r="MH219" s="3"/>
      <c r="MI219" s="3"/>
      <c r="MJ219" s="3"/>
      <c r="MK219" s="3"/>
      <c r="ML219" s="3"/>
      <c r="MM219" s="3"/>
      <c r="MN219" s="3"/>
      <c r="MO219" s="3"/>
      <c r="MP219" s="3"/>
      <c r="MQ219" s="3"/>
      <c r="MR219" s="3"/>
      <c r="MS219" s="3"/>
      <c r="MT219" s="3"/>
      <c r="MU219" s="3"/>
      <c r="MV219" s="3"/>
      <c r="MW219" s="3"/>
      <c r="MX219" s="3"/>
      <c r="MY219" s="3"/>
      <c r="MZ219" s="3"/>
      <c r="NA219" s="3"/>
      <c r="NB219" s="3"/>
      <c r="NC219" s="3"/>
      <c r="ND219" s="3"/>
      <c r="NE219" s="3"/>
      <c r="NF219" s="3"/>
      <c r="NG219" s="3"/>
      <c r="NH219" s="3"/>
      <c r="NI219" s="3"/>
      <c r="NJ219" s="3"/>
      <c r="NK219" s="3"/>
      <c r="NL219" s="3"/>
      <c r="NM219" s="3"/>
      <c r="NN219" s="3"/>
      <c r="NO219" s="3"/>
      <c r="NP219" s="3"/>
      <c r="NQ219" s="3"/>
      <c r="NR219" s="3"/>
      <c r="NS219" s="3"/>
      <c r="NT219" s="3"/>
      <c r="NU219" s="3"/>
      <c r="NV219" s="3"/>
      <c r="NW219" s="3"/>
      <c r="NX219" s="3"/>
      <c r="NY219" s="3"/>
      <c r="NZ219" s="3"/>
      <c r="OA219" s="3"/>
      <c r="OB219" s="3"/>
      <c r="OC219" s="3"/>
      <c r="OD219" s="3"/>
      <c r="OE219" s="3"/>
      <c r="OF219" s="3"/>
      <c r="OG219" s="3"/>
      <c r="OH219" s="3"/>
      <c r="OI219" s="3"/>
      <c r="OJ219" s="3"/>
      <c r="OK219" s="3"/>
      <c r="OL219" s="3"/>
      <c r="OM219" s="3"/>
      <c r="ON219" s="3"/>
      <c r="OO219" s="3"/>
      <c r="OP219" s="3"/>
      <c r="OQ219" s="3"/>
      <c r="OR219" s="3"/>
      <c r="OS219" s="3"/>
      <c r="OT219" s="3"/>
      <c r="OU219" s="3"/>
      <c r="OV219" s="3"/>
      <c r="OW219" s="3"/>
      <c r="OX219" s="3"/>
      <c r="OY219" s="3"/>
      <c r="OZ219" s="3"/>
      <c r="PA219" s="3"/>
      <c r="PB219" s="3"/>
      <c r="PC219" s="3"/>
      <c r="PD219" s="3"/>
      <c r="PE219" s="3"/>
      <c r="PF219" s="3"/>
      <c r="PG219" s="3"/>
      <c r="PH219" s="3"/>
      <c r="PI219" s="3"/>
      <c r="PJ219" s="3"/>
      <c r="PK219" s="3"/>
      <c r="PL219" s="3"/>
      <c r="PM219" s="3"/>
      <c r="PN219" s="3"/>
      <c r="PO219" s="3"/>
      <c r="PP219" s="3"/>
      <c r="PQ219" s="3"/>
      <c r="PR219" s="3"/>
      <c r="PS219" s="3"/>
      <c r="PT219" s="3"/>
      <c r="PU219" s="3"/>
      <c r="PV219" s="3"/>
      <c r="PW219" s="3"/>
      <c r="PX219" s="3"/>
      <c r="PY219" s="3"/>
      <c r="PZ219" s="3"/>
      <c r="QA219" s="3"/>
      <c r="QB219" s="3"/>
      <c r="QC219" s="3"/>
      <c r="QD219" s="3"/>
      <c r="QE219" s="3"/>
      <c r="QF219" s="3"/>
      <c r="QG219" s="3"/>
      <c r="QH219" s="3"/>
      <c r="QI219" s="3"/>
      <c r="QJ219" s="3"/>
      <c r="QK219" s="3"/>
      <c r="QL219" s="3"/>
      <c r="QM219" s="3"/>
      <c r="QN219" s="3"/>
      <c r="QO219" s="3"/>
      <c r="QP219" s="3"/>
      <c r="QQ219" s="3"/>
      <c r="QR219" s="3"/>
      <c r="QS219" s="3"/>
      <c r="QT219" s="3"/>
      <c r="QU219" s="3"/>
      <c r="QV219" s="3"/>
      <c r="QW219" s="3"/>
      <c r="QX219" s="3"/>
      <c r="QY219" s="3"/>
      <c r="QZ219" s="3"/>
      <c r="RA219" s="3"/>
      <c r="RB219" s="3"/>
      <c r="RC219" s="3"/>
      <c r="RD219" s="3"/>
      <c r="RE219" s="3"/>
      <c r="RF219" s="3"/>
      <c r="RG219" s="3"/>
      <c r="RH219" s="3"/>
      <c r="RI219" s="3"/>
      <c r="RJ219" s="3"/>
      <c r="RK219" s="3"/>
      <c r="RL219" s="3"/>
      <c r="RM219" s="3"/>
      <c r="RN219" s="3"/>
      <c r="RO219" s="3"/>
      <c r="RP219" s="3"/>
      <c r="RQ219" s="3"/>
      <c r="RR219" s="3"/>
      <c r="RS219" s="3"/>
      <c r="RT219" s="3"/>
      <c r="RU219" s="3"/>
      <c r="RV219" s="3"/>
      <c r="RW219" s="3"/>
      <c r="RX219" s="3"/>
      <c r="RY219" s="3"/>
      <c r="RZ219" s="3"/>
      <c r="SA219" s="3"/>
      <c r="SB219" s="3"/>
      <c r="SC219" s="3"/>
      <c r="SD219" s="3"/>
      <c r="SE219" s="3"/>
      <c r="SF219" s="3"/>
      <c r="SG219" s="3"/>
      <c r="SH219" s="3"/>
      <c r="SI219" s="3"/>
      <c r="SJ219" s="3"/>
      <c r="SK219" s="3"/>
      <c r="SL219" s="3"/>
      <c r="SM219" s="3"/>
      <c r="SN219" s="3"/>
      <c r="SO219" s="3"/>
      <c r="SP219" s="3"/>
      <c r="SQ219" s="3"/>
      <c r="SR219" s="3"/>
      <c r="SS219" s="3"/>
      <c r="ST219" s="3"/>
      <c r="SU219" s="3"/>
      <c r="SV219" s="3"/>
      <c r="SW219" s="3"/>
      <c r="SX219" s="3"/>
      <c r="SY219" s="3"/>
      <c r="SZ219" s="3"/>
      <c r="TA219" s="3"/>
      <c r="TB219" s="3"/>
      <c r="TC219" s="3"/>
      <c r="TD219" s="3"/>
      <c r="TE219" s="3"/>
      <c r="TF219" s="3"/>
      <c r="TG219" s="3"/>
      <c r="TH219" s="3"/>
      <c r="TI219" s="3"/>
      <c r="TJ219" s="3"/>
      <c r="TK219" s="3"/>
      <c r="TL219" s="3"/>
      <c r="TM219" s="3"/>
      <c r="TN219" s="3"/>
      <c r="TO219" s="3"/>
      <c r="TP219" s="3"/>
      <c r="TQ219" s="3"/>
      <c r="TR219" s="3"/>
      <c r="TS219" s="3"/>
      <c r="TT219" s="3"/>
      <c r="TU219" s="3"/>
      <c r="TV219" s="3"/>
      <c r="TW219" s="3"/>
      <c r="TX219" s="3"/>
      <c r="TY219" s="3"/>
      <c r="TZ219" s="3"/>
      <c r="UA219" s="3"/>
      <c r="UB219" s="3"/>
      <c r="UC219" s="3"/>
      <c r="UD219" s="3"/>
      <c r="UE219" s="3"/>
      <c r="UF219" s="3"/>
      <c r="UG219" s="3"/>
      <c r="UH219" s="3"/>
      <c r="UI219" s="3"/>
      <c r="UJ219" s="3"/>
      <c r="UK219" s="3"/>
      <c r="UL219" s="3"/>
      <c r="UM219" s="3"/>
      <c r="UN219" s="3"/>
      <c r="UO219" s="3"/>
      <c r="UP219" s="3"/>
      <c r="UQ219" s="3"/>
      <c r="UR219" s="3"/>
      <c r="US219" s="3"/>
      <c r="UT219" s="3"/>
      <c r="UU219" s="3"/>
      <c r="UV219" s="3"/>
      <c r="UW219" s="3"/>
      <c r="UX219" s="3"/>
      <c r="UY219" s="3"/>
      <c r="UZ219" s="3"/>
      <c r="VA219" s="3"/>
      <c r="VB219" s="3"/>
      <c r="VC219" s="3"/>
      <c r="VD219" s="3"/>
      <c r="VE219" s="3"/>
      <c r="VF219" s="3"/>
      <c r="VG219" s="3"/>
      <c r="VH219" s="3"/>
      <c r="VI219" s="3"/>
      <c r="VJ219" s="3"/>
      <c r="VK219" s="3"/>
      <c r="VL219" s="3"/>
      <c r="VM219" s="3"/>
      <c r="VN219" s="3"/>
      <c r="VO219" s="3"/>
      <c r="VP219" s="3"/>
      <c r="VQ219" s="3"/>
      <c r="VR219" s="3"/>
      <c r="VS219" s="3"/>
      <c r="VT219" s="3"/>
      <c r="VU219" s="3"/>
      <c r="VV219" s="3"/>
      <c r="VW219" s="3"/>
      <c r="VX219" s="3"/>
      <c r="VY219" s="3"/>
      <c r="VZ219" s="3"/>
      <c r="WA219" s="3"/>
      <c r="WB219" s="3"/>
      <c r="WC219" s="3"/>
      <c r="WD219" s="3"/>
      <c r="WE219" s="3"/>
      <c r="WF219" s="3"/>
      <c r="WG219" s="3"/>
      <c r="WH219" s="3"/>
      <c r="WI219" s="3"/>
      <c r="WJ219" s="3"/>
      <c r="WK219" s="3"/>
      <c r="WL219" s="3"/>
      <c r="WM219" s="3"/>
      <c r="WN219" s="3"/>
      <c r="WO219" s="3"/>
      <c r="WP219" s="3"/>
      <c r="WQ219" s="3"/>
      <c r="WR219" s="3"/>
      <c r="WS219" s="3"/>
      <c r="WT219" s="3"/>
      <c r="WU219" s="3"/>
      <c r="WV219" s="3"/>
      <c r="WW219" s="3"/>
      <c r="WX219" s="3"/>
      <c r="WY219" s="3"/>
      <c r="WZ219" s="3"/>
      <c r="XA219" s="3"/>
      <c r="XB219" s="3"/>
      <c r="XC219" s="3"/>
      <c r="XD219" s="3"/>
      <c r="XE219" s="3"/>
      <c r="XF219" s="3"/>
      <c r="XG219" s="3"/>
      <c r="XH219" s="3"/>
      <c r="XI219" s="3"/>
      <c r="XJ219" s="3"/>
      <c r="XK219" s="3"/>
      <c r="XL219" s="3"/>
      <c r="XM219" s="3"/>
      <c r="XN219" s="3"/>
      <c r="XO219" s="3"/>
      <c r="XP219" s="3"/>
      <c r="XQ219" s="3"/>
      <c r="XR219" s="3"/>
      <c r="XS219" s="3"/>
      <c r="XT219" s="3"/>
      <c r="XU219" s="3"/>
      <c r="XV219" s="3"/>
      <c r="XW219" s="3"/>
      <c r="XX219" s="3"/>
      <c r="XY219" s="3"/>
      <c r="XZ219" s="3"/>
      <c r="YA219" s="3"/>
      <c r="YB219" s="3"/>
      <c r="YC219" s="3"/>
      <c r="YD219" s="3"/>
      <c r="YE219" s="3"/>
      <c r="YF219" s="3"/>
      <c r="YG219" s="3"/>
      <c r="YH219" s="3"/>
      <c r="YI219" s="3"/>
      <c r="YJ219" s="3"/>
      <c r="YK219" s="3"/>
      <c r="YL219" s="3"/>
      <c r="YM219" s="3"/>
      <c r="YN219" s="3"/>
      <c r="YO219" s="3"/>
      <c r="YP219" s="3"/>
      <c r="YQ219" s="3"/>
      <c r="YR219" s="3"/>
      <c r="YS219" s="3"/>
      <c r="YT219" s="3"/>
      <c r="YU219" s="3"/>
      <c r="YV219" s="3"/>
      <c r="YW219" s="3"/>
      <c r="YX219" s="3"/>
      <c r="YY219" s="3"/>
      <c r="YZ219" s="3"/>
      <c r="ZA219" s="3"/>
      <c r="ZB219" s="3"/>
      <c r="ZC219" s="3"/>
    </row>
    <row r="220" spans="1:679" s="2" customFormat="1" x14ac:dyDescent="0.45">
      <c r="A220" s="3" t="s">
        <v>11</v>
      </c>
      <c r="B220" s="4">
        <v>36636</v>
      </c>
      <c r="C220" s="7" t="s">
        <v>25</v>
      </c>
      <c r="D220" s="6" t="s">
        <v>237</v>
      </c>
      <c r="E220" s="3"/>
      <c r="F220" s="3">
        <v>3</v>
      </c>
      <c r="L220" s="3"/>
      <c r="M220" s="3"/>
      <c r="N220" s="48"/>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c r="DI220" s="3"/>
      <c r="DJ220" s="3"/>
      <c r="DK220" s="3"/>
      <c r="DL220" s="3"/>
      <c r="DM220" s="3"/>
      <c r="DN220" s="3"/>
      <c r="DO220" s="3"/>
      <c r="DP220" s="3"/>
      <c r="DQ220" s="3"/>
      <c r="DR220" s="3"/>
      <c r="DS220" s="3"/>
      <c r="DT220" s="3"/>
      <c r="DU220" s="3"/>
      <c r="DV220" s="3"/>
      <c r="DW220" s="3"/>
      <c r="DX220" s="3"/>
      <c r="DY220" s="3"/>
      <c r="DZ220" s="3"/>
      <c r="EA220" s="3"/>
      <c r="EB220" s="3"/>
      <c r="EC220" s="3"/>
      <c r="ED220" s="3"/>
      <c r="EE220" s="3"/>
      <c r="EF220" s="3"/>
      <c r="EG220" s="3"/>
      <c r="EH220" s="3"/>
      <c r="EI220" s="3"/>
      <c r="EJ220" s="3"/>
      <c r="EK220" s="3"/>
      <c r="EL220" s="3"/>
      <c r="EM220" s="3"/>
      <c r="EN220" s="3"/>
      <c r="EO220" s="3"/>
      <c r="EP220" s="3"/>
      <c r="EQ220" s="3"/>
      <c r="ER220" s="3"/>
      <c r="ES220" s="3"/>
      <c r="ET220" s="3"/>
      <c r="EU220" s="3"/>
      <c r="EV220" s="3"/>
      <c r="EW220" s="3"/>
      <c r="EX220" s="3"/>
      <c r="EY220" s="3"/>
      <c r="EZ220" s="3"/>
      <c r="FA220" s="3"/>
      <c r="FB220" s="3"/>
      <c r="FC220" s="3"/>
      <c r="FD220" s="3"/>
      <c r="FE220" s="3"/>
      <c r="FF220" s="3"/>
      <c r="FG220" s="3"/>
      <c r="FH220" s="3"/>
      <c r="FI220" s="3"/>
      <c r="FJ220" s="3"/>
      <c r="FK220" s="3"/>
      <c r="FL220" s="3"/>
      <c r="FM220" s="3"/>
      <c r="FN220" s="3"/>
      <c r="FO220" s="3"/>
      <c r="FP220" s="3"/>
      <c r="FQ220" s="3"/>
      <c r="FR220" s="3"/>
      <c r="FS220" s="3"/>
      <c r="FT220" s="3"/>
      <c r="FU220" s="3"/>
      <c r="FV220" s="3"/>
      <c r="FW220" s="3"/>
      <c r="FX220" s="3"/>
      <c r="FY220" s="3"/>
      <c r="FZ220" s="3"/>
      <c r="GA220" s="3"/>
      <c r="GB220" s="3"/>
      <c r="GC220" s="3"/>
      <c r="GD220" s="3"/>
      <c r="GE220" s="3"/>
      <c r="GF220" s="3"/>
      <c r="GG220" s="3"/>
      <c r="GH220" s="3"/>
      <c r="GI220" s="3"/>
      <c r="GJ220" s="3"/>
      <c r="GK220" s="3"/>
      <c r="GL220" s="3"/>
      <c r="GM220" s="3"/>
      <c r="GN220" s="3"/>
      <c r="GO220" s="3"/>
      <c r="GP220" s="3"/>
      <c r="GQ220" s="3"/>
      <c r="GR220" s="3"/>
      <c r="GS220" s="3"/>
      <c r="GT220" s="3"/>
      <c r="GU220" s="3"/>
      <c r="GV220" s="3"/>
      <c r="GW220" s="3"/>
      <c r="GX220" s="3"/>
      <c r="GY220" s="3"/>
      <c r="GZ220" s="3"/>
      <c r="HA220" s="3"/>
      <c r="HB220" s="3"/>
      <c r="HC220" s="3"/>
      <c r="HD220" s="3"/>
      <c r="HE220" s="3"/>
      <c r="HF220" s="3"/>
      <c r="HG220" s="3"/>
      <c r="HH220" s="3"/>
      <c r="HI220" s="3"/>
      <c r="HJ220" s="3"/>
      <c r="HK220" s="3"/>
      <c r="HL220" s="3"/>
      <c r="HM220" s="3"/>
      <c r="HN220" s="3"/>
      <c r="HO220" s="3"/>
      <c r="HP220" s="3"/>
      <c r="HQ220" s="3"/>
      <c r="HR220" s="3"/>
      <c r="HS220" s="3"/>
      <c r="HT220" s="3"/>
      <c r="HU220" s="3"/>
      <c r="HV220" s="3"/>
      <c r="HW220" s="3"/>
      <c r="HX220" s="3"/>
      <c r="HY220" s="3"/>
      <c r="HZ220" s="3"/>
      <c r="IA220" s="3"/>
      <c r="IB220" s="3"/>
      <c r="IC220" s="3"/>
      <c r="ID220" s="3"/>
      <c r="IE220" s="3"/>
      <c r="IF220" s="3"/>
      <c r="IG220" s="3"/>
      <c r="IH220" s="3"/>
      <c r="II220" s="3"/>
      <c r="IJ220" s="3"/>
      <c r="IK220" s="3"/>
      <c r="IL220" s="3"/>
      <c r="IM220" s="3"/>
      <c r="IN220" s="3"/>
      <c r="IO220" s="3"/>
      <c r="IP220" s="3"/>
      <c r="IQ220" s="3"/>
      <c r="IR220" s="3"/>
      <c r="IS220" s="3"/>
      <c r="IT220" s="3"/>
      <c r="IU220" s="3"/>
      <c r="IV220" s="3"/>
      <c r="IW220" s="3"/>
      <c r="IX220" s="3"/>
      <c r="IY220" s="3"/>
      <c r="IZ220" s="3"/>
      <c r="JA220" s="3"/>
      <c r="JB220" s="3"/>
      <c r="JC220" s="3"/>
      <c r="JD220" s="3"/>
      <c r="JE220" s="3"/>
      <c r="JF220" s="3"/>
      <c r="JG220" s="3"/>
      <c r="JH220" s="3"/>
      <c r="JI220" s="3"/>
      <c r="JJ220" s="3"/>
      <c r="JK220" s="3"/>
      <c r="JL220" s="3"/>
      <c r="JM220" s="3"/>
      <c r="JN220" s="3"/>
      <c r="JO220" s="3"/>
      <c r="JP220" s="3"/>
      <c r="JQ220" s="3"/>
      <c r="JR220" s="3"/>
      <c r="JS220" s="3"/>
      <c r="JT220" s="3"/>
      <c r="JU220" s="3"/>
      <c r="JV220" s="3"/>
      <c r="JW220" s="3"/>
      <c r="JX220" s="3"/>
      <c r="JY220" s="3"/>
      <c r="JZ220" s="3"/>
      <c r="KA220" s="3"/>
      <c r="KB220" s="3"/>
      <c r="KC220" s="3"/>
      <c r="KD220" s="3"/>
      <c r="KE220" s="3"/>
      <c r="KF220" s="3"/>
      <c r="KG220" s="3"/>
      <c r="KH220" s="3"/>
      <c r="KI220" s="3"/>
      <c r="KJ220" s="3"/>
      <c r="KK220" s="3"/>
      <c r="KL220" s="3"/>
      <c r="KM220" s="3"/>
      <c r="KN220" s="3"/>
      <c r="KO220" s="3"/>
      <c r="KP220" s="3"/>
      <c r="KQ220" s="3"/>
      <c r="KR220" s="3"/>
      <c r="KS220" s="3"/>
      <c r="KT220" s="3"/>
      <c r="KU220" s="3"/>
      <c r="KV220" s="3"/>
      <c r="KW220" s="3"/>
      <c r="KX220" s="3"/>
      <c r="KY220" s="3"/>
      <c r="KZ220" s="3"/>
      <c r="LA220" s="3"/>
      <c r="LB220" s="3"/>
      <c r="LC220" s="3"/>
      <c r="LD220" s="3"/>
      <c r="LE220" s="3"/>
      <c r="LF220" s="3"/>
      <c r="LG220" s="3"/>
      <c r="LH220" s="3"/>
      <c r="LI220" s="3"/>
      <c r="LJ220" s="3"/>
      <c r="LK220" s="3"/>
      <c r="LL220" s="3"/>
      <c r="LM220" s="3"/>
      <c r="LN220" s="3"/>
      <c r="LO220" s="3"/>
      <c r="LP220" s="3"/>
      <c r="LQ220" s="3"/>
      <c r="LR220" s="3"/>
      <c r="LS220" s="3"/>
      <c r="LT220" s="3"/>
      <c r="LU220" s="3"/>
      <c r="LV220" s="3"/>
      <c r="LW220" s="3"/>
      <c r="LX220" s="3"/>
      <c r="LY220" s="3"/>
      <c r="LZ220" s="3"/>
      <c r="MA220" s="3"/>
      <c r="MB220" s="3"/>
      <c r="MC220" s="3"/>
      <c r="MD220" s="3"/>
      <c r="ME220" s="3"/>
      <c r="MF220" s="3"/>
      <c r="MG220" s="3"/>
      <c r="MH220" s="3"/>
      <c r="MI220" s="3"/>
      <c r="MJ220" s="3"/>
      <c r="MK220" s="3"/>
      <c r="ML220" s="3"/>
      <c r="MM220" s="3"/>
      <c r="MN220" s="3"/>
      <c r="MO220" s="3"/>
      <c r="MP220" s="3"/>
      <c r="MQ220" s="3"/>
      <c r="MR220" s="3"/>
      <c r="MS220" s="3"/>
      <c r="MT220" s="3"/>
      <c r="MU220" s="3"/>
      <c r="MV220" s="3"/>
      <c r="MW220" s="3"/>
      <c r="MX220" s="3"/>
      <c r="MY220" s="3"/>
      <c r="MZ220" s="3"/>
      <c r="NA220" s="3"/>
      <c r="NB220" s="3"/>
      <c r="NC220" s="3"/>
      <c r="ND220" s="3"/>
      <c r="NE220" s="3"/>
      <c r="NF220" s="3"/>
      <c r="NG220" s="3"/>
      <c r="NH220" s="3"/>
      <c r="NI220" s="3"/>
      <c r="NJ220" s="3"/>
      <c r="NK220" s="3"/>
      <c r="NL220" s="3"/>
      <c r="NM220" s="3"/>
      <c r="NN220" s="3"/>
      <c r="NO220" s="3"/>
      <c r="NP220" s="3"/>
      <c r="NQ220" s="3"/>
      <c r="NR220" s="3"/>
      <c r="NS220" s="3"/>
      <c r="NT220" s="3"/>
      <c r="NU220" s="3"/>
      <c r="NV220" s="3"/>
      <c r="NW220" s="3"/>
      <c r="NX220" s="3"/>
      <c r="NY220" s="3"/>
      <c r="NZ220" s="3"/>
      <c r="OA220" s="3"/>
      <c r="OB220" s="3"/>
      <c r="OC220" s="3"/>
      <c r="OD220" s="3"/>
      <c r="OE220" s="3"/>
      <c r="OF220" s="3"/>
      <c r="OG220" s="3"/>
      <c r="OH220" s="3"/>
      <c r="OI220" s="3"/>
      <c r="OJ220" s="3"/>
      <c r="OK220" s="3"/>
      <c r="OL220" s="3"/>
      <c r="OM220" s="3"/>
      <c r="ON220" s="3"/>
      <c r="OO220" s="3"/>
      <c r="OP220" s="3"/>
      <c r="OQ220" s="3"/>
      <c r="OR220" s="3"/>
      <c r="OS220" s="3"/>
      <c r="OT220" s="3"/>
      <c r="OU220" s="3"/>
      <c r="OV220" s="3"/>
      <c r="OW220" s="3"/>
      <c r="OX220" s="3"/>
      <c r="OY220" s="3"/>
      <c r="OZ220" s="3"/>
      <c r="PA220" s="3"/>
      <c r="PB220" s="3"/>
      <c r="PC220" s="3"/>
      <c r="PD220" s="3"/>
      <c r="PE220" s="3"/>
      <c r="PF220" s="3"/>
      <c r="PG220" s="3"/>
      <c r="PH220" s="3"/>
      <c r="PI220" s="3"/>
      <c r="PJ220" s="3"/>
      <c r="PK220" s="3"/>
      <c r="PL220" s="3"/>
      <c r="PM220" s="3"/>
      <c r="PN220" s="3"/>
      <c r="PO220" s="3"/>
      <c r="PP220" s="3"/>
      <c r="PQ220" s="3"/>
      <c r="PR220" s="3"/>
      <c r="PS220" s="3"/>
      <c r="PT220" s="3"/>
      <c r="PU220" s="3"/>
      <c r="PV220" s="3"/>
      <c r="PW220" s="3"/>
      <c r="PX220" s="3"/>
      <c r="PY220" s="3"/>
      <c r="PZ220" s="3"/>
      <c r="QA220" s="3"/>
      <c r="QB220" s="3"/>
      <c r="QC220" s="3"/>
      <c r="QD220" s="3"/>
      <c r="QE220" s="3"/>
      <c r="QF220" s="3"/>
      <c r="QG220" s="3"/>
      <c r="QH220" s="3"/>
      <c r="QI220" s="3"/>
      <c r="QJ220" s="3"/>
      <c r="QK220" s="3"/>
      <c r="QL220" s="3"/>
      <c r="QM220" s="3"/>
      <c r="QN220" s="3"/>
      <c r="QO220" s="3"/>
      <c r="QP220" s="3"/>
      <c r="QQ220" s="3"/>
      <c r="QR220" s="3"/>
      <c r="QS220" s="3"/>
      <c r="QT220" s="3"/>
      <c r="QU220" s="3"/>
      <c r="QV220" s="3"/>
      <c r="QW220" s="3"/>
      <c r="QX220" s="3"/>
      <c r="QY220" s="3"/>
      <c r="QZ220" s="3"/>
      <c r="RA220" s="3"/>
      <c r="RB220" s="3"/>
      <c r="RC220" s="3"/>
      <c r="RD220" s="3"/>
      <c r="RE220" s="3"/>
      <c r="RF220" s="3"/>
      <c r="RG220" s="3"/>
      <c r="RH220" s="3"/>
      <c r="RI220" s="3"/>
      <c r="RJ220" s="3"/>
      <c r="RK220" s="3"/>
      <c r="RL220" s="3"/>
      <c r="RM220" s="3"/>
      <c r="RN220" s="3"/>
      <c r="RO220" s="3"/>
      <c r="RP220" s="3"/>
      <c r="RQ220" s="3"/>
      <c r="RR220" s="3"/>
      <c r="RS220" s="3"/>
      <c r="RT220" s="3"/>
      <c r="RU220" s="3"/>
      <c r="RV220" s="3"/>
      <c r="RW220" s="3"/>
      <c r="RX220" s="3"/>
      <c r="RY220" s="3"/>
      <c r="RZ220" s="3"/>
      <c r="SA220" s="3"/>
      <c r="SB220" s="3"/>
      <c r="SC220" s="3"/>
      <c r="SD220" s="3"/>
      <c r="SE220" s="3"/>
      <c r="SF220" s="3"/>
      <c r="SG220" s="3"/>
      <c r="SH220" s="3"/>
      <c r="SI220" s="3"/>
      <c r="SJ220" s="3"/>
      <c r="SK220" s="3"/>
      <c r="SL220" s="3"/>
      <c r="SM220" s="3"/>
      <c r="SN220" s="3"/>
      <c r="SO220" s="3"/>
      <c r="SP220" s="3"/>
      <c r="SQ220" s="3"/>
      <c r="SR220" s="3"/>
      <c r="SS220" s="3"/>
      <c r="ST220" s="3"/>
      <c r="SU220" s="3"/>
      <c r="SV220" s="3"/>
      <c r="SW220" s="3"/>
      <c r="SX220" s="3"/>
      <c r="SY220" s="3"/>
      <c r="SZ220" s="3"/>
      <c r="TA220" s="3"/>
      <c r="TB220" s="3"/>
      <c r="TC220" s="3"/>
      <c r="TD220" s="3"/>
      <c r="TE220" s="3"/>
      <c r="TF220" s="3"/>
      <c r="TG220" s="3"/>
      <c r="TH220" s="3"/>
      <c r="TI220" s="3"/>
      <c r="TJ220" s="3"/>
      <c r="TK220" s="3"/>
      <c r="TL220" s="3"/>
      <c r="TM220" s="3"/>
      <c r="TN220" s="3"/>
      <c r="TO220" s="3"/>
      <c r="TP220" s="3"/>
      <c r="TQ220" s="3"/>
      <c r="TR220" s="3"/>
      <c r="TS220" s="3"/>
      <c r="TT220" s="3"/>
      <c r="TU220" s="3"/>
      <c r="TV220" s="3"/>
      <c r="TW220" s="3"/>
      <c r="TX220" s="3"/>
      <c r="TY220" s="3"/>
      <c r="TZ220" s="3"/>
      <c r="UA220" s="3"/>
      <c r="UB220" s="3"/>
      <c r="UC220" s="3"/>
      <c r="UD220" s="3"/>
      <c r="UE220" s="3"/>
      <c r="UF220" s="3"/>
      <c r="UG220" s="3"/>
      <c r="UH220" s="3"/>
      <c r="UI220" s="3"/>
      <c r="UJ220" s="3"/>
      <c r="UK220" s="3"/>
      <c r="UL220" s="3"/>
      <c r="UM220" s="3"/>
      <c r="UN220" s="3"/>
      <c r="UO220" s="3"/>
      <c r="UP220" s="3"/>
      <c r="UQ220" s="3"/>
      <c r="UR220" s="3"/>
      <c r="US220" s="3"/>
      <c r="UT220" s="3"/>
      <c r="UU220" s="3"/>
      <c r="UV220" s="3"/>
      <c r="UW220" s="3"/>
      <c r="UX220" s="3"/>
      <c r="UY220" s="3"/>
      <c r="UZ220" s="3"/>
      <c r="VA220" s="3"/>
      <c r="VB220" s="3"/>
      <c r="VC220" s="3"/>
      <c r="VD220" s="3"/>
      <c r="VE220" s="3"/>
      <c r="VF220" s="3"/>
      <c r="VG220" s="3"/>
      <c r="VH220" s="3"/>
      <c r="VI220" s="3"/>
      <c r="VJ220" s="3"/>
      <c r="VK220" s="3"/>
      <c r="VL220" s="3"/>
      <c r="VM220" s="3"/>
      <c r="VN220" s="3"/>
      <c r="VO220" s="3"/>
      <c r="VP220" s="3"/>
      <c r="VQ220" s="3"/>
      <c r="VR220" s="3"/>
      <c r="VS220" s="3"/>
      <c r="VT220" s="3"/>
      <c r="VU220" s="3"/>
      <c r="VV220" s="3"/>
      <c r="VW220" s="3"/>
      <c r="VX220" s="3"/>
      <c r="VY220" s="3"/>
      <c r="VZ220" s="3"/>
      <c r="WA220" s="3"/>
      <c r="WB220" s="3"/>
      <c r="WC220" s="3"/>
      <c r="WD220" s="3"/>
      <c r="WE220" s="3"/>
      <c r="WF220" s="3"/>
      <c r="WG220" s="3"/>
      <c r="WH220" s="3"/>
      <c r="WI220" s="3"/>
      <c r="WJ220" s="3"/>
      <c r="WK220" s="3"/>
      <c r="WL220" s="3"/>
      <c r="WM220" s="3"/>
      <c r="WN220" s="3"/>
      <c r="WO220" s="3"/>
      <c r="WP220" s="3"/>
      <c r="WQ220" s="3"/>
      <c r="WR220" s="3"/>
      <c r="WS220" s="3"/>
      <c r="WT220" s="3"/>
      <c r="WU220" s="3"/>
      <c r="WV220" s="3"/>
      <c r="WW220" s="3"/>
      <c r="WX220" s="3"/>
      <c r="WY220" s="3"/>
      <c r="WZ220" s="3"/>
      <c r="XA220" s="3"/>
      <c r="XB220" s="3"/>
      <c r="XC220" s="3"/>
      <c r="XD220" s="3"/>
      <c r="XE220" s="3"/>
      <c r="XF220" s="3"/>
      <c r="XG220" s="3"/>
      <c r="XH220" s="3"/>
      <c r="XI220" s="3"/>
      <c r="XJ220" s="3"/>
      <c r="XK220" s="3"/>
      <c r="XL220" s="3"/>
      <c r="XM220" s="3"/>
      <c r="XN220" s="3"/>
      <c r="XO220" s="3"/>
      <c r="XP220" s="3"/>
      <c r="XQ220" s="3"/>
      <c r="XR220" s="3"/>
      <c r="XS220" s="3"/>
      <c r="XT220" s="3"/>
      <c r="XU220" s="3"/>
      <c r="XV220" s="3"/>
      <c r="XW220" s="3"/>
      <c r="XX220" s="3"/>
      <c r="XY220" s="3"/>
      <c r="XZ220" s="3"/>
      <c r="YA220" s="3"/>
      <c r="YB220" s="3"/>
      <c r="YC220" s="3"/>
      <c r="YD220" s="3"/>
      <c r="YE220" s="3"/>
      <c r="YF220" s="3"/>
      <c r="YG220" s="3"/>
      <c r="YH220" s="3"/>
      <c r="YI220" s="3"/>
      <c r="YJ220" s="3"/>
      <c r="YK220" s="3"/>
      <c r="YL220" s="3"/>
      <c r="YM220" s="3"/>
      <c r="YN220" s="3"/>
      <c r="YO220" s="3"/>
      <c r="YP220" s="3"/>
      <c r="YQ220" s="3"/>
      <c r="YR220" s="3"/>
      <c r="YS220" s="3"/>
      <c r="YT220" s="3"/>
      <c r="YU220" s="3"/>
      <c r="YV220" s="3"/>
      <c r="YW220" s="3"/>
      <c r="YX220" s="3"/>
      <c r="YY220" s="3"/>
      <c r="YZ220" s="3"/>
      <c r="ZA220" s="3"/>
      <c r="ZB220" s="3"/>
      <c r="ZC220" s="3"/>
    </row>
    <row r="221" spans="1:679" s="2" customFormat="1" x14ac:dyDescent="0.45">
      <c r="A221" s="3" t="s">
        <v>11</v>
      </c>
      <c r="B221" s="4">
        <v>36636</v>
      </c>
      <c r="C221" s="7" t="s">
        <v>21</v>
      </c>
      <c r="D221" s="6" t="s">
        <v>238</v>
      </c>
      <c r="E221" s="3"/>
      <c r="F221" s="3">
        <v>19</v>
      </c>
      <c r="L221" s="3"/>
      <c r="M221" s="3"/>
      <c r="N221" s="48"/>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c r="DE221" s="3"/>
      <c r="DF221" s="3"/>
      <c r="DG221" s="3"/>
      <c r="DH221" s="3"/>
      <c r="DI221" s="3"/>
      <c r="DJ221" s="3"/>
      <c r="DK221" s="3"/>
      <c r="DL221" s="3"/>
      <c r="DM221" s="3"/>
      <c r="DN221" s="3"/>
      <c r="DO221" s="3"/>
      <c r="DP221" s="3"/>
      <c r="DQ221" s="3"/>
      <c r="DR221" s="3"/>
      <c r="DS221" s="3"/>
      <c r="DT221" s="3"/>
      <c r="DU221" s="3"/>
      <c r="DV221" s="3"/>
      <c r="DW221" s="3"/>
      <c r="DX221" s="3"/>
      <c r="DY221" s="3"/>
      <c r="DZ221" s="3"/>
      <c r="EA221" s="3"/>
      <c r="EB221" s="3"/>
      <c r="EC221" s="3"/>
      <c r="ED221" s="3"/>
      <c r="EE221" s="3"/>
      <c r="EF221" s="3"/>
      <c r="EG221" s="3"/>
      <c r="EH221" s="3"/>
      <c r="EI221" s="3"/>
      <c r="EJ221" s="3"/>
      <c r="EK221" s="3"/>
      <c r="EL221" s="3"/>
      <c r="EM221" s="3"/>
      <c r="EN221" s="3"/>
      <c r="EO221" s="3"/>
      <c r="EP221" s="3"/>
      <c r="EQ221" s="3"/>
      <c r="ER221" s="3"/>
      <c r="ES221" s="3"/>
      <c r="ET221" s="3"/>
      <c r="EU221" s="3"/>
      <c r="EV221" s="3"/>
      <c r="EW221" s="3"/>
      <c r="EX221" s="3"/>
      <c r="EY221" s="3"/>
      <c r="EZ221" s="3"/>
      <c r="FA221" s="3"/>
      <c r="FB221" s="3"/>
      <c r="FC221" s="3"/>
      <c r="FD221" s="3"/>
      <c r="FE221" s="3"/>
      <c r="FF221" s="3"/>
      <c r="FG221" s="3"/>
      <c r="FH221" s="3"/>
      <c r="FI221" s="3"/>
      <c r="FJ221" s="3"/>
      <c r="FK221" s="3"/>
      <c r="FL221" s="3"/>
      <c r="FM221" s="3"/>
      <c r="FN221" s="3"/>
      <c r="FO221" s="3"/>
      <c r="FP221" s="3"/>
      <c r="FQ221" s="3"/>
      <c r="FR221" s="3"/>
      <c r="FS221" s="3"/>
      <c r="FT221" s="3"/>
      <c r="FU221" s="3"/>
      <c r="FV221" s="3"/>
      <c r="FW221" s="3"/>
      <c r="FX221" s="3"/>
      <c r="FY221" s="3"/>
      <c r="FZ221" s="3"/>
      <c r="GA221" s="3"/>
      <c r="GB221" s="3"/>
      <c r="GC221" s="3"/>
      <c r="GD221" s="3"/>
      <c r="GE221" s="3"/>
      <c r="GF221" s="3"/>
      <c r="GG221" s="3"/>
      <c r="GH221" s="3"/>
      <c r="GI221" s="3"/>
      <c r="GJ221" s="3"/>
      <c r="GK221" s="3"/>
      <c r="GL221" s="3"/>
      <c r="GM221" s="3"/>
      <c r="GN221" s="3"/>
      <c r="GO221" s="3"/>
      <c r="GP221" s="3"/>
      <c r="GQ221" s="3"/>
      <c r="GR221" s="3"/>
      <c r="GS221" s="3"/>
      <c r="GT221" s="3"/>
      <c r="GU221" s="3"/>
      <c r="GV221" s="3"/>
      <c r="GW221" s="3"/>
      <c r="GX221" s="3"/>
      <c r="GY221" s="3"/>
      <c r="GZ221" s="3"/>
      <c r="HA221" s="3"/>
      <c r="HB221" s="3"/>
      <c r="HC221" s="3"/>
      <c r="HD221" s="3"/>
      <c r="HE221" s="3"/>
      <c r="HF221" s="3"/>
      <c r="HG221" s="3"/>
      <c r="HH221" s="3"/>
      <c r="HI221" s="3"/>
      <c r="HJ221" s="3"/>
      <c r="HK221" s="3"/>
      <c r="HL221" s="3"/>
      <c r="HM221" s="3"/>
      <c r="HN221" s="3"/>
      <c r="HO221" s="3"/>
      <c r="HP221" s="3"/>
      <c r="HQ221" s="3"/>
      <c r="HR221" s="3"/>
      <c r="HS221" s="3"/>
      <c r="HT221" s="3"/>
      <c r="HU221" s="3"/>
      <c r="HV221" s="3"/>
      <c r="HW221" s="3"/>
      <c r="HX221" s="3"/>
      <c r="HY221" s="3"/>
      <c r="HZ221" s="3"/>
      <c r="IA221" s="3"/>
      <c r="IB221" s="3"/>
      <c r="IC221" s="3"/>
      <c r="ID221" s="3"/>
      <c r="IE221" s="3"/>
      <c r="IF221" s="3"/>
      <c r="IG221" s="3"/>
      <c r="IH221" s="3"/>
      <c r="II221" s="3"/>
      <c r="IJ221" s="3"/>
      <c r="IK221" s="3"/>
      <c r="IL221" s="3"/>
      <c r="IM221" s="3"/>
      <c r="IN221" s="3"/>
      <c r="IO221" s="3"/>
      <c r="IP221" s="3"/>
      <c r="IQ221" s="3"/>
      <c r="IR221" s="3"/>
      <c r="IS221" s="3"/>
      <c r="IT221" s="3"/>
      <c r="IU221" s="3"/>
      <c r="IV221" s="3"/>
      <c r="IW221" s="3"/>
      <c r="IX221" s="3"/>
      <c r="IY221" s="3"/>
      <c r="IZ221" s="3"/>
      <c r="JA221" s="3"/>
      <c r="JB221" s="3"/>
      <c r="JC221" s="3"/>
      <c r="JD221" s="3"/>
      <c r="JE221" s="3"/>
      <c r="JF221" s="3"/>
      <c r="JG221" s="3"/>
      <c r="JH221" s="3"/>
      <c r="JI221" s="3"/>
      <c r="JJ221" s="3"/>
      <c r="JK221" s="3"/>
      <c r="JL221" s="3"/>
      <c r="JM221" s="3"/>
      <c r="JN221" s="3"/>
      <c r="JO221" s="3"/>
      <c r="JP221" s="3"/>
      <c r="JQ221" s="3"/>
      <c r="JR221" s="3"/>
      <c r="JS221" s="3"/>
      <c r="JT221" s="3"/>
      <c r="JU221" s="3"/>
      <c r="JV221" s="3"/>
      <c r="JW221" s="3"/>
      <c r="JX221" s="3"/>
      <c r="JY221" s="3"/>
      <c r="JZ221" s="3"/>
      <c r="KA221" s="3"/>
      <c r="KB221" s="3"/>
      <c r="KC221" s="3"/>
      <c r="KD221" s="3"/>
      <c r="KE221" s="3"/>
      <c r="KF221" s="3"/>
      <c r="KG221" s="3"/>
      <c r="KH221" s="3"/>
      <c r="KI221" s="3"/>
      <c r="KJ221" s="3"/>
      <c r="KK221" s="3"/>
      <c r="KL221" s="3"/>
      <c r="KM221" s="3"/>
      <c r="KN221" s="3"/>
      <c r="KO221" s="3"/>
      <c r="KP221" s="3"/>
      <c r="KQ221" s="3"/>
      <c r="KR221" s="3"/>
      <c r="KS221" s="3"/>
      <c r="KT221" s="3"/>
      <c r="KU221" s="3"/>
      <c r="KV221" s="3"/>
      <c r="KW221" s="3"/>
      <c r="KX221" s="3"/>
      <c r="KY221" s="3"/>
      <c r="KZ221" s="3"/>
      <c r="LA221" s="3"/>
      <c r="LB221" s="3"/>
      <c r="LC221" s="3"/>
      <c r="LD221" s="3"/>
      <c r="LE221" s="3"/>
      <c r="LF221" s="3"/>
      <c r="LG221" s="3"/>
      <c r="LH221" s="3"/>
      <c r="LI221" s="3"/>
      <c r="LJ221" s="3"/>
      <c r="LK221" s="3"/>
      <c r="LL221" s="3"/>
      <c r="LM221" s="3"/>
      <c r="LN221" s="3"/>
      <c r="LO221" s="3"/>
      <c r="LP221" s="3"/>
      <c r="LQ221" s="3"/>
      <c r="LR221" s="3"/>
      <c r="LS221" s="3"/>
      <c r="LT221" s="3"/>
      <c r="LU221" s="3"/>
      <c r="LV221" s="3"/>
      <c r="LW221" s="3"/>
      <c r="LX221" s="3"/>
      <c r="LY221" s="3"/>
      <c r="LZ221" s="3"/>
      <c r="MA221" s="3"/>
      <c r="MB221" s="3"/>
      <c r="MC221" s="3"/>
      <c r="MD221" s="3"/>
      <c r="ME221" s="3"/>
      <c r="MF221" s="3"/>
      <c r="MG221" s="3"/>
      <c r="MH221" s="3"/>
      <c r="MI221" s="3"/>
      <c r="MJ221" s="3"/>
      <c r="MK221" s="3"/>
      <c r="ML221" s="3"/>
      <c r="MM221" s="3"/>
      <c r="MN221" s="3"/>
      <c r="MO221" s="3"/>
      <c r="MP221" s="3"/>
      <c r="MQ221" s="3"/>
      <c r="MR221" s="3"/>
      <c r="MS221" s="3"/>
      <c r="MT221" s="3"/>
      <c r="MU221" s="3"/>
      <c r="MV221" s="3"/>
      <c r="MW221" s="3"/>
      <c r="MX221" s="3"/>
      <c r="MY221" s="3"/>
      <c r="MZ221" s="3"/>
      <c r="NA221" s="3"/>
      <c r="NB221" s="3"/>
      <c r="NC221" s="3"/>
      <c r="ND221" s="3"/>
      <c r="NE221" s="3"/>
      <c r="NF221" s="3"/>
      <c r="NG221" s="3"/>
      <c r="NH221" s="3"/>
      <c r="NI221" s="3"/>
      <c r="NJ221" s="3"/>
      <c r="NK221" s="3"/>
      <c r="NL221" s="3"/>
      <c r="NM221" s="3"/>
      <c r="NN221" s="3"/>
      <c r="NO221" s="3"/>
      <c r="NP221" s="3"/>
      <c r="NQ221" s="3"/>
      <c r="NR221" s="3"/>
      <c r="NS221" s="3"/>
      <c r="NT221" s="3"/>
      <c r="NU221" s="3"/>
      <c r="NV221" s="3"/>
      <c r="NW221" s="3"/>
      <c r="NX221" s="3"/>
      <c r="NY221" s="3"/>
      <c r="NZ221" s="3"/>
      <c r="OA221" s="3"/>
      <c r="OB221" s="3"/>
      <c r="OC221" s="3"/>
      <c r="OD221" s="3"/>
      <c r="OE221" s="3"/>
      <c r="OF221" s="3"/>
      <c r="OG221" s="3"/>
      <c r="OH221" s="3"/>
      <c r="OI221" s="3"/>
      <c r="OJ221" s="3"/>
      <c r="OK221" s="3"/>
      <c r="OL221" s="3"/>
      <c r="OM221" s="3"/>
      <c r="ON221" s="3"/>
      <c r="OO221" s="3"/>
      <c r="OP221" s="3"/>
      <c r="OQ221" s="3"/>
      <c r="OR221" s="3"/>
      <c r="OS221" s="3"/>
      <c r="OT221" s="3"/>
      <c r="OU221" s="3"/>
      <c r="OV221" s="3"/>
      <c r="OW221" s="3"/>
      <c r="OX221" s="3"/>
      <c r="OY221" s="3"/>
      <c r="OZ221" s="3"/>
      <c r="PA221" s="3"/>
      <c r="PB221" s="3"/>
      <c r="PC221" s="3"/>
      <c r="PD221" s="3"/>
      <c r="PE221" s="3"/>
      <c r="PF221" s="3"/>
      <c r="PG221" s="3"/>
      <c r="PH221" s="3"/>
      <c r="PI221" s="3"/>
      <c r="PJ221" s="3"/>
      <c r="PK221" s="3"/>
      <c r="PL221" s="3"/>
      <c r="PM221" s="3"/>
      <c r="PN221" s="3"/>
      <c r="PO221" s="3"/>
      <c r="PP221" s="3"/>
      <c r="PQ221" s="3"/>
      <c r="PR221" s="3"/>
      <c r="PS221" s="3"/>
      <c r="PT221" s="3"/>
      <c r="PU221" s="3"/>
      <c r="PV221" s="3"/>
      <c r="PW221" s="3"/>
      <c r="PX221" s="3"/>
      <c r="PY221" s="3"/>
      <c r="PZ221" s="3"/>
      <c r="QA221" s="3"/>
      <c r="QB221" s="3"/>
      <c r="QC221" s="3"/>
      <c r="QD221" s="3"/>
      <c r="QE221" s="3"/>
      <c r="QF221" s="3"/>
      <c r="QG221" s="3"/>
      <c r="QH221" s="3"/>
      <c r="QI221" s="3"/>
      <c r="QJ221" s="3"/>
      <c r="QK221" s="3"/>
      <c r="QL221" s="3"/>
      <c r="QM221" s="3"/>
      <c r="QN221" s="3"/>
      <c r="QO221" s="3"/>
      <c r="QP221" s="3"/>
      <c r="QQ221" s="3"/>
      <c r="QR221" s="3"/>
      <c r="QS221" s="3"/>
      <c r="QT221" s="3"/>
      <c r="QU221" s="3"/>
      <c r="QV221" s="3"/>
      <c r="QW221" s="3"/>
      <c r="QX221" s="3"/>
      <c r="QY221" s="3"/>
      <c r="QZ221" s="3"/>
      <c r="RA221" s="3"/>
      <c r="RB221" s="3"/>
      <c r="RC221" s="3"/>
      <c r="RD221" s="3"/>
      <c r="RE221" s="3"/>
      <c r="RF221" s="3"/>
      <c r="RG221" s="3"/>
      <c r="RH221" s="3"/>
      <c r="RI221" s="3"/>
      <c r="RJ221" s="3"/>
      <c r="RK221" s="3"/>
      <c r="RL221" s="3"/>
      <c r="RM221" s="3"/>
      <c r="RN221" s="3"/>
      <c r="RO221" s="3"/>
      <c r="RP221" s="3"/>
      <c r="RQ221" s="3"/>
      <c r="RR221" s="3"/>
      <c r="RS221" s="3"/>
      <c r="RT221" s="3"/>
      <c r="RU221" s="3"/>
      <c r="RV221" s="3"/>
      <c r="RW221" s="3"/>
      <c r="RX221" s="3"/>
      <c r="RY221" s="3"/>
      <c r="RZ221" s="3"/>
      <c r="SA221" s="3"/>
      <c r="SB221" s="3"/>
      <c r="SC221" s="3"/>
      <c r="SD221" s="3"/>
      <c r="SE221" s="3"/>
      <c r="SF221" s="3"/>
      <c r="SG221" s="3"/>
      <c r="SH221" s="3"/>
      <c r="SI221" s="3"/>
      <c r="SJ221" s="3"/>
      <c r="SK221" s="3"/>
      <c r="SL221" s="3"/>
      <c r="SM221" s="3"/>
      <c r="SN221" s="3"/>
      <c r="SO221" s="3"/>
      <c r="SP221" s="3"/>
      <c r="SQ221" s="3"/>
      <c r="SR221" s="3"/>
      <c r="SS221" s="3"/>
      <c r="ST221" s="3"/>
      <c r="SU221" s="3"/>
      <c r="SV221" s="3"/>
      <c r="SW221" s="3"/>
      <c r="SX221" s="3"/>
      <c r="SY221" s="3"/>
      <c r="SZ221" s="3"/>
      <c r="TA221" s="3"/>
      <c r="TB221" s="3"/>
      <c r="TC221" s="3"/>
      <c r="TD221" s="3"/>
      <c r="TE221" s="3"/>
      <c r="TF221" s="3"/>
      <c r="TG221" s="3"/>
      <c r="TH221" s="3"/>
      <c r="TI221" s="3"/>
      <c r="TJ221" s="3"/>
      <c r="TK221" s="3"/>
      <c r="TL221" s="3"/>
      <c r="TM221" s="3"/>
      <c r="TN221" s="3"/>
      <c r="TO221" s="3"/>
      <c r="TP221" s="3"/>
      <c r="TQ221" s="3"/>
      <c r="TR221" s="3"/>
      <c r="TS221" s="3"/>
      <c r="TT221" s="3"/>
      <c r="TU221" s="3"/>
      <c r="TV221" s="3"/>
      <c r="TW221" s="3"/>
      <c r="TX221" s="3"/>
      <c r="TY221" s="3"/>
      <c r="TZ221" s="3"/>
      <c r="UA221" s="3"/>
      <c r="UB221" s="3"/>
      <c r="UC221" s="3"/>
      <c r="UD221" s="3"/>
      <c r="UE221" s="3"/>
      <c r="UF221" s="3"/>
      <c r="UG221" s="3"/>
      <c r="UH221" s="3"/>
      <c r="UI221" s="3"/>
      <c r="UJ221" s="3"/>
      <c r="UK221" s="3"/>
      <c r="UL221" s="3"/>
      <c r="UM221" s="3"/>
      <c r="UN221" s="3"/>
      <c r="UO221" s="3"/>
      <c r="UP221" s="3"/>
      <c r="UQ221" s="3"/>
      <c r="UR221" s="3"/>
      <c r="US221" s="3"/>
      <c r="UT221" s="3"/>
      <c r="UU221" s="3"/>
      <c r="UV221" s="3"/>
      <c r="UW221" s="3"/>
      <c r="UX221" s="3"/>
      <c r="UY221" s="3"/>
      <c r="UZ221" s="3"/>
      <c r="VA221" s="3"/>
      <c r="VB221" s="3"/>
      <c r="VC221" s="3"/>
      <c r="VD221" s="3"/>
      <c r="VE221" s="3"/>
      <c r="VF221" s="3"/>
      <c r="VG221" s="3"/>
      <c r="VH221" s="3"/>
      <c r="VI221" s="3"/>
      <c r="VJ221" s="3"/>
      <c r="VK221" s="3"/>
      <c r="VL221" s="3"/>
      <c r="VM221" s="3"/>
      <c r="VN221" s="3"/>
      <c r="VO221" s="3"/>
      <c r="VP221" s="3"/>
      <c r="VQ221" s="3"/>
      <c r="VR221" s="3"/>
      <c r="VS221" s="3"/>
      <c r="VT221" s="3"/>
      <c r="VU221" s="3"/>
      <c r="VV221" s="3"/>
      <c r="VW221" s="3"/>
      <c r="VX221" s="3"/>
      <c r="VY221" s="3"/>
      <c r="VZ221" s="3"/>
      <c r="WA221" s="3"/>
      <c r="WB221" s="3"/>
      <c r="WC221" s="3"/>
      <c r="WD221" s="3"/>
      <c r="WE221" s="3"/>
      <c r="WF221" s="3"/>
      <c r="WG221" s="3"/>
      <c r="WH221" s="3"/>
      <c r="WI221" s="3"/>
      <c r="WJ221" s="3"/>
      <c r="WK221" s="3"/>
      <c r="WL221" s="3"/>
      <c r="WM221" s="3"/>
      <c r="WN221" s="3"/>
      <c r="WO221" s="3"/>
      <c r="WP221" s="3"/>
      <c r="WQ221" s="3"/>
      <c r="WR221" s="3"/>
      <c r="WS221" s="3"/>
      <c r="WT221" s="3"/>
      <c r="WU221" s="3"/>
      <c r="WV221" s="3"/>
      <c r="WW221" s="3"/>
      <c r="WX221" s="3"/>
      <c r="WY221" s="3"/>
      <c r="WZ221" s="3"/>
      <c r="XA221" s="3"/>
      <c r="XB221" s="3"/>
      <c r="XC221" s="3"/>
      <c r="XD221" s="3"/>
      <c r="XE221" s="3"/>
      <c r="XF221" s="3"/>
      <c r="XG221" s="3"/>
      <c r="XH221" s="3"/>
      <c r="XI221" s="3"/>
      <c r="XJ221" s="3"/>
      <c r="XK221" s="3"/>
      <c r="XL221" s="3"/>
      <c r="XM221" s="3"/>
      <c r="XN221" s="3"/>
      <c r="XO221" s="3"/>
      <c r="XP221" s="3"/>
      <c r="XQ221" s="3"/>
      <c r="XR221" s="3"/>
      <c r="XS221" s="3"/>
      <c r="XT221" s="3"/>
      <c r="XU221" s="3"/>
      <c r="XV221" s="3"/>
      <c r="XW221" s="3"/>
      <c r="XX221" s="3"/>
      <c r="XY221" s="3"/>
      <c r="XZ221" s="3"/>
      <c r="YA221" s="3"/>
      <c r="YB221" s="3"/>
      <c r="YC221" s="3"/>
      <c r="YD221" s="3"/>
      <c r="YE221" s="3"/>
      <c r="YF221" s="3"/>
      <c r="YG221" s="3"/>
      <c r="YH221" s="3"/>
      <c r="YI221" s="3"/>
      <c r="YJ221" s="3"/>
      <c r="YK221" s="3"/>
      <c r="YL221" s="3"/>
      <c r="YM221" s="3"/>
      <c r="YN221" s="3"/>
      <c r="YO221" s="3"/>
      <c r="YP221" s="3"/>
      <c r="YQ221" s="3"/>
      <c r="YR221" s="3"/>
      <c r="YS221" s="3"/>
      <c r="YT221" s="3"/>
      <c r="YU221" s="3"/>
      <c r="YV221" s="3"/>
      <c r="YW221" s="3"/>
      <c r="YX221" s="3"/>
      <c r="YY221" s="3"/>
      <c r="YZ221" s="3"/>
      <c r="ZA221" s="3"/>
      <c r="ZB221" s="3"/>
      <c r="ZC221" s="3"/>
    </row>
    <row r="222" spans="1:679" s="2" customFormat="1" x14ac:dyDescent="0.45">
      <c r="A222" s="3" t="s">
        <v>11</v>
      </c>
      <c r="B222" s="4">
        <v>36690</v>
      </c>
      <c r="C222" s="7" t="s">
        <v>25</v>
      </c>
      <c r="D222" s="6" t="s">
        <v>239</v>
      </c>
      <c r="E222" s="3"/>
      <c r="F222" s="3">
        <v>15</v>
      </c>
      <c r="L222" s="3"/>
      <c r="M222" s="3"/>
      <c r="N222" s="48"/>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3"/>
      <c r="CT222" s="3"/>
      <c r="CU222" s="3"/>
      <c r="CV222" s="3"/>
      <c r="CW222" s="3"/>
      <c r="CX222" s="3"/>
      <c r="CY222" s="3"/>
      <c r="CZ222" s="3"/>
      <c r="DA222" s="3"/>
      <c r="DB222" s="3"/>
      <c r="DC222" s="3"/>
      <c r="DD222" s="3"/>
      <c r="DE222" s="3"/>
      <c r="DF222" s="3"/>
      <c r="DG222" s="3"/>
      <c r="DH222" s="3"/>
      <c r="DI222" s="3"/>
      <c r="DJ222" s="3"/>
      <c r="DK222" s="3"/>
      <c r="DL222" s="3"/>
      <c r="DM222" s="3"/>
      <c r="DN222" s="3"/>
      <c r="DO222" s="3"/>
      <c r="DP222" s="3"/>
      <c r="DQ222" s="3"/>
      <c r="DR222" s="3"/>
      <c r="DS222" s="3"/>
      <c r="DT222" s="3"/>
      <c r="DU222" s="3"/>
      <c r="DV222" s="3"/>
      <c r="DW222" s="3"/>
      <c r="DX222" s="3"/>
      <c r="DY222" s="3"/>
      <c r="DZ222" s="3"/>
      <c r="EA222" s="3"/>
      <c r="EB222" s="3"/>
      <c r="EC222" s="3"/>
      <c r="ED222" s="3"/>
      <c r="EE222" s="3"/>
      <c r="EF222" s="3"/>
      <c r="EG222" s="3"/>
      <c r="EH222" s="3"/>
      <c r="EI222" s="3"/>
      <c r="EJ222" s="3"/>
      <c r="EK222" s="3"/>
      <c r="EL222" s="3"/>
      <c r="EM222" s="3"/>
      <c r="EN222" s="3"/>
      <c r="EO222" s="3"/>
      <c r="EP222" s="3"/>
      <c r="EQ222" s="3"/>
      <c r="ER222" s="3"/>
      <c r="ES222" s="3"/>
      <c r="ET222" s="3"/>
      <c r="EU222" s="3"/>
      <c r="EV222" s="3"/>
      <c r="EW222" s="3"/>
      <c r="EX222" s="3"/>
      <c r="EY222" s="3"/>
      <c r="EZ222" s="3"/>
      <c r="FA222" s="3"/>
      <c r="FB222" s="3"/>
      <c r="FC222" s="3"/>
      <c r="FD222" s="3"/>
      <c r="FE222" s="3"/>
      <c r="FF222" s="3"/>
      <c r="FG222" s="3"/>
      <c r="FH222" s="3"/>
      <c r="FI222" s="3"/>
      <c r="FJ222" s="3"/>
      <c r="FK222" s="3"/>
      <c r="FL222" s="3"/>
      <c r="FM222" s="3"/>
      <c r="FN222" s="3"/>
      <c r="FO222" s="3"/>
      <c r="FP222" s="3"/>
      <c r="FQ222" s="3"/>
      <c r="FR222" s="3"/>
      <c r="FS222" s="3"/>
      <c r="FT222" s="3"/>
      <c r="FU222" s="3"/>
      <c r="FV222" s="3"/>
      <c r="FW222" s="3"/>
      <c r="FX222" s="3"/>
      <c r="FY222" s="3"/>
      <c r="FZ222" s="3"/>
      <c r="GA222" s="3"/>
      <c r="GB222" s="3"/>
      <c r="GC222" s="3"/>
      <c r="GD222" s="3"/>
      <c r="GE222" s="3"/>
      <c r="GF222" s="3"/>
      <c r="GG222" s="3"/>
      <c r="GH222" s="3"/>
      <c r="GI222" s="3"/>
      <c r="GJ222" s="3"/>
      <c r="GK222" s="3"/>
      <c r="GL222" s="3"/>
      <c r="GM222" s="3"/>
      <c r="GN222" s="3"/>
      <c r="GO222" s="3"/>
      <c r="GP222" s="3"/>
      <c r="GQ222" s="3"/>
      <c r="GR222" s="3"/>
      <c r="GS222" s="3"/>
      <c r="GT222" s="3"/>
      <c r="GU222" s="3"/>
      <c r="GV222" s="3"/>
      <c r="GW222" s="3"/>
      <c r="GX222" s="3"/>
      <c r="GY222" s="3"/>
      <c r="GZ222" s="3"/>
      <c r="HA222" s="3"/>
      <c r="HB222" s="3"/>
      <c r="HC222" s="3"/>
      <c r="HD222" s="3"/>
      <c r="HE222" s="3"/>
      <c r="HF222" s="3"/>
      <c r="HG222" s="3"/>
      <c r="HH222" s="3"/>
      <c r="HI222" s="3"/>
      <c r="HJ222" s="3"/>
      <c r="HK222" s="3"/>
      <c r="HL222" s="3"/>
      <c r="HM222" s="3"/>
      <c r="HN222" s="3"/>
      <c r="HO222" s="3"/>
      <c r="HP222" s="3"/>
      <c r="HQ222" s="3"/>
      <c r="HR222" s="3"/>
      <c r="HS222" s="3"/>
      <c r="HT222" s="3"/>
      <c r="HU222" s="3"/>
      <c r="HV222" s="3"/>
      <c r="HW222" s="3"/>
      <c r="HX222" s="3"/>
      <c r="HY222" s="3"/>
      <c r="HZ222" s="3"/>
      <c r="IA222" s="3"/>
      <c r="IB222" s="3"/>
      <c r="IC222" s="3"/>
      <c r="ID222" s="3"/>
      <c r="IE222" s="3"/>
      <c r="IF222" s="3"/>
      <c r="IG222" s="3"/>
      <c r="IH222" s="3"/>
      <c r="II222" s="3"/>
      <c r="IJ222" s="3"/>
      <c r="IK222" s="3"/>
      <c r="IL222" s="3"/>
      <c r="IM222" s="3"/>
      <c r="IN222" s="3"/>
      <c r="IO222" s="3"/>
      <c r="IP222" s="3"/>
      <c r="IQ222" s="3"/>
      <c r="IR222" s="3"/>
      <c r="IS222" s="3"/>
      <c r="IT222" s="3"/>
      <c r="IU222" s="3"/>
      <c r="IV222" s="3"/>
      <c r="IW222" s="3"/>
      <c r="IX222" s="3"/>
      <c r="IY222" s="3"/>
      <c r="IZ222" s="3"/>
      <c r="JA222" s="3"/>
      <c r="JB222" s="3"/>
      <c r="JC222" s="3"/>
      <c r="JD222" s="3"/>
      <c r="JE222" s="3"/>
      <c r="JF222" s="3"/>
      <c r="JG222" s="3"/>
      <c r="JH222" s="3"/>
      <c r="JI222" s="3"/>
      <c r="JJ222" s="3"/>
      <c r="JK222" s="3"/>
      <c r="JL222" s="3"/>
      <c r="JM222" s="3"/>
      <c r="JN222" s="3"/>
      <c r="JO222" s="3"/>
      <c r="JP222" s="3"/>
      <c r="JQ222" s="3"/>
      <c r="JR222" s="3"/>
      <c r="JS222" s="3"/>
      <c r="JT222" s="3"/>
      <c r="JU222" s="3"/>
      <c r="JV222" s="3"/>
      <c r="JW222" s="3"/>
      <c r="JX222" s="3"/>
      <c r="JY222" s="3"/>
      <c r="JZ222" s="3"/>
      <c r="KA222" s="3"/>
      <c r="KB222" s="3"/>
      <c r="KC222" s="3"/>
      <c r="KD222" s="3"/>
      <c r="KE222" s="3"/>
      <c r="KF222" s="3"/>
      <c r="KG222" s="3"/>
      <c r="KH222" s="3"/>
      <c r="KI222" s="3"/>
      <c r="KJ222" s="3"/>
      <c r="KK222" s="3"/>
      <c r="KL222" s="3"/>
      <c r="KM222" s="3"/>
      <c r="KN222" s="3"/>
      <c r="KO222" s="3"/>
      <c r="KP222" s="3"/>
      <c r="KQ222" s="3"/>
      <c r="KR222" s="3"/>
      <c r="KS222" s="3"/>
      <c r="KT222" s="3"/>
      <c r="KU222" s="3"/>
      <c r="KV222" s="3"/>
      <c r="KW222" s="3"/>
      <c r="KX222" s="3"/>
      <c r="KY222" s="3"/>
      <c r="KZ222" s="3"/>
      <c r="LA222" s="3"/>
      <c r="LB222" s="3"/>
      <c r="LC222" s="3"/>
      <c r="LD222" s="3"/>
      <c r="LE222" s="3"/>
      <c r="LF222" s="3"/>
      <c r="LG222" s="3"/>
      <c r="LH222" s="3"/>
      <c r="LI222" s="3"/>
      <c r="LJ222" s="3"/>
      <c r="LK222" s="3"/>
      <c r="LL222" s="3"/>
      <c r="LM222" s="3"/>
      <c r="LN222" s="3"/>
      <c r="LO222" s="3"/>
      <c r="LP222" s="3"/>
      <c r="LQ222" s="3"/>
      <c r="LR222" s="3"/>
      <c r="LS222" s="3"/>
      <c r="LT222" s="3"/>
      <c r="LU222" s="3"/>
      <c r="LV222" s="3"/>
      <c r="LW222" s="3"/>
      <c r="LX222" s="3"/>
      <c r="LY222" s="3"/>
      <c r="LZ222" s="3"/>
      <c r="MA222" s="3"/>
      <c r="MB222" s="3"/>
      <c r="MC222" s="3"/>
      <c r="MD222" s="3"/>
      <c r="ME222" s="3"/>
      <c r="MF222" s="3"/>
      <c r="MG222" s="3"/>
      <c r="MH222" s="3"/>
      <c r="MI222" s="3"/>
      <c r="MJ222" s="3"/>
      <c r="MK222" s="3"/>
      <c r="ML222" s="3"/>
      <c r="MM222" s="3"/>
      <c r="MN222" s="3"/>
      <c r="MO222" s="3"/>
      <c r="MP222" s="3"/>
      <c r="MQ222" s="3"/>
      <c r="MR222" s="3"/>
      <c r="MS222" s="3"/>
      <c r="MT222" s="3"/>
      <c r="MU222" s="3"/>
      <c r="MV222" s="3"/>
      <c r="MW222" s="3"/>
      <c r="MX222" s="3"/>
      <c r="MY222" s="3"/>
      <c r="MZ222" s="3"/>
      <c r="NA222" s="3"/>
      <c r="NB222" s="3"/>
      <c r="NC222" s="3"/>
      <c r="ND222" s="3"/>
      <c r="NE222" s="3"/>
      <c r="NF222" s="3"/>
      <c r="NG222" s="3"/>
      <c r="NH222" s="3"/>
      <c r="NI222" s="3"/>
      <c r="NJ222" s="3"/>
      <c r="NK222" s="3"/>
      <c r="NL222" s="3"/>
      <c r="NM222" s="3"/>
      <c r="NN222" s="3"/>
      <c r="NO222" s="3"/>
      <c r="NP222" s="3"/>
      <c r="NQ222" s="3"/>
      <c r="NR222" s="3"/>
      <c r="NS222" s="3"/>
      <c r="NT222" s="3"/>
      <c r="NU222" s="3"/>
      <c r="NV222" s="3"/>
      <c r="NW222" s="3"/>
      <c r="NX222" s="3"/>
      <c r="NY222" s="3"/>
      <c r="NZ222" s="3"/>
      <c r="OA222" s="3"/>
      <c r="OB222" s="3"/>
      <c r="OC222" s="3"/>
      <c r="OD222" s="3"/>
      <c r="OE222" s="3"/>
      <c r="OF222" s="3"/>
      <c r="OG222" s="3"/>
      <c r="OH222" s="3"/>
      <c r="OI222" s="3"/>
      <c r="OJ222" s="3"/>
      <c r="OK222" s="3"/>
      <c r="OL222" s="3"/>
      <c r="OM222" s="3"/>
      <c r="ON222" s="3"/>
      <c r="OO222" s="3"/>
      <c r="OP222" s="3"/>
      <c r="OQ222" s="3"/>
      <c r="OR222" s="3"/>
      <c r="OS222" s="3"/>
      <c r="OT222" s="3"/>
      <c r="OU222" s="3"/>
      <c r="OV222" s="3"/>
      <c r="OW222" s="3"/>
      <c r="OX222" s="3"/>
      <c r="OY222" s="3"/>
      <c r="OZ222" s="3"/>
      <c r="PA222" s="3"/>
      <c r="PB222" s="3"/>
      <c r="PC222" s="3"/>
      <c r="PD222" s="3"/>
      <c r="PE222" s="3"/>
      <c r="PF222" s="3"/>
      <c r="PG222" s="3"/>
      <c r="PH222" s="3"/>
      <c r="PI222" s="3"/>
      <c r="PJ222" s="3"/>
      <c r="PK222" s="3"/>
      <c r="PL222" s="3"/>
      <c r="PM222" s="3"/>
      <c r="PN222" s="3"/>
      <c r="PO222" s="3"/>
      <c r="PP222" s="3"/>
      <c r="PQ222" s="3"/>
      <c r="PR222" s="3"/>
      <c r="PS222" s="3"/>
      <c r="PT222" s="3"/>
      <c r="PU222" s="3"/>
      <c r="PV222" s="3"/>
      <c r="PW222" s="3"/>
      <c r="PX222" s="3"/>
      <c r="PY222" s="3"/>
      <c r="PZ222" s="3"/>
      <c r="QA222" s="3"/>
      <c r="QB222" s="3"/>
      <c r="QC222" s="3"/>
      <c r="QD222" s="3"/>
      <c r="QE222" s="3"/>
      <c r="QF222" s="3"/>
      <c r="QG222" s="3"/>
      <c r="QH222" s="3"/>
      <c r="QI222" s="3"/>
      <c r="QJ222" s="3"/>
      <c r="QK222" s="3"/>
      <c r="QL222" s="3"/>
      <c r="QM222" s="3"/>
      <c r="QN222" s="3"/>
      <c r="QO222" s="3"/>
      <c r="QP222" s="3"/>
      <c r="QQ222" s="3"/>
      <c r="QR222" s="3"/>
      <c r="QS222" s="3"/>
      <c r="QT222" s="3"/>
      <c r="QU222" s="3"/>
      <c r="QV222" s="3"/>
      <c r="QW222" s="3"/>
      <c r="QX222" s="3"/>
      <c r="QY222" s="3"/>
      <c r="QZ222" s="3"/>
      <c r="RA222" s="3"/>
      <c r="RB222" s="3"/>
      <c r="RC222" s="3"/>
      <c r="RD222" s="3"/>
      <c r="RE222" s="3"/>
      <c r="RF222" s="3"/>
      <c r="RG222" s="3"/>
      <c r="RH222" s="3"/>
      <c r="RI222" s="3"/>
      <c r="RJ222" s="3"/>
      <c r="RK222" s="3"/>
      <c r="RL222" s="3"/>
      <c r="RM222" s="3"/>
      <c r="RN222" s="3"/>
      <c r="RO222" s="3"/>
      <c r="RP222" s="3"/>
      <c r="RQ222" s="3"/>
      <c r="RR222" s="3"/>
      <c r="RS222" s="3"/>
      <c r="RT222" s="3"/>
      <c r="RU222" s="3"/>
      <c r="RV222" s="3"/>
      <c r="RW222" s="3"/>
      <c r="RX222" s="3"/>
      <c r="RY222" s="3"/>
      <c r="RZ222" s="3"/>
      <c r="SA222" s="3"/>
      <c r="SB222" s="3"/>
      <c r="SC222" s="3"/>
      <c r="SD222" s="3"/>
      <c r="SE222" s="3"/>
      <c r="SF222" s="3"/>
      <c r="SG222" s="3"/>
      <c r="SH222" s="3"/>
      <c r="SI222" s="3"/>
      <c r="SJ222" s="3"/>
      <c r="SK222" s="3"/>
      <c r="SL222" s="3"/>
      <c r="SM222" s="3"/>
      <c r="SN222" s="3"/>
      <c r="SO222" s="3"/>
      <c r="SP222" s="3"/>
      <c r="SQ222" s="3"/>
      <c r="SR222" s="3"/>
      <c r="SS222" s="3"/>
      <c r="ST222" s="3"/>
      <c r="SU222" s="3"/>
      <c r="SV222" s="3"/>
      <c r="SW222" s="3"/>
      <c r="SX222" s="3"/>
      <c r="SY222" s="3"/>
      <c r="SZ222" s="3"/>
      <c r="TA222" s="3"/>
      <c r="TB222" s="3"/>
      <c r="TC222" s="3"/>
      <c r="TD222" s="3"/>
      <c r="TE222" s="3"/>
      <c r="TF222" s="3"/>
      <c r="TG222" s="3"/>
      <c r="TH222" s="3"/>
      <c r="TI222" s="3"/>
      <c r="TJ222" s="3"/>
      <c r="TK222" s="3"/>
      <c r="TL222" s="3"/>
      <c r="TM222" s="3"/>
      <c r="TN222" s="3"/>
      <c r="TO222" s="3"/>
      <c r="TP222" s="3"/>
      <c r="TQ222" s="3"/>
      <c r="TR222" s="3"/>
      <c r="TS222" s="3"/>
      <c r="TT222" s="3"/>
      <c r="TU222" s="3"/>
      <c r="TV222" s="3"/>
      <c r="TW222" s="3"/>
      <c r="TX222" s="3"/>
      <c r="TY222" s="3"/>
      <c r="TZ222" s="3"/>
      <c r="UA222" s="3"/>
      <c r="UB222" s="3"/>
      <c r="UC222" s="3"/>
      <c r="UD222" s="3"/>
      <c r="UE222" s="3"/>
      <c r="UF222" s="3"/>
      <c r="UG222" s="3"/>
      <c r="UH222" s="3"/>
      <c r="UI222" s="3"/>
      <c r="UJ222" s="3"/>
      <c r="UK222" s="3"/>
      <c r="UL222" s="3"/>
      <c r="UM222" s="3"/>
      <c r="UN222" s="3"/>
      <c r="UO222" s="3"/>
      <c r="UP222" s="3"/>
      <c r="UQ222" s="3"/>
      <c r="UR222" s="3"/>
      <c r="US222" s="3"/>
      <c r="UT222" s="3"/>
      <c r="UU222" s="3"/>
      <c r="UV222" s="3"/>
      <c r="UW222" s="3"/>
      <c r="UX222" s="3"/>
      <c r="UY222" s="3"/>
      <c r="UZ222" s="3"/>
      <c r="VA222" s="3"/>
      <c r="VB222" s="3"/>
      <c r="VC222" s="3"/>
      <c r="VD222" s="3"/>
      <c r="VE222" s="3"/>
      <c r="VF222" s="3"/>
      <c r="VG222" s="3"/>
      <c r="VH222" s="3"/>
      <c r="VI222" s="3"/>
      <c r="VJ222" s="3"/>
      <c r="VK222" s="3"/>
      <c r="VL222" s="3"/>
      <c r="VM222" s="3"/>
      <c r="VN222" s="3"/>
      <c r="VO222" s="3"/>
      <c r="VP222" s="3"/>
      <c r="VQ222" s="3"/>
      <c r="VR222" s="3"/>
      <c r="VS222" s="3"/>
      <c r="VT222" s="3"/>
      <c r="VU222" s="3"/>
      <c r="VV222" s="3"/>
      <c r="VW222" s="3"/>
      <c r="VX222" s="3"/>
      <c r="VY222" s="3"/>
      <c r="VZ222" s="3"/>
      <c r="WA222" s="3"/>
      <c r="WB222" s="3"/>
      <c r="WC222" s="3"/>
      <c r="WD222" s="3"/>
      <c r="WE222" s="3"/>
      <c r="WF222" s="3"/>
      <c r="WG222" s="3"/>
      <c r="WH222" s="3"/>
      <c r="WI222" s="3"/>
      <c r="WJ222" s="3"/>
      <c r="WK222" s="3"/>
      <c r="WL222" s="3"/>
      <c r="WM222" s="3"/>
      <c r="WN222" s="3"/>
      <c r="WO222" s="3"/>
      <c r="WP222" s="3"/>
      <c r="WQ222" s="3"/>
      <c r="WR222" s="3"/>
      <c r="WS222" s="3"/>
      <c r="WT222" s="3"/>
      <c r="WU222" s="3"/>
      <c r="WV222" s="3"/>
      <c r="WW222" s="3"/>
      <c r="WX222" s="3"/>
      <c r="WY222" s="3"/>
      <c r="WZ222" s="3"/>
      <c r="XA222" s="3"/>
      <c r="XB222" s="3"/>
      <c r="XC222" s="3"/>
      <c r="XD222" s="3"/>
      <c r="XE222" s="3"/>
      <c r="XF222" s="3"/>
      <c r="XG222" s="3"/>
      <c r="XH222" s="3"/>
      <c r="XI222" s="3"/>
      <c r="XJ222" s="3"/>
      <c r="XK222" s="3"/>
      <c r="XL222" s="3"/>
      <c r="XM222" s="3"/>
      <c r="XN222" s="3"/>
      <c r="XO222" s="3"/>
      <c r="XP222" s="3"/>
      <c r="XQ222" s="3"/>
      <c r="XR222" s="3"/>
      <c r="XS222" s="3"/>
      <c r="XT222" s="3"/>
      <c r="XU222" s="3"/>
      <c r="XV222" s="3"/>
      <c r="XW222" s="3"/>
      <c r="XX222" s="3"/>
      <c r="XY222" s="3"/>
      <c r="XZ222" s="3"/>
      <c r="YA222" s="3"/>
      <c r="YB222" s="3"/>
      <c r="YC222" s="3"/>
      <c r="YD222" s="3"/>
      <c r="YE222" s="3"/>
      <c r="YF222" s="3"/>
      <c r="YG222" s="3"/>
      <c r="YH222" s="3"/>
      <c r="YI222" s="3"/>
      <c r="YJ222" s="3"/>
      <c r="YK222" s="3"/>
      <c r="YL222" s="3"/>
      <c r="YM222" s="3"/>
      <c r="YN222" s="3"/>
      <c r="YO222" s="3"/>
      <c r="YP222" s="3"/>
      <c r="YQ222" s="3"/>
      <c r="YR222" s="3"/>
      <c r="YS222" s="3"/>
      <c r="YT222" s="3"/>
      <c r="YU222" s="3"/>
      <c r="YV222" s="3"/>
      <c r="YW222" s="3"/>
      <c r="YX222" s="3"/>
      <c r="YY222" s="3"/>
      <c r="YZ222" s="3"/>
      <c r="ZA222" s="3"/>
      <c r="ZB222" s="3"/>
      <c r="ZC222" s="3"/>
    </row>
    <row r="223" spans="1:679" s="2" customFormat="1" x14ac:dyDescent="0.45">
      <c r="A223" s="3" t="s">
        <v>11</v>
      </c>
      <c r="B223" s="4">
        <v>36888</v>
      </c>
      <c r="C223" s="7" t="s">
        <v>25</v>
      </c>
      <c r="D223" s="6" t="s">
        <v>240</v>
      </c>
      <c r="E223" s="3"/>
      <c r="F223" s="3">
        <v>8</v>
      </c>
      <c r="L223" s="3"/>
      <c r="M223" s="3"/>
      <c r="N223" s="48"/>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c r="DE223" s="3"/>
      <c r="DF223" s="3"/>
      <c r="DG223" s="3"/>
      <c r="DH223" s="3"/>
      <c r="DI223" s="3"/>
      <c r="DJ223" s="3"/>
      <c r="DK223" s="3"/>
      <c r="DL223" s="3"/>
      <c r="DM223" s="3"/>
      <c r="DN223" s="3"/>
      <c r="DO223" s="3"/>
      <c r="DP223" s="3"/>
      <c r="DQ223" s="3"/>
      <c r="DR223" s="3"/>
      <c r="DS223" s="3"/>
      <c r="DT223" s="3"/>
      <c r="DU223" s="3"/>
      <c r="DV223" s="3"/>
      <c r="DW223" s="3"/>
      <c r="DX223" s="3"/>
      <c r="DY223" s="3"/>
      <c r="DZ223" s="3"/>
      <c r="EA223" s="3"/>
      <c r="EB223" s="3"/>
      <c r="EC223" s="3"/>
      <c r="ED223" s="3"/>
      <c r="EE223" s="3"/>
      <c r="EF223" s="3"/>
      <c r="EG223" s="3"/>
      <c r="EH223" s="3"/>
      <c r="EI223" s="3"/>
      <c r="EJ223" s="3"/>
      <c r="EK223" s="3"/>
      <c r="EL223" s="3"/>
      <c r="EM223" s="3"/>
      <c r="EN223" s="3"/>
      <c r="EO223" s="3"/>
      <c r="EP223" s="3"/>
      <c r="EQ223" s="3"/>
      <c r="ER223" s="3"/>
      <c r="ES223" s="3"/>
      <c r="ET223" s="3"/>
      <c r="EU223" s="3"/>
      <c r="EV223" s="3"/>
      <c r="EW223" s="3"/>
      <c r="EX223" s="3"/>
      <c r="EY223" s="3"/>
      <c r="EZ223" s="3"/>
      <c r="FA223" s="3"/>
      <c r="FB223" s="3"/>
      <c r="FC223" s="3"/>
      <c r="FD223" s="3"/>
      <c r="FE223" s="3"/>
      <c r="FF223" s="3"/>
      <c r="FG223" s="3"/>
      <c r="FH223" s="3"/>
      <c r="FI223" s="3"/>
      <c r="FJ223" s="3"/>
      <c r="FK223" s="3"/>
      <c r="FL223" s="3"/>
      <c r="FM223" s="3"/>
      <c r="FN223" s="3"/>
      <c r="FO223" s="3"/>
      <c r="FP223" s="3"/>
      <c r="FQ223" s="3"/>
      <c r="FR223" s="3"/>
      <c r="FS223" s="3"/>
      <c r="FT223" s="3"/>
      <c r="FU223" s="3"/>
      <c r="FV223" s="3"/>
      <c r="FW223" s="3"/>
      <c r="FX223" s="3"/>
      <c r="FY223" s="3"/>
      <c r="FZ223" s="3"/>
      <c r="GA223" s="3"/>
      <c r="GB223" s="3"/>
      <c r="GC223" s="3"/>
      <c r="GD223" s="3"/>
      <c r="GE223" s="3"/>
      <c r="GF223" s="3"/>
      <c r="GG223" s="3"/>
      <c r="GH223" s="3"/>
      <c r="GI223" s="3"/>
      <c r="GJ223" s="3"/>
      <c r="GK223" s="3"/>
      <c r="GL223" s="3"/>
      <c r="GM223" s="3"/>
      <c r="GN223" s="3"/>
      <c r="GO223" s="3"/>
      <c r="GP223" s="3"/>
      <c r="GQ223" s="3"/>
      <c r="GR223" s="3"/>
      <c r="GS223" s="3"/>
      <c r="GT223" s="3"/>
      <c r="GU223" s="3"/>
      <c r="GV223" s="3"/>
      <c r="GW223" s="3"/>
      <c r="GX223" s="3"/>
      <c r="GY223" s="3"/>
      <c r="GZ223" s="3"/>
      <c r="HA223" s="3"/>
      <c r="HB223" s="3"/>
      <c r="HC223" s="3"/>
      <c r="HD223" s="3"/>
      <c r="HE223" s="3"/>
      <c r="HF223" s="3"/>
      <c r="HG223" s="3"/>
      <c r="HH223" s="3"/>
      <c r="HI223" s="3"/>
      <c r="HJ223" s="3"/>
      <c r="HK223" s="3"/>
      <c r="HL223" s="3"/>
      <c r="HM223" s="3"/>
      <c r="HN223" s="3"/>
      <c r="HO223" s="3"/>
      <c r="HP223" s="3"/>
      <c r="HQ223" s="3"/>
      <c r="HR223" s="3"/>
      <c r="HS223" s="3"/>
      <c r="HT223" s="3"/>
      <c r="HU223" s="3"/>
      <c r="HV223" s="3"/>
      <c r="HW223" s="3"/>
      <c r="HX223" s="3"/>
      <c r="HY223" s="3"/>
      <c r="HZ223" s="3"/>
      <c r="IA223" s="3"/>
      <c r="IB223" s="3"/>
      <c r="IC223" s="3"/>
      <c r="ID223" s="3"/>
      <c r="IE223" s="3"/>
      <c r="IF223" s="3"/>
      <c r="IG223" s="3"/>
      <c r="IH223" s="3"/>
      <c r="II223" s="3"/>
      <c r="IJ223" s="3"/>
      <c r="IK223" s="3"/>
      <c r="IL223" s="3"/>
      <c r="IM223" s="3"/>
      <c r="IN223" s="3"/>
      <c r="IO223" s="3"/>
      <c r="IP223" s="3"/>
      <c r="IQ223" s="3"/>
      <c r="IR223" s="3"/>
      <c r="IS223" s="3"/>
      <c r="IT223" s="3"/>
      <c r="IU223" s="3"/>
      <c r="IV223" s="3"/>
      <c r="IW223" s="3"/>
      <c r="IX223" s="3"/>
      <c r="IY223" s="3"/>
      <c r="IZ223" s="3"/>
      <c r="JA223" s="3"/>
      <c r="JB223" s="3"/>
      <c r="JC223" s="3"/>
      <c r="JD223" s="3"/>
      <c r="JE223" s="3"/>
      <c r="JF223" s="3"/>
      <c r="JG223" s="3"/>
      <c r="JH223" s="3"/>
      <c r="JI223" s="3"/>
      <c r="JJ223" s="3"/>
      <c r="JK223" s="3"/>
      <c r="JL223" s="3"/>
      <c r="JM223" s="3"/>
      <c r="JN223" s="3"/>
      <c r="JO223" s="3"/>
      <c r="JP223" s="3"/>
      <c r="JQ223" s="3"/>
      <c r="JR223" s="3"/>
      <c r="JS223" s="3"/>
      <c r="JT223" s="3"/>
      <c r="JU223" s="3"/>
      <c r="JV223" s="3"/>
      <c r="JW223" s="3"/>
      <c r="JX223" s="3"/>
      <c r="JY223" s="3"/>
      <c r="JZ223" s="3"/>
      <c r="KA223" s="3"/>
      <c r="KB223" s="3"/>
      <c r="KC223" s="3"/>
      <c r="KD223" s="3"/>
      <c r="KE223" s="3"/>
      <c r="KF223" s="3"/>
      <c r="KG223" s="3"/>
      <c r="KH223" s="3"/>
      <c r="KI223" s="3"/>
      <c r="KJ223" s="3"/>
      <c r="KK223" s="3"/>
      <c r="KL223" s="3"/>
      <c r="KM223" s="3"/>
      <c r="KN223" s="3"/>
      <c r="KO223" s="3"/>
      <c r="KP223" s="3"/>
      <c r="KQ223" s="3"/>
      <c r="KR223" s="3"/>
      <c r="KS223" s="3"/>
      <c r="KT223" s="3"/>
      <c r="KU223" s="3"/>
      <c r="KV223" s="3"/>
      <c r="KW223" s="3"/>
      <c r="KX223" s="3"/>
      <c r="KY223" s="3"/>
      <c r="KZ223" s="3"/>
      <c r="LA223" s="3"/>
      <c r="LB223" s="3"/>
      <c r="LC223" s="3"/>
      <c r="LD223" s="3"/>
      <c r="LE223" s="3"/>
      <c r="LF223" s="3"/>
      <c r="LG223" s="3"/>
      <c r="LH223" s="3"/>
      <c r="LI223" s="3"/>
      <c r="LJ223" s="3"/>
      <c r="LK223" s="3"/>
      <c r="LL223" s="3"/>
      <c r="LM223" s="3"/>
      <c r="LN223" s="3"/>
      <c r="LO223" s="3"/>
      <c r="LP223" s="3"/>
      <c r="LQ223" s="3"/>
      <c r="LR223" s="3"/>
      <c r="LS223" s="3"/>
      <c r="LT223" s="3"/>
      <c r="LU223" s="3"/>
      <c r="LV223" s="3"/>
      <c r="LW223" s="3"/>
      <c r="LX223" s="3"/>
      <c r="LY223" s="3"/>
      <c r="LZ223" s="3"/>
      <c r="MA223" s="3"/>
      <c r="MB223" s="3"/>
      <c r="MC223" s="3"/>
      <c r="MD223" s="3"/>
      <c r="ME223" s="3"/>
      <c r="MF223" s="3"/>
      <c r="MG223" s="3"/>
      <c r="MH223" s="3"/>
      <c r="MI223" s="3"/>
      <c r="MJ223" s="3"/>
      <c r="MK223" s="3"/>
      <c r="ML223" s="3"/>
      <c r="MM223" s="3"/>
      <c r="MN223" s="3"/>
      <c r="MO223" s="3"/>
      <c r="MP223" s="3"/>
      <c r="MQ223" s="3"/>
      <c r="MR223" s="3"/>
      <c r="MS223" s="3"/>
      <c r="MT223" s="3"/>
      <c r="MU223" s="3"/>
      <c r="MV223" s="3"/>
      <c r="MW223" s="3"/>
      <c r="MX223" s="3"/>
      <c r="MY223" s="3"/>
      <c r="MZ223" s="3"/>
      <c r="NA223" s="3"/>
      <c r="NB223" s="3"/>
      <c r="NC223" s="3"/>
      <c r="ND223" s="3"/>
      <c r="NE223" s="3"/>
      <c r="NF223" s="3"/>
      <c r="NG223" s="3"/>
      <c r="NH223" s="3"/>
      <c r="NI223" s="3"/>
      <c r="NJ223" s="3"/>
      <c r="NK223" s="3"/>
      <c r="NL223" s="3"/>
      <c r="NM223" s="3"/>
      <c r="NN223" s="3"/>
      <c r="NO223" s="3"/>
      <c r="NP223" s="3"/>
      <c r="NQ223" s="3"/>
      <c r="NR223" s="3"/>
      <c r="NS223" s="3"/>
      <c r="NT223" s="3"/>
      <c r="NU223" s="3"/>
      <c r="NV223" s="3"/>
      <c r="NW223" s="3"/>
      <c r="NX223" s="3"/>
      <c r="NY223" s="3"/>
      <c r="NZ223" s="3"/>
      <c r="OA223" s="3"/>
      <c r="OB223" s="3"/>
      <c r="OC223" s="3"/>
      <c r="OD223" s="3"/>
      <c r="OE223" s="3"/>
      <c r="OF223" s="3"/>
      <c r="OG223" s="3"/>
      <c r="OH223" s="3"/>
      <c r="OI223" s="3"/>
      <c r="OJ223" s="3"/>
      <c r="OK223" s="3"/>
      <c r="OL223" s="3"/>
      <c r="OM223" s="3"/>
      <c r="ON223" s="3"/>
      <c r="OO223" s="3"/>
      <c r="OP223" s="3"/>
      <c r="OQ223" s="3"/>
      <c r="OR223" s="3"/>
      <c r="OS223" s="3"/>
      <c r="OT223" s="3"/>
      <c r="OU223" s="3"/>
      <c r="OV223" s="3"/>
      <c r="OW223" s="3"/>
      <c r="OX223" s="3"/>
      <c r="OY223" s="3"/>
      <c r="OZ223" s="3"/>
      <c r="PA223" s="3"/>
      <c r="PB223" s="3"/>
      <c r="PC223" s="3"/>
      <c r="PD223" s="3"/>
      <c r="PE223" s="3"/>
      <c r="PF223" s="3"/>
      <c r="PG223" s="3"/>
      <c r="PH223" s="3"/>
      <c r="PI223" s="3"/>
      <c r="PJ223" s="3"/>
      <c r="PK223" s="3"/>
      <c r="PL223" s="3"/>
      <c r="PM223" s="3"/>
      <c r="PN223" s="3"/>
      <c r="PO223" s="3"/>
      <c r="PP223" s="3"/>
      <c r="PQ223" s="3"/>
      <c r="PR223" s="3"/>
      <c r="PS223" s="3"/>
      <c r="PT223" s="3"/>
      <c r="PU223" s="3"/>
      <c r="PV223" s="3"/>
      <c r="PW223" s="3"/>
      <c r="PX223" s="3"/>
      <c r="PY223" s="3"/>
      <c r="PZ223" s="3"/>
      <c r="QA223" s="3"/>
      <c r="QB223" s="3"/>
      <c r="QC223" s="3"/>
      <c r="QD223" s="3"/>
      <c r="QE223" s="3"/>
      <c r="QF223" s="3"/>
      <c r="QG223" s="3"/>
      <c r="QH223" s="3"/>
      <c r="QI223" s="3"/>
      <c r="QJ223" s="3"/>
      <c r="QK223" s="3"/>
      <c r="QL223" s="3"/>
      <c r="QM223" s="3"/>
      <c r="QN223" s="3"/>
      <c r="QO223" s="3"/>
      <c r="QP223" s="3"/>
      <c r="QQ223" s="3"/>
      <c r="QR223" s="3"/>
      <c r="QS223" s="3"/>
      <c r="QT223" s="3"/>
      <c r="QU223" s="3"/>
      <c r="QV223" s="3"/>
      <c r="QW223" s="3"/>
      <c r="QX223" s="3"/>
      <c r="QY223" s="3"/>
      <c r="QZ223" s="3"/>
      <c r="RA223" s="3"/>
      <c r="RB223" s="3"/>
      <c r="RC223" s="3"/>
      <c r="RD223" s="3"/>
      <c r="RE223" s="3"/>
      <c r="RF223" s="3"/>
      <c r="RG223" s="3"/>
      <c r="RH223" s="3"/>
      <c r="RI223" s="3"/>
      <c r="RJ223" s="3"/>
      <c r="RK223" s="3"/>
      <c r="RL223" s="3"/>
      <c r="RM223" s="3"/>
      <c r="RN223" s="3"/>
      <c r="RO223" s="3"/>
      <c r="RP223" s="3"/>
      <c r="RQ223" s="3"/>
      <c r="RR223" s="3"/>
      <c r="RS223" s="3"/>
      <c r="RT223" s="3"/>
      <c r="RU223" s="3"/>
      <c r="RV223" s="3"/>
      <c r="RW223" s="3"/>
      <c r="RX223" s="3"/>
      <c r="RY223" s="3"/>
      <c r="RZ223" s="3"/>
      <c r="SA223" s="3"/>
      <c r="SB223" s="3"/>
      <c r="SC223" s="3"/>
      <c r="SD223" s="3"/>
      <c r="SE223" s="3"/>
      <c r="SF223" s="3"/>
      <c r="SG223" s="3"/>
      <c r="SH223" s="3"/>
      <c r="SI223" s="3"/>
      <c r="SJ223" s="3"/>
      <c r="SK223" s="3"/>
      <c r="SL223" s="3"/>
      <c r="SM223" s="3"/>
      <c r="SN223" s="3"/>
      <c r="SO223" s="3"/>
      <c r="SP223" s="3"/>
      <c r="SQ223" s="3"/>
      <c r="SR223" s="3"/>
      <c r="SS223" s="3"/>
      <c r="ST223" s="3"/>
      <c r="SU223" s="3"/>
      <c r="SV223" s="3"/>
      <c r="SW223" s="3"/>
      <c r="SX223" s="3"/>
      <c r="SY223" s="3"/>
      <c r="SZ223" s="3"/>
      <c r="TA223" s="3"/>
      <c r="TB223" s="3"/>
      <c r="TC223" s="3"/>
      <c r="TD223" s="3"/>
      <c r="TE223" s="3"/>
      <c r="TF223" s="3"/>
      <c r="TG223" s="3"/>
      <c r="TH223" s="3"/>
      <c r="TI223" s="3"/>
      <c r="TJ223" s="3"/>
      <c r="TK223" s="3"/>
      <c r="TL223" s="3"/>
      <c r="TM223" s="3"/>
      <c r="TN223" s="3"/>
      <c r="TO223" s="3"/>
      <c r="TP223" s="3"/>
      <c r="TQ223" s="3"/>
      <c r="TR223" s="3"/>
      <c r="TS223" s="3"/>
      <c r="TT223" s="3"/>
      <c r="TU223" s="3"/>
      <c r="TV223" s="3"/>
      <c r="TW223" s="3"/>
      <c r="TX223" s="3"/>
      <c r="TY223" s="3"/>
      <c r="TZ223" s="3"/>
      <c r="UA223" s="3"/>
      <c r="UB223" s="3"/>
      <c r="UC223" s="3"/>
      <c r="UD223" s="3"/>
      <c r="UE223" s="3"/>
      <c r="UF223" s="3"/>
      <c r="UG223" s="3"/>
      <c r="UH223" s="3"/>
      <c r="UI223" s="3"/>
      <c r="UJ223" s="3"/>
      <c r="UK223" s="3"/>
      <c r="UL223" s="3"/>
      <c r="UM223" s="3"/>
      <c r="UN223" s="3"/>
      <c r="UO223" s="3"/>
      <c r="UP223" s="3"/>
      <c r="UQ223" s="3"/>
      <c r="UR223" s="3"/>
      <c r="US223" s="3"/>
      <c r="UT223" s="3"/>
      <c r="UU223" s="3"/>
      <c r="UV223" s="3"/>
      <c r="UW223" s="3"/>
      <c r="UX223" s="3"/>
      <c r="UY223" s="3"/>
      <c r="UZ223" s="3"/>
      <c r="VA223" s="3"/>
      <c r="VB223" s="3"/>
      <c r="VC223" s="3"/>
      <c r="VD223" s="3"/>
      <c r="VE223" s="3"/>
      <c r="VF223" s="3"/>
      <c r="VG223" s="3"/>
      <c r="VH223" s="3"/>
      <c r="VI223" s="3"/>
      <c r="VJ223" s="3"/>
      <c r="VK223" s="3"/>
      <c r="VL223" s="3"/>
      <c r="VM223" s="3"/>
      <c r="VN223" s="3"/>
      <c r="VO223" s="3"/>
      <c r="VP223" s="3"/>
      <c r="VQ223" s="3"/>
      <c r="VR223" s="3"/>
      <c r="VS223" s="3"/>
      <c r="VT223" s="3"/>
      <c r="VU223" s="3"/>
      <c r="VV223" s="3"/>
      <c r="VW223" s="3"/>
      <c r="VX223" s="3"/>
      <c r="VY223" s="3"/>
      <c r="VZ223" s="3"/>
      <c r="WA223" s="3"/>
      <c r="WB223" s="3"/>
      <c r="WC223" s="3"/>
      <c r="WD223" s="3"/>
      <c r="WE223" s="3"/>
      <c r="WF223" s="3"/>
      <c r="WG223" s="3"/>
      <c r="WH223" s="3"/>
      <c r="WI223" s="3"/>
      <c r="WJ223" s="3"/>
      <c r="WK223" s="3"/>
      <c r="WL223" s="3"/>
      <c r="WM223" s="3"/>
      <c r="WN223" s="3"/>
      <c r="WO223" s="3"/>
      <c r="WP223" s="3"/>
      <c r="WQ223" s="3"/>
      <c r="WR223" s="3"/>
      <c r="WS223" s="3"/>
      <c r="WT223" s="3"/>
      <c r="WU223" s="3"/>
      <c r="WV223" s="3"/>
      <c r="WW223" s="3"/>
      <c r="WX223" s="3"/>
      <c r="WY223" s="3"/>
      <c r="WZ223" s="3"/>
      <c r="XA223" s="3"/>
      <c r="XB223" s="3"/>
      <c r="XC223" s="3"/>
      <c r="XD223" s="3"/>
      <c r="XE223" s="3"/>
      <c r="XF223" s="3"/>
      <c r="XG223" s="3"/>
      <c r="XH223" s="3"/>
      <c r="XI223" s="3"/>
      <c r="XJ223" s="3"/>
      <c r="XK223" s="3"/>
      <c r="XL223" s="3"/>
      <c r="XM223" s="3"/>
      <c r="XN223" s="3"/>
      <c r="XO223" s="3"/>
      <c r="XP223" s="3"/>
      <c r="XQ223" s="3"/>
      <c r="XR223" s="3"/>
      <c r="XS223" s="3"/>
      <c r="XT223" s="3"/>
      <c r="XU223" s="3"/>
      <c r="XV223" s="3"/>
      <c r="XW223" s="3"/>
      <c r="XX223" s="3"/>
      <c r="XY223" s="3"/>
      <c r="XZ223" s="3"/>
      <c r="YA223" s="3"/>
      <c r="YB223" s="3"/>
      <c r="YC223" s="3"/>
      <c r="YD223" s="3"/>
      <c r="YE223" s="3"/>
      <c r="YF223" s="3"/>
      <c r="YG223" s="3"/>
      <c r="YH223" s="3"/>
      <c r="YI223" s="3"/>
      <c r="YJ223" s="3"/>
      <c r="YK223" s="3"/>
      <c r="YL223" s="3"/>
      <c r="YM223" s="3"/>
      <c r="YN223" s="3"/>
      <c r="YO223" s="3"/>
      <c r="YP223" s="3"/>
      <c r="YQ223" s="3"/>
      <c r="YR223" s="3"/>
      <c r="YS223" s="3"/>
      <c r="YT223" s="3"/>
      <c r="YU223" s="3"/>
      <c r="YV223" s="3"/>
      <c r="YW223" s="3"/>
      <c r="YX223" s="3"/>
      <c r="YY223" s="3"/>
      <c r="YZ223" s="3"/>
      <c r="ZA223" s="3"/>
      <c r="ZB223" s="3"/>
      <c r="ZC223" s="3"/>
    </row>
    <row r="224" spans="1:679" s="2" customFormat="1" x14ac:dyDescent="0.45">
      <c r="A224" s="3" t="s">
        <v>11</v>
      </c>
      <c r="B224" s="4">
        <v>36934</v>
      </c>
      <c r="C224" s="7" t="s">
        <v>21</v>
      </c>
      <c r="D224" s="6" t="s">
        <v>241</v>
      </c>
      <c r="E224" s="3"/>
      <c r="F224" s="3">
        <v>35</v>
      </c>
      <c r="L224" s="3"/>
      <c r="M224" s="3"/>
      <c r="N224" s="48"/>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c r="CU224" s="3"/>
      <c r="CV224" s="3"/>
      <c r="CW224" s="3"/>
      <c r="CX224" s="3"/>
      <c r="CY224" s="3"/>
      <c r="CZ224" s="3"/>
      <c r="DA224" s="3"/>
      <c r="DB224" s="3"/>
      <c r="DC224" s="3"/>
      <c r="DD224" s="3"/>
      <c r="DE224" s="3"/>
      <c r="DF224" s="3"/>
      <c r="DG224" s="3"/>
      <c r="DH224" s="3"/>
      <c r="DI224" s="3"/>
      <c r="DJ224" s="3"/>
      <c r="DK224" s="3"/>
      <c r="DL224" s="3"/>
      <c r="DM224" s="3"/>
      <c r="DN224" s="3"/>
      <c r="DO224" s="3"/>
      <c r="DP224" s="3"/>
      <c r="DQ224" s="3"/>
      <c r="DR224" s="3"/>
      <c r="DS224" s="3"/>
      <c r="DT224" s="3"/>
      <c r="DU224" s="3"/>
      <c r="DV224" s="3"/>
      <c r="DW224" s="3"/>
      <c r="DX224" s="3"/>
      <c r="DY224" s="3"/>
      <c r="DZ224" s="3"/>
      <c r="EA224" s="3"/>
      <c r="EB224" s="3"/>
      <c r="EC224" s="3"/>
      <c r="ED224" s="3"/>
      <c r="EE224" s="3"/>
      <c r="EF224" s="3"/>
      <c r="EG224" s="3"/>
      <c r="EH224" s="3"/>
      <c r="EI224" s="3"/>
      <c r="EJ224" s="3"/>
      <c r="EK224" s="3"/>
      <c r="EL224" s="3"/>
      <c r="EM224" s="3"/>
      <c r="EN224" s="3"/>
      <c r="EO224" s="3"/>
      <c r="EP224" s="3"/>
      <c r="EQ224" s="3"/>
      <c r="ER224" s="3"/>
      <c r="ES224" s="3"/>
      <c r="ET224" s="3"/>
      <c r="EU224" s="3"/>
      <c r="EV224" s="3"/>
      <c r="EW224" s="3"/>
      <c r="EX224" s="3"/>
      <c r="EY224" s="3"/>
      <c r="EZ224" s="3"/>
      <c r="FA224" s="3"/>
      <c r="FB224" s="3"/>
      <c r="FC224" s="3"/>
      <c r="FD224" s="3"/>
      <c r="FE224" s="3"/>
      <c r="FF224" s="3"/>
      <c r="FG224" s="3"/>
      <c r="FH224" s="3"/>
      <c r="FI224" s="3"/>
      <c r="FJ224" s="3"/>
      <c r="FK224" s="3"/>
      <c r="FL224" s="3"/>
      <c r="FM224" s="3"/>
      <c r="FN224" s="3"/>
      <c r="FO224" s="3"/>
      <c r="FP224" s="3"/>
      <c r="FQ224" s="3"/>
      <c r="FR224" s="3"/>
      <c r="FS224" s="3"/>
      <c r="FT224" s="3"/>
      <c r="FU224" s="3"/>
      <c r="FV224" s="3"/>
      <c r="FW224" s="3"/>
      <c r="FX224" s="3"/>
      <c r="FY224" s="3"/>
      <c r="FZ224" s="3"/>
      <c r="GA224" s="3"/>
      <c r="GB224" s="3"/>
      <c r="GC224" s="3"/>
      <c r="GD224" s="3"/>
      <c r="GE224" s="3"/>
      <c r="GF224" s="3"/>
      <c r="GG224" s="3"/>
      <c r="GH224" s="3"/>
      <c r="GI224" s="3"/>
      <c r="GJ224" s="3"/>
      <c r="GK224" s="3"/>
      <c r="GL224" s="3"/>
      <c r="GM224" s="3"/>
      <c r="GN224" s="3"/>
      <c r="GO224" s="3"/>
      <c r="GP224" s="3"/>
      <c r="GQ224" s="3"/>
      <c r="GR224" s="3"/>
      <c r="GS224" s="3"/>
      <c r="GT224" s="3"/>
      <c r="GU224" s="3"/>
      <c r="GV224" s="3"/>
      <c r="GW224" s="3"/>
      <c r="GX224" s="3"/>
      <c r="GY224" s="3"/>
      <c r="GZ224" s="3"/>
      <c r="HA224" s="3"/>
      <c r="HB224" s="3"/>
      <c r="HC224" s="3"/>
      <c r="HD224" s="3"/>
      <c r="HE224" s="3"/>
      <c r="HF224" s="3"/>
      <c r="HG224" s="3"/>
      <c r="HH224" s="3"/>
      <c r="HI224" s="3"/>
      <c r="HJ224" s="3"/>
      <c r="HK224" s="3"/>
      <c r="HL224" s="3"/>
      <c r="HM224" s="3"/>
      <c r="HN224" s="3"/>
      <c r="HO224" s="3"/>
      <c r="HP224" s="3"/>
      <c r="HQ224" s="3"/>
      <c r="HR224" s="3"/>
      <c r="HS224" s="3"/>
      <c r="HT224" s="3"/>
      <c r="HU224" s="3"/>
      <c r="HV224" s="3"/>
      <c r="HW224" s="3"/>
      <c r="HX224" s="3"/>
      <c r="HY224" s="3"/>
      <c r="HZ224" s="3"/>
      <c r="IA224" s="3"/>
      <c r="IB224" s="3"/>
      <c r="IC224" s="3"/>
      <c r="ID224" s="3"/>
      <c r="IE224" s="3"/>
      <c r="IF224" s="3"/>
      <c r="IG224" s="3"/>
      <c r="IH224" s="3"/>
      <c r="II224" s="3"/>
      <c r="IJ224" s="3"/>
      <c r="IK224" s="3"/>
      <c r="IL224" s="3"/>
      <c r="IM224" s="3"/>
      <c r="IN224" s="3"/>
      <c r="IO224" s="3"/>
      <c r="IP224" s="3"/>
      <c r="IQ224" s="3"/>
      <c r="IR224" s="3"/>
      <c r="IS224" s="3"/>
      <c r="IT224" s="3"/>
      <c r="IU224" s="3"/>
      <c r="IV224" s="3"/>
      <c r="IW224" s="3"/>
      <c r="IX224" s="3"/>
      <c r="IY224" s="3"/>
      <c r="IZ224" s="3"/>
      <c r="JA224" s="3"/>
      <c r="JB224" s="3"/>
      <c r="JC224" s="3"/>
      <c r="JD224" s="3"/>
      <c r="JE224" s="3"/>
      <c r="JF224" s="3"/>
      <c r="JG224" s="3"/>
      <c r="JH224" s="3"/>
      <c r="JI224" s="3"/>
      <c r="JJ224" s="3"/>
      <c r="JK224" s="3"/>
      <c r="JL224" s="3"/>
      <c r="JM224" s="3"/>
      <c r="JN224" s="3"/>
      <c r="JO224" s="3"/>
      <c r="JP224" s="3"/>
      <c r="JQ224" s="3"/>
      <c r="JR224" s="3"/>
      <c r="JS224" s="3"/>
      <c r="JT224" s="3"/>
      <c r="JU224" s="3"/>
      <c r="JV224" s="3"/>
      <c r="JW224" s="3"/>
      <c r="JX224" s="3"/>
      <c r="JY224" s="3"/>
      <c r="JZ224" s="3"/>
      <c r="KA224" s="3"/>
      <c r="KB224" s="3"/>
      <c r="KC224" s="3"/>
      <c r="KD224" s="3"/>
      <c r="KE224" s="3"/>
      <c r="KF224" s="3"/>
      <c r="KG224" s="3"/>
      <c r="KH224" s="3"/>
      <c r="KI224" s="3"/>
      <c r="KJ224" s="3"/>
      <c r="KK224" s="3"/>
      <c r="KL224" s="3"/>
      <c r="KM224" s="3"/>
      <c r="KN224" s="3"/>
      <c r="KO224" s="3"/>
      <c r="KP224" s="3"/>
      <c r="KQ224" s="3"/>
      <c r="KR224" s="3"/>
      <c r="KS224" s="3"/>
      <c r="KT224" s="3"/>
      <c r="KU224" s="3"/>
      <c r="KV224" s="3"/>
      <c r="KW224" s="3"/>
      <c r="KX224" s="3"/>
      <c r="KY224" s="3"/>
      <c r="KZ224" s="3"/>
      <c r="LA224" s="3"/>
      <c r="LB224" s="3"/>
      <c r="LC224" s="3"/>
      <c r="LD224" s="3"/>
      <c r="LE224" s="3"/>
      <c r="LF224" s="3"/>
      <c r="LG224" s="3"/>
      <c r="LH224" s="3"/>
      <c r="LI224" s="3"/>
      <c r="LJ224" s="3"/>
      <c r="LK224" s="3"/>
      <c r="LL224" s="3"/>
      <c r="LM224" s="3"/>
      <c r="LN224" s="3"/>
      <c r="LO224" s="3"/>
      <c r="LP224" s="3"/>
      <c r="LQ224" s="3"/>
      <c r="LR224" s="3"/>
      <c r="LS224" s="3"/>
      <c r="LT224" s="3"/>
      <c r="LU224" s="3"/>
      <c r="LV224" s="3"/>
      <c r="LW224" s="3"/>
      <c r="LX224" s="3"/>
      <c r="LY224" s="3"/>
      <c r="LZ224" s="3"/>
      <c r="MA224" s="3"/>
      <c r="MB224" s="3"/>
      <c r="MC224" s="3"/>
      <c r="MD224" s="3"/>
      <c r="ME224" s="3"/>
      <c r="MF224" s="3"/>
      <c r="MG224" s="3"/>
      <c r="MH224" s="3"/>
      <c r="MI224" s="3"/>
      <c r="MJ224" s="3"/>
      <c r="MK224" s="3"/>
      <c r="ML224" s="3"/>
      <c r="MM224" s="3"/>
      <c r="MN224" s="3"/>
      <c r="MO224" s="3"/>
      <c r="MP224" s="3"/>
      <c r="MQ224" s="3"/>
      <c r="MR224" s="3"/>
      <c r="MS224" s="3"/>
      <c r="MT224" s="3"/>
      <c r="MU224" s="3"/>
      <c r="MV224" s="3"/>
      <c r="MW224" s="3"/>
      <c r="MX224" s="3"/>
      <c r="MY224" s="3"/>
      <c r="MZ224" s="3"/>
      <c r="NA224" s="3"/>
      <c r="NB224" s="3"/>
      <c r="NC224" s="3"/>
      <c r="ND224" s="3"/>
      <c r="NE224" s="3"/>
      <c r="NF224" s="3"/>
      <c r="NG224" s="3"/>
      <c r="NH224" s="3"/>
      <c r="NI224" s="3"/>
      <c r="NJ224" s="3"/>
      <c r="NK224" s="3"/>
      <c r="NL224" s="3"/>
      <c r="NM224" s="3"/>
      <c r="NN224" s="3"/>
      <c r="NO224" s="3"/>
      <c r="NP224" s="3"/>
      <c r="NQ224" s="3"/>
      <c r="NR224" s="3"/>
      <c r="NS224" s="3"/>
      <c r="NT224" s="3"/>
      <c r="NU224" s="3"/>
      <c r="NV224" s="3"/>
      <c r="NW224" s="3"/>
      <c r="NX224" s="3"/>
      <c r="NY224" s="3"/>
      <c r="NZ224" s="3"/>
      <c r="OA224" s="3"/>
      <c r="OB224" s="3"/>
      <c r="OC224" s="3"/>
      <c r="OD224" s="3"/>
      <c r="OE224" s="3"/>
      <c r="OF224" s="3"/>
      <c r="OG224" s="3"/>
      <c r="OH224" s="3"/>
      <c r="OI224" s="3"/>
      <c r="OJ224" s="3"/>
      <c r="OK224" s="3"/>
      <c r="OL224" s="3"/>
      <c r="OM224" s="3"/>
      <c r="ON224" s="3"/>
      <c r="OO224" s="3"/>
      <c r="OP224" s="3"/>
      <c r="OQ224" s="3"/>
      <c r="OR224" s="3"/>
      <c r="OS224" s="3"/>
      <c r="OT224" s="3"/>
      <c r="OU224" s="3"/>
      <c r="OV224" s="3"/>
      <c r="OW224" s="3"/>
      <c r="OX224" s="3"/>
      <c r="OY224" s="3"/>
      <c r="OZ224" s="3"/>
      <c r="PA224" s="3"/>
      <c r="PB224" s="3"/>
      <c r="PC224" s="3"/>
      <c r="PD224" s="3"/>
      <c r="PE224" s="3"/>
      <c r="PF224" s="3"/>
      <c r="PG224" s="3"/>
      <c r="PH224" s="3"/>
      <c r="PI224" s="3"/>
      <c r="PJ224" s="3"/>
      <c r="PK224" s="3"/>
      <c r="PL224" s="3"/>
      <c r="PM224" s="3"/>
      <c r="PN224" s="3"/>
      <c r="PO224" s="3"/>
      <c r="PP224" s="3"/>
      <c r="PQ224" s="3"/>
      <c r="PR224" s="3"/>
      <c r="PS224" s="3"/>
      <c r="PT224" s="3"/>
      <c r="PU224" s="3"/>
      <c r="PV224" s="3"/>
      <c r="PW224" s="3"/>
      <c r="PX224" s="3"/>
      <c r="PY224" s="3"/>
      <c r="PZ224" s="3"/>
      <c r="QA224" s="3"/>
      <c r="QB224" s="3"/>
      <c r="QC224" s="3"/>
      <c r="QD224" s="3"/>
      <c r="QE224" s="3"/>
      <c r="QF224" s="3"/>
      <c r="QG224" s="3"/>
      <c r="QH224" s="3"/>
      <c r="QI224" s="3"/>
      <c r="QJ224" s="3"/>
      <c r="QK224" s="3"/>
      <c r="QL224" s="3"/>
      <c r="QM224" s="3"/>
      <c r="QN224" s="3"/>
      <c r="QO224" s="3"/>
      <c r="QP224" s="3"/>
      <c r="QQ224" s="3"/>
      <c r="QR224" s="3"/>
      <c r="QS224" s="3"/>
      <c r="QT224" s="3"/>
      <c r="QU224" s="3"/>
      <c r="QV224" s="3"/>
      <c r="QW224" s="3"/>
      <c r="QX224" s="3"/>
      <c r="QY224" s="3"/>
      <c r="QZ224" s="3"/>
      <c r="RA224" s="3"/>
      <c r="RB224" s="3"/>
      <c r="RC224" s="3"/>
      <c r="RD224" s="3"/>
      <c r="RE224" s="3"/>
      <c r="RF224" s="3"/>
      <c r="RG224" s="3"/>
      <c r="RH224" s="3"/>
      <c r="RI224" s="3"/>
      <c r="RJ224" s="3"/>
      <c r="RK224" s="3"/>
      <c r="RL224" s="3"/>
      <c r="RM224" s="3"/>
      <c r="RN224" s="3"/>
      <c r="RO224" s="3"/>
      <c r="RP224" s="3"/>
      <c r="RQ224" s="3"/>
      <c r="RR224" s="3"/>
      <c r="RS224" s="3"/>
      <c r="RT224" s="3"/>
      <c r="RU224" s="3"/>
      <c r="RV224" s="3"/>
      <c r="RW224" s="3"/>
      <c r="RX224" s="3"/>
      <c r="RY224" s="3"/>
      <c r="RZ224" s="3"/>
      <c r="SA224" s="3"/>
      <c r="SB224" s="3"/>
      <c r="SC224" s="3"/>
      <c r="SD224" s="3"/>
      <c r="SE224" s="3"/>
      <c r="SF224" s="3"/>
      <c r="SG224" s="3"/>
      <c r="SH224" s="3"/>
      <c r="SI224" s="3"/>
      <c r="SJ224" s="3"/>
      <c r="SK224" s="3"/>
      <c r="SL224" s="3"/>
      <c r="SM224" s="3"/>
      <c r="SN224" s="3"/>
      <c r="SO224" s="3"/>
      <c r="SP224" s="3"/>
      <c r="SQ224" s="3"/>
      <c r="SR224" s="3"/>
      <c r="SS224" s="3"/>
      <c r="ST224" s="3"/>
      <c r="SU224" s="3"/>
      <c r="SV224" s="3"/>
      <c r="SW224" s="3"/>
      <c r="SX224" s="3"/>
      <c r="SY224" s="3"/>
      <c r="SZ224" s="3"/>
      <c r="TA224" s="3"/>
      <c r="TB224" s="3"/>
      <c r="TC224" s="3"/>
      <c r="TD224" s="3"/>
      <c r="TE224" s="3"/>
      <c r="TF224" s="3"/>
      <c r="TG224" s="3"/>
      <c r="TH224" s="3"/>
      <c r="TI224" s="3"/>
      <c r="TJ224" s="3"/>
      <c r="TK224" s="3"/>
      <c r="TL224" s="3"/>
      <c r="TM224" s="3"/>
      <c r="TN224" s="3"/>
      <c r="TO224" s="3"/>
      <c r="TP224" s="3"/>
      <c r="TQ224" s="3"/>
      <c r="TR224" s="3"/>
      <c r="TS224" s="3"/>
      <c r="TT224" s="3"/>
      <c r="TU224" s="3"/>
      <c r="TV224" s="3"/>
      <c r="TW224" s="3"/>
      <c r="TX224" s="3"/>
      <c r="TY224" s="3"/>
      <c r="TZ224" s="3"/>
      <c r="UA224" s="3"/>
      <c r="UB224" s="3"/>
      <c r="UC224" s="3"/>
      <c r="UD224" s="3"/>
      <c r="UE224" s="3"/>
      <c r="UF224" s="3"/>
      <c r="UG224" s="3"/>
      <c r="UH224" s="3"/>
      <c r="UI224" s="3"/>
      <c r="UJ224" s="3"/>
      <c r="UK224" s="3"/>
      <c r="UL224" s="3"/>
      <c r="UM224" s="3"/>
      <c r="UN224" s="3"/>
      <c r="UO224" s="3"/>
      <c r="UP224" s="3"/>
      <c r="UQ224" s="3"/>
      <c r="UR224" s="3"/>
      <c r="US224" s="3"/>
      <c r="UT224" s="3"/>
      <c r="UU224" s="3"/>
      <c r="UV224" s="3"/>
      <c r="UW224" s="3"/>
      <c r="UX224" s="3"/>
      <c r="UY224" s="3"/>
      <c r="UZ224" s="3"/>
      <c r="VA224" s="3"/>
      <c r="VB224" s="3"/>
      <c r="VC224" s="3"/>
      <c r="VD224" s="3"/>
      <c r="VE224" s="3"/>
      <c r="VF224" s="3"/>
      <c r="VG224" s="3"/>
      <c r="VH224" s="3"/>
      <c r="VI224" s="3"/>
      <c r="VJ224" s="3"/>
      <c r="VK224" s="3"/>
      <c r="VL224" s="3"/>
      <c r="VM224" s="3"/>
      <c r="VN224" s="3"/>
      <c r="VO224" s="3"/>
      <c r="VP224" s="3"/>
      <c r="VQ224" s="3"/>
      <c r="VR224" s="3"/>
      <c r="VS224" s="3"/>
      <c r="VT224" s="3"/>
      <c r="VU224" s="3"/>
      <c r="VV224" s="3"/>
      <c r="VW224" s="3"/>
      <c r="VX224" s="3"/>
      <c r="VY224" s="3"/>
      <c r="VZ224" s="3"/>
      <c r="WA224" s="3"/>
      <c r="WB224" s="3"/>
      <c r="WC224" s="3"/>
      <c r="WD224" s="3"/>
      <c r="WE224" s="3"/>
      <c r="WF224" s="3"/>
      <c r="WG224" s="3"/>
      <c r="WH224" s="3"/>
      <c r="WI224" s="3"/>
      <c r="WJ224" s="3"/>
      <c r="WK224" s="3"/>
      <c r="WL224" s="3"/>
      <c r="WM224" s="3"/>
      <c r="WN224" s="3"/>
      <c r="WO224" s="3"/>
      <c r="WP224" s="3"/>
      <c r="WQ224" s="3"/>
      <c r="WR224" s="3"/>
      <c r="WS224" s="3"/>
      <c r="WT224" s="3"/>
      <c r="WU224" s="3"/>
      <c r="WV224" s="3"/>
      <c r="WW224" s="3"/>
      <c r="WX224" s="3"/>
      <c r="WY224" s="3"/>
      <c r="WZ224" s="3"/>
      <c r="XA224" s="3"/>
      <c r="XB224" s="3"/>
      <c r="XC224" s="3"/>
      <c r="XD224" s="3"/>
      <c r="XE224" s="3"/>
      <c r="XF224" s="3"/>
      <c r="XG224" s="3"/>
      <c r="XH224" s="3"/>
      <c r="XI224" s="3"/>
      <c r="XJ224" s="3"/>
      <c r="XK224" s="3"/>
      <c r="XL224" s="3"/>
      <c r="XM224" s="3"/>
      <c r="XN224" s="3"/>
      <c r="XO224" s="3"/>
      <c r="XP224" s="3"/>
      <c r="XQ224" s="3"/>
      <c r="XR224" s="3"/>
      <c r="XS224" s="3"/>
      <c r="XT224" s="3"/>
      <c r="XU224" s="3"/>
      <c r="XV224" s="3"/>
      <c r="XW224" s="3"/>
      <c r="XX224" s="3"/>
      <c r="XY224" s="3"/>
      <c r="XZ224" s="3"/>
      <c r="YA224" s="3"/>
      <c r="YB224" s="3"/>
      <c r="YC224" s="3"/>
      <c r="YD224" s="3"/>
      <c r="YE224" s="3"/>
      <c r="YF224" s="3"/>
      <c r="YG224" s="3"/>
      <c r="YH224" s="3"/>
      <c r="YI224" s="3"/>
      <c r="YJ224" s="3"/>
      <c r="YK224" s="3"/>
      <c r="YL224" s="3"/>
      <c r="YM224" s="3"/>
      <c r="YN224" s="3"/>
      <c r="YO224" s="3"/>
      <c r="YP224" s="3"/>
      <c r="YQ224" s="3"/>
      <c r="YR224" s="3"/>
      <c r="YS224" s="3"/>
      <c r="YT224" s="3"/>
      <c r="YU224" s="3"/>
      <c r="YV224" s="3"/>
      <c r="YW224" s="3"/>
      <c r="YX224" s="3"/>
      <c r="YY224" s="3"/>
      <c r="YZ224" s="3"/>
      <c r="ZA224" s="3"/>
      <c r="ZB224" s="3"/>
      <c r="ZC224" s="3"/>
    </row>
    <row r="225" spans="1:679" s="2" customFormat="1" x14ac:dyDescent="0.45">
      <c r="A225" s="3" t="s">
        <v>11</v>
      </c>
      <c r="B225" s="4">
        <v>36936</v>
      </c>
      <c r="C225" s="7" t="s">
        <v>21</v>
      </c>
      <c r="D225" s="6" t="s">
        <v>242</v>
      </c>
      <c r="E225" s="3"/>
      <c r="F225" s="3">
        <v>101</v>
      </c>
      <c r="L225" s="3"/>
      <c r="M225" s="3"/>
      <c r="N225" s="48"/>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c r="DE225" s="3"/>
      <c r="DF225" s="3"/>
      <c r="DG225" s="3"/>
      <c r="DH225" s="3"/>
      <c r="DI225" s="3"/>
      <c r="DJ225" s="3"/>
      <c r="DK225" s="3"/>
      <c r="DL225" s="3"/>
      <c r="DM225" s="3"/>
      <c r="DN225" s="3"/>
      <c r="DO225" s="3"/>
      <c r="DP225" s="3"/>
      <c r="DQ225" s="3"/>
      <c r="DR225" s="3"/>
      <c r="DS225" s="3"/>
      <c r="DT225" s="3"/>
      <c r="DU225" s="3"/>
      <c r="DV225" s="3"/>
      <c r="DW225" s="3"/>
      <c r="DX225" s="3"/>
      <c r="DY225" s="3"/>
      <c r="DZ225" s="3"/>
      <c r="EA225" s="3"/>
      <c r="EB225" s="3"/>
      <c r="EC225" s="3"/>
      <c r="ED225" s="3"/>
      <c r="EE225" s="3"/>
      <c r="EF225" s="3"/>
      <c r="EG225" s="3"/>
      <c r="EH225" s="3"/>
      <c r="EI225" s="3"/>
      <c r="EJ225" s="3"/>
      <c r="EK225" s="3"/>
      <c r="EL225" s="3"/>
      <c r="EM225" s="3"/>
      <c r="EN225" s="3"/>
      <c r="EO225" s="3"/>
      <c r="EP225" s="3"/>
      <c r="EQ225" s="3"/>
      <c r="ER225" s="3"/>
      <c r="ES225" s="3"/>
      <c r="ET225" s="3"/>
      <c r="EU225" s="3"/>
      <c r="EV225" s="3"/>
      <c r="EW225" s="3"/>
      <c r="EX225" s="3"/>
      <c r="EY225" s="3"/>
      <c r="EZ225" s="3"/>
      <c r="FA225" s="3"/>
      <c r="FB225" s="3"/>
      <c r="FC225" s="3"/>
      <c r="FD225" s="3"/>
      <c r="FE225" s="3"/>
      <c r="FF225" s="3"/>
      <c r="FG225" s="3"/>
      <c r="FH225" s="3"/>
      <c r="FI225" s="3"/>
      <c r="FJ225" s="3"/>
      <c r="FK225" s="3"/>
      <c r="FL225" s="3"/>
      <c r="FM225" s="3"/>
      <c r="FN225" s="3"/>
      <c r="FO225" s="3"/>
      <c r="FP225" s="3"/>
      <c r="FQ225" s="3"/>
      <c r="FR225" s="3"/>
      <c r="FS225" s="3"/>
      <c r="FT225" s="3"/>
      <c r="FU225" s="3"/>
      <c r="FV225" s="3"/>
      <c r="FW225" s="3"/>
      <c r="FX225" s="3"/>
      <c r="FY225" s="3"/>
      <c r="FZ225" s="3"/>
      <c r="GA225" s="3"/>
      <c r="GB225" s="3"/>
      <c r="GC225" s="3"/>
      <c r="GD225" s="3"/>
      <c r="GE225" s="3"/>
      <c r="GF225" s="3"/>
      <c r="GG225" s="3"/>
      <c r="GH225" s="3"/>
      <c r="GI225" s="3"/>
      <c r="GJ225" s="3"/>
      <c r="GK225" s="3"/>
      <c r="GL225" s="3"/>
      <c r="GM225" s="3"/>
      <c r="GN225" s="3"/>
      <c r="GO225" s="3"/>
      <c r="GP225" s="3"/>
      <c r="GQ225" s="3"/>
      <c r="GR225" s="3"/>
      <c r="GS225" s="3"/>
      <c r="GT225" s="3"/>
      <c r="GU225" s="3"/>
      <c r="GV225" s="3"/>
      <c r="GW225" s="3"/>
      <c r="GX225" s="3"/>
      <c r="GY225" s="3"/>
      <c r="GZ225" s="3"/>
      <c r="HA225" s="3"/>
      <c r="HB225" s="3"/>
      <c r="HC225" s="3"/>
      <c r="HD225" s="3"/>
      <c r="HE225" s="3"/>
      <c r="HF225" s="3"/>
      <c r="HG225" s="3"/>
      <c r="HH225" s="3"/>
      <c r="HI225" s="3"/>
      <c r="HJ225" s="3"/>
      <c r="HK225" s="3"/>
      <c r="HL225" s="3"/>
      <c r="HM225" s="3"/>
      <c r="HN225" s="3"/>
      <c r="HO225" s="3"/>
      <c r="HP225" s="3"/>
      <c r="HQ225" s="3"/>
      <c r="HR225" s="3"/>
      <c r="HS225" s="3"/>
      <c r="HT225" s="3"/>
      <c r="HU225" s="3"/>
      <c r="HV225" s="3"/>
      <c r="HW225" s="3"/>
      <c r="HX225" s="3"/>
      <c r="HY225" s="3"/>
      <c r="HZ225" s="3"/>
      <c r="IA225" s="3"/>
      <c r="IB225" s="3"/>
      <c r="IC225" s="3"/>
      <c r="ID225" s="3"/>
      <c r="IE225" s="3"/>
      <c r="IF225" s="3"/>
      <c r="IG225" s="3"/>
      <c r="IH225" s="3"/>
      <c r="II225" s="3"/>
      <c r="IJ225" s="3"/>
      <c r="IK225" s="3"/>
      <c r="IL225" s="3"/>
      <c r="IM225" s="3"/>
      <c r="IN225" s="3"/>
      <c r="IO225" s="3"/>
      <c r="IP225" s="3"/>
      <c r="IQ225" s="3"/>
      <c r="IR225" s="3"/>
      <c r="IS225" s="3"/>
      <c r="IT225" s="3"/>
      <c r="IU225" s="3"/>
      <c r="IV225" s="3"/>
      <c r="IW225" s="3"/>
      <c r="IX225" s="3"/>
      <c r="IY225" s="3"/>
      <c r="IZ225" s="3"/>
      <c r="JA225" s="3"/>
      <c r="JB225" s="3"/>
      <c r="JC225" s="3"/>
      <c r="JD225" s="3"/>
      <c r="JE225" s="3"/>
      <c r="JF225" s="3"/>
      <c r="JG225" s="3"/>
      <c r="JH225" s="3"/>
      <c r="JI225" s="3"/>
      <c r="JJ225" s="3"/>
      <c r="JK225" s="3"/>
      <c r="JL225" s="3"/>
      <c r="JM225" s="3"/>
      <c r="JN225" s="3"/>
      <c r="JO225" s="3"/>
      <c r="JP225" s="3"/>
      <c r="JQ225" s="3"/>
      <c r="JR225" s="3"/>
      <c r="JS225" s="3"/>
      <c r="JT225" s="3"/>
      <c r="JU225" s="3"/>
      <c r="JV225" s="3"/>
      <c r="JW225" s="3"/>
      <c r="JX225" s="3"/>
      <c r="JY225" s="3"/>
      <c r="JZ225" s="3"/>
      <c r="KA225" s="3"/>
      <c r="KB225" s="3"/>
      <c r="KC225" s="3"/>
      <c r="KD225" s="3"/>
      <c r="KE225" s="3"/>
      <c r="KF225" s="3"/>
      <c r="KG225" s="3"/>
      <c r="KH225" s="3"/>
      <c r="KI225" s="3"/>
      <c r="KJ225" s="3"/>
      <c r="KK225" s="3"/>
      <c r="KL225" s="3"/>
      <c r="KM225" s="3"/>
      <c r="KN225" s="3"/>
      <c r="KO225" s="3"/>
      <c r="KP225" s="3"/>
      <c r="KQ225" s="3"/>
      <c r="KR225" s="3"/>
      <c r="KS225" s="3"/>
      <c r="KT225" s="3"/>
      <c r="KU225" s="3"/>
      <c r="KV225" s="3"/>
      <c r="KW225" s="3"/>
      <c r="KX225" s="3"/>
      <c r="KY225" s="3"/>
      <c r="KZ225" s="3"/>
      <c r="LA225" s="3"/>
      <c r="LB225" s="3"/>
      <c r="LC225" s="3"/>
      <c r="LD225" s="3"/>
      <c r="LE225" s="3"/>
      <c r="LF225" s="3"/>
      <c r="LG225" s="3"/>
      <c r="LH225" s="3"/>
      <c r="LI225" s="3"/>
      <c r="LJ225" s="3"/>
      <c r="LK225" s="3"/>
      <c r="LL225" s="3"/>
      <c r="LM225" s="3"/>
      <c r="LN225" s="3"/>
      <c r="LO225" s="3"/>
      <c r="LP225" s="3"/>
      <c r="LQ225" s="3"/>
      <c r="LR225" s="3"/>
      <c r="LS225" s="3"/>
      <c r="LT225" s="3"/>
      <c r="LU225" s="3"/>
      <c r="LV225" s="3"/>
      <c r="LW225" s="3"/>
      <c r="LX225" s="3"/>
      <c r="LY225" s="3"/>
      <c r="LZ225" s="3"/>
      <c r="MA225" s="3"/>
      <c r="MB225" s="3"/>
      <c r="MC225" s="3"/>
      <c r="MD225" s="3"/>
      <c r="ME225" s="3"/>
      <c r="MF225" s="3"/>
      <c r="MG225" s="3"/>
      <c r="MH225" s="3"/>
      <c r="MI225" s="3"/>
      <c r="MJ225" s="3"/>
      <c r="MK225" s="3"/>
      <c r="ML225" s="3"/>
      <c r="MM225" s="3"/>
      <c r="MN225" s="3"/>
      <c r="MO225" s="3"/>
      <c r="MP225" s="3"/>
      <c r="MQ225" s="3"/>
      <c r="MR225" s="3"/>
      <c r="MS225" s="3"/>
      <c r="MT225" s="3"/>
      <c r="MU225" s="3"/>
      <c r="MV225" s="3"/>
      <c r="MW225" s="3"/>
      <c r="MX225" s="3"/>
      <c r="MY225" s="3"/>
      <c r="MZ225" s="3"/>
      <c r="NA225" s="3"/>
      <c r="NB225" s="3"/>
      <c r="NC225" s="3"/>
      <c r="ND225" s="3"/>
      <c r="NE225" s="3"/>
      <c r="NF225" s="3"/>
      <c r="NG225" s="3"/>
      <c r="NH225" s="3"/>
      <c r="NI225" s="3"/>
      <c r="NJ225" s="3"/>
      <c r="NK225" s="3"/>
      <c r="NL225" s="3"/>
      <c r="NM225" s="3"/>
      <c r="NN225" s="3"/>
      <c r="NO225" s="3"/>
      <c r="NP225" s="3"/>
      <c r="NQ225" s="3"/>
      <c r="NR225" s="3"/>
      <c r="NS225" s="3"/>
      <c r="NT225" s="3"/>
      <c r="NU225" s="3"/>
      <c r="NV225" s="3"/>
      <c r="NW225" s="3"/>
      <c r="NX225" s="3"/>
      <c r="NY225" s="3"/>
      <c r="NZ225" s="3"/>
      <c r="OA225" s="3"/>
      <c r="OB225" s="3"/>
      <c r="OC225" s="3"/>
      <c r="OD225" s="3"/>
      <c r="OE225" s="3"/>
      <c r="OF225" s="3"/>
      <c r="OG225" s="3"/>
      <c r="OH225" s="3"/>
      <c r="OI225" s="3"/>
      <c r="OJ225" s="3"/>
      <c r="OK225" s="3"/>
      <c r="OL225" s="3"/>
      <c r="OM225" s="3"/>
      <c r="ON225" s="3"/>
      <c r="OO225" s="3"/>
      <c r="OP225" s="3"/>
      <c r="OQ225" s="3"/>
      <c r="OR225" s="3"/>
      <c r="OS225" s="3"/>
      <c r="OT225" s="3"/>
      <c r="OU225" s="3"/>
      <c r="OV225" s="3"/>
      <c r="OW225" s="3"/>
      <c r="OX225" s="3"/>
      <c r="OY225" s="3"/>
      <c r="OZ225" s="3"/>
      <c r="PA225" s="3"/>
      <c r="PB225" s="3"/>
      <c r="PC225" s="3"/>
      <c r="PD225" s="3"/>
      <c r="PE225" s="3"/>
      <c r="PF225" s="3"/>
      <c r="PG225" s="3"/>
      <c r="PH225" s="3"/>
      <c r="PI225" s="3"/>
      <c r="PJ225" s="3"/>
      <c r="PK225" s="3"/>
      <c r="PL225" s="3"/>
      <c r="PM225" s="3"/>
      <c r="PN225" s="3"/>
      <c r="PO225" s="3"/>
      <c r="PP225" s="3"/>
      <c r="PQ225" s="3"/>
      <c r="PR225" s="3"/>
      <c r="PS225" s="3"/>
      <c r="PT225" s="3"/>
      <c r="PU225" s="3"/>
      <c r="PV225" s="3"/>
      <c r="PW225" s="3"/>
      <c r="PX225" s="3"/>
      <c r="PY225" s="3"/>
      <c r="PZ225" s="3"/>
      <c r="QA225" s="3"/>
      <c r="QB225" s="3"/>
      <c r="QC225" s="3"/>
      <c r="QD225" s="3"/>
      <c r="QE225" s="3"/>
      <c r="QF225" s="3"/>
      <c r="QG225" s="3"/>
      <c r="QH225" s="3"/>
      <c r="QI225" s="3"/>
      <c r="QJ225" s="3"/>
      <c r="QK225" s="3"/>
      <c r="QL225" s="3"/>
      <c r="QM225" s="3"/>
      <c r="QN225" s="3"/>
      <c r="QO225" s="3"/>
      <c r="QP225" s="3"/>
      <c r="QQ225" s="3"/>
      <c r="QR225" s="3"/>
      <c r="QS225" s="3"/>
      <c r="QT225" s="3"/>
      <c r="QU225" s="3"/>
      <c r="QV225" s="3"/>
      <c r="QW225" s="3"/>
      <c r="QX225" s="3"/>
      <c r="QY225" s="3"/>
      <c r="QZ225" s="3"/>
      <c r="RA225" s="3"/>
      <c r="RB225" s="3"/>
      <c r="RC225" s="3"/>
      <c r="RD225" s="3"/>
      <c r="RE225" s="3"/>
      <c r="RF225" s="3"/>
      <c r="RG225" s="3"/>
      <c r="RH225" s="3"/>
      <c r="RI225" s="3"/>
      <c r="RJ225" s="3"/>
      <c r="RK225" s="3"/>
      <c r="RL225" s="3"/>
      <c r="RM225" s="3"/>
      <c r="RN225" s="3"/>
      <c r="RO225" s="3"/>
      <c r="RP225" s="3"/>
      <c r="RQ225" s="3"/>
      <c r="RR225" s="3"/>
      <c r="RS225" s="3"/>
      <c r="RT225" s="3"/>
      <c r="RU225" s="3"/>
      <c r="RV225" s="3"/>
      <c r="RW225" s="3"/>
      <c r="RX225" s="3"/>
      <c r="RY225" s="3"/>
      <c r="RZ225" s="3"/>
      <c r="SA225" s="3"/>
      <c r="SB225" s="3"/>
      <c r="SC225" s="3"/>
      <c r="SD225" s="3"/>
      <c r="SE225" s="3"/>
      <c r="SF225" s="3"/>
      <c r="SG225" s="3"/>
      <c r="SH225" s="3"/>
      <c r="SI225" s="3"/>
      <c r="SJ225" s="3"/>
      <c r="SK225" s="3"/>
      <c r="SL225" s="3"/>
      <c r="SM225" s="3"/>
      <c r="SN225" s="3"/>
      <c r="SO225" s="3"/>
      <c r="SP225" s="3"/>
      <c r="SQ225" s="3"/>
      <c r="SR225" s="3"/>
      <c r="SS225" s="3"/>
      <c r="ST225" s="3"/>
      <c r="SU225" s="3"/>
      <c r="SV225" s="3"/>
      <c r="SW225" s="3"/>
      <c r="SX225" s="3"/>
      <c r="SY225" s="3"/>
      <c r="SZ225" s="3"/>
      <c r="TA225" s="3"/>
      <c r="TB225" s="3"/>
      <c r="TC225" s="3"/>
      <c r="TD225" s="3"/>
      <c r="TE225" s="3"/>
      <c r="TF225" s="3"/>
      <c r="TG225" s="3"/>
      <c r="TH225" s="3"/>
      <c r="TI225" s="3"/>
      <c r="TJ225" s="3"/>
      <c r="TK225" s="3"/>
      <c r="TL225" s="3"/>
      <c r="TM225" s="3"/>
      <c r="TN225" s="3"/>
      <c r="TO225" s="3"/>
      <c r="TP225" s="3"/>
      <c r="TQ225" s="3"/>
      <c r="TR225" s="3"/>
      <c r="TS225" s="3"/>
      <c r="TT225" s="3"/>
      <c r="TU225" s="3"/>
      <c r="TV225" s="3"/>
      <c r="TW225" s="3"/>
      <c r="TX225" s="3"/>
      <c r="TY225" s="3"/>
      <c r="TZ225" s="3"/>
      <c r="UA225" s="3"/>
      <c r="UB225" s="3"/>
      <c r="UC225" s="3"/>
      <c r="UD225" s="3"/>
      <c r="UE225" s="3"/>
      <c r="UF225" s="3"/>
      <c r="UG225" s="3"/>
      <c r="UH225" s="3"/>
      <c r="UI225" s="3"/>
      <c r="UJ225" s="3"/>
      <c r="UK225" s="3"/>
      <c r="UL225" s="3"/>
      <c r="UM225" s="3"/>
      <c r="UN225" s="3"/>
      <c r="UO225" s="3"/>
      <c r="UP225" s="3"/>
      <c r="UQ225" s="3"/>
      <c r="UR225" s="3"/>
      <c r="US225" s="3"/>
      <c r="UT225" s="3"/>
      <c r="UU225" s="3"/>
      <c r="UV225" s="3"/>
      <c r="UW225" s="3"/>
      <c r="UX225" s="3"/>
      <c r="UY225" s="3"/>
      <c r="UZ225" s="3"/>
      <c r="VA225" s="3"/>
      <c r="VB225" s="3"/>
      <c r="VC225" s="3"/>
      <c r="VD225" s="3"/>
      <c r="VE225" s="3"/>
      <c r="VF225" s="3"/>
      <c r="VG225" s="3"/>
      <c r="VH225" s="3"/>
      <c r="VI225" s="3"/>
      <c r="VJ225" s="3"/>
      <c r="VK225" s="3"/>
      <c r="VL225" s="3"/>
      <c r="VM225" s="3"/>
      <c r="VN225" s="3"/>
      <c r="VO225" s="3"/>
      <c r="VP225" s="3"/>
      <c r="VQ225" s="3"/>
      <c r="VR225" s="3"/>
      <c r="VS225" s="3"/>
      <c r="VT225" s="3"/>
      <c r="VU225" s="3"/>
      <c r="VV225" s="3"/>
      <c r="VW225" s="3"/>
      <c r="VX225" s="3"/>
      <c r="VY225" s="3"/>
      <c r="VZ225" s="3"/>
      <c r="WA225" s="3"/>
      <c r="WB225" s="3"/>
      <c r="WC225" s="3"/>
      <c r="WD225" s="3"/>
      <c r="WE225" s="3"/>
      <c r="WF225" s="3"/>
      <c r="WG225" s="3"/>
      <c r="WH225" s="3"/>
      <c r="WI225" s="3"/>
      <c r="WJ225" s="3"/>
      <c r="WK225" s="3"/>
      <c r="WL225" s="3"/>
      <c r="WM225" s="3"/>
      <c r="WN225" s="3"/>
      <c r="WO225" s="3"/>
      <c r="WP225" s="3"/>
      <c r="WQ225" s="3"/>
      <c r="WR225" s="3"/>
      <c r="WS225" s="3"/>
      <c r="WT225" s="3"/>
      <c r="WU225" s="3"/>
      <c r="WV225" s="3"/>
      <c r="WW225" s="3"/>
      <c r="WX225" s="3"/>
      <c r="WY225" s="3"/>
      <c r="WZ225" s="3"/>
      <c r="XA225" s="3"/>
      <c r="XB225" s="3"/>
      <c r="XC225" s="3"/>
      <c r="XD225" s="3"/>
      <c r="XE225" s="3"/>
      <c r="XF225" s="3"/>
      <c r="XG225" s="3"/>
      <c r="XH225" s="3"/>
      <c r="XI225" s="3"/>
      <c r="XJ225" s="3"/>
      <c r="XK225" s="3"/>
      <c r="XL225" s="3"/>
      <c r="XM225" s="3"/>
      <c r="XN225" s="3"/>
      <c r="XO225" s="3"/>
      <c r="XP225" s="3"/>
      <c r="XQ225" s="3"/>
      <c r="XR225" s="3"/>
      <c r="XS225" s="3"/>
      <c r="XT225" s="3"/>
      <c r="XU225" s="3"/>
      <c r="XV225" s="3"/>
      <c r="XW225" s="3"/>
      <c r="XX225" s="3"/>
      <c r="XY225" s="3"/>
      <c r="XZ225" s="3"/>
      <c r="YA225" s="3"/>
      <c r="YB225" s="3"/>
      <c r="YC225" s="3"/>
      <c r="YD225" s="3"/>
      <c r="YE225" s="3"/>
      <c r="YF225" s="3"/>
      <c r="YG225" s="3"/>
      <c r="YH225" s="3"/>
      <c r="YI225" s="3"/>
      <c r="YJ225" s="3"/>
      <c r="YK225" s="3"/>
      <c r="YL225" s="3"/>
      <c r="YM225" s="3"/>
      <c r="YN225" s="3"/>
      <c r="YO225" s="3"/>
      <c r="YP225" s="3"/>
      <c r="YQ225" s="3"/>
      <c r="YR225" s="3"/>
      <c r="YS225" s="3"/>
      <c r="YT225" s="3"/>
      <c r="YU225" s="3"/>
      <c r="YV225" s="3"/>
      <c r="YW225" s="3"/>
      <c r="YX225" s="3"/>
      <c r="YY225" s="3"/>
      <c r="YZ225" s="3"/>
      <c r="ZA225" s="3"/>
      <c r="ZB225" s="3"/>
      <c r="ZC225" s="3"/>
    </row>
    <row r="226" spans="1:679" s="2" customFormat="1" x14ac:dyDescent="0.45">
      <c r="A226" s="3" t="s">
        <v>11</v>
      </c>
      <c r="B226" s="4">
        <v>36943</v>
      </c>
      <c r="C226" s="7" t="s">
        <v>25</v>
      </c>
      <c r="D226" s="6" t="s">
        <v>243</v>
      </c>
      <c r="E226" s="3"/>
      <c r="F226" s="3">
        <v>6</v>
      </c>
      <c r="L226" s="3"/>
      <c r="M226" s="3"/>
      <c r="N226" s="48"/>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3"/>
      <c r="CW226" s="3"/>
      <c r="CX226" s="3"/>
      <c r="CY226" s="3"/>
      <c r="CZ226" s="3"/>
      <c r="DA226" s="3"/>
      <c r="DB226" s="3"/>
      <c r="DC226" s="3"/>
      <c r="DD226" s="3"/>
      <c r="DE226" s="3"/>
      <c r="DF226" s="3"/>
      <c r="DG226" s="3"/>
      <c r="DH226" s="3"/>
      <c r="DI226" s="3"/>
      <c r="DJ226" s="3"/>
      <c r="DK226" s="3"/>
      <c r="DL226" s="3"/>
      <c r="DM226" s="3"/>
      <c r="DN226" s="3"/>
      <c r="DO226" s="3"/>
      <c r="DP226" s="3"/>
      <c r="DQ226" s="3"/>
      <c r="DR226" s="3"/>
      <c r="DS226" s="3"/>
      <c r="DT226" s="3"/>
      <c r="DU226" s="3"/>
      <c r="DV226" s="3"/>
      <c r="DW226" s="3"/>
      <c r="DX226" s="3"/>
      <c r="DY226" s="3"/>
      <c r="DZ226" s="3"/>
      <c r="EA226" s="3"/>
      <c r="EB226" s="3"/>
      <c r="EC226" s="3"/>
      <c r="ED226" s="3"/>
      <c r="EE226" s="3"/>
      <c r="EF226" s="3"/>
      <c r="EG226" s="3"/>
      <c r="EH226" s="3"/>
      <c r="EI226" s="3"/>
      <c r="EJ226" s="3"/>
      <c r="EK226" s="3"/>
      <c r="EL226" s="3"/>
      <c r="EM226" s="3"/>
      <c r="EN226" s="3"/>
      <c r="EO226" s="3"/>
      <c r="EP226" s="3"/>
      <c r="EQ226" s="3"/>
      <c r="ER226" s="3"/>
      <c r="ES226" s="3"/>
      <c r="ET226" s="3"/>
      <c r="EU226" s="3"/>
      <c r="EV226" s="3"/>
      <c r="EW226" s="3"/>
      <c r="EX226" s="3"/>
      <c r="EY226" s="3"/>
      <c r="EZ226" s="3"/>
      <c r="FA226" s="3"/>
      <c r="FB226" s="3"/>
      <c r="FC226" s="3"/>
      <c r="FD226" s="3"/>
      <c r="FE226" s="3"/>
      <c r="FF226" s="3"/>
      <c r="FG226" s="3"/>
      <c r="FH226" s="3"/>
      <c r="FI226" s="3"/>
      <c r="FJ226" s="3"/>
      <c r="FK226" s="3"/>
      <c r="FL226" s="3"/>
      <c r="FM226" s="3"/>
      <c r="FN226" s="3"/>
      <c r="FO226" s="3"/>
      <c r="FP226" s="3"/>
      <c r="FQ226" s="3"/>
      <c r="FR226" s="3"/>
      <c r="FS226" s="3"/>
      <c r="FT226" s="3"/>
      <c r="FU226" s="3"/>
      <c r="FV226" s="3"/>
      <c r="FW226" s="3"/>
      <c r="FX226" s="3"/>
      <c r="FY226" s="3"/>
      <c r="FZ226" s="3"/>
      <c r="GA226" s="3"/>
      <c r="GB226" s="3"/>
      <c r="GC226" s="3"/>
      <c r="GD226" s="3"/>
      <c r="GE226" s="3"/>
      <c r="GF226" s="3"/>
      <c r="GG226" s="3"/>
      <c r="GH226" s="3"/>
      <c r="GI226" s="3"/>
      <c r="GJ226" s="3"/>
      <c r="GK226" s="3"/>
      <c r="GL226" s="3"/>
      <c r="GM226" s="3"/>
      <c r="GN226" s="3"/>
      <c r="GO226" s="3"/>
      <c r="GP226" s="3"/>
      <c r="GQ226" s="3"/>
      <c r="GR226" s="3"/>
      <c r="GS226" s="3"/>
      <c r="GT226" s="3"/>
      <c r="GU226" s="3"/>
      <c r="GV226" s="3"/>
      <c r="GW226" s="3"/>
      <c r="GX226" s="3"/>
      <c r="GY226" s="3"/>
      <c r="GZ226" s="3"/>
      <c r="HA226" s="3"/>
      <c r="HB226" s="3"/>
      <c r="HC226" s="3"/>
      <c r="HD226" s="3"/>
      <c r="HE226" s="3"/>
      <c r="HF226" s="3"/>
      <c r="HG226" s="3"/>
      <c r="HH226" s="3"/>
      <c r="HI226" s="3"/>
      <c r="HJ226" s="3"/>
      <c r="HK226" s="3"/>
      <c r="HL226" s="3"/>
      <c r="HM226" s="3"/>
      <c r="HN226" s="3"/>
      <c r="HO226" s="3"/>
      <c r="HP226" s="3"/>
      <c r="HQ226" s="3"/>
      <c r="HR226" s="3"/>
      <c r="HS226" s="3"/>
      <c r="HT226" s="3"/>
      <c r="HU226" s="3"/>
      <c r="HV226" s="3"/>
      <c r="HW226" s="3"/>
      <c r="HX226" s="3"/>
      <c r="HY226" s="3"/>
      <c r="HZ226" s="3"/>
      <c r="IA226" s="3"/>
      <c r="IB226" s="3"/>
      <c r="IC226" s="3"/>
      <c r="ID226" s="3"/>
      <c r="IE226" s="3"/>
      <c r="IF226" s="3"/>
      <c r="IG226" s="3"/>
      <c r="IH226" s="3"/>
      <c r="II226" s="3"/>
      <c r="IJ226" s="3"/>
      <c r="IK226" s="3"/>
      <c r="IL226" s="3"/>
      <c r="IM226" s="3"/>
      <c r="IN226" s="3"/>
      <c r="IO226" s="3"/>
      <c r="IP226" s="3"/>
      <c r="IQ226" s="3"/>
      <c r="IR226" s="3"/>
      <c r="IS226" s="3"/>
      <c r="IT226" s="3"/>
      <c r="IU226" s="3"/>
      <c r="IV226" s="3"/>
      <c r="IW226" s="3"/>
      <c r="IX226" s="3"/>
      <c r="IY226" s="3"/>
      <c r="IZ226" s="3"/>
      <c r="JA226" s="3"/>
      <c r="JB226" s="3"/>
      <c r="JC226" s="3"/>
      <c r="JD226" s="3"/>
      <c r="JE226" s="3"/>
      <c r="JF226" s="3"/>
      <c r="JG226" s="3"/>
      <c r="JH226" s="3"/>
      <c r="JI226" s="3"/>
      <c r="JJ226" s="3"/>
      <c r="JK226" s="3"/>
      <c r="JL226" s="3"/>
      <c r="JM226" s="3"/>
      <c r="JN226" s="3"/>
      <c r="JO226" s="3"/>
      <c r="JP226" s="3"/>
      <c r="JQ226" s="3"/>
      <c r="JR226" s="3"/>
      <c r="JS226" s="3"/>
      <c r="JT226" s="3"/>
      <c r="JU226" s="3"/>
      <c r="JV226" s="3"/>
      <c r="JW226" s="3"/>
      <c r="JX226" s="3"/>
      <c r="JY226" s="3"/>
      <c r="JZ226" s="3"/>
      <c r="KA226" s="3"/>
      <c r="KB226" s="3"/>
      <c r="KC226" s="3"/>
      <c r="KD226" s="3"/>
      <c r="KE226" s="3"/>
      <c r="KF226" s="3"/>
      <c r="KG226" s="3"/>
      <c r="KH226" s="3"/>
      <c r="KI226" s="3"/>
      <c r="KJ226" s="3"/>
      <c r="KK226" s="3"/>
      <c r="KL226" s="3"/>
      <c r="KM226" s="3"/>
      <c r="KN226" s="3"/>
      <c r="KO226" s="3"/>
      <c r="KP226" s="3"/>
      <c r="KQ226" s="3"/>
      <c r="KR226" s="3"/>
      <c r="KS226" s="3"/>
      <c r="KT226" s="3"/>
      <c r="KU226" s="3"/>
      <c r="KV226" s="3"/>
      <c r="KW226" s="3"/>
      <c r="KX226" s="3"/>
      <c r="KY226" s="3"/>
      <c r="KZ226" s="3"/>
      <c r="LA226" s="3"/>
      <c r="LB226" s="3"/>
      <c r="LC226" s="3"/>
      <c r="LD226" s="3"/>
      <c r="LE226" s="3"/>
      <c r="LF226" s="3"/>
      <c r="LG226" s="3"/>
      <c r="LH226" s="3"/>
      <c r="LI226" s="3"/>
      <c r="LJ226" s="3"/>
      <c r="LK226" s="3"/>
      <c r="LL226" s="3"/>
      <c r="LM226" s="3"/>
      <c r="LN226" s="3"/>
      <c r="LO226" s="3"/>
      <c r="LP226" s="3"/>
      <c r="LQ226" s="3"/>
      <c r="LR226" s="3"/>
      <c r="LS226" s="3"/>
      <c r="LT226" s="3"/>
      <c r="LU226" s="3"/>
      <c r="LV226" s="3"/>
      <c r="LW226" s="3"/>
      <c r="LX226" s="3"/>
      <c r="LY226" s="3"/>
      <c r="LZ226" s="3"/>
      <c r="MA226" s="3"/>
      <c r="MB226" s="3"/>
      <c r="MC226" s="3"/>
      <c r="MD226" s="3"/>
      <c r="ME226" s="3"/>
      <c r="MF226" s="3"/>
      <c r="MG226" s="3"/>
      <c r="MH226" s="3"/>
      <c r="MI226" s="3"/>
      <c r="MJ226" s="3"/>
      <c r="MK226" s="3"/>
      <c r="ML226" s="3"/>
      <c r="MM226" s="3"/>
      <c r="MN226" s="3"/>
      <c r="MO226" s="3"/>
      <c r="MP226" s="3"/>
      <c r="MQ226" s="3"/>
      <c r="MR226" s="3"/>
      <c r="MS226" s="3"/>
      <c r="MT226" s="3"/>
      <c r="MU226" s="3"/>
      <c r="MV226" s="3"/>
      <c r="MW226" s="3"/>
      <c r="MX226" s="3"/>
      <c r="MY226" s="3"/>
      <c r="MZ226" s="3"/>
      <c r="NA226" s="3"/>
      <c r="NB226" s="3"/>
      <c r="NC226" s="3"/>
      <c r="ND226" s="3"/>
      <c r="NE226" s="3"/>
      <c r="NF226" s="3"/>
      <c r="NG226" s="3"/>
      <c r="NH226" s="3"/>
      <c r="NI226" s="3"/>
      <c r="NJ226" s="3"/>
      <c r="NK226" s="3"/>
      <c r="NL226" s="3"/>
      <c r="NM226" s="3"/>
      <c r="NN226" s="3"/>
      <c r="NO226" s="3"/>
      <c r="NP226" s="3"/>
      <c r="NQ226" s="3"/>
      <c r="NR226" s="3"/>
      <c r="NS226" s="3"/>
      <c r="NT226" s="3"/>
      <c r="NU226" s="3"/>
      <c r="NV226" s="3"/>
      <c r="NW226" s="3"/>
      <c r="NX226" s="3"/>
      <c r="NY226" s="3"/>
      <c r="NZ226" s="3"/>
      <c r="OA226" s="3"/>
      <c r="OB226" s="3"/>
      <c r="OC226" s="3"/>
      <c r="OD226" s="3"/>
      <c r="OE226" s="3"/>
      <c r="OF226" s="3"/>
      <c r="OG226" s="3"/>
      <c r="OH226" s="3"/>
      <c r="OI226" s="3"/>
      <c r="OJ226" s="3"/>
      <c r="OK226" s="3"/>
      <c r="OL226" s="3"/>
      <c r="OM226" s="3"/>
      <c r="ON226" s="3"/>
      <c r="OO226" s="3"/>
      <c r="OP226" s="3"/>
      <c r="OQ226" s="3"/>
      <c r="OR226" s="3"/>
      <c r="OS226" s="3"/>
      <c r="OT226" s="3"/>
      <c r="OU226" s="3"/>
      <c r="OV226" s="3"/>
      <c r="OW226" s="3"/>
      <c r="OX226" s="3"/>
      <c r="OY226" s="3"/>
      <c r="OZ226" s="3"/>
      <c r="PA226" s="3"/>
      <c r="PB226" s="3"/>
      <c r="PC226" s="3"/>
      <c r="PD226" s="3"/>
      <c r="PE226" s="3"/>
      <c r="PF226" s="3"/>
      <c r="PG226" s="3"/>
      <c r="PH226" s="3"/>
      <c r="PI226" s="3"/>
      <c r="PJ226" s="3"/>
      <c r="PK226" s="3"/>
      <c r="PL226" s="3"/>
      <c r="PM226" s="3"/>
      <c r="PN226" s="3"/>
      <c r="PO226" s="3"/>
      <c r="PP226" s="3"/>
      <c r="PQ226" s="3"/>
      <c r="PR226" s="3"/>
      <c r="PS226" s="3"/>
      <c r="PT226" s="3"/>
      <c r="PU226" s="3"/>
      <c r="PV226" s="3"/>
      <c r="PW226" s="3"/>
      <c r="PX226" s="3"/>
      <c r="PY226" s="3"/>
      <c r="PZ226" s="3"/>
      <c r="QA226" s="3"/>
      <c r="QB226" s="3"/>
      <c r="QC226" s="3"/>
      <c r="QD226" s="3"/>
      <c r="QE226" s="3"/>
      <c r="QF226" s="3"/>
      <c r="QG226" s="3"/>
      <c r="QH226" s="3"/>
      <c r="QI226" s="3"/>
      <c r="QJ226" s="3"/>
      <c r="QK226" s="3"/>
      <c r="QL226" s="3"/>
      <c r="QM226" s="3"/>
      <c r="QN226" s="3"/>
      <c r="QO226" s="3"/>
      <c r="QP226" s="3"/>
      <c r="QQ226" s="3"/>
      <c r="QR226" s="3"/>
      <c r="QS226" s="3"/>
      <c r="QT226" s="3"/>
      <c r="QU226" s="3"/>
      <c r="QV226" s="3"/>
      <c r="QW226" s="3"/>
      <c r="QX226" s="3"/>
      <c r="QY226" s="3"/>
      <c r="QZ226" s="3"/>
      <c r="RA226" s="3"/>
      <c r="RB226" s="3"/>
      <c r="RC226" s="3"/>
      <c r="RD226" s="3"/>
      <c r="RE226" s="3"/>
      <c r="RF226" s="3"/>
      <c r="RG226" s="3"/>
      <c r="RH226" s="3"/>
      <c r="RI226" s="3"/>
      <c r="RJ226" s="3"/>
      <c r="RK226" s="3"/>
      <c r="RL226" s="3"/>
      <c r="RM226" s="3"/>
      <c r="RN226" s="3"/>
      <c r="RO226" s="3"/>
      <c r="RP226" s="3"/>
      <c r="RQ226" s="3"/>
      <c r="RR226" s="3"/>
      <c r="RS226" s="3"/>
      <c r="RT226" s="3"/>
      <c r="RU226" s="3"/>
      <c r="RV226" s="3"/>
      <c r="RW226" s="3"/>
      <c r="RX226" s="3"/>
      <c r="RY226" s="3"/>
      <c r="RZ226" s="3"/>
      <c r="SA226" s="3"/>
      <c r="SB226" s="3"/>
      <c r="SC226" s="3"/>
      <c r="SD226" s="3"/>
      <c r="SE226" s="3"/>
      <c r="SF226" s="3"/>
      <c r="SG226" s="3"/>
      <c r="SH226" s="3"/>
      <c r="SI226" s="3"/>
      <c r="SJ226" s="3"/>
      <c r="SK226" s="3"/>
      <c r="SL226" s="3"/>
      <c r="SM226" s="3"/>
      <c r="SN226" s="3"/>
      <c r="SO226" s="3"/>
      <c r="SP226" s="3"/>
      <c r="SQ226" s="3"/>
      <c r="SR226" s="3"/>
      <c r="SS226" s="3"/>
      <c r="ST226" s="3"/>
      <c r="SU226" s="3"/>
      <c r="SV226" s="3"/>
      <c r="SW226" s="3"/>
      <c r="SX226" s="3"/>
      <c r="SY226" s="3"/>
      <c r="SZ226" s="3"/>
      <c r="TA226" s="3"/>
      <c r="TB226" s="3"/>
      <c r="TC226" s="3"/>
      <c r="TD226" s="3"/>
      <c r="TE226" s="3"/>
      <c r="TF226" s="3"/>
      <c r="TG226" s="3"/>
      <c r="TH226" s="3"/>
      <c r="TI226" s="3"/>
      <c r="TJ226" s="3"/>
      <c r="TK226" s="3"/>
      <c r="TL226" s="3"/>
      <c r="TM226" s="3"/>
      <c r="TN226" s="3"/>
      <c r="TO226" s="3"/>
      <c r="TP226" s="3"/>
      <c r="TQ226" s="3"/>
      <c r="TR226" s="3"/>
      <c r="TS226" s="3"/>
      <c r="TT226" s="3"/>
      <c r="TU226" s="3"/>
      <c r="TV226" s="3"/>
      <c r="TW226" s="3"/>
      <c r="TX226" s="3"/>
      <c r="TY226" s="3"/>
      <c r="TZ226" s="3"/>
      <c r="UA226" s="3"/>
      <c r="UB226" s="3"/>
      <c r="UC226" s="3"/>
      <c r="UD226" s="3"/>
      <c r="UE226" s="3"/>
      <c r="UF226" s="3"/>
      <c r="UG226" s="3"/>
      <c r="UH226" s="3"/>
      <c r="UI226" s="3"/>
      <c r="UJ226" s="3"/>
      <c r="UK226" s="3"/>
      <c r="UL226" s="3"/>
      <c r="UM226" s="3"/>
      <c r="UN226" s="3"/>
      <c r="UO226" s="3"/>
      <c r="UP226" s="3"/>
      <c r="UQ226" s="3"/>
      <c r="UR226" s="3"/>
      <c r="US226" s="3"/>
      <c r="UT226" s="3"/>
      <c r="UU226" s="3"/>
      <c r="UV226" s="3"/>
      <c r="UW226" s="3"/>
      <c r="UX226" s="3"/>
      <c r="UY226" s="3"/>
      <c r="UZ226" s="3"/>
      <c r="VA226" s="3"/>
      <c r="VB226" s="3"/>
      <c r="VC226" s="3"/>
      <c r="VD226" s="3"/>
      <c r="VE226" s="3"/>
      <c r="VF226" s="3"/>
      <c r="VG226" s="3"/>
      <c r="VH226" s="3"/>
      <c r="VI226" s="3"/>
      <c r="VJ226" s="3"/>
      <c r="VK226" s="3"/>
      <c r="VL226" s="3"/>
      <c r="VM226" s="3"/>
      <c r="VN226" s="3"/>
      <c r="VO226" s="3"/>
      <c r="VP226" s="3"/>
      <c r="VQ226" s="3"/>
      <c r="VR226" s="3"/>
      <c r="VS226" s="3"/>
      <c r="VT226" s="3"/>
      <c r="VU226" s="3"/>
      <c r="VV226" s="3"/>
      <c r="VW226" s="3"/>
      <c r="VX226" s="3"/>
      <c r="VY226" s="3"/>
      <c r="VZ226" s="3"/>
      <c r="WA226" s="3"/>
      <c r="WB226" s="3"/>
      <c r="WC226" s="3"/>
      <c r="WD226" s="3"/>
      <c r="WE226" s="3"/>
      <c r="WF226" s="3"/>
      <c r="WG226" s="3"/>
      <c r="WH226" s="3"/>
      <c r="WI226" s="3"/>
      <c r="WJ226" s="3"/>
      <c r="WK226" s="3"/>
      <c r="WL226" s="3"/>
      <c r="WM226" s="3"/>
      <c r="WN226" s="3"/>
      <c r="WO226" s="3"/>
      <c r="WP226" s="3"/>
      <c r="WQ226" s="3"/>
      <c r="WR226" s="3"/>
      <c r="WS226" s="3"/>
      <c r="WT226" s="3"/>
      <c r="WU226" s="3"/>
      <c r="WV226" s="3"/>
      <c r="WW226" s="3"/>
      <c r="WX226" s="3"/>
      <c r="WY226" s="3"/>
      <c r="WZ226" s="3"/>
      <c r="XA226" s="3"/>
      <c r="XB226" s="3"/>
      <c r="XC226" s="3"/>
      <c r="XD226" s="3"/>
      <c r="XE226" s="3"/>
      <c r="XF226" s="3"/>
      <c r="XG226" s="3"/>
      <c r="XH226" s="3"/>
      <c r="XI226" s="3"/>
      <c r="XJ226" s="3"/>
      <c r="XK226" s="3"/>
      <c r="XL226" s="3"/>
      <c r="XM226" s="3"/>
      <c r="XN226" s="3"/>
      <c r="XO226" s="3"/>
      <c r="XP226" s="3"/>
      <c r="XQ226" s="3"/>
      <c r="XR226" s="3"/>
      <c r="XS226" s="3"/>
      <c r="XT226" s="3"/>
      <c r="XU226" s="3"/>
      <c r="XV226" s="3"/>
      <c r="XW226" s="3"/>
      <c r="XX226" s="3"/>
      <c r="XY226" s="3"/>
      <c r="XZ226" s="3"/>
      <c r="YA226" s="3"/>
      <c r="YB226" s="3"/>
      <c r="YC226" s="3"/>
      <c r="YD226" s="3"/>
      <c r="YE226" s="3"/>
      <c r="YF226" s="3"/>
      <c r="YG226" s="3"/>
      <c r="YH226" s="3"/>
      <c r="YI226" s="3"/>
      <c r="YJ226" s="3"/>
      <c r="YK226" s="3"/>
      <c r="YL226" s="3"/>
      <c r="YM226" s="3"/>
      <c r="YN226" s="3"/>
      <c r="YO226" s="3"/>
      <c r="YP226" s="3"/>
      <c r="YQ226" s="3"/>
      <c r="YR226" s="3"/>
      <c r="YS226" s="3"/>
      <c r="YT226" s="3"/>
      <c r="YU226" s="3"/>
      <c r="YV226" s="3"/>
      <c r="YW226" s="3"/>
      <c r="YX226" s="3"/>
      <c r="YY226" s="3"/>
      <c r="YZ226" s="3"/>
      <c r="ZA226" s="3"/>
      <c r="ZB226" s="3"/>
      <c r="ZC226" s="3"/>
    </row>
    <row r="227" spans="1:679" s="2" customFormat="1" x14ac:dyDescent="0.45">
      <c r="A227" s="3" t="s">
        <v>11</v>
      </c>
      <c r="B227" s="4">
        <v>36957</v>
      </c>
      <c r="C227" s="7" t="s">
        <v>25</v>
      </c>
      <c r="D227" s="6" t="s">
        <v>244</v>
      </c>
      <c r="E227" s="3"/>
      <c r="F227" s="3">
        <v>2</v>
      </c>
      <c r="L227" s="3"/>
      <c r="M227" s="3"/>
      <c r="N227" s="48"/>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3"/>
      <c r="CT227" s="3"/>
      <c r="CU227" s="3"/>
      <c r="CV227" s="3"/>
      <c r="CW227" s="3"/>
      <c r="CX227" s="3"/>
      <c r="CY227" s="3"/>
      <c r="CZ227" s="3"/>
      <c r="DA227" s="3"/>
      <c r="DB227" s="3"/>
      <c r="DC227" s="3"/>
      <c r="DD227" s="3"/>
      <c r="DE227" s="3"/>
      <c r="DF227" s="3"/>
      <c r="DG227" s="3"/>
      <c r="DH227" s="3"/>
      <c r="DI227" s="3"/>
      <c r="DJ227" s="3"/>
      <c r="DK227" s="3"/>
      <c r="DL227" s="3"/>
      <c r="DM227" s="3"/>
      <c r="DN227" s="3"/>
      <c r="DO227" s="3"/>
      <c r="DP227" s="3"/>
      <c r="DQ227" s="3"/>
      <c r="DR227" s="3"/>
      <c r="DS227" s="3"/>
      <c r="DT227" s="3"/>
      <c r="DU227" s="3"/>
      <c r="DV227" s="3"/>
      <c r="DW227" s="3"/>
      <c r="DX227" s="3"/>
      <c r="DY227" s="3"/>
      <c r="DZ227" s="3"/>
      <c r="EA227" s="3"/>
      <c r="EB227" s="3"/>
      <c r="EC227" s="3"/>
      <c r="ED227" s="3"/>
      <c r="EE227" s="3"/>
      <c r="EF227" s="3"/>
      <c r="EG227" s="3"/>
      <c r="EH227" s="3"/>
      <c r="EI227" s="3"/>
      <c r="EJ227" s="3"/>
      <c r="EK227" s="3"/>
      <c r="EL227" s="3"/>
      <c r="EM227" s="3"/>
      <c r="EN227" s="3"/>
      <c r="EO227" s="3"/>
      <c r="EP227" s="3"/>
      <c r="EQ227" s="3"/>
      <c r="ER227" s="3"/>
      <c r="ES227" s="3"/>
      <c r="ET227" s="3"/>
      <c r="EU227" s="3"/>
      <c r="EV227" s="3"/>
      <c r="EW227" s="3"/>
      <c r="EX227" s="3"/>
      <c r="EY227" s="3"/>
      <c r="EZ227" s="3"/>
      <c r="FA227" s="3"/>
      <c r="FB227" s="3"/>
      <c r="FC227" s="3"/>
      <c r="FD227" s="3"/>
      <c r="FE227" s="3"/>
      <c r="FF227" s="3"/>
      <c r="FG227" s="3"/>
      <c r="FH227" s="3"/>
      <c r="FI227" s="3"/>
      <c r="FJ227" s="3"/>
      <c r="FK227" s="3"/>
      <c r="FL227" s="3"/>
      <c r="FM227" s="3"/>
      <c r="FN227" s="3"/>
      <c r="FO227" s="3"/>
      <c r="FP227" s="3"/>
      <c r="FQ227" s="3"/>
      <c r="FR227" s="3"/>
      <c r="FS227" s="3"/>
      <c r="FT227" s="3"/>
      <c r="FU227" s="3"/>
      <c r="FV227" s="3"/>
      <c r="FW227" s="3"/>
      <c r="FX227" s="3"/>
      <c r="FY227" s="3"/>
      <c r="FZ227" s="3"/>
      <c r="GA227" s="3"/>
      <c r="GB227" s="3"/>
      <c r="GC227" s="3"/>
      <c r="GD227" s="3"/>
      <c r="GE227" s="3"/>
      <c r="GF227" s="3"/>
      <c r="GG227" s="3"/>
      <c r="GH227" s="3"/>
      <c r="GI227" s="3"/>
      <c r="GJ227" s="3"/>
      <c r="GK227" s="3"/>
      <c r="GL227" s="3"/>
      <c r="GM227" s="3"/>
      <c r="GN227" s="3"/>
      <c r="GO227" s="3"/>
      <c r="GP227" s="3"/>
      <c r="GQ227" s="3"/>
      <c r="GR227" s="3"/>
      <c r="GS227" s="3"/>
      <c r="GT227" s="3"/>
      <c r="GU227" s="3"/>
      <c r="GV227" s="3"/>
      <c r="GW227" s="3"/>
      <c r="GX227" s="3"/>
      <c r="GY227" s="3"/>
      <c r="GZ227" s="3"/>
      <c r="HA227" s="3"/>
      <c r="HB227" s="3"/>
      <c r="HC227" s="3"/>
      <c r="HD227" s="3"/>
      <c r="HE227" s="3"/>
      <c r="HF227" s="3"/>
      <c r="HG227" s="3"/>
      <c r="HH227" s="3"/>
      <c r="HI227" s="3"/>
      <c r="HJ227" s="3"/>
      <c r="HK227" s="3"/>
      <c r="HL227" s="3"/>
      <c r="HM227" s="3"/>
      <c r="HN227" s="3"/>
      <c r="HO227" s="3"/>
      <c r="HP227" s="3"/>
      <c r="HQ227" s="3"/>
      <c r="HR227" s="3"/>
      <c r="HS227" s="3"/>
      <c r="HT227" s="3"/>
      <c r="HU227" s="3"/>
      <c r="HV227" s="3"/>
      <c r="HW227" s="3"/>
      <c r="HX227" s="3"/>
      <c r="HY227" s="3"/>
      <c r="HZ227" s="3"/>
      <c r="IA227" s="3"/>
      <c r="IB227" s="3"/>
      <c r="IC227" s="3"/>
      <c r="ID227" s="3"/>
      <c r="IE227" s="3"/>
      <c r="IF227" s="3"/>
      <c r="IG227" s="3"/>
      <c r="IH227" s="3"/>
      <c r="II227" s="3"/>
      <c r="IJ227" s="3"/>
      <c r="IK227" s="3"/>
      <c r="IL227" s="3"/>
      <c r="IM227" s="3"/>
      <c r="IN227" s="3"/>
      <c r="IO227" s="3"/>
      <c r="IP227" s="3"/>
      <c r="IQ227" s="3"/>
      <c r="IR227" s="3"/>
      <c r="IS227" s="3"/>
      <c r="IT227" s="3"/>
      <c r="IU227" s="3"/>
      <c r="IV227" s="3"/>
      <c r="IW227" s="3"/>
      <c r="IX227" s="3"/>
      <c r="IY227" s="3"/>
      <c r="IZ227" s="3"/>
      <c r="JA227" s="3"/>
      <c r="JB227" s="3"/>
      <c r="JC227" s="3"/>
      <c r="JD227" s="3"/>
      <c r="JE227" s="3"/>
      <c r="JF227" s="3"/>
      <c r="JG227" s="3"/>
      <c r="JH227" s="3"/>
      <c r="JI227" s="3"/>
      <c r="JJ227" s="3"/>
      <c r="JK227" s="3"/>
      <c r="JL227" s="3"/>
      <c r="JM227" s="3"/>
      <c r="JN227" s="3"/>
      <c r="JO227" s="3"/>
      <c r="JP227" s="3"/>
      <c r="JQ227" s="3"/>
      <c r="JR227" s="3"/>
      <c r="JS227" s="3"/>
      <c r="JT227" s="3"/>
      <c r="JU227" s="3"/>
      <c r="JV227" s="3"/>
      <c r="JW227" s="3"/>
      <c r="JX227" s="3"/>
      <c r="JY227" s="3"/>
      <c r="JZ227" s="3"/>
      <c r="KA227" s="3"/>
      <c r="KB227" s="3"/>
      <c r="KC227" s="3"/>
      <c r="KD227" s="3"/>
      <c r="KE227" s="3"/>
      <c r="KF227" s="3"/>
      <c r="KG227" s="3"/>
      <c r="KH227" s="3"/>
      <c r="KI227" s="3"/>
      <c r="KJ227" s="3"/>
      <c r="KK227" s="3"/>
      <c r="KL227" s="3"/>
      <c r="KM227" s="3"/>
      <c r="KN227" s="3"/>
      <c r="KO227" s="3"/>
      <c r="KP227" s="3"/>
      <c r="KQ227" s="3"/>
      <c r="KR227" s="3"/>
      <c r="KS227" s="3"/>
      <c r="KT227" s="3"/>
      <c r="KU227" s="3"/>
      <c r="KV227" s="3"/>
      <c r="KW227" s="3"/>
      <c r="KX227" s="3"/>
      <c r="KY227" s="3"/>
      <c r="KZ227" s="3"/>
      <c r="LA227" s="3"/>
      <c r="LB227" s="3"/>
      <c r="LC227" s="3"/>
      <c r="LD227" s="3"/>
      <c r="LE227" s="3"/>
      <c r="LF227" s="3"/>
      <c r="LG227" s="3"/>
      <c r="LH227" s="3"/>
      <c r="LI227" s="3"/>
      <c r="LJ227" s="3"/>
      <c r="LK227" s="3"/>
      <c r="LL227" s="3"/>
      <c r="LM227" s="3"/>
      <c r="LN227" s="3"/>
      <c r="LO227" s="3"/>
      <c r="LP227" s="3"/>
      <c r="LQ227" s="3"/>
      <c r="LR227" s="3"/>
      <c r="LS227" s="3"/>
      <c r="LT227" s="3"/>
      <c r="LU227" s="3"/>
      <c r="LV227" s="3"/>
      <c r="LW227" s="3"/>
      <c r="LX227" s="3"/>
      <c r="LY227" s="3"/>
      <c r="LZ227" s="3"/>
      <c r="MA227" s="3"/>
      <c r="MB227" s="3"/>
      <c r="MC227" s="3"/>
      <c r="MD227" s="3"/>
      <c r="ME227" s="3"/>
      <c r="MF227" s="3"/>
      <c r="MG227" s="3"/>
      <c r="MH227" s="3"/>
      <c r="MI227" s="3"/>
      <c r="MJ227" s="3"/>
      <c r="MK227" s="3"/>
      <c r="ML227" s="3"/>
      <c r="MM227" s="3"/>
      <c r="MN227" s="3"/>
      <c r="MO227" s="3"/>
      <c r="MP227" s="3"/>
      <c r="MQ227" s="3"/>
      <c r="MR227" s="3"/>
      <c r="MS227" s="3"/>
      <c r="MT227" s="3"/>
      <c r="MU227" s="3"/>
      <c r="MV227" s="3"/>
      <c r="MW227" s="3"/>
      <c r="MX227" s="3"/>
      <c r="MY227" s="3"/>
      <c r="MZ227" s="3"/>
      <c r="NA227" s="3"/>
      <c r="NB227" s="3"/>
      <c r="NC227" s="3"/>
      <c r="ND227" s="3"/>
      <c r="NE227" s="3"/>
      <c r="NF227" s="3"/>
      <c r="NG227" s="3"/>
      <c r="NH227" s="3"/>
      <c r="NI227" s="3"/>
      <c r="NJ227" s="3"/>
      <c r="NK227" s="3"/>
      <c r="NL227" s="3"/>
      <c r="NM227" s="3"/>
      <c r="NN227" s="3"/>
      <c r="NO227" s="3"/>
      <c r="NP227" s="3"/>
      <c r="NQ227" s="3"/>
      <c r="NR227" s="3"/>
      <c r="NS227" s="3"/>
      <c r="NT227" s="3"/>
      <c r="NU227" s="3"/>
      <c r="NV227" s="3"/>
      <c r="NW227" s="3"/>
      <c r="NX227" s="3"/>
      <c r="NY227" s="3"/>
      <c r="NZ227" s="3"/>
      <c r="OA227" s="3"/>
      <c r="OB227" s="3"/>
      <c r="OC227" s="3"/>
      <c r="OD227" s="3"/>
      <c r="OE227" s="3"/>
      <c r="OF227" s="3"/>
      <c r="OG227" s="3"/>
      <c r="OH227" s="3"/>
      <c r="OI227" s="3"/>
      <c r="OJ227" s="3"/>
      <c r="OK227" s="3"/>
      <c r="OL227" s="3"/>
      <c r="OM227" s="3"/>
      <c r="ON227" s="3"/>
      <c r="OO227" s="3"/>
      <c r="OP227" s="3"/>
      <c r="OQ227" s="3"/>
      <c r="OR227" s="3"/>
      <c r="OS227" s="3"/>
      <c r="OT227" s="3"/>
      <c r="OU227" s="3"/>
      <c r="OV227" s="3"/>
      <c r="OW227" s="3"/>
      <c r="OX227" s="3"/>
      <c r="OY227" s="3"/>
      <c r="OZ227" s="3"/>
      <c r="PA227" s="3"/>
      <c r="PB227" s="3"/>
      <c r="PC227" s="3"/>
      <c r="PD227" s="3"/>
      <c r="PE227" s="3"/>
      <c r="PF227" s="3"/>
      <c r="PG227" s="3"/>
      <c r="PH227" s="3"/>
      <c r="PI227" s="3"/>
      <c r="PJ227" s="3"/>
      <c r="PK227" s="3"/>
      <c r="PL227" s="3"/>
      <c r="PM227" s="3"/>
      <c r="PN227" s="3"/>
      <c r="PO227" s="3"/>
      <c r="PP227" s="3"/>
      <c r="PQ227" s="3"/>
      <c r="PR227" s="3"/>
      <c r="PS227" s="3"/>
      <c r="PT227" s="3"/>
      <c r="PU227" s="3"/>
      <c r="PV227" s="3"/>
      <c r="PW227" s="3"/>
      <c r="PX227" s="3"/>
      <c r="PY227" s="3"/>
      <c r="PZ227" s="3"/>
      <c r="QA227" s="3"/>
      <c r="QB227" s="3"/>
      <c r="QC227" s="3"/>
      <c r="QD227" s="3"/>
      <c r="QE227" s="3"/>
      <c r="QF227" s="3"/>
      <c r="QG227" s="3"/>
      <c r="QH227" s="3"/>
      <c r="QI227" s="3"/>
      <c r="QJ227" s="3"/>
      <c r="QK227" s="3"/>
      <c r="QL227" s="3"/>
      <c r="QM227" s="3"/>
      <c r="QN227" s="3"/>
      <c r="QO227" s="3"/>
      <c r="QP227" s="3"/>
      <c r="QQ227" s="3"/>
      <c r="QR227" s="3"/>
      <c r="QS227" s="3"/>
      <c r="QT227" s="3"/>
      <c r="QU227" s="3"/>
      <c r="QV227" s="3"/>
      <c r="QW227" s="3"/>
      <c r="QX227" s="3"/>
      <c r="QY227" s="3"/>
      <c r="QZ227" s="3"/>
      <c r="RA227" s="3"/>
      <c r="RB227" s="3"/>
      <c r="RC227" s="3"/>
      <c r="RD227" s="3"/>
      <c r="RE227" s="3"/>
      <c r="RF227" s="3"/>
      <c r="RG227" s="3"/>
      <c r="RH227" s="3"/>
      <c r="RI227" s="3"/>
      <c r="RJ227" s="3"/>
      <c r="RK227" s="3"/>
      <c r="RL227" s="3"/>
      <c r="RM227" s="3"/>
      <c r="RN227" s="3"/>
      <c r="RO227" s="3"/>
      <c r="RP227" s="3"/>
      <c r="RQ227" s="3"/>
      <c r="RR227" s="3"/>
      <c r="RS227" s="3"/>
      <c r="RT227" s="3"/>
      <c r="RU227" s="3"/>
      <c r="RV227" s="3"/>
      <c r="RW227" s="3"/>
      <c r="RX227" s="3"/>
      <c r="RY227" s="3"/>
      <c r="RZ227" s="3"/>
      <c r="SA227" s="3"/>
      <c r="SB227" s="3"/>
      <c r="SC227" s="3"/>
      <c r="SD227" s="3"/>
      <c r="SE227" s="3"/>
      <c r="SF227" s="3"/>
      <c r="SG227" s="3"/>
      <c r="SH227" s="3"/>
      <c r="SI227" s="3"/>
      <c r="SJ227" s="3"/>
      <c r="SK227" s="3"/>
      <c r="SL227" s="3"/>
      <c r="SM227" s="3"/>
      <c r="SN227" s="3"/>
      <c r="SO227" s="3"/>
      <c r="SP227" s="3"/>
      <c r="SQ227" s="3"/>
      <c r="SR227" s="3"/>
      <c r="SS227" s="3"/>
      <c r="ST227" s="3"/>
      <c r="SU227" s="3"/>
      <c r="SV227" s="3"/>
      <c r="SW227" s="3"/>
      <c r="SX227" s="3"/>
      <c r="SY227" s="3"/>
      <c r="SZ227" s="3"/>
      <c r="TA227" s="3"/>
      <c r="TB227" s="3"/>
      <c r="TC227" s="3"/>
      <c r="TD227" s="3"/>
      <c r="TE227" s="3"/>
      <c r="TF227" s="3"/>
      <c r="TG227" s="3"/>
      <c r="TH227" s="3"/>
      <c r="TI227" s="3"/>
      <c r="TJ227" s="3"/>
      <c r="TK227" s="3"/>
      <c r="TL227" s="3"/>
      <c r="TM227" s="3"/>
      <c r="TN227" s="3"/>
      <c r="TO227" s="3"/>
      <c r="TP227" s="3"/>
      <c r="TQ227" s="3"/>
      <c r="TR227" s="3"/>
      <c r="TS227" s="3"/>
      <c r="TT227" s="3"/>
      <c r="TU227" s="3"/>
      <c r="TV227" s="3"/>
      <c r="TW227" s="3"/>
      <c r="TX227" s="3"/>
      <c r="TY227" s="3"/>
      <c r="TZ227" s="3"/>
      <c r="UA227" s="3"/>
      <c r="UB227" s="3"/>
      <c r="UC227" s="3"/>
      <c r="UD227" s="3"/>
      <c r="UE227" s="3"/>
      <c r="UF227" s="3"/>
      <c r="UG227" s="3"/>
      <c r="UH227" s="3"/>
      <c r="UI227" s="3"/>
      <c r="UJ227" s="3"/>
      <c r="UK227" s="3"/>
      <c r="UL227" s="3"/>
      <c r="UM227" s="3"/>
      <c r="UN227" s="3"/>
      <c r="UO227" s="3"/>
      <c r="UP227" s="3"/>
      <c r="UQ227" s="3"/>
      <c r="UR227" s="3"/>
      <c r="US227" s="3"/>
      <c r="UT227" s="3"/>
      <c r="UU227" s="3"/>
      <c r="UV227" s="3"/>
      <c r="UW227" s="3"/>
      <c r="UX227" s="3"/>
      <c r="UY227" s="3"/>
      <c r="UZ227" s="3"/>
      <c r="VA227" s="3"/>
      <c r="VB227" s="3"/>
      <c r="VC227" s="3"/>
      <c r="VD227" s="3"/>
      <c r="VE227" s="3"/>
      <c r="VF227" s="3"/>
      <c r="VG227" s="3"/>
      <c r="VH227" s="3"/>
      <c r="VI227" s="3"/>
      <c r="VJ227" s="3"/>
      <c r="VK227" s="3"/>
      <c r="VL227" s="3"/>
      <c r="VM227" s="3"/>
      <c r="VN227" s="3"/>
      <c r="VO227" s="3"/>
      <c r="VP227" s="3"/>
      <c r="VQ227" s="3"/>
      <c r="VR227" s="3"/>
      <c r="VS227" s="3"/>
      <c r="VT227" s="3"/>
      <c r="VU227" s="3"/>
      <c r="VV227" s="3"/>
      <c r="VW227" s="3"/>
      <c r="VX227" s="3"/>
      <c r="VY227" s="3"/>
      <c r="VZ227" s="3"/>
      <c r="WA227" s="3"/>
      <c r="WB227" s="3"/>
      <c r="WC227" s="3"/>
      <c r="WD227" s="3"/>
      <c r="WE227" s="3"/>
      <c r="WF227" s="3"/>
      <c r="WG227" s="3"/>
      <c r="WH227" s="3"/>
      <c r="WI227" s="3"/>
      <c r="WJ227" s="3"/>
      <c r="WK227" s="3"/>
      <c r="WL227" s="3"/>
      <c r="WM227" s="3"/>
      <c r="WN227" s="3"/>
      <c r="WO227" s="3"/>
      <c r="WP227" s="3"/>
      <c r="WQ227" s="3"/>
      <c r="WR227" s="3"/>
      <c r="WS227" s="3"/>
      <c r="WT227" s="3"/>
      <c r="WU227" s="3"/>
      <c r="WV227" s="3"/>
      <c r="WW227" s="3"/>
      <c r="WX227" s="3"/>
      <c r="WY227" s="3"/>
      <c r="WZ227" s="3"/>
      <c r="XA227" s="3"/>
      <c r="XB227" s="3"/>
      <c r="XC227" s="3"/>
      <c r="XD227" s="3"/>
      <c r="XE227" s="3"/>
      <c r="XF227" s="3"/>
      <c r="XG227" s="3"/>
      <c r="XH227" s="3"/>
      <c r="XI227" s="3"/>
      <c r="XJ227" s="3"/>
      <c r="XK227" s="3"/>
      <c r="XL227" s="3"/>
      <c r="XM227" s="3"/>
      <c r="XN227" s="3"/>
      <c r="XO227" s="3"/>
      <c r="XP227" s="3"/>
      <c r="XQ227" s="3"/>
      <c r="XR227" s="3"/>
      <c r="XS227" s="3"/>
      <c r="XT227" s="3"/>
      <c r="XU227" s="3"/>
      <c r="XV227" s="3"/>
      <c r="XW227" s="3"/>
      <c r="XX227" s="3"/>
      <c r="XY227" s="3"/>
      <c r="XZ227" s="3"/>
      <c r="YA227" s="3"/>
      <c r="YB227" s="3"/>
      <c r="YC227" s="3"/>
      <c r="YD227" s="3"/>
      <c r="YE227" s="3"/>
      <c r="YF227" s="3"/>
      <c r="YG227" s="3"/>
      <c r="YH227" s="3"/>
      <c r="YI227" s="3"/>
      <c r="YJ227" s="3"/>
      <c r="YK227" s="3"/>
      <c r="YL227" s="3"/>
      <c r="YM227" s="3"/>
      <c r="YN227" s="3"/>
      <c r="YO227" s="3"/>
      <c r="YP227" s="3"/>
      <c r="YQ227" s="3"/>
      <c r="YR227" s="3"/>
      <c r="YS227" s="3"/>
      <c r="YT227" s="3"/>
      <c r="YU227" s="3"/>
      <c r="YV227" s="3"/>
      <c r="YW227" s="3"/>
      <c r="YX227" s="3"/>
      <c r="YY227" s="3"/>
      <c r="YZ227" s="3"/>
      <c r="ZA227" s="3"/>
      <c r="ZB227" s="3"/>
      <c r="ZC227" s="3"/>
    </row>
    <row r="228" spans="1:679" s="2" customFormat="1" x14ac:dyDescent="0.45">
      <c r="A228" s="3" t="s">
        <v>11</v>
      </c>
      <c r="B228" s="4">
        <v>36997</v>
      </c>
      <c r="C228" s="7" t="s">
        <v>21</v>
      </c>
      <c r="D228" s="6" t="s">
        <v>245</v>
      </c>
      <c r="E228" s="3"/>
      <c r="F228" s="3">
        <v>12</v>
      </c>
      <c r="L228" s="3"/>
      <c r="M228" s="3"/>
      <c r="N228" s="48"/>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c r="CP228" s="3"/>
      <c r="CQ228" s="3"/>
      <c r="CR228" s="3"/>
      <c r="CS228" s="3"/>
      <c r="CT228" s="3"/>
      <c r="CU228" s="3"/>
      <c r="CV228" s="3"/>
      <c r="CW228" s="3"/>
      <c r="CX228" s="3"/>
      <c r="CY228" s="3"/>
      <c r="CZ228" s="3"/>
      <c r="DA228" s="3"/>
      <c r="DB228" s="3"/>
      <c r="DC228" s="3"/>
      <c r="DD228" s="3"/>
      <c r="DE228" s="3"/>
      <c r="DF228" s="3"/>
      <c r="DG228" s="3"/>
      <c r="DH228" s="3"/>
      <c r="DI228" s="3"/>
      <c r="DJ228" s="3"/>
      <c r="DK228" s="3"/>
      <c r="DL228" s="3"/>
      <c r="DM228" s="3"/>
      <c r="DN228" s="3"/>
      <c r="DO228" s="3"/>
      <c r="DP228" s="3"/>
      <c r="DQ228" s="3"/>
      <c r="DR228" s="3"/>
      <c r="DS228" s="3"/>
      <c r="DT228" s="3"/>
      <c r="DU228" s="3"/>
      <c r="DV228" s="3"/>
      <c r="DW228" s="3"/>
      <c r="DX228" s="3"/>
      <c r="DY228" s="3"/>
      <c r="DZ228" s="3"/>
      <c r="EA228" s="3"/>
      <c r="EB228" s="3"/>
      <c r="EC228" s="3"/>
      <c r="ED228" s="3"/>
      <c r="EE228" s="3"/>
      <c r="EF228" s="3"/>
      <c r="EG228" s="3"/>
      <c r="EH228" s="3"/>
      <c r="EI228" s="3"/>
      <c r="EJ228" s="3"/>
      <c r="EK228" s="3"/>
      <c r="EL228" s="3"/>
      <c r="EM228" s="3"/>
      <c r="EN228" s="3"/>
      <c r="EO228" s="3"/>
      <c r="EP228" s="3"/>
      <c r="EQ228" s="3"/>
      <c r="ER228" s="3"/>
      <c r="ES228" s="3"/>
      <c r="ET228" s="3"/>
      <c r="EU228" s="3"/>
      <c r="EV228" s="3"/>
      <c r="EW228" s="3"/>
      <c r="EX228" s="3"/>
      <c r="EY228" s="3"/>
      <c r="EZ228" s="3"/>
      <c r="FA228" s="3"/>
      <c r="FB228" s="3"/>
      <c r="FC228" s="3"/>
      <c r="FD228" s="3"/>
      <c r="FE228" s="3"/>
      <c r="FF228" s="3"/>
      <c r="FG228" s="3"/>
      <c r="FH228" s="3"/>
      <c r="FI228" s="3"/>
      <c r="FJ228" s="3"/>
      <c r="FK228" s="3"/>
      <c r="FL228" s="3"/>
      <c r="FM228" s="3"/>
      <c r="FN228" s="3"/>
      <c r="FO228" s="3"/>
      <c r="FP228" s="3"/>
      <c r="FQ228" s="3"/>
      <c r="FR228" s="3"/>
      <c r="FS228" s="3"/>
      <c r="FT228" s="3"/>
      <c r="FU228" s="3"/>
      <c r="FV228" s="3"/>
      <c r="FW228" s="3"/>
      <c r="FX228" s="3"/>
      <c r="FY228" s="3"/>
      <c r="FZ228" s="3"/>
      <c r="GA228" s="3"/>
      <c r="GB228" s="3"/>
      <c r="GC228" s="3"/>
      <c r="GD228" s="3"/>
      <c r="GE228" s="3"/>
      <c r="GF228" s="3"/>
      <c r="GG228" s="3"/>
      <c r="GH228" s="3"/>
      <c r="GI228" s="3"/>
      <c r="GJ228" s="3"/>
      <c r="GK228" s="3"/>
      <c r="GL228" s="3"/>
      <c r="GM228" s="3"/>
      <c r="GN228" s="3"/>
      <c r="GO228" s="3"/>
      <c r="GP228" s="3"/>
      <c r="GQ228" s="3"/>
      <c r="GR228" s="3"/>
      <c r="GS228" s="3"/>
      <c r="GT228" s="3"/>
      <c r="GU228" s="3"/>
      <c r="GV228" s="3"/>
      <c r="GW228" s="3"/>
      <c r="GX228" s="3"/>
      <c r="GY228" s="3"/>
      <c r="GZ228" s="3"/>
      <c r="HA228" s="3"/>
      <c r="HB228" s="3"/>
      <c r="HC228" s="3"/>
      <c r="HD228" s="3"/>
      <c r="HE228" s="3"/>
      <c r="HF228" s="3"/>
      <c r="HG228" s="3"/>
      <c r="HH228" s="3"/>
      <c r="HI228" s="3"/>
      <c r="HJ228" s="3"/>
      <c r="HK228" s="3"/>
      <c r="HL228" s="3"/>
      <c r="HM228" s="3"/>
      <c r="HN228" s="3"/>
      <c r="HO228" s="3"/>
      <c r="HP228" s="3"/>
      <c r="HQ228" s="3"/>
      <c r="HR228" s="3"/>
      <c r="HS228" s="3"/>
      <c r="HT228" s="3"/>
      <c r="HU228" s="3"/>
      <c r="HV228" s="3"/>
      <c r="HW228" s="3"/>
      <c r="HX228" s="3"/>
      <c r="HY228" s="3"/>
      <c r="HZ228" s="3"/>
      <c r="IA228" s="3"/>
      <c r="IB228" s="3"/>
      <c r="IC228" s="3"/>
      <c r="ID228" s="3"/>
      <c r="IE228" s="3"/>
      <c r="IF228" s="3"/>
      <c r="IG228" s="3"/>
      <c r="IH228" s="3"/>
      <c r="II228" s="3"/>
      <c r="IJ228" s="3"/>
      <c r="IK228" s="3"/>
      <c r="IL228" s="3"/>
      <c r="IM228" s="3"/>
      <c r="IN228" s="3"/>
      <c r="IO228" s="3"/>
      <c r="IP228" s="3"/>
      <c r="IQ228" s="3"/>
      <c r="IR228" s="3"/>
      <c r="IS228" s="3"/>
      <c r="IT228" s="3"/>
      <c r="IU228" s="3"/>
      <c r="IV228" s="3"/>
      <c r="IW228" s="3"/>
      <c r="IX228" s="3"/>
      <c r="IY228" s="3"/>
      <c r="IZ228" s="3"/>
      <c r="JA228" s="3"/>
      <c r="JB228" s="3"/>
      <c r="JC228" s="3"/>
      <c r="JD228" s="3"/>
      <c r="JE228" s="3"/>
      <c r="JF228" s="3"/>
      <c r="JG228" s="3"/>
      <c r="JH228" s="3"/>
      <c r="JI228" s="3"/>
      <c r="JJ228" s="3"/>
      <c r="JK228" s="3"/>
      <c r="JL228" s="3"/>
      <c r="JM228" s="3"/>
      <c r="JN228" s="3"/>
      <c r="JO228" s="3"/>
      <c r="JP228" s="3"/>
      <c r="JQ228" s="3"/>
      <c r="JR228" s="3"/>
      <c r="JS228" s="3"/>
      <c r="JT228" s="3"/>
      <c r="JU228" s="3"/>
      <c r="JV228" s="3"/>
      <c r="JW228" s="3"/>
      <c r="JX228" s="3"/>
      <c r="JY228" s="3"/>
      <c r="JZ228" s="3"/>
      <c r="KA228" s="3"/>
      <c r="KB228" s="3"/>
      <c r="KC228" s="3"/>
      <c r="KD228" s="3"/>
      <c r="KE228" s="3"/>
      <c r="KF228" s="3"/>
      <c r="KG228" s="3"/>
      <c r="KH228" s="3"/>
      <c r="KI228" s="3"/>
      <c r="KJ228" s="3"/>
      <c r="KK228" s="3"/>
      <c r="KL228" s="3"/>
      <c r="KM228" s="3"/>
      <c r="KN228" s="3"/>
      <c r="KO228" s="3"/>
      <c r="KP228" s="3"/>
      <c r="KQ228" s="3"/>
      <c r="KR228" s="3"/>
      <c r="KS228" s="3"/>
      <c r="KT228" s="3"/>
      <c r="KU228" s="3"/>
      <c r="KV228" s="3"/>
      <c r="KW228" s="3"/>
      <c r="KX228" s="3"/>
      <c r="KY228" s="3"/>
      <c r="KZ228" s="3"/>
      <c r="LA228" s="3"/>
      <c r="LB228" s="3"/>
      <c r="LC228" s="3"/>
      <c r="LD228" s="3"/>
      <c r="LE228" s="3"/>
      <c r="LF228" s="3"/>
      <c r="LG228" s="3"/>
      <c r="LH228" s="3"/>
      <c r="LI228" s="3"/>
      <c r="LJ228" s="3"/>
      <c r="LK228" s="3"/>
      <c r="LL228" s="3"/>
      <c r="LM228" s="3"/>
      <c r="LN228" s="3"/>
      <c r="LO228" s="3"/>
      <c r="LP228" s="3"/>
      <c r="LQ228" s="3"/>
      <c r="LR228" s="3"/>
      <c r="LS228" s="3"/>
      <c r="LT228" s="3"/>
      <c r="LU228" s="3"/>
      <c r="LV228" s="3"/>
      <c r="LW228" s="3"/>
      <c r="LX228" s="3"/>
      <c r="LY228" s="3"/>
      <c r="LZ228" s="3"/>
      <c r="MA228" s="3"/>
      <c r="MB228" s="3"/>
      <c r="MC228" s="3"/>
      <c r="MD228" s="3"/>
      <c r="ME228" s="3"/>
      <c r="MF228" s="3"/>
      <c r="MG228" s="3"/>
      <c r="MH228" s="3"/>
      <c r="MI228" s="3"/>
      <c r="MJ228" s="3"/>
      <c r="MK228" s="3"/>
      <c r="ML228" s="3"/>
      <c r="MM228" s="3"/>
      <c r="MN228" s="3"/>
      <c r="MO228" s="3"/>
      <c r="MP228" s="3"/>
      <c r="MQ228" s="3"/>
      <c r="MR228" s="3"/>
      <c r="MS228" s="3"/>
      <c r="MT228" s="3"/>
      <c r="MU228" s="3"/>
      <c r="MV228" s="3"/>
      <c r="MW228" s="3"/>
      <c r="MX228" s="3"/>
      <c r="MY228" s="3"/>
      <c r="MZ228" s="3"/>
      <c r="NA228" s="3"/>
      <c r="NB228" s="3"/>
      <c r="NC228" s="3"/>
      <c r="ND228" s="3"/>
      <c r="NE228" s="3"/>
      <c r="NF228" s="3"/>
      <c r="NG228" s="3"/>
      <c r="NH228" s="3"/>
      <c r="NI228" s="3"/>
      <c r="NJ228" s="3"/>
      <c r="NK228" s="3"/>
      <c r="NL228" s="3"/>
      <c r="NM228" s="3"/>
      <c r="NN228" s="3"/>
      <c r="NO228" s="3"/>
      <c r="NP228" s="3"/>
      <c r="NQ228" s="3"/>
      <c r="NR228" s="3"/>
      <c r="NS228" s="3"/>
      <c r="NT228" s="3"/>
      <c r="NU228" s="3"/>
      <c r="NV228" s="3"/>
      <c r="NW228" s="3"/>
      <c r="NX228" s="3"/>
      <c r="NY228" s="3"/>
      <c r="NZ228" s="3"/>
      <c r="OA228" s="3"/>
      <c r="OB228" s="3"/>
      <c r="OC228" s="3"/>
      <c r="OD228" s="3"/>
      <c r="OE228" s="3"/>
      <c r="OF228" s="3"/>
      <c r="OG228" s="3"/>
      <c r="OH228" s="3"/>
      <c r="OI228" s="3"/>
      <c r="OJ228" s="3"/>
      <c r="OK228" s="3"/>
      <c r="OL228" s="3"/>
      <c r="OM228" s="3"/>
      <c r="ON228" s="3"/>
      <c r="OO228" s="3"/>
      <c r="OP228" s="3"/>
      <c r="OQ228" s="3"/>
      <c r="OR228" s="3"/>
      <c r="OS228" s="3"/>
      <c r="OT228" s="3"/>
      <c r="OU228" s="3"/>
      <c r="OV228" s="3"/>
      <c r="OW228" s="3"/>
      <c r="OX228" s="3"/>
      <c r="OY228" s="3"/>
      <c r="OZ228" s="3"/>
      <c r="PA228" s="3"/>
      <c r="PB228" s="3"/>
      <c r="PC228" s="3"/>
      <c r="PD228" s="3"/>
      <c r="PE228" s="3"/>
      <c r="PF228" s="3"/>
      <c r="PG228" s="3"/>
      <c r="PH228" s="3"/>
      <c r="PI228" s="3"/>
      <c r="PJ228" s="3"/>
      <c r="PK228" s="3"/>
      <c r="PL228" s="3"/>
      <c r="PM228" s="3"/>
      <c r="PN228" s="3"/>
      <c r="PO228" s="3"/>
      <c r="PP228" s="3"/>
      <c r="PQ228" s="3"/>
      <c r="PR228" s="3"/>
      <c r="PS228" s="3"/>
      <c r="PT228" s="3"/>
      <c r="PU228" s="3"/>
      <c r="PV228" s="3"/>
      <c r="PW228" s="3"/>
      <c r="PX228" s="3"/>
      <c r="PY228" s="3"/>
      <c r="PZ228" s="3"/>
      <c r="QA228" s="3"/>
      <c r="QB228" s="3"/>
      <c r="QC228" s="3"/>
      <c r="QD228" s="3"/>
      <c r="QE228" s="3"/>
      <c r="QF228" s="3"/>
      <c r="QG228" s="3"/>
      <c r="QH228" s="3"/>
      <c r="QI228" s="3"/>
      <c r="QJ228" s="3"/>
      <c r="QK228" s="3"/>
      <c r="QL228" s="3"/>
      <c r="QM228" s="3"/>
      <c r="QN228" s="3"/>
      <c r="QO228" s="3"/>
      <c r="QP228" s="3"/>
      <c r="QQ228" s="3"/>
      <c r="QR228" s="3"/>
      <c r="QS228" s="3"/>
      <c r="QT228" s="3"/>
      <c r="QU228" s="3"/>
      <c r="QV228" s="3"/>
      <c r="QW228" s="3"/>
      <c r="QX228" s="3"/>
      <c r="QY228" s="3"/>
      <c r="QZ228" s="3"/>
      <c r="RA228" s="3"/>
      <c r="RB228" s="3"/>
      <c r="RC228" s="3"/>
      <c r="RD228" s="3"/>
      <c r="RE228" s="3"/>
      <c r="RF228" s="3"/>
      <c r="RG228" s="3"/>
      <c r="RH228" s="3"/>
      <c r="RI228" s="3"/>
      <c r="RJ228" s="3"/>
      <c r="RK228" s="3"/>
      <c r="RL228" s="3"/>
      <c r="RM228" s="3"/>
      <c r="RN228" s="3"/>
      <c r="RO228" s="3"/>
      <c r="RP228" s="3"/>
      <c r="RQ228" s="3"/>
      <c r="RR228" s="3"/>
      <c r="RS228" s="3"/>
      <c r="RT228" s="3"/>
      <c r="RU228" s="3"/>
      <c r="RV228" s="3"/>
      <c r="RW228" s="3"/>
      <c r="RX228" s="3"/>
      <c r="RY228" s="3"/>
      <c r="RZ228" s="3"/>
      <c r="SA228" s="3"/>
      <c r="SB228" s="3"/>
      <c r="SC228" s="3"/>
      <c r="SD228" s="3"/>
      <c r="SE228" s="3"/>
      <c r="SF228" s="3"/>
      <c r="SG228" s="3"/>
      <c r="SH228" s="3"/>
      <c r="SI228" s="3"/>
      <c r="SJ228" s="3"/>
      <c r="SK228" s="3"/>
      <c r="SL228" s="3"/>
      <c r="SM228" s="3"/>
      <c r="SN228" s="3"/>
      <c r="SO228" s="3"/>
      <c r="SP228" s="3"/>
      <c r="SQ228" s="3"/>
      <c r="SR228" s="3"/>
      <c r="SS228" s="3"/>
      <c r="ST228" s="3"/>
      <c r="SU228" s="3"/>
      <c r="SV228" s="3"/>
      <c r="SW228" s="3"/>
      <c r="SX228" s="3"/>
      <c r="SY228" s="3"/>
      <c r="SZ228" s="3"/>
      <c r="TA228" s="3"/>
      <c r="TB228" s="3"/>
      <c r="TC228" s="3"/>
      <c r="TD228" s="3"/>
      <c r="TE228" s="3"/>
      <c r="TF228" s="3"/>
      <c r="TG228" s="3"/>
      <c r="TH228" s="3"/>
      <c r="TI228" s="3"/>
      <c r="TJ228" s="3"/>
      <c r="TK228" s="3"/>
      <c r="TL228" s="3"/>
      <c r="TM228" s="3"/>
      <c r="TN228" s="3"/>
      <c r="TO228" s="3"/>
      <c r="TP228" s="3"/>
      <c r="TQ228" s="3"/>
      <c r="TR228" s="3"/>
      <c r="TS228" s="3"/>
      <c r="TT228" s="3"/>
      <c r="TU228" s="3"/>
      <c r="TV228" s="3"/>
      <c r="TW228" s="3"/>
      <c r="TX228" s="3"/>
      <c r="TY228" s="3"/>
      <c r="TZ228" s="3"/>
      <c r="UA228" s="3"/>
      <c r="UB228" s="3"/>
      <c r="UC228" s="3"/>
      <c r="UD228" s="3"/>
      <c r="UE228" s="3"/>
      <c r="UF228" s="3"/>
      <c r="UG228" s="3"/>
      <c r="UH228" s="3"/>
      <c r="UI228" s="3"/>
      <c r="UJ228" s="3"/>
      <c r="UK228" s="3"/>
      <c r="UL228" s="3"/>
      <c r="UM228" s="3"/>
      <c r="UN228" s="3"/>
      <c r="UO228" s="3"/>
      <c r="UP228" s="3"/>
      <c r="UQ228" s="3"/>
      <c r="UR228" s="3"/>
      <c r="US228" s="3"/>
      <c r="UT228" s="3"/>
      <c r="UU228" s="3"/>
      <c r="UV228" s="3"/>
      <c r="UW228" s="3"/>
      <c r="UX228" s="3"/>
      <c r="UY228" s="3"/>
      <c r="UZ228" s="3"/>
      <c r="VA228" s="3"/>
      <c r="VB228" s="3"/>
      <c r="VC228" s="3"/>
      <c r="VD228" s="3"/>
      <c r="VE228" s="3"/>
      <c r="VF228" s="3"/>
      <c r="VG228" s="3"/>
      <c r="VH228" s="3"/>
      <c r="VI228" s="3"/>
      <c r="VJ228" s="3"/>
      <c r="VK228" s="3"/>
      <c r="VL228" s="3"/>
      <c r="VM228" s="3"/>
      <c r="VN228" s="3"/>
      <c r="VO228" s="3"/>
      <c r="VP228" s="3"/>
      <c r="VQ228" s="3"/>
      <c r="VR228" s="3"/>
      <c r="VS228" s="3"/>
      <c r="VT228" s="3"/>
      <c r="VU228" s="3"/>
      <c r="VV228" s="3"/>
      <c r="VW228" s="3"/>
      <c r="VX228" s="3"/>
      <c r="VY228" s="3"/>
      <c r="VZ228" s="3"/>
      <c r="WA228" s="3"/>
      <c r="WB228" s="3"/>
      <c r="WC228" s="3"/>
      <c r="WD228" s="3"/>
      <c r="WE228" s="3"/>
      <c r="WF228" s="3"/>
      <c r="WG228" s="3"/>
      <c r="WH228" s="3"/>
      <c r="WI228" s="3"/>
      <c r="WJ228" s="3"/>
      <c r="WK228" s="3"/>
      <c r="WL228" s="3"/>
      <c r="WM228" s="3"/>
      <c r="WN228" s="3"/>
      <c r="WO228" s="3"/>
      <c r="WP228" s="3"/>
      <c r="WQ228" s="3"/>
      <c r="WR228" s="3"/>
      <c r="WS228" s="3"/>
      <c r="WT228" s="3"/>
      <c r="WU228" s="3"/>
      <c r="WV228" s="3"/>
      <c r="WW228" s="3"/>
      <c r="WX228" s="3"/>
      <c r="WY228" s="3"/>
      <c r="WZ228" s="3"/>
      <c r="XA228" s="3"/>
      <c r="XB228" s="3"/>
      <c r="XC228" s="3"/>
      <c r="XD228" s="3"/>
      <c r="XE228" s="3"/>
      <c r="XF228" s="3"/>
      <c r="XG228" s="3"/>
      <c r="XH228" s="3"/>
      <c r="XI228" s="3"/>
      <c r="XJ228" s="3"/>
      <c r="XK228" s="3"/>
      <c r="XL228" s="3"/>
      <c r="XM228" s="3"/>
      <c r="XN228" s="3"/>
      <c r="XO228" s="3"/>
      <c r="XP228" s="3"/>
      <c r="XQ228" s="3"/>
      <c r="XR228" s="3"/>
      <c r="XS228" s="3"/>
      <c r="XT228" s="3"/>
      <c r="XU228" s="3"/>
      <c r="XV228" s="3"/>
      <c r="XW228" s="3"/>
      <c r="XX228" s="3"/>
      <c r="XY228" s="3"/>
      <c r="XZ228" s="3"/>
      <c r="YA228" s="3"/>
      <c r="YB228" s="3"/>
      <c r="YC228" s="3"/>
      <c r="YD228" s="3"/>
      <c r="YE228" s="3"/>
      <c r="YF228" s="3"/>
      <c r="YG228" s="3"/>
      <c r="YH228" s="3"/>
      <c r="YI228" s="3"/>
      <c r="YJ228" s="3"/>
      <c r="YK228" s="3"/>
      <c r="YL228" s="3"/>
      <c r="YM228" s="3"/>
      <c r="YN228" s="3"/>
      <c r="YO228" s="3"/>
      <c r="YP228" s="3"/>
      <c r="YQ228" s="3"/>
      <c r="YR228" s="3"/>
      <c r="YS228" s="3"/>
      <c r="YT228" s="3"/>
      <c r="YU228" s="3"/>
      <c r="YV228" s="3"/>
      <c r="YW228" s="3"/>
      <c r="YX228" s="3"/>
      <c r="YY228" s="3"/>
      <c r="YZ228" s="3"/>
      <c r="ZA228" s="3"/>
      <c r="ZB228" s="3"/>
      <c r="ZC228" s="3"/>
    </row>
    <row r="229" spans="1:679" s="2" customFormat="1" x14ac:dyDescent="0.45">
      <c r="A229" s="3" t="s">
        <v>11</v>
      </c>
      <c r="B229" s="4">
        <v>37008</v>
      </c>
      <c r="C229" s="7" t="s">
        <v>21</v>
      </c>
      <c r="D229" s="6" t="s">
        <v>246</v>
      </c>
      <c r="E229" s="3"/>
      <c r="F229" s="3">
        <v>96</v>
      </c>
      <c r="L229" s="3"/>
      <c r="M229" s="3"/>
      <c r="N229" s="48"/>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c r="CP229" s="3"/>
      <c r="CQ229" s="3"/>
      <c r="CR229" s="3"/>
      <c r="CS229" s="3"/>
      <c r="CT229" s="3"/>
      <c r="CU229" s="3"/>
      <c r="CV229" s="3"/>
      <c r="CW229" s="3"/>
      <c r="CX229" s="3"/>
      <c r="CY229" s="3"/>
      <c r="CZ229" s="3"/>
      <c r="DA229" s="3"/>
      <c r="DB229" s="3"/>
      <c r="DC229" s="3"/>
      <c r="DD229" s="3"/>
      <c r="DE229" s="3"/>
      <c r="DF229" s="3"/>
      <c r="DG229" s="3"/>
      <c r="DH229" s="3"/>
      <c r="DI229" s="3"/>
      <c r="DJ229" s="3"/>
      <c r="DK229" s="3"/>
      <c r="DL229" s="3"/>
      <c r="DM229" s="3"/>
      <c r="DN229" s="3"/>
      <c r="DO229" s="3"/>
      <c r="DP229" s="3"/>
      <c r="DQ229" s="3"/>
      <c r="DR229" s="3"/>
      <c r="DS229" s="3"/>
      <c r="DT229" s="3"/>
      <c r="DU229" s="3"/>
      <c r="DV229" s="3"/>
      <c r="DW229" s="3"/>
      <c r="DX229" s="3"/>
      <c r="DY229" s="3"/>
      <c r="DZ229" s="3"/>
      <c r="EA229" s="3"/>
      <c r="EB229" s="3"/>
      <c r="EC229" s="3"/>
      <c r="ED229" s="3"/>
      <c r="EE229" s="3"/>
      <c r="EF229" s="3"/>
      <c r="EG229" s="3"/>
      <c r="EH229" s="3"/>
      <c r="EI229" s="3"/>
      <c r="EJ229" s="3"/>
      <c r="EK229" s="3"/>
      <c r="EL229" s="3"/>
      <c r="EM229" s="3"/>
      <c r="EN229" s="3"/>
      <c r="EO229" s="3"/>
      <c r="EP229" s="3"/>
      <c r="EQ229" s="3"/>
      <c r="ER229" s="3"/>
      <c r="ES229" s="3"/>
      <c r="ET229" s="3"/>
      <c r="EU229" s="3"/>
      <c r="EV229" s="3"/>
      <c r="EW229" s="3"/>
      <c r="EX229" s="3"/>
      <c r="EY229" s="3"/>
      <c r="EZ229" s="3"/>
      <c r="FA229" s="3"/>
      <c r="FB229" s="3"/>
      <c r="FC229" s="3"/>
      <c r="FD229" s="3"/>
      <c r="FE229" s="3"/>
      <c r="FF229" s="3"/>
      <c r="FG229" s="3"/>
      <c r="FH229" s="3"/>
      <c r="FI229" s="3"/>
      <c r="FJ229" s="3"/>
      <c r="FK229" s="3"/>
      <c r="FL229" s="3"/>
      <c r="FM229" s="3"/>
      <c r="FN229" s="3"/>
      <c r="FO229" s="3"/>
      <c r="FP229" s="3"/>
      <c r="FQ229" s="3"/>
      <c r="FR229" s="3"/>
      <c r="FS229" s="3"/>
      <c r="FT229" s="3"/>
      <c r="FU229" s="3"/>
      <c r="FV229" s="3"/>
      <c r="FW229" s="3"/>
      <c r="FX229" s="3"/>
      <c r="FY229" s="3"/>
      <c r="FZ229" s="3"/>
      <c r="GA229" s="3"/>
      <c r="GB229" s="3"/>
      <c r="GC229" s="3"/>
      <c r="GD229" s="3"/>
      <c r="GE229" s="3"/>
      <c r="GF229" s="3"/>
      <c r="GG229" s="3"/>
      <c r="GH229" s="3"/>
      <c r="GI229" s="3"/>
      <c r="GJ229" s="3"/>
      <c r="GK229" s="3"/>
      <c r="GL229" s="3"/>
      <c r="GM229" s="3"/>
      <c r="GN229" s="3"/>
      <c r="GO229" s="3"/>
      <c r="GP229" s="3"/>
      <c r="GQ229" s="3"/>
      <c r="GR229" s="3"/>
      <c r="GS229" s="3"/>
      <c r="GT229" s="3"/>
      <c r="GU229" s="3"/>
      <c r="GV229" s="3"/>
      <c r="GW229" s="3"/>
      <c r="GX229" s="3"/>
      <c r="GY229" s="3"/>
      <c r="GZ229" s="3"/>
      <c r="HA229" s="3"/>
      <c r="HB229" s="3"/>
      <c r="HC229" s="3"/>
      <c r="HD229" s="3"/>
      <c r="HE229" s="3"/>
      <c r="HF229" s="3"/>
      <c r="HG229" s="3"/>
      <c r="HH229" s="3"/>
      <c r="HI229" s="3"/>
      <c r="HJ229" s="3"/>
      <c r="HK229" s="3"/>
      <c r="HL229" s="3"/>
      <c r="HM229" s="3"/>
      <c r="HN229" s="3"/>
      <c r="HO229" s="3"/>
      <c r="HP229" s="3"/>
      <c r="HQ229" s="3"/>
      <c r="HR229" s="3"/>
      <c r="HS229" s="3"/>
      <c r="HT229" s="3"/>
      <c r="HU229" s="3"/>
      <c r="HV229" s="3"/>
      <c r="HW229" s="3"/>
      <c r="HX229" s="3"/>
      <c r="HY229" s="3"/>
      <c r="HZ229" s="3"/>
      <c r="IA229" s="3"/>
      <c r="IB229" s="3"/>
      <c r="IC229" s="3"/>
      <c r="ID229" s="3"/>
      <c r="IE229" s="3"/>
      <c r="IF229" s="3"/>
      <c r="IG229" s="3"/>
      <c r="IH229" s="3"/>
      <c r="II229" s="3"/>
      <c r="IJ229" s="3"/>
      <c r="IK229" s="3"/>
      <c r="IL229" s="3"/>
      <c r="IM229" s="3"/>
      <c r="IN229" s="3"/>
      <c r="IO229" s="3"/>
      <c r="IP229" s="3"/>
      <c r="IQ229" s="3"/>
      <c r="IR229" s="3"/>
      <c r="IS229" s="3"/>
      <c r="IT229" s="3"/>
      <c r="IU229" s="3"/>
      <c r="IV229" s="3"/>
      <c r="IW229" s="3"/>
      <c r="IX229" s="3"/>
      <c r="IY229" s="3"/>
      <c r="IZ229" s="3"/>
      <c r="JA229" s="3"/>
      <c r="JB229" s="3"/>
      <c r="JC229" s="3"/>
      <c r="JD229" s="3"/>
      <c r="JE229" s="3"/>
      <c r="JF229" s="3"/>
      <c r="JG229" s="3"/>
      <c r="JH229" s="3"/>
      <c r="JI229" s="3"/>
      <c r="JJ229" s="3"/>
      <c r="JK229" s="3"/>
      <c r="JL229" s="3"/>
      <c r="JM229" s="3"/>
      <c r="JN229" s="3"/>
      <c r="JO229" s="3"/>
      <c r="JP229" s="3"/>
      <c r="JQ229" s="3"/>
      <c r="JR229" s="3"/>
      <c r="JS229" s="3"/>
      <c r="JT229" s="3"/>
      <c r="JU229" s="3"/>
      <c r="JV229" s="3"/>
      <c r="JW229" s="3"/>
      <c r="JX229" s="3"/>
      <c r="JY229" s="3"/>
      <c r="JZ229" s="3"/>
      <c r="KA229" s="3"/>
      <c r="KB229" s="3"/>
      <c r="KC229" s="3"/>
      <c r="KD229" s="3"/>
      <c r="KE229" s="3"/>
      <c r="KF229" s="3"/>
      <c r="KG229" s="3"/>
      <c r="KH229" s="3"/>
      <c r="KI229" s="3"/>
      <c r="KJ229" s="3"/>
      <c r="KK229" s="3"/>
      <c r="KL229" s="3"/>
      <c r="KM229" s="3"/>
      <c r="KN229" s="3"/>
      <c r="KO229" s="3"/>
      <c r="KP229" s="3"/>
      <c r="KQ229" s="3"/>
      <c r="KR229" s="3"/>
      <c r="KS229" s="3"/>
      <c r="KT229" s="3"/>
      <c r="KU229" s="3"/>
      <c r="KV229" s="3"/>
      <c r="KW229" s="3"/>
      <c r="KX229" s="3"/>
      <c r="KY229" s="3"/>
      <c r="KZ229" s="3"/>
      <c r="LA229" s="3"/>
      <c r="LB229" s="3"/>
      <c r="LC229" s="3"/>
      <c r="LD229" s="3"/>
      <c r="LE229" s="3"/>
      <c r="LF229" s="3"/>
      <c r="LG229" s="3"/>
      <c r="LH229" s="3"/>
      <c r="LI229" s="3"/>
      <c r="LJ229" s="3"/>
      <c r="LK229" s="3"/>
      <c r="LL229" s="3"/>
      <c r="LM229" s="3"/>
      <c r="LN229" s="3"/>
      <c r="LO229" s="3"/>
      <c r="LP229" s="3"/>
      <c r="LQ229" s="3"/>
      <c r="LR229" s="3"/>
      <c r="LS229" s="3"/>
      <c r="LT229" s="3"/>
      <c r="LU229" s="3"/>
      <c r="LV229" s="3"/>
      <c r="LW229" s="3"/>
      <c r="LX229" s="3"/>
      <c r="LY229" s="3"/>
      <c r="LZ229" s="3"/>
      <c r="MA229" s="3"/>
      <c r="MB229" s="3"/>
      <c r="MC229" s="3"/>
      <c r="MD229" s="3"/>
      <c r="ME229" s="3"/>
      <c r="MF229" s="3"/>
      <c r="MG229" s="3"/>
      <c r="MH229" s="3"/>
      <c r="MI229" s="3"/>
      <c r="MJ229" s="3"/>
      <c r="MK229" s="3"/>
      <c r="ML229" s="3"/>
      <c r="MM229" s="3"/>
      <c r="MN229" s="3"/>
      <c r="MO229" s="3"/>
      <c r="MP229" s="3"/>
      <c r="MQ229" s="3"/>
      <c r="MR229" s="3"/>
      <c r="MS229" s="3"/>
      <c r="MT229" s="3"/>
      <c r="MU229" s="3"/>
      <c r="MV229" s="3"/>
      <c r="MW229" s="3"/>
      <c r="MX229" s="3"/>
      <c r="MY229" s="3"/>
      <c r="MZ229" s="3"/>
      <c r="NA229" s="3"/>
      <c r="NB229" s="3"/>
      <c r="NC229" s="3"/>
      <c r="ND229" s="3"/>
      <c r="NE229" s="3"/>
      <c r="NF229" s="3"/>
      <c r="NG229" s="3"/>
      <c r="NH229" s="3"/>
      <c r="NI229" s="3"/>
      <c r="NJ229" s="3"/>
      <c r="NK229" s="3"/>
      <c r="NL229" s="3"/>
      <c r="NM229" s="3"/>
      <c r="NN229" s="3"/>
      <c r="NO229" s="3"/>
      <c r="NP229" s="3"/>
      <c r="NQ229" s="3"/>
      <c r="NR229" s="3"/>
      <c r="NS229" s="3"/>
      <c r="NT229" s="3"/>
      <c r="NU229" s="3"/>
      <c r="NV229" s="3"/>
      <c r="NW229" s="3"/>
      <c r="NX229" s="3"/>
      <c r="NY229" s="3"/>
      <c r="NZ229" s="3"/>
      <c r="OA229" s="3"/>
      <c r="OB229" s="3"/>
      <c r="OC229" s="3"/>
      <c r="OD229" s="3"/>
      <c r="OE229" s="3"/>
      <c r="OF229" s="3"/>
      <c r="OG229" s="3"/>
      <c r="OH229" s="3"/>
      <c r="OI229" s="3"/>
      <c r="OJ229" s="3"/>
      <c r="OK229" s="3"/>
      <c r="OL229" s="3"/>
      <c r="OM229" s="3"/>
      <c r="ON229" s="3"/>
      <c r="OO229" s="3"/>
      <c r="OP229" s="3"/>
      <c r="OQ229" s="3"/>
      <c r="OR229" s="3"/>
      <c r="OS229" s="3"/>
      <c r="OT229" s="3"/>
      <c r="OU229" s="3"/>
      <c r="OV229" s="3"/>
      <c r="OW229" s="3"/>
      <c r="OX229" s="3"/>
      <c r="OY229" s="3"/>
      <c r="OZ229" s="3"/>
      <c r="PA229" s="3"/>
      <c r="PB229" s="3"/>
      <c r="PC229" s="3"/>
      <c r="PD229" s="3"/>
      <c r="PE229" s="3"/>
      <c r="PF229" s="3"/>
      <c r="PG229" s="3"/>
      <c r="PH229" s="3"/>
      <c r="PI229" s="3"/>
      <c r="PJ229" s="3"/>
      <c r="PK229" s="3"/>
      <c r="PL229" s="3"/>
      <c r="PM229" s="3"/>
      <c r="PN229" s="3"/>
      <c r="PO229" s="3"/>
      <c r="PP229" s="3"/>
      <c r="PQ229" s="3"/>
      <c r="PR229" s="3"/>
      <c r="PS229" s="3"/>
      <c r="PT229" s="3"/>
      <c r="PU229" s="3"/>
      <c r="PV229" s="3"/>
      <c r="PW229" s="3"/>
      <c r="PX229" s="3"/>
      <c r="PY229" s="3"/>
      <c r="PZ229" s="3"/>
      <c r="QA229" s="3"/>
      <c r="QB229" s="3"/>
      <c r="QC229" s="3"/>
      <c r="QD229" s="3"/>
      <c r="QE229" s="3"/>
      <c r="QF229" s="3"/>
      <c r="QG229" s="3"/>
      <c r="QH229" s="3"/>
      <c r="QI229" s="3"/>
      <c r="QJ229" s="3"/>
      <c r="QK229" s="3"/>
      <c r="QL229" s="3"/>
      <c r="QM229" s="3"/>
      <c r="QN229" s="3"/>
      <c r="QO229" s="3"/>
      <c r="QP229" s="3"/>
      <c r="QQ229" s="3"/>
      <c r="QR229" s="3"/>
      <c r="QS229" s="3"/>
      <c r="QT229" s="3"/>
      <c r="QU229" s="3"/>
      <c r="QV229" s="3"/>
      <c r="QW229" s="3"/>
      <c r="QX229" s="3"/>
      <c r="QY229" s="3"/>
      <c r="QZ229" s="3"/>
      <c r="RA229" s="3"/>
      <c r="RB229" s="3"/>
      <c r="RC229" s="3"/>
      <c r="RD229" s="3"/>
      <c r="RE229" s="3"/>
      <c r="RF229" s="3"/>
      <c r="RG229" s="3"/>
      <c r="RH229" s="3"/>
      <c r="RI229" s="3"/>
      <c r="RJ229" s="3"/>
      <c r="RK229" s="3"/>
      <c r="RL229" s="3"/>
      <c r="RM229" s="3"/>
      <c r="RN229" s="3"/>
      <c r="RO229" s="3"/>
      <c r="RP229" s="3"/>
      <c r="RQ229" s="3"/>
      <c r="RR229" s="3"/>
      <c r="RS229" s="3"/>
      <c r="RT229" s="3"/>
      <c r="RU229" s="3"/>
      <c r="RV229" s="3"/>
      <c r="RW229" s="3"/>
      <c r="RX229" s="3"/>
      <c r="RY229" s="3"/>
      <c r="RZ229" s="3"/>
      <c r="SA229" s="3"/>
      <c r="SB229" s="3"/>
      <c r="SC229" s="3"/>
      <c r="SD229" s="3"/>
      <c r="SE229" s="3"/>
      <c r="SF229" s="3"/>
      <c r="SG229" s="3"/>
      <c r="SH229" s="3"/>
      <c r="SI229" s="3"/>
      <c r="SJ229" s="3"/>
      <c r="SK229" s="3"/>
      <c r="SL229" s="3"/>
      <c r="SM229" s="3"/>
      <c r="SN229" s="3"/>
      <c r="SO229" s="3"/>
      <c r="SP229" s="3"/>
      <c r="SQ229" s="3"/>
      <c r="SR229" s="3"/>
      <c r="SS229" s="3"/>
      <c r="ST229" s="3"/>
      <c r="SU229" s="3"/>
      <c r="SV229" s="3"/>
      <c r="SW229" s="3"/>
      <c r="SX229" s="3"/>
      <c r="SY229" s="3"/>
      <c r="SZ229" s="3"/>
      <c r="TA229" s="3"/>
      <c r="TB229" s="3"/>
      <c r="TC229" s="3"/>
      <c r="TD229" s="3"/>
      <c r="TE229" s="3"/>
      <c r="TF229" s="3"/>
      <c r="TG229" s="3"/>
      <c r="TH229" s="3"/>
      <c r="TI229" s="3"/>
      <c r="TJ229" s="3"/>
      <c r="TK229" s="3"/>
      <c r="TL229" s="3"/>
      <c r="TM229" s="3"/>
      <c r="TN229" s="3"/>
      <c r="TO229" s="3"/>
      <c r="TP229" s="3"/>
      <c r="TQ229" s="3"/>
      <c r="TR229" s="3"/>
      <c r="TS229" s="3"/>
      <c r="TT229" s="3"/>
      <c r="TU229" s="3"/>
      <c r="TV229" s="3"/>
      <c r="TW229" s="3"/>
      <c r="TX229" s="3"/>
      <c r="TY229" s="3"/>
      <c r="TZ229" s="3"/>
      <c r="UA229" s="3"/>
      <c r="UB229" s="3"/>
      <c r="UC229" s="3"/>
      <c r="UD229" s="3"/>
      <c r="UE229" s="3"/>
      <c r="UF229" s="3"/>
      <c r="UG229" s="3"/>
      <c r="UH229" s="3"/>
      <c r="UI229" s="3"/>
      <c r="UJ229" s="3"/>
      <c r="UK229" s="3"/>
      <c r="UL229" s="3"/>
      <c r="UM229" s="3"/>
      <c r="UN229" s="3"/>
      <c r="UO229" s="3"/>
      <c r="UP229" s="3"/>
      <c r="UQ229" s="3"/>
      <c r="UR229" s="3"/>
      <c r="US229" s="3"/>
      <c r="UT229" s="3"/>
      <c r="UU229" s="3"/>
      <c r="UV229" s="3"/>
      <c r="UW229" s="3"/>
      <c r="UX229" s="3"/>
      <c r="UY229" s="3"/>
      <c r="UZ229" s="3"/>
      <c r="VA229" s="3"/>
      <c r="VB229" s="3"/>
      <c r="VC229" s="3"/>
      <c r="VD229" s="3"/>
      <c r="VE229" s="3"/>
      <c r="VF229" s="3"/>
      <c r="VG229" s="3"/>
      <c r="VH229" s="3"/>
      <c r="VI229" s="3"/>
      <c r="VJ229" s="3"/>
      <c r="VK229" s="3"/>
      <c r="VL229" s="3"/>
      <c r="VM229" s="3"/>
      <c r="VN229" s="3"/>
      <c r="VO229" s="3"/>
      <c r="VP229" s="3"/>
      <c r="VQ229" s="3"/>
      <c r="VR229" s="3"/>
      <c r="VS229" s="3"/>
      <c r="VT229" s="3"/>
      <c r="VU229" s="3"/>
      <c r="VV229" s="3"/>
      <c r="VW229" s="3"/>
      <c r="VX229" s="3"/>
      <c r="VY229" s="3"/>
      <c r="VZ229" s="3"/>
      <c r="WA229" s="3"/>
      <c r="WB229" s="3"/>
      <c r="WC229" s="3"/>
      <c r="WD229" s="3"/>
      <c r="WE229" s="3"/>
      <c r="WF229" s="3"/>
      <c r="WG229" s="3"/>
      <c r="WH229" s="3"/>
      <c r="WI229" s="3"/>
      <c r="WJ229" s="3"/>
      <c r="WK229" s="3"/>
      <c r="WL229" s="3"/>
      <c r="WM229" s="3"/>
      <c r="WN229" s="3"/>
      <c r="WO229" s="3"/>
      <c r="WP229" s="3"/>
      <c r="WQ229" s="3"/>
      <c r="WR229" s="3"/>
      <c r="WS229" s="3"/>
      <c r="WT229" s="3"/>
      <c r="WU229" s="3"/>
      <c r="WV229" s="3"/>
      <c r="WW229" s="3"/>
      <c r="WX229" s="3"/>
      <c r="WY229" s="3"/>
      <c r="WZ229" s="3"/>
      <c r="XA229" s="3"/>
      <c r="XB229" s="3"/>
      <c r="XC229" s="3"/>
      <c r="XD229" s="3"/>
      <c r="XE229" s="3"/>
      <c r="XF229" s="3"/>
      <c r="XG229" s="3"/>
      <c r="XH229" s="3"/>
      <c r="XI229" s="3"/>
      <c r="XJ229" s="3"/>
      <c r="XK229" s="3"/>
      <c r="XL229" s="3"/>
      <c r="XM229" s="3"/>
      <c r="XN229" s="3"/>
      <c r="XO229" s="3"/>
      <c r="XP229" s="3"/>
      <c r="XQ229" s="3"/>
      <c r="XR229" s="3"/>
      <c r="XS229" s="3"/>
      <c r="XT229" s="3"/>
      <c r="XU229" s="3"/>
      <c r="XV229" s="3"/>
      <c r="XW229" s="3"/>
      <c r="XX229" s="3"/>
      <c r="XY229" s="3"/>
      <c r="XZ229" s="3"/>
      <c r="YA229" s="3"/>
      <c r="YB229" s="3"/>
      <c r="YC229" s="3"/>
      <c r="YD229" s="3"/>
      <c r="YE229" s="3"/>
      <c r="YF229" s="3"/>
      <c r="YG229" s="3"/>
      <c r="YH229" s="3"/>
      <c r="YI229" s="3"/>
      <c r="YJ229" s="3"/>
      <c r="YK229" s="3"/>
      <c r="YL229" s="3"/>
      <c r="YM229" s="3"/>
      <c r="YN229" s="3"/>
      <c r="YO229" s="3"/>
      <c r="YP229" s="3"/>
      <c r="YQ229" s="3"/>
      <c r="YR229" s="3"/>
      <c r="YS229" s="3"/>
      <c r="YT229" s="3"/>
      <c r="YU229" s="3"/>
      <c r="YV229" s="3"/>
      <c r="YW229" s="3"/>
      <c r="YX229" s="3"/>
      <c r="YY229" s="3"/>
      <c r="YZ229" s="3"/>
      <c r="ZA229" s="3"/>
      <c r="ZB229" s="3"/>
      <c r="ZC229" s="3"/>
    </row>
    <row r="230" spans="1:679" s="2" customFormat="1" x14ac:dyDescent="0.45">
      <c r="A230" s="3" t="s">
        <v>11</v>
      </c>
      <c r="B230" s="4">
        <v>37012</v>
      </c>
      <c r="C230" s="7" t="s">
        <v>247</v>
      </c>
      <c r="D230" s="3"/>
      <c r="E230" s="10" t="s">
        <v>248</v>
      </c>
      <c r="F230" s="3">
        <v>469</v>
      </c>
      <c r="L230" s="3"/>
      <c r="M230" s="3"/>
      <c r="N230" s="48"/>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3"/>
      <c r="CR230" s="3"/>
      <c r="CS230" s="3"/>
      <c r="CT230" s="3"/>
      <c r="CU230" s="3"/>
      <c r="CV230" s="3"/>
      <c r="CW230" s="3"/>
      <c r="CX230" s="3"/>
      <c r="CY230" s="3"/>
      <c r="CZ230" s="3"/>
      <c r="DA230" s="3"/>
      <c r="DB230" s="3"/>
      <c r="DC230" s="3"/>
      <c r="DD230" s="3"/>
      <c r="DE230" s="3"/>
      <c r="DF230" s="3"/>
      <c r="DG230" s="3"/>
      <c r="DH230" s="3"/>
      <c r="DI230" s="3"/>
      <c r="DJ230" s="3"/>
      <c r="DK230" s="3"/>
      <c r="DL230" s="3"/>
      <c r="DM230" s="3"/>
      <c r="DN230" s="3"/>
      <c r="DO230" s="3"/>
      <c r="DP230" s="3"/>
      <c r="DQ230" s="3"/>
      <c r="DR230" s="3"/>
      <c r="DS230" s="3"/>
      <c r="DT230" s="3"/>
      <c r="DU230" s="3"/>
      <c r="DV230" s="3"/>
      <c r="DW230" s="3"/>
      <c r="DX230" s="3"/>
      <c r="DY230" s="3"/>
      <c r="DZ230" s="3"/>
      <c r="EA230" s="3"/>
      <c r="EB230" s="3"/>
      <c r="EC230" s="3"/>
      <c r="ED230" s="3"/>
      <c r="EE230" s="3"/>
      <c r="EF230" s="3"/>
      <c r="EG230" s="3"/>
      <c r="EH230" s="3"/>
      <c r="EI230" s="3"/>
      <c r="EJ230" s="3"/>
      <c r="EK230" s="3"/>
      <c r="EL230" s="3"/>
      <c r="EM230" s="3"/>
      <c r="EN230" s="3"/>
      <c r="EO230" s="3"/>
      <c r="EP230" s="3"/>
      <c r="EQ230" s="3"/>
      <c r="ER230" s="3"/>
      <c r="ES230" s="3"/>
      <c r="ET230" s="3"/>
      <c r="EU230" s="3"/>
      <c r="EV230" s="3"/>
      <c r="EW230" s="3"/>
      <c r="EX230" s="3"/>
      <c r="EY230" s="3"/>
      <c r="EZ230" s="3"/>
      <c r="FA230" s="3"/>
      <c r="FB230" s="3"/>
      <c r="FC230" s="3"/>
      <c r="FD230" s="3"/>
      <c r="FE230" s="3"/>
      <c r="FF230" s="3"/>
      <c r="FG230" s="3"/>
      <c r="FH230" s="3"/>
      <c r="FI230" s="3"/>
      <c r="FJ230" s="3"/>
      <c r="FK230" s="3"/>
      <c r="FL230" s="3"/>
      <c r="FM230" s="3"/>
      <c r="FN230" s="3"/>
      <c r="FO230" s="3"/>
      <c r="FP230" s="3"/>
      <c r="FQ230" s="3"/>
      <c r="FR230" s="3"/>
      <c r="FS230" s="3"/>
      <c r="FT230" s="3"/>
      <c r="FU230" s="3"/>
      <c r="FV230" s="3"/>
      <c r="FW230" s="3"/>
      <c r="FX230" s="3"/>
      <c r="FY230" s="3"/>
      <c r="FZ230" s="3"/>
      <c r="GA230" s="3"/>
      <c r="GB230" s="3"/>
      <c r="GC230" s="3"/>
      <c r="GD230" s="3"/>
      <c r="GE230" s="3"/>
      <c r="GF230" s="3"/>
      <c r="GG230" s="3"/>
      <c r="GH230" s="3"/>
      <c r="GI230" s="3"/>
      <c r="GJ230" s="3"/>
      <c r="GK230" s="3"/>
      <c r="GL230" s="3"/>
      <c r="GM230" s="3"/>
      <c r="GN230" s="3"/>
      <c r="GO230" s="3"/>
      <c r="GP230" s="3"/>
      <c r="GQ230" s="3"/>
      <c r="GR230" s="3"/>
      <c r="GS230" s="3"/>
      <c r="GT230" s="3"/>
      <c r="GU230" s="3"/>
      <c r="GV230" s="3"/>
      <c r="GW230" s="3"/>
      <c r="GX230" s="3"/>
      <c r="GY230" s="3"/>
      <c r="GZ230" s="3"/>
      <c r="HA230" s="3"/>
      <c r="HB230" s="3"/>
      <c r="HC230" s="3"/>
      <c r="HD230" s="3"/>
      <c r="HE230" s="3"/>
      <c r="HF230" s="3"/>
      <c r="HG230" s="3"/>
      <c r="HH230" s="3"/>
      <c r="HI230" s="3"/>
      <c r="HJ230" s="3"/>
      <c r="HK230" s="3"/>
      <c r="HL230" s="3"/>
      <c r="HM230" s="3"/>
      <c r="HN230" s="3"/>
      <c r="HO230" s="3"/>
      <c r="HP230" s="3"/>
      <c r="HQ230" s="3"/>
      <c r="HR230" s="3"/>
      <c r="HS230" s="3"/>
      <c r="HT230" s="3"/>
      <c r="HU230" s="3"/>
      <c r="HV230" s="3"/>
      <c r="HW230" s="3"/>
      <c r="HX230" s="3"/>
      <c r="HY230" s="3"/>
      <c r="HZ230" s="3"/>
      <c r="IA230" s="3"/>
      <c r="IB230" s="3"/>
      <c r="IC230" s="3"/>
      <c r="ID230" s="3"/>
      <c r="IE230" s="3"/>
      <c r="IF230" s="3"/>
      <c r="IG230" s="3"/>
      <c r="IH230" s="3"/>
      <c r="II230" s="3"/>
      <c r="IJ230" s="3"/>
      <c r="IK230" s="3"/>
      <c r="IL230" s="3"/>
      <c r="IM230" s="3"/>
      <c r="IN230" s="3"/>
      <c r="IO230" s="3"/>
      <c r="IP230" s="3"/>
      <c r="IQ230" s="3"/>
      <c r="IR230" s="3"/>
      <c r="IS230" s="3"/>
      <c r="IT230" s="3"/>
      <c r="IU230" s="3"/>
      <c r="IV230" s="3"/>
      <c r="IW230" s="3"/>
      <c r="IX230" s="3"/>
      <c r="IY230" s="3"/>
      <c r="IZ230" s="3"/>
      <c r="JA230" s="3"/>
      <c r="JB230" s="3"/>
      <c r="JC230" s="3"/>
      <c r="JD230" s="3"/>
      <c r="JE230" s="3"/>
      <c r="JF230" s="3"/>
      <c r="JG230" s="3"/>
      <c r="JH230" s="3"/>
      <c r="JI230" s="3"/>
      <c r="JJ230" s="3"/>
      <c r="JK230" s="3"/>
      <c r="JL230" s="3"/>
      <c r="JM230" s="3"/>
      <c r="JN230" s="3"/>
      <c r="JO230" s="3"/>
      <c r="JP230" s="3"/>
      <c r="JQ230" s="3"/>
      <c r="JR230" s="3"/>
      <c r="JS230" s="3"/>
      <c r="JT230" s="3"/>
      <c r="JU230" s="3"/>
      <c r="JV230" s="3"/>
      <c r="JW230" s="3"/>
      <c r="JX230" s="3"/>
      <c r="JY230" s="3"/>
      <c r="JZ230" s="3"/>
      <c r="KA230" s="3"/>
      <c r="KB230" s="3"/>
      <c r="KC230" s="3"/>
      <c r="KD230" s="3"/>
      <c r="KE230" s="3"/>
      <c r="KF230" s="3"/>
      <c r="KG230" s="3"/>
      <c r="KH230" s="3"/>
      <c r="KI230" s="3"/>
      <c r="KJ230" s="3"/>
      <c r="KK230" s="3"/>
      <c r="KL230" s="3"/>
      <c r="KM230" s="3"/>
      <c r="KN230" s="3"/>
      <c r="KO230" s="3"/>
      <c r="KP230" s="3"/>
      <c r="KQ230" s="3"/>
      <c r="KR230" s="3"/>
      <c r="KS230" s="3"/>
      <c r="KT230" s="3"/>
      <c r="KU230" s="3"/>
      <c r="KV230" s="3"/>
      <c r="KW230" s="3"/>
      <c r="KX230" s="3"/>
      <c r="KY230" s="3"/>
      <c r="KZ230" s="3"/>
      <c r="LA230" s="3"/>
      <c r="LB230" s="3"/>
      <c r="LC230" s="3"/>
      <c r="LD230" s="3"/>
      <c r="LE230" s="3"/>
      <c r="LF230" s="3"/>
      <c r="LG230" s="3"/>
      <c r="LH230" s="3"/>
      <c r="LI230" s="3"/>
      <c r="LJ230" s="3"/>
      <c r="LK230" s="3"/>
      <c r="LL230" s="3"/>
      <c r="LM230" s="3"/>
      <c r="LN230" s="3"/>
      <c r="LO230" s="3"/>
      <c r="LP230" s="3"/>
      <c r="LQ230" s="3"/>
      <c r="LR230" s="3"/>
      <c r="LS230" s="3"/>
      <c r="LT230" s="3"/>
      <c r="LU230" s="3"/>
      <c r="LV230" s="3"/>
      <c r="LW230" s="3"/>
      <c r="LX230" s="3"/>
      <c r="LY230" s="3"/>
      <c r="LZ230" s="3"/>
      <c r="MA230" s="3"/>
      <c r="MB230" s="3"/>
      <c r="MC230" s="3"/>
      <c r="MD230" s="3"/>
      <c r="ME230" s="3"/>
      <c r="MF230" s="3"/>
      <c r="MG230" s="3"/>
      <c r="MH230" s="3"/>
      <c r="MI230" s="3"/>
      <c r="MJ230" s="3"/>
      <c r="MK230" s="3"/>
      <c r="ML230" s="3"/>
      <c r="MM230" s="3"/>
      <c r="MN230" s="3"/>
      <c r="MO230" s="3"/>
      <c r="MP230" s="3"/>
      <c r="MQ230" s="3"/>
      <c r="MR230" s="3"/>
      <c r="MS230" s="3"/>
      <c r="MT230" s="3"/>
      <c r="MU230" s="3"/>
      <c r="MV230" s="3"/>
      <c r="MW230" s="3"/>
      <c r="MX230" s="3"/>
      <c r="MY230" s="3"/>
      <c r="MZ230" s="3"/>
      <c r="NA230" s="3"/>
      <c r="NB230" s="3"/>
      <c r="NC230" s="3"/>
      <c r="ND230" s="3"/>
      <c r="NE230" s="3"/>
      <c r="NF230" s="3"/>
      <c r="NG230" s="3"/>
      <c r="NH230" s="3"/>
      <c r="NI230" s="3"/>
      <c r="NJ230" s="3"/>
      <c r="NK230" s="3"/>
      <c r="NL230" s="3"/>
      <c r="NM230" s="3"/>
      <c r="NN230" s="3"/>
      <c r="NO230" s="3"/>
      <c r="NP230" s="3"/>
      <c r="NQ230" s="3"/>
      <c r="NR230" s="3"/>
      <c r="NS230" s="3"/>
      <c r="NT230" s="3"/>
      <c r="NU230" s="3"/>
      <c r="NV230" s="3"/>
      <c r="NW230" s="3"/>
      <c r="NX230" s="3"/>
      <c r="NY230" s="3"/>
      <c r="NZ230" s="3"/>
      <c r="OA230" s="3"/>
      <c r="OB230" s="3"/>
      <c r="OC230" s="3"/>
      <c r="OD230" s="3"/>
      <c r="OE230" s="3"/>
      <c r="OF230" s="3"/>
      <c r="OG230" s="3"/>
      <c r="OH230" s="3"/>
      <c r="OI230" s="3"/>
      <c r="OJ230" s="3"/>
      <c r="OK230" s="3"/>
      <c r="OL230" s="3"/>
      <c r="OM230" s="3"/>
      <c r="ON230" s="3"/>
      <c r="OO230" s="3"/>
      <c r="OP230" s="3"/>
      <c r="OQ230" s="3"/>
      <c r="OR230" s="3"/>
      <c r="OS230" s="3"/>
      <c r="OT230" s="3"/>
      <c r="OU230" s="3"/>
      <c r="OV230" s="3"/>
      <c r="OW230" s="3"/>
      <c r="OX230" s="3"/>
      <c r="OY230" s="3"/>
      <c r="OZ230" s="3"/>
      <c r="PA230" s="3"/>
      <c r="PB230" s="3"/>
      <c r="PC230" s="3"/>
      <c r="PD230" s="3"/>
      <c r="PE230" s="3"/>
      <c r="PF230" s="3"/>
      <c r="PG230" s="3"/>
      <c r="PH230" s="3"/>
      <c r="PI230" s="3"/>
      <c r="PJ230" s="3"/>
      <c r="PK230" s="3"/>
      <c r="PL230" s="3"/>
      <c r="PM230" s="3"/>
      <c r="PN230" s="3"/>
      <c r="PO230" s="3"/>
      <c r="PP230" s="3"/>
      <c r="PQ230" s="3"/>
      <c r="PR230" s="3"/>
      <c r="PS230" s="3"/>
      <c r="PT230" s="3"/>
      <c r="PU230" s="3"/>
      <c r="PV230" s="3"/>
      <c r="PW230" s="3"/>
      <c r="PX230" s="3"/>
      <c r="PY230" s="3"/>
      <c r="PZ230" s="3"/>
      <c r="QA230" s="3"/>
      <c r="QB230" s="3"/>
      <c r="QC230" s="3"/>
      <c r="QD230" s="3"/>
      <c r="QE230" s="3"/>
      <c r="QF230" s="3"/>
      <c r="QG230" s="3"/>
      <c r="QH230" s="3"/>
      <c r="QI230" s="3"/>
      <c r="QJ230" s="3"/>
      <c r="QK230" s="3"/>
      <c r="QL230" s="3"/>
      <c r="QM230" s="3"/>
      <c r="QN230" s="3"/>
      <c r="QO230" s="3"/>
      <c r="QP230" s="3"/>
      <c r="QQ230" s="3"/>
      <c r="QR230" s="3"/>
      <c r="QS230" s="3"/>
      <c r="QT230" s="3"/>
      <c r="QU230" s="3"/>
      <c r="QV230" s="3"/>
      <c r="QW230" s="3"/>
      <c r="QX230" s="3"/>
      <c r="QY230" s="3"/>
      <c r="QZ230" s="3"/>
      <c r="RA230" s="3"/>
      <c r="RB230" s="3"/>
      <c r="RC230" s="3"/>
      <c r="RD230" s="3"/>
      <c r="RE230" s="3"/>
      <c r="RF230" s="3"/>
      <c r="RG230" s="3"/>
      <c r="RH230" s="3"/>
      <c r="RI230" s="3"/>
      <c r="RJ230" s="3"/>
      <c r="RK230" s="3"/>
      <c r="RL230" s="3"/>
      <c r="RM230" s="3"/>
      <c r="RN230" s="3"/>
      <c r="RO230" s="3"/>
      <c r="RP230" s="3"/>
      <c r="RQ230" s="3"/>
      <c r="RR230" s="3"/>
      <c r="RS230" s="3"/>
      <c r="RT230" s="3"/>
      <c r="RU230" s="3"/>
      <c r="RV230" s="3"/>
      <c r="RW230" s="3"/>
      <c r="RX230" s="3"/>
      <c r="RY230" s="3"/>
      <c r="RZ230" s="3"/>
      <c r="SA230" s="3"/>
      <c r="SB230" s="3"/>
      <c r="SC230" s="3"/>
      <c r="SD230" s="3"/>
      <c r="SE230" s="3"/>
      <c r="SF230" s="3"/>
      <c r="SG230" s="3"/>
      <c r="SH230" s="3"/>
      <c r="SI230" s="3"/>
      <c r="SJ230" s="3"/>
      <c r="SK230" s="3"/>
      <c r="SL230" s="3"/>
      <c r="SM230" s="3"/>
      <c r="SN230" s="3"/>
      <c r="SO230" s="3"/>
      <c r="SP230" s="3"/>
      <c r="SQ230" s="3"/>
      <c r="SR230" s="3"/>
      <c r="SS230" s="3"/>
      <c r="ST230" s="3"/>
      <c r="SU230" s="3"/>
      <c r="SV230" s="3"/>
      <c r="SW230" s="3"/>
      <c r="SX230" s="3"/>
      <c r="SY230" s="3"/>
      <c r="SZ230" s="3"/>
      <c r="TA230" s="3"/>
      <c r="TB230" s="3"/>
      <c r="TC230" s="3"/>
      <c r="TD230" s="3"/>
      <c r="TE230" s="3"/>
      <c r="TF230" s="3"/>
      <c r="TG230" s="3"/>
      <c r="TH230" s="3"/>
      <c r="TI230" s="3"/>
      <c r="TJ230" s="3"/>
      <c r="TK230" s="3"/>
      <c r="TL230" s="3"/>
      <c r="TM230" s="3"/>
      <c r="TN230" s="3"/>
      <c r="TO230" s="3"/>
      <c r="TP230" s="3"/>
      <c r="TQ230" s="3"/>
      <c r="TR230" s="3"/>
      <c r="TS230" s="3"/>
      <c r="TT230" s="3"/>
      <c r="TU230" s="3"/>
      <c r="TV230" s="3"/>
      <c r="TW230" s="3"/>
      <c r="TX230" s="3"/>
      <c r="TY230" s="3"/>
      <c r="TZ230" s="3"/>
      <c r="UA230" s="3"/>
      <c r="UB230" s="3"/>
      <c r="UC230" s="3"/>
      <c r="UD230" s="3"/>
      <c r="UE230" s="3"/>
      <c r="UF230" s="3"/>
      <c r="UG230" s="3"/>
      <c r="UH230" s="3"/>
      <c r="UI230" s="3"/>
      <c r="UJ230" s="3"/>
      <c r="UK230" s="3"/>
      <c r="UL230" s="3"/>
      <c r="UM230" s="3"/>
      <c r="UN230" s="3"/>
      <c r="UO230" s="3"/>
      <c r="UP230" s="3"/>
      <c r="UQ230" s="3"/>
      <c r="UR230" s="3"/>
      <c r="US230" s="3"/>
      <c r="UT230" s="3"/>
      <c r="UU230" s="3"/>
      <c r="UV230" s="3"/>
      <c r="UW230" s="3"/>
      <c r="UX230" s="3"/>
      <c r="UY230" s="3"/>
      <c r="UZ230" s="3"/>
      <c r="VA230" s="3"/>
      <c r="VB230" s="3"/>
      <c r="VC230" s="3"/>
      <c r="VD230" s="3"/>
      <c r="VE230" s="3"/>
      <c r="VF230" s="3"/>
      <c r="VG230" s="3"/>
      <c r="VH230" s="3"/>
      <c r="VI230" s="3"/>
      <c r="VJ230" s="3"/>
      <c r="VK230" s="3"/>
      <c r="VL230" s="3"/>
      <c r="VM230" s="3"/>
      <c r="VN230" s="3"/>
      <c r="VO230" s="3"/>
      <c r="VP230" s="3"/>
      <c r="VQ230" s="3"/>
      <c r="VR230" s="3"/>
      <c r="VS230" s="3"/>
      <c r="VT230" s="3"/>
      <c r="VU230" s="3"/>
      <c r="VV230" s="3"/>
      <c r="VW230" s="3"/>
      <c r="VX230" s="3"/>
      <c r="VY230" s="3"/>
      <c r="VZ230" s="3"/>
      <c r="WA230" s="3"/>
      <c r="WB230" s="3"/>
      <c r="WC230" s="3"/>
      <c r="WD230" s="3"/>
      <c r="WE230" s="3"/>
      <c r="WF230" s="3"/>
      <c r="WG230" s="3"/>
      <c r="WH230" s="3"/>
      <c r="WI230" s="3"/>
      <c r="WJ230" s="3"/>
      <c r="WK230" s="3"/>
      <c r="WL230" s="3"/>
      <c r="WM230" s="3"/>
      <c r="WN230" s="3"/>
      <c r="WO230" s="3"/>
      <c r="WP230" s="3"/>
      <c r="WQ230" s="3"/>
      <c r="WR230" s="3"/>
      <c r="WS230" s="3"/>
      <c r="WT230" s="3"/>
      <c r="WU230" s="3"/>
      <c r="WV230" s="3"/>
      <c r="WW230" s="3"/>
      <c r="WX230" s="3"/>
      <c r="WY230" s="3"/>
      <c r="WZ230" s="3"/>
      <c r="XA230" s="3"/>
      <c r="XB230" s="3"/>
      <c r="XC230" s="3"/>
      <c r="XD230" s="3"/>
      <c r="XE230" s="3"/>
      <c r="XF230" s="3"/>
      <c r="XG230" s="3"/>
      <c r="XH230" s="3"/>
      <c r="XI230" s="3"/>
      <c r="XJ230" s="3"/>
      <c r="XK230" s="3"/>
      <c r="XL230" s="3"/>
      <c r="XM230" s="3"/>
      <c r="XN230" s="3"/>
      <c r="XO230" s="3"/>
      <c r="XP230" s="3"/>
      <c r="XQ230" s="3"/>
      <c r="XR230" s="3"/>
      <c r="XS230" s="3"/>
      <c r="XT230" s="3"/>
      <c r="XU230" s="3"/>
      <c r="XV230" s="3"/>
      <c r="XW230" s="3"/>
      <c r="XX230" s="3"/>
      <c r="XY230" s="3"/>
      <c r="XZ230" s="3"/>
      <c r="YA230" s="3"/>
      <c r="YB230" s="3"/>
      <c r="YC230" s="3"/>
      <c r="YD230" s="3"/>
      <c r="YE230" s="3"/>
      <c r="YF230" s="3"/>
      <c r="YG230" s="3"/>
      <c r="YH230" s="3"/>
      <c r="YI230" s="3"/>
      <c r="YJ230" s="3"/>
      <c r="YK230" s="3"/>
      <c r="YL230" s="3"/>
      <c r="YM230" s="3"/>
      <c r="YN230" s="3"/>
      <c r="YO230" s="3"/>
      <c r="YP230" s="3"/>
      <c r="YQ230" s="3"/>
      <c r="YR230" s="3"/>
      <c r="YS230" s="3"/>
      <c r="YT230" s="3"/>
      <c r="YU230" s="3"/>
      <c r="YV230" s="3"/>
      <c r="YW230" s="3"/>
      <c r="YX230" s="3"/>
      <c r="YY230" s="3"/>
      <c r="YZ230" s="3"/>
      <c r="ZA230" s="3"/>
      <c r="ZB230" s="3"/>
      <c r="ZC230" s="3"/>
    </row>
    <row r="231" spans="1:679" s="2" customFormat="1" x14ac:dyDescent="0.45">
      <c r="A231" s="3" t="s">
        <v>11</v>
      </c>
      <c r="B231" s="4">
        <v>37015</v>
      </c>
      <c r="C231" s="7" t="s">
        <v>21</v>
      </c>
      <c r="D231" s="6" t="s">
        <v>249</v>
      </c>
      <c r="E231" s="3"/>
      <c r="F231" s="3">
        <v>6</v>
      </c>
      <c r="L231" s="3"/>
      <c r="M231" s="3"/>
      <c r="N231" s="48"/>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c r="CP231" s="3"/>
      <c r="CQ231" s="3"/>
      <c r="CR231" s="3"/>
      <c r="CS231" s="3"/>
      <c r="CT231" s="3"/>
      <c r="CU231" s="3"/>
      <c r="CV231" s="3"/>
      <c r="CW231" s="3"/>
      <c r="CX231" s="3"/>
      <c r="CY231" s="3"/>
      <c r="CZ231" s="3"/>
      <c r="DA231" s="3"/>
      <c r="DB231" s="3"/>
      <c r="DC231" s="3"/>
      <c r="DD231" s="3"/>
      <c r="DE231" s="3"/>
      <c r="DF231" s="3"/>
      <c r="DG231" s="3"/>
      <c r="DH231" s="3"/>
      <c r="DI231" s="3"/>
      <c r="DJ231" s="3"/>
      <c r="DK231" s="3"/>
      <c r="DL231" s="3"/>
      <c r="DM231" s="3"/>
      <c r="DN231" s="3"/>
      <c r="DO231" s="3"/>
      <c r="DP231" s="3"/>
      <c r="DQ231" s="3"/>
      <c r="DR231" s="3"/>
      <c r="DS231" s="3"/>
      <c r="DT231" s="3"/>
      <c r="DU231" s="3"/>
      <c r="DV231" s="3"/>
      <c r="DW231" s="3"/>
      <c r="DX231" s="3"/>
      <c r="DY231" s="3"/>
      <c r="DZ231" s="3"/>
      <c r="EA231" s="3"/>
      <c r="EB231" s="3"/>
      <c r="EC231" s="3"/>
      <c r="ED231" s="3"/>
      <c r="EE231" s="3"/>
      <c r="EF231" s="3"/>
      <c r="EG231" s="3"/>
      <c r="EH231" s="3"/>
      <c r="EI231" s="3"/>
      <c r="EJ231" s="3"/>
      <c r="EK231" s="3"/>
      <c r="EL231" s="3"/>
      <c r="EM231" s="3"/>
      <c r="EN231" s="3"/>
      <c r="EO231" s="3"/>
      <c r="EP231" s="3"/>
      <c r="EQ231" s="3"/>
      <c r="ER231" s="3"/>
      <c r="ES231" s="3"/>
      <c r="ET231" s="3"/>
      <c r="EU231" s="3"/>
      <c r="EV231" s="3"/>
      <c r="EW231" s="3"/>
      <c r="EX231" s="3"/>
      <c r="EY231" s="3"/>
      <c r="EZ231" s="3"/>
      <c r="FA231" s="3"/>
      <c r="FB231" s="3"/>
      <c r="FC231" s="3"/>
      <c r="FD231" s="3"/>
      <c r="FE231" s="3"/>
      <c r="FF231" s="3"/>
      <c r="FG231" s="3"/>
      <c r="FH231" s="3"/>
      <c r="FI231" s="3"/>
      <c r="FJ231" s="3"/>
      <c r="FK231" s="3"/>
      <c r="FL231" s="3"/>
      <c r="FM231" s="3"/>
      <c r="FN231" s="3"/>
      <c r="FO231" s="3"/>
      <c r="FP231" s="3"/>
      <c r="FQ231" s="3"/>
      <c r="FR231" s="3"/>
      <c r="FS231" s="3"/>
      <c r="FT231" s="3"/>
      <c r="FU231" s="3"/>
      <c r="FV231" s="3"/>
      <c r="FW231" s="3"/>
      <c r="FX231" s="3"/>
      <c r="FY231" s="3"/>
      <c r="FZ231" s="3"/>
      <c r="GA231" s="3"/>
      <c r="GB231" s="3"/>
      <c r="GC231" s="3"/>
      <c r="GD231" s="3"/>
      <c r="GE231" s="3"/>
      <c r="GF231" s="3"/>
      <c r="GG231" s="3"/>
      <c r="GH231" s="3"/>
      <c r="GI231" s="3"/>
      <c r="GJ231" s="3"/>
      <c r="GK231" s="3"/>
      <c r="GL231" s="3"/>
      <c r="GM231" s="3"/>
      <c r="GN231" s="3"/>
      <c r="GO231" s="3"/>
      <c r="GP231" s="3"/>
      <c r="GQ231" s="3"/>
      <c r="GR231" s="3"/>
      <c r="GS231" s="3"/>
      <c r="GT231" s="3"/>
      <c r="GU231" s="3"/>
      <c r="GV231" s="3"/>
      <c r="GW231" s="3"/>
      <c r="GX231" s="3"/>
      <c r="GY231" s="3"/>
      <c r="GZ231" s="3"/>
      <c r="HA231" s="3"/>
      <c r="HB231" s="3"/>
      <c r="HC231" s="3"/>
      <c r="HD231" s="3"/>
      <c r="HE231" s="3"/>
      <c r="HF231" s="3"/>
      <c r="HG231" s="3"/>
      <c r="HH231" s="3"/>
      <c r="HI231" s="3"/>
      <c r="HJ231" s="3"/>
      <c r="HK231" s="3"/>
      <c r="HL231" s="3"/>
      <c r="HM231" s="3"/>
      <c r="HN231" s="3"/>
      <c r="HO231" s="3"/>
      <c r="HP231" s="3"/>
      <c r="HQ231" s="3"/>
      <c r="HR231" s="3"/>
      <c r="HS231" s="3"/>
      <c r="HT231" s="3"/>
      <c r="HU231" s="3"/>
      <c r="HV231" s="3"/>
      <c r="HW231" s="3"/>
      <c r="HX231" s="3"/>
      <c r="HY231" s="3"/>
      <c r="HZ231" s="3"/>
      <c r="IA231" s="3"/>
      <c r="IB231" s="3"/>
      <c r="IC231" s="3"/>
      <c r="ID231" s="3"/>
      <c r="IE231" s="3"/>
      <c r="IF231" s="3"/>
      <c r="IG231" s="3"/>
      <c r="IH231" s="3"/>
      <c r="II231" s="3"/>
      <c r="IJ231" s="3"/>
      <c r="IK231" s="3"/>
      <c r="IL231" s="3"/>
      <c r="IM231" s="3"/>
      <c r="IN231" s="3"/>
      <c r="IO231" s="3"/>
      <c r="IP231" s="3"/>
      <c r="IQ231" s="3"/>
      <c r="IR231" s="3"/>
      <c r="IS231" s="3"/>
      <c r="IT231" s="3"/>
      <c r="IU231" s="3"/>
      <c r="IV231" s="3"/>
      <c r="IW231" s="3"/>
      <c r="IX231" s="3"/>
      <c r="IY231" s="3"/>
      <c r="IZ231" s="3"/>
      <c r="JA231" s="3"/>
      <c r="JB231" s="3"/>
      <c r="JC231" s="3"/>
      <c r="JD231" s="3"/>
      <c r="JE231" s="3"/>
      <c r="JF231" s="3"/>
      <c r="JG231" s="3"/>
      <c r="JH231" s="3"/>
      <c r="JI231" s="3"/>
      <c r="JJ231" s="3"/>
      <c r="JK231" s="3"/>
      <c r="JL231" s="3"/>
      <c r="JM231" s="3"/>
      <c r="JN231" s="3"/>
      <c r="JO231" s="3"/>
      <c r="JP231" s="3"/>
      <c r="JQ231" s="3"/>
      <c r="JR231" s="3"/>
      <c r="JS231" s="3"/>
      <c r="JT231" s="3"/>
      <c r="JU231" s="3"/>
      <c r="JV231" s="3"/>
      <c r="JW231" s="3"/>
      <c r="JX231" s="3"/>
      <c r="JY231" s="3"/>
      <c r="JZ231" s="3"/>
      <c r="KA231" s="3"/>
      <c r="KB231" s="3"/>
      <c r="KC231" s="3"/>
      <c r="KD231" s="3"/>
      <c r="KE231" s="3"/>
      <c r="KF231" s="3"/>
      <c r="KG231" s="3"/>
      <c r="KH231" s="3"/>
      <c r="KI231" s="3"/>
      <c r="KJ231" s="3"/>
      <c r="KK231" s="3"/>
      <c r="KL231" s="3"/>
      <c r="KM231" s="3"/>
      <c r="KN231" s="3"/>
      <c r="KO231" s="3"/>
      <c r="KP231" s="3"/>
      <c r="KQ231" s="3"/>
      <c r="KR231" s="3"/>
      <c r="KS231" s="3"/>
      <c r="KT231" s="3"/>
      <c r="KU231" s="3"/>
      <c r="KV231" s="3"/>
      <c r="KW231" s="3"/>
      <c r="KX231" s="3"/>
      <c r="KY231" s="3"/>
      <c r="KZ231" s="3"/>
      <c r="LA231" s="3"/>
      <c r="LB231" s="3"/>
      <c r="LC231" s="3"/>
      <c r="LD231" s="3"/>
      <c r="LE231" s="3"/>
      <c r="LF231" s="3"/>
      <c r="LG231" s="3"/>
      <c r="LH231" s="3"/>
      <c r="LI231" s="3"/>
      <c r="LJ231" s="3"/>
      <c r="LK231" s="3"/>
      <c r="LL231" s="3"/>
      <c r="LM231" s="3"/>
      <c r="LN231" s="3"/>
      <c r="LO231" s="3"/>
      <c r="LP231" s="3"/>
      <c r="LQ231" s="3"/>
      <c r="LR231" s="3"/>
      <c r="LS231" s="3"/>
      <c r="LT231" s="3"/>
      <c r="LU231" s="3"/>
      <c r="LV231" s="3"/>
      <c r="LW231" s="3"/>
      <c r="LX231" s="3"/>
      <c r="LY231" s="3"/>
      <c r="LZ231" s="3"/>
      <c r="MA231" s="3"/>
      <c r="MB231" s="3"/>
      <c r="MC231" s="3"/>
      <c r="MD231" s="3"/>
      <c r="ME231" s="3"/>
      <c r="MF231" s="3"/>
      <c r="MG231" s="3"/>
      <c r="MH231" s="3"/>
      <c r="MI231" s="3"/>
      <c r="MJ231" s="3"/>
      <c r="MK231" s="3"/>
      <c r="ML231" s="3"/>
      <c r="MM231" s="3"/>
      <c r="MN231" s="3"/>
      <c r="MO231" s="3"/>
      <c r="MP231" s="3"/>
      <c r="MQ231" s="3"/>
      <c r="MR231" s="3"/>
      <c r="MS231" s="3"/>
      <c r="MT231" s="3"/>
      <c r="MU231" s="3"/>
      <c r="MV231" s="3"/>
      <c r="MW231" s="3"/>
      <c r="MX231" s="3"/>
      <c r="MY231" s="3"/>
      <c r="MZ231" s="3"/>
      <c r="NA231" s="3"/>
      <c r="NB231" s="3"/>
      <c r="NC231" s="3"/>
      <c r="ND231" s="3"/>
      <c r="NE231" s="3"/>
      <c r="NF231" s="3"/>
      <c r="NG231" s="3"/>
      <c r="NH231" s="3"/>
      <c r="NI231" s="3"/>
      <c r="NJ231" s="3"/>
      <c r="NK231" s="3"/>
      <c r="NL231" s="3"/>
      <c r="NM231" s="3"/>
      <c r="NN231" s="3"/>
      <c r="NO231" s="3"/>
      <c r="NP231" s="3"/>
      <c r="NQ231" s="3"/>
      <c r="NR231" s="3"/>
      <c r="NS231" s="3"/>
      <c r="NT231" s="3"/>
      <c r="NU231" s="3"/>
      <c r="NV231" s="3"/>
      <c r="NW231" s="3"/>
      <c r="NX231" s="3"/>
      <c r="NY231" s="3"/>
      <c r="NZ231" s="3"/>
      <c r="OA231" s="3"/>
      <c r="OB231" s="3"/>
      <c r="OC231" s="3"/>
      <c r="OD231" s="3"/>
      <c r="OE231" s="3"/>
      <c r="OF231" s="3"/>
      <c r="OG231" s="3"/>
      <c r="OH231" s="3"/>
      <c r="OI231" s="3"/>
      <c r="OJ231" s="3"/>
      <c r="OK231" s="3"/>
      <c r="OL231" s="3"/>
      <c r="OM231" s="3"/>
      <c r="ON231" s="3"/>
      <c r="OO231" s="3"/>
      <c r="OP231" s="3"/>
      <c r="OQ231" s="3"/>
      <c r="OR231" s="3"/>
      <c r="OS231" s="3"/>
      <c r="OT231" s="3"/>
      <c r="OU231" s="3"/>
      <c r="OV231" s="3"/>
      <c r="OW231" s="3"/>
      <c r="OX231" s="3"/>
      <c r="OY231" s="3"/>
      <c r="OZ231" s="3"/>
      <c r="PA231" s="3"/>
      <c r="PB231" s="3"/>
      <c r="PC231" s="3"/>
      <c r="PD231" s="3"/>
      <c r="PE231" s="3"/>
      <c r="PF231" s="3"/>
      <c r="PG231" s="3"/>
      <c r="PH231" s="3"/>
      <c r="PI231" s="3"/>
      <c r="PJ231" s="3"/>
      <c r="PK231" s="3"/>
      <c r="PL231" s="3"/>
      <c r="PM231" s="3"/>
      <c r="PN231" s="3"/>
      <c r="PO231" s="3"/>
      <c r="PP231" s="3"/>
      <c r="PQ231" s="3"/>
      <c r="PR231" s="3"/>
      <c r="PS231" s="3"/>
      <c r="PT231" s="3"/>
      <c r="PU231" s="3"/>
      <c r="PV231" s="3"/>
      <c r="PW231" s="3"/>
      <c r="PX231" s="3"/>
      <c r="PY231" s="3"/>
      <c r="PZ231" s="3"/>
      <c r="QA231" s="3"/>
      <c r="QB231" s="3"/>
      <c r="QC231" s="3"/>
      <c r="QD231" s="3"/>
      <c r="QE231" s="3"/>
      <c r="QF231" s="3"/>
      <c r="QG231" s="3"/>
      <c r="QH231" s="3"/>
      <c r="QI231" s="3"/>
      <c r="QJ231" s="3"/>
      <c r="QK231" s="3"/>
      <c r="QL231" s="3"/>
      <c r="QM231" s="3"/>
      <c r="QN231" s="3"/>
      <c r="QO231" s="3"/>
      <c r="QP231" s="3"/>
      <c r="QQ231" s="3"/>
      <c r="QR231" s="3"/>
      <c r="QS231" s="3"/>
      <c r="QT231" s="3"/>
      <c r="QU231" s="3"/>
      <c r="QV231" s="3"/>
      <c r="QW231" s="3"/>
      <c r="QX231" s="3"/>
      <c r="QY231" s="3"/>
      <c r="QZ231" s="3"/>
      <c r="RA231" s="3"/>
      <c r="RB231" s="3"/>
      <c r="RC231" s="3"/>
      <c r="RD231" s="3"/>
      <c r="RE231" s="3"/>
      <c r="RF231" s="3"/>
      <c r="RG231" s="3"/>
      <c r="RH231" s="3"/>
      <c r="RI231" s="3"/>
      <c r="RJ231" s="3"/>
      <c r="RK231" s="3"/>
      <c r="RL231" s="3"/>
      <c r="RM231" s="3"/>
      <c r="RN231" s="3"/>
      <c r="RO231" s="3"/>
      <c r="RP231" s="3"/>
      <c r="RQ231" s="3"/>
      <c r="RR231" s="3"/>
      <c r="RS231" s="3"/>
      <c r="RT231" s="3"/>
      <c r="RU231" s="3"/>
      <c r="RV231" s="3"/>
      <c r="RW231" s="3"/>
      <c r="RX231" s="3"/>
      <c r="RY231" s="3"/>
      <c r="RZ231" s="3"/>
      <c r="SA231" s="3"/>
      <c r="SB231" s="3"/>
      <c r="SC231" s="3"/>
      <c r="SD231" s="3"/>
      <c r="SE231" s="3"/>
      <c r="SF231" s="3"/>
      <c r="SG231" s="3"/>
      <c r="SH231" s="3"/>
      <c r="SI231" s="3"/>
      <c r="SJ231" s="3"/>
      <c r="SK231" s="3"/>
      <c r="SL231" s="3"/>
      <c r="SM231" s="3"/>
      <c r="SN231" s="3"/>
      <c r="SO231" s="3"/>
      <c r="SP231" s="3"/>
      <c r="SQ231" s="3"/>
      <c r="SR231" s="3"/>
      <c r="SS231" s="3"/>
      <c r="ST231" s="3"/>
      <c r="SU231" s="3"/>
      <c r="SV231" s="3"/>
      <c r="SW231" s="3"/>
      <c r="SX231" s="3"/>
      <c r="SY231" s="3"/>
      <c r="SZ231" s="3"/>
      <c r="TA231" s="3"/>
      <c r="TB231" s="3"/>
      <c r="TC231" s="3"/>
      <c r="TD231" s="3"/>
      <c r="TE231" s="3"/>
      <c r="TF231" s="3"/>
      <c r="TG231" s="3"/>
      <c r="TH231" s="3"/>
      <c r="TI231" s="3"/>
      <c r="TJ231" s="3"/>
      <c r="TK231" s="3"/>
      <c r="TL231" s="3"/>
      <c r="TM231" s="3"/>
      <c r="TN231" s="3"/>
      <c r="TO231" s="3"/>
      <c r="TP231" s="3"/>
      <c r="TQ231" s="3"/>
      <c r="TR231" s="3"/>
      <c r="TS231" s="3"/>
      <c r="TT231" s="3"/>
      <c r="TU231" s="3"/>
      <c r="TV231" s="3"/>
      <c r="TW231" s="3"/>
      <c r="TX231" s="3"/>
      <c r="TY231" s="3"/>
      <c r="TZ231" s="3"/>
      <c r="UA231" s="3"/>
      <c r="UB231" s="3"/>
      <c r="UC231" s="3"/>
      <c r="UD231" s="3"/>
      <c r="UE231" s="3"/>
      <c r="UF231" s="3"/>
      <c r="UG231" s="3"/>
      <c r="UH231" s="3"/>
      <c r="UI231" s="3"/>
      <c r="UJ231" s="3"/>
      <c r="UK231" s="3"/>
      <c r="UL231" s="3"/>
      <c r="UM231" s="3"/>
      <c r="UN231" s="3"/>
      <c r="UO231" s="3"/>
      <c r="UP231" s="3"/>
      <c r="UQ231" s="3"/>
      <c r="UR231" s="3"/>
      <c r="US231" s="3"/>
      <c r="UT231" s="3"/>
      <c r="UU231" s="3"/>
      <c r="UV231" s="3"/>
      <c r="UW231" s="3"/>
      <c r="UX231" s="3"/>
      <c r="UY231" s="3"/>
      <c r="UZ231" s="3"/>
      <c r="VA231" s="3"/>
      <c r="VB231" s="3"/>
      <c r="VC231" s="3"/>
      <c r="VD231" s="3"/>
      <c r="VE231" s="3"/>
      <c r="VF231" s="3"/>
      <c r="VG231" s="3"/>
      <c r="VH231" s="3"/>
      <c r="VI231" s="3"/>
      <c r="VJ231" s="3"/>
      <c r="VK231" s="3"/>
      <c r="VL231" s="3"/>
      <c r="VM231" s="3"/>
      <c r="VN231" s="3"/>
      <c r="VO231" s="3"/>
      <c r="VP231" s="3"/>
      <c r="VQ231" s="3"/>
      <c r="VR231" s="3"/>
      <c r="VS231" s="3"/>
      <c r="VT231" s="3"/>
      <c r="VU231" s="3"/>
      <c r="VV231" s="3"/>
      <c r="VW231" s="3"/>
      <c r="VX231" s="3"/>
      <c r="VY231" s="3"/>
      <c r="VZ231" s="3"/>
      <c r="WA231" s="3"/>
      <c r="WB231" s="3"/>
      <c r="WC231" s="3"/>
      <c r="WD231" s="3"/>
      <c r="WE231" s="3"/>
      <c r="WF231" s="3"/>
      <c r="WG231" s="3"/>
      <c r="WH231" s="3"/>
      <c r="WI231" s="3"/>
      <c r="WJ231" s="3"/>
      <c r="WK231" s="3"/>
      <c r="WL231" s="3"/>
      <c r="WM231" s="3"/>
      <c r="WN231" s="3"/>
      <c r="WO231" s="3"/>
      <c r="WP231" s="3"/>
      <c r="WQ231" s="3"/>
      <c r="WR231" s="3"/>
      <c r="WS231" s="3"/>
      <c r="WT231" s="3"/>
      <c r="WU231" s="3"/>
      <c r="WV231" s="3"/>
      <c r="WW231" s="3"/>
      <c r="WX231" s="3"/>
      <c r="WY231" s="3"/>
      <c r="WZ231" s="3"/>
      <c r="XA231" s="3"/>
      <c r="XB231" s="3"/>
      <c r="XC231" s="3"/>
      <c r="XD231" s="3"/>
      <c r="XE231" s="3"/>
      <c r="XF231" s="3"/>
      <c r="XG231" s="3"/>
      <c r="XH231" s="3"/>
      <c r="XI231" s="3"/>
      <c r="XJ231" s="3"/>
      <c r="XK231" s="3"/>
      <c r="XL231" s="3"/>
      <c r="XM231" s="3"/>
      <c r="XN231" s="3"/>
      <c r="XO231" s="3"/>
      <c r="XP231" s="3"/>
      <c r="XQ231" s="3"/>
      <c r="XR231" s="3"/>
      <c r="XS231" s="3"/>
      <c r="XT231" s="3"/>
      <c r="XU231" s="3"/>
      <c r="XV231" s="3"/>
      <c r="XW231" s="3"/>
      <c r="XX231" s="3"/>
      <c r="XY231" s="3"/>
      <c r="XZ231" s="3"/>
      <c r="YA231" s="3"/>
      <c r="YB231" s="3"/>
      <c r="YC231" s="3"/>
      <c r="YD231" s="3"/>
      <c r="YE231" s="3"/>
      <c r="YF231" s="3"/>
      <c r="YG231" s="3"/>
      <c r="YH231" s="3"/>
      <c r="YI231" s="3"/>
      <c r="YJ231" s="3"/>
      <c r="YK231" s="3"/>
      <c r="YL231" s="3"/>
      <c r="YM231" s="3"/>
      <c r="YN231" s="3"/>
      <c r="YO231" s="3"/>
      <c r="YP231" s="3"/>
      <c r="YQ231" s="3"/>
      <c r="YR231" s="3"/>
      <c r="YS231" s="3"/>
      <c r="YT231" s="3"/>
      <c r="YU231" s="3"/>
      <c r="YV231" s="3"/>
      <c r="YW231" s="3"/>
      <c r="YX231" s="3"/>
      <c r="YY231" s="3"/>
      <c r="YZ231" s="3"/>
      <c r="ZA231" s="3"/>
      <c r="ZB231" s="3"/>
      <c r="ZC231" s="3"/>
    </row>
    <row r="232" spans="1:679" s="2" customFormat="1" x14ac:dyDescent="0.45">
      <c r="A232" s="3" t="s">
        <v>11</v>
      </c>
      <c r="B232" s="4">
        <v>37055</v>
      </c>
      <c r="C232" s="7" t="s">
        <v>25</v>
      </c>
      <c r="D232" s="6" t="s">
        <v>250</v>
      </c>
      <c r="E232" s="3"/>
      <c r="F232" s="3">
        <v>4</v>
      </c>
      <c r="L232" s="3"/>
      <c r="M232" s="3"/>
      <c r="N232" s="48"/>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c r="CP232" s="3"/>
      <c r="CQ232" s="3"/>
      <c r="CR232" s="3"/>
      <c r="CS232" s="3"/>
      <c r="CT232" s="3"/>
      <c r="CU232" s="3"/>
      <c r="CV232" s="3"/>
      <c r="CW232" s="3"/>
      <c r="CX232" s="3"/>
      <c r="CY232" s="3"/>
      <c r="CZ232" s="3"/>
      <c r="DA232" s="3"/>
      <c r="DB232" s="3"/>
      <c r="DC232" s="3"/>
      <c r="DD232" s="3"/>
      <c r="DE232" s="3"/>
      <c r="DF232" s="3"/>
      <c r="DG232" s="3"/>
      <c r="DH232" s="3"/>
      <c r="DI232" s="3"/>
      <c r="DJ232" s="3"/>
      <c r="DK232" s="3"/>
      <c r="DL232" s="3"/>
      <c r="DM232" s="3"/>
      <c r="DN232" s="3"/>
      <c r="DO232" s="3"/>
      <c r="DP232" s="3"/>
      <c r="DQ232" s="3"/>
      <c r="DR232" s="3"/>
      <c r="DS232" s="3"/>
      <c r="DT232" s="3"/>
      <c r="DU232" s="3"/>
      <c r="DV232" s="3"/>
      <c r="DW232" s="3"/>
      <c r="DX232" s="3"/>
      <c r="DY232" s="3"/>
      <c r="DZ232" s="3"/>
      <c r="EA232" s="3"/>
      <c r="EB232" s="3"/>
      <c r="EC232" s="3"/>
      <c r="ED232" s="3"/>
      <c r="EE232" s="3"/>
      <c r="EF232" s="3"/>
      <c r="EG232" s="3"/>
      <c r="EH232" s="3"/>
      <c r="EI232" s="3"/>
      <c r="EJ232" s="3"/>
      <c r="EK232" s="3"/>
      <c r="EL232" s="3"/>
      <c r="EM232" s="3"/>
      <c r="EN232" s="3"/>
      <c r="EO232" s="3"/>
      <c r="EP232" s="3"/>
      <c r="EQ232" s="3"/>
      <c r="ER232" s="3"/>
      <c r="ES232" s="3"/>
      <c r="ET232" s="3"/>
      <c r="EU232" s="3"/>
      <c r="EV232" s="3"/>
      <c r="EW232" s="3"/>
      <c r="EX232" s="3"/>
      <c r="EY232" s="3"/>
      <c r="EZ232" s="3"/>
      <c r="FA232" s="3"/>
      <c r="FB232" s="3"/>
      <c r="FC232" s="3"/>
      <c r="FD232" s="3"/>
      <c r="FE232" s="3"/>
      <c r="FF232" s="3"/>
      <c r="FG232" s="3"/>
      <c r="FH232" s="3"/>
      <c r="FI232" s="3"/>
      <c r="FJ232" s="3"/>
      <c r="FK232" s="3"/>
      <c r="FL232" s="3"/>
      <c r="FM232" s="3"/>
      <c r="FN232" s="3"/>
      <c r="FO232" s="3"/>
      <c r="FP232" s="3"/>
      <c r="FQ232" s="3"/>
      <c r="FR232" s="3"/>
      <c r="FS232" s="3"/>
      <c r="FT232" s="3"/>
      <c r="FU232" s="3"/>
      <c r="FV232" s="3"/>
      <c r="FW232" s="3"/>
      <c r="FX232" s="3"/>
      <c r="FY232" s="3"/>
      <c r="FZ232" s="3"/>
      <c r="GA232" s="3"/>
      <c r="GB232" s="3"/>
      <c r="GC232" s="3"/>
      <c r="GD232" s="3"/>
      <c r="GE232" s="3"/>
      <c r="GF232" s="3"/>
      <c r="GG232" s="3"/>
      <c r="GH232" s="3"/>
      <c r="GI232" s="3"/>
      <c r="GJ232" s="3"/>
      <c r="GK232" s="3"/>
      <c r="GL232" s="3"/>
      <c r="GM232" s="3"/>
      <c r="GN232" s="3"/>
      <c r="GO232" s="3"/>
      <c r="GP232" s="3"/>
      <c r="GQ232" s="3"/>
      <c r="GR232" s="3"/>
      <c r="GS232" s="3"/>
      <c r="GT232" s="3"/>
      <c r="GU232" s="3"/>
      <c r="GV232" s="3"/>
      <c r="GW232" s="3"/>
      <c r="GX232" s="3"/>
      <c r="GY232" s="3"/>
      <c r="GZ232" s="3"/>
      <c r="HA232" s="3"/>
      <c r="HB232" s="3"/>
      <c r="HC232" s="3"/>
      <c r="HD232" s="3"/>
      <c r="HE232" s="3"/>
      <c r="HF232" s="3"/>
      <c r="HG232" s="3"/>
      <c r="HH232" s="3"/>
      <c r="HI232" s="3"/>
      <c r="HJ232" s="3"/>
      <c r="HK232" s="3"/>
      <c r="HL232" s="3"/>
      <c r="HM232" s="3"/>
      <c r="HN232" s="3"/>
      <c r="HO232" s="3"/>
      <c r="HP232" s="3"/>
      <c r="HQ232" s="3"/>
      <c r="HR232" s="3"/>
      <c r="HS232" s="3"/>
      <c r="HT232" s="3"/>
      <c r="HU232" s="3"/>
      <c r="HV232" s="3"/>
      <c r="HW232" s="3"/>
      <c r="HX232" s="3"/>
      <c r="HY232" s="3"/>
      <c r="HZ232" s="3"/>
      <c r="IA232" s="3"/>
      <c r="IB232" s="3"/>
      <c r="IC232" s="3"/>
      <c r="ID232" s="3"/>
      <c r="IE232" s="3"/>
      <c r="IF232" s="3"/>
      <c r="IG232" s="3"/>
      <c r="IH232" s="3"/>
      <c r="II232" s="3"/>
      <c r="IJ232" s="3"/>
      <c r="IK232" s="3"/>
      <c r="IL232" s="3"/>
      <c r="IM232" s="3"/>
      <c r="IN232" s="3"/>
      <c r="IO232" s="3"/>
      <c r="IP232" s="3"/>
      <c r="IQ232" s="3"/>
      <c r="IR232" s="3"/>
      <c r="IS232" s="3"/>
      <c r="IT232" s="3"/>
      <c r="IU232" s="3"/>
      <c r="IV232" s="3"/>
      <c r="IW232" s="3"/>
      <c r="IX232" s="3"/>
      <c r="IY232" s="3"/>
      <c r="IZ232" s="3"/>
      <c r="JA232" s="3"/>
      <c r="JB232" s="3"/>
      <c r="JC232" s="3"/>
      <c r="JD232" s="3"/>
      <c r="JE232" s="3"/>
      <c r="JF232" s="3"/>
      <c r="JG232" s="3"/>
      <c r="JH232" s="3"/>
      <c r="JI232" s="3"/>
      <c r="JJ232" s="3"/>
      <c r="JK232" s="3"/>
      <c r="JL232" s="3"/>
      <c r="JM232" s="3"/>
      <c r="JN232" s="3"/>
      <c r="JO232" s="3"/>
      <c r="JP232" s="3"/>
      <c r="JQ232" s="3"/>
      <c r="JR232" s="3"/>
      <c r="JS232" s="3"/>
      <c r="JT232" s="3"/>
      <c r="JU232" s="3"/>
      <c r="JV232" s="3"/>
      <c r="JW232" s="3"/>
      <c r="JX232" s="3"/>
      <c r="JY232" s="3"/>
      <c r="JZ232" s="3"/>
      <c r="KA232" s="3"/>
      <c r="KB232" s="3"/>
      <c r="KC232" s="3"/>
      <c r="KD232" s="3"/>
      <c r="KE232" s="3"/>
      <c r="KF232" s="3"/>
      <c r="KG232" s="3"/>
      <c r="KH232" s="3"/>
      <c r="KI232" s="3"/>
      <c r="KJ232" s="3"/>
      <c r="KK232" s="3"/>
      <c r="KL232" s="3"/>
      <c r="KM232" s="3"/>
      <c r="KN232" s="3"/>
      <c r="KO232" s="3"/>
      <c r="KP232" s="3"/>
      <c r="KQ232" s="3"/>
      <c r="KR232" s="3"/>
      <c r="KS232" s="3"/>
      <c r="KT232" s="3"/>
      <c r="KU232" s="3"/>
      <c r="KV232" s="3"/>
      <c r="KW232" s="3"/>
      <c r="KX232" s="3"/>
      <c r="KY232" s="3"/>
      <c r="KZ232" s="3"/>
      <c r="LA232" s="3"/>
      <c r="LB232" s="3"/>
      <c r="LC232" s="3"/>
      <c r="LD232" s="3"/>
      <c r="LE232" s="3"/>
      <c r="LF232" s="3"/>
      <c r="LG232" s="3"/>
      <c r="LH232" s="3"/>
      <c r="LI232" s="3"/>
      <c r="LJ232" s="3"/>
      <c r="LK232" s="3"/>
      <c r="LL232" s="3"/>
      <c r="LM232" s="3"/>
      <c r="LN232" s="3"/>
      <c r="LO232" s="3"/>
      <c r="LP232" s="3"/>
      <c r="LQ232" s="3"/>
      <c r="LR232" s="3"/>
      <c r="LS232" s="3"/>
      <c r="LT232" s="3"/>
      <c r="LU232" s="3"/>
      <c r="LV232" s="3"/>
      <c r="LW232" s="3"/>
      <c r="LX232" s="3"/>
      <c r="LY232" s="3"/>
      <c r="LZ232" s="3"/>
      <c r="MA232" s="3"/>
      <c r="MB232" s="3"/>
      <c r="MC232" s="3"/>
      <c r="MD232" s="3"/>
      <c r="ME232" s="3"/>
      <c r="MF232" s="3"/>
      <c r="MG232" s="3"/>
      <c r="MH232" s="3"/>
      <c r="MI232" s="3"/>
      <c r="MJ232" s="3"/>
      <c r="MK232" s="3"/>
      <c r="ML232" s="3"/>
      <c r="MM232" s="3"/>
      <c r="MN232" s="3"/>
      <c r="MO232" s="3"/>
      <c r="MP232" s="3"/>
      <c r="MQ232" s="3"/>
      <c r="MR232" s="3"/>
      <c r="MS232" s="3"/>
      <c r="MT232" s="3"/>
      <c r="MU232" s="3"/>
      <c r="MV232" s="3"/>
      <c r="MW232" s="3"/>
      <c r="MX232" s="3"/>
      <c r="MY232" s="3"/>
      <c r="MZ232" s="3"/>
      <c r="NA232" s="3"/>
      <c r="NB232" s="3"/>
      <c r="NC232" s="3"/>
      <c r="ND232" s="3"/>
      <c r="NE232" s="3"/>
      <c r="NF232" s="3"/>
      <c r="NG232" s="3"/>
      <c r="NH232" s="3"/>
      <c r="NI232" s="3"/>
      <c r="NJ232" s="3"/>
      <c r="NK232" s="3"/>
      <c r="NL232" s="3"/>
      <c r="NM232" s="3"/>
      <c r="NN232" s="3"/>
      <c r="NO232" s="3"/>
      <c r="NP232" s="3"/>
      <c r="NQ232" s="3"/>
      <c r="NR232" s="3"/>
      <c r="NS232" s="3"/>
      <c r="NT232" s="3"/>
      <c r="NU232" s="3"/>
      <c r="NV232" s="3"/>
      <c r="NW232" s="3"/>
      <c r="NX232" s="3"/>
      <c r="NY232" s="3"/>
      <c r="NZ232" s="3"/>
      <c r="OA232" s="3"/>
      <c r="OB232" s="3"/>
      <c r="OC232" s="3"/>
      <c r="OD232" s="3"/>
      <c r="OE232" s="3"/>
      <c r="OF232" s="3"/>
      <c r="OG232" s="3"/>
      <c r="OH232" s="3"/>
      <c r="OI232" s="3"/>
      <c r="OJ232" s="3"/>
      <c r="OK232" s="3"/>
      <c r="OL232" s="3"/>
      <c r="OM232" s="3"/>
      <c r="ON232" s="3"/>
      <c r="OO232" s="3"/>
      <c r="OP232" s="3"/>
      <c r="OQ232" s="3"/>
      <c r="OR232" s="3"/>
      <c r="OS232" s="3"/>
      <c r="OT232" s="3"/>
      <c r="OU232" s="3"/>
      <c r="OV232" s="3"/>
      <c r="OW232" s="3"/>
      <c r="OX232" s="3"/>
      <c r="OY232" s="3"/>
      <c r="OZ232" s="3"/>
      <c r="PA232" s="3"/>
      <c r="PB232" s="3"/>
      <c r="PC232" s="3"/>
      <c r="PD232" s="3"/>
      <c r="PE232" s="3"/>
      <c r="PF232" s="3"/>
      <c r="PG232" s="3"/>
      <c r="PH232" s="3"/>
      <c r="PI232" s="3"/>
      <c r="PJ232" s="3"/>
      <c r="PK232" s="3"/>
      <c r="PL232" s="3"/>
      <c r="PM232" s="3"/>
      <c r="PN232" s="3"/>
      <c r="PO232" s="3"/>
      <c r="PP232" s="3"/>
      <c r="PQ232" s="3"/>
      <c r="PR232" s="3"/>
      <c r="PS232" s="3"/>
      <c r="PT232" s="3"/>
      <c r="PU232" s="3"/>
      <c r="PV232" s="3"/>
      <c r="PW232" s="3"/>
      <c r="PX232" s="3"/>
      <c r="PY232" s="3"/>
      <c r="PZ232" s="3"/>
      <c r="QA232" s="3"/>
      <c r="QB232" s="3"/>
      <c r="QC232" s="3"/>
      <c r="QD232" s="3"/>
      <c r="QE232" s="3"/>
      <c r="QF232" s="3"/>
      <c r="QG232" s="3"/>
      <c r="QH232" s="3"/>
      <c r="QI232" s="3"/>
      <c r="QJ232" s="3"/>
      <c r="QK232" s="3"/>
      <c r="QL232" s="3"/>
      <c r="QM232" s="3"/>
      <c r="QN232" s="3"/>
      <c r="QO232" s="3"/>
      <c r="QP232" s="3"/>
      <c r="QQ232" s="3"/>
      <c r="QR232" s="3"/>
      <c r="QS232" s="3"/>
      <c r="QT232" s="3"/>
      <c r="QU232" s="3"/>
      <c r="QV232" s="3"/>
      <c r="QW232" s="3"/>
      <c r="QX232" s="3"/>
      <c r="QY232" s="3"/>
      <c r="QZ232" s="3"/>
      <c r="RA232" s="3"/>
      <c r="RB232" s="3"/>
      <c r="RC232" s="3"/>
      <c r="RD232" s="3"/>
      <c r="RE232" s="3"/>
      <c r="RF232" s="3"/>
      <c r="RG232" s="3"/>
      <c r="RH232" s="3"/>
      <c r="RI232" s="3"/>
      <c r="RJ232" s="3"/>
      <c r="RK232" s="3"/>
      <c r="RL232" s="3"/>
      <c r="RM232" s="3"/>
      <c r="RN232" s="3"/>
      <c r="RO232" s="3"/>
      <c r="RP232" s="3"/>
      <c r="RQ232" s="3"/>
      <c r="RR232" s="3"/>
      <c r="RS232" s="3"/>
      <c r="RT232" s="3"/>
      <c r="RU232" s="3"/>
      <c r="RV232" s="3"/>
      <c r="RW232" s="3"/>
      <c r="RX232" s="3"/>
      <c r="RY232" s="3"/>
      <c r="RZ232" s="3"/>
      <c r="SA232" s="3"/>
      <c r="SB232" s="3"/>
      <c r="SC232" s="3"/>
      <c r="SD232" s="3"/>
      <c r="SE232" s="3"/>
      <c r="SF232" s="3"/>
      <c r="SG232" s="3"/>
      <c r="SH232" s="3"/>
      <c r="SI232" s="3"/>
      <c r="SJ232" s="3"/>
      <c r="SK232" s="3"/>
      <c r="SL232" s="3"/>
      <c r="SM232" s="3"/>
      <c r="SN232" s="3"/>
      <c r="SO232" s="3"/>
      <c r="SP232" s="3"/>
      <c r="SQ232" s="3"/>
      <c r="SR232" s="3"/>
      <c r="SS232" s="3"/>
      <c r="ST232" s="3"/>
      <c r="SU232" s="3"/>
      <c r="SV232" s="3"/>
      <c r="SW232" s="3"/>
      <c r="SX232" s="3"/>
      <c r="SY232" s="3"/>
      <c r="SZ232" s="3"/>
      <c r="TA232" s="3"/>
      <c r="TB232" s="3"/>
      <c r="TC232" s="3"/>
      <c r="TD232" s="3"/>
      <c r="TE232" s="3"/>
      <c r="TF232" s="3"/>
      <c r="TG232" s="3"/>
      <c r="TH232" s="3"/>
      <c r="TI232" s="3"/>
      <c r="TJ232" s="3"/>
      <c r="TK232" s="3"/>
      <c r="TL232" s="3"/>
      <c r="TM232" s="3"/>
      <c r="TN232" s="3"/>
      <c r="TO232" s="3"/>
      <c r="TP232" s="3"/>
      <c r="TQ232" s="3"/>
      <c r="TR232" s="3"/>
      <c r="TS232" s="3"/>
      <c r="TT232" s="3"/>
      <c r="TU232" s="3"/>
      <c r="TV232" s="3"/>
      <c r="TW232" s="3"/>
      <c r="TX232" s="3"/>
      <c r="TY232" s="3"/>
      <c r="TZ232" s="3"/>
      <c r="UA232" s="3"/>
      <c r="UB232" s="3"/>
      <c r="UC232" s="3"/>
      <c r="UD232" s="3"/>
      <c r="UE232" s="3"/>
      <c r="UF232" s="3"/>
      <c r="UG232" s="3"/>
      <c r="UH232" s="3"/>
      <c r="UI232" s="3"/>
      <c r="UJ232" s="3"/>
      <c r="UK232" s="3"/>
      <c r="UL232" s="3"/>
      <c r="UM232" s="3"/>
      <c r="UN232" s="3"/>
      <c r="UO232" s="3"/>
      <c r="UP232" s="3"/>
      <c r="UQ232" s="3"/>
      <c r="UR232" s="3"/>
      <c r="US232" s="3"/>
      <c r="UT232" s="3"/>
      <c r="UU232" s="3"/>
      <c r="UV232" s="3"/>
      <c r="UW232" s="3"/>
      <c r="UX232" s="3"/>
      <c r="UY232" s="3"/>
      <c r="UZ232" s="3"/>
      <c r="VA232" s="3"/>
      <c r="VB232" s="3"/>
      <c r="VC232" s="3"/>
      <c r="VD232" s="3"/>
      <c r="VE232" s="3"/>
      <c r="VF232" s="3"/>
      <c r="VG232" s="3"/>
      <c r="VH232" s="3"/>
      <c r="VI232" s="3"/>
      <c r="VJ232" s="3"/>
      <c r="VK232" s="3"/>
      <c r="VL232" s="3"/>
      <c r="VM232" s="3"/>
      <c r="VN232" s="3"/>
      <c r="VO232" s="3"/>
      <c r="VP232" s="3"/>
      <c r="VQ232" s="3"/>
      <c r="VR232" s="3"/>
      <c r="VS232" s="3"/>
      <c r="VT232" s="3"/>
      <c r="VU232" s="3"/>
      <c r="VV232" s="3"/>
      <c r="VW232" s="3"/>
      <c r="VX232" s="3"/>
      <c r="VY232" s="3"/>
      <c r="VZ232" s="3"/>
      <c r="WA232" s="3"/>
      <c r="WB232" s="3"/>
      <c r="WC232" s="3"/>
      <c r="WD232" s="3"/>
      <c r="WE232" s="3"/>
      <c r="WF232" s="3"/>
      <c r="WG232" s="3"/>
      <c r="WH232" s="3"/>
      <c r="WI232" s="3"/>
      <c r="WJ232" s="3"/>
      <c r="WK232" s="3"/>
      <c r="WL232" s="3"/>
      <c r="WM232" s="3"/>
      <c r="WN232" s="3"/>
      <c r="WO232" s="3"/>
      <c r="WP232" s="3"/>
      <c r="WQ232" s="3"/>
      <c r="WR232" s="3"/>
      <c r="WS232" s="3"/>
      <c r="WT232" s="3"/>
      <c r="WU232" s="3"/>
      <c r="WV232" s="3"/>
      <c r="WW232" s="3"/>
      <c r="WX232" s="3"/>
      <c r="WY232" s="3"/>
      <c r="WZ232" s="3"/>
      <c r="XA232" s="3"/>
      <c r="XB232" s="3"/>
      <c r="XC232" s="3"/>
      <c r="XD232" s="3"/>
      <c r="XE232" s="3"/>
      <c r="XF232" s="3"/>
      <c r="XG232" s="3"/>
      <c r="XH232" s="3"/>
      <c r="XI232" s="3"/>
      <c r="XJ232" s="3"/>
      <c r="XK232" s="3"/>
      <c r="XL232" s="3"/>
      <c r="XM232" s="3"/>
      <c r="XN232" s="3"/>
      <c r="XO232" s="3"/>
      <c r="XP232" s="3"/>
      <c r="XQ232" s="3"/>
      <c r="XR232" s="3"/>
      <c r="XS232" s="3"/>
      <c r="XT232" s="3"/>
      <c r="XU232" s="3"/>
      <c r="XV232" s="3"/>
      <c r="XW232" s="3"/>
      <c r="XX232" s="3"/>
      <c r="XY232" s="3"/>
      <c r="XZ232" s="3"/>
      <c r="YA232" s="3"/>
      <c r="YB232" s="3"/>
      <c r="YC232" s="3"/>
      <c r="YD232" s="3"/>
      <c r="YE232" s="3"/>
      <c r="YF232" s="3"/>
      <c r="YG232" s="3"/>
      <c r="YH232" s="3"/>
      <c r="YI232" s="3"/>
      <c r="YJ232" s="3"/>
      <c r="YK232" s="3"/>
      <c r="YL232" s="3"/>
      <c r="YM232" s="3"/>
      <c r="YN232" s="3"/>
      <c r="YO232" s="3"/>
      <c r="YP232" s="3"/>
      <c r="YQ232" s="3"/>
      <c r="YR232" s="3"/>
      <c r="YS232" s="3"/>
      <c r="YT232" s="3"/>
      <c r="YU232" s="3"/>
      <c r="YV232" s="3"/>
      <c r="YW232" s="3"/>
      <c r="YX232" s="3"/>
      <c r="YY232" s="3"/>
      <c r="YZ232" s="3"/>
      <c r="ZA232" s="3"/>
      <c r="ZB232" s="3"/>
      <c r="ZC232" s="3"/>
    </row>
    <row r="233" spans="1:679" s="2" customFormat="1" x14ac:dyDescent="0.45">
      <c r="A233" s="3" t="s">
        <v>11</v>
      </c>
      <c r="B233" s="4">
        <v>37075</v>
      </c>
      <c r="C233" s="7" t="s">
        <v>25</v>
      </c>
      <c r="D233" s="6" t="s">
        <v>251</v>
      </c>
      <c r="E233" s="3"/>
      <c r="F233" s="3">
        <v>3</v>
      </c>
      <c r="L233" s="3"/>
      <c r="M233" s="3"/>
      <c r="N233" s="48"/>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3"/>
      <c r="CR233" s="3"/>
      <c r="CS233" s="3"/>
      <c r="CT233" s="3"/>
      <c r="CU233" s="3"/>
      <c r="CV233" s="3"/>
      <c r="CW233" s="3"/>
      <c r="CX233" s="3"/>
      <c r="CY233" s="3"/>
      <c r="CZ233" s="3"/>
      <c r="DA233" s="3"/>
      <c r="DB233" s="3"/>
      <c r="DC233" s="3"/>
      <c r="DD233" s="3"/>
      <c r="DE233" s="3"/>
      <c r="DF233" s="3"/>
      <c r="DG233" s="3"/>
      <c r="DH233" s="3"/>
      <c r="DI233" s="3"/>
      <c r="DJ233" s="3"/>
      <c r="DK233" s="3"/>
      <c r="DL233" s="3"/>
      <c r="DM233" s="3"/>
      <c r="DN233" s="3"/>
      <c r="DO233" s="3"/>
      <c r="DP233" s="3"/>
      <c r="DQ233" s="3"/>
      <c r="DR233" s="3"/>
      <c r="DS233" s="3"/>
      <c r="DT233" s="3"/>
      <c r="DU233" s="3"/>
      <c r="DV233" s="3"/>
      <c r="DW233" s="3"/>
      <c r="DX233" s="3"/>
      <c r="DY233" s="3"/>
      <c r="DZ233" s="3"/>
      <c r="EA233" s="3"/>
      <c r="EB233" s="3"/>
      <c r="EC233" s="3"/>
      <c r="ED233" s="3"/>
      <c r="EE233" s="3"/>
      <c r="EF233" s="3"/>
      <c r="EG233" s="3"/>
      <c r="EH233" s="3"/>
      <c r="EI233" s="3"/>
      <c r="EJ233" s="3"/>
      <c r="EK233" s="3"/>
      <c r="EL233" s="3"/>
      <c r="EM233" s="3"/>
      <c r="EN233" s="3"/>
      <c r="EO233" s="3"/>
      <c r="EP233" s="3"/>
      <c r="EQ233" s="3"/>
      <c r="ER233" s="3"/>
      <c r="ES233" s="3"/>
      <c r="ET233" s="3"/>
      <c r="EU233" s="3"/>
      <c r="EV233" s="3"/>
      <c r="EW233" s="3"/>
      <c r="EX233" s="3"/>
      <c r="EY233" s="3"/>
      <c r="EZ233" s="3"/>
      <c r="FA233" s="3"/>
      <c r="FB233" s="3"/>
      <c r="FC233" s="3"/>
      <c r="FD233" s="3"/>
      <c r="FE233" s="3"/>
      <c r="FF233" s="3"/>
      <c r="FG233" s="3"/>
      <c r="FH233" s="3"/>
      <c r="FI233" s="3"/>
      <c r="FJ233" s="3"/>
      <c r="FK233" s="3"/>
      <c r="FL233" s="3"/>
      <c r="FM233" s="3"/>
      <c r="FN233" s="3"/>
      <c r="FO233" s="3"/>
      <c r="FP233" s="3"/>
      <c r="FQ233" s="3"/>
      <c r="FR233" s="3"/>
      <c r="FS233" s="3"/>
      <c r="FT233" s="3"/>
      <c r="FU233" s="3"/>
      <c r="FV233" s="3"/>
      <c r="FW233" s="3"/>
      <c r="FX233" s="3"/>
      <c r="FY233" s="3"/>
      <c r="FZ233" s="3"/>
      <c r="GA233" s="3"/>
      <c r="GB233" s="3"/>
      <c r="GC233" s="3"/>
      <c r="GD233" s="3"/>
      <c r="GE233" s="3"/>
      <c r="GF233" s="3"/>
      <c r="GG233" s="3"/>
      <c r="GH233" s="3"/>
      <c r="GI233" s="3"/>
      <c r="GJ233" s="3"/>
      <c r="GK233" s="3"/>
      <c r="GL233" s="3"/>
      <c r="GM233" s="3"/>
      <c r="GN233" s="3"/>
      <c r="GO233" s="3"/>
      <c r="GP233" s="3"/>
      <c r="GQ233" s="3"/>
      <c r="GR233" s="3"/>
      <c r="GS233" s="3"/>
      <c r="GT233" s="3"/>
      <c r="GU233" s="3"/>
      <c r="GV233" s="3"/>
      <c r="GW233" s="3"/>
      <c r="GX233" s="3"/>
      <c r="GY233" s="3"/>
      <c r="GZ233" s="3"/>
      <c r="HA233" s="3"/>
      <c r="HB233" s="3"/>
      <c r="HC233" s="3"/>
      <c r="HD233" s="3"/>
      <c r="HE233" s="3"/>
      <c r="HF233" s="3"/>
      <c r="HG233" s="3"/>
      <c r="HH233" s="3"/>
      <c r="HI233" s="3"/>
      <c r="HJ233" s="3"/>
      <c r="HK233" s="3"/>
      <c r="HL233" s="3"/>
      <c r="HM233" s="3"/>
      <c r="HN233" s="3"/>
      <c r="HO233" s="3"/>
      <c r="HP233" s="3"/>
      <c r="HQ233" s="3"/>
      <c r="HR233" s="3"/>
      <c r="HS233" s="3"/>
      <c r="HT233" s="3"/>
      <c r="HU233" s="3"/>
      <c r="HV233" s="3"/>
      <c r="HW233" s="3"/>
      <c r="HX233" s="3"/>
      <c r="HY233" s="3"/>
      <c r="HZ233" s="3"/>
      <c r="IA233" s="3"/>
      <c r="IB233" s="3"/>
      <c r="IC233" s="3"/>
      <c r="ID233" s="3"/>
      <c r="IE233" s="3"/>
      <c r="IF233" s="3"/>
      <c r="IG233" s="3"/>
      <c r="IH233" s="3"/>
      <c r="II233" s="3"/>
      <c r="IJ233" s="3"/>
      <c r="IK233" s="3"/>
      <c r="IL233" s="3"/>
      <c r="IM233" s="3"/>
      <c r="IN233" s="3"/>
      <c r="IO233" s="3"/>
      <c r="IP233" s="3"/>
      <c r="IQ233" s="3"/>
      <c r="IR233" s="3"/>
      <c r="IS233" s="3"/>
      <c r="IT233" s="3"/>
      <c r="IU233" s="3"/>
      <c r="IV233" s="3"/>
      <c r="IW233" s="3"/>
      <c r="IX233" s="3"/>
      <c r="IY233" s="3"/>
      <c r="IZ233" s="3"/>
      <c r="JA233" s="3"/>
      <c r="JB233" s="3"/>
      <c r="JC233" s="3"/>
      <c r="JD233" s="3"/>
      <c r="JE233" s="3"/>
      <c r="JF233" s="3"/>
      <c r="JG233" s="3"/>
      <c r="JH233" s="3"/>
      <c r="JI233" s="3"/>
      <c r="JJ233" s="3"/>
      <c r="JK233" s="3"/>
      <c r="JL233" s="3"/>
      <c r="JM233" s="3"/>
      <c r="JN233" s="3"/>
      <c r="JO233" s="3"/>
      <c r="JP233" s="3"/>
      <c r="JQ233" s="3"/>
      <c r="JR233" s="3"/>
      <c r="JS233" s="3"/>
      <c r="JT233" s="3"/>
      <c r="JU233" s="3"/>
      <c r="JV233" s="3"/>
      <c r="JW233" s="3"/>
      <c r="JX233" s="3"/>
      <c r="JY233" s="3"/>
      <c r="JZ233" s="3"/>
      <c r="KA233" s="3"/>
      <c r="KB233" s="3"/>
      <c r="KC233" s="3"/>
      <c r="KD233" s="3"/>
      <c r="KE233" s="3"/>
      <c r="KF233" s="3"/>
      <c r="KG233" s="3"/>
      <c r="KH233" s="3"/>
      <c r="KI233" s="3"/>
      <c r="KJ233" s="3"/>
      <c r="KK233" s="3"/>
      <c r="KL233" s="3"/>
      <c r="KM233" s="3"/>
      <c r="KN233" s="3"/>
      <c r="KO233" s="3"/>
      <c r="KP233" s="3"/>
      <c r="KQ233" s="3"/>
      <c r="KR233" s="3"/>
      <c r="KS233" s="3"/>
      <c r="KT233" s="3"/>
      <c r="KU233" s="3"/>
      <c r="KV233" s="3"/>
      <c r="KW233" s="3"/>
      <c r="KX233" s="3"/>
      <c r="KY233" s="3"/>
      <c r="KZ233" s="3"/>
      <c r="LA233" s="3"/>
      <c r="LB233" s="3"/>
      <c r="LC233" s="3"/>
      <c r="LD233" s="3"/>
      <c r="LE233" s="3"/>
      <c r="LF233" s="3"/>
      <c r="LG233" s="3"/>
      <c r="LH233" s="3"/>
      <c r="LI233" s="3"/>
      <c r="LJ233" s="3"/>
      <c r="LK233" s="3"/>
      <c r="LL233" s="3"/>
      <c r="LM233" s="3"/>
      <c r="LN233" s="3"/>
      <c r="LO233" s="3"/>
      <c r="LP233" s="3"/>
      <c r="LQ233" s="3"/>
      <c r="LR233" s="3"/>
      <c r="LS233" s="3"/>
      <c r="LT233" s="3"/>
      <c r="LU233" s="3"/>
      <c r="LV233" s="3"/>
      <c r="LW233" s="3"/>
      <c r="LX233" s="3"/>
      <c r="LY233" s="3"/>
      <c r="LZ233" s="3"/>
      <c r="MA233" s="3"/>
      <c r="MB233" s="3"/>
      <c r="MC233" s="3"/>
      <c r="MD233" s="3"/>
      <c r="ME233" s="3"/>
      <c r="MF233" s="3"/>
      <c r="MG233" s="3"/>
      <c r="MH233" s="3"/>
      <c r="MI233" s="3"/>
      <c r="MJ233" s="3"/>
      <c r="MK233" s="3"/>
      <c r="ML233" s="3"/>
      <c r="MM233" s="3"/>
      <c r="MN233" s="3"/>
      <c r="MO233" s="3"/>
      <c r="MP233" s="3"/>
      <c r="MQ233" s="3"/>
      <c r="MR233" s="3"/>
      <c r="MS233" s="3"/>
      <c r="MT233" s="3"/>
      <c r="MU233" s="3"/>
      <c r="MV233" s="3"/>
      <c r="MW233" s="3"/>
      <c r="MX233" s="3"/>
      <c r="MY233" s="3"/>
      <c r="MZ233" s="3"/>
      <c r="NA233" s="3"/>
      <c r="NB233" s="3"/>
      <c r="NC233" s="3"/>
      <c r="ND233" s="3"/>
      <c r="NE233" s="3"/>
      <c r="NF233" s="3"/>
      <c r="NG233" s="3"/>
      <c r="NH233" s="3"/>
      <c r="NI233" s="3"/>
      <c r="NJ233" s="3"/>
      <c r="NK233" s="3"/>
      <c r="NL233" s="3"/>
      <c r="NM233" s="3"/>
      <c r="NN233" s="3"/>
      <c r="NO233" s="3"/>
      <c r="NP233" s="3"/>
      <c r="NQ233" s="3"/>
      <c r="NR233" s="3"/>
      <c r="NS233" s="3"/>
      <c r="NT233" s="3"/>
      <c r="NU233" s="3"/>
      <c r="NV233" s="3"/>
      <c r="NW233" s="3"/>
      <c r="NX233" s="3"/>
      <c r="NY233" s="3"/>
      <c r="NZ233" s="3"/>
      <c r="OA233" s="3"/>
      <c r="OB233" s="3"/>
      <c r="OC233" s="3"/>
      <c r="OD233" s="3"/>
      <c r="OE233" s="3"/>
      <c r="OF233" s="3"/>
      <c r="OG233" s="3"/>
      <c r="OH233" s="3"/>
      <c r="OI233" s="3"/>
      <c r="OJ233" s="3"/>
      <c r="OK233" s="3"/>
      <c r="OL233" s="3"/>
      <c r="OM233" s="3"/>
      <c r="ON233" s="3"/>
      <c r="OO233" s="3"/>
      <c r="OP233" s="3"/>
      <c r="OQ233" s="3"/>
      <c r="OR233" s="3"/>
      <c r="OS233" s="3"/>
      <c r="OT233" s="3"/>
      <c r="OU233" s="3"/>
      <c r="OV233" s="3"/>
      <c r="OW233" s="3"/>
      <c r="OX233" s="3"/>
      <c r="OY233" s="3"/>
      <c r="OZ233" s="3"/>
      <c r="PA233" s="3"/>
      <c r="PB233" s="3"/>
      <c r="PC233" s="3"/>
      <c r="PD233" s="3"/>
      <c r="PE233" s="3"/>
      <c r="PF233" s="3"/>
      <c r="PG233" s="3"/>
      <c r="PH233" s="3"/>
      <c r="PI233" s="3"/>
      <c r="PJ233" s="3"/>
      <c r="PK233" s="3"/>
      <c r="PL233" s="3"/>
      <c r="PM233" s="3"/>
      <c r="PN233" s="3"/>
      <c r="PO233" s="3"/>
      <c r="PP233" s="3"/>
      <c r="PQ233" s="3"/>
      <c r="PR233" s="3"/>
      <c r="PS233" s="3"/>
      <c r="PT233" s="3"/>
      <c r="PU233" s="3"/>
      <c r="PV233" s="3"/>
      <c r="PW233" s="3"/>
      <c r="PX233" s="3"/>
      <c r="PY233" s="3"/>
      <c r="PZ233" s="3"/>
      <c r="QA233" s="3"/>
      <c r="QB233" s="3"/>
      <c r="QC233" s="3"/>
      <c r="QD233" s="3"/>
      <c r="QE233" s="3"/>
      <c r="QF233" s="3"/>
      <c r="QG233" s="3"/>
      <c r="QH233" s="3"/>
      <c r="QI233" s="3"/>
      <c r="QJ233" s="3"/>
      <c r="QK233" s="3"/>
      <c r="QL233" s="3"/>
      <c r="QM233" s="3"/>
      <c r="QN233" s="3"/>
      <c r="QO233" s="3"/>
      <c r="QP233" s="3"/>
      <c r="QQ233" s="3"/>
      <c r="QR233" s="3"/>
      <c r="QS233" s="3"/>
      <c r="QT233" s="3"/>
      <c r="QU233" s="3"/>
      <c r="QV233" s="3"/>
      <c r="QW233" s="3"/>
      <c r="QX233" s="3"/>
      <c r="QY233" s="3"/>
      <c r="QZ233" s="3"/>
      <c r="RA233" s="3"/>
      <c r="RB233" s="3"/>
      <c r="RC233" s="3"/>
      <c r="RD233" s="3"/>
      <c r="RE233" s="3"/>
      <c r="RF233" s="3"/>
      <c r="RG233" s="3"/>
      <c r="RH233" s="3"/>
      <c r="RI233" s="3"/>
      <c r="RJ233" s="3"/>
      <c r="RK233" s="3"/>
      <c r="RL233" s="3"/>
      <c r="RM233" s="3"/>
      <c r="RN233" s="3"/>
      <c r="RO233" s="3"/>
      <c r="RP233" s="3"/>
      <c r="RQ233" s="3"/>
      <c r="RR233" s="3"/>
      <c r="RS233" s="3"/>
      <c r="RT233" s="3"/>
      <c r="RU233" s="3"/>
      <c r="RV233" s="3"/>
      <c r="RW233" s="3"/>
      <c r="RX233" s="3"/>
      <c r="RY233" s="3"/>
      <c r="RZ233" s="3"/>
      <c r="SA233" s="3"/>
      <c r="SB233" s="3"/>
      <c r="SC233" s="3"/>
      <c r="SD233" s="3"/>
      <c r="SE233" s="3"/>
      <c r="SF233" s="3"/>
      <c r="SG233" s="3"/>
      <c r="SH233" s="3"/>
      <c r="SI233" s="3"/>
      <c r="SJ233" s="3"/>
      <c r="SK233" s="3"/>
      <c r="SL233" s="3"/>
      <c r="SM233" s="3"/>
      <c r="SN233" s="3"/>
      <c r="SO233" s="3"/>
      <c r="SP233" s="3"/>
      <c r="SQ233" s="3"/>
      <c r="SR233" s="3"/>
      <c r="SS233" s="3"/>
      <c r="ST233" s="3"/>
      <c r="SU233" s="3"/>
      <c r="SV233" s="3"/>
      <c r="SW233" s="3"/>
      <c r="SX233" s="3"/>
      <c r="SY233" s="3"/>
      <c r="SZ233" s="3"/>
      <c r="TA233" s="3"/>
      <c r="TB233" s="3"/>
      <c r="TC233" s="3"/>
      <c r="TD233" s="3"/>
      <c r="TE233" s="3"/>
      <c r="TF233" s="3"/>
      <c r="TG233" s="3"/>
      <c r="TH233" s="3"/>
      <c r="TI233" s="3"/>
      <c r="TJ233" s="3"/>
      <c r="TK233" s="3"/>
      <c r="TL233" s="3"/>
      <c r="TM233" s="3"/>
      <c r="TN233" s="3"/>
      <c r="TO233" s="3"/>
      <c r="TP233" s="3"/>
      <c r="TQ233" s="3"/>
      <c r="TR233" s="3"/>
      <c r="TS233" s="3"/>
      <c r="TT233" s="3"/>
      <c r="TU233" s="3"/>
      <c r="TV233" s="3"/>
      <c r="TW233" s="3"/>
      <c r="TX233" s="3"/>
      <c r="TY233" s="3"/>
      <c r="TZ233" s="3"/>
      <c r="UA233" s="3"/>
      <c r="UB233" s="3"/>
      <c r="UC233" s="3"/>
      <c r="UD233" s="3"/>
      <c r="UE233" s="3"/>
      <c r="UF233" s="3"/>
      <c r="UG233" s="3"/>
      <c r="UH233" s="3"/>
      <c r="UI233" s="3"/>
      <c r="UJ233" s="3"/>
      <c r="UK233" s="3"/>
      <c r="UL233" s="3"/>
      <c r="UM233" s="3"/>
      <c r="UN233" s="3"/>
      <c r="UO233" s="3"/>
      <c r="UP233" s="3"/>
      <c r="UQ233" s="3"/>
      <c r="UR233" s="3"/>
      <c r="US233" s="3"/>
      <c r="UT233" s="3"/>
      <c r="UU233" s="3"/>
      <c r="UV233" s="3"/>
      <c r="UW233" s="3"/>
      <c r="UX233" s="3"/>
      <c r="UY233" s="3"/>
      <c r="UZ233" s="3"/>
      <c r="VA233" s="3"/>
      <c r="VB233" s="3"/>
      <c r="VC233" s="3"/>
      <c r="VD233" s="3"/>
      <c r="VE233" s="3"/>
      <c r="VF233" s="3"/>
      <c r="VG233" s="3"/>
      <c r="VH233" s="3"/>
      <c r="VI233" s="3"/>
      <c r="VJ233" s="3"/>
      <c r="VK233" s="3"/>
      <c r="VL233" s="3"/>
      <c r="VM233" s="3"/>
      <c r="VN233" s="3"/>
      <c r="VO233" s="3"/>
      <c r="VP233" s="3"/>
      <c r="VQ233" s="3"/>
      <c r="VR233" s="3"/>
      <c r="VS233" s="3"/>
      <c r="VT233" s="3"/>
      <c r="VU233" s="3"/>
      <c r="VV233" s="3"/>
      <c r="VW233" s="3"/>
      <c r="VX233" s="3"/>
      <c r="VY233" s="3"/>
      <c r="VZ233" s="3"/>
      <c r="WA233" s="3"/>
      <c r="WB233" s="3"/>
      <c r="WC233" s="3"/>
      <c r="WD233" s="3"/>
      <c r="WE233" s="3"/>
      <c r="WF233" s="3"/>
      <c r="WG233" s="3"/>
      <c r="WH233" s="3"/>
      <c r="WI233" s="3"/>
      <c r="WJ233" s="3"/>
      <c r="WK233" s="3"/>
      <c r="WL233" s="3"/>
      <c r="WM233" s="3"/>
      <c r="WN233" s="3"/>
      <c r="WO233" s="3"/>
      <c r="WP233" s="3"/>
      <c r="WQ233" s="3"/>
      <c r="WR233" s="3"/>
      <c r="WS233" s="3"/>
      <c r="WT233" s="3"/>
      <c r="WU233" s="3"/>
      <c r="WV233" s="3"/>
      <c r="WW233" s="3"/>
      <c r="WX233" s="3"/>
      <c r="WY233" s="3"/>
      <c r="WZ233" s="3"/>
      <c r="XA233" s="3"/>
      <c r="XB233" s="3"/>
      <c r="XC233" s="3"/>
      <c r="XD233" s="3"/>
      <c r="XE233" s="3"/>
      <c r="XF233" s="3"/>
      <c r="XG233" s="3"/>
      <c r="XH233" s="3"/>
      <c r="XI233" s="3"/>
      <c r="XJ233" s="3"/>
      <c r="XK233" s="3"/>
      <c r="XL233" s="3"/>
      <c r="XM233" s="3"/>
      <c r="XN233" s="3"/>
      <c r="XO233" s="3"/>
      <c r="XP233" s="3"/>
      <c r="XQ233" s="3"/>
      <c r="XR233" s="3"/>
      <c r="XS233" s="3"/>
      <c r="XT233" s="3"/>
      <c r="XU233" s="3"/>
      <c r="XV233" s="3"/>
      <c r="XW233" s="3"/>
      <c r="XX233" s="3"/>
      <c r="XY233" s="3"/>
      <c r="XZ233" s="3"/>
      <c r="YA233" s="3"/>
      <c r="YB233" s="3"/>
      <c r="YC233" s="3"/>
      <c r="YD233" s="3"/>
      <c r="YE233" s="3"/>
      <c r="YF233" s="3"/>
      <c r="YG233" s="3"/>
      <c r="YH233" s="3"/>
      <c r="YI233" s="3"/>
      <c r="YJ233" s="3"/>
      <c r="YK233" s="3"/>
      <c r="YL233" s="3"/>
      <c r="YM233" s="3"/>
      <c r="YN233" s="3"/>
      <c r="YO233" s="3"/>
      <c r="YP233" s="3"/>
      <c r="YQ233" s="3"/>
      <c r="YR233" s="3"/>
      <c r="YS233" s="3"/>
      <c r="YT233" s="3"/>
      <c r="YU233" s="3"/>
      <c r="YV233" s="3"/>
      <c r="YW233" s="3"/>
      <c r="YX233" s="3"/>
      <c r="YY233" s="3"/>
      <c r="YZ233" s="3"/>
      <c r="ZA233" s="3"/>
      <c r="ZB233" s="3"/>
      <c r="ZC233" s="3"/>
    </row>
    <row r="234" spans="1:679" s="2" customFormat="1" x14ac:dyDescent="0.45">
      <c r="A234" s="3" t="s">
        <v>11</v>
      </c>
      <c r="B234" s="4">
        <v>37075</v>
      </c>
      <c r="C234" s="7" t="s">
        <v>25</v>
      </c>
      <c r="D234" s="6" t="s">
        <v>252</v>
      </c>
      <c r="E234" s="3"/>
      <c r="F234" s="3">
        <v>5</v>
      </c>
      <c r="L234" s="3"/>
      <c r="M234" s="3"/>
      <c r="N234" s="48"/>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3"/>
      <c r="CR234" s="3"/>
      <c r="CS234" s="3"/>
      <c r="CT234" s="3"/>
      <c r="CU234" s="3"/>
      <c r="CV234" s="3"/>
      <c r="CW234" s="3"/>
      <c r="CX234" s="3"/>
      <c r="CY234" s="3"/>
      <c r="CZ234" s="3"/>
      <c r="DA234" s="3"/>
      <c r="DB234" s="3"/>
      <c r="DC234" s="3"/>
      <c r="DD234" s="3"/>
      <c r="DE234" s="3"/>
      <c r="DF234" s="3"/>
      <c r="DG234" s="3"/>
      <c r="DH234" s="3"/>
      <c r="DI234" s="3"/>
      <c r="DJ234" s="3"/>
      <c r="DK234" s="3"/>
      <c r="DL234" s="3"/>
      <c r="DM234" s="3"/>
      <c r="DN234" s="3"/>
      <c r="DO234" s="3"/>
      <c r="DP234" s="3"/>
      <c r="DQ234" s="3"/>
      <c r="DR234" s="3"/>
      <c r="DS234" s="3"/>
      <c r="DT234" s="3"/>
      <c r="DU234" s="3"/>
      <c r="DV234" s="3"/>
      <c r="DW234" s="3"/>
      <c r="DX234" s="3"/>
      <c r="DY234" s="3"/>
      <c r="DZ234" s="3"/>
      <c r="EA234" s="3"/>
      <c r="EB234" s="3"/>
      <c r="EC234" s="3"/>
      <c r="ED234" s="3"/>
      <c r="EE234" s="3"/>
      <c r="EF234" s="3"/>
      <c r="EG234" s="3"/>
      <c r="EH234" s="3"/>
      <c r="EI234" s="3"/>
      <c r="EJ234" s="3"/>
      <c r="EK234" s="3"/>
      <c r="EL234" s="3"/>
      <c r="EM234" s="3"/>
      <c r="EN234" s="3"/>
      <c r="EO234" s="3"/>
      <c r="EP234" s="3"/>
      <c r="EQ234" s="3"/>
      <c r="ER234" s="3"/>
      <c r="ES234" s="3"/>
      <c r="ET234" s="3"/>
      <c r="EU234" s="3"/>
      <c r="EV234" s="3"/>
      <c r="EW234" s="3"/>
      <c r="EX234" s="3"/>
      <c r="EY234" s="3"/>
      <c r="EZ234" s="3"/>
      <c r="FA234" s="3"/>
      <c r="FB234" s="3"/>
      <c r="FC234" s="3"/>
      <c r="FD234" s="3"/>
      <c r="FE234" s="3"/>
      <c r="FF234" s="3"/>
      <c r="FG234" s="3"/>
      <c r="FH234" s="3"/>
      <c r="FI234" s="3"/>
      <c r="FJ234" s="3"/>
      <c r="FK234" s="3"/>
      <c r="FL234" s="3"/>
      <c r="FM234" s="3"/>
      <c r="FN234" s="3"/>
      <c r="FO234" s="3"/>
      <c r="FP234" s="3"/>
      <c r="FQ234" s="3"/>
      <c r="FR234" s="3"/>
      <c r="FS234" s="3"/>
      <c r="FT234" s="3"/>
      <c r="FU234" s="3"/>
      <c r="FV234" s="3"/>
      <c r="FW234" s="3"/>
      <c r="FX234" s="3"/>
      <c r="FY234" s="3"/>
      <c r="FZ234" s="3"/>
      <c r="GA234" s="3"/>
      <c r="GB234" s="3"/>
      <c r="GC234" s="3"/>
      <c r="GD234" s="3"/>
      <c r="GE234" s="3"/>
      <c r="GF234" s="3"/>
      <c r="GG234" s="3"/>
      <c r="GH234" s="3"/>
      <c r="GI234" s="3"/>
      <c r="GJ234" s="3"/>
      <c r="GK234" s="3"/>
      <c r="GL234" s="3"/>
      <c r="GM234" s="3"/>
      <c r="GN234" s="3"/>
      <c r="GO234" s="3"/>
      <c r="GP234" s="3"/>
      <c r="GQ234" s="3"/>
      <c r="GR234" s="3"/>
      <c r="GS234" s="3"/>
      <c r="GT234" s="3"/>
      <c r="GU234" s="3"/>
      <c r="GV234" s="3"/>
      <c r="GW234" s="3"/>
      <c r="GX234" s="3"/>
      <c r="GY234" s="3"/>
      <c r="GZ234" s="3"/>
      <c r="HA234" s="3"/>
      <c r="HB234" s="3"/>
      <c r="HC234" s="3"/>
      <c r="HD234" s="3"/>
      <c r="HE234" s="3"/>
      <c r="HF234" s="3"/>
      <c r="HG234" s="3"/>
      <c r="HH234" s="3"/>
      <c r="HI234" s="3"/>
      <c r="HJ234" s="3"/>
      <c r="HK234" s="3"/>
      <c r="HL234" s="3"/>
      <c r="HM234" s="3"/>
      <c r="HN234" s="3"/>
      <c r="HO234" s="3"/>
      <c r="HP234" s="3"/>
      <c r="HQ234" s="3"/>
      <c r="HR234" s="3"/>
      <c r="HS234" s="3"/>
      <c r="HT234" s="3"/>
      <c r="HU234" s="3"/>
      <c r="HV234" s="3"/>
      <c r="HW234" s="3"/>
      <c r="HX234" s="3"/>
      <c r="HY234" s="3"/>
      <c r="HZ234" s="3"/>
      <c r="IA234" s="3"/>
      <c r="IB234" s="3"/>
      <c r="IC234" s="3"/>
      <c r="ID234" s="3"/>
      <c r="IE234" s="3"/>
      <c r="IF234" s="3"/>
      <c r="IG234" s="3"/>
      <c r="IH234" s="3"/>
      <c r="II234" s="3"/>
      <c r="IJ234" s="3"/>
      <c r="IK234" s="3"/>
      <c r="IL234" s="3"/>
      <c r="IM234" s="3"/>
      <c r="IN234" s="3"/>
      <c r="IO234" s="3"/>
      <c r="IP234" s="3"/>
      <c r="IQ234" s="3"/>
      <c r="IR234" s="3"/>
      <c r="IS234" s="3"/>
      <c r="IT234" s="3"/>
      <c r="IU234" s="3"/>
      <c r="IV234" s="3"/>
      <c r="IW234" s="3"/>
      <c r="IX234" s="3"/>
      <c r="IY234" s="3"/>
      <c r="IZ234" s="3"/>
      <c r="JA234" s="3"/>
      <c r="JB234" s="3"/>
      <c r="JC234" s="3"/>
      <c r="JD234" s="3"/>
      <c r="JE234" s="3"/>
      <c r="JF234" s="3"/>
      <c r="JG234" s="3"/>
      <c r="JH234" s="3"/>
      <c r="JI234" s="3"/>
      <c r="JJ234" s="3"/>
      <c r="JK234" s="3"/>
      <c r="JL234" s="3"/>
      <c r="JM234" s="3"/>
      <c r="JN234" s="3"/>
      <c r="JO234" s="3"/>
      <c r="JP234" s="3"/>
      <c r="JQ234" s="3"/>
      <c r="JR234" s="3"/>
      <c r="JS234" s="3"/>
      <c r="JT234" s="3"/>
      <c r="JU234" s="3"/>
      <c r="JV234" s="3"/>
      <c r="JW234" s="3"/>
      <c r="JX234" s="3"/>
      <c r="JY234" s="3"/>
      <c r="JZ234" s="3"/>
      <c r="KA234" s="3"/>
      <c r="KB234" s="3"/>
      <c r="KC234" s="3"/>
      <c r="KD234" s="3"/>
      <c r="KE234" s="3"/>
      <c r="KF234" s="3"/>
      <c r="KG234" s="3"/>
      <c r="KH234" s="3"/>
      <c r="KI234" s="3"/>
      <c r="KJ234" s="3"/>
      <c r="KK234" s="3"/>
      <c r="KL234" s="3"/>
      <c r="KM234" s="3"/>
      <c r="KN234" s="3"/>
      <c r="KO234" s="3"/>
      <c r="KP234" s="3"/>
      <c r="KQ234" s="3"/>
      <c r="KR234" s="3"/>
      <c r="KS234" s="3"/>
      <c r="KT234" s="3"/>
      <c r="KU234" s="3"/>
      <c r="KV234" s="3"/>
      <c r="KW234" s="3"/>
      <c r="KX234" s="3"/>
      <c r="KY234" s="3"/>
      <c r="KZ234" s="3"/>
      <c r="LA234" s="3"/>
      <c r="LB234" s="3"/>
      <c r="LC234" s="3"/>
      <c r="LD234" s="3"/>
      <c r="LE234" s="3"/>
      <c r="LF234" s="3"/>
      <c r="LG234" s="3"/>
      <c r="LH234" s="3"/>
      <c r="LI234" s="3"/>
      <c r="LJ234" s="3"/>
      <c r="LK234" s="3"/>
      <c r="LL234" s="3"/>
      <c r="LM234" s="3"/>
      <c r="LN234" s="3"/>
      <c r="LO234" s="3"/>
      <c r="LP234" s="3"/>
      <c r="LQ234" s="3"/>
      <c r="LR234" s="3"/>
      <c r="LS234" s="3"/>
      <c r="LT234" s="3"/>
      <c r="LU234" s="3"/>
      <c r="LV234" s="3"/>
      <c r="LW234" s="3"/>
      <c r="LX234" s="3"/>
      <c r="LY234" s="3"/>
      <c r="LZ234" s="3"/>
      <c r="MA234" s="3"/>
      <c r="MB234" s="3"/>
      <c r="MC234" s="3"/>
      <c r="MD234" s="3"/>
      <c r="ME234" s="3"/>
      <c r="MF234" s="3"/>
      <c r="MG234" s="3"/>
      <c r="MH234" s="3"/>
      <c r="MI234" s="3"/>
      <c r="MJ234" s="3"/>
      <c r="MK234" s="3"/>
      <c r="ML234" s="3"/>
      <c r="MM234" s="3"/>
      <c r="MN234" s="3"/>
      <c r="MO234" s="3"/>
      <c r="MP234" s="3"/>
      <c r="MQ234" s="3"/>
      <c r="MR234" s="3"/>
      <c r="MS234" s="3"/>
      <c r="MT234" s="3"/>
      <c r="MU234" s="3"/>
      <c r="MV234" s="3"/>
      <c r="MW234" s="3"/>
      <c r="MX234" s="3"/>
      <c r="MY234" s="3"/>
      <c r="MZ234" s="3"/>
      <c r="NA234" s="3"/>
      <c r="NB234" s="3"/>
      <c r="NC234" s="3"/>
      <c r="ND234" s="3"/>
      <c r="NE234" s="3"/>
      <c r="NF234" s="3"/>
      <c r="NG234" s="3"/>
      <c r="NH234" s="3"/>
      <c r="NI234" s="3"/>
      <c r="NJ234" s="3"/>
      <c r="NK234" s="3"/>
      <c r="NL234" s="3"/>
      <c r="NM234" s="3"/>
      <c r="NN234" s="3"/>
      <c r="NO234" s="3"/>
      <c r="NP234" s="3"/>
      <c r="NQ234" s="3"/>
      <c r="NR234" s="3"/>
      <c r="NS234" s="3"/>
      <c r="NT234" s="3"/>
      <c r="NU234" s="3"/>
      <c r="NV234" s="3"/>
      <c r="NW234" s="3"/>
      <c r="NX234" s="3"/>
      <c r="NY234" s="3"/>
      <c r="NZ234" s="3"/>
      <c r="OA234" s="3"/>
      <c r="OB234" s="3"/>
      <c r="OC234" s="3"/>
      <c r="OD234" s="3"/>
      <c r="OE234" s="3"/>
      <c r="OF234" s="3"/>
      <c r="OG234" s="3"/>
      <c r="OH234" s="3"/>
      <c r="OI234" s="3"/>
      <c r="OJ234" s="3"/>
      <c r="OK234" s="3"/>
      <c r="OL234" s="3"/>
      <c r="OM234" s="3"/>
      <c r="ON234" s="3"/>
      <c r="OO234" s="3"/>
      <c r="OP234" s="3"/>
      <c r="OQ234" s="3"/>
      <c r="OR234" s="3"/>
      <c r="OS234" s="3"/>
      <c r="OT234" s="3"/>
      <c r="OU234" s="3"/>
      <c r="OV234" s="3"/>
      <c r="OW234" s="3"/>
      <c r="OX234" s="3"/>
      <c r="OY234" s="3"/>
      <c r="OZ234" s="3"/>
      <c r="PA234" s="3"/>
      <c r="PB234" s="3"/>
      <c r="PC234" s="3"/>
      <c r="PD234" s="3"/>
      <c r="PE234" s="3"/>
      <c r="PF234" s="3"/>
      <c r="PG234" s="3"/>
      <c r="PH234" s="3"/>
      <c r="PI234" s="3"/>
      <c r="PJ234" s="3"/>
      <c r="PK234" s="3"/>
      <c r="PL234" s="3"/>
      <c r="PM234" s="3"/>
      <c r="PN234" s="3"/>
      <c r="PO234" s="3"/>
      <c r="PP234" s="3"/>
      <c r="PQ234" s="3"/>
      <c r="PR234" s="3"/>
      <c r="PS234" s="3"/>
      <c r="PT234" s="3"/>
      <c r="PU234" s="3"/>
      <c r="PV234" s="3"/>
      <c r="PW234" s="3"/>
      <c r="PX234" s="3"/>
      <c r="PY234" s="3"/>
      <c r="PZ234" s="3"/>
      <c r="QA234" s="3"/>
      <c r="QB234" s="3"/>
      <c r="QC234" s="3"/>
      <c r="QD234" s="3"/>
      <c r="QE234" s="3"/>
      <c r="QF234" s="3"/>
      <c r="QG234" s="3"/>
      <c r="QH234" s="3"/>
      <c r="QI234" s="3"/>
      <c r="QJ234" s="3"/>
      <c r="QK234" s="3"/>
      <c r="QL234" s="3"/>
      <c r="QM234" s="3"/>
      <c r="QN234" s="3"/>
      <c r="QO234" s="3"/>
      <c r="QP234" s="3"/>
      <c r="QQ234" s="3"/>
      <c r="QR234" s="3"/>
      <c r="QS234" s="3"/>
      <c r="QT234" s="3"/>
      <c r="QU234" s="3"/>
      <c r="QV234" s="3"/>
      <c r="QW234" s="3"/>
      <c r="QX234" s="3"/>
      <c r="QY234" s="3"/>
      <c r="QZ234" s="3"/>
      <c r="RA234" s="3"/>
      <c r="RB234" s="3"/>
      <c r="RC234" s="3"/>
      <c r="RD234" s="3"/>
      <c r="RE234" s="3"/>
      <c r="RF234" s="3"/>
      <c r="RG234" s="3"/>
      <c r="RH234" s="3"/>
      <c r="RI234" s="3"/>
      <c r="RJ234" s="3"/>
      <c r="RK234" s="3"/>
      <c r="RL234" s="3"/>
      <c r="RM234" s="3"/>
      <c r="RN234" s="3"/>
      <c r="RO234" s="3"/>
      <c r="RP234" s="3"/>
      <c r="RQ234" s="3"/>
      <c r="RR234" s="3"/>
      <c r="RS234" s="3"/>
      <c r="RT234" s="3"/>
      <c r="RU234" s="3"/>
      <c r="RV234" s="3"/>
      <c r="RW234" s="3"/>
      <c r="RX234" s="3"/>
      <c r="RY234" s="3"/>
      <c r="RZ234" s="3"/>
      <c r="SA234" s="3"/>
      <c r="SB234" s="3"/>
      <c r="SC234" s="3"/>
      <c r="SD234" s="3"/>
      <c r="SE234" s="3"/>
      <c r="SF234" s="3"/>
      <c r="SG234" s="3"/>
      <c r="SH234" s="3"/>
      <c r="SI234" s="3"/>
      <c r="SJ234" s="3"/>
      <c r="SK234" s="3"/>
      <c r="SL234" s="3"/>
      <c r="SM234" s="3"/>
      <c r="SN234" s="3"/>
      <c r="SO234" s="3"/>
      <c r="SP234" s="3"/>
      <c r="SQ234" s="3"/>
      <c r="SR234" s="3"/>
      <c r="SS234" s="3"/>
      <c r="ST234" s="3"/>
      <c r="SU234" s="3"/>
      <c r="SV234" s="3"/>
      <c r="SW234" s="3"/>
      <c r="SX234" s="3"/>
      <c r="SY234" s="3"/>
      <c r="SZ234" s="3"/>
      <c r="TA234" s="3"/>
      <c r="TB234" s="3"/>
      <c r="TC234" s="3"/>
      <c r="TD234" s="3"/>
      <c r="TE234" s="3"/>
      <c r="TF234" s="3"/>
      <c r="TG234" s="3"/>
      <c r="TH234" s="3"/>
      <c r="TI234" s="3"/>
      <c r="TJ234" s="3"/>
      <c r="TK234" s="3"/>
      <c r="TL234" s="3"/>
      <c r="TM234" s="3"/>
      <c r="TN234" s="3"/>
      <c r="TO234" s="3"/>
      <c r="TP234" s="3"/>
      <c r="TQ234" s="3"/>
      <c r="TR234" s="3"/>
      <c r="TS234" s="3"/>
      <c r="TT234" s="3"/>
      <c r="TU234" s="3"/>
      <c r="TV234" s="3"/>
      <c r="TW234" s="3"/>
      <c r="TX234" s="3"/>
      <c r="TY234" s="3"/>
      <c r="TZ234" s="3"/>
      <c r="UA234" s="3"/>
      <c r="UB234" s="3"/>
      <c r="UC234" s="3"/>
      <c r="UD234" s="3"/>
      <c r="UE234" s="3"/>
      <c r="UF234" s="3"/>
      <c r="UG234" s="3"/>
      <c r="UH234" s="3"/>
      <c r="UI234" s="3"/>
      <c r="UJ234" s="3"/>
      <c r="UK234" s="3"/>
      <c r="UL234" s="3"/>
      <c r="UM234" s="3"/>
      <c r="UN234" s="3"/>
      <c r="UO234" s="3"/>
      <c r="UP234" s="3"/>
      <c r="UQ234" s="3"/>
      <c r="UR234" s="3"/>
      <c r="US234" s="3"/>
      <c r="UT234" s="3"/>
      <c r="UU234" s="3"/>
      <c r="UV234" s="3"/>
      <c r="UW234" s="3"/>
      <c r="UX234" s="3"/>
      <c r="UY234" s="3"/>
      <c r="UZ234" s="3"/>
      <c r="VA234" s="3"/>
      <c r="VB234" s="3"/>
      <c r="VC234" s="3"/>
      <c r="VD234" s="3"/>
      <c r="VE234" s="3"/>
      <c r="VF234" s="3"/>
      <c r="VG234" s="3"/>
      <c r="VH234" s="3"/>
      <c r="VI234" s="3"/>
      <c r="VJ234" s="3"/>
      <c r="VK234" s="3"/>
      <c r="VL234" s="3"/>
      <c r="VM234" s="3"/>
      <c r="VN234" s="3"/>
      <c r="VO234" s="3"/>
      <c r="VP234" s="3"/>
      <c r="VQ234" s="3"/>
      <c r="VR234" s="3"/>
      <c r="VS234" s="3"/>
      <c r="VT234" s="3"/>
      <c r="VU234" s="3"/>
      <c r="VV234" s="3"/>
      <c r="VW234" s="3"/>
      <c r="VX234" s="3"/>
      <c r="VY234" s="3"/>
      <c r="VZ234" s="3"/>
      <c r="WA234" s="3"/>
      <c r="WB234" s="3"/>
      <c r="WC234" s="3"/>
      <c r="WD234" s="3"/>
      <c r="WE234" s="3"/>
      <c r="WF234" s="3"/>
      <c r="WG234" s="3"/>
      <c r="WH234" s="3"/>
      <c r="WI234" s="3"/>
      <c r="WJ234" s="3"/>
      <c r="WK234" s="3"/>
      <c r="WL234" s="3"/>
      <c r="WM234" s="3"/>
      <c r="WN234" s="3"/>
      <c r="WO234" s="3"/>
      <c r="WP234" s="3"/>
      <c r="WQ234" s="3"/>
      <c r="WR234" s="3"/>
      <c r="WS234" s="3"/>
      <c r="WT234" s="3"/>
      <c r="WU234" s="3"/>
      <c r="WV234" s="3"/>
      <c r="WW234" s="3"/>
      <c r="WX234" s="3"/>
      <c r="WY234" s="3"/>
      <c r="WZ234" s="3"/>
      <c r="XA234" s="3"/>
      <c r="XB234" s="3"/>
      <c r="XC234" s="3"/>
      <c r="XD234" s="3"/>
      <c r="XE234" s="3"/>
      <c r="XF234" s="3"/>
      <c r="XG234" s="3"/>
      <c r="XH234" s="3"/>
      <c r="XI234" s="3"/>
      <c r="XJ234" s="3"/>
      <c r="XK234" s="3"/>
      <c r="XL234" s="3"/>
      <c r="XM234" s="3"/>
      <c r="XN234" s="3"/>
      <c r="XO234" s="3"/>
      <c r="XP234" s="3"/>
      <c r="XQ234" s="3"/>
      <c r="XR234" s="3"/>
      <c r="XS234" s="3"/>
      <c r="XT234" s="3"/>
      <c r="XU234" s="3"/>
      <c r="XV234" s="3"/>
      <c r="XW234" s="3"/>
      <c r="XX234" s="3"/>
      <c r="XY234" s="3"/>
      <c r="XZ234" s="3"/>
      <c r="YA234" s="3"/>
      <c r="YB234" s="3"/>
      <c r="YC234" s="3"/>
      <c r="YD234" s="3"/>
      <c r="YE234" s="3"/>
      <c r="YF234" s="3"/>
      <c r="YG234" s="3"/>
      <c r="YH234" s="3"/>
      <c r="YI234" s="3"/>
      <c r="YJ234" s="3"/>
      <c r="YK234" s="3"/>
      <c r="YL234" s="3"/>
      <c r="YM234" s="3"/>
      <c r="YN234" s="3"/>
      <c r="YO234" s="3"/>
      <c r="YP234" s="3"/>
      <c r="YQ234" s="3"/>
      <c r="YR234" s="3"/>
      <c r="YS234" s="3"/>
      <c r="YT234" s="3"/>
      <c r="YU234" s="3"/>
      <c r="YV234" s="3"/>
      <c r="YW234" s="3"/>
      <c r="YX234" s="3"/>
      <c r="YY234" s="3"/>
      <c r="YZ234" s="3"/>
      <c r="ZA234" s="3"/>
      <c r="ZB234" s="3"/>
      <c r="ZC234" s="3"/>
    </row>
    <row r="235" spans="1:679" s="2" customFormat="1" x14ac:dyDescent="0.45">
      <c r="A235" s="3" t="s">
        <v>11</v>
      </c>
      <c r="B235" s="4">
        <v>37119</v>
      </c>
      <c r="C235" s="7" t="s">
        <v>25</v>
      </c>
      <c r="D235" s="6" t="s">
        <v>253</v>
      </c>
      <c r="E235" s="3"/>
      <c r="F235" s="3">
        <v>5</v>
      </c>
      <c r="L235" s="3"/>
      <c r="M235" s="3"/>
      <c r="N235" s="48"/>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c r="CQ235" s="3"/>
      <c r="CR235" s="3"/>
      <c r="CS235" s="3"/>
      <c r="CT235" s="3"/>
      <c r="CU235" s="3"/>
      <c r="CV235" s="3"/>
      <c r="CW235" s="3"/>
      <c r="CX235" s="3"/>
      <c r="CY235" s="3"/>
      <c r="CZ235" s="3"/>
      <c r="DA235" s="3"/>
      <c r="DB235" s="3"/>
      <c r="DC235" s="3"/>
      <c r="DD235" s="3"/>
      <c r="DE235" s="3"/>
      <c r="DF235" s="3"/>
      <c r="DG235" s="3"/>
      <c r="DH235" s="3"/>
      <c r="DI235" s="3"/>
      <c r="DJ235" s="3"/>
      <c r="DK235" s="3"/>
      <c r="DL235" s="3"/>
      <c r="DM235" s="3"/>
      <c r="DN235" s="3"/>
      <c r="DO235" s="3"/>
      <c r="DP235" s="3"/>
      <c r="DQ235" s="3"/>
      <c r="DR235" s="3"/>
      <c r="DS235" s="3"/>
      <c r="DT235" s="3"/>
      <c r="DU235" s="3"/>
      <c r="DV235" s="3"/>
      <c r="DW235" s="3"/>
      <c r="DX235" s="3"/>
      <c r="DY235" s="3"/>
      <c r="DZ235" s="3"/>
      <c r="EA235" s="3"/>
      <c r="EB235" s="3"/>
      <c r="EC235" s="3"/>
      <c r="ED235" s="3"/>
      <c r="EE235" s="3"/>
      <c r="EF235" s="3"/>
      <c r="EG235" s="3"/>
      <c r="EH235" s="3"/>
      <c r="EI235" s="3"/>
      <c r="EJ235" s="3"/>
      <c r="EK235" s="3"/>
      <c r="EL235" s="3"/>
      <c r="EM235" s="3"/>
      <c r="EN235" s="3"/>
      <c r="EO235" s="3"/>
      <c r="EP235" s="3"/>
      <c r="EQ235" s="3"/>
      <c r="ER235" s="3"/>
      <c r="ES235" s="3"/>
      <c r="ET235" s="3"/>
      <c r="EU235" s="3"/>
      <c r="EV235" s="3"/>
      <c r="EW235" s="3"/>
      <c r="EX235" s="3"/>
      <c r="EY235" s="3"/>
      <c r="EZ235" s="3"/>
      <c r="FA235" s="3"/>
      <c r="FB235" s="3"/>
      <c r="FC235" s="3"/>
      <c r="FD235" s="3"/>
      <c r="FE235" s="3"/>
      <c r="FF235" s="3"/>
      <c r="FG235" s="3"/>
      <c r="FH235" s="3"/>
      <c r="FI235" s="3"/>
      <c r="FJ235" s="3"/>
      <c r="FK235" s="3"/>
      <c r="FL235" s="3"/>
      <c r="FM235" s="3"/>
      <c r="FN235" s="3"/>
      <c r="FO235" s="3"/>
      <c r="FP235" s="3"/>
      <c r="FQ235" s="3"/>
      <c r="FR235" s="3"/>
      <c r="FS235" s="3"/>
      <c r="FT235" s="3"/>
      <c r="FU235" s="3"/>
      <c r="FV235" s="3"/>
      <c r="FW235" s="3"/>
      <c r="FX235" s="3"/>
      <c r="FY235" s="3"/>
      <c r="FZ235" s="3"/>
      <c r="GA235" s="3"/>
      <c r="GB235" s="3"/>
      <c r="GC235" s="3"/>
      <c r="GD235" s="3"/>
      <c r="GE235" s="3"/>
      <c r="GF235" s="3"/>
      <c r="GG235" s="3"/>
      <c r="GH235" s="3"/>
      <c r="GI235" s="3"/>
      <c r="GJ235" s="3"/>
      <c r="GK235" s="3"/>
      <c r="GL235" s="3"/>
      <c r="GM235" s="3"/>
      <c r="GN235" s="3"/>
      <c r="GO235" s="3"/>
      <c r="GP235" s="3"/>
      <c r="GQ235" s="3"/>
      <c r="GR235" s="3"/>
      <c r="GS235" s="3"/>
      <c r="GT235" s="3"/>
      <c r="GU235" s="3"/>
      <c r="GV235" s="3"/>
      <c r="GW235" s="3"/>
      <c r="GX235" s="3"/>
      <c r="GY235" s="3"/>
      <c r="GZ235" s="3"/>
      <c r="HA235" s="3"/>
      <c r="HB235" s="3"/>
      <c r="HC235" s="3"/>
      <c r="HD235" s="3"/>
      <c r="HE235" s="3"/>
      <c r="HF235" s="3"/>
      <c r="HG235" s="3"/>
      <c r="HH235" s="3"/>
      <c r="HI235" s="3"/>
      <c r="HJ235" s="3"/>
      <c r="HK235" s="3"/>
      <c r="HL235" s="3"/>
      <c r="HM235" s="3"/>
      <c r="HN235" s="3"/>
      <c r="HO235" s="3"/>
      <c r="HP235" s="3"/>
      <c r="HQ235" s="3"/>
      <c r="HR235" s="3"/>
      <c r="HS235" s="3"/>
      <c r="HT235" s="3"/>
      <c r="HU235" s="3"/>
      <c r="HV235" s="3"/>
      <c r="HW235" s="3"/>
      <c r="HX235" s="3"/>
      <c r="HY235" s="3"/>
      <c r="HZ235" s="3"/>
      <c r="IA235" s="3"/>
      <c r="IB235" s="3"/>
      <c r="IC235" s="3"/>
      <c r="ID235" s="3"/>
      <c r="IE235" s="3"/>
      <c r="IF235" s="3"/>
      <c r="IG235" s="3"/>
      <c r="IH235" s="3"/>
      <c r="II235" s="3"/>
      <c r="IJ235" s="3"/>
      <c r="IK235" s="3"/>
      <c r="IL235" s="3"/>
      <c r="IM235" s="3"/>
      <c r="IN235" s="3"/>
      <c r="IO235" s="3"/>
      <c r="IP235" s="3"/>
      <c r="IQ235" s="3"/>
      <c r="IR235" s="3"/>
      <c r="IS235" s="3"/>
      <c r="IT235" s="3"/>
      <c r="IU235" s="3"/>
      <c r="IV235" s="3"/>
      <c r="IW235" s="3"/>
      <c r="IX235" s="3"/>
      <c r="IY235" s="3"/>
      <c r="IZ235" s="3"/>
      <c r="JA235" s="3"/>
      <c r="JB235" s="3"/>
      <c r="JC235" s="3"/>
      <c r="JD235" s="3"/>
      <c r="JE235" s="3"/>
      <c r="JF235" s="3"/>
      <c r="JG235" s="3"/>
      <c r="JH235" s="3"/>
      <c r="JI235" s="3"/>
      <c r="JJ235" s="3"/>
      <c r="JK235" s="3"/>
      <c r="JL235" s="3"/>
      <c r="JM235" s="3"/>
      <c r="JN235" s="3"/>
      <c r="JO235" s="3"/>
      <c r="JP235" s="3"/>
      <c r="JQ235" s="3"/>
      <c r="JR235" s="3"/>
      <c r="JS235" s="3"/>
      <c r="JT235" s="3"/>
      <c r="JU235" s="3"/>
      <c r="JV235" s="3"/>
      <c r="JW235" s="3"/>
      <c r="JX235" s="3"/>
      <c r="JY235" s="3"/>
      <c r="JZ235" s="3"/>
      <c r="KA235" s="3"/>
      <c r="KB235" s="3"/>
      <c r="KC235" s="3"/>
      <c r="KD235" s="3"/>
      <c r="KE235" s="3"/>
      <c r="KF235" s="3"/>
      <c r="KG235" s="3"/>
      <c r="KH235" s="3"/>
      <c r="KI235" s="3"/>
      <c r="KJ235" s="3"/>
      <c r="KK235" s="3"/>
      <c r="KL235" s="3"/>
      <c r="KM235" s="3"/>
      <c r="KN235" s="3"/>
      <c r="KO235" s="3"/>
      <c r="KP235" s="3"/>
      <c r="KQ235" s="3"/>
      <c r="KR235" s="3"/>
      <c r="KS235" s="3"/>
      <c r="KT235" s="3"/>
      <c r="KU235" s="3"/>
      <c r="KV235" s="3"/>
      <c r="KW235" s="3"/>
      <c r="KX235" s="3"/>
      <c r="KY235" s="3"/>
      <c r="KZ235" s="3"/>
      <c r="LA235" s="3"/>
      <c r="LB235" s="3"/>
      <c r="LC235" s="3"/>
      <c r="LD235" s="3"/>
      <c r="LE235" s="3"/>
      <c r="LF235" s="3"/>
      <c r="LG235" s="3"/>
      <c r="LH235" s="3"/>
      <c r="LI235" s="3"/>
      <c r="LJ235" s="3"/>
      <c r="LK235" s="3"/>
      <c r="LL235" s="3"/>
      <c r="LM235" s="3"/>
      <c r="LN235" s="3"/>
      <c r="LO235" s="3"/>
      <c r="LP235" s="3"/>
      <c r="LQ235" s="3"/>
      <c r="LR235" s="3"/>
      <c r="LS235" s="3"/>
      <c r="LT235" s="3"/>
      <c r="LU235" s="3"/>
      <c r="LV235" s="3"/>
      <c r="LW235" s="3"/>
      <c r="LX235" s="3"/>
      <c r="LY235" s="3"/>
      <c r="LZ235" s="3"/>
      <c r="MA235" s="3"/>
      <c r="MB235" s="3"/>
      <c r="MC235" s="3"/>
      <c r="MD235" s="3"/>
      <c r="ME235" s="3"/>
      <c r="MF235" s="3"/>
      <c r="MG235" s="3"/>
      <c r="MH235" s="3"/>
      <c r="MI235" s="3"/>
      <c r="MJ235" s="3"/>
      <c r="MK235" s="3"/>
      <c r="ML235" s="3"/>
      <c r="MM235" s="3"/>
      <c r="MN235" s="3"/>
      <c r="MO235" s="3"/>
      <c r="MP235" s="3"/>
      <c r="MQ235" s="3"/>
      <c r="MR235" s="3"/>
      <c r="MS235" s="3"/>
      <c r="MT235" s="3"/>
      <c r="MU235" s="3"/>
      <c r="MV235" s="3"/>
      <c r="MW235" s="3"/>
      <c r="MX235" s="3"/>
      <c r="MY235" s="3"/>
      <c r="MZ235" s="3"/>
      <c r="NA235" s="3"/>
      <c r="NB235" s="3"/>
      <c r="NC235" s="3"/>
      <c r="ND235" s="3"/>
      <c r="NE235" s="3"/>
      <c r="NF235" s="3"/>
      <c r="NG235" s="3"/>
      <c r="NH235" s="3"/>
      <c r="NI235" s="3"/>
      <c r="NJ235" s="3"/>
      <c r="NK235" s="3"/>
      <c r="NL235" s="3"/>
      <c r="NM235" s="3"/>
      <c r="NN235" s="3"/>
      <c r="NO235" s="3"/>
      <c r="NP235" s="3"/>
      <c r="NQ235" s="3"/>
      <c r="NR235" s="3"/>
      <c r="NS235" s="3"/>
      <c r="NT235" s="3"/>
      <c r="NU235" s="3"/>
      <c r="NV235" s="3"/>
      <c r="NW235" s="3"/>
      <c r="NX235" s="3"/>
      <c r="NY235" s="3"/>
      <c r="NZ235" s="3"/>
      <c r="OA235" s="3"/>
      <c r="OB235" s="3"/>
      <c r="OC235" s="3"/>
      <c r="OD235" s="3"/>
      <c r="OE235" s="3"/>
      <c r="OF235" s="3"/>
      <c r="OG235" s="3"/>
      <c r="OH235" s="3"/>
      <c r="OI235" s="3"/>
      <c r="OJ235" s="3"/>
      <c r="OK235" s="3"/>
      <c r="OL235" s="3"/>
      <c r="OM235" s="3"/>
      <c r="ON235" s="3"/>
      <c r="OO235" s="3"/>
      <c r="OP235" s="3"/>
      <c r="OQ235" s="3"/>
      <c r="OR235" s="3"/>
      <c r="OS235" s="3"/>
      <c r="OT235" s="3"/>
      <c r="OU235" s="3"/>
      <c r="OV235" s="3"/>
      <c r="OW235" s="3"/>
      <c r="OX235" s="3"/>
      <c r="OY235" s="3"/>
      <c r="OZ235" s="3"/>
      <c r="PA235" s="3"/>
      <c r="PB235" s="3"/>
      <c r="PC235" s="3"/>
      <c r="PD235" s="3"/>
      <c r="PE235" s="3"/>
      <c r="PF235" s="3"/>
      <c r="PG235" s="3"/>
      <c r="PH235" s="3"/>
      <c r="PI235" s="3"/>
      <c r="PJ235" s="3"/>
      <c r="PK235" s="3"/>
      <c r="PL235" s="3"/>
      <c r="PM235" s="3"/>
      <c r="PN235" s="3"/>
      <c r="PO235" s="3"/>
      <c r="PP235" s="3"/>
      <c r="PQ235" s="3"/>
      <c r="PR235" s="3"/>
      <c r="PS235" s="3"/>
      <c r="PT235" s="3"/>
      <c r="PU235" s="3"/>
      <c r="PV235" s="3"/>
      <c r="PW235" s="3"/>
      <c r="PX235" s="3"/>
      <c r="PY235" s="3"/>
      <c r="PZ235" s="3"/>
      <c r="QA235" s="3"/>
      <c r="QB235" s="3"/>
      <c r="QC235" s="3"/>
      <c r="QD235" s="3"/>
      <c r="QE235" s="3"/>
      <c r="QF235" s="3"/>
      <c r="QG235" s="3"/>
      <c r="QH235" s="3"/>
      <c r="QI235" s="3"/>
      <c r="QJ235" s="3"/>
      <c r="QK235" s="3"/>
      <c r="QL235" s="3"/>
      <c r="QM235" s="3"/>
      <c r="QN235" s="3"/>
      <c r="QO235" s="3"/>
      <c r="QP235" s="3"/>
      <c r="QQ235" s="3"/>
      <c r="QR235" s="3"/>
      <c r="QS235" s="3"/>
      <c r="QT235" s="3"/>
      <c r="QU235" s="3"/>
      <c r="QV235" s="3"/>
      <c r="QW235" s="3"/>
      <c r="QX235" s="3"/>
      <c r="QY235" s="3"/>
      <c r="QZ235" s="3"/>
      <c r="RA235" s="3"/>
      <c r="RB235" s="3"/>
      <c r="RC235" s="3"/>
      <c r="RD235" s="3"/>
      <c r="RE235" s="3"/>
      <c r="RF235" s="3"/>
      <c r="RG235" s="3"/>
      <c r="RH235" s="3"/>
      <c r="RI235" s="3"/>
      <c r="RJ235" s="3"/>
      <c r="RK235" s="3"/>
      <c r="RL235" s="3"/>
      <c r="RM235" s="3"/>
      <c r="RN235" s="3"/>
      <c r="RO235" s="3"/>
      <c r="RP235" s="3"/>
      <c r="RQ235" s="3"/>
      <c r="RR235" s="3"/>
      <c r="RS235" s="3"/>
      <c r="RT235" s="3"/>
      <c r="RU235" s="3"/>
      <c r="RV235" s="3"/>
      <c r="RW235" s="3"/>
      <c r="RX235" s="3"/>
      <c r="RY235" s="3"/>
      <c r="RZ235" s="3"/>
      <c r="SA235" s="3"/>
      <c r="SB235" s="3"/>
      <c r="SC235" s="3"/>
      <c r="SD235" s="3"/>
      <c r="SE235" s="3"/>
      <c r="SF235" s="3"/>
      <c r="SG235" s="3"/>
      <c r="SH235" s="3"/>
      <c r="SI235" s="3"/>
      <c r="SJ235" s="3"/>
      <c r="SK235" s="3"/>
      <c r="SL235" s="3"/>
      <c r="SM235" s="3"/>
      <c r="SN235" s="3"/>
      <c r="SO235" s="3"/>
      <c r="SP235" s="3"/>
      <c r="SQ235" s="3"/>
      <c r="SR235" s="3"/>
      <c r="SS235" s="3"/>
      <c r="ST235" s="3"/>
      <c r="SU235" s="3"/>
      <c r="SV235" s="3"/>
      <c r="SW235" s="3"/>
      <c r="SX235" s="3"/>
      <c r="SY235" s="3"/>
      <c r="SZ235" s="3"/>
      <c r="TA235" s="3"/>
      <c r="TB235" s="3"/>
      <c r="TC235" s="3"/>
      <c r="TD235" s="3"/>
      <c r="TE235" s="3"/>
      <c r="TF235" s="3"/>
      <c r="TG235" s="3"/>
      <c r="TH235" s="3"/>
      <c r="TI235" s="3"/>
      <c r="TJ235" s="3"/>
      <c r="TK235" s="3"/>
      <c r="TL235" s="3"/>
      <c r="TM235" s="3"/>
      <c r="TN235" s="3"/>
      <c r="TO235" s="3"/>
      <c r="TP235" s="3"/>
      <c r="TQ235" s="3"/>
      <c r="TR235" s="3"/>
      <c r="TS235" s="3"/>
      <c r="TT235" s="3"/>
      <c r="TU235" s="3"/>
      <c r="TV235" s="3"/>
      <c r="TW235" s="3"/>
      <c r="TX235" s="3"/>
      <c r="TY235" s="3"/>
      <c r="TZ235" s="3"/>
      <c r="UA235" s="3"/>
      <c r="UB235" s="3"/>
      <c r="UC235" s="3"/>
      <c r="UD235" s="3"/>
      <c r="UE235" s="3"/>
      <c r="UF235" s="3"/>
      <c r="UG235" s="3"/>
      <c r="UH235" s="3"/>
      <c r="UI235" s="3"/>
      <c r="UJ235" s="3"/>
      <c r="UK235" s="3"/>
      <c r="UL235" s="3"/>
      <c r="UM235" s="3"/>
      <c r="UN235" s="3"/>
      <c r="UO235" s="3"/>
      <c r="UP235" s="3"/>
      <c r="UQ235" s="3"/>
      <c r="UR235" s="3"/>
      <c r="US235" s="3"/>
      <c r="UT235" s="3"/>
      <c r="UU235" s="3"/>
      <c r="UV235" s="3"/>
      <c r="UW235" s="3"/>
      <c r="UX235" s="3"/>
      <c r="UY235" s="3"/>
      <c r="UZ235" s="3"/>
      <c r="VA235" s="3"/>
      <c r="VB235" s="3"/>
      <c r="VC235" s="3"/>
      <c r="VD235" s="3"/>
      <c r="VE235" s="3"/>
      <c r="VF235" s="3"/>
      <c r="VG235" s="3"/>
      <c r="VH235" s="3"/>
      <c r="VI235" s="3"/>
      <c r="VJ235" s="3"/>
      <c r="VK235" s="3"/>
      <c r="VL235" s="3"/>
      <c r="VM235" s="3"/>
      <c r="VN235" s="3"/>
      <c r="VO235" s="3"/>
      <c r="VP235" s="3"/>
      <c r="VQ235" s="3"/>
      <c r="VR235" s="3"/>
      <c r="VS235" s="3"/>
      <c r="VT235" s="3"/>
      <c r="VU235" s="3"/>
      <c r="VV235" s="3"/>
      <c r="VW235" s="3"/>
      <c r="VX235" s="3"/>
      <c r="VY235" s="3"/>
      <c r="VZ235" s="3"/>
      <c r="WA235" s="3"/>
      <c r="WB235" s="3"/>
      <c r="WC235" s="3"/>
      <c r="WD235" s="3"/>
      <c r="WE235" s="3"/>
      <c r="WF235" s="3"/>
      <c r="WG235" s="3"/>
      <c r="WH235" s="3"/>
      <c r="WI235" s="3"/>
      <c r="WJ235" s="3"/>
      <c r="WK235" s="3"/>
      <c r="WL235" s="3"/>
      <c r="WM235" s="3"/>
      <c r="WN235" s="3"/>
      <c r="WO235" s="3"/>
      <c r="WP235" s="3"/>
      <c r="WQ235" s="3"/>
      <c r="WR235" s="3"/>
      <c r="WS235" s="3"/>
      <c r="WT235" s="3"/>
      <c r="WU235" s="3"/>
      <c r="WV235" s="3"/>
      <c r="WW235" s="3"/>
      <c r="WX235" s="3"/>
      <c r="WY235" s="3"/>
      <c r="WZ235" s="3"/>
      <c r="XA235" s="3"/>
      <c r="XB235" s="3"/>
      <c r="XC235" s="3"/>
      <c r="XD235" s="3"/>
      <c r="XE235" s="3"/>
      <c r="XF235" s="3"/>
      <c r="XG235" s="3"/>
      <c r="XH235" s="3"/>
      <c r="XI235" s="3"/>
      <c r="XJ235" s="3"/>
      <c r="XK235" s="3"/>
      <c r="XL235" s="3"/>
      <c r="XM235" s="3"/>
      <c r="XN235" s="3"/>
      <c r="XO235" s="3"/>
      <c r="XP235" s="3"/>
      <c r="XQ235" s="3"/>
      <c r="XR235" s="3"/>
      <c r="XS235" s="3"/>
      <c r="XT235" s="3"/>
      <c r="XU235" s="3"/>
      <c r="XV235" s="3"/>
      <c r="XW235" s="3"/>
      <c r="XX235" s="3"/>
      <c r="XY235" s="3"/>
      <c r="XZ235" s="3"/>
      <c r="YA235" s="3"/>
      <c r="YB235" s="3"/>
      <c r="YC235" s="3"/>
      <c r="YD235" s="3"/>
      <c r="YE235" s="3"/>
      <c r="YF235" s="3"/>
      <c r="YG235" s="3"/>
      <c r="YH235" s="3"/>
      <c r="YI235" s="3"/>
      <c r="YJ235" s="3"/>
      <c r="YK235" s="3"/>
      <c r="YL235" s="3"/>
      <c r="YM235" s="3"/>
      <c r="YN235" s="3"/>
      <c r="YO235" s="3"/>
      <c r="YP235" s="3"/>
      <c r="YQ235" s="3"/>
      <c r="YR235" s="3"/>
      <c r="YS235" s="3"/>
      <c r="YT235" s="3"/>
      <c r="YU235" s="3"/>
      <c r="YV235" s="3"/>
      <c r="YW235" s="3"/>
      <c r="YX235" s="3"/>
      <c r="YY235" s="3"/>
      <c r="YZ235" s="3"/>
      <c r="ZA235" s="3"/>
      <c r="ZB235" s="3"/>
      <c r="ZC235" s="3"/>
    </row>
    <row r="236" spans="1:679" s="2" customFormat="1" x14ac:dyDescent="0.45">
      <c r="A236" s="3" t="s">
        <v>11</v>
      </c>
      <c r="B236" s="4">
        <v>37125</v>
      </c>
      <c r="C236" s="7" t="s">
        <v>21</v>
      </c>
      <c r="D236" s="6" t="s">
        <v>254</v>
      </c>
      <c r="E236" s="3"/>
      <c r="F236" s="3">
        <v>16</v>
      </c>
      <c r="L236" s="3"/>
      <c r="M236" s="3"/>
      <c r="N236" s="48"/>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c r="CP236" s="3"/>
      <c r="CQ236" s="3"/>
      <c r="CR236" s="3"/>
      <c r="CS236" s="3"/>
      <c r="CT236" s="3"/>
      <c r="CU236" s="3"/>
      <c r="CV236" s="3"/>
      <c r="CW236" s="3"/>
      <c r="CX236" s="3"/>
      <c r="CY236" s="3"/>
      <c r="CZ236" s="3"/>
      <c r="DA236" s="3"/>
      <c r="DB236" s="3"/>
      <c r="DC236" s="3"/>
      <c r="DD236" s="3"/>
      <c r="DE236" s="3"/>
      <c r="DF236" s="3"/>
      <c r="DG236" s="3"/>
      <c r="DH236" s="3"/>
      <c r="DI236" s="3"/>
      <c r="DJ236" s="3"/>
      <c r="DK236" s="3"/>
      <c r="DL236" s="3"/>
      <c r="DM236" s="3"/>
      <c r="DN236" s="3"/>
      <c r="DO236" s="3"/>
      <c r="DP236" s="3"/>
      <c r="DQ236" s="3"/>
      <c r="DR236" s="3"/>
      <c r="DS236" s="3"/>
      <c r="DT236" s="3"/>
      <c r="DU236" s="3"/>
      <c r="DV236" s="3"/>
      <c r="DW236" s="3"/>
      <c r="DX236" s="3"/>
      <c r="DY236" s="3"/>
      <c r="DZ236" s="3"/>
      <c r="EA236" s="3"/>
      <c r="EB236" s="3"/>
      <c r="EC236" s="3"/>
      <c r="ED236" s="3"/>
      <c r="EE236" s="3"/>
      <c r="EF236" s="3"/>
      <c r="EG236" s="3"/>
      <c r="EH236" s="3"/>
      <c r="EI236" s="3"/>
      <c r="EJ236" s="3"/>
      <c r="EK236" s="3"/>
      <c r="EL236" s="3"/>
      <c r="EM236" s="3"/>
      <c r="EN236" s="3"/>
      <c r="EO236" s="3"/>
      <c r="EP236" s="3"/>
      <c r="EQ236" s="3"/>
      <c r="ER236" s="3"/>
      <c r="ES236" s="3"/>
      <c r="ET236" s="3"/>
      <c r="EU236" s="3"/>
      <c r="EV236" s="3"/>
      <c r="EW236" s="3"/>
      <c r="EX236" s="3"/>
      <c r="EY236" s="3"/>
      <c r="EZ236" s="3"/>
      <c r="FA236" s="3"/>
      <c r="FB236" s="3"/>
      <c r="FC236" s="3"/>
      <c r="FD236" s="3"/>
      <c r="FE236" s="3"/>
      <c r="FF236" s="3"/>
      <c r="FG236" s="3"/>
      <c r="FH236" s="3"/>
      <c r="FI236" s="3"/>
      <c r="FJ236" s="3"/>
      <c r="FK236" s="3"/>
      <c r="FL236" s="3"/>
      <c r="FM236" s="3"/>
      <c r="FN236" s="3"/>
      <c r="FO236" s="3"/>
      <c r="FP236" s="3"/>
      <c r="FQ236" s="3"/>
      <c r="FR236" s="3"/>
      <c r="FS236" s="3"/>
      <c r="FT236" s="3"/>
      <c r="FU236" s="3"/>
      <c r="FV236" s="3"/>
      <c r="FW236" s="3"/>
      <c r="FX236" s="3"/>
      <c r="FY236" s="3"/>
      <c r="FZ236" s="3"/>
      <c r="GA236" s="3"/>
      <c r="GB236" s="3"/>
      <c r="GC236" s="3"/>
      <c r="GD236" s="3"/>
      <c r="GE236" s="3"/>
      <c r="GF236" s="3"/>
      <c r="GG236" s="3"/>
      <c r="GH236" s="3"/>
      <c r="GI236" s="3"/>
      <c r="GJ236" s="3"/>
      <c r="GK236" s="3"/>
      <c r="GL236" s="3"/>
      <c r="GM236" s="3"/>
      <c r="GN236" s="3"/>
      <c r="GO236" s="3"/>
      <c r="GP236" s="3"/>
      <c r="GQ236" s="3"/>
      <c r="GR236" s="3"/>
      <c r="GS236" s="3"/>
      <c r="GT236" s="3"/>
      <c r="GU236" s="3"/>
      <c r="GV236" s="3"/>
      <c r="GW236" s="3"/>
      <c r="GX236" s="3"/>
      <c r="GY236" s="3"/>
      <c r="GZ236" s="3"/>
      <c r="HA236" s="3"/>
      <c r="HB236" s="3"/>
      <c r="HC236" s="3"/>
      <c r="HD236" s="3"/>
      <c r="HE236" s="3"/>
      <c r="HF236" s="3"/>
      <c r="HG236" s="3"/>
      <c r="HH236" s="3"/>
      <c r="HI236" s="3"/>
      <c r="HJ236" s="3"/>
      <c r="HK236" s="3"/>
      <c r="HL236" s="3"/>
      <c r="HM236" s="3"/>
      <c r="HN236" s="3"/>
      <c r="HO236" s="3"/>
      <c r="HP236" s="3"/>
      <c r="HQ236" s="3"/>
      <c r="HR236" s="3"/>
      <c r="HS236" s="3"/>
      <c r="HT236" s="3"/>
      <c r="HU236" s="3"/>
      <c r="HV236" s="3"/>
      <c r="HW236" s="3"/>
      <c r="HX236" s="3"/>
      <c r="HY236" s="3"/>
      <c r="HZ236" s="3"/>
      <c r="IA236" s="3"/>
      <c r="IB236" s="3"/>
      <c r="IC236" s="3"/>
      <c r="ID236" s="3"/>
      <c r="IE236" s="3"/>
      <c r="IF236" s="3"/>
      <c r="IG236" s="3"/>
      <c r="IH236" s="3"/>
      <c r="II236" s="3"/>
      <c r="IJ236" s="3"/>
      <c r="IK236" s="3"/>
      <c r="IL236" s="3"/>
      <c r="IM236" s="3"/>
      <c r="IN236" s="3"/>
      <c r="IO236" s="3"/>
      <c r="IP236" s="3"/>
      <c r="IQ236" s="3"/>
      <c r="IR236" s="3"/>
      <c r="IS236" s="3"/>
      <c r="IT236" s="3"/>
      <c r="IU236" s="3"/>
      <c r="IV236" s="3"/>
      <c r="IW236" s="3"/>
      <c r="IX236" s="3"/>
      <c r="IY236" s="3"/>
      <c r="IZ236" s="3"/>
      <c r="JA236" s="3"/>
      <c r="JB236" s="3"/>
      <c r="JC236" s="3"/>
      <c r="JD236" s="3"/>
      <c r="JE236" s="3"/>
      <c r="JF236" s="3"/>
      <c r="JG236" s="3"/>
      <c r="JH236" s="3"/>
      <c r="JI236" s="3"/>
      <c r="JJ236" s="3"/>
      <c r="JK236" s="3"/>
      <c r="JL236" s="3"/>
      <c r="JM236" s="3"/>
      <c r="JN236" s="3"/>
      <c r="JO236" s="3"/>
      <c r="JP236" s="3"/>
      <c r="JQ236" s="3"/>
      <c r="JR236" s="3"/>
      <c r="JS236" s="3"/>
      <c r="JT236" s="3"/>
      <c r="JU236" s="3"/>
      <c r="JV236" s="3"/>
      <c r="JW236" s="3"/>
      <c r="JX236" s="3"/>
      <c r="JY236" s="3"/>
      <c r="JZ236" s="3"/>
      <c r="KA236" s="3"/>
      <c r="KB236" s="3"/>
      <c r="KC236" s="3"/>
      <c r="KD236" s="3"/>
      <c r="KE236" s="3"/>
      <c r="KF236" s="3"/>
      <c r="KG236" s="3"/>
      <c r="KH236" s="3"/>
      <c r="KI236" s="3"/>
      <c r="KJ236" s="3"/>
      <c r="KK236" s="3"/>
      <c r="KL236" s="3"/>
      <c r="KM236" s="3"/>
      <c r="KN236" s="3"/>
      <c r="KO236" s="3"/>
      <c r="KP236" s="3"/>
      <c r="KQ236" s="3"/>
      <c r="KR236" s="3"/>
      <c r="KS236" s="3"/>
      <c r="KT236" s="3"/>
      <c r="KU236" s="3"/>
      <c r="KV236" s="3"/>
      <c r="KW236" s="3"/>
      <c r="KX236" s="3"/>
      <c r="KY236" s="3"/>
      <c r="KZ236" s="3"/>
      <c r="LA236" s="3"/>
      <c r="LB236" s="3"/>
      <c r="LC236" s="3"/>
      <c r="LD236" s="3"/>
      <c r="LE236" s="3"/>
      <c r="LF236" s="3"/>
      <c r="LG236" s="3"/>
      <c r="LH236" s="3"/>
      <c r="LI236" s="3"/>
      <c r="LJ236" s="3"/>
      <c r="LK236" s="3"/>
      <c r="LL236" s="3"/>
      <c r="LM236" s="3"/>
      <c r="LN236" s="3"/>
      <c r="LO236" s="3"/>
      <c r="LP236" s="3"/>
      <c r="LQ236" s="3"/>
      <c r="LR236" s="3"/>
      <c r="LS236" s="3"/>
      <c r="LT236" s="3"/>
      <c r="LU236" s="3"/>
      <c r="LV236" s="3"/>
      <c r="LW236" s="3"/>
      <c r="LX236" s="3"/>
      <c r="LY236" s="3"/>
      <c r="LZ236" s="3"/>
      <c r="MA236" s="3"/>
      <c r="MB236" s="3"/>
      <c r="MC236" s="3"/>
      <c r="MD236" s="3"/>
      <c r="ME236" s="3"/>
      <c r="MF236" s="3"/>
      <c r="MG236" s="3"/>
      <c r="MH236" s="3"/>
      <c r="MI236" s="3"/>
      <c r="MJ236" s="3"/>
      <c r="MK236" s="3"/>
      <c r="ML236" s="3"/>
      <c r="MM236" s="3"/>
      <c r="MN236" s="3"/>
      <c r="MO236" s="3"/>
      <c r="MP236" s="3"/>
      <c r="MQ236" s="3"/>
      <c r="MR236" s="3"/>
      <c r="MS236" s="3"/>
      <c r="MT236" s="3"/>
      <c r="MU236" s="3"/>
      <c r="MV236" s="3"/>
      <c r="MW236" s="3"/>
      <c r="MX236" s="3"/>
      <c r="MY236" s="3"/>
      <c r="MZ236" s="3"/>
      <c r="NA236" s="3"/>
      <c r="NB236" s="3"/>
      <c r="NC236" s="3"/>
      <c r="ND236" s="3"/>
      <c r="NE236" s="3"/>
      <c r="NF236" s="3"/>
      <c r="NG236" s="3"/>
      <c r="NH236" s="3"/>
      <c r="NI236" s="3"/>
      <c r="NJ236" s="3"/>
      <c r="NK236" s="3"/>
      <c r="NL236" s="3"/>
      <c r="NM236" s="3"/>
      <c r="NN236" s="3"/>
      <c r="NO236" s="3"/>
      <c r="NP236" s="3"/>
      <c r="NQ236" s="3"/>
      <c r="NR236" s="3"/>
      <c r="NS236" s="3"/>
      <c r="NT236" s="3"/>
      <c r="NU236" s="3"/>
      <c r="NV236" s="3"/>
      <c r="NW236" s="3"/>
      <c r="NX236" s="3"/>
      <c r="NY236" s="3"/>
      <c r="NZ236" s="3"/>
      <c r="OA236" s="3"/>
      <c r="OB236" s="3"/>
      <c r="OC236" s="3"/>
      <c r="OD236" s="3"/>
      <c r="OE236" s="3"/>
      <c r="OF236" s="3"/>
      <c r="OG236" s="3"/>
      <c r="OH236" s="3"/>
      <c r="OI236" s="3"/>
      <c r="OJ236" s="3"/>
      <c r="OK236" s="3"/>
      <c r="OL236" s="3"/>
      <c r="OM236" s="3"/>
      <c r="ON236" s="3"/>
      <c r="OO236" s="3"/>
      <c r="OP236" s="3"/>
      <c r="OQ236" s="3"/>
      <c r="OR236" s="3"/>
      <c r="OS236" s="3"/>
      <c r="OT236" s="3"/>
      <c r="OU236" s="3"/>
      <c r="OV236" s="3"/>
      <c r="OW236" s="3"/>
      <c r="OX236" s="3"/>
      <c r="OY236" s="3"/>
      <c r="OZ236" s="3"/>
      <c r="PA236" s="3"/>
      <c r="PB236" s="3"/>
      <c r="PC236" s="3"/>
      <c r="PD236" s="3"/>
      <c r="PE236" s="3"/>
      <c r="PF236" s="3"/>
      <c r="PG236" s="3"/>
      <c r="PH236" s="3"/>
      <c r="PI236" s="3"/>
      <c r="PJ236" s="3"/>
      <c r="PK236" s="3"/>
      <c r="PL236" s="3"/>
      <c r="PM236" s="3"/>
      <c r="PN236" s="3"/>
      <c r="PO236" s="3"/>
      <c r="PP236" s="3"/>
      <c r="PQ236" s="3"/>
      <c r="PR236" s="3"/>
      <c r="PS236" s="3"/>
      <c r="PT236" s="3"/>
      <c r="PU236" s="3"/>
      <c r="PV236" s="3"/>
      <c r="PW236" s="3"/>
      <c r="PX236" s="3"/>
      <c r="PY236" s="3"/>
      <c r="PZ236" s="3"/>
      <c r="QA236" s="3"/>
      <c r="QB236" s="3"/>
      <c r="QC236" s="3"/>
      <c r="QD236" s="3"/>
      <c r="QE236" s="3"/>
      <c r="QF236" s="3"/>
      <c r="QG236" s="3"/>
      <c r="QH236" s="3"/>
      <c r="QI236" s="3"/>
      <c r="QJ236" s="3"/>
      <c r="QK236" s="3"/>
      <c r="QL236" s="3"/>
      <c r="QM236" s="3"/>
      <c r="QN236" s="3"/>
      <c r="QO236" s="3"/>
      <c r="QP236" s="3"/>
      <c r="QQ236" s="3"/>
      <c r="QR236" s="3"/>
      <c r="QS236" s="3"/>
      <c r="QT236" s="3"/>
      <c r="QU236" s="3"/>
      <c r="QV236" s="3"/>
      <c r="QW236" s="3"/>
      <c r="QX236" s="3"/>
      <c r="QY236" s="3"/>
      <c r="QZ236" s="3"/>
      <c r="RA236" s="3"/>
      <c r="RB236" s="3"/>
      <c r="RC236" s="3"/>
      <c r="RD236" s="3"/>
      <c r="RE236" s="3"/>
      <c r="RF236" s="3"/>
      <c r="RG236" s="3"/>
      <c r="RH236" s="3"/>
      <c r="RI236" s="3"/>
      <c r="RJ236" s="3"/>
      <c r="RK236" s="3"/>
      <c r="RL236" s="3"/>
      <c r="RM236" s="3"/>
      <c r="RN236" s="3"/>
      <c r="RO236" s="3"/>
      <c r="RP236" s="3"/>
      <c r="RQ236" s="3"/>
      <c r="RR236" s="3"/>
      <c r="RS236" s="3"/>
      <c r="RT236" s="3"/>
      <c r="RU236" s="3"/>
      <c r="RV236" s="3"/>
      <c r="RW236" s="3"/>
      <c r="RX236" s="3"/>
      <c r="RY236" s="3"/>
      <c r="RZ236" s="3"/>
      <c r="SA236" s="3"/>
      <c r="SB236" s="3"/>
      <c r="SC236" s="3"/>
      <c r="SD236" s="3"/>
      <c r="SE236" s="3"/>
      <c r="SF236" s="3"/>
      <c r="SG236" s="3"/>
      <c r="SH236" s="3"/>
      <c r="SI236" s="3"/>
      <c r="SJ236" s="3"/>
      <c r="SK236" s="3"/>
      <c r="SL236" s="3"/>
      <c r="SM236" s="3"/>
      <c r="SN236" s="3"/>
      <c r="SO236" s="3"/>
      <c r="SP236" s="3"/>
      <c r="SQ236" s="3"/>
      <c r="SR236" s="3"/>
      <c r="SS236" s="3"/>
      <c r="ST236" s="3"/>
      <c r="SU236" s="3"/>
      <c r="SV236" s="3"/>
      <c r="SW236" s="3"/>
      <c r="SX236" s="3"/>
      <c r="SY236" s="3"/>
      <c r="SZ236" s="3"/>
      <c r="TA236" s="3"/>
      <c r="TB236" s="3"/>
      <c r="TC236" s="3"/>
      <c r="TD236" s="3"/>
      <c r="TE236" s="3"/>
      <c r="TF236" s="3"/>
      <c r="TG236" s="3"/>
      <c r="TH236" s="3"/>
      <c r="TI236" s="3"/>
      <c r="TJ236" s="3"/>
      <c r="TK236" s="3"/>
      <c r="TL236" s="3"/>
      <c r="TM236" s="3"/>
      <c r="TN236" s="3"/>
      <c r="TO236" s="3"/>
      <c r="TP236" s="3"/>
      <c r="TQ236" s="3"/>
      <c r="TR236" s="3"/>
      <c r="TS236" s="3"/>
      <c r="TT236" s="3"/>
      <c r="TU236" s="3"/>
      <c r="TV236" s="3"/>
      <c r="TW236" s="3"/>
      <c r="TX236" s="3"/>
      <c r="TY236" s="3"/>
      <c r="TZ236" s="3"/>
      <c r="UA236" s="3"/>
      <c r="UB236" s="3"/>
      <c r="UC236" s="3"/>
      <c r="UD236" s="3"/>
      <c r="UE236" s="3"/>
      <c r="UF236" s="3"/>
      <c r="UG236" s="3"/>
      <c r="UH236" s="3"/>
      <c r="UI236" s="3"/>
      <c r="UJ236" s="3"/>
      <c r="UK236" s="3"/>
      <c r="UL236" s="3"/>
      <c r="UM236" s="3"/>
      <c r="UN236" s="3"/>
      <c r="UO236" s="3"/>
      <c r="UP236" s="3"/>
      <c r="UQ236" s="3"/>
      <c r="UR236" s="3"/>
      <c r="US236" s="3"/>
      <c r="UT236" s="3"/>
      <c r="UU236" s="3"/>
      <c r="UV236" s="3"/>
      <c r="UW236" s="3"/>
      <c r="UX236" s="3"/>
      <c r="UY236" s="3"/>
      <c r="UZ236" s="3"/>
      <c r="VA236" s="3"/>
      <c r="VB236" s="3"/>
      <c r="VC236" s="3"/>
      <c r="VD236" s="3"/>
      <c r="VE236" s="3"/>
      <c r="VF236" s="3"/>
      <c r="VG236" s="3"/>
      <c r="VH236" s="3"/>
      <c r="VI236" s="3"/>
      <c r="VJ236" s="3"/>
      <c r="VK236" s="3"/>
      <c r="VL236" s="3"/>
      <c r="VM236" s="3"/>
      <c r="VN236" s="3"/>
      <c r="VO236" s="3"/>
      <c r="VP236" s="3"/>
      <c r="VQ236" s="3"/>
      <c r="VR236" s="3"/>
      <c r="VS236" s="3"/>
      <c r="VT236" s="3"/>
      <c r="VU236" s="3"/>
      <c r="VV236" s="3"/>
      <c r="VW236" s="3"/>
      <c r="VX236" s="3"/>
      <c r="VY236" s="3"/>
      <c r="VZ236" s="3"/>
      <c r="WA236" s="3"/>
      <c r="WB236" s="3"/>
      <c r="WC236" s="3"/>
      <c r="WD236" s="3"/>
      <c r="WE236" s="3"/>
      <c r="WF236" s="3"/>
      <c r="WG236" s="3"/>
      <c r="WH236" s="3"/>
      <c r="WI236" s="3"/>
      <c r="WJ236" s="3"/>
      <c r="WK236" s="3"/>
      <c r="WL236" s="3"/>
      <c r="WM236" s="3"/>
      <c r="WN236" s="3"/>
      <c r="WO236" s="3"/>
      <c r="WP236" s="3"/>
      <c r="WQ236" s="3"/>
      <c r="WR236" s="3"/>
      <c r="WS236" s="3"/>
      <c r="WT236" s="3"/>
      <c r="WU236" s="3"/>
      <c r="WV236" s="3"/>
      <c r="WW236" s="3"/>
      <c r="WX236" s="3"/>
      <c r="WY236" s="3"/>
      <c r="WZ236" s="3"/>
      <c r="XA236" s="3"/>
      <c r="XB236" s="3"/>
      <c r="XC236" s="3"/>
      <c r="XD236" s="3"/>
      <c r="XE236" s="3"/>
      <c r="XF236" s="3"/>
      <c r="XG236" s="3"/>
      <c r="XH236" s="3"/>
      <c r="XI236" s="3"/>
      <c r="XJ236" s="3"/>
      <c r="XK236" s="3"/>
      <c r="XL236" s="3"/>
      <c r="XM236" s="3"/>
      <c r="XN236" s="3"/>
      <c r="XO236" s="3"/>
      <c r="XP236" s="3"/>
      <c r="XQ236" s="3"/>
      <c r="XR236" s="3"/>
      <c r="XS236" s="3"/>
      <c r="XT236" s="3"/>
      <c r="XU236" s="3"/>
      <c r="XV236" s="3"/>
      <c r="XW236" s="3"/>
      <c r="XX236" s="3"/>
      <c r="XY236" s="3"/>
      <c r="XZ236" s="3"/>
      <c r="YA236" s="3"/>
      <c r="YB236" s="3"/>
      <c r="YC236" s="3"/>
      <c r="YD236" s="3"/>
      <c r="YE236" s="3"/>
      <c r="YF236" s="3"/>
      <c r="YG236" s="3"/>
      <c r="YH236" s="3"/>
      <c r="YI236" s="3"/>
      <c r="YJ236" s="3"/>
      <c r="YK236" s="3"/>
      <c r="YL236" s="3"/>
      <c r="YM236" s="3"/>
      <c r="YN236" s="3"/>
      <c r="YO236" s="3"/>
      <c r="YP236" s="3"/>
      <c r="YQ236" s="3"/>
      <c r="YR236" s="3"/>
      <c r="YS236" s="3"/>
      <c r="YT236" s="3"/>
      <c r="YU236" s="3"/>
      <c r="YV236" s="3"/>
      <c r="YW236" s="3"/>
      <c r="YX236" s="3"/>
      <c r="YY236" s="3"/>
      <c r="YZ236" s="3"/>
      <c r="ZA236" s="3"/>
      <c r="ZB236" s="3"/>
      <c r="ZC236" s="3"/>
    </row>
    <row r="237" spans="1:679" s="2" customFormat="1" x14ac:dyDescent="0.45">
      <c r="A237" s="3" t="s">
        <v>11</v>
      </c>
      <c r="B237" s="4">
        <v>37189</v>
      </c>
      <c r="C237" s="7" t="s">
        <v>25</v>
      </c>
      <c r="D237" s="6" t="s">
        <v>255</v>
      </c>
      <c r="E237" s="3"/>
      <c r="F237" s="3">
        <v>4</v>
      </c>
      <c r="L237" s="3"/>
      <c r="M237" s="3"/>
      <c r="N237" s="48"/>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c r="CP237" s="3"/>
      <c r="CQ237" s="3"/>
      <c r="CR237" s="3"/>
      <c r="CS237" s="3"/>
      <c r="CT237" s="3"/>
      <c r="CU237" s="3"/>
      <c r="CV237" s="3"/>
      <c r="CW237" s="3"/>
      <c r="CX237" s="3"/>
      <c r="CY237" s="3"/>
      <c r="CZ237" s="3"/>
      <c r="DA237" s="3"/>
      <c r="DB237" s="3"/>
      <c r="DC237" s="3"/>
      <c r="DD237" s="3"/>
      <c r="DE237" s="3"/>
      <c r="DF237" s="3"/>
      <c r="DG237" s="3"/>
      <c r="DH237" s="3"/>
      <c r="DI237" s="3"/>
      <c r="DJ237" s="3"/>
      <c r="DK237" s="3"/>
      <c r="DL237" s="3"/>
      <c r="DM237" s="3"/>
      <c r="DN237" s="3"/>
      <c r="DO237" s="3"/>
      <c r="DP237" s="3"/>
      <c r="DQ237" s="3"/>
      <c r="DR237" s="3"/>
      <c r="DS237" s="3"/>
      <c r="DT237" s="3"/>
      <c r="DU237" s="3"/>
      <c r="DV237" s="3"/>
      <c r="DW237" s="3"/>
      <c r="DX237" s="3"/>
      <c r="DY237" s="3"/>
      <c r="DZ237" s="3"/>
      <c r="EA237" s="3"/>
      <c r="EB237" s="3"/>
      <c r="EC237" s="3"/>
      <c r="ED237" s="3"/>
      <c r="EE237" s="3"/>
      <c r="EF237" s="3"/>
      <c r="EG237" s="3"/>
      <c r="EH237" s="3"/>
      <c r="EI237" s="3"/>
      <c r="EJ237" s="3"/>
      <c r="EK237" s="3"/>
      <c r="EL237" s="3"/>
      <c r="EM237" s="3"/>
      <c r="EN237" s="3"/>
      <c r="EO237" s="3"/>
      <c r="EP237" s="3"/>
      <c r="EQ237" s="3"/>
      <c r="ER237" s="3"/>
      <c r="ES237" s="3"/>
      <c r="ET237" s="3"/>
      <c r="EU237" s="3"/>
      <c r="EV237" s="3"/>
      <c r="EW237" s="3"/>
      <c r="EX237" s="3"/>
      <c r="EY237" s="3"/>
      <c r="EZ237" s="3"/>
      <c r="FA237" s="3"/>
      <c r="FB237" s="3"/>
      <c r="FC237" s="3"/>
      <c r="FD237" s="3"/>
      <c r="FE237" s="3"/>
      <c r="FF237" s="3"/>
      <c r="FG237" s="3"/>
      <c r="FH237" s="3"/>
      <c r="FI237" s="3"/>
      <c r="FJ237" s="3"/>
      <c r="FK237" s="3"/>
      <c r="FL237" s="3"/>
      <c r="FM237" s="3"/>
      <c r="FN237" s="3"/>
      <c r="FO237" s="3"/>
      <c r="FP237" s="3"/>
      <c r="FQ237" s="3"/>
      <c r="FR237" s="3"/>
      <c r="FS237" s="3"/>
      <c r="FT237" s="3"/>
      <c r="FU237" s="3"/>
      <c r="FV237" s="3"/>
      <c r="FW237" s="3"/>
      <c r="FX237" s="3"/>
      <c r="FY237" s="3"/>
      <c r="FZ237" s="3"/>
      <c r="GA237" s="3"/>
      <c r="GB237" s="3"/>
      <c r="GC237" s="3"/>
      <c r="GD237" s="3"/>
      <c r="GE237" s="3"/>
      <c r="GF237" s="3"/>
      <c r="GG237" s="3"/>
      <c r="GH237" s="3"/>
      <c r="GI237" s="3"/>
      <c r="GJ237" s="3"/>
      <c r="GK237" s="3"/>
      <c r="GL237" s="3"/>
      <c r="GM237" s="3"/>
      <c r="GN237" s="3"/>
      <c r="GO237" s="3"/>
      <c r="GP237" s="3"/>
      <c r="GQ237" s="3"/>
      <c r="GR237" s="3"/>
      <c r="GS237" s="3"/>
      <c r="GT237" s="3"/>
      <c r="GU237" s="3"/>
      <c r="GV237" s="3"/>
      <c r="GW237" s="3"/>
      <c r="GX237" s="3"/>
      <c r="GY237" s="3"/>
      <c r="GZ237" s="3"/>
      <c r="HA237" s="3"/>
      <c r="HB237" s="3"/>
      <c r="HC237" s="3"/>
      <c r="HD237" s="3"/>
      <c r="HE237" s="3"/>
      <c r="HF237" s="3"/>
      <c r="HG237" s="3"/>
      <c r="HH237" s="3"/>
      <c r="HI237" s="3"/>
      <c r="HJ237" s="3"/>
      <c r="HK237" s="3"/>
      <c r="HL237" s="3"/>
      <c r="HM237" s="3"/>
      <c r="HN237" s="3"/>
      <c r="HO237" s="3"/>
      <c r="HP237" s="3"/>
      <c r="HQ237" s="3"/>
      <c r="HR237" s="3"/>
      <c r="HS237" s="3"/>
      <c r="HT237" s="3"/>
      <c r="HU237" s="3"/>
      <c r="HV237" s="3"/>
      <c r="HW237" s="3"/>
      <c r="HX237" s="3"/>
      <c r="HY237" s="3"/>
      <c r="HZ237" s="3"/>
      <c r="IA237" s="3"/>
      <c r="IB237" s="3"/>
      <c r="IC237" s="3"/>
      <c r="ID237" s="3"/>
      <c r="IE237" s="3"/>
      <c r="IF237" s="3"/>
      <c r="IG237" s="3"/>
      <c r="IH237" s="3"/>
      <c r="II237" s="3"/>
      <c r="IJ237" s="3"/>
      <c r="IK237" s="3"/>
      <c r="IL237" s="3"/>
      <c r="IM237" s="3"/>
      <c r="IN237" s="3"/>
      <c r="IO237" s="3"/>
      <c r="IP237" s="3"/>
      <c r="IQ237" s="3"/>
      <c r="IR237" s="3"/>
      <c r="IS237" s="3"/>
      <c r="IT237" s="3"/>
      <c r="IU237" s="3"/>
      <c r="IV237" s="3"/>
      <c r="IW237" s="3"/>
      <c r="IX237" s="3"/>
      <c r="IY237" s="3"/>
      <c r="IZ237" s="3"/>
      <c r="JA237" s="3"/>
      <c r="JB237" s="3"/>
      <c r="JC237" s="3"/>
      <c r="JD237" s="3"/>
      <c r="JE237" s="3"/>
      <c r="JF237" s="3"/>
      <c r="JG237" s="3"/>
      <c r="JH237" s="3"/>
      <c r="JI237" s="3"/>
      <c r="JJ237" s="3"/>
      <c r="JK237" s="3"/>
      <c r="JL237" s="3"/>
      <c r="JM237" s="3"/>
      <c r="JN237" s="3"/>
      <c r="JO237" s="3"/>
      <c r="JP237" s="3"/>
      <c r="JQ237" s="3"/>
      <c r="JR237" s="3"/>
      <c r="JS237" s="3"/>
      <c r="JT237" s="3"/>
      <c r="JU237" s="3"/>
      <c r="JV237" s="3"/>
      <c r="JW237" s="3"/>
      <c r="JX237" s="3"/>
      <c r="JY237" s="3"/>
      <c r="JZ237" s="3"/>
      <c r="KA237" s="3"/>
      <c r="KB237" s="3"/>
      <c r="KC237" s="3"/>
      <c r="KD237" s="3"/>
      <c r="KE237" s="3"/>
      <c r="KF237" s="3"/>
      <c r="KG237" s="3"/>
      <c r="KH237" s="3"/>
      <c r="KI237" s="3"/>
      <c r="KJ237" s="3"/>
      <c r="KK237" s="3"/>
      <c r="KL237" s="3"/>
      <c r="KM237" s="3"/>
      <c r="KN237" s="3"/>
      <c r="KO237" s="3"/>
      <c r="KP237" s="3"/>
      <c r="KQ237" s="3"/>
      <c r="KR237" s="3"/>
      <c r="KS237" s="3"/>
      <c r="KT237" s="3"/>
      <c r="KU237" s="3"/>
      <c r="KV237" s="3"/>
      <c r="KW237" s="3"/>
      <c r="KX237" s="3"/>
      <c r="KY237" s="3"/>
      <c r="KZ237" s="3"/>
      <c r="LA237" s="3"/>
      <c r="LB237" s="3"/>
      <c r="LC237" s="3"/>
      <c r="LD237" s="3"/>
      <c r="LE237" s="3"/>
      <c r="LF237" s="3"/>
      <c r="LG237" s="3"/>
      <c r="LH237" s="3"/>
      <c r="LI237" s="3"/>
      <c r="LJ237" s="3"/>
      <c r="LK237" s="3"/>
      <c r="LL237" s="3"/>
      <c r="LM237" s="3"/>
      <c r="LN237" s="3"/>
      <c r="LO237" s="3"/>
      <c r="LP237" s="3"/>
      <c r="LQ237" s="3"/>
      <c r="LR237" s="3"/>
      <c r="LS237" s="3"/>
      <c r="LT237" s="3"/>
      <c r="LU237" s="3"/>
      <c r="LV237" s="3"/>
      <c r="LW237" s="3"/>
      <c r="LX237" s="3"/>
      <c r="LY237" s="3"/>
      <c r="LZ237" s="3"/>
      <c r="MA237" s="3"/>
      <c r="MB237" s="3"/>
      <c r="MC237" s="3"/>
      <c r="MD237" s="3"/>
      <c r="ME237" s="3"/>
      <c r="MF237" s="3"/>
      <c r="MG237" s="3"/>
      <c r="MH237" s="3"/>
      <c r="MI237" s="3"/>
      <c r="MJ237" s="3"/>
      <c r="MK237" s="3"/>
      <c r="ML237" s="3"/>
      <c r="MM237" s="3"/>
      <c r="MN237" s="3"/>
      <c r="MO237" s="3"/>
      <c r="MP237" s="3"/>
      <c r="MQ237" s="3"/>
      <c r="MR237" s="3"/>
      <c r="MS237" s="3"/>
      <c r="MT237" s="3"/>
      <c r="MU237" s="3"/>
      <c r="MV237" s="3"/>
      <c r="MW237" s="3"/>
      <c r="MX237" s="3"/>
      <c r="MY237" s="3"/>
      <c r="MZ237" s="3"/>
      <c r="NA237" s="3"/>
      <c r="NB237" s="3"/>
      <c r="NC237" s="3"/>
      <c r="ND237" s="3"/>
      <c r="NE237" s="3"/>
      <c r="NF237" s="3"/>
      <c r="NG237" s="3"/>
      <c r="NH237" s="3"/>
      <c r="NI237" s="3"/>
      <c r="NJ237" s="3"/>
      <c r="NK237" s="3"/>
      <c r="NL237" s="3"/>
      <c r="NM237" s="3"/>
      <c r="NN237" s="3"/>
      <c r="NO237" s="3"/>
      <c r="NP237" s="3"/>
      <c r="NQ237" s="3"/>
      <c r="NR237" s="3"/>
      <c r="NS237" s="3"/>
      <c r="NT237" s="3"/>
      <c r="NU237" s="3"/>
      <c r="NV237" s="3"/>
      <c r="NW237" s="3"/>
      <c r="NX237" s="3"/>
      <c r="NY237" s="3"/>
      <c r="NZ237" s="3"/>
      <c r="OA237" s="3"/>
      <c r="OB237" s="3"/>
      <c r="OC237" s="3"/>
      <c r="OD237" s="3"/>
      <c r="OE237" s="3"/>
      <c r="OF237" s="3"/>
      <c r="OG237" s="3"/>
      <c r="OH237" s="3"/>
      <c r="OI237" s="3"/>
      <c r="OJ237" s="3"/>
      <c r="OK237" s="3"/>
      <c r="OL237" s="3"/>
      <c r="OM237" s="3"/>
      <c r="ON237" s="3"/>
      <c r="OO237" s="3"/>
      <c r="OP237" s="3"/>
      <c r="OQ237" s="3"/>
      <c r="OR237" s="3"/>
      <c r="OS237" s="3"/>
      <c r="OT237" s="3"/>
      <c r="OU237" s="3"/>
      <c r="OV237" s="3"/>
      <c r="OW237" s="3"/>
      <c r="OX237" s="3"/>
      <c r="OY237" s="3"/>
      <c r="OZ237" s="3"/>
      <c r="PA237" s="3"/>
      <c r="PB237" s="3"/>
      <c r="PC237" s="3"/>
      <c r="PD237" s="3"/>
      <c r="PE237" s="3"/>
      <c r="PF237" s="3"/>
      <c r="PG237" s="3"/>
      <c r="PH237" s="3"/>
      <c r="PI237" s="3"/>
      <c r="PJ237" s="3"/>
      <c r="PK237" s="3"/>
      <c r="PL237" s="3"/>
      <c r="PM237" s="3"/>
      <c r="PN237" s="3"/>
      <c r="PO237" s="3"/>
      <c r="PP237" s="3"/>
      <c r="PQ237" s="3"/>
      <c r="PR237" s="3"/>
      <c r="PS237" s="3"/>
      <c r="PT237" s="3"/>
      <c r="PU237" s="3"/>
      <c r="PV237" s="3"/>
      <c r="PW237" s="3"/>
      <c r="PX237" s="3"/>
      <c r="PY237" s="3"/>
      <c r="PZ237" s="3"/>
      <c r="QA237" s="3"/>
      <c r="QB237" s="3"/>
      <c r="QC237" s="3"/>
      <c r="QD237" s="3"/>
      <c r="QE237" s="3"/>
      <c r="QF237" s="3"/>
      <c r="QG237" s="3"/>
      <c r="QH237" s="3"/>
      <c r="QI237" s="3"/>
      <c r="QJ237" s="3"/>
      <c r="QK237" s="3"/>
      <c r="QL237" s="3"/>
      <c r="QM237" s="3"/>
      <c r="QN237" s="3"/>
      <c r="QO237" s="3"/>
      <c r="QP237" s="3"/>
      <c r="QQ237" s="3"/>
      <c r="QR237" s="3"/>
      <c r="QS237" s="3"/>
      <c r="QT237" s="3"/>
      <c r="QU237" s="3"/>
      <c r="QV237" s="3"/>
      <c r="QW237" s="3"/>
      <c r="QX237" s="3"/>
      <c r="QY237" s="3"/>
      <c r="QZ237" s="3"/>
      <c r="RA237" s="3"/>
      <c r="RB237" s="3"/>
      <c r="RC237" s="3"/>
      <c r="RD237" s="3"/>
      <c r="RE237" s="3"/>
      <c r="RF237" s="3"/>
      <c r="RG237" s="3"/>
      <c r="RH237" s="3"/>
      <c r="RI237" s="3"/>
      <c r="RJ237" s="3"/>
      <c r="RK237" s="3"/>
      <c r="RL237" s="3"/>
      <c r="RM237" s="3"/>
      <c r="RN237" s="3"/>
      <c r="RO237" s="3"/>
      <c r="RP237" s="3"/>
      <c r="RQ237" s="3"/>
      <c r="RR237" s="3"/>
      <c r="RS237" s="3"/>
      <c r="RT237" s="3"/>
      <c r="RU237" s="3"/>
      <c r="RV237" s="3"/>
      <c r="RW237" s="3"/>
      <c r="RX237" s="3"/>
      <c r="RY237" s="3"/>
      <c r="RZ237" s="3"/>
      <c r="SA237" s="3"/>
      <c r="SB237" s="3"/>
      <c r="SC237" s="3"/>
      <c r="SD237" s="3"/>
      <c r="SE237" s="3"/>
      <c r="SF237" s="3"/>
      <c r="SG237" s="3"/>
      <c r="SH237" s="3"/>
      <c r="SI237" s="3"/>
      <c r="SJ237" s="3"/>
      <c r="SK237" s="3"/>
      <c r="SL237" s="3"/>
      <c r="SM237" s="3"/>
      <c r="SN237" s="3"/>
      <c r="SO237" s="3"/>
      <c r="SP237" s="3"/>
      <c r="SQ237" s="3"/>
      <c r="SR237" s="3"/>
      <c r="SS237" s="3"/>
      <c r="ST237" s="3"/>
      <c r="SU237" s="3"/>
      <c r="SV237" s="3"/>
      <c r="SW237" s="3"/>
      <c r="SX237" s="3"/>
      <c r="SY237" s="3"/>
      <c r="SZ237" s="3"/>
      <c r="TA237" s="3"/>
      <c r="TB237" s="3"/>
      <c r="TC237" s="3"/>
      <c r="TD237" s="3"/>
      <c r="TE237" s="3"/>
      <c r="TF237" s="3"/>
      <c r="TG237" s="3"/>
      <c r="TH237" s="3"/>
      <c r="TI237" s="3"/>
      <c r="TJ237" s="3"/>
      <c r="TK237" s="3"/>
      <c r="TL237" s="3"/>
      <c r="TM237" s="3"/>
      <c r="TN237" s="3"/>
      <c r="TO237" s="3"/>
      <c r="TP237" s="3"/>
      <c r="TQ237" s="3"/>
      <c r="TR237" s="3"/>
      <c r="TS237" s="3"/>
      <c r="TT237" s="3"/>
      <c r="TU237" s="3"/>
      <c r="TV237" s="3"/>
      <c r="TW237" s="3"/>
      <c r="TX237" s="3"/>
      <c r="TY237" s="3"/>
      <c r="TZ237" s="3"/>
      <c r="UA237" s="3"/>
      <c r="UB237" s="3"/>
      <c r="UC237" s="3"/>
      <c r="UD237" s="3"/>
      <c r="UE237" s="3"/>
      <c r="UF237" s="3"/>
      <c r="UG237" s="3"/>
      <c r="UH237" s="3"/>
      <c r="UI237" s="3"/>
      <c r="UJ237" s="3"/>
      <c r="UK237" s="3"/>
      <c r="UL237" s="3"/>
      <c r="UM237" s="3"/>
      <c r="UN237" s="3"/>
      <c r="UO237" s="3"/>
      <c r="UP237" s="3"/>
      <c r="UQ237" s="3"/>
      <c r="UR237" s="3"/>
      <c r="US237" s="3"/>
      <c r="UT237" s="3"/>
      <c r="UU237" s="3"/>
      <c r="UV237" s="3"/>
      <c r="UW237" s="3"/>
      <c r="UX237" s="3"/>
      <c r="UY237" s="3"/>
      <c r="UZ237" s="3"/>
      <c r="VA237" s="3"/>
      <c r="VB237" s="3"/>
      <c r="VC237" s="3"/>
      <c r="VD237" s="3"/>
      <c r="VE237" s="3"/>
      <c r="VF237" s="3"/>
      <c r="VG237" s="3"/>
      <c r="VH237" s="3"/>
      <c r="VI237" s="3"/>
      <c r="VJ237" s="3"/>
      <c r="VK237" s="3"/>
      <c r="VL237" s="3"/>
      <c r="VM237" s="3"/>
      <c r="VN237" s="3"/>
      <c r="VO237" s="3"/>
      <c r="VP237" s="3"/>
      <c r="VQ237" s="3"/>
      <c r="VR237" s="3"/>
      <c r="VS237" s="3"/>
      <c r="VT237" s="3"/>
      <c r="VU237" s="3"/>
      <c r="VV237" s="3"/>
      <c r="VW237" s="3"/>
      <c r="VX237" s="3"/>
      <c r="VY237" s="3"/>
      <c r="VZ237" s="3"/>
      <c r="WA237" s="3"/>
      <c r="WB237" s="3"/>
      <c r="WC237" s="3"/>
      <c r="WD237" s="3"/>
      <c r="WE237" s="3"/>
      <c r="WF237" s="3"/>
      <c r="WG237" s="3"/>
      <c r="WH237" s="3"/>
      <c r="WI237" s="3"/>
      <c r="WJ237" s="3"/>
      <c r="WK237" s="3"/>
      <c r="WL237" s="3"/>
      <c r="WM237" s="3"/>
      <c r="WN237" s="3"/>
      <c r="WO237" s="3"/>
      <c r="WP237" s="3"/>
      <c r="WQ237" s="3"/>
      <c r="WR237" s="3"/>
      <c r="WS237" s="3"/>
      <c r="WT237" s="3"/>
      <c r="WU237" s="3"/>
      <c r="WV237" s="3"/>
      <c r="WW237" s="3"/>
      <c r="WX237" s="3"/>
      <c r="WY237" s="3"/>
      <c r="WZ237" s="3"/>
      <c r="XA237" s="3"/>
      <c r="XB237" s="3"/>
      <c r="XC237" s="3"/>
      <c r="XD237" s="3"/>
      <c r="XE237" s="3"/>
      <c r="XF237" s="3"/>
      <c r="XG237" s="3"/>
      <c r="XH237" s="3"/>
      <c r="XI237" s="3"/>
      <c r="XJ237" s="3"/>
      <c r="XK237" s="3"/>
      <c r="XL237" s="3"/>
      <c r="XM237" s="3"/>
      <c r="XN237" s="3"/>
      <c r="XO237" s="3"/>
      <c r="XP237" s="3"/>
      <c r="XQ237" s="3"/>
      <c r="XR237" s="3"/>
      <c r="XS237" s="3"/>
      <c r="XT237" s="3"/>
      <c r="XU237" s="3"/>
      <c r="XV237" s="3"/>
      <c r="XW237" s="3"/>
      <c r="XX237" s="3"/>
      <c r="XY237" s="3"/>
      <c r="XZ237" s="3"/>
      <c r="YA237" s="3"/>
      <c r="YB237" s="3"/>
      <c r="YC237" s="3"/>
      <c r="YD237" s="3"/>
      <c r="YE237" s="3"/>
      <c r="YF237" s="3"/>
      <c r="YG237" s="3"/>
      <c r="YH237" s="3"/>
      <c r="YI237" s="3"/>
      <c r="YJ237" s="3"/>
      <c r="YK237" s="3"/>
      <c r="YL237" s="3"/>
      <c r="YM237" s="3"/>
      <c r="YN237" s="3"/>
      <c r="YO237" s="3"/>
      <c r="YP237" s="3"/>
      <c r="YQ237" s="3"/>
      <c r="YR237" s="3"/>
      <c r="YS237" s="3"/>
      <c r="YT237" s="3"/>
      <c r="YU237" s="3"/>
      <c r="YV237" s="3"/>
      <c r="YW237" s="3"/>
      <c r="YX237" s="3"/>
      <c r="YY237" s="3"/>
      <c r="YZ237" s="3"/>
      <c r="ZA237" s="3"/>
      <c r="ZB237" s="3"/>
      <c r="ZC237" s="3"/>
    </row>
    <row r="238" spans="1:679" s="2" customFormat="1" x14ac:dyDescent="0.45">
      <c r="A238" s="3" t="s">
        <v>11</v>
      </c>
      <c r="B238" s="4">
        <v>37201</v>
      </c>
      <c r="C238" s="7" t="s">
        <v>25</v>
      </c>
      <c r="D238" s="6" t="s">
        <v>256</v>
      </c>
      <c r="E238" s="3"/>
      <c r="F238" s="3">
        <v>4</v>
      </c>
      <c r="L238" s="3"/>
      <c r="M238" s="3"/>
      <c r="N238" s="48"/>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c r="CQ238" s="3"/>
      <c r="CR238" s="3"/>
      <c r="CS238" s="3"/>
      <c r="CT238" s="3"/>
      <c r="CU238" s="3"/>
      <c r="CV238" s="3"/>
      <c r="CW238" s="3"/>
      <c r="CX238" s="3"/>
      <c r="CY238" s="3"/>
      <c r="CZ238" s="3"/>
      <c r="DA238" s="3"/>
      <c r="DB238" s="3"/>
      <c r="DC238" s="3"/>
      <c r="DD238" s="3"/>
      <c r="DE238" s="3"/>
      <c r="DF238" s="3"/>
      <c r="DG238" s="3"/>
      <c r="DH238" s="3"/>
      <c r="DI238" s="3"/>
      <c r="DJ238" s="3"/>
      <c r="DK238" s="3"/>
      <c r="DL238" s="3"/>
      <c r="DM238" s="3"/>
      <c r="DN238" s="3"/>
      <c r="DO238" s="3"/>
      <c r="DP238" s="3"/>
      <c r="DQ238" s="3"/>
      <c r="DR238" s="3"/>
      <c r="DS238" s="3"/>
      <c r="DT238" s="3"/>
      <c r="DU238" s="3"/>
      <c r="DV238" s="3"/>
      <c r="DW238" s="3"/>
      <c r="DX238" s="3"/>
      <c r="DY238" s="3"/>
      <c r="DZ238" s="3"/>
      <c r="EA238" s="3"/>
      <c r="EB238" s="3"/>
      <c r="EC238" s="3"/>
      <c r="ED238" s="3"/>
      <c r="EE238" s="3"/>
      <c r="EF238" s="3"/>
      <c r="EG238" s="3"/>
      <c r="EH238" s="3"/>
      <c r="EI238" s="3"/>
      <c r="EJ238" s="3"/>
      <c r="EK238" s="3"/>
      <c r="EL238" s="3"/>
      <c r="EM238" s="3"/>
      <c r="EN238" s="3"/>
      <c r="EO238" s="3"/>
      <c r="EP238" s="3"/>
      <c r="EQ238" s="3"/>
      <c r="ER238" s="3"/>
      <c r="ES238" s="3"/>
      <c r="ET238" s="3"/>
      <c r="EU238" s="3"/>
      <c r="EV238" s="3"/>
      <c r="EW238" s="3"/>
      <c r="EX238" s="3"/>
      <c r="EY238" s="3"/>
      <c r="EZ238" s="3"/>
      <c r="FA238" s="3"/>
      <c r="FB238" s="3"/>
      <c r="FC238" s="3"/>
      <c r="FD238" s="3"/>
      <c r="FE238" s="3"/>
      <c r="FF238" s="3"/>
      <c r="FG238" s="3"/>
      <c r="FH238" s="3"/>
      <c r="FI238" s="3"/>
      <c r="FJ238" s="3"/>
      <c r="FK238" s="3"/>
      <c r="FL238" s="3"/>
      <c r="FM238" s="3"/>
      <c r="FN238" s="3"/>
      <c r="FO238" s="3"/>
      <c r="FP238" s="3"/>
      <c r="FQ238" s="3"/>
      <c r="FR238" s="3"/>
      <c r="FS238" s="3"/>
      <c r="FT238" s="3"/>
      <c r="FU238" s="3"/>
      <c r="FV238" s="3"/>
      <c r="FW238" s="3"/>
      <c r="FX238" s="3"/>
      <c r="FY238" s="3"/>
      <c r="FZ238" s="3"/>
      <c r="GA238" s="3"/>
      <c r="GB238" s="3"/>
      <c r="GC238" s="3"/>
      <c r="GD238" s="3"/>
      <c r="GE238" s="3"/>
      <c r="GF238" s="3"/>
      <c r="GG238" s="3"/>
      <c r="GH238" s="3"/>
      <c r="GI238" s="3"/>
      <c r="GJ238" s="3"/>
      <c r="GK238" s="3"/>
      <c r="GL238" s="3"/>
      <c r="GM238" s="3"/>
      <c r="GN238" s="3"/>
      <c r="GO238" s="3"/>
      <c r="GP238" s="3"/>
      <c r="GQ238" s="3"/>
      <c r="GR238" s="3"/>
      <c r="GS238" s="3"/>
      <c r="GT238" s="3"/>
      <c r="GU238" s="3"/>
      <c r="GV238" s="3"/>
      <c r="GW238" s="3"/>
      <c r="GX238" s="3"/>
      <c r="GY238" s="3"/>
      <c r="GZ238" s="3"/>
      <c r="HA238" s="3"/>
      <c r="HB238" s="3"/>
      <c r="HC238" s="3"/>
      <c r="HD238" s="3"/>
      <c r="HE238" s="3"/>
      <c r="HF238" s="3"/>
      <c r="HG238" s="3"/>
      <c r="HH238" s="3"/>
      <c r="HI238" s="3"/>
      <c r="HJ238" s="3"/>
      <c r="HK238" s="3"/>
      <c r="HL238" s="3"/>
      <c r="HM238" s="3"/>
      <c r="HN238" s="3"/>
      <c r="HO238" s="3"/>
      <c r="HP238" s="3"/>
      <c r="HQ238" s="3"/>
      <c r="HR238" s="3"/>
      <c r="HS238" s="3"/>
      <c r="HT238" s="3"/>
      <c r="HU238" s="3"/>
      <c r="HV238" s="3"/>
      <c r="HW238" s="3"/>
      <c r="HX238" s="3"/>
      <c r="HY238" s="3"/>
      <c r="HZ238" s="3"/>
      <c r="IA238" s="3"/>
      <c r="IB238" s="3"/>
      <c r="IC238" s="3"/>
      <c r="ID238" s="3"/>
      <c r="IE238" s="3"/>
      <c r="IF238" s="3"/>
      <c r="IG238" s="3"/>
      <c r="IH238" s="3"/>
      <c r="II238" s="3"/>
      <c r="IJ238" s="3"/>
      <c r="IK238" s="3"/>
      <c r="IL238" s="3"/>
      <c r="IM238" s="3"/>
      <c r="IN238" s="3"/>
      <c r="IO238" s="3"/>
      <c r="IP238" s="3"/>
      <c r="IQ238" s="3"/>
      <c r="IR238" s="3"/>
      <c r="IS238" s="3"/>
      <c r="IT238" s="3"/>
      <c r="IU238" s="3"/>
      <c r="IV238" s="3"/>
      <c r="IW238" s="3"/>
      <c r="IX238" s="3"/>
      <c r="IY238" s="3"/>
      <c r="IZ238" s="3"/>
      <c r="JA238" s="3"/>
      <c r="JB238" s="3"/>
      <c r="JC238" s="3"/>
      <c r="JD238" s="3"/>
      <c r="JE238" s="3"/>
      <c r="JF238" s="3"/>
      <c r="JG238" s="3"/>
      <c r="JH238" s="3"/>
      <c r="JI238" s="3"/>
      <c r="JJ238" s="3"/>
      <c r="JK238" s="3"/>
      <c r="JL238" s="3"/>
      <c r="JM238" s="3"/>
      <c r="JN238" s="3"/>
      <c r="JO238" s="3"/>
      <c r="JP238" s="3"/>
      <c r="JQ238" s="3"/>
      <c r="JR238" s="3"/>
      <c r="JS238" s="3"/>
      <c r="JT238" s="3"/>
      <c r="JU238" s="3"/>
      <c r="JV238" s="3"/>
      <c r="JW238" s="3"/>
      <c r="JX238" s="3"/>
      <c r="JY238" s="3"/>
      <c r="JZ238" s="3"/>
      <c r="KA238" s="3"/>
      <c r="KB238" s="3"/>
      <c r="KC238" s="3"/>
      <c r="KD238" s="3"/>
      <c r="KE238" s="3"/>
      <c r="KF238" s="3"/>
      <c r="KG238" s="3"/>
      <c r="KH238" s="3"/>
      <c r="KI238" s="3"/>
      <c r="KJ238" s="3"/>
      <c r="KK238" s="3"/>
      <c r="KL238" s="3"/>
      <c r="KM238" s="3"/>
      <c r="KN238" s="3"/>
      <c r="KO238" s="3"/>
      <c r="KP238" s="3"/>
      <c r="KQ238" s="3"/>
      <c r="KR238" s="3"/>
      <c r="KS238" s="3"/>
      <c r="KT238" s="3"/>
      <c r="KU238" s="3"/>
      <c r="KV238" s="3"/>
      <c r="KW238" s="3"/>
      <c r="KX238" s="3"/>
      <c r="KY238" s="3"/>
      <c r="KZ238" s="3"/>
      <c r="LA238" s="3"/>
      <c r="LB238" s="3"/>
      <c r="LC238" s="3"/>
      <c r="LD238" s="3"/>
      <c r="LE238" s="3"/>
      <c r="LF238" s="3"/>
      <c r="LG238" s="3"/>
      <c r="LH238" s="3"/>
      <c r="LI238" s="3"/>
      <c r="LJ238" s="3"/>
      <c r="LK238" s="3"/>
      <c r="LL238" s="3"/>
      <c r="LM238" s="3"/>
      <c r="LN238" s="3"/>
      <c r="LO238" s="3"/>
      <c r="LP238" s="3"/>
      <c r="LQ238" s="3"/>
      <c r="LR238" s="3"/>
      <c r="LS238" s="3"/>
      <c r="LT238" s="3"/>
      <c r="LU238" s="3"/>
      <c r="LV238" s="3"/>
      <c r="LW238" s="3"/>
      <c r="LX238" s="3"/>
      <c r="LY238" s="3"/>
      <c r="LZ238" s="3"/>
      <c r="MA238" s="3"/>
      <c r="MB238" s="3"/>
      <c r="MC238" s="3"/>
      <c r="MD238" s="3"/>
      <c r="ME238" s="3"/>
      <c r="MF238" s="3"/>
      <c r="MG238" s="3"/>
      <c r="MH238" s="3"/>
      <c r="MI238" s="3"/>
      <c r="MJ238" s="3"/>
      <c r="MK238" s="3"/>
      <c r="ML238" s="3"/>
      <c r="MM238" s="3"/>
      <c r="MN238" s="3"/>
      <c r="MO238" s="3"/>
      <c r="MP238" s="3"/>
      <c r="MQ238" s="3"/>
      <c r="MR238" s="3"/>
      <c r="MS238" s="3"/>
      <c r="MT238" s="3"/>
      <c r="MU238" s="3"/>
      <c r="MV238" s="3"/>
      <c r="MW238" s="3"/>
      <c r="MX238" s="3"/>
      <c r="MY238" s="3"/>
      <c r="MZ238" s="3"/>
      <c r="NA238" s="3"/>
      <c r="NB238" s="3"/>
      <c r="NC238" s="3"/>
      <c r="ND238" s="3"/>
      <c r="NE238" s="3"/>
      <c r="NF238" s="3"/>
      <c r="NG238" s="3"/>
      <c r="NH238" s="3"/>
      <c r="NI238" s="3"/>
      <c r="NJ238" s="3"/>
      <c r="NK238" s="3"/>
      <c r="NL238" s="3"/>
      <c r="NM238" s="3"/>
      <c r="NN238" s="3"/>
      <c r="NO238" s="3"/>
      <c r="NP238" s="3"/>
      <c r="NQ238" s="3"/>
      <c r="NR238" s="3"/>
      <c r="NS238" s="3"/>
      <c r="NT238" s="3"/>
      <c r="NU238" s="3"/>
      <c r="NV238" s="3"/>
      <c r="NW238" s="3"/>
      <c r="NX238" s="3"/>
      <c r="NY238" s="3"/>
      <c r="NZ238" s="3"/>
      <c r="OA238" s="3"/>
      <c r="OB238" s="3"/>
      <c r="OC238" s="3"/>
      <c r="OD238" s="3"/>
      <c r="OE238" s="3"/>
      <c r="OF238" s="3"/>
      <c r="OG238" s="3"/>
      <c r="OH238" s="3"/>
      <c r="OI238" s="3"/>
      <c r="OJ238" s="3"/>
      <c r="OK238" s="3"/>
      <c r="OL238" s="3"/>
      <c r="OM238" s="3"/>
      <c r="ON238" s="3"/>
      <c r="OO238" s="3"/>
      <c r="OP238" s="3"/>
      <c r="OQ238" s="3"/>
      <c r="OR238" s="3"/>
      <c r="OS238" s="3"/>
      <c r="OT238" s="3"/>
      <c r="OU238" s="3"/>
      <c r="OV238" s="3"/>
      <c r="OW238" s="3"/>
      <c r="OX238" s="3"/>
      <c r="OY238" s="3"/>
      <c r="OZ238" s="3"/>
      <c r="PA238" s="3"/>
      <c r="PB238" s="3"/>
      <c r="PC238" s="3"/>
      <c r="PD238" s="3"/>
      <c r="PE238" s="3"/>
      <c r="PF238" s="3"/>
      <c r="PG238" s="3"/>
      <c r="PH238" s="3"/>
      <c r="PI238" s="3"/>
      <c r="PJ238" s="3"/>
      <c r="PK238" s="3"/>
      <c r="PL238" s="3"/>
      <c r="PM238" s="3"/>
      <c r="PN238" s="3"/>
      <c r="PO238" s="3"/>
      <c r="PP238" s="3"/>
      <c r="PQ238" s="3"/>
      <c r="PR238" s="3"/>
      <c r="PS238" s="3"/>
      <c r="PT238" s="3"/>
      <c r="PU238" s="3"/>
      <c r="PV238" s="3"/>
      <c r="PW238" s="3"/>
      <c r="PX238" s="3"/>
      <c r="PY238" s="3"/>
      <c r="PZ238" s="3"/>
      <c r="QA238" s="3"/>
      <c r="QB238" s="3"/>
      <c r="QC238" s="3"/>
      <c r="QD238" s="3"/>
      <c r="QE238" s="3"/>
      <c r="QF238" s="3"/>
      <c r="QG238" s="3"/>
      <c r="QH238" s="3"/>
      <c r="QI238" s="3"/>
      <c r="QJ238" s="3"/>
      <c r="QK238" s="3"/>
      <c r="QL238" s="3"/>
      <c r="QM238" s="3"/>
      <c r="QN238" s="3"/>
      <c r="QO238" s="3"/>
      <c r="QP238" s="3"/>
      <c r="QQ238" s="3"/>
      <c r="QR238" s="3"/>
      <c r="QS238" s="3"/>
      <c r="QT238" s="3"/>
      <c r="QU238" s="3"/>
      <c r="QV238" s="3"/>
      <c r="QW238" s="3"/>
      <c r="QX238" s="3"/>
      <c r="QY238" s="3"/>
      <c r="QZ238" s="3"/>
      <c r="RA238" s="3"/>
      <c r="RB238" s="3"/>
      <c r="RC238" s="3"/>
      <c r="RD238" s="3"/>
      <c r="RE238" s="3"/>
      <c r="RF238" s="3"/>
      <c r="RG238" s="3"/>
      <c r="RH238" s="3"/>
      <c r="RI238" s="3"/>
      <c r="RJ238" s="3"/>
      <c r="RK238" s="3"/>
      <c r="RL238" s="3"/>
      <c r="RM238" s="3"/>
      <c r="RN238" s="3"/>
      <c r="RO238" s="3"/>
      <c r="RP238" s="3"/>
      <c r="RQ238" s="3"/>
      <c r="RR238" s="3"/>
      <c r="RS238" s="3"/>
      <c r="RT238" s="3"/>
      <c r="RU238" s="3"/>
      <c r="RV238" s="3"/>
      <c r="RW238" s="3"/>
      <c r="RX238" s="3"/>
      <c r="RY238" s="3"/>
      <c r="RZ238" s="3"/>
      <c r="SA238" s="3"/>
      <c r="SB238" s="3"/>
      <c r="SC238" s="3"/>
      <c r="SD238" s="3"/>
      <c r="SE238" s="3"/>
      <c r="SF238" s="3"/>
      <c r="SG238" s="3"/>
      <c r="SH238" s="3"/>
      <c r="SI238" s="3"/>
      <c r="SJ238" s="3"/>
      <c r="SK238" s="3"/>
      <c r="SL238" s="3"/>
      <c r="SM238" s="3"/>
      <c r="SN238" s="3"/>
      <c r="SO238" s="3"/>
      <c r="SP238" s="3"/>
      <c r="SQ238" s="3"/>
      <c r="SR238" s="3"/>
      <c r="SS238" s="3"/>
      <c r="ST238" s="3"/>
      <c r="SU238" s="3"/>
      <c r="SV238" s="3"/>
      <c r="SW238" s="3"/>
      <c r="SX238" s="3"/>
      <c r="SY238" s="3"/>
      <c r="SZ238" s="3"/>
      <c r="TA238" s="3"/>
      <c r="TB238" s="3"/>
      <c r="TC238" s="3"/>
      <c r="TD238" s="3"/>
      <c r="TE238" s="3"/>
      <c r="TF238" s="3"/>
      <c r="TG238" s="3"/>
      <c r="TH238" s="3"/>
      <c r="TI238" s="3"/>
      <c r="TJ238" s="3"/>
      <c r="TK238" s="3"/>
      <c r="TL238" s="3"/>
      <c r="TM238" s="3"/>
      <c r="TN238" s="3"/>
      <c r="TO238" s="3"/>
      <c r="TP238" s="3"/>
      <c r="TQ238" s="3"/>
      <c r="TR238" s="3"/>
      <c r="TS238" s="3"/>
      <c r="TT238" s="3"/>
      <c r="TU238" s="3"/>
      <c r="TV238" s="3"/>
      <c r="TW238" s="3"/>
      <c r="TX238" s="3"/>
      <c r="TY238" s="3"/>
      <c r="TZ238" s="3"/>
      <c r="UA238" s="3"/>
      <c r="UB238" s="3"/>
      <c r="UC238" s="3"/>
      <c r="UD238" s="3"/>
      <c r="UE238" s="3"/>
      <c r="UF238" s="3"/>
      <c r="UG238" s="3"/>
      <c r="UH238" s="3"/>
      <c r="UI238" s="3"/>
      <c r="UJ238" s="3"/>
      <c r="UK238" s="3"/>
      <c r="UL238" s="3"/>
      <c r="UM238" s="3"/>
      <c r="UN238" s="3"/>
      <c r="UO238" s="3"/>
      <c r="UP238" s="3"/>
      <c r="UQ238" s="3"/>
      <c r="UR238" s="3"/>
      <c r="US238" s="3"/>
      <c r="UT238" s="3"/>
      <c r="UU238" s="3"/>
      <c r="UV238" s="3"/>
      <c r="UW238" s="3"/>
      <c r="UX238" s="3"/>
      <c r="UY238" s="3"/>
      <c r="UZ238" s="3"/>
      <c r="VA238" s="3"/>
      <c r="VB238" s="3"/>
      <c r="VC238" s="3"/>
      <c r="VD238" s="3"/>
      <c r="VE238" s="3"/>
      <c r="VF238" s="3"/>
      <c r="VG238" s="3"/>
      <c r="VH238" s="3"/>
      <c r="VI238" s="3"/>
      <c r="VJ238" s="3"/>
      <c r="VK238" s="3"/>
      <c r="VL238" s="3"/>
      <c r="VM238" s="3"/>
      <c r="VN238" s="3"/>
      <c r="VO238" s="3"/>
      <c r="VP238" s="3"/>
      <c r="VQ238" s="3"/>
      <c r="VR238" s="3"/>
      <c r="VS238" s="3"/>
      <c r="VT238" s="3"/>
      <c r="VU238" s="3"/>
      <c r="VV238" s="3"/>
      <c r="VW238" s="3"/>
      <c r="VX238" s="3"/>
      <c r="VY238" s="3"/>
      <c r="VZ238" s="3"/>
      <c r="WA238" s="3"/>
      <c r="WB238" s="3"/>
      <c r="WC238" s="3"/>
      <c r="WD238" s="3"/>
      <c r="WE238" s="3"/>
      <c r="WF238" s="3"/>
      <c r="WG238" s="3"/>
      <c r="WH238" s="3"/>
      <c r="WI238" s="3"/>
      <c r="WJ238" s="3"/>
      <c r="WK238" s="3"/>
      <c r="WL238" s="3"/>
      <c r="WM238" s="3"/>
      <c r="WN238" s="3"/>
      <c r="WO238" s="3"/>
      <c r="WP238" s="3"/>
      <c r="WQ238" s="3"/>
      <c r="WR238" s="3"/>
      <c r="WS238" s="3"/>
      <c r="WT238" s="3"/>
      <c r="WU238" s="3"/>
      <c r="WV238" s="3"/>
      <c r="WW238" s="3"/>
      <c r="WX238" s="3"/>
      <c r="WY238" s="3"/>
      <c r="WZ238" s="3"/>
      <c r="XA238" s="3"/>
      <c r="XB238" s="3"/>
      <c r="XC238" s="3"/>
      <c r="XD238" s="3"/>
      <c r="XE238" s="3"/>
      <c r="XF238" s="3"/>
      <c r="XG238" s="3"/>
      <c r="XH238" s="3"/>
      <c r="XI238" s="3"/>
      <c r="XJ238" s="3"/>
      <c r="XK238" s="3"/>
      <c r="XL238" s="3"/>
      <c r="XM238" s="3"/>
      <c r="XN238" s="3"/>
      <c r="XO238" s="3"/>
      <c r="XP238" s="3"/>
      <c r="XQ238" s="3"/>
      <c r="XR238" s="3"/>
      <c r="XS238" s="3"/>
      <c r="XT238" s="3"/>
      <c r="XU238" s="3"/>
      <c r="XV238" s="3"/>
      <c r="XW238" s="3"/>
      <c r="XX238" s="3"/>
      <c r="XY238" s="3"/>
      <c r="XZ238" s="3"/>
      <c r="YA238" s="3"/>
      <c r="YB238" s="3"/>
      <c r="YC238" s="3"/>
      <c r="YD238" s="3"/>
      <c r="YE238" s="3"/>
      <c r="YF238" s="3"/>
      <c r="YG238" s="3"/>
      <c r="YH238" s="3"/>
      <c r="YI238" s="3"/>
      <c r="YJ238" s="3"/>
      <c r="YK238" s="3"/>
      <c r="YL238" s="3"/>
      <c r="YM238" s="3"/>
      <c r="YN238" s="3"/>
      <c r="YO238" s="3"/>
      <c r="YP238" s="3"/>
      <c r="YQ238" s="3"/>
      <c r="YR238" s="3"/>
      <c r="YS238" s="3"/>
      <c r="YT238" s="3"/>
      <c r="YU238" s="3"/>
      <c r="YV238" s="3"/>
      <c r="YW238" s="3"/>
      <c r="YX238" s="3"/>
      <c r="YY238" s="3"/>
      <c r="YZ238" s="3"/>
      <c r="ZA238" s="3"/>
      <c r="ZB238" s="3"/>
      <c r="ZC238" s="3"/>
    </row>
    <row r="239" spans="1:679" s="2" customFormat="1" x14ac:dyDescent="0.45">
      <c r="A239" s="3" t="s">
        <v>11</v>
      </c>
      <c r="B239" s="4">
        <v>37202</v>
      </c>
      <c r="C239" s="7" t="s">
        <v>21</v>
      </c>
      <c r="D239" s="6" t="s">
        <v>257</v>
      </c>
      <c r="E239" s="3"/>
      <c r="F239" s="3">
        <v>2</v>
      </c>
      <c r="L239" s="3"/>
      <c r="M239" s="3"/>
      <c r="N239" s="48"/>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c r="CP239" s="3"/>
      <c r="CQ239" s="3"/>
      <c r="CR239" s="3"/>
      <c r="CS239" s="3"/>
      <c r="CT239" s="3"/>
      <c r="CU239" s="3"/>
      <c r="CV239" s="3"/>
      <c r="CW239" s="3"/>
      <c r="CX239" s="3"/>
      <c r="CY239" s="3"/>
      <c r="CZ239" s="3"/>
      <c r="DA239" s="3"/>
      <c r="DB239" s="3"/>
      <c r="DC239" s="3"/>
      <c r="DD239" s="3"/>
      <c r="DE239" s="3"/>
      <c r="DF239" s="3"/>
      <c r="DG239" s="3"/>
      <c r="DH239" s="3"/>
      <c r="DI239" s="3"/>
      <c r="DJ239" s="3"/>
      <c r="DK239" s="3"/>
      <c r="DL239" s="3"/>
      <c r="DM239" s="3"/>
      <c r="DN239" s="3"/>
      <c r="DO239" s="3"/>
      <c r="DP239" s="3"/>
      <c r="DQ239" s="3"/>
      <c r="DR239" s="3"/>
      <c r="DS239" s="3"/>
      <c r="DT239" s="3"/>
      <c r="DU239" s="3"/>
      <c r="DV239" s="3"/>
      <c r="DW239" s="3"/>
      <c r="DX239" s="3"/>
      <c r="DY239" s="3"/>
      <c r="DZ239" s="3"/>
      <c r="EA239" s="3"/>
      <c r="EB239" s="3"/>
      <c r="EC239" s="3"/>
      <c r="ED239" s="3"/>
      <c r="EE239" s="3"/>
      <c r="EF239" s="3"/>
      <c r="EG239" s="3"/>
      <c r="EH239" s="3"/>
      <c r="EI239" s="3"/>
      <c r="EJ239" s="3"/>
      <c r="EK239" s="3"/>
      <c r="EL239" s="3"/>
      <c r="EM239" s="3"/>
      <c r="EN239" s="3"/>
      <c r="EO239" s="3"/>
      <c r="EP239" s="3"/>
      <c r="EQ239" s="3"/>
      <c r="ER239" s="3"/>
      <c r="ES239" s="3"/>
      <c r="ET239" s="3"/>
      <c r="EU239" s="3"/>
      <c r="EV239" s="3"/>
      <c r="EW239" s="3"/>
      <c r="EX239" s="3"/>
      <c r="EY239" s="3"/>
      <c r="EZ239" s="3"/>
      <c r="FA239" s="3"/>
      <c r="FB239" s="3"/>
      <c r="FC239" s="3"/>
      <c r="FD239" s="3"/>
      <c r="FE239" s="3"/>
      <c r="FF239" s="3"/>
      <c r="FG239" s="3"/>
      <c r="FH239" s="3"/>
      <c r="FI239" s="3"/>
      <c r="FJ239" s="3"/>
      <c r="FK239" s="3"/>
      <c r="FL239" s="3"/>
      <c r="FM239" s="3"/>
      <c r="FN239" s="3"/>
      <c r="FO239" s="3"/>
      <c r="FP239" s="3"/>
      <c r="FQ239" s="3"/>
      <c r="FR239" s="3"/>
      <c r="FS239" s="3"/>
      <c r="FT239" s="3"/>
      <c r="FU239" s="3"/>
      <c r="FV239" s="3"/>
      <c r="FW239" s="3"/>
      <c r="FX239" s="3"/>
      <c r="FY239" s="3"/>
      <c r="FZ239" s="3"/>
      <c r="GA239" s="3"/>
      <c r="GB239" s="3"/>
      <c r="GC239" s="3"/>
      <c r="GD239" s="3"/>
      <c r="GE239" s="3"/>
      <c r="GF239" s="3"/>
      <c r="GG239" s="3"/>
      <c r="GH239" s="3"/>
      <c r="GI239" s="3"/>
      <c r="GJ239" s="3"/>
      <c r="GK239" s="3"/>
      <c r="GL239" s="3"/>
      <c r="GM239" s="3"/>
      <c r="GN239" s="3"/>
      <c r="GO239" s="3"/>
      <c r="GP239" s="3"/>
      <c r="GQ239" s="3"/>
      <c r="GR239" s="3"/>
      <c r="GS239" s="3"/>
      <c r="GT239" s="3"/>
      <c r="GU239" s="3"/>
      <c r="GV239" s="3"/>
      <c r="GW239" s="3"/>
      <c r="GX239" s="3"/>
      <c r="GY239" s="3"/>
      <c r="GZ239" s="3"/>
      <c r="HA239" s="3"/>
      <c r="HB239" s="3"/>
      <c r="HC239" s="3"/>
      <c r="HD239" s="3"/>
      <c r="HE239" s="3"/>
      <c r="HF239" s="3"/>
      <c r="HG239" s="3"/>
      <c r="HH239" s="3"/>
      <c r="HI239" s="3"/>
      <c r="HJ239" s="3"/>
      <c r="HK239" s="3"/>
      <c r="HL239" s="3"/>
      <c r="HM239" s="3"/>
      <c r="HN239" s="3"/>
      <c r="HO239" s="3"/>
      <c r="HP239" s="3"/>
      <c r="HQ239" s="3"/>
      <c r="HR239" s="3"/>
      <c r="HS239" s="3"/>
      <c r="HT239" s="3"/>
      <c r="HU239" s="3"/>
      <c r="HV239" s="3"/>
      <c r="HW239" s="3"/>
      <c r="HX239" s="3"/>
      <c r="HY239" s="3"/>
      <c r="HZ239" s="3"/>
      <c r="IA239" s="3"/>
      <c r="IB239" s="3"/>
      <c r="IC239" s="3"/>
      <c r="ID239" s="3"/>
      <c r="IE239" s="3"/>
      <c r="IF239" s="3"/>
      <c r="IG239" s="3"/>
      <c r="IH239" s="3"/>
      <c r="II239" s="3"/>
      <c r="IJ239" s="3"/>
      <c r="IK239" s="3"/>
      <c r="IL239" s="3"/>
      <c r="IM239" s="3"/>
      <c r="IN239" s="3"/>
      <c r="IO239" s="3"/>
      <c r="IP239" s="3"/>
      <c r="IQ239" s="3"/>
      <c r="IR239" s="3"/>
      <c r="IS239" s="3"/>
      <c r="IT239" s="3"/>
      <c r="IU239" s="3"/>
      <c r="IV239" s="3"/>
      <c r="IW239" s="3"/>
      <c r="IX239" s="3"/>
      <c r="IY239" s="3"/>
      <c r="IZ239" s="3"/>
      <c r="JA239" s="3"/>
      <c r="JB239" s="3"/>
      <c r="JC239" s="3"/>
      <c r="JD239" s="3"/>
      <c r="JE239" s="3"/>
      <c r="JF239" s="3"/>
      <c r="JG239" s="3"/>
      <c r="JH239" s="3"/>
      <c r="JI239" s="3"/>
      <c r="JJ239" s="3"/>
      <c r="JK239" s="3"/>
      <c r="JL239" s="3"/>
      <c r="JM239" s="3"/>
      <c r="JN239" s="3"/>
      <c r="JO239" s="3"/>
      <c r="JP239" s="3"/>
      <c r="JQ239" s="3"/>
      <c r="JR239" s="3"/>
      <c r="JS239" s="3"/>
      <c r="JT239" s="3"/>
      <c r="JU239" s="3"/>
      <c r="JV239" s="3"/>
      <c r="JW239" s="3"/>
      <c r="JX239" s="3"/>
      <c r="JY239" s="3"/>
      <c r="JZ239" s="3"/>
      <c r="KA239" s="3"/>
      <c r="KB239" s="3"/>
      <c r="KC239" s="3"/>
      <c r="KD239" s="3"/>
      <c r="KE239" s="3"/>
      <c r="KF239" s="3"/>
      <c r="KG239" s="3"/>
      <c r="KH239" s="3"/>
      <c r="KI239" s="3"/>
      <c r="KJ239" s="3"/>
      <c r="KK239" s="3"/>
      <c r="KL239" s="3"/>
      <c r="KM239" s="3"/>
      <c r="KN239" s="3"/>
      <c r="KO239" s="3"/>
      <c r="KP239" s="3"/>
      <c r="KQ239" s="3"/>
      <c r="KR239" s="3"/>
      <c r="KS239" s="3"/>
      <c r="KT239" s="3"/>
      <c r="KU239" s="3"/>
      <c r="KV239" s="3"/>
      <c r="KW239" s="3"/>
      <c r="KX239" s="3"/>
      <c r="KY239" s="3"/>
      <c r="KZ239" s="3"/>
      <c r="LA239" s="3"/>
      <c r="LB239" s="3"/>
      <c r="LC239" s="3"/>
      <c r="LD239" s="3"/>
      <c r="LE239" s="3"/>
      <c r="LF239" s="3"/>
      <c r="LG239" s="3"/>
      <c r="LH239" s="3"/>
      <c r="LI239" s="3"/>
      <c r="LJ239" s="3"/>
      <c r="LK239" s="3"/>
      <c r="LL239" s="3"/>
      <c r="LM239" s="3"/>
      <c r="LN239" s="3"/>
      <c r="LO239" s="3"/>
      <c r="LP239" s="3"/>
      <c r="LQ239" s="3"/>
      <c r="LR239" s="3"/>
      <c r="LS239" s="3"/>
      <c r="LT239" s="3"/>
      <c r="LU239" s="3"/>
      <c r="LV239" s="3"/>
      <c r="LW239" s="3"/>
      <c r="LX239" s="3"/>
      <c r="LY239" s="3"/>
      <c r="LZ239" s="3"/>
      <c r="MA239" s="3"/>
      <c r="MB239" s="3"/>
      <c r="MC239" s="3"/>
      <c r="MD239" s="3"/>
      <c r="ME239" s="3"/>
      <c r="MF239" s="3"/>
      <c r="MG239" s="3"/>
      <c r="MH239" s="3"/>
      <c r="MI239" s="3"/>
      <c r="MJ239" s="3"/>
      <c r="MK239" s="3"/>
      <c r="ML239" s="3"/>
      <c r="MM239" s="3"/>
      <c r="MN239" s="3"/>
      <c r="MO239" s="3"/>
      <c r="MP239" s="3"/>
      <c r="MQ239" s="3"/>
      <c r="MR239" s="3"/>
      <c r="MS239" s="3"/>
      <c r="MT239" s="3"/>
      <c r="MU239" s="3"/>
      <c r="MV239" s="3"/>
      <c r="MW239" s="3"/>
      <c r="MX239" s="3"/>
      <c r="MY239" s="3"/>
      <c r="MZ239" s="3"/>
      <c r="NA239" s="3"/>
      <c r="NB239" s="3"/>
      <c r="NC239" s="3"/>
      <c r="ND239" s="3"/>
      <c r="NE239" s="3"/>
      <c r="NF239" s="3"/>
      <c r="NG239" s="3"/>
      <c r="NH239" s="3"/>
      <c r="NI239" s="3"/>
      <c r="NJ239" s="3"/>
      <c r="NK239" s="3"/>
      <c r="NL239" s="3"/>
      <c r="NM239" s="3"/>
      <c r="NN239" s="3"/>
      <c r="NO239" s="3"/>
      <c r="NP239" s="3"/>
      <c r="NQ239" s="3"/>
      <c r="NR239" s="3"/>
      <c r="NS239" s="3"/>
      <c r="NT239" s="3"/>
      <c r="NU239" s="3"/>
      <c r="NV239" s="3"/>
      <c r="NW239" s="3"/>
      <c r="NX239" s="3"/>
      <c r="NY239" s="3"/>
      <c r="NZ239" s="3"/>
      <c r="OA239" s="3"/>
      <c r="OB239" s="3"/>
      <c r="OC239" s="3"/>
      <c r="OD239" s="3"/>
      <c r="OE239" s="3"/>
      <c r="OF239" s="3"/>
      <c r="OG239" s="3"/>
      <c r="OH239" s="3"/>
      <c r="OI239" s="3"/>
      <c r="OJ239" s="3"/>
      <c r="OK239" s="3"/>
      <c r="OL239" s="3"/>
      <c r="OM239" s="3"/>
      <c r="ON239" s="3"/>
      <c r="OO239" s="3"/>
      <c r="OP239" s="3"/>
      <c r="OQ239" s="3"/>
      <c r="OR239" s="3"/>
      <c r="OS239" s="3"/>
      <c r="OT239" s="3"/>
      <c r="OU239" s="3"/>
      <c r="OV239" s="3"/>
      <c r="OW239" s="3"/>
      <c r="OX239" s="3"/>
      <c r="OY239" s="3"/>
      <c r="OZ239" s="3"/>
      <c r="PA239" s="3"/>
      <c r="PB239" s="3"/>
      <c r="PC239" s="3"/>
      <c r="PD239" s="3"/>
      <c r="PE239" s="3"/>
      <c r="PF239" s="3"/>
      <c r="PG239" s="3"/>
      <c r="PH239" s="3"/>
      <c r="PI239" s="3"/>
      <c r="PJ239" s="3"/>
      <c r="PK239" s="3"/>
      <c r="PL239" s="3"/>
      <c r="PM239" s="3"/>
      <c r="PN239" s="3"/>
      <c r="PO239" s="3"/>
      <c r="PP239" s="3"/>
      <c r="PQ239" s="3"/>
      <c r="PR239" s="3"/>
      <c r="PS239" s="3"/>
      <c r="PT239" s="3"/>
      <c r="PU239" s="3"/>
      <c r="PV239" s="3"/>
      <c r="PW239" s="3"/>
      <c r="PX239" s="3"/>
      <c r="PY239" s="3"/>
      <c r="PZ239" s="3"/>
      <c r="QA239" s="3"/>
      <c r="QB239" s="3"/>
      <c r="QC239" s="3"/>
      <c r="QD239" s="3"/>
      <c r="QE239" s="3"/>
      <c r="QF239" s="3"/>
      <c r="QG239" s="3"/>
      <c r="QH239" s="3"/>
      <c r="QI239" s="3"/>
      <c r="QJ239" s="3"/>
      <c r="QK239" s="3"/>
      <c r="QL239" s="3"/>
      <c r="QM239" s="3"/>
      <c r="QN239" s="3"/>
      <c r="QO239" s="3"/>
      <c r="QP239" s="3"/>
      <c r="QQ239" s="3"/>
      <c r="QR239" s="3"/>
      <c r="QS239" s="3"/>
      <c r="QT239" s="3"/>
      <c r="QU239" s="3"/>
      <c r="QV239" s="3"/>
      <c r="QW239" s="3"/>
      <c r="QX239" s="3"/>
      <c r="QY239" s="3"/>
      <c r="QZ239" s="3"/>
      <c r="RA239" s="3"/>
      <c r="RB239" s="3"/>
      <c r="RC239" s="3"/>
      <c r="RD239" s="3"/>
      <c r="RE239" s="3"/>
      <c r="RF239" s="3"/>
      <c r="RG239" s="3"/>
      <c r="RH239" s="3"/>
      <c r="RI239" s="3"/>
      <c r="RJ239" s="3"/>
      <c r="RK239" s="3"/>
      <c r="RL239" s="3"/>
      <c r="RM239" s="3"/>
      <c r="RN239" s="3"/>
      <c r="RO239" s="3"/>
      <c r="RP239" s="3"/>
      <c r="RQ239" s="3"/>
      <c r="RR239" s="3"/>
      <c r="RS239" s="3"/>
      <c r="RT239" s="3"/>
      <c r="RU239" s="3"/>
      <c r="RV239" s="3"/>
      <c r="RW239" s="3"/>
      <c r="RX239" s="3"/>
      <c r="RY239" s="3"/>
      <c r="RZ239" s="3"/>
      <c r="SA239" s="3"/>
      <c r="SB239" s="3"/>
      <c r="SC239" s="3"/>
      <c r="SD239" s="3"/>
      <c r="SE239" s="3"/>
      <c r="SF239" s="3"/>
      <c r="SG239" s="3"/>
      <c r="SH239" s="3"/>
      <c r="SI239" s="3"/>
      <c r="SJ239" s="3"/>
      <c r="SK239" s="3"/>
      <c r="SL239" s="3"/>
      <c r="SM239" s="3"/>
      <c r="SN239" s="3"/>
      <c r="SO239" s="3"/>
      <c r="SP239" s="3"/>
      <c r="SQ239" s="3"/>
      <c r="SR239" s="3"/>
      <c r="SS239" s="3"/>
      <c r="ST239" s="3"/>
      <c r="SU239" s="3"/>
      <c r="SV239" s="3"/>
      <c r="SW239" s="3"/>
      <c r="SX239" s="3"/>
      <c r="SY239" s="3"/>
      <c r="SZ239" s="3"/>
      <c r="TA239" s="3"/>
      <c r="TB239" s="3"/>
      <c r="TC239" s="3"/>
      <c r="TD239" s="3"/>
      <c r="TE239" s="3"/>
      <c r="TF239" s="3"/>
      <c r="TG239" s="3"/>
      <c r="TH239" s="3"/>
      <c r="TI239" s="3"/>
      <c r="TJ239" s="3"/>
      <c r="TK239" s="3"/>
      <c r="TL239" s="3"/>
      <c r="TM239" s="3"/>
      <c r="TN239" s="3"/>
      <c r="TO239" s="3"/>
      <c r="TP239" s="3"/>
      <c r="TQ239" s="3"/>
      <c r="TR239" s="3"/>
      <c r="TS239" s="3"/>
      <c r="TT239" s="3"/>
      <c r="TU239" s="3"/>
      <c r="TV239" s="3"/>
      <c r="TW239" s="3"/>
      <c r="TX239" s="3"/>
      <c r="TY239" s="3"/>
      <c r="TZ239" s="3"/>
      <c r="UA239" s="3"/>
      <c r="UB239" s="3"/>
      <c r="UC239" s="3"/>
      <c r="UD239" s="3"/>
      <c r="UE239" s="3"/>
      <c r="UF239" s="3"/>
      <c r="UG239" s="3"/>
      <c r="UH239" s="3"/>
      <c r="UI239" s="3"/>
      <c r="UJ239" s="3"/>
      <c r="UK239" s="3"/>
      <c r="UL239" s="3"/>
      <c r="UM239" s="3"/>
      <c r="UN239" s="3"/>
      <c r="UO239" s="3"/>
      <c r="UP239" s="3"/>
      <c r="UQ239" s="3"/>
      <c r="UR239" s="3"/>
      <c r="US239" s="3"/>
      <c r="UT239" s="3"/>
      <c r="UU239" s="3"/>
      <c r="UV239" s="3"/>
      <c r="UW239" s="3"/>
      <c r="UX239" s="3"/>
      <c r="UY239" s="3"/>
      <c r="UZ239" s="3"/>
      <c r="VA239" s="3"/>
      <c r="VB239" s="3"/>
      <c r="VC239" s="3"/>
      <c r="VD239" s="3"/>
      <c r="VE239" s="3"/>
      <c r="VF239" s="3"/>
      <c r="VG239" s="3"/>
      <c r="VH239" s="3"/>
      <c r="VI239" s="3"/>
      <c r="VJ239" s="3"/>
      <c r="VK239" s="3"/>
      <c r="VL239" s="3"/>
      <c r="VM239" s="3"/>
      <c r="VN239" s="3"/>
      <c r="VO239" s="3"/>
      <c r="VP239" s="3"/>
      <c r="VQ239" s="3"/>
      <c r="VR239" s="3"/>
      <c r="VS239" s="3"/>
      <c r="VT239" s="3"/>
      <c r="VU239" s="3"/>
      <c r="VV239" s="3"/>
      <c r="VW239" s="3"/>
      <c r="VX239" s="3"/>
      <c r="VY239" s="3"/>
      <c r="VZ239" s="3"/>
      <c r="WA239" s="3"/>
      <c r="WB239" s="3"/>
      <c r="WC239" s="3"/>
      <c r="WD239" s="3"/>
      <c r="WE239" s="3"/>
      <c r="WF239" s="3"/>
      <c r="WG239" s="3"/>
      <c r="WH239" s="3"/>
      <c r="WI239" s="3"/>
      <c r="WJ239" s="3"/>
      <c r="WK239" s="3"/>
      <c r="WL239" s="3"/>
      <c r="WM239" s="3"/>
      <c r="WN239" s="3"/>
      <c r="WO239" s="3"/>
      <c r="WP239" s="3"/>
      <c r="WQ239" s="3"/>
      <c r="WR239" s="3"/>
      <c r="WS239" s="3"/>
      <c r="WT239" s="3"/>
      <c r="WU239" s="3"/>
      <c r="WV239" s="3"/>
      <c r="WW239" s="3"/>
      <c r="WX239" s="3"/>
      <c r="WY239" s="3"/>
      <c r="WZ239" s="3"/>
      <c r="XA239" s="3"/>
      <c r="XB239" s="3"/>
      <c r="XC239" s="3"/>
      <c r="XD239" s="3"/>
      <c r="XE239" s="3"/>
      <c r="XF239" s="3"/>
      <c r="XG239" s="3"/>
      <c r="XH239" s="3"/>
      <c r="XI239" s="3"/>
      <c r="XJ239" s="3"/>
      <c r="XK239" s="3"/>
      <c r="XL239" s="3"/>
      <c r="XM239" s="3"/>
      <c r="XN239" s="3"/>
      <c r="XO239" s="3"/>
      <c r="XP239" s="3"/>
      <c r="XQ239" s="3"/>
      <c r="XR239" s="3"/>
      <c r="XS239" s="3"/>
      <c r="XT239" s="3"/>
      <c r="XU239" s="3"/>
      <c r="XV239" s="3"/>
      <c r="XW239" s="3"/>
      <c r="XX239" s="3"/>
      <c r="XY239" s="3"/>
      <c r="XZ239" s="3"/>
      <c r="YA239" s="3"/>
      <c r="YB239" s="3"/>
      <c r="YC239" s="3"/>
      <c r="YD239" s="3"/>
      <c r="YE239" s="3"/>
      <c r="YF239" s="3"/>
      <c r="YG239" s="3"/>
      <c r="YH239" s="3"/>
      <c r="YI239" s="3"/>
      <c r="YJ239" s="3"/>
      <c r="YK239" s="3"/>
      <c r="YL239" s="3"/>
      <c r="YM239" s="3"/>
      <c r="YN239" s="3"/>
      <c r="YO239" s="3"/>
      <c r="YP239" s="3"/>
      <c r="YQ239" s="3"/>
      <c r="YR239" s="3"/>
      <c r="YS239" s="3"/>
      <c r="YT239" s="3"/>
      <c r="YU239" s="3"/>
      <c r="YV239" s="3"/>
      <c r="YW239" s="3"/>
      <c r="YX239" s="3"/>
      <c r="YY239" s="3"/>
      <c r="YZ239" s="3"/>
      <c r="ZA239" s="3"/>
      <c r="ZB239" s="3"/>
      <c r="ZC239" s="3"/>
    </row>
    <row r="240" spans="1:679" s="2" customFormat="1" x14ac:dyDescent="0.45">
      <c r="A240" s="3" t="s">
        <v>11</v>
      </c>
      <c r="B240" s="4">
        <v>37221</v>
      </c>
      <c r="C240" s="7" t="s">
        <v>25</v>
      </c>
      <c r="D240" s="6" t="s">
        <v>258</v>
      </c>
      <c r="E240" s="3"/>
      <c r="F240" s="3">
        <v>2</v>
      </c>
      <c r="L240" s="3"/>
      <c r="M240" s="3"/>
      <c r="N240" s="48"/>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c r="CU240" s="3"/>
      <c r="CV240" s="3"/>
      <c r="CW240" s="3"/>
      <c r="CX240" s="3"/>
      <c r="CY240" s="3"/>
      <c r="CZ240" s="3"/>
      <c r="DA240" s="3"/>
      <c r="DB240" s="3"/>
      <c r="DC240" s="3"/>
      <c r="DD240" s="3"/>
      <c r="DE240" s="3"/>
      <c r="DF240" s="3"/>
      <c r="DG240" s="3"/>
      <c r="DH240" s="3"/>
      <c r="DI240" s="3"/>
      <c r="DJ240" s="3"/>
      <c r="DK240" s="3"/>
      <c r="DL240" s="3"/>
      <c r="DM240" s="3"/>
      <c r="DN240" s="3"/>
      <c r="DO240" s="3"/>
      <c r="DP240" s="3"/>
      <c r="DQ240" s="3"/>
      <c r="DR240" s="3"/>
      <c r="DS240" s="3"/>
      <c r="DT240" s="3"/>
      <c r="DU240" s="3"/>
      <c r="DV240" s="3"/>
      <c r="DW240" s="3"/>
      <c r="DX240" s="3"/>
      <c r="DY240" s="3"/>
      <c r="DZ240" s="3"/>
      <c r="EA240" s="3"/>
      <c r="EB240" s="3"/>
      <c r="EC240" s="3"/>
      <c r="ED240" s="3"/>
      <c r="EE240" s="3"/>
      <c r="EF240" s="3"/>
      <c r="EG240" s="3"/>
      <c r="EH240" s="3"/>
      <c r="EI240" s="3"/>
      <c r="EJ240" s="3"/>
      <c r="EK240" s="3"/>
      <c r="EL240" s="3"/>
      <c r="EM240" s="3"/>
      <c r="EN240" s="3"/>
      <c r="EO240" s="3"/>
      <c r="EP240" s="3"/>
      <c r="EQ240" s="3"/>
      <c r="ER240" s="3"/>
      <c r="ES240" s="3"/>
      <c r="ET240" s="3"/>
      <c r="EU240" s="3"/>
      <c r="EV240" s="3"/>
      <c r="EW240" s="3"/>
      <c r="EX240" s="3"/>
      <c r="EY240" s="3"/>
      <c r="EZ240" s="3"/>
      <c r="FA240" s="3"/>
      <c r="FB240" s="3"/>
      <c r="FC240" s="3"/>
      <c r="FD240" s="3"/>
      <c r="FE240" s="3"/>
      <c r="FF240" s="3"/>
      <c r="FG240" s="3"/>
      <c r="FH240" s="3"/>
      <c r="FI240" s="3"/>
      <c r="FJ240" s="3"/>
      <c r="FK240" s="3"/>
      <c r="FL240" s="3"/>
      <c r="FM240" s="3"/>
      <c r="FN240" s="3"/>
      <c r="FO240" s="3"/>
      <c r="FP240" s="3"/>
      <c r="FQ240" s="3"/>
      <c r="FR240" s="3"/>
      <c r="FS240" s="3"/>
      <c r="FT240" s="3"/>
      <c r="FU240" s="3"/>
      <c r="FV240" s="3"/>
      <c r="FW240" s="3"/>
      <c r="FX240" s="3"/>
      <c r="FY240" s="3"/>
      <c r="FZ240" s="3"/>
      <c r="GA240" s="3"/>
      <c r="GB240" s="3"/>
      <c r="GC240" s="3"/>
      <c r="GD240" s="3"/>
      <c r="GE240" s="3"/>
      <c r="GF240" s="3"/>
      <c r="GG240" s="3"/>
      <c r="GH240" s="3"/>
      <c r="GI240" s="3"/>
      <c r="GJ240" s="3"/>
      <c r="GK240" s="3"/>
      <c r="GL240" s="3"/>
      <c r="GM240" s="3"/>
      <c r="GN240" s="3"/>
      <c r="GO240" s="3"/>
      <c r="GP240" s="3"/>
      <c r="GQ240" s="3"/>
      <c r="GR240" s="3"/>
      <c r="GS240" s="3"/>
      <c r="GT240" s="3"/>
      <c r="GU240" s="3"/>
      <c r="GV240" s="3"/>
      <c r="GW240" s="3"/>
      <c r="GX240" s="3"/>
      <c r="GY240" s="3"/>
      <c r="GZ240" s="3"/>
      <c r="HA240" s="3"/>
      <c r="HB240" s="3"/>
      <c r="HC240" s="3"/>
      <c r="HD240" s="3"/>
      <c r="HE240" s="3"/>
      <c r="HF240" s="3"/>
      <c r="HG240" s="3"/>
      <c r="HH240" s="3"/>
      <c r="HI240" s="3"/>
      <c r="HJ240" s="3"/>
      <c r="HK240" s="3"/>
      <c r="HL240" s="3"/>
      <c r="HM240" s="3"/>
      <c r="HN240" s="3"/>
      <c r="HO240" s="3"/>
      <c r="HP240" s="3"/>
      <c r="HQ240" s="3"/>
      <c r="HR240" s="3"/>
      <c r="HS240" s="3"/>
      <c r="HT240" s="3"/>
      <c r="HU240" s="3"/>
      <c r="HV240" s="3"/>
      <c r="HW240" s="3"/>
      <c r="HX240" s="3"/>
      <c r="HY240" s="3"/>
      <c r="HZ240" s="3"/>
      <c r="IA240" s="3"/>
      <c r="IB240" s="3"/>
      <c r="IC240" s="3"/>
      <c r="ID240" s="3"/>
      <c r="IE240" s="3"/>
      <c r="IF240" s="3"/>
      <c r="IG240" s="3"/>
      <c r="IH240" s="3"/>
      <c r="II240" s="3"/>
      <c r="IJ240" s="3"/>
      <c r="IK240" s="3"/>
      <c r="IL240" s="3"/>
      <c r="IM240" s="3"/>
      <c r="IN240" s="3"/>
      <c r="IO240" s="3"/>
      <c r="IP240" s="3"/>
      <c r="IQ240" s="3"/>
      <c r="IR240" s="3"/>
      <c r="IS240" s="3"/>
      <c r="IT240" s="3"/>
      <c r="IU240" s="3"/>
      <c r="IV240" s="3"/>
      <c r="IW240" s="3"/>
      <c r="IX240" s="3"/>
      <c r="IY240" s="3"/>
      <c r="IZ240" s="3"/>
      <c r="JA240" s="3"/>
      <c r="JB240" s="3"/>
      <c r="JC240" s="3"/>
      <c r="JD240" s="3"/>
      <c r="JE240" s="3"/>
      <c r="JF240" s="3"/>
      <c r="JG240" s="3"/>
      <c r="JH240" s="3"/>
      <c r="JI240" s="3"/>
      <c r="JJ240" s="3"/>
      <c r="JK240" s="3"/>
      <c r="JL240" s="3"/>
      <c r="JM240" s="3"/>
      <c r="JN240" s="3"/>
      <c r="JO240" s="3"/>
      <c r="JP240" s="3"/>
      <c r="JQ240" s="3"/>
      <c r="JR240" s="3"/>
      <c r="JS240" s="3"/>
      <c r="JT240" s="3"/>
      <c r="JU240" s="3"/>
      <c r="JV240" s="3"/>
      <c r="JW240" s="3"/>
      <c r="JX240" s="3"/>
      <c r="JY240" s="3"/>
      <c r="JZ240" s="3"/>
      <c r="KA240" s="3"/>
      <c r="KB240" s="3"/>
      <c r="KC240" s="3"/>
      <c r="KD240" s="3"/>
      <c r="KE240" s="3"/>
      <c r="KF240" s="3"/>
      <c r="KG240" s="3"/>
      <c r="KH240" s="3"/>
      <c r="KI240" s="3"/>
      <c r="KJ240" s="3"/>
      <c r="KK240" s="3"/>
      <c r="KL240" s="3"/>
      <c r="KM240" s="3"/>
      <c r="KN240" s="3"/>
      <c r="KO240" s="3"/>
      <c r="KP240" s="3"/>
      <c r="KQ240" s="3"/>
      <c r="KR240" s="3"/>
      <c r="KS240" s="3"/>
      <c r="KT240" s="3"/>
      <c r="KU240" s="3"/>
      <c r="KV240" s="3"/>
      <c r="KW240" s="3"/>
      <c r="KX240" s="3"/>
      <c r="KY240" s="3"/>
      <c r="KZ240" s="3"/>
      <c r="LA240" s="3"/>
      <c r="LB240" s="3"/>
      <c r="LC240" s="3"/>
      <c r="LD240" s="3"/>
      <c r="LE240" s="3"/>
      <c r="LF240" s="3"/>
      <c r="LG240" s="3"/>
      <c r="LH240" s="3"/>
      <c r="LI240" s="3"/>
      <c r="LJ240" s="3"/>
      <c r="LK240" s="3"/>
      <c r="LL240" s="3"/>
      <c r="LM240" s="3"/>
      <c r="LN240" s="3"/>
      <c r="LO240" s="3"/>
      <c r="LP240" s="3"/>
      <c r="LQ240" s="3"/>
      <c r="LR240" s="3"/>
      <c r="LS240" s="3"/>
      <c r="LT240" s="3"/>
      <c r="LU240" s="3"/>
      <c r="LV240" s="3"/>
      <c r="LW240" s="3"/>
      <c r="LX240" s="3"/>
      <c r="LY240" s="3"/>
      <c r="LZ240" s="3"/>
      <c r="MA240" s="3"/>
      <c r="MB240" s="3"/>
      <c r="MC240" s="3"/>
      <c r="MD240" s="3"/>
      <c r="ME240" s="3"/>
      <c r="MF240" s="3"/>
      <c r="MG240" s="3"/>
      <c r="MH240" s="3"/>
      <c r="MI240" s="3"/>
      <c r="MJ240" s="3"/>
      <c r="MK240" s="3"/>
      <c r="ML240" s="3"/>
      <c r="MM240" s="3"/>
      <c r="MN240" s="3"/>
      <c r="MO240" s="3"/>
      <c r="MP240" s="3"/>
      <c r="MQ240" s="3"/>
      <c r="MR240" s="3"/>
      <c r="MS240" s="3"/>
      <c r="MT240" s="3"/>
      <c r="MU240" s="3"/>
      <c r="MV240" s="3"/>
      <c r="MW240" s="3"/>
      <c r="MX240" s="3"/>
      <c r="MY240" s="3"/>
      <c r="MZ240" s="3"/>
      <c r="NA240" s="3"/>
      <c r="NB240" s="3"/>
      <c r="NC240" s="3"/>
      <c r="ND240" s="3"/>
      <c r="NE240" s="3"/>
      <c r="NF240" s="3"/>
      <c r="NG240" s="3"/>
      <c r="NH240" s="3"/>
      <c r="NI240" s="3"/>
      <c r="NJ240" s="3"/>
      <c r="NK240" s="3"/>
      <c r="NL240" s="3"/>
      <c r="NM240" s="3"/>
      <c r="NN240" s="3"/>
      <c r="NO240" s="3"/>
      <c r="NP240" s="3"/>
      <c r="NQ240" s="3"/>
      <c r="NR240" s="3"/>
      <c r="NS240" s="3"/>
      <c r="NT240" s="3"/>
      <c r="NU240" s="3"/>
      <c r="NV240" s="3"/>
      <c r="NW240" s="3"/>
      <c r="NX240" s="3"/>
      <c r="NY240" s="3"/>
      <c r="NZ240" s="3"/>
      <c r="OA240" s="3"/>
      <c r="OB240" s="3"/>
      <c r="OC240" s="3"/>
      <c r="OD240" s="3"/>
      <c r="OE240" s="3"/>
      <c r="OF240" s="3"/>
      <c r="OG240" s="3"/>
      <c r="OH240" s="3"/>
      <c r="OI240" s="3"/>
      <c r="OJ240" s="3"/>
      <c r="OK240" s="3"/>
      <c r="OL240" s="3"/>
      <c r="OM240" s="3"/>
      <c r="ON240" s="3"/>
      <c r="OO240" s="3"/>
      <c r="OP240" s="3"/>
      <c r="OQ240" s="3"/>
      <c r="OR240" s="3"/>
      <c r="OS240" s="3"/>
      <c r="OT240" s="3"/>
      <c r="OU240" s="3"/>
      <c r="OV240" s="3"/>
      <c r="OW240" s="3"/>
      <c r="OX240" s="3"/>
      <c r="OY240" s="3"/>
      <c r="OZ240" s="3"/>
      <c r="PA240" s="3"/>
      <c r="PB240" s="3"/>
      <c r="PC240" s="3"/>
      <c r="PD240" s="3"/>
      <c r="PE240" s="3"/>
      <c r="PF240" s="3"/>
      <c r="PG240" s="3"/>
      <c r="PH240" s="3"/>
      <c r="PI240" s="3"/>
      <c r="PJ240" s="3"/>
      <c r="PK240" s="3"/>
      <c r="PL240" s="3"/>
      <c r="PM240" s="3"/>
      <c r="PN240" s="3"/>
      <c r="PO240" s="3"/>
      <c r="PP240" s="3"/>
      <c r="PQ240" s="3"/>
      <c r="PR240" s="3"/>
      <c r="PS240" s="3"/>
      <c r="PT240" s="3"/>
      <c r="PU240" s="3"/>
      <c r="PV240" s="3"/>
      <c r="PW240" s="3"/>
      <c r="PX240" s="3"/>
      <c r="PY240" s="3"/>
      <c r="PZ240" s="3"/>
      <c r="QA240" s="3"/>
      <c r="QB240" s="3"/>
      <c r="QC240" s="3"/>
      <c r="QD240" s="3"/>
      <c r="QE240" s="3"/>
      <c r="QF240" s="3"/>
      <c r="QG240" s="3"/>
      <c r="QH240" s="3"/>
      <c r="QI240" s="3"/>
      <c r="QJ240" s="3"/>
      <c r="QK240" s="3"/>
      <c r="QL240" s="3"/>
      <c r="QM240" s="3"/>
      <c r="QN240" s="3"/>
      <c r="QO240" s="3"/>
      <c r="QP240" s="3"/>
      <c r="QQ240" s="3"/>
      <c r="QR240" s="3"/>
      <c r="QS240" s="3"/>
      <c r="QT240" s="3"/>
      <c r="QU240" s="3"/>
      <c r="QV240" s="3"/>
      <c r="QW240" s="3"/>
      <c r="QX240" s="3"/>
      <c r="QY240" s="3"/>
      <c r="QZ240" s="3"/>
      <c r="RA240" s="3"/>
      <c r="RB240" s="3"/>
      <c r="RC240" s="3"/>
      <c r="RD240" s="3"/>
      <c r="RE240" s="3"/>
      <c r="RF240" s="3"/>
      <c r="RG240" s="3"/>
      <c r="RH240" s="3"/>
      <c r="RI240" s="3"/>
      <c r="RJ240" s="3"/>
      <c r="RK240" s="3"/>
      <c r="RL240" s="3"/>
      <c r="RM240" s="3"/>
      <c r="RN240" s="3"/>
      <c r="RO240" s="3"/>
      <c r="RP240" s="3"/>
      <c r="RQ240" s="3"/>
      <c r="RR240" s="3"/>
      <c r="RS240" s="3"/>
      <c r="RT240" s="3"/>
      <c r="RU240" s="3"/>
      <c r="RV240" s="3"/>
      <c r="RW240" s="3"/>
      <c r="RX240" s="3"/>
      <c r="RY240" s="3"/>
      <c r="RZ240" s="3"/>
      <c r="SA240" s="3"/>
      <c r="SB240" s="3"/>
      <c r="SC240" s="3"/>
      <c r="SD240" s="3"/>
      <c r="SE240" s="3"/>
      <c r="SF240" s="3"/>
      <c r="SG240" s="3"/>
      <c r="SH240" s="3"/>
      <c r="SI240" s="3"/>
      <c r="SJ240" s="3"/>
      <c r="SK240" s="3"/>
      <c r="SL240" s="3"/>
      <c r="SM240" s="3"/>
      <c r="SN240" s="3"/>
      <c r="SO240" s="3"/>
      <c r="SP240" s="3"/>
      <c r="SQ240" s="3"/>
      <c r="SR240" s="3"/>
      <c r="SS240" s="3"/>
      <c r="ST240" s="3"/>
      <c r="SU240" s="3"/>
      <c r="SV240" s="3"/>
      <c r="SW240" s="3"/>
      <c r="SX240" s="3"/>
      <c r="SY240" s="3"/>
      <c r="SZ240" s="3"/>
      <c r="TA240" s="3"/>
      <c r="TB240" s="3"/>
      <c r="TC240" s="3"/>
      <c r="TD240" s="3"/>
      <c r="TE240" s="3"/>
      <c r="TF240" s="3"/>
      <c r="TG240" s="3"/>
      <c r="TH240" s="3"/>
      <c r="TI240" s="3"/>
      <c r="TJ240" s="3"/>
      <c r="TK240" s="3"/>
      <c r="TL240" s="3"/>
      <c r="TM240" s="3"/>
      <c r="TN240" s="3"/>
      <c r="TO240" s="3"/>
      <c r="TP240" s="3"/>
      <c r="TQ240" s="3"/>
      <c r="TR240" s="3"/>
      <c r="TS240" s="3"/>
      <c r="TT240" s="3"/>
      <c r="TU240" s="3"/>
      <c r="TV240" s="3"/>
      <c r="TW240" s="3"/>
      <c r="TX240" s="3"/>
      <c r="TY240" s="3"/>
      <c r="TZ240" s="3"/>
      <c r="UA240" s="3"/>
      <c r="UB240" s="3"/>
      <c r="UC240" s="3"/>
      <c r="UD240" s="3"/>
      <c r="UE240" s="3"/>
      <c r="UF240" s="3"/>
      <c r="UG240" s="3"/>
      <c r="UH240" s="3"/>
      <c r="UI240" s="3"/>
      <c r="UJ240" s="3"/>
      <c r="UK240" s="3"/>
      <c r="UL240" s="3"/>
      <c r="UM240" s="3"/>
      <c r="UN240" s="3"/>
      <c r="UO240" s="3"/>
      <c r="UP240" s="3"/>
      <c r="UQ240" s="3"/>
      <c r="UR240" s="3"/>
      <c r="US240" s="3"/>
      <c r="UT240" s="3"/>
      <c r="UU240" s="3"/>
      <c r="UV240" s="3"/>
      <c r="UW240" s="3"/>
      <c r="UX240" s="3"/>
      <c r="UY240" s="3"/>
      <c r="UZ240" s="3"/>
      <c r="VA240" s="3"/>
      <c r="VB240" s="3"/>
      <c r="VC240" s="3"/>
      <c r="VD240" s="3"/>
      <c r="VE240" s="3"/>
      <c r="VF240" s="3"/>
      <c r="VG240" s="3"/>
      <c r="VH240" s="3"/>
      <c r="VI240" s="3"/>
      <c r="VJ240" s="3"/>
      <c r="VK240" s="3"/>
      <c r="VL240" s="3"/>
      <c r="VM240" s="3"/>
      <c r="VN240" s="3"/>
      <c r="VO240" s="3"/>
      <c r="VP240" s="3"/>
      <c r="VQ240" s="3"/>
      <c r="VR240" s="3"/>
      <c r="VS240" s="3"/>
      <c r="VT240" s="3"/>
      <c r="VU240" s="3"/>
      <c r="VV240" s="3"/>
      <c r="VW240" s="3"/>
      <c r="VX240" s="3"/>
      <c r="VY240" s="3"/>
      <c r="VZ240" s="3"/>
      <c r="WA240" s="3"/>
      <c r="WB240" s="3"/>
      <c r="WC240" s="3"/>
      <c r="WD240" s="3"/>
      <c r="WE240" s="3"/>
      <c r="WF240" s="3"/>
      <c r="WG240" s="3"/>
      <c r="WH240" s="3"/>
      <c r="WI240" s="3"/>
      <c r="WJ240" s="3"/>
      <c r="WK240" s="3"/>
      <c r="WL240" s="3"/>
      <c r="WM240" s="3"/>
      <c r="WN240" s="3"/>
      <c r="WO240" s="3"/>
      <c r="WP240" s="3"/>
      <c r="WQ240" s="3"/>
      <c r="WR240" s="3"/>
      <c r="WS240" s="3"/>
      <c r="WT240" s="3"/>
      <c r="WU240" s="3"/>
      <c r="WV240" s="3"/>
      <c r="WW240" s="3"/>
      <c r="WX240" s="3"/>
      <c r="WY240" s="3"/>
      <c r="WZ240" s="3"/>
      <c r="XA240" s="3"/>
      <c r="XB240" s="3"/>
      <c r="XC240" s="3"/>
      <c r="XD240" s="3"/>
      <c r="XE240" s="3"/>
      <c r="XF240" s="3"/>
      <c r="XG240" s="3"/>
      <c r="XH240" s="3"/>
      <c r="XI240" s="3"/>
      <c r="XJ240" s="3"/>
      <c r="XK240" s="3"/>
      <c r="XL240" s="3"/>
      <c r="XM240" s="3"/>
      <c r="XN240" s="3"/>
      <c r="XO240" s="3"/>
      <c r="XP240" s="3"/>
      <c r="XQ240" s="3"/>
      <c r="XR240" s="3"/>
      <c r="XS240" s="3"/>
      <c r="XT240" s="3"/>
      <c r="XU240" s="3"/>
      <c r="XV240" s="3"/>
      <c r="XW240" s="3"/>
      <c r="XX240" s="3"/>
      <c r="XY240" s="3"/>
      <c r="XZ240" s="3"/>
      <c r="YA240" s="3"/>
      <c r="YB240" s="3"/>
      <c r="YC240" s="3"/>
      <c r="YD240" s="3"/>
      <c r="YE240" s="3"/>
      <c r="YF240" s="3"/>
      <c r="YG240" s="3"/>
      <c r="YH240" s="3"/>
      <c r="YI240" s="3"/>
      <c r="YJ240" s="3"/>
      <c r="YK240" s="3"/>
      <c r="YL240" s="3"/>
      <c r="YM240" s="3"/>
      <c r="YN240" s="3"/>
      <c r="YO240" s="3"/>
      <c r="YP240" s="3"/>
      <c r="YQ240" s="3"/>
      <c r="YR240" s="3"/>
      <c r="YS240" s="3"/>
      <c r="YT240" s="3"/>
      <c r="YU240" s="3"/>
      <c r="YV240" s="3"/>
      <c r="YW240" s="3"/>
      <c r="YX240" s="3"/>
      <c r="YY240" s="3"/>
      <c r="YZ240" s="3"/>
      <c r="ZA240" s="3"/>
      <c r="ZB240" s="3"/>
      <c r="ZC240" s="3"/>
    </row>
    <row r="241" spans="1:679" s="2" customFormat="1" x14ac:dyDescent="0.45">
      <c r="A241" s="3" t="s">
        <v>11</v>
      </c>
      <c r="B241" s="4">
        <v>37225</v>
      </c>
      <c r="C241" s="7" t="s">
        <v>25</v>
      </c>
      <c r="D241" s="6" t="s">
        <v>259</v>
      </c>
      <c r="E241" s="3"/>
      <c r="F241" s="3">
        <v>69</v>
      </c>
      <c r="L241" s="3"/>
      <c r="M241" s="3"/>
      <c r="N241" s="48"/>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3"/>
      <c r="CT241" s="3"/>
      <c r="CU241" s="3"/>
      <c r="CV241" s="3"/>
      <c r="CW241" s="3"/>
      <c r="CX241" s="3"/>
      <c r="CY241" s="3"/>
      <c r="CZ241" s="3"/>
      <c r="DA241" s="3"/>
      <c r="DB241" s="3"/>
      <c r="DC241" s="3"/>
      <c r="DD241" s="3"/>
      <c r="DE241" s="3"/>
      <c r="DF241" s="3"/>
      <c r="DG241" s="3"/>
      <c r="DH241" s="3"/>
      <c r="DI241" s="3"/>
      <c r="DJ241" s="3"/>
      <c r="DK241" s="3"/>
      <c r="DL241" s="3"/>
      <c r="DM241" s="3"/>
      <c r="DN241" s="3"/>
      <c r="DO241" s="3"/>
      <c r="DP241" s="3"/>
      <c r="DQ241" s="3"/>
      <c r="DR241" s="3"/>
      <c r="DS241" s="3"/>
      <c r="DT241" s="3"/>
      <c r="DU241" s="3"/>
      <c r="DV241" s="3"/>
      <c r="DW241" s="3"/>
      <c r="DX241" s="3"/>
      <c r="DY241" s="3"/>
      <c r="DZ241" s="3"/>
      <c r="EA241" s="3"/>
      <c r="EB241" s="3"/>
      <c r="EC241" s="3"/>
      <c r="ED241" s="3"/>
      <c r="EE241" s="3"/>
      <c r="EF241" s="3"/>
      <c r="EG241" s="3"/>
      <c r="EH241" s="3"/>
      <c r="EI241" s="3"/>
      <c r="EJ241" s="3"/>
      <c r="EK241" s="3"/>
      <c r="EL241" s="3"/>
      <c r="EM241" s="3"/>
      <c r="EN241" s="3"/>
      <c r="EO241" s="3"/>
      <c r="EP241" s="3"/>
      <c r="EQ241" s="3"/>
      <c r="ER241" s="3"/>
      <c r="ES241" s="3"/>
      <c r="ET241" s="3"/>
      <c r="EU241" s="3"/>
      <c r="EV241" s="3"/>
      <c r="EW241" s="3"/>
      <c r="EX241" s="3"/>
      <c r="EY241" s="3"/>
      <c r="EZ241" s="3"/>
      <c r="FA241" s="3"/>
      <c r="FB241" s="3"/>
      <c r="FC241" s="3"/>
      <c r="FD241" s="3"/>
      <c r="FE241" s="3"/>
      <c r="FF241" s="3"/>
      <c r="FG241" s="3"/>
      <c r="FH241" s="3"/>
      <c r="FI241" s="3"/>
      <c r="FJ241" s="3"/>
      <c r="FK241" s="3"/>
      <c r="FL241" s="3"/>
      <c r="FM241" s="3"/>
      <c r="FN241" s="3"/>
      <c r="FO241" s="3"/>
      <c r="FP241" s="3"/>
      <c r="FQ241" s="3"/>
      <c r="FR241" s="3"/>
      <c r="FS241" s="3"/>
      <c r="FT241" s="3"/>
      <c r="FU241" s="3"/>
      <c r="FV241" s="3"/>
      <c r="FW241" s="3"/>
      <c r="FX241" s="3"/>
      <c r="FY241" s="3"/>
      <c r="FZ241" s="3"/>
      <c r="GA241" s="3"/>
      <c r="GB241" s="3"/>
      <c r="GC241" s="3"/>
      <c r="GD241" s="3"/>
      <c r="GE241" s="3"/>
      <c r="GF241" s="3"/>
      <c r="GG241" s="3"/>
      <c r="GH241" s="3"/>
      <c r="GI241" s="3"/>
      <c r="GJ241" s="3"/>
      <c r="GK241" s="3"/>
      <c r="GL241" s="3"/>
      <c r="GM241" s="3"/>
      <c r="GN241" s="3"/>
      <c r="GO241" s="3"/>
      <c r="GP241" s="3"/>
      <c r="GQ241" s="3"/>
      <c r="GR241" s="3"/>
      <c r="GS241" s="3"/>
      <c r="GT241" s="3"/>
      <c r="GU241" s="3"/>
      <c r="GV241" s="3"/>
      <c r="GW241" s="3"/>
      <c r="GX241" s="3"/>
      <c r="GY241" s="3"/>
      <c r="GZ241" s="3"/>
      <c r="HA241" s="3"/>
      <c r="HB241" s="3"/>
      <c r="HC241" s="3"/>
      <c r="HD241" s="3"/>
      <c r="HE241" s="3"/>
      <c r="HF241" s="3"/>
      <c r="HG241" s="3"/>
      <c r="HH241" s="3"/>
      <c r="HI241" s="3"/>
      <c r="HJ241" s="3"/>
      <c r="HK241" s="3"/>
      <c r="HL241" s="3"/>
      <c r="HM241" s="3"/>
      <c r="HN241" s="3"/>
      <c r="HO241" s="3"/>
      <c r="HP241" s="3"/>
      <c r="HQ241" s="3"/>
      <c r="HR241" s="3"/>
      <c r="HS241" s="3"/>
      <c r="HT241" s="3"/>
      <c r="HU241" s="3"/>
      <c r="HV241" s="3"/>
      <c r="HW241" s="3"/>
      <c r="HX241" s="3"/>
      <c r="HY241" s="3"/>
      <c r="HZ241" s="3"/>
      <c r="IA241" s="3"/>
      <c r="IB241" s="3"/>
      <c r="IC241" s="3"/>
      <c r="ID241" s="3"/>
      <c r="IE241" s="3"/>
      <c r="IF241" s="3"/>
      <c r="IG241" s="3"/>
      <c r="IH241" s="3"/>
      <c r="II241" s="3"/>
      <c r="IJ241" s="3"/>
      <c r="IK241" s="3"/>
      <c r="IL241" s="3"/>
      <c r="IM241" s="3"/>
      <c r="IN241" s="3"/>
      <c r="IO241" s="3"/>
      <c r="IP241" s="3"/>
      <c r="IQ241" s="3"/>
      <c r="IR241" s="3"/>
      <c r="IS241" s="3"/>
      <c r="IT241" s="3"/>
      <c r="IU241" s="3"/>
      <c r="IV241" s="3"/>
      <c r="IW241" s="3"/>
      <c r="IX241" s="3"/>
      <c r="IY241" s="3"/>
      <c r="IZ241" s="3"/>
      <c r="JA241" s="3"/>
      <c r="JB241" s="3"/>
      <c r="JC241" s="3"/>
      <c r="JD241" s="3"/>
      <c r="JE241" s="3"/>
      <c r="JF241" s="3"/>
      <c r="JG241" s="3"/>
      <c r="JH241" s="3"/>
      <c r="JI241" s="3"/>
      <c r="JJ241" s="3"/>
      <c r="JK241" s="3"/>
      <c r="JL241" s="3"/>
      <c r="JM241" s="3"/>
      <c r="JN241" s="3"/>
      <c r="JO241" s="3"/>
      <c r="JP241" s="3"/>
      <c r="JQ241" s="3"/>
      <c r="JR241" s="3"/>
      <c r="JS241" s="3"/>
      <c r="JT241" s="3"/>
      <c r="JU241" s="3"/>
      <c r="JV241" s="3"/>
      <c r="JW241" s="3"/>
      <c r="JX241" s="3"/>
      <c r="JY241" s="3"/>
      <c r="JZ241" s="3"/>
      <c r="KA241" s="3"/>
      <c r="KB241" s="3"/>
      <c r="KC241" s="3"/>
      <c r="KD241" s="3"/>
      <c r="KE241" s="3"/>
      <c r="KF241" s="3"/>
      <c r="KG241" s="3"/>
      <c r="KH241" s="3"/>
      <c r="KI241" s="3"/>
      <c r="KJ241" s="3"/>
      <c r="KK241" s="3"/>
      <c r="KL241" s="3"/>
      <c r="KM241" s="3"/>
      <c r="KN241" s="3"/>
      <c r="KO241" s="3"/>
      <c r="KP241" s="3"/>
      <c r="KQ241" s="3"/>
      <c r="KR241" s="3"/>
      <c r="KS241" s="3"/>
      <c r="KT241" s="3"/>
      <c r="KU241" s="3"/>
      <c r="KV241" s="3"/>
      <c r="KW241" s="3"/>
      <c r="KX241" s="3"/>
      <c r="KY241" s="3"/>
      <c r="KZ241" s="3"/>
      <c r="LA241" s="3"/>
      <c r="LB241" s="3"/>
      <c r="LC241" s="3"/>
      <c r="LD241" s="3"/>
      <c r="LE241" s="3"/>
      <c r="LF241" s="3"/>
      <c r="LG241" s="3"/>
      <c r="LH241" s="3"/>
      <c r="LI241" s="3"/>
      <c r="LJ241" s="3"/>
      <c r="LK241" s="3"/>
      <c r="LL241" s="3"/>
      <c r="LM241" s="3"/>
      <c r="LN241" s="3"/>
      <c r="LO241" s="3"/>
      <c r="LP241" s="3"/>
      <c r="LQ241" s="3"/>
      <c r="LR241" s="3"/>
      <c r="LS241" s="3"/>
      <c r="LT241" s="3"/>
      <c r="LU241" s="3"/>
      <c r="LV241" s="3"/>
      <c r="LW241" s="3"/>
      <c r="LX241" s="3"/>
      <c r="LY241" s="3"/>
      <c r="LZ241" s="3"/>
      <c r="MA241" s="3"/>
      <c r="MB241" s="3"/>
      <c r="MC241" s="3"/>
      <c r="MD241" s="3"/>
      <c r="ME241" s="3"/>
      <c r="MF241" s="3"/>
      <c r="MG241" s="3"/>
      <c r="MH241" s="3"/>
      <c r="MI241" s="3"/>
      <c r="MJ241" s="3"/>
      <c r="MK241" s="3"/>
      <c r="ML241" s="3"/>
      <c r="MM241" s="3"/>
      <c r="MN241" s="3"/>
      <c r="MO241" s="3"/>
      <c r="MP241" s="3"/>
      <c r="MQ241" s="3"/>
      <c r="MR241" s="3"/>
      <c r="MS241" s="3"/>
      <c r="MT241" s="3"/>
      <c r="MU241" s="3"/>
      <c r="MV241" s="3"/>
      <c r="MW241" s="3"/>
      <c r="MX241" s="3"/>
      <c r="MY241" s="3"/>
      <c r="MZ241" s="3"/>
      <c r="NA241" s="3"/>
      <c r="NB241" s="3"/>
      <c r="NC241" s="3"/>
      <c r="ND241" s="3"/>
      <c r="NE241" s="3"/>
      <c r="NF241" s="3"/>
      <c r="NG241" s="3"/>
      <c r="NH241" s="3"/>
      <c r="NI241" s="3"/>
      <c r="NJ241" s="3"/>
      <c r="NK241" s="3"/>
      <c r="NL241" s="3"/>
      <c r="NM241" s="3"/>
      <c r="NN241" s="3"/>
      <c r="NO241" s="3"/>
      <c r="NP241" s="3"/>
      <c r="NQ241" s="3"/>
      <c r="NR241" s="3"/>
      <c r="NS241" s="3"/>
      <c r="NT241" s="3"/>
      <c r="NU241" s="3"/>
      <c r="NV241" s="3"/>
      <c r="NW241" s="3"/>
      <c r="NX241" s="3"/>
      <c r="NY241" s="3"/>
      <c r="NZ241" s="3"/>
      <c r="OA241" s="3"/>
      <c r="OB241" s="3"/>
      <c r="OC241" s="3"/>
      <c r="OD241" s="3"/>
      <c r="OE241" s="3"/>
      <c r="OF241" s="3"/>
      <c r="OG241" s="3"/>
      <c r="OH241" s="3"/>
      <c r="OI241" s="3"/>
      <c r="OJ241" s="3"/>
      <c r="OK241" s="3"/>
      <c r="OL241" s="3"/>
      <c r="OM241" s="3"/>
      <c r="ON241" s="3"/>
      <c r="OO241" s="3"/>
      <c r="OP241" s="3"/>
      <c r="OQ241" s="3"/>
      <c r="OR241" s="3"/>
      <c r="OS241" s="3"/>
      <c r="OT241" s="3"/>
      <c r="OU241" s="3"/>
      <c r="OV241" s="3"/>
      <c r="OW241" s="3"/>
      <c r="OX241" s="3"/>
      <c r="OY241" s="3"/>
      <c r="OZ241" s="3"/>
      <c r="PA241" s="3"/>
      <c r="PB241" s="3"/>
      <c r="PC241" s="3"/>
      <c r="PD241" s="3"/>
      <c r="PE241" s="3"/>
      <c r="PF241" s="3"/>
      <c r="PG241" s="3"/>
      <c r="PH241" s="3"/>
      <c r="PI241" s="3"/>
      <c r="PJ241" s="3"/>
      <c r="PK241" s="3"/>
      <c r="PL241" s="3"/>
      <c r="PM241" s="3"/>
      <c r="PN241" s="3"/>
      <c r="PO241" s="3"/>
      <c r="PP241" s="3"/>
      <c r="PQ241" s="3"/>
      <c r="PR241" s="3"/>
      <c r="PS241" s="3"/>
      <c r="PT241" s="3"/>
      <c r="PU241" s="3"/>
      <c r="PV241" s="3"/>
      <c r="PW241" s="3"/>
      <c r="PX241" s="3"/>
      <c r="PY241" s="3"/>
      <c r="PZ241" s="3"/>
      <c r="QA241" s="3"/>
      <c r="QB241" s="3"/>
      <c r="QC241" s="3"/>
      <c r="QD241" s="3"/>
      <c r="QE241" s="3"/>
      <c r="QF241" s="3"/>
      <c r="QG241" s="3"/>
      <c r="QH241" s="3"/>
      <c r="QI241" s="3"/>
      <c r="QJ241" s="3"/>
      <c r="QK241" s="3"/>
      <c r="QL241" s="3"/>
      <c r="QM241" s="3"/>
      <c r="QN241" s="3"/>
      <c r="QO241" s="3"/>
      <c r="QP241" s="3"/>
      <c r="QQ241" s="3"/>
      <c r="QR241" s="3"/>
      <c r="QS241" s="3"/>
      <c r="QT241" s="3"/>
      <c r="QU241" s="3"/>
      <c r="QV241" s="3"/>
      <c r="QW241" s="3"/>
      <c r="QX241" s="3"/>
      <c r="QY241" s="3"/>
      <c r="QZ241" s="3"/>
      <c r="RA241" s="3"/>
      <c r="RB241" s="3"/>
      <c r="RC241" s="3"/>
      <c r="RD241" s="3"/>
      <c r="RE241" s="3"/>
      <c r="RF241" s="3"/>
      <c r="RG241" s="3"/>
      <c r="RH241" s="3"/>
      <c r="RI241" s="3"/>
      <c r="RJ241" s="3"/>
      <c r="RK241" s="3"/>
      <c r="RL241" s="3"/>
      <c r="RM241" s="3"/>
      <c r="RN241" s="3"/>
      <c r="RO241" s="3"/>
      <c r="RP241" s="3"/>
      <c r="RQ241" s="3"/>
      <c r="RR241" s="3"/>
      <c r="RS241" s="3"/>
      <c r="RT241" s="3"/>
      <c r="RU241" s="3"/>
      <c r="RV241" s="3"/>
      <c r="RW241" s="3"/>
      <c r="RX241" s="3"/>
      <c r="RY241" s="3"/>
      <c r="RZ241" s="3"/>
      <c r="SA241" s="3"/>
      <c r="SB241" s="3"/>
      <c r="SC241" s="3"/>
      <c r="SD241" s="3"/>
      <c r="SE241" s="3"/>
      <c r="SF241" s="3"/>
      <c r="SG241" s="3"/>
      <c r="SH241" s="3"/>
      <c r="SI241" s="3"/>
      <c r="SJ241" s="3"/>
      <c r="SK241" s="3"/>
      <c r="SL241" s="3"/>
      <c r="SM241" s="3"/>
      <c r="SN241" s="3"/>
      <c r="SO241" s="3"/>
      <c r="SP241" s="3"/>
      <c r="SQ241" s="3"/>
      <c r="SR241" s="3"/>
      <c r="SS241" s="3"/>
      <c r="ST241" s="3"/>
      <c r="SU241" s="3"/>
      <c r="SV241" s="3"/>
      <c r="SW241" s="3"/>
      <c r="SX241" s="3"/>
      <c r="SY241" s="3"/>
      <c r="SZ241" s="3"/>
      <c r="TA241" s="3"/>
      <c r="TB241" s="3"/>
      <c r="TC241" s="3"/>
      <c r="TD241" s="3"/>
      <c r="TE241" s="3"/>
      <c r="TF241" s="3"/>
      <c r="TG241" s="3"/>
      <c r="TH241" s="3"/>
      <c r="TI241" s="3"/>
      <c r="TJ241" s="3"/>
      <c r="TK241" s="3"/>
      <c r="TL241" s="3"/>
      <c r="TM241" s="3"/>
      <c r="TN241" s="3"/>
      <c r="TO241" s="3"/>
      <c r="TP241" s="3"/>
      <c r="TQ241" s="3"/>
      <c r="TR241" s="3"/>
      <c r="TS241" s="3"/>
      <c r="TT241" s="3"/>
      <c r="TU241" s="3"/>
      <c r="TV241" s="3"/>
      <c r="TW241" s="3"/>
      <c r="TX241" s="3"/>
      <c r="TY241" s="3"/>
      <c r="TZ241" s="3"/>
      <c r="UA241" s="3"/>
      <c r="UB241" s="3"/>
      <c r="UC241" s="3"/>
      <c r="UD241" s="3"/>
      <c r="UE241" s="3"/>
      <c r="UF241" s="3"/>
      <c r="UG241" s="3"/>
      <c r="UH241" s="3"/>
      <c r="UI241" s="3"/>
      <c r="UJ241" s="3"/>
      <c r="UK241" s="3"/>
      <c r="UL241" s="3"/>
      <c r="UM241" s="3"/>
      <c r="UN241" s="3"/>
      <c r="UO241" s="3"/>
      <c r="UP241" s="3"/>
      <c r="UQ241" s="3"/>
      <c r="UR241" s="3"/>
      <c r="US241" s="3"/>
      <c r="UT241" s="3"/>
      <c r="UU241" s="3"/>
      <c r="UV241" s="3"/>
      <c r="UW241" s="3"/>
      <c r="UX241" s="3"/>
      <c r="UY241" s="3"/>
      <c r="UZ241" s="3"/>
      <c r="VA241" s="3"/>
      <c r="VB241" s="3"/>
      <c r="VC241" s="3"/>
      <c r="VD241" s="3"/>
      <c r="VE241" s="3"/>
      <c r="VF241" s="3"/>
      <c r="VG241" s="3"/>
      <c r="VH241" s="3"/>
      <c r="VI241" s="3"/>
      <c r="VJ241" s="3"/>
      <c r="VK241" s="3"/>
      <c r="VL241" s="3"/>
      <c r="VM241" s="3"/>
      <c r="VN241" s="3"/>
      <c r="VO241" s="3"/>
      <c r="VP241" s="3"/>
      <c r="VQ241" s="3"/>
      <c r="VR241" s="3"/>
      <c r="VS241" s="3"/>
      <c r="VT241" s="3"/>
      <c r="VU241" s="3"/>
      <c r="VV241" s="3"/>
      <c r="VW241" s="3"/>
      <c r="VX241" s="3"/>
      <c r="VY241" s="3"/>
      <c r="VZ241" s="3"/>
      <c r="WA241" s="3"/>
      <c r="WB241" s="3"/>
      <c r="WC241" s="3"/>
      <c r="WD241" s="3"/>
      <c r="WE241" s="3"/>
      <c r="WF241" s="3"/>
      <c r="WG241" s="3"/>
      <c r="WH241" s="3"/>
      <c r="WI241" s="3"/>
      <c r="WJ241" s="3"/>
      <c r="WK241" s="3"/>
      <c r="WL241" s="3"/>
      <c r="WM241" s="3"/>
      <c r="WN241" s="3"/>
      <c r="WO241" s="3"/>
      <c r="WP241" s="3"/>
      <c r="WQ241" s="3"/>
      <c r="WR241" s="3"/>
      <c r="WS241" s="3"/>
      <c r="WT241" s="3"/>
      <c r="WU241" s="3"/>
      <c r="WV241" s="3"/>
      <c r="WW241" s="3"/>
      <c r="WX241" s="3"/>
      <c r="WY241" s="3"/>
      <c r="WZ241" s="3"/>
      <c r="XA241" s="3"/>
      <c r="XB241" s="3"/>
      <c r="XC241" s="3"/>
      <c r="XD241" s="3"/>
      <c r="XE241" s="3"/>
      <c r="XF241" s="3"/>
      <c r="XG241" s="3"/>
      <c r="XH241" s="3"/>
      <c r="XI241" s="3"/>
      <c r="XJ241" s="3"/>
      <c r="XK241" s="3"/>
      <c r="XL241" s="3"/>
      <c r="XM241" s="3"/>
      <c r="XN241" s="3"/>
      <c r="XO241" s="3"/>
      <c r="XP241" s="3"/>
      <c r="XQ241" s="3"/>
      <c r="XR241" s="3"/>
      <c r="XS241" s="3"/>
      <c r="XT241" s="3"/>
      <c r="XU241" s="3"/>
      <c r="XV241" s="3"/>
      <c r="XW241" s="3"/>
      <c r="XX241" s="3"/>
      <c r="XY241" s="3"/>
      <c r="XZ241" s="3"/>
      <c r="YA241" s="3"/>
      <c r="YB241" s="3"/>
      <c r="YC241" s="3"/>
      <c r="YD241" s="3"/>
      <c r="YE241" s="3"/>
      <c r="YF241" s="3"/>
      <c r="YG241" s="3"/>
      <c r="YH241" s="3"/>
      <c r="YI241" s="3"/>
      <c r="YJ241" s="3"/>
      <c r="YK241" s="3"/>
      <c r="YL241" s="3"/>
      <c r="YM241" s="3"/>
      <c r="YN241" s="3"/>
      <c r="YO241" s="3"/>
      <c r="YP241" s="3"/>
      <c r="YQ241" s="3"/>
      <c r="YR241" s="3"/>
      <c r="YS241" s="3"/>
      <c r="YT241" s="3"/>
      <c r="YU241" s="3"/>
      <c r="YV241" s="3"/>
      <c r="YW241" s="3"/>
      <c r="YX241" s="3"/>
      <c r="YY241" s="3"/>
      <c r="YZ241" s="3"/>
      <c r="ZA241" s="3"/>
      <c r="ZB241" s="3"/>
      <c r="ZC241" s="3"/>
    </row>
    <row r="242" spans="1:679" s="2" customFormat="1" x14ac:dyDescent="0.45">
      <c r="A242" s="3" t="s">
        <v>11</v>
      </c>
      <c r="B242" s="4">
        <v>37312</v>
      </c>
      <c r="C242" s="7" t="s">
        <v>21</v>
      </c>
      <c r="D242" s="6" t="s">
        <v>260</v>
      </c>
      <c r="E242" s="3"/>
      <c r="F242" s="3">
        <v>21</v>
      </c>
      <c r="L242" s="3"/>
      <c r="M242" s="3"/>
      <c r="N242" s="48"/>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c r="CP242" s="3"/>
      <c r="CQ242" s="3"/>
      <c r="CR242" s="3"/>
      <c r="CS242" s="3"/>
      <c r="CT242" s="3"/>
      <c r="CU242" s="3"/>
      <c r="CV242" s="3"/>
      <c r="CW242" s="3"/>
      <c r="CX242" s="3"/>
      <c r="CY242" s="3"/>
      <c r="CZ242" s="3"/>
      <c r="DA242" s="3"/>
      <c r="DB242" s="3"/>
      <c r="DC242" s="3"/>
      <c r="DD242" s="3"/>
      <c r="DE242" s="3"/>
      <c r="DF242" s="3"/>
      <c r="DG242" s="3"/>
      <c r="DH242" s="3"/>
      <c r="DI242" s="3"/>
      <c r="DJ242" s="3"/>
      <c r="DK242" s="3"/>
      <c r="DL242" s="3"/>
      <c r="DM242" s="3"/>
      <c r="DN242" s="3"/>
      <c r="DO242" s="3"/>
      <c r="DP242" s="3"/>
      <c r="DQ242" s="3"/>
      <c r="DR242" s="3"/>
      <c r="DS242" s="3"/>
      <c r="DT242" s="3"/>
      <c r="DU242" s="3"/>
      <c r="DV242" s="3"/>
      <c r="DW242" s="3"/>
      <c r="DX242" s="3"/>
      <c r="DY242" s="3"/>
      <c r="DZ242" s="3"/>
      <c r="EA242" s="3"/>
      <c r="EB242" s="3"/>
      <c r="EC242" s="3"/>
      <c r="ED242" s="3"/>
      <c r="EE242" s="3"/>
      <c r="EF242" s="3"/>
      <c r="EG242" s="3"/>
      <c r="EH242" s="3"/>
      <c r="EI242" s="3"/>
      <c r="EJ242" s="3"/>
      <c r="EK242" s="3"/>
      <c r="EL242" s="3"/>
      <c r="EM242" s="3"/>
      <c r="EN242" s="3"/>
      <c r="EO242" s="3"/>
      <c r="EP242" s="3"/>
      <c r="EQ242" s="3"/>
      <c r="ER242" s="3"/>
      <c r="ES242" s="3"/>
      <c r="ET242" s="3"/>
      <c r="EU242" s="3"/>
      <c r="EV242" s="3"/>
      <c r="EW242" s="3"/>
      <c r="EX242" s="3"/>
      <c r="EY242" s="3"/>
      <c r="EZ242" s="3"/>
      <c r="FA242" s="3"/>
      <c r="FB242" s="3"/>
      <c r="FC242" s="3"/>
      <c r="FD242" s="3"/>
      <c r="FE242" s="3"/>
      <c r="FF242" s="3"/>
      <c r="FG242" s="3"/>
      <c r="FH242" s="3"/>
      <c r="FI242" s="3"/>
      <c r="FJ242" s="3"/>
      <c r="FK242" s="3"/>
      <c r="FL242" s="3"/>
      <c r="FM242" s="3"/>
      <c r="FN242" s="3"/>
      <c r="FO242" s="3"/>
      <c r="FP242" s="3"/>
      <c r="FQ242" s="3"/>
      <c r="FR242" s="3"/>
      <c r="FS242" s="3"/>
      <c r="FT242" s="3"/>
      <c r="FU242" s="3"/>
      <c r="FV242" s="3"/>
      <c r="FW242" s="3"/>
      <c r="FX242" s="3"/>
      <c r="FY242" s="3"/>
      <c r="FZ242" s="3"/>
      <c r="GA242" s="3"/>
      <c r="GB242" s="3"/>
      <c r="GC242" s="3"/>
      <c r="GD242" s="3"/>
      <c r="GE242" s="3"/>
      <c r="GF242" s="3"/>
      <c r="GG242" s="3"/>
      <c r="GH242" s="3"/>
      <c r="GI242" s="3"/>
      <c r="GJ242" s="3"/>
      <c r="GK242" s="3"/>
      <c r="GL242" s="3"/>
      <c r="GM242" s="3"/>
      <c r="GN242" s="3"/>
      <c r="GO242" s="3"/>
      <c r="GP242" s="3"/>
      <c r="GQ242" s="3"/>
      <c r="GR242" s="3"/>
      <c r="GS242" s="3"/>
      <c r="GT242" s="3"/>
      <c r="GU242" s="3"/>
      <c r="GV242" s="3"/>
      <c r="GW242" s="3"/>
      <c r="GX242" s="3"/>
      <c r="GY242" s="3"/>
      <c r="GZ242" s="3"/>
      <c r="HA242" s="3"/>
      <c r="HB242" s="3"/>
      <c r="HC242" s="3"/>
      <c r="HD242" s="3"/>
      <c r="HE242" s="3"/>
      <c r="HF242" s="3"/>
      <c r="HG242" s="3"/>
      <c r="HH242" s="3"/>
      <c r="HI242" s="3"/>
      <c r="HJ242" s="3"/>
      <c r="HK242" s="3"/>
      <c r="HL242" s="3"/>
      <c r="HM242" s="3"/>
      <c r="HN242" s="3"/>
      <c r="HO242" s="3"/>
      <c r="HP242" s="3"/>
      <c r="HQ242" s="3"/>
      <c r="HR242" s="3"/>
      <c r="HS242" s="3"/>
      <c r="HT242" s="3"/>
      <c r="HU242" s="3"/>
      <c r="HV242" s="3"/>
      <c r="HW242" s="3"/>
      <c r="HX242" s="3"/>
      <c r="HY242" s="3"/>
      <c r="HZ242" s="3"/>
      <c r="IA242" s="3"/>
      <c r="IB242" s="3"/>
      <c r="IC242" s="3"/>
      <c r="ID242" s="3"/>
      <c r="IE242" s="3"/>
      <c r="IF242" s="3"/>
      <c r="IG242" s="3"/>
      <c r="IH242" s="3"/>
      <c r="II242" s="3"/>
      <c r="IJ242" s="3"/>
      <c r="IK242" s="3"/>
      <c r="IL242" s="3"/>
      <c r="IM242" s="3"/>
      <c r="IN242" s="3"/>
      <c r="IO242" s="3"/>
      <c r="IP242" s="3"/>
      <c r="IQ242" s="3"/>
      <c r="IR242" s="3"/>
      <c r="IS242" s="3"/>
      <c r="IT242" s="3"/>
      <c r="IU242" s="3"/>
      <c r="IV242" s="3"/>
      <c r="IW242" s="3"/>
      <c r="IX242" s="3"/>
      <c r="IY242" s="3"/>
      <c r="IZ242" s="3"/>
      <c r="JA242" s="3"/>
      <c r="JB242" s="3"/>
      <c r="JC242" s="3"/>
      <c r="JD242" s="3"/>
      <c r="JE242" s="3"/>
      <c r="JF242" s="3"/>
      <c r="JG242" s="3"/>
      <c r="JH242" s="3"/>
      <c r="JI242" s="3"/>
      <c r="JJ242" s="3"/>
      <c r="JK242" s="3"/>
      <c r="JL242" s="3"/>
      <c r="JM242" s="3"/>
      <c r="JN242" s="3"/>
      <c r="JO242" s="3"/>
      <c r="JP242" s="3"/>
      <c r="JQ242" s="3"/>
      <c r="JR242" s="3"/>
      <c r="JS242" s="3"/>
      <c r="JT242" s="3"/>
      <c r="JU242" s="3"/>
      <c r="JV242" s="3"/>
      <c r="JW242" s="3"/>
      <c r="JX242" s="3"/>
      <c r="JY242" s="3"/>
      <c r="JZ242" s="3"/>
      <c r="KA242" s="3"/>
      <c r="KB242" s="3"/>
      <c r="KC242" s="3"/>
      <c r="KD242" s="3"/>
      <c r="KE242" s="3"/>
      <c r="KF242" s="3"/>
      <c r="KG242" s="3"/>
      <c r="KH242" s="3"/>
      <c r="KI242" s="3"/>
      <c r="KJ242" s="3"/>
      <c r="KK242" s="3"/>
      <c r="KL242" s="3"/>
      <c r="KM242" s="3"/>
      <c r="KN242" s="3"/>
      <c r="KO242" s="3"/>
      <c r="KP242" s="3"/>
      <c r="KQ242" s="3"/>
      <c r="KR242" s="3"/>
      <c r="KS242" s="3"/>
      <c r="KT242" s="3"/>
      <c r="KU242" s="3"/>
      <c r="KV242" s="3"/>
      <c r="KW242" s="3"/>
      <c r="KX242" s="3"/>
      <c r="KY242" s="3"/>
      <c r="KZ242" s="3"/>
      <c r="LA242" s="3"/>
      <c r="LB242" s="3"/>
      <c r="LC242" s="3"/>
      <c r="LD242" s="3"/>
      <c r="LE242" s="3"/>
      <c r="LF242" s="3"/>
      <c r="LG242" s="3"/>
      <c r="LH242" s="3"/>
      <c r="LI242" s="3"/>
      <c r="LJ242" s="3"/>
      <c r="LK242" s="3"/>
      <c r="LL242" s="3"/>
      <c r="LM242" s="3"/>
      <c r="LN242" s="3"/>
      <c r="LO242" s="3"/>
      <c r="LP242" s="3"/>
      <c r="LQ242" s="3"/>
      <c r="LR242" s="3"/>
      <c r="LS242" s="3"/>
      <c r="LT242" s="3"/>
      <c r="LU242" s="3"/>
      <c r="LV242" s="3"/>
      <c r="LW242" s="3"/>
      <c r="LX242" s="3"/>
      <c r="LY242" s="3"/>
      <c r="LZ242" s="3"/>
      <c r="MA242" s="3"/>
      <c r="MB242" s="3"/>
      <c r="MC242" s="3"/>
      <c r="MD242" s="3"/>
      <c r="ME242" s="3"/>
      <c r="MF242" s="3"/>
      <c r="MG242" s="3"/>
      <c r="MH242" s="3"/>
      <c r="MI242" s="3"/>
      <c r="MJ242" s="3"/>
      <c r="MK242" s="3"/>
      <c r="ML242" s="3"/>
      <c r="MM242" s="3"/>
      <c r="MN242" s="3"/>
      <c r="MO242" s="3"/>
      <c r="MP242" s="3"/>
      <c r="MQ242" s="3"/>
      <c r="MR242" s="3"/>
      <c r="MS242" s="3"/>
      <c r="MT242" s="3"/>
      <c r="MU242" s="3"/>
      <c r="MV242" s="3"/>
      <c r="MW242" s="3"/>
      <c r="MX242" s="3"/>
      <c r="MY242" s="3"/>
      <c r="MZ242" s="3"/>
      <c r="NA242" s="3"/>
      <c r="NB242" s="3"/>
      <c r="NC242" s="3"/>
      <c r="ND242" s="3"/>
      <c r="NE242" s="3"/>
      <c r="NF242" s="3"/>
      <c r="NG242" s="3"/>
      <c r="NH242" s="3"/>
      <c r="NI242" s="3"/>
      <c r="NJ242" s="3"/>
      <c r="NK242" s="3"/>
      <c r="NL242" s="3"/>
      <c r="NM242" s="3"/>
      <c r="NN242" s="3"/>
      <c r="NO242" s="3"/>
      <c r="NP242" s="3"/>
      <c r="NQ242" s="3"/>
      <c r="NR242" s="3"/>
      <c r="NS242" s="3"/>
      <c r="NT242" s="3"/>
      <c r="NU242" s="3"/>
      <c r="NV242" s="3"/>
      <c r="NW242" s="3"/>
      <c r="NX242" s="3"/>
      <c r="NY242" s="3"/>
      <c r="NZ242" s="3"/>
      <c r="OA242" s="3"/>
      <c r="OB242" s="3"/>
      <c r="OC242" s="3"/>
      <c r="OD242" s="3"/>
      <c r="OE242" s="3"/>
      <c r="OF242" s="3"/>
      <c r="OG242" s="3"/>
      <c r="OH242" s="3"/>
      <c r="OI242" s="3"/>
      <c r="OJ242" s="3"/>
      <c r="OK242" s="3"/>
      <c r="OL242" s="3"/>
      <c r="OM242" s="3"/>
      <c r="ON242" s="3"/>
      <c r="OO242" s="3"/>
      <c r="OP242" s="3"/>
      <c r="OQ242" s="3"/>
      <c r="OR242" s="3"/>
      <c r="OS242" s="3"/>
      <c r="OT242" s="3"/>
      <c r="OU242" s="3"/>
      <c r="OV242" s="3"/>
      <c r="OW242" s="3"/>
      <c r="OX242" s="3"/>
      <c r="OY242" s="3"/>
      <c r="OZ242" s="3"/>
      <c r="PA242" s="3"/>
      <c r="PB242" s="3"/>
      <c r="PC242" s="3"/>
      <c r="PD242" s="3"/>
      <c r="PE242" s="3"/>
      <c r="PF242" s="3"/>
      <c r="PG242" s="3"/>
      <c r="PH242" s="3"/>
      <c r="PI242" s="3"/>
      <c r="PJ242" s="3"/>
      <c r="PK242" s="3"/>
      <c r="PL242" s="3"/>
      <c r="PM242" s="3"/>
      <c r="PN242" s="3"/>
      <c r="PO242" s="3"/>
      <c r="PP242" s="3"/>
      <c r="PQ242" s="3"/>
      <c r="PR242" s="3"/>
      <c r="PS242" s="3"/>
      <c r="PT242" s="3"/>
      <c r="PU242" s="3"/>
      <c r="PV242" s="3"/>
      <c r="PW242" s="3"/>
      <c r="PX242" s="3"/>
      <c r="PY242" s="3"/>
      <c r="PZ242" s="3"/>
      <c r="QA242" s="3"/>
      <c r="QB242" s="3"/>
      <c r="QC242" s="3"/>
      <c r="QD242" s="3"/>
      <c r="QE242" s="3"/>
      <c r="QF242" s="3"/>
      <c r="QG242" s="3"/>
      <c r="QH242" s="3"/>
      <c r="QI242" s="3"/>
      <c r="QJ242" s="3"/>
      <c r="QK242" s="3"/>
      <c r="QL242" s="3"/>
      <c r="QM242" s="3"/>
      <c r="QN242" s="3"/>
      <c r="QO242" s="3"/>
      <c r="QP242" s="3"/>
      <c r="QQ242" s="3"/>
      <c r="QR242" s="3"/>
      <c r="QS242" s="3"/>
      <c r="QT242" s="3"/>
      <c r="QU242" s="3"/>
      <c r="QV242" s="3"/>
      <c r="QW242" s="3"/>
      <c r="QX242" s="3"/>
      <c r="QY242" s="3"/>
      <c r="QZ242" s="3"/>
      <c r="RA242" s="3"/>
      <c r="RB242" s="3"/>
      <c r="RC242" s="3"/>
      <c r="RD242" s="3"/>
      <c r="RE242" s="3"/>
      <c r="RF242" s="3"/>
      <c r="RG242" s="3"/>
      <c r="RH242" s="3"/>
      <c r="RI242" s="3"/>
      <c r="RJ242" s="3"/>
      <c r="RK242" s="3"/>
      <c r="RL242" s="3"/>
      <c r="RM242" s="3"/>
      <c r="RN242" s="3"/>
      <c r="RO242" s="3"/>
      <c r="RP242" s="3"/>
      <c r="RQ242" s="3"/>
      <c r="RR242" s="3"/>
      <c r="RS242" s="3"/>
      <c r="RT242" s="3"/>
      <c r="RU242" s="3"/>
      <c r="RV242" s="3"/>
      <c r="RW242" s="3"/>
      <c r="RX242" s="3"/>
      <c r="RY242" s="3"/>
      <c r="RZ242" s="3"/>
      <c r="SA242" s="3"/>
      <c r="SB242" s="3"/>
      <c r="SC242" s="3"/>
      <c r="SD242" s="3"/>
      <c r="SE242" s="3"/>
      <c r="SF242" s="3"/>
      <c r="SG242" s="3"/>
      <c r="SH242" s="3"/>
      <c r="SI242" s="3"/>
      <c r="SJ242" s="3"/>
      <c r="SK242" s="3"/>
      <c r="SL242" s="3"/>
      <c r="SM242" s="3"/>
      <c r="SN242" s="3"/>
      <c r="SO242" s="3"/>
      <c r="SP242" s="3"/>
      <c r="SQ242" s="3"/>
      <c r="SR242" s="3"/>
      <c r="SS242" s="3"/>
      <c r="ST242" s="3"/>
      <c r="SU242" s="3"/>
      <c r="SV242" s="3"/>
      <c r="SW242" s="3"/>
      <c r="SX242" s="3"/>
      <c r="SY242" s="3"/>
      <c r="SZ242" s="3"/>
      <c r="TA242" s="3"/>
      <c r="TB242" s="3"/>
      <c r="TC242" s="3"/>
      <c r="TD242" s="3"/>
      <c r="TE242" s="3"/>
      <c r="TF242" s="3"/>
      <c r="TG242" s="3"/>
      <c r="TH242" s="3"/>
      <c r="TI242" s="3"/>
      <c r="TJ242" s="3"/>
      <c r="TK242" s="3"/>
      <c r="TL242" s="3"/>
      <c r="TM242" s="3"/>
      <c r="TN242" s="3"/>
      <c r="TO242" s="3"/>
      <c r="TP242" s="3"/>
      <c r="TQ242" s="3"/>
      <c r="TR242" s="3"/>
      <c r="TS242" s="3"/>
      <c r="TT242" s="3"/>
      <c r="TU242" s="3"/>
      <c r="TV242" s="3"/>
      <c r="TW242" s="3"/>
      <c r="TX242" s="3"/>
      <c r="TY242" s="3"/>
      <c r="TZ242" s="3"/>
      <c r="UA242" s="3"/>
      <c r="UB242" s="3"/>
      <c r="UC242" s="3"/>
      <c r="UD242" s="3"/>
      <c r="UE242" s="3"/>
      <c r="UF242" s="3"/>
      <c r="UG242" s="3"/>
      <c r="UH242" s="3"/>
      <c r="UI242" s="3"/>
      <c r="UJ242" s="3"/>
      <c r="UK242" s="3"/>
      <c r="UL242" s="3"/>
      <c r="UM242" s="3"/>
      <c r="UN242" s="3"/>
      <c r="UO242" s="3"/>
      <c r="UP242" s="3"/>
      <c r="UQ242" s="3"/>
      <c r="UR242" s="3"/>
      <c r="US242" s="3"/>
      <c r="UT242" s="3"/>
      <c r="UU242" s="3"/>
      <c r="UV242" s="3"/>
      <c r="UW242" s="3"/>
      <c r="UX242" s="3"/>
      <c r="UY242" s="3"/>
      <c r="UZ242" s="3"/>
      <c r="VA242" s="3"/>
      <c r="VB242" s="3"/>
      <c r="VC242" s="3"/>
      <c r="VD242" s="3"/>
      <c r="VE242" s="3"/>
      <c r="VF242" s="3"/>
      <c r="VG242" s="3"/>
      <c r="VH242" s="3"/>
      <c r="VI242" s="3"/>
      <c r="VJ242" s="3"/>
      <c r="VK242" s="3"/>
      <c r="VL242" s="3"/>
      <c r="VM242" s="3"/>
      <c r="VN242" s="3"/>
      <c r="VO242" s="3"/>
      <c r="VP242" s="3"/>
      <c r="VQ242" s="3"/>
      <c r="VR242" s="3"/>
      <c r="VS242" s="3"/>
      <c r="VT242" s="3"/>
      <c r="VU242" s="3"/>
      <c r="VV242" s="3"/>
      <c r="VW242" s="3"/>
      <c r="VX242" s="3"/>
      <c r="VY242" s="3"/>
      <c r="VZ242" s="3"/>
      <c r="WA242" s="3"/>
      <c r="WB242" s="3"/>
      <c r="WC242" s="3"/>
      <c r="WD242" s="3"/>
      <c r="WE242" s="3"/>
      <c r="WF242" s="3"/>
      <c r="WG242" s="3"/>
      <c r="WH242" s="3"/>
      <c r="WI242" s="3"/>
      <c r="WJ242" s="3"/>
      <c r="WK242" s="3"/>
      <c r="WL242" s="3"/>
      <c r="WM242" s="3"/>
      <c r="WN242" s="3"/>
      <c r="WO242" s="3"/>
      <c r="WP242" s="3"/>
      <c r="WQ242" s="3"/>
      <c r="WR242" s="3"/>
      <c r="WS242" s="3"/>
      <c r="WT242" s="3"/>
      <c r="WU242" s="3"/>
      <c r="WV242" s="3"/>
      <c r="WW242" s="3"/>
      <c r="WX242" s="3"/>
      <c r="WY242" s="3"/>
      <c r="WZ242" s="3"/>
      <c r="XA242" s="3"/>
      <c r="XB242" s="3"/>
      <c r="XC242" s="3"/>
      <c r="XD242" s="3"/>
      <c r="XE242" s="3"/>
      <c r="XF242" s="3"/>
      <c r="XG242" s="3"/>
      <c r="XH242" s="3"/>
      <c r="XI242" s="3"/>
      <c r="XJ242" s="3"/>
      <c r="XK242" s="3"/>
      <c r="XL242" s="3"/>
      <c r="XM242" s="3"/>
      <c r="XN242" s="3"/>
      <c r="XO242" s="3"/>
      <c r="XP242" s="3"/>
      <c r="XQ242" s="3"/>
      <c r="XR242" s="3"/>
      <c r="XS242" s="3"/>
      <c r="XT242" s="3"/>
      <c r="XU242" s="3"/>
      <c r="XV242" s="3"/>
      <c r="XW242" s="3"/>
      <c r="XX242" s="3"/>
      <c r="XY242" s="3"/>
      <c r="XZ242" s="3"/>
      <c r="YA242" s="3"/>
      <c r="YB242" s="3"/>
      <c r="YC242" s="3"/>
      <c r="YD242" s="3"/>
      <c r="YE242" s="3"/>
      <c r="YF242" s="3"/>
      <c r="YG242" s="3"/>
      <c r="YH242" s="3"/>
      <c r="YI242" s="3"/>
      <c r="YJ242" s="3"/>
      <c r="YK242" s="3"/>
      <c r="YL242" s="3"/>
      <c r="YM242" s="3"/>
      <c r="YN242" s="3"/>
      <c r="YO242" s="3"/>
      <c r="YP242" s="3"/>
      <c r="YQ242" s="3"/>
      <c r="YR242" s="3"/>
      <c r="YS242" s="3"/>
      <c r="YT242" s="3"/>
      <c r="YU242" s="3"/>
      <c r="YV242" s="3"/>
      <c r="YW242" s="3"/>
      <c r="YX242" s="3"/>
      <c r="YY242" s="3"/>
      <c r="YZ242" s="3"/>
      <c r="ZA242" s="3"/>
      <c r="ZB242" s="3"/>
      <c r="ZC242" s="3"/>
    </row>
    <row r="243" spans="1:679" s="2" customFormat="1" x14ac:dyDescent="0.45">
      <c r="A243" s="3" t="s">
        <v>11</v>
      </c>
      <c r="B243" s="4">
        <v>37327</v>
      </c>
      <c r="C243" s="7" t="s">
        <v>25</v>
      </c>
      <c r="D243" s="6" t="s">
        <v>261</v>
      </c>
      <c r="E243" s="3"/>
      <c r="F243" s="3">
        <v>14</v>
      </c>
      <c r="L243" s="3"/>
      <c r="M243" s="3"/>
      <c r="N243" s="48"/>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c r="CP243" s="3"/>
      <c r="CQ243" s="3"/>
      <c r="CR243" s="3"/>
      <c r="CS243" s="3"/>
      <c r="CT243" s="3"/>
      <c r="CU243" s="3"/>
      <c r="CV243" s="3"/>
      <c r="CW243" s="3"/>
      <c r="CX243" s="3"/>
      <c r="CY243" s="3"/>
      <c r="CZ243" s="3"/>
      <c r="DA243" s="3"/>
      <c r="DB243" s="3"/>
      <c r="DC243" s="3"/>
      <c r="DD243" s="3"/>
      <c r="DE243" s="3"/>
      <c r="DF243" s="3"/>
      <c r="DG243" s="3"/>
      <c r="DH243" s="3"/>
      <c r="DI243" s="3"/>
      <c r="DJ243" s="3"/>
      <c r="DK243" s="3"/>
      <c r="DL243" s="3"/>
      <c r="DM243" s="3"/>
      <c r="DN243" s="3"/>
      <c r="DO243" s="3"/>
      <c r="DP243" s="3"/>
      <c r="DQ243" s="3"/>
      <c r="DR243" s="3"/>
      <c r="DS243" s="3"/>
      <c r="DT243" s="3"/>
      <c r="DU243" s="3"/>
      <c r="DV243" s="3"/>
      <c r="DW243" s="3"/>
      <c r="DX243" s="3"/>
      <c r="DY243" s="3"/>
      <c r="DZ243" s="3"/>
      <c r="EA243" s="3"/>
      <c r="EB243" s="3"/>
      <c r="EC243" s="3"/>
      <c r="ED243" s="3"/>
      <c r="EE243" s="3"/>
      <c r="EF243" s="3"/>
      <c r="EG243" s="3"/>
      <c r="EH243" s="3"/>
      <c r="EI243" s="3"/>
      <c r="EJ243" s="3"/>
      <c r="EK243" s="3"/>
      <c r="EL243" s="3"/>
      <c r="EM243" s="3"/>
      <c r="EN243" s="3"/>
      <c r="EO243" s="3"/>
      <c r="EP243" s="3"/>
      <c r="EQ243" s="3"/>
      <c r="ER243" s="3"/>
      <c r="ES243" s="3"/>
      <c r="ET243" s="3"/>
      <c r="EU243" s="3"/>
      <c r="EV243" s="3"/>
      <c r="EW243" s="3"/>
      <c r="EX243" s="3"/>
      <c r="EY243" s="3"/>
      <c r="EZ243" s="3"/>
      <c r="FA243" s="3"/>
      <c r="FB243" s="3"/>
      <c r="FC243" s="3"/>
      <c r="FD243" s="3"/>
      <c r="FE243" s="3"/>
      <c r="FF243" s="3"/>
      <c r="FG243" s="3"/>
      <c r="FH243" s="3"/>
      <c r="FI243" s="3"/>
      <c r="FJ243" s="3"/>
      <c r="FK243" s="3"/>
      <c r="FL243" s="3"/>
      <c r="FM243" s="3"/>
      <c r="FN243" s="3"/>
      <c r="FO243" s="3"/>
      <c r="FP243" s="3"/>
      <c r="FQ243" s="3"/>
      <c r="FR243" s="3"/>
      <c r="FS243" s="3"/>
      <c r="FT243" s="3"/>
      <c r="FU243" s="3"/>
      <c r="FV243" s="3"/>
      <c r="FW243" s="3"/>
      <c r="FX243" s="3"/>
      <c r="FY243" s="3"/>
      <c r="FZ243" s="3"/>
      <c r="GA243" s="3"/>
      <c r="GB243" s="3"/>
      <c r="GC243" s="3"/>
      <c r="GD243" s="3"/>
      <c r="GE243" s="3"/>
      <c r="GF243" s="3"/>
      <c r="GG243" s="3"/>
      <c r="GH243" s="3"/>
      <c r="GI243" s="3"/>
      <c r="GJ243" s="3"/>
      <c r="GK243" s="3"/>
      <c r="GL243" s="3"/>
      <c r="GM243" s="3"/>
      <c r="GN243" s="3"/>
      <c r="GO243" s="3"/>
      <c r="GP243" s="3"/>
      <c r="GQ243" s="3"/>
      <c r="GR243" s="3"/>
      <c r="GS243" s="3"/>
      <c r="GT243" s="3"/>
      <c r="GU243" s="3"/>
      <c r="GV243" s="3"/>
      <c r="GW243" s="3"/>
      <c r="GX243" s="3"/>
      <c r="GY243" s="3"/>
      <c r="GZ243" s="3"/>
      <c r="HA243" s="3"/>
      <c r="HB243" s="3"/>
      <c r="HC243" s="3"/>
      <c r="HD243" s="3"/>
      <c r="HE243" s="3"/>
      <c r="HF243" s="3"/>
      <c r="HG243" s="3"/>
      <c r="HH243" s="3"/>
      <c r="HI243" s="3"/>
      <c r="HJ243" s="3"/>
      <c r="HK243" s="3"/>
      <c r="HL243" s="3"/>
      <c r="HM243" s="3"/>
      <c r="HN243" s="3"/>
      <c r="HO243" s="3"/>
      <c r="HP243" s="3"/>
      <c r="HQ243" s="3"/>
      <c r="HR243" s="3"/>
      <c r="HS243" s="3"/>
      <c r="HT243" s="3"/>
      <c r="HU243" s="3"/>
      <c r="HV243" s="3"/>
      <c r="HW243" s="3"/>
      <c r="HX243" s="3"/>
      <c r="HY243" s="3"/>
      <c r="HZ243" s="3"/>
      <c r="IA243" s="3"/>
      <c r="IB243" s="3"/>
      <c r="IC243" s="3"/>
      <c r="ID243" s="3"/>
      <c r="IE243" s="3"/>
      <c r="IF243" s="3"/>
      <c r="IG243" s="3"/>
      <c r="IH243" s="3"/>
      <c r="II243" s="3"/>
      <c r="IJ243" s="3"/>
      <c r="IK243" s="3"/>
      <c r="IL243" s="3"/>
      <c r="IM243" s="3"/>
      <c r="IN243" s="3"/>
      <c r="IO243" s="3"/>
      <c r="IP243" s="3"/>
      <c r="IQ243" s="3"/>
      <c r="IR243" s="3"/>
      <c r="IS243" s="3"/>
      <c r="IT243" s="3"/>
      <c r="IU243" s="3"/>
      <c r="IV243" s="3"/>
      <c r="IW243" s="3"/>
      <c r="IX243" s="3"/>
      <c r="IY243" s="3"/>
      <c r="IZ243" s="3"/>
      <c r="JA243" s="3"/>
      <c r="JB243" s="3"/>
      <c r="JC243" s="3"/>
      <c r="JD243" s="3"/>
      <c r="JE243" s="3"/>
      <c r="JF243" s="3"/>
      <c r="JG243" s="3"/>
      <c r="JH243" s="3"/>
      <c r="JI243" s="3"/>
      <c r="JJ243" s="3"/>
      <c r="JK243" s="3"/>
      <c r="JL243" s="3"/>
      <c r="JM243" s="3"/>
      <c r="JN243" s="3"/>
      <c r="JO243" s="3"/>
      <c r="JP243" s="3"/>
      <c r="JQ243" s="3"/>
      <c r="JR243" s="3"/>
      <c r="JS243" s="3"/>
      <c r="JT243" s="3"/>
      <c r="JU243" s="3"/>
      <c r="JV243" s="3"/>
      <c r="JW243" s="3"/>
      <c r="JX243" s="3"/>
      <c r="JY243" s="3"/>
      <c r="JZ243" s="3"/>
      <c r="KA243" s="3"/>
      <c r="KB243" s="3"/>
      <c r="KC243" s="3"/>
      <c r="KD243" s="3"/>
      <c r="KE243" s="3"/>
      <c r="KF243" s="3"/>
      <c r="KG243" s="3"/>
      <c r="KH243" s="3"/>
      <c r="KI243" s="3"/>
      <c r="KJ243" s="3"/>
      <c r="KK243" s="3"/>
      <c r="KL243" s="3"/>
      <c r="KM243" s="3"/>
      <c r="KN243" s="3"/>
      <c r="KO243" s="3"/>
      <c r="KP243" s="3"/>
      <c r="KQ243" s="3"/>
      <c r="KR243" s="3"/>
      <c r="KS243" s="3"/>
      <c r="KT243" s="3"/>
      <c r="KU243" s="3"/>
      <c r="KV243" s="3"/>
      <c r="KW243" s="3"/>
      <c r="KX243" s="3"/>
      <c r="KY243" s="3"/>
      <c r="KZ243" s="3"/>
      <c r="LA243" s="3"/>
      <c r="LB243" s="3"/>
      <c r="LC243" s="3"/>
      <c r="LD243" s="3"/>
      <c r="LE243" s="3"/>
      <c r="LF243" s="3"/>
      <c r="LG243" s="3"/>
      <c r="LH243" s="3"/>
      <c r="LI243" s="3"/>
      <c r="LJ243" s="3"/>
      <c r="LK243" s="3"/>
      <c r="LL243" s="3"/>
      <c r="LM243" s="3"/>
      <c r="LN243" s="3"/>
      <c r="LO243" s="3"/>
      <c r="LP243" s="3"/>
      <c r="LQ243" s="3"/>
      <c r="LR243" s="3"/>
      <c r="LS243" s="3"/>
      <c r="LT243" s="3"/>
      <c r="LU243" s="3"/>
      <c r="LV243" s="3"/>
      <c r="LW243" s="3"/>
      <c r="LX243" s="3"/>
      <c r="LY243" s="3"/>
      <c r="LZ243" s="3"/>
      <c r="MA243" s="3"/>
      <c r="MB243" s="3"/>
      <c r="MC243" s="3"/>
      <c r="MD243" s="3"/>
      <c r="ME243" s="3"/>
      <c r="MF243" s="3"/>
      <c r="MG243" s="3"/>
      <c r="MH243" s="3"/>
      <c r="MI243" s="3"/>
      <c r="MJ243" s="3"/>
      <c r="MK243" s="3"/>
      <c r="ML243" s="3"/>
      <c r="MM243" s="3"/>
      <c r="MN243" s="3"/>
      <c r="MO243" s="3"/>
      <c r="MP243" s="3"/>
      <c r="MQ243" s="3"/>
      <c r="MR243" s="3"/>
      <c r="MS243" s="3"/>
      <c r="MT243" s="3"/>
      <c r="MU243" s="3"/>
      <c r="MV243" s="3"/>
      <c r="MW243" s="3"/>
      <c r="MX243" s="3"/>
      <c r="MY243" s="3"/>
      <c r="MZ243" s="3"/>
      <c r="NA243" s="3"/>
      <c r="NB243" s="3"/>
      <c r="NC243" s="3"/>
      <c r="ND243" s="3"/>
      <c r="NE243" s="3"/>
      <c r="NF243" s="3"/>
      <c r="NG243" s="3"/>
      <c r="NH243" s="3"/>
      <c r="NI243" s="3"/>
      <c r="NJ243" s="3"/>
      <c r="NK243" s="3"/>
      <c r="NL243" s="3"/>
      <c r="NM243" s="3"/>
      <c r="NN243" s="3"/>
      <c r="NO243" s="3"/>
      <c r="NP243" s="3"/>
      <c r="NQ243" s="3"/>
      <c r="NR243" s="3"/>
      <c r="NS243" s="3"/>
      <c r="NT243" s="3"/>
      <c r="NU243" s="3"/>
      <c r="NV243" s="3"/>
      <c r="NW243" s="3"/>
      <c r="NX243" s="3"/>
      <c r="NY243" s="3"/>
      <c r="NZ243" s="3"/>
      <c r="OA243" s="3"/>
      <c r="OB243" s="3"/>
      <c r="OC243" s="3"/>
      <c r="OD243" s="3"/>
      <c r="OE243" s="3"/>
      <c r="OF243" s="3"/>
      <c r="OG243" s="3"/>
      <c r="OH243" s="3"/>
      <c r="OI243" s="3"/>
      <c r="OJ243" s="3"/>
      <c r="OK243" s="3"/>
      <c r="OL243" s="3"/>
      <c r="OM243" s="3"/>
      <c r="ON243" s="3"/>
      <c r="OO243" s="3"/>
      <c r="OP243" s="3"/>
      <c r="OQ243" s="3"/>
      <c r="OR243" s="3"/>
      <c r="OS243" s="3"/>
      <c r="OT243" s="3"/>
      <c r="OU243" s="3"/>
      <c r="OV243" s="3"/>
      <c r="OW243" s="3"/>
      <c r="OX243" s="3"/>
      <c r="OY243" s="3"/>
      <c r="OZ243" s="3"/>
      <c r="PA243" s="3"/>
      <c r="PB243" s="3"/>
      <c r="PC243" s="3"/>
      <c r="PD243" s="3"/>
      <c r="PE243" s="3"/>
      <c r="PF243" s="3"/>
      <c r="PG243" s="3"/>
      <c r="PH243" s="3"/>
      <c r="PI243" s="3"/>
      <c r="PJ243" s="3"/>
      <c r="PK243" s="3"/>
      <c r="PL243" s="3"/>
      <c r="PM243" s="3"/>
      <c r="PN243" s="3"/>
      <c r="PO243" s="3"/>
      <c r="PP243" s="3"/>
      <c r="PQ243" s="3"/>
      <c r="PR243" s="3"/>
      <c r="PS243" s="3"/>
      <c r="PT243" s="3"/>
      <c r="PU243" s="3"/>
      <c r="PV243" s="3"/>
      <c r="PW243" s="3"/>
      <c r="PX243" s="3"/>
      <c r="PY243" s="3"/>
      <c r="PZ243" s="3"/>
      <c r="QA243" s="3"/>
      <c r="QB243" s="3"/>
      <c r="QC243" s="3"/>
      <c r="QD243" s="3"/>
      <c r="QE243" s="3"/>
      <c r="QF243" s="3"/>
      <c r="QG243" s="3"/>
      <c r="QH243" s="3"/>
      <c r="QI243" s="3"/>
      <c r="QJ243" s="3"/>
      <c r="QK243" s="3"/>
      <c r="QL243" s="3"/>
      <c r="QM243" s="3"/>
      <c r="QN243" s="3"/>
      <c r="QO243" s="3"/>
      <c r="QP243" s="3"/>
      <c r="QQ243" s="3"/>
      <c r="QR243" s="3"/>
      <c r="QS243" s="3"/>
      <c r="QT243" s="3"/>
      <c r="QU243" s="3"/>
      <c r="QV243" s="3"/>
      <c r="QW243" s="3"/>
      <c r="QX243" s="3"/>
      <c r="QY243" s="3"/>
      <c r="QZ243" s="3"/>
      <c r="RA243" s="3"/>
      <c r="RB243" s="3"/>
      <c r="RC243" s="3"/>
      <c r="RD243" s="3"/>
      <c r="RE243" s="3"/>
      <c r="RF243" s="3"/>
      <c r="RG243" s="3"/>
      <c r="RH243" s="3"/>
      <c r="RI243" s="3"/>
      <c r="RJ243" s="3"/>
      <c r="RK243" s="3"/>
      <c r="RL243" s="3"/>
      <c r="RM243" s="3"/>
      <c r="RN243" s="3"/>
      <c r="RO243" s="3"/>
      <c r="RP243" s="3"/>
      <c r="RQ243" s="3"/>
      <c r="RR243" s="3"/>
      <c r="RS243" s="3"/>
      <c r="RT243" s="3"/>
      <c r="RU243" s="3"/>
      <c r="RV243" s="3"/>
      <c r="RW243" s="3"/>
      <c r="RX243" s="3"/>
      <c r="RY243" s="3"/>
      <c r="RZ243" s="3"/>
      <c r="SA243" s="3"/>
      <c r="SB243" s="3"/>
      <c r="SC243" s="3"/>
      <c r="SD243" s="3"/>
      <c r="SE243" s="3"/>
      <c r="SF243" s="3"/>
      <c r="SG243" s="3"/>
      <c r="SH243" s="3"/>
      <c r="SI243" s="3"/>
      <c r="SJ243" s="3"/>
      <c r="SK243" s="3"/>
      <c r="SL243" s="3"/>
      <c r="SM243" s="3"/>
      <c r="SN243" s="3"/>
      <c r="SO243" s="3"/>
      <c r="SP243" s="3"/>
      <c r="SQ243" s="3"/>
      <c r="SR243" s="3"/>
      <c r="SS243" s="3"/>
      <c r="ST243" s="3"/>
      <c r="SU243" s="3"/>
      <c r="SV243" s="3"/>
      <c r="SW243" s="3"/>
      <c r="SX243" s="3"/>
      <c r="SY243" s="3"/>
      <c r="SZ243" s="3"/>
      <c r="TA243" s="3"/>
      <c r="TB243" s="3"/>
      <c r="TC243" s="3"/>
      <c r="TD243" s="3"/>
      <c r="TE243" s="3"/>
      <c r="TF243" s="3"/>
      <c r="TG243" s="3"/>
      <c r="TH243" s="3"/>
      <c r="TI243" s="3"/>
      <c r="TJ243" s="3"/>
      <c r="TK243" s="3"/>
      <c r="TL243" s="3"/>
      <c r="TM243" s="3"/>
      <c r="TN243" s="3"/>
      <c r="TO243" s="3"/>
      <c r="TP243" s="3"/>
      <c r="TQ243" s="3"/>
      <c r="TR243" s="3"/>
      <c r="TS243" s="3"/>
      <c r="TT243" s="3"/>
      <c r="TU243" s="3"/>
      <c r="TV243" s="3"/>
      <c r="TW243" s="3"/>
      <c r="TX243" s="3"/>
      <c r="TY243" s="3"/>
      <c r="TZ243" s="3"/>
      <c r="UA243" s="3"/>
      <c r="UB243" s="3"/>
      <c r="UC243" s="3"/>
      <c r="UD243" s="3"/>
      <c r="UE243" s="3"/>
      <c r="UF243" s="3"/>
      <c r="UG243" s="3"/>
      <c r="UH243" s="3"/>
      <c r="UI243" s="3"/>
      <c r="UJ243" s="3"/>
      <c r="UK243" s="3"/>
      <c r="UL243" s="3"/>
      <c r="UM243" s="3"/>
      <c r="UN243" s="3"/>
      <c r="UO243" s="3"/>
      <c r="UP243" s="3"/>
      <c r="UQ243" s="3"/>
      <c r="UR243" s="3"/>
      <c r="US243" s="3"/>
      <c r="UT243" s="3"/>
      <c r="UU243" s="3"/>
      <c r="UV243" s="3"/>
      <c r="UW243" s="3"/>
      <c r="UX243" s="3"/>
      <c r="UY243" s="3"/>
      <c r="UZ243" s="3"/>
      <c r="VA243" s="3"/>
      <c r="VB243" s="3"/>
      <c r="VC243" s="3"/>
      <c r="VD243" s="3"/>
      <c r="VE243" s="3"/>
      <c r="VF243" s="3"/>
      <c r="VG243" s="3"/>
      <c r="VH243" s="3"/>
      <c r="VI243" s="3"/>
      <c r="VJ243" s="3"/>
      <c r="VK243" s="3"/>
      <c r="VL243" s="3"/>
      <c r="VM243" s="3"/>
      <c r="VN243" s="3"/>
      <c r="VO243" s="3"/>
      <c r="VP243" s="3"/>
      <c r="VQ243" s="3"/>
      <c r="VR243" s="3"/>
      <c r="VS243" s="3"/>
      <c r="VT243" s="3"/>
      <c r="VU243" s="3"/>
      <c r="VV243" s="3"/>
      <c r="VW243" s="3"/>
      <c r="VX243" s="3"/>
      <c r="VY243" s="3"/>
      <c r="VZ243" s="3"/>
      <c r="WA243" s="3"/>
      <c r="WB243" s="3"/>
      <c r="WC243" s="3"/>
      <c r="WD243" s="3"/>
      <c r="WE243" s="3"/>
      <c r="WF243" s="3"/>
      <c r="WG243" s="3"/>
      <c r="WH243" s="3"/>
      <c r="WI243" s="3"/>
      <c r="WJ243" s="3"/>
      <c r="WK243" s="3"/>
      <c r="WL243" s="3"/>
      <c r="WM243" s="3"/>
      <c r="WN243" s="3"/>
      <c r="WO243" s="3"/>
      <c r="WP243" s="3"/>
      <c r="WQ243" s="3"/>
      <c r="WR243" s="3"/>
      <c r="WS243" s="3"/>
      <c r="WT243" s="3"/>
      <c r="WU243" s="3"/>
      <c r="WV243" s="3"/>
      <c r="WW243" s="3"/>
      <c r="WX243" s="3"/>
      <c r="WY243" s="3"/>
      <c r="WZ243" s="3"/>
      <c r="XA243" s="3"/>
      <c r="XB243" s="3"/>
      <c r="XC243" s="3"/>
      <c r="XD243" s="3"/>
      <c r="XE243" s="3"/>
      <c r="XF243" s="3"/>
      <c r="XG243" s="3"/>
      <c r="XH243" s="3"/>
      <c r="XI243" s="3"/>
      <c r="XJ243" s="3"/>
      <c r="XK243" s="3"/>
      <c r="XL243" s="3"/>
      <c r="XM243" s="3"/>
      <c r="XN243" s="3"/>
      <c r="XO243" s="3"/>
      <c r="XP243" s="3"/>
      <c r="XQ243" s="3"/>
      <c r="XR243" s="3"/>
      <c r="XS243" s="3"/>
      <c r="XT243" s="3"/>
      <c r="XU243" s="3"/>
      <c r="XV243" s="3"/>
      <c r="XW243" s="3"/>
      <c r="XX243" s="3"/>
      <c r="XY243" s="3"/>
      <c r="XZ243" s="3"/>
      <c r="YA243" s="3"/>
      <c r="YB243" s="3"/>
      <c r="YC243" s="3"/>
      <c r="YD243" s="3"/>
      <c r="YE243" s="3"/>
      <c r="YF243" s="3"/>
      <c r="YG243" s="3"/>
      <c r="YH243" s="3"/>
      <c r="YI243" s="3"/>
      <c r="YJ243" s="3"/>
      <c r="YK243" s="3"/>
      <c r="YL243" s="3"/>
      <c r="YM243" s="3"/>
      <c r="YN243" s="3"/>
      <c r="YO243" s="3"/>
      <c r="YP243" s="3"/>
      <c r="YQ243" s="3"/>
      <c r="YR243" s="3"/>
      <c r="YS243" s="3"/>
      <c r="YT243" s="3"/>
      <c r="YU243" s="3"/>
      <c r="YV243" s="3"/>
      <c r="YW243" s="3"/>
      <c r="YX243" s="3"/>
      <c r="YY243" s="3"/>
      <c r="YZ243" s="3"/>
      <c r="ZA243" s="3"/>
      <c r="ZB243" s="3"/>
      <c r="ZC243" s="3"/>
    </row>
    <row r="244" spans="1:679" s="2" customFormat="1" x14ac:dyDescent="0.45">
      <c r="A244" s="3" t="s">
        <v>11</v>
      </c>
      <c r="B244" s="4">
        <v>37350</v>
      </c>
      <c r="C244" s="7" t="s">
        <v>25</v>
      </c>
      <c r="D244" s="6" t="s">
        <v>262</v>
      </c>
      <c r="E244" s="3"/>
      <c r="F244" s="3">
        <v>90</v>
      </c>
      <c r="L244" s="3"/>
      <c r="M244" s="3"/>
      <c r="N244" s="48"/>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c r="CP244" s="3"/>
      <c r="CQ244" s="3"/>
      <c r="CR244" s="3"/>
      <c r="CS244" s="3"/>
      <c r="CT244" s="3"/>
      <c r="CU244" s="3"/>
      <c r="CV244" s="3"/>
      <c r="CW244" s="3"/>
      <c r="CX244" s="3"/>
      <c r="CY244" s="3"/>
      <c r="CZ244" s="3"/>
      <c r="DA244" s="3"/>
      <c r="DB244" s="3"/>
      <c r="DC244" s="3"/>
      <c r="DD244" s="3"/>
      <c r="DE244" s="3"/>
      <c r="DF244" s="3"/>
      <c r="DG244" s="3"/>
      <c r="DH244" s="3"/>
      <c r="DI244" s="3"/>
      <c r="DJ244" s="3"/>
      <c r="DK244" s="3"/>
      <c r="DL244" s="3"/>
      <c r="DM244" s="3"/>
      <c r="DN244" s="3"/>
      <c r="DO244" s="3"/>
      <c r="DP244" s="3"/>
      <c r="DQ244" s="3"/>
      <c r="DR244" s="3"/>
      <c r="DS244" s="3"/>
      <c r="DT244" s="3"/>
      <c r="DU244" s="3"/>
      <c r="DV244" s="3"/>
      <c r="DW244" s="3"/>
      <c r="DX244" s="3"/>
      <c r="DY244" s="3"/>
      <c r="DZ244" s="3"/>
      <c r="EA244" s="3"/>
      <c r="EB244" s="3"/>
      <c r="EC244" s="3"/>
      <c r="ED244" s="3"/>
      <c r="EE244" s="3"/>
      <c r="EF244" s="3"/>
      <c r="EG244" s="3"/>
      <c r="EH244" s="3"/>
      <c r="EI244" s="3"/>
      <c r="EJ244" s="3"/>
      <c r="EK244" s="3"/>
      <c r="EL244" s="3"/>
      <c r="EM244" s="3"/>
      <c r="EN244" s="3"/>
      <c r="EO244" s="3"/>
      <c r="EP244" s="3"/>
      <c r="EQ244" s="3"/>
      <c r="ER244" s="3"/>
      <c r="ES244" s="3"/>
      <c r="ET244" s="3"/>
      <c r="EU244" s="3"/>
      <c r="EV244" s="3"/>
      <c r="EW244" s="3"/>
      <c r="EX244" s="3"/>
      <c r="EY244" s="3"/>
      <c r="EZ244" s="3"/>
      <c r="FA244" s="3"/>
      <c r="FB244" s="3"/>
      <c r="FC244" s="3"/>
      <c r="FD244" s="3"/>
      <c r="FE244" s="3"/>
      <c r="FF244" s="3"/>
      <c r="FG244" s="3"/>
      <c r="FH244" s="3"/>
      <c r="FI244" s="3"/>
      <c r="FJ244" s="3"/>
      <c r="FK244" s="3"/>
      <c r="FL244" s="3"/>
      <c r="FM244" s="3"/>
      <c r="FN244" s="3"/>
      <c r="FO244" s="3"/>
      <c r="FP244" s="3"/>
      <c r="FQ244" s="3"/>
      <c r="FR244" s="3"/>
      <c r="FS244" s="3"/>
      <c r="FT244" s="3"/>
      <c r="FU244" s="3"/>
      <c r="FV244" s="3"/>
      <c r="FW244" s="3"/>
      <c r="FX244" s="3"/>
      <c r="FY244" s="3"/>
      <c r="FZ244" s="3"/>
      <c r="GA244" s="3"/>
      <c r="GB244" s="3"/>
      <c r="GC244" s="3"/>
      <c r="GD244" s="3"/>
      <c r="GE244" s="3"/>
      <c r="GF244" s="3"/>
      <c r="GG244" s="3"/>
      <c r="GH244" s="3"/>
      <c r="GI244" s="3"/>
      <c r="GJ244" s="3"/>
      <c r="GK244" s="3"/>
      <c r="GL244" s="3"/>
      <c r="GM244" s="3"/>
      <c r="GN244" s="3"/>
      <c r="GO244" s="3"/>
      <c r="GP244" s="3"/>
      <c r="GQ244" s="3"/>
      <c r="GR244" s="3"/>
      <c r="GS244" s="3"/>
      <c r="GT244" s="3"/>
      <c r="GU244" s="3"/>
      <c r="GV244" s="3"/>
      <c r="GW244" s="3"/>
      <c r="GX244" s="3"/>
      <c r="GY244" s="3"/>
      <c r="GZ244" s="3"/>
      <c r="HA244" s="3"/>
      <c r="HB244" s="3"/>
      <c r="HC244" s="3"/>
      <c r="HD244" s="3"/>
      <c r="HE244" s="3"/>
      <c r="HF244" s="3"/>
      <c r="HG244" s="3"/>
      <c r="HH244" s="3"/>
      <c r="HI244" s="3"/>
      <c r="HJ244" s="3"/>
      <c r="HK244" s="3"/>
      <c r="HL244" s="3"/>
      <c r="HM244" s="3"/>
      <c r="HN244" s="3"/>
      <c r="HO244" s="3"/>
      <c r="HP244" s="3"/>
      <c r="HQ244" s="3"/>
      <c r="HR244" s="3"/>
      <c r="HS244" s="3"/>
      <c r="HT244" s="3"/>
      <c r="HU244" s="3"/>
      <c r="HV244" s="3"/>
      <c r="HW244" s="3"/>
      <c r="HX244" s="3"/>
      <c r="HY244" s="3"/>
      <c r="HZ244" s="3"/>
      <c r="IA244" s="3"/>
      <c r="IB244" s="3"/>
      <c r="IC244" s="3"/>
      <c r="ID244" s="3"/>
      <c r="IE244" s="3"/>
      <c r="IF244" s="3"/>
      <c r="IG244" s="3"/>
      <c r="IH244" s="3"/>
      <c r="II244" s="3"/>
      <c r="IJ244" s="3"/>
      <c r="IK244" s="3"/>
      <c r="IL244" s="3"/>
      <c r="IM244" s="3"/>
      <c r="IN244" s="3"/>
      <c r="IO244" s="3"/>
      <c r="IP244" s="3"/>
      <c r="IQ244" s="3"/>
      <c r="IR244" s="3"/>
      <c r="IS244" s="3"/>
      <c r="IT244" s="3"/>
      <c r="IU244" s="3"/>
      <c r="IV244" s="3"/>
      <c r="IW244" s="3"/>
      <c r="IX244" s="3"/>
      <c r="IY244" s="3"/>
      <c r="IZ244" s="3"/>
      <c r="JA244" s="3"/>
      <c r="JB244" s="3"/>
      <c r="JC244" s="3"/>
      <c r="JD244" s="3"/>
      <c r="JE244" s="3"/>
      <c r="JF244" s="3"/>
      <c r="JG244" s="3"/>
      <c r="JH244" s="3"/>
      <c r="JI244" s="3"/>
      <c r="JJ244" s="3"/>
      <c r="JK244" s="3"/>
      <c r="JL244" s="3"/>
      <c r="JM244" s="3"/>
      <c r="JN244" s="3"/>
      <c r="JO244" s="3"/>
      <c r="JP244" s="3"/>
      <c r="JQ244" s="3"/>
      <c r="JR244" s="3"/>
      <c r="JS244" s="3"/>
      <c r="JT244" s="3"/>
      <c r="JU244" s="3"/>
      <c r="JV244" s="3"/>
      <c r="JW244" s="3"/>
      <c r="JX244" s="3"/>
      <c r="JY244" s="3"/>
      <c r="JZ244" s="3"/>
      <c r="KA244" s="3"/>
      <c r="KB244" s="3"/>
      <c r="KC244" s="3"/>
      <c r="KD244" s="3"/>
      <c r="KE244" s="3"/>
      <c r="KF244" s="3"/>
      <c r="KG244" s="3"/>
      <c r="KH244" s="3"/>
      <c r="KI244" s="3"/>
      <c r="KJ244" s="3"/>
      <c r="KK244" s="3"/>
      <c r="KL244" s="3"/>
      <c r="KM244" s="3"/>
      <c r="KN244" s="3"/>
      <c r="KO244" s="3"/>
      <c r="KP244" s="3"/>
      <c r="KQ244" s="3"/>
      <c r="KR244" s="3"/>
      <c r="KS244" s="3"/>
      <c r="KT244" s="3"/>
      <c r="KU244" s="3"/>
      <c r="KV244" s="3"/>
      <c r="KW244" s="3"/>
      <c r="KX244" s="3"/>
      <c r="KY244" s="3"/>
      <c r="KZ244" s="3"/>
      <c r="LA244" s="3"/>
      <c r="LB244" s="3"/>
      <c r="LC244" s="3"/>
      <c r="LD244" s="3"/>
      <c r="LE244" s="3"/>
      <c r="LF244" s="3"/>
      <c r="LG244" s="3"/>
      <c r="LH244" s="3"/>
      <c r="LI244" s="3"/>
      <c r="LJ244" s="3"/>
      <c r="LK244" s="3"/>
      <c r="LL244" s="3"/>
      <c r="LM244" s="3"/>
      <c r="LN244" s="3"/>
      <c r="LO244" s="3"/>
      <c r="LP244" s="3"/>
      <c r="LQ244" s="3"/>
      <c r="LR244" s="3"/>
      <c r="LS244" s="3"/>
      <c r="LT244" s="3"/>
      <c r="LU244" s="3"/>
      <c r="LV244" s="3"/>
      <c r="LW244" s="3"/>
      <c r="LX244" s="3"/>
      <c r="LY244" s="3"/>
      <c r="LZ244" s="3"/>
      <c r="MA244" s="3"/>
      <c r="MB244" s="3"/>
      <c r="MC244" s="3"/>
      <c r="MD244" s="3"/>
      <c r="ME244" s="3"/>
      <c r="MF244" s="3"/>
      <c r="MG244" s="3"/>
      <c r="MH244" s="3"/>
      <c r="MI244" s="3"/>
      <c r="MJ244" s="3"/>
      <c r="MK244" s="3"/>
      <c r="ML244" s="3"/>
      <c r="MM244" s="3"/>
      <c r="MN244" s="3"/>
      <c r="MO244" s="3"/>
      <c r="MP244" s="3"/>
      <c r="MQ244" s="3"/>
      <c r="MR244" s="3"/>
      <c r="MS244" s="3"/>
      <c r="MT244" s="3"/>
      <c r="MU244" s="3"/>
      <c r="MV244" s="3"/>
      <c r="MW244" s="3"/>
      <c r="MX244" s="3"/>
      <c r="MY244" s="3"/>
      <c r="MZ244" s="3"/>
      <c r="NA244" s="3"/>
      <c r="NB244" s="3"/>
      <c r="NC244" s="3"/>
      <c r="ND244" s="3"/>
      <c r="NE244" s="3"/>
      <c r="NF244" s="3"/>
      <c r="NG244" s="3"/>
      <c r="NH244" s="3"/>
      <c r="NI244" s="3"/>
      <c r="NJ244" s="3"/>
      <c r="NK244" s="3"/>
      <c r="NL244" s="3"/>
      <c r="NM244" s="3"/>
      <c r="NN244" s="3"/>
      <c r="NO244" s="3"/>
      <c r="NP244" s="3"/>
      <c r="NQ244" s="3"/>
      <c r="NR244" s="3"/>
      <c r="NS244" s="3"/>
      <c r="NT244" s="3"/>
      <c r="NU244" s="3"/>
      <c r="NV244" s="3"/>
      <c r="NW244" s="3"/>
      <c r="NX244" s="3"/>
      <c r="NY244" s="3"/>
      <c r="NZ244" s="3"/>
      <c r="OA244" s="3"/>
      <c r="OB244" s="3"/>
      <c r="OC244" s="3"/>
      <c r="OD244" s="3"/>
      <c r="OE244" s="3"/>
      <c r="OF244" s="3"/>
      <c r="OG244" s="3"/>
      <c r="OH244" s="3"/>
      <c r="OI244" s="3"/>
      <c r="OJ244" s="3"/>
      <c r="OK244" s="3"/>
      <c r="OL244" s="3"/>
      <c r="OM244" s="3"/>
      <c r="ON244" s="3"/>
      <c r="OO244" s="3"/>
      <c r="OP244" s="3"/>
      <c r="OQ244" s="3"/>
      <c r="OR244" s="3"/>
      <c r="OS244" s="3"/>
      <c r="OT244" s="3"/>
      <c r="OU244" s="3"/>
      <c r="OV244" s="3"/>
      <c r="OW244" s="3"/>
      <c r="OX244" s="3"/>
      <c r="OY244" s="3"/>
      <c r="OZ244" s="3"/>
      <c r="PA244" s="3"/>
      <c r="PB244" s="3"/>
      <c r="PC244" s="3"/>
      <c r="PD244" s="3"/>
      <c r="PE244" s="3"/>
      <c r="PF244" s="3"/>
      <c r="PG244" s="3"/>
      <c r="PH244" s="3"/>
      <c r="PI244" s="3"/>
      <c r="PJ244" s="3"/>
      <c r="PK244" s="3"/>
      <c r="PL244" s="3"/>
      <c r="PM244" s="3"/>
      <c r="PN244" s="3"/>
      <c r="PO244" s="3"/>
      <c r="PP244" s="3"/>
      <c r="PQ244" s="3"/>
      <c r="PR244" s="3"/>
      <c r="PS244" s="3"/>
      <c r="PT244" s="3"/>
      <c r="PU244" s="3"/>
      <c r="PV244" s="3"/>
      <c r="PW244" s="3"/>
      <c r="PX244" s="3"/>
      <c r="PY244" s="3"/>
      <c r="PZ244" s="3"/>
      <c r="QA244" s="3"/>
      <c r="QB244" s="3"/>
      <c r="QC244" s="3"/>
      <c r="QD244" s="3"/>
      <c r="QE244" s="3"/>
      <c r="QF244" s="3"/>
      <c r="QG244" s="3"/>
      <c r="QH244" s="3"/>
      <c r="QI244" s="3"/>
      <c r="QJ244" s="3"/>
      <c r="QK244" s="3"/>
      <c r="QL244" s="3"/>
      <c r="QM244" s="3"/>
      <c r="QN244" s="3"/>
      <c r="QO244" s="3"/>
      <c r="QP244" s="3"/>
      <c r="QQ244" s="3"/>
      <c r="QR244" s="3"/>
      <c r="QS244" s="3"/>
      <c r="QT244" s="3"/>
      <c r="QU244" s="3"/>
      <c r="QV244" s="3"/>
      <c r="QW244" s="3"/>
      <c r="QX244" s="3"/>
      <c r="QY244" s="3"/>
      <c r="QZ244" s="3"/>
      <c r="RA244" s="3"/>
      <c r="RB244" s="3"/>
      <c r="RC244" s="3"/>
      <c r="RD244" s="3"/>
      <c r="RE244" s="3"/>
      <c r="RF244" s="3"/>
      <c r="RG244" s="3"/>
      <c r="RH244" s="3"/>
      <c r="RI244" s="3"/>
      <c r="RJ244" s="3"/>
      <c r="RK244" s="3"/>
      <c r="RL244" s="3"/>
      <c r="RM244" s="3"/>
      <c r="RN244" s="3"/>
      <c r="RO244" s="3"/>
      <c r="RP244" s="3"/>
      <c r="RQ244" s="3"/>
      <c r="RR244" s="3"/>
      <c r="RS244" s="3"/>
      <c r="RT244" s="3"/>
      <c r="RU244" s="3"/>
      <c r="RV244" s="3"/>
      <c r="RW244" s="3"/>
      <c r="RX244" s="3"/>
      <c r="RY244" s="3"/>
      <c r="RZ244" s="3"/>
      <c r="SA244" s="3"/>
      <c r="SB244" s="3"/>
      <c r="SC244" s="3"/>
      <c r="SD244" s="3"/>
      <c r="SE244" s="3"/>
      <c r="SF244" s="3"/>
      <c r="SG244" s="3"/>
      <c r="SH244" s="3"/>
      <c r="SI244" s="3"/>
      <c r="SJ244" s="3"/>
      <c r="SK244" s="3"/>
      <c r="SL244" s="3"/>
      <c r="SM244" s="3"/>
      <c r="SN244" s="3"/>
      <c r="SO244" s="3"/>
      <c r="SP244" s="3"/>
      <c r="SQ244" s="3"/>
      <c r="SR244" s="3"/>
      <c r="SS244" s="3"/>
      <c r="ST244" s="3"/>
      <c r="SU244" s="3"/>
      <c r="SV244" s="3"/>
      <c r="SW244" s="3"/>
      <c r="SX244" s="3"/>
      <c r="SY244" s="3"/>
      <c r="SZ244" s="3"/>
      <c r="TA244" s="3"/>
      <c r="TB244" s="3"/>
      <c r="TC244" s="3"/>
      <c r="TD244" s="3"/>
      <c r="TE244" s="3"/>
      <c r="TF244" s="3"/>
      <c r="TG244" s="3"/>
      <c r="TH244" s="3"/>
      <c r="TI244" s="3"/>
      <c r="TJ244" s="3"/>
      <c r="TK244" s="3"/>
      <c r="TL244" s="3"/>
      <c r="TM244" s="3"/>
      <c r="TN244" s="3"/>
      <c r="TO244" s="3"/>
      <c r="TP244" s="3"/>
      <c r="TQ244" s="3"/>
      <c r="TR244" s="3"/>
      <c r="TS244" s="3"/>
      <c r="TT244" s="3"/>
      <c r="TU244" s="3"/>
      <c r="TV244" s="3"/>
      <c r="TW244" s="3"/>
      <c r="TX244" s="3"/>
      <c r="TY244" s="3"/>
      <c r="TZ244" s="3"/>
      <c r="UA244" s="3"/>
      <c r="UB244" s="3"/>
      <c r="UC244" s="3"/>
      <c r="UD244" s="3"/>
      <c r="UE244" s="3"/>
      <c r="UF244" s="3"/>
      <c r="UG244" s="3"/>
      <c r="UH244" s="3"/>
      <c r="UI244" s="3"/>
      <c r="UJ244" s="3"/>
      <c r="UK244" s="3"/>
      <c r="UL244" s="3"/>
      <c r="UM244" s="3"/>
      <c r="UN244" s="3"/>
      <c r="UO244" s="3"/>
      <c r="UP244" s="3"/>
      <c r="UQ244" s="3"/>
      <c r="UR244" s="3"/>
      <c r="US244" s="3"/>
      <c r="UT244" s="3"/>
      <c r="UU244" s="3"/>
      <c r="UV244" s="3"/>
      <c r="UW244" s="3"/>
      <c r="UX244" s="3"/>
      <c r="UY244" s="3"/>
      <c r="UZ244" s="3"/>
      <c r="VA244" s="3"/>
      <c r="VB244" s="3"/>
      <c r="VC244" s="3"/>
      <c r="VD244" s="3"/>
      <c r="VE244" s="3"/>
      <c r="VF244" s="3"/>
      <c r="VG244" s="3"/>
      <c r="VH244" s="3"/>
      <c r="VI244" s="3"/>
      <c r="VJ244" s="3"/>
      <c r="VK244" s="3"/>
      <c r="VL244" s="3"/>
      <c r="VM244" s="3"/>
      <c r="VN244" s="3"/>
      <c r="VO244" s="3"/>
      <c r="VP244" s="3"/>
      <c r="VQ244" s="3"/>
      <c r="VR244" s="3"/>
      <c r="VS244" s="3"/>
      <c r="VT244" s="3"/>
      <c r="VU244" s="3"/>
      <c r="VV244" s="3"/>
      <c r="VW244" s="3"/>
      <c r="VX244" s="3"/>
      <c r="VY244" s="3"/>
      <c r="VZ244" s="3"/>
      <c r="WA244" s="3"/>
      <c r="WB244" s="3"/>
      <c r="WC244" s="3"/>
      <c r="WD244" s="3"/>
      <c r="WE244" s="3"/>
      <c r="WF244" s="3"/>
      <c r="WG244" s="3"/>
      <c r="WH244" s="3"/>
      <c r="WI244" s="3"/>
      <c r="WJ244" s="3"/>
      <c r="WK244" s="3"/>
      <c r="WL244" s="3"/>
      <c r="WM244" s="3"/>
      <c r="WN244" s="3"/>
      <c r="WO244" s="3"/>
      <c r="WP244" s="3"/>
      <c r="WQ244" s="3"/>
      <c r="WR244" s="3"/>
      <c r="WS244" s="3"/>
      <c r="WT244" s="3"/>
      <c r="WU244" s="3"/>
      <c r="WV244" s="3"/>
      <c r="WW244" s="3"/>
      <c r="WX244" s="3"/>
      <c r="WY244" s="3"/>
      <c r="WZ244" s="3"/>
      <c r="XA244" s="3"/>
      <c r="XB244" s="3"/>
      <c r="XC244" s="3"/>
      <c r="XD244" s="3"/>
      <c r="XE244" s="3"/>
      <c r="XF244" s="3"/>
      <c r="XG244" s="3"/>
      <c r="XH244" s="3"/>
      <c r="XI244" s="3"/>
      <c r="XJ244" s="3"/>
      <c r="XK244" s="3"/>
      <c r="XL244" s="3"/>
      <c r="XM244" s="3"/>
      <c r="XN244" s="3"/>
      <c r="XO244" s="3"/>
      <c r="XP244" s="3"/>
      <c r="XQ244" s="3"/>
      <c r="XR244" s="3"/>
      <c r="XS244" s="3"/>
      <c r="XT244" s="3"/>
      <c r="XU244" s="3"/>
      <c r="XV244" s="3"/>
      <c r="XW244" s="3"/>
      <c r="XX244" s="3"/>
      <c r="XY244" s="3"/>
      <c r="XZ244" s="3"/>
      <c r="YA244" s="3"/>
      <c r="YB244" s="3"/>
      <c r="YC244" s="3"/>
      <c r="YD244" s="3"/>
      <c r="YE244" s="3"/>
      <c r="YF244" s="3"/>
      <c r="YG244" s="3"/>
      <c r="YH244" s="3"/>
      <c r="YI244" s="3"/>
      <c r="YJ244" s="3"/>
      <c r="YK244" s="3"/>
      <c r="YL244" s="3"/>
      <c r="YM244" s="3"/>
      <c r="YN244" s="3"/>
      <c r="YO244" s="3"/>
      <c r="YP244" s="3"/>
      <c r="YQ244" s="3"/>
      <c r="YR244" s="3"/>
      <c r="YS244" s="3"/>
      <c r="YT244" s="3"/>
      <c r="YU244" s="3"/>
      <c r="YV244" s="3"/>
      <c r="YW244" s="3"/>
      <c r="YX244" s="3"/>
      <c r="YY244" s="3"/>
      <c r="YZ244" s="3"/>
      <c r="ZA244" s="3"/>
      <c r="ZB244" s="3"/>
      <c r="ZC244" s="3"/>
    </row>
    <row r="245" spans="1:679" s="2" customFormat="1" x14ac:dyDescent="0.45">
      <c r="A245" s="3" t="s">
        <v>11</v>
      </c>
      <c r="B245" s="4">
        <v>37354</v>
      </c>
      <c r="C245" s="7" t="s">
        <v>25</v>
      </c>
      <c r="D245" s="6" t="s">
        <v>263</v>
      </c>
      <c r="E245" s="3"/>
      <c r="F245" s="3">
        <v>4</v>
      </c>
      <c r="L245" s="3"/>
      <c r="M245" s="3"/>
      <c r="N245" s="48"/>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3"/>
      <c r="CT245" s="3"/>
      <c r="CU245" s="3"/>
      <c r="CV245" s="3"/>
      <c r="CW245" s="3"/>
      <c r="CX245" s="3"/>
      <c r="CY245" s="3"/>
      <c r="CZ245" s="3"/>
      <c r="DA245" s="3"/>
      <c r="DB245" s="3"/>
      <c r="DC245" s="3"/>
      <c r="DD245" s="3"/>
      <c r="DE245" s="3"/>
      <c r="DF245" s="3"/>
      <c r="DG245" s="3"/>
      <c r="DH245" s="3"/>
      <c r="DI245" s="3"/>
      <c r="DJ245" s="3"/>
      <c r="DK245" s="3"/>
      <c r="DL245" s="3"/>
      <c r="DM245" s="3"/>
      <c r="DN245" s="3"/>
      <c r="DO245" s="3"/>
      <c r="DP245" s="3"/>
      <c r="DQ245" s="3"/>
      <c r="DR245" s="3"/>
      <c r="DS245" s="3"/>
      <c r="DT245" s="3"/>
      <c r="DU245" s="3"/>
      <c r="DV245" s="3"/>
      <c r="DW245" s="3"/>
      <c r="DX245" s="3"/>
      <c r="DY245" s="3"/>
      <c r="DZ245" s="3"/>
      <c r="EA245" s="3"/>
      <c r="EB245" s="3"/>
      <c r="EC245" s="3"/>
      <c r="ED245" s="3"/>
      <c r="EE245" s="3"/>
      <c r="EF245" s="3"/>
      <c r="EG245" s="3"/>
      <c r="EH245" s="3"/>
      <c r="EI245" s="3"/>
      <c r="EJ245" s="3"/>
      <c r="EK245" s="3"/>
      <c r="EL245" s="3"/>
      <c r="EM245" s="3"/>
      <c r="EN245" s="3"/>
      <c r="EO245" s="3"/>
      <c r="EP245" s="3"/>
      <c r="EQ245" s="3"/>
      <c r="ER245" s="3"/>
      <c r="ES245" s="3"/>
      <c r="ET245" s="3"/>
      <c r="EU245" s="3"/>
      <c r="EV245" s="3"/>
      <c r="EW245" s="3"/>
      <c r="EX245" s="3"/>
      <c r="EY245" s="3"/>
      <c r="EZ245" s="3"/>
      <c r="FA245" s="3"/>
      <c r="FB245" s="3"/>
      <c r="FC245" s="3"/>
      <c r="FD245" s="3"/>
      <c r="FE245" s="3"/>
      <c r="FF245" s="3"/>
      <c r="FG245" s="3"/>
      <c r="FH245" s="3"/>
      <c r="FI245" s="3"/>
      <c r="FJ245" s="3"/>
      <c r="FK245" s="3"/>
      <c r="FL245" s="3"/>
      <c r="FM245" s="3"/>
      <c r="FN245" s="3"/>
      <c r="FO245" s="3"/>
      <c r="FP245" s="3"/>
      <c r="FQ245" s="3"/>
      <c r="FR245" s="3"/>
      <c r="FS245" s="3"/>
      <c r="FT245" s="3"/>
      <c r="FU245" s="3"/>
      <c r="FV245" s="3"/>
      <c r="FW245" s="3"/>
      <c r="FX245" s="3"/>
      <c r="FY245" s="3"/>
      <c r="FZ245" s="3"/>
      <c r="GA245" s="3"/>
      <c r="GB245" s="3"/>
      <c r="GC245" s="3"/>
      <c r="GD245" s="3"/>
      <c r="GE245" s="3"/>
      <c r="GF245" s="3"/>
      <c r="GG245" s="3"/>
      <c r="GH245" s="3"/>
      <c r="GI245" s="3"/>
      <c r="GJ245" s="3"/>
      <c r="GK245" s="3"/>
      <c r="GL245" s="3"/>
      <c r="GM245" s="3"/>
      <c r="GN245" s="3"/>
      <c r="GO245" s="3"/>
      <c r="GP245" s="3"/>
      <c r="GQ245" s="3"/>
      <c r="GR245" s="3"/>
      <c r="GS245" s="3"/>
      <c r="GT245" s="3"/>
      <c r="GU245" s="3"/>
      <c r="GV245" s="3"/>
      <c r="GW245" s="3"/>
      <c r="GX245" s="3"/>
      <c r="GY245" s="3"/>
      <c r="GZ245" s="3"/>
      <c r="HA245" s="3"/>
      <c r="HB245" s="3"/>
      <c r="HC245" s="3"/>
      <c r="HD245" s="3"/>
      <c r="HE245" s="3"/>
      <c r="HF245" s="3"/>
      <c r="HG245" s="3"/>
      <c r="HH245" s="3"/>
      <c r="HI245" s="3"/>
      <c r="HJ245" s="3"/>
      <c r="HK245" s="3"/>
      <c r="HL245" s="3"/>
      <c r="HM245" s="3"/>
      <c r="HN245" s="3"/>
      <c r="HO245" s="3"/>
      <c r="HP245" s="3"/>
      <c r="HQ245" s="3"/>
      <c r="HR245" s="3"/>
      <c r="HS245" s="3"/>
      <c r="HT245" s="3"/>
      <c r="HU245" s="3"/>
      <c r="HV245" s="3"/>
      <c r="HW245" s="3"/>
      <c r="HX245" s="3"/>
      <c r="HY245" s="3"/>
      <c r="HZ245" s="3"/>
      <c r="IA245" s="3"/>
      <c r="IB245" s="3"/>
      <c r="IC245" s="3"/>
      <c r="ID245" s="3"/>
      <c r="IE245" s="3"/>
      <c r="IF245" s="3"/>
      <c r="IG245" s="3"/>
      <c r="IH245" s="3"/>
      <c r="II245" s="3"/>
      <c r="IJ245" s="3"/>
      <c r="IK245" s="3"/>
      <c r="IL245" s="3"/>
      <c r="IM245" s="3"/>
      <c r="IN245" s="3"/>
      <c r="IO245" s="3"/>
      <c r="IP245" s="3"/>
      <c r="IQ245" s="3"/>
      <c r="IR245" s="3"/>
      <c r="IS245" s="3"/>
      <c r="IT245" s="3"/>
      <c r="IU245" s="3"/>
      <c r="IV245" s="3"/>
      <c r="IW245" s="3"/>
      <c r="IX245" s="3"/>
      <c r="IY245" s="3"/>
      <c r="IZ245" s="3"/>
      <c r="JA245" s="3"/>
      <c r="JB245" s="3"/>
      <c r="JC245" s="3"/>
      <c r="JD245" s="3"/>
      <c r="JE245" s="3"/>
      <c r="JF245" s="3"/>
      <c r="JG245" s="3"/>
      <c r="JH245" s="3"/>
      <c r="JI245" s="3"/>
      <c r="JJ245" s="3"/>
      <c r="JK245" s="3"/>
      <c r="JL245" s="3"/>
      <c r="JM245" s="3"/>
      <c r="JN245" s="3"/>
      <c r="JO245" s="3"/>
      <c r="JP245" s="3"/>
      <c r="JQ245" s="3"/>
      <c r="JR245" s="3"/>
      <c r="JS245" s="3"/>
      <c r="JT245" s="3"/>
      <c r="JU245" s="3"/>
      <c r="JV245" s="3"/>
      <c r="JW245" s="3"/>
      <c r="JX245" s="3"/>
      <c r="JY245" s="3"/>
      <c r="JZ245" s="3"/>
      <c r="KA245" s="3"/>
      <c r="KB245" s="3"/>
      <c r="KC245" s="3"/>
      <c r="KD245" s="3"/>
      <c r="KE245" s="3"/>
      <c r="KF245" s="3"/>
      <c r="KG245" s="3"/>
      <c r="KH245" s="3"/>
      <c r="KI245" s="3"/>
      <c r="KJ245" s="3"/>
      <c r="KK245" s="3"/>
      <c r="KL245" s="3"/>
      <c r="KM245" s="3"/>
      <c r="KN245" s="3"/>
      <c r="KO245" s="3"/>
      <c r="KP245" s="3"/>
      <c r="KQ245" s="3"/>
      <c r="KR245" s="3"/>
      <c r="KS245" s="3"/>
      <c r="KT245" s="3"/>
      <c r="KU245" s="3"/>
      <c r="KV245" s="3"/>
      <c r="KW245" s="3"/>
      <c r="KX245" s="3"/>
      <c r="KY245" s="3"/>
      <c r="KZ245" s="3"/>
      <c r="LA245" s="3"/>
      <c r="LB245" s="3"/>
      <c r="LC245" s="3"/>
      <c r="LD245" s="3"/>
      <c r="LE245" s="3"/>
      <c r="LF245" s="3"/>
      <c r="LG245" s="3"/>
      <c r="LH245" s="3"/>
      <c r="LI245" s="3"/>
      <c r="LJ245" s="3"/>
      <c r="LK245" s="3"/>
      <c r="LL245" s="3"/>
      <c r="LM245" s="3"/>
      <c r="LN245" s="3"/>
      <c r="LO245" s="3"/>
      <c r="LP245" s="3"/>
      <c r="LQ245" s="3"/>
      <c r="LR245" s="3"/>
      <c r="LS245" s="3"/>
      <c r="LT245" s="3"/>
      <c r="LU245" s="3"/>
      <c r="LV245" s="3"/>
      <c r="LW245" s="3"/>
      <c r="LX245" s="3"/>
      <c r="LY245" s="3"/>
      <c r="LZ245" s="3"/>
      <c r="MA245" s="3"/>
      <c r="MB245" s="3"/>
      <c r="MC245" s="3"/>
      <c r="MD245" s="3"/>
      <c r="ME245" s="3"/>
      <c r="MF245" s="3"/>
      <c r="MG245" s="3"/>
      <c r="MH245" s="3"/>
      <c r="MI245" s="3"/>
      <c r="MJ245" s="3"/>
      <c r="MK245" s="3"/>
      <c r="ML245" s="3"/>
      <c r="MM245" s="3"/>
      <c r="MN245" s="3"/>
      <c r="MO245" s="3"/>
      <c r="MP245" s="3"/>
      <c r="MQ245" s="3"/>
      <c r="MR245" s="3"/>
      <c r="MS245" s="3"/>
      <c r="MT245" s="3"/>
      <c r="MU245" s="3"/>
      <c r="MV245" s="3"/>
      <c r="MW245" s="3"/>
      <c r="MX245" s="3"/>
      <c r="MY245" s="3"/>
      <c r="MZ245" s="3"/>
      <c r="NA245" s="3"/>
      <c r="NB245" s="3"/>
      <c r="NC245" s="3"/>
      <c r="ND245" s="3"/>
      <c r="NE245" s="3"/>
      <c r="NF245" s="3"/>
      <c r="NG245" s="3"/>
      <c r="NH245" s="3"/>
      <c r="NI245" s="3"/>
      <c r="NJ245" s="3"/>
      <c r="NK245" s="3"/>
      <c r="NL245" s="3"/>
      <c r="NM245" s="3"/>
      <c r="NN245" s="3"/>
      <c r="NO245" s="3"/>
      <c r="NP245" s="3"/>
      <c r="NQ245" s="3"/>
      <c r="NR245" s="3"/>
      <c r="NS245" s="3"/>
      <c r="NT245" s="3"/>
      <c r="NU245" s="3"/>
      <c r="NV245" s="3"/>
      <c r="NW245" s="3"/>
      <c r="NX245" s="3"/>
      <c r="NY245" s="3"/>
      <c r="NZ245" s="3"/>
      <c r="OA245" s="3"/>
      <c r="OB245" s="3"/>
      <c r="OC245" s="3"/>
      <c r="OD245" s="3"/>
      <c r="OE245" s="3"/>
      <c r="OF245" s="3"/>
      <c r="OG245" s="3"/>
      <c r="OH245" s="3"/>
      <c r="OI245" s="3"/>
      <c r="OJ245" s="3"/>
      <c r="OK245" s="3"/>
      <c r="OL245" s="3"/>
      <c r="OM245" s="3"/>
      <c r="ON245" s="3"/>
      <c r="OO245" s="3"/>
      <c r="OP245" s="3"/>
      <c r="OQ245" s="3"/>
      <c r="OR245" s="3"/>
      <c r="OS245" s="3"/>
      <c r="OT245" s="3"/>
      <c r="OU245" s="3"/>
      <c r="OV245" s="3"/>
      <c r="OW245" s="3"/>
      <c r="OX245" s="3"/>
      <c r="OY245" s="3"/>
      <c r="OZ245" s="3"/>
      <c r="PA245" s="3"/>
      <c r="PB245" s="3"/>
      <c r="PC245" s="3"/>
      <c r="PD245" s="3"/>
      <c r="PE245" s="3"/>
      <c r="PF245" s="3"/>
      <c r="PG245" s="3"/>
      <c r="PH245" s="3"/>
      <c r="PI245" s="3"/>
      <c r="PJ245" s="3"/>
      <c r="PK245" s="3"/>
      <c r="PL245" s="3"/>
      <c r="PM245" s="3"/>
      <c r="PN245" s="3"/>
      <c r="PO245" s="3"/>
      <c r="PP245" s="3"/>
      <c r="PQ245" s="3"/>
      <c r="PR245" s="3"/>
      <c r="PS245" s="3"/>
      <c r="PT245" s="3"/>
      <c r="PU245" s="3"/>
      <c r="PV245" s="3"/>
      <c r="PW245" s="3"/>
      <c r="PX245" s="3"/>
      <c r="PY245" s="3"/>
      <c r="PZ245" s="3"/>
      <c r="QA245" s="3"/>
      <c r="QB245" s="3"/>
      <c r="QC245" s="3"/>
      <c r="QD245" s="3"/>
      <c r="QE245" s="3"/>
      <c r="QF245" s="3"/>
      <c r="QG245" s="3"/>
      <c r="QH245" s="3"/>
      <c r="QI245" s="3"/>
      <c r="QJ245" s="3"/>
      <c r="QK245" s="3"/>
      <c r="QL245" s="3"/>
      <c r="QM245" s="3"/>
      <c r="QN245" s="3"/>
      <c r="QO245" s="3"/>
      <c r="QP245" s="3"/>
      <c r="QQ245" s="3"/>
      <c r="QR245" s="3"/>
      <c r="QS245" s="3"/>
      <c r="QT245" s="3"/>
      <c r="QU245" s="3"/>
      <c r="QV245" s="3"/>
      <c r="QW245" s="3"/>
      <c r="QX245" s="3"/>
      <c r="QY245" s="3"/>
      <c r="QZ245" s="3"/>
      <c r="RA245" s="3"/>
      <c r="RB245" s="3"/>
      <c r="RC245" s="3"/>
      <c r="RD245" s="3"/>
      <c r="RE245" s="3"/>
      <c r="RF245" s="3"/>
      <c r="RG245" s="3"/>
      <c r="RH245" s="3"/>
      <c r="RI245" s="3"/>
      <c r="RJ245" s="3"/>
      <c r="RK245" s="3"/>
      <c r="RL245" s="3"/>
      <c r="RM245" s="3"/>
      <c r="RN245" s="3"/>
      <c r="RO245" s="3"/>
      <c r="RP245" s="3"/>
      <c r="RQ245" s="3"/>
      <c r="RR245" s="3"/>
      <c r="RS245" s="3"/>
      <c r="RT245" s="3"/>
      <c r="RU245" s="3"/>
      <c r="RV245" s="3"/>
      <c r="RW245" s="3"/>
      <c r="RX245" s="3"/>
      <c r="RY245" s="3"/>
      <c r="RZ245" s="3"/>
      <c r="SA245" s="3"/>
      <c r="SB245" s="3"/>
      <c r="SC245" s="3"/>
      <c r="SD245" s="3"/>
      <c r="SE245" s="3"/>
      <c r="SF245" s="3"/>
      <c r="SG245" s="3"/>
      <c r="SH245" s="3"/>
      <c r="SI245" s="3"/>
      <c r="SJ245" s="3"/>
      <c r="SK245" s="3"/>
      <c r="SL245" s="3"/>
      <c r="SM245" s="3"/>
      <c r="SN245" s="3"/>
      <c r="SO245" s="3"/>
      <c r="SP245" s="3"/>
      <c r="SQ245" s="3"/>
      <c r="SR245" s="3"/>
      <c r="SS245" s="3"/>
      <c r="ST245" s="3"/>
      <c r="SU245" s="3"/>
      <c r="SV245" s="3"/>
      <c r="SW245" s="3"/>
      <c r="SX245" s="3"/>
      <c r="SY245" s="3"/>
      <c r="SZ245" s="3"/>
      <c r="TA245" s="3"/>
      <c r="TB245" s="3"/>
      <c r="TC245" s="3"/>
      <c r="TD245" s="3"/>
      <c r="TE245" s="3"/>
      <c r="TF245" s="3"/>
      <c r="TG245" s="3"/>
      <c r="TH245" s="3"/>
      <c r="TI245" s="3"/>
      <c r="TJ245" s="3"/>
      <c r="TK245" s="3"/>
      <c r="TL245" s="3"/>
      <c r="TM245" s="3"/>
      <c r="TN245" s="3"/>
      <c r="TO245" s="3"/>
      <c r="TP245" s="3"/>
      <c r="TQ245" s="3"/>
      <c r="TR245" s="3"/>
      <c r="TS245" s="3"/>
      <c r="TT245" s="3"/>
      <c r="TU245" s="3"/>
      <c r="TV245" s="3"/>
      <c r="TW245" s="3"/>
      <c r="TX245" s="3"/>
      <c r="TY245" s="3"/>
      <c r="TZ245" s="3"/>
      <c r="UA245" s="3"/>
      <c r="UB245" s="3"/>
      <c r="UC245" s="3"/>
      <c r="UD245" s="3"/>
      <c r="UE245" s="3"/>
      <c r="UF245" s="3"/>
      <c r="UG245" s="3"/>
      <c r="UH245" s="3"/>
      <c r="UI245" s="3"/>
      <c r="UJ245" s="3"/>
      <c r="UK245" s="3"/>
      <c r="UL245" s="3"/>
      <c r="UM245" s="3"/>
      <c r="UN245" s="3"/>
      <c r="UO245" s="3"/>
      <c r="UP245" s="3"/>
      <c r="UQ245" s="3"/>
      <c r="UR245" s="3"/>
      <c r="US245" s="3"/>
      <c r="UT245" s="3"/>
      <c r="UU245" s="3"/>
      <c r="UV245" s="3"/>
      <c r="UW245" s="3"/>
      <c r="UX245" s="3"/>
      <c r="UY245" s="3"/>
      <c r="UZ245" s="3"/>
      <c r="VA245" s="3"/>
      <c r="VB245" s="3"/>
      <c r="VC245" s="3"/>
      <c r="VD245" s="3"/>
      <c r="VE245" s="3"/>
      <c r="VF245" s="3"/>
      <c r="VG245" s="3"/>
      <c r="VH245" s="3"/>
      <c r="VI245" s="3"/>
      <c r="VJ245" s="3"/>
      <c r="VK245" s="3"/>
      <c r="VL245" s="3"/>
      <c r="VM245" s="3"/>
      <c r="VN245" s="3"/>
      <c r="VO245" s="3"/>
      <c r="VP245" s="3"/>
      <c r="VQ245" s="3"/>
      <c r="VR245" s="3"/>
      <c r="VS245" s="3"/>
      <c r="VT245" s="3"/>
      <c r="VU245" s="3"/>
      <c r="VV245" s="3"/>
      <c r="VW245" s="3"/>
      <c r="VX245" s="3"/>
      <c r="VY245" s="3"/>
      <c r="VZ245" s="3"/>
      <c r="WA245" s="3"/>
      <c r="WB245" s="3"/>
      <c r="WC245" s="3"/>
      <c r="WD245" s="3"/>
      <c r="WE245" s="3"/>
      <c r="WF245" s="3"/>
      <c r="WG245" s="3"/>
      <c r="WH245" s="3"/>
      <c r="WI245" s="3"/>
      <c r="WJ245" s="3"/>
      <c r="WK245" s="3"/>
      <c r="WL245" s="3"/>
      <c r="WM245" s="3"/>
      <c r="WN245" s="3"/>
      <c r="WO245" s="3"/>
      <c r="WP245" s="3"/>
      <c r="WQ245" s="3"/>
      <c r="WR245" s="3"/>
      <c r="WS245" s="3"/>
      <c r="WT245" s="3"/>
      <c r="WU245" s="3"/>
      <c r="WV245" s="3"/>
      <c r="WW245" s="3"/>
      <c r="WX245" s="3"/>
      <c r="WY245" s="3"/>
      <c r="WZ245" s="3"/>
      <c r="XA245" s="3"/>
      <c r="XB245" s="3"/>
      <c r="XC245" s="3"/>
      <c r="XD245" s="3"/>
      <c r="XE245" s="3"/>
      <c r="XF245" s="3"/>
      <c r="XG245" s="3"/>
      <c r="XH245" s="3"/>
      <c r="XI245" s="3"/>
      <c r="XJ245" s="3"/>
      <c r="XK245" s="3"/>
      <c r="XL245" s="3"/>
      <c r="XM245" s="3"/>
      <c r="XN245" s="3"/>
      <c r="XO245" s="3"/>
      <c r="XP245" s="3"/>
      <c r="XQ245" s="3"/>
      <c r="XR245" s="3"/>
      <c r="XS245" s="3"/>
      <c r="XT245" s="3"/>
      <c r="XU245" s="3"/>
      <c r="XV245" s="3"/>
      <c r="XW245" s="3"/>
      <c r="XX245" s="3"/>
      <c r="XY245" s="3"/>
      <c r="XZ245" s="3"/>
      <c r="YA245" s="3"/>
      <c r="YB245" s="3"/>
      <c r="YC245" s="3"/>
      <c r="YD245" s="3"/>
      <c r="YE245" s="3"/>
      <c r="YF245" s="3"/>
      <c r="YG245" s="3"/>
      <c r="YH245" s="3"/>
      <c r="YI245" s="3"/>
      <c r="YJ245" s="3"/>
      <c r="YK245" s="3"/>
      <c r="YL245" s="3"/>
      <c r="YM245" s="3"/>
      <c r="YN245" s="3"/>
      <c r="YO245" s="3"/>
      <c r="YP245" s="3"/>
      <c r="YQ245" s="3"/>
      <c r="YR245" s="3"/>
      <c r="YS245" s="3"/>
      <c r="YT245" s="3"/>
      <c r="YU245" s="3"/>
      <c r="YV245" s="3"/>
      <c r="YW245" s="3"/>
      <c r="YX245" s="3"/>
      <c r="YY245" s="3"/>
      <c r="YZ245" s="3"/>
      <c r="ZA245" s="3"/>
      <c r="ZB245" s="3"/>
      <c r="ZC245" s="3"/>
    </row>
    <row r="246" spans="1:679" s="2" customFormat="1" x14ac:dyDescent="0.45">
      <c r="A246" s="3" t="s">
        <v>11</v>
      </c>
      <c r="B246" s="4">
        <v>37356</v>
      </c>
      <c r="C246" s="7" t="s">
        <v>21</v>
      </c>
      <c r="D246" s="6" t="s">
        <v>264</v>
      </c>
      <c r="E246" s="3"/>
      <c r="F246" s="3">
        <v>17</v>
      </c>
      <c r="L246" s="3"/>
      <c r="M246" s="3"/>
      <c r="N246" s="48"/>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c r="CP246" s="3"/>
      <c r="CQ246" s="3"/>
      <c r="CR246" s="3"/>
      <c r="CS246" s="3"/>
      <c r="CT246" s="3"/>
      <c r="CU246" s="3"/>
      <c r="CV246" s="3"/>
      <c r="CW246" s="3"/>
      <c r="CX246" s="3"/>
      <c r="CY246" s="3"/>
      <c r="CZ246" s="3"/>
      <c r="DA246" s="3"/>
      <c r="DB246" s="3"/>
      <c r="DC246" s="3"/>
      <c r="DD246" s="3"/>
      <c r="DE246" s="3"/>
      <c r="DF246" s="3"/>
      <c r="DG246" s="3"/>
      <c r="DH246" s="3"/>
      <c r="DI246" s="3"/>
      <c r="DJ246" s="3"/>
      <c r="DK246" s="3"/>
      <c r="DL246" s="3"/>
      <c r="DM246" s="3"/>
      <c r="DN246" s="3"/>
      <c r="DO246" s="3"/>
      <c r="DP246" s="3"/>
      <c r="DQ246" s="3"/>
      <c r="DR246" s="3"/>
      <c r="DS246" s="3"/>
      <c r="DT246" s="3"/>
      <c r="DU246" s="3"/>
      <c r="DV246" s="3"/>
      <c r="DW246" s="3"/>
      <c r="DX246" s="3"/>
      <c r="DY246" s="3"/>
      <c r="DZ246" s="3"/>
      <c r="EA246" s="3"/>
      <c r="EB246" s="3"/>
      <c r="EC246" s="3"/>
      <c r="ED246" s="3"/>
      <c r="EE246" s="3"/>
      <c r="EF246" s="3"/>
      <c r="EG246" s="3"/>
      <c r="EH246" s="3"/>
      <c r="EI246" s="3"/>
      <c r="EJ246" s="3"/>
      <c r="EK246" s="3"/>
      <c r="EL246" s="3"/>
      <c r="EM246" s="3"/>
      <c r="EN246" s="3"/>
      <c r="EO246" s="3"/>
      <c r="EP246" s="3"/>
      <c r="EQ246" s="3"/>
      <c r="ER246" s="3"/>
      <c r="ES246" s="3"/>
      <c r="ET246" s="3"/>
      <c r="EU246" s="3"/>
      <c r="EV246" s="3"/>
      <c r="EW246" s="3"/>
      <c r="EX246" s="3"/>
      <c r="EY246" s="3"/>
      <c r="EZ246" s="3"/>
      <c r="FA246" s="3"/>
      <c r="FB246" s="3"/>
      <c r="FC246" s="3"/>
      <c r="FD246" s="3"/>
      <c r="FE246" s="3"/>
      <c r="FF246" s="3"/>
      <c r="FG246" s="3"/>
      <c r="FH246" s="3"/>
      <c r="FI246" s="3"/>
      <c r="FJ246" s="3"/>
      <c r="FK246" s="3"/>
      <c r="FL246" s="3"/>
      <c r="FM246" s="3"/>
      <c r="FN246" s="3"/>
      <c r="FO246" s="3"/>
      <c r="FP246" s="3"/>
      <c r="FQ246" s="3"/>
      <c r="FR246" s="3"/>
      <c r="FS246" s="3"/>
      <c r="FT246" s="3"/>
      <c r="FU246" s="3"/>
      <c r="FV246" s="3"/>
      <c r="FW246" s="3"/>
      <c r="FX246" s="3"/>
      <c r="FY246" s="3"/>
      <c r="FZ246" s="3"/>
      <c r="GA246" s="3"/>
      <c r="GB246" s="3"/>
      <c r="GC246" s="3"/>
      <c r="GD246" s="3"/>
      <c r="GE246" s="3"/>
      <c r="GF246" s="3"/>
      <c r="GG246" s="3"/>
      <c r="GH246" s="3"/>
      <c r="GI246" s="3"/>
      <c r="GJ246" s="3"/>
      <c r="GK246" s="3"/>
      <c r="GL246" s="3"/>
      <c r="GM246" s="3"/>
      <c r="GN246" s="3"/>
      <c r="GO246" s="3"/>
      <c r="GP246" s="3"/>
      <c r="GQ246" s="3"/>
      <c r="GR246" s="3"/>
      <c r="GS246" s="3"/>
      <c r="GT246" s="3"/>
      <c r="GU246" s="3"/>
      <c r="GV246" s="3"/>
      <c r="GW246" s="3"/>
      <c r="GX246" s="3"/>
      <c r="GY246" s="3"/>
      <c r="GZ246" s="3"/>
      <c r="HA246" s="3"/>
      <c r="HB246" s="3"/>
      <c r="HC246" s="3"/>
      <c r="HD246" s="3"/>
      <c r="HE246" s="3"/>
      <c r="HF246" s="3"/>
      <c r="HG246" s="3"/>
      <c r="HH246" s="3"/>
      <c r="HI246" s="3"/>
      <c r="HJ246" s="3"/>
      <c r="HK246" s="3"/>
      <c r="HL246" s="3"/>
      <c r="HM246" s="3"/>
      <c r="HN246" s="3"/>
      <c r="HO246" s="3"/>
      <c r="HP246" s="3"/>
      <c r="HQ246" s="3"/>
      <c r="HR246" s="3"/>
      <c r="HS246" s="3"/>
      <c r="HT246" s="3"/>
      <c r="HU246" s="3"/>
      <c r="HV246" s="3"/>
      <c r="HW246" s="3"/>
      <c r="HX246" s="3"/>
      <c r="HY246" s="3"/>
      <c r="HZ246" s="3"/>
      <c r="IA246" s="3"/>
      <c r="IB246" s="3"/>
      <c r="IC246" s="3"/>
      <c r="ID246" s="3"/>
      <c r="IE246" s="3"/>
      <c r="IF246" s="3"/>
      <c r="IG246" s="3"/>
      <c r="IH246" s="3"/>
      <c r="II246" s="3"/>
      <c r="IJ246" s="3"/>
      <c r="IK246" s="3"/>
      <c r="IL246" s="3"/>
      <c r="IM246" s="3"/>
      <c r="IN246" s="3"/>
      <c r="IO246" s="3"/>
      <c r="IP246" s="3"/>
      <c r="IQ246" s="3"/>
      <c r="IR246" s="3"/>
      <c r="IS246" s="3"/>
      <c r="IT246" s="3"/>
      <c r="IU246" s="3"/>
      <c r="IV246" s="3"/>
      <c r="IW246" s="3"/>
      <c r="IX246" s="3"/>
      <c r="IY246" s="3"/>
      <c r="IZ246" s="3"/>
      <c r="JA246" s="3"/>
      <c r="JB246" s="3"/>
      <c r="JC246" s="3"/>
      <c r="JD246" s="3"/>
      <c r="JE246" s="3"/>
      <c r="JF246" s="3"/>
      <c r="JG246" s="3"/>
      <c r="JH246" s="3"/>
      <c r="JI246" s="3"/>
      <c r="JJ246" s="3"/>
      <c r="JK246" s="3"/>
      <c r="JL246" s="3"/>
      <c r="JM246" s="3"/>
      <c r="JN246" s="3"/>
      <c r="JO246" s="3"/>
      <c r="JP246" s="3"/>
      <c r="JQ246" s="3"/>
      <c r="JR246" s="3"/>
      <c r="JS246" s="3"/>
      <c r="JT246" s="3"/>
      <c r="JU246" s="3"/>
      <c r="JV246" s="3"/>
      <c r="JW246" s="3"/>
      <c r="JX246" s="3"/>
      <c r="JY246" s="3"/>
      <c r="JZ246" s="3"/>
      <c r="KA246" s="3"/>
      <c r="KB246" s="3"/>
      <c r="KC246" s="3"/>
      <c r="KD246" s="3"/>
      <c r="KE246" s="3"/>
      <c r="KF246" s="3"/>
      <c r="KG246" s="3"/>
      <c r="KH246" s="3"/>
      <c r="KI246" s="3"/>
      <c r="KJ246" s="3"/>
      <c r="KK246" s="3"/>
      <c r="KL246" s="3"/>
      <c r="KM246" s="3"/>
      <c r="KN246" s="3"/>
      <c r="KO246" s="3"/>
      <c r="KP246" s="3"/>
      <c r="KQ246" s="3"/>
      <c r="KR246" s="3"/>
      <c r="KS246" s="3"/>
      <c r="KT246" s="3"/>
      <c r="KU246" s="3"/>
      <c r="KV246" s="3"/>
      <c r="KW246" s="3"/>
      <c r="KX246" s="3"/>
      <c r="KY246" s="3"/>
      <c r="KZ246" s="3"/>
      <c r="LA246" s="3"/>
      <c r="LB246" s="3"/>
      <c r="LC246" s="3"/>
      <c r="LD246" s="3"/>
      <c r="LE246" s="3"/>
      <c r="LF246" s="3"/>
      <c r="LG246" s="3"/>
      <c r="LH246" s="3"/>
      <c r="LI246" s="3"/>
      <c r="LJ246" s="3"/>
      <c r="LK246" s="3"/>
      <c r="LL246" s="3"/>
      <c r="LM246" s="3"/>
      <c r="LN246" s="3"/>
      <c r="LO246" s="3"/>
      <c r="LP246" s="3"/>
      <c r="LQ246" s="3"/>
      <c r="LR246" s="3"/>
      <c r="LS246" s="3"/>
      <c r="LT246" s="3"/>
      <c r="LU246" s="3"/>
      <c r="LV246" s="3"/>
      <c r="LW246" s="3"/>
      <c r="LX246" s="3"/>
      <c r="LY246" s="3"/>
      <c r="LZ246" s="3"/>
      <c r="MA246" s="3"/>
      <c r="MB246" s="3"/>
      <c r="MC246" s="3"/>
      <c r="MD246" s="3"/>
      <c r="ME246" s="3"/>
      <c r="MF246" s="3"/>
      <c r="MG246" s="3"/>
      <c r="MH246" s="3"/>
      <c r="MI246" s="3"/>
      <c r="MJ246" s="3"/>
      <c r="MK246" s="3"/>
      <c r="ML246" s="3"/>
      <c r="MM246" s="3"/>
      <c r="MN246" s="3"/>
      <c r="MO246" s="3"/>
      <c r="MP246" s="3"/>
      <c r="MQ246" s="3"/>
      <c r="MR246" s="3"/>
      <c r="MS246" s="3"/>
      <c r="MT246" s="3"/>
      <c r="MU246" s="3"/>
      <c r="MV246" s="3"/>
      <c r="MW246" s="3"/>
      <c r="MX246" s="3"/>
      <c r="MY246" s="3"/>
      <c r="MZ246" s="3"/>
      <c r="NA246" s="3"/>
      <c r="NB246" s="3"/>
      <c r="NC246" s="3"/>
      <c r="ND246" s="3"/>
      <c r="NE246" s="3"/>
      <c r="NF246" s="3"/>
      <c r="NG246" s="3"/>
      <c r="NH246" s="3"/>
      <c r="NI246" s="3"/>
      <c r="NJ246" s="3"/>
      <c r="NK246" s="3"/>
      <c r="NL246" s="3"/>
      <c r="NM246" s="3"/>
      <c r="NN246" s="3"/>
      <c r="NO246" s="3"/>
      <c r="NP246" s="3"/>
      <c r="NQ246" s="3"/>
      <c r="NR246" s="3"/>
      <c r="NS246" s="3"/>
      <c r="NT246" s="3"/>
      <c r="NU246" s="3"/>
      <c r="NV246" s="3"/>
      <c r="NW246" s="3"/>
      <c r="NX246" s="3"/>
      <c r="NY246" s="3"/>
      <c r="NZ246" s="3"/>
      <c r="OA246" s="3"/>
      <c r="OB246" s="3"/>
      <c r="OC246" s="3"/>
      <c r="OD246" s="3"/>
      <c r="OE246" s="3"/>
      <c r="OF246" s="3"/>
      <c r="OG246" s="3"/>
      <c r="OH246" s="3"/>
      <c r="OI246" s="3"/>
      <c r="OJ246" s="3"/>
      <c r="OK246" s="3"/>
      <c r="OL246" s="3"/>
      <c r="OM246" s="3"/>
      <c r="ON246" s="3"/>
      <c r="OO246" s="3"/>
      <c r="OP246" s="3"/>
      <c r="OQ246" s="3"/>
      <c r="OR246" s="3"/>
      <c r="OS246" s="3"/>
      <c r="OT246" s="3"/>
      <c r="OU246" s="3"/>
      <c r="OV246" s="3"/>
      <c r="OW246" s="3"/>
      <c r="OX246" s="3"/>
      <c r="OY246" s="3"/>
      <c r="OZ246" s="3"/>
      <c r="PA246" s="3"/>
      <c r="PB246" s="3"/>
      <c r="PC246" s="3"/>
      <c r="PD246" s="3"/>
      <c r="PE246" s="3"/>
      <c r="PF246" s="3"/>
      <c r="PG246" s="3"/>
      <c r="PH246" s="3"/>
      <c r="PI246" s="3"/>
      <c r="PJ246" s="3"/>
      <c r="PK246" s="3"/>
      <c r="PL246" s="3"/>
      <c r="PM246" s="3"/>
      <c r="PN246" s="3"/>
      <c r="PO246" s="3"/>
      <c r="PP246" s="3"/>
      <c r="PQ246" s="3"/>
      <c r="PR246" s="3"/>
      <c r="PS246" s="3"/>
      <c r="PT246" s="3"/>
      <c r="PU246" s="3"/>
      <c r="PV246" s="3"/>
      <c r="PW246" s="3"/>
      <c r="PX246" s="3"/>
      <c r="PY246" s="3"/>
      <c r="PZ246" s="3"/>
      <c r="QA246" s="3"/>
      <c r="QB246" s="3"/>
      <c r="QC246" s="3"/>
      <c r="QD246" s="3"/>
      <c r="QE246" s="3"/>
      <c r="QF246" s="3"/>
      <c r="QG246" s="3"/>
      <c r="QH246" s="3"/>
      <c r="QI246" s="3"/>
      <c r="QJ246" s="3"/>
      <c r="QK246" s="3"/>
      <c r="QL246" s="3"/>
      <c r="QM246" s="3"/>
      <c r="QN246" s="3"/>
      <c r="QO246" s="3"/>
      <c r="QP246" s="3"/>
      <c r="QQ246" s="3"/>
      <c r="QR246" s="3"/>
      <c r="QS246" s="3"/>
      <c r="QT246" s="3"/>
      <c r="QU246" s="3"/>
      <c r="QV246" s="3"/>
      <c r="QW246" s="3"/>
      <c r="QX246" s="3"/>
      <c r="QY246" s="3"/>
      <c r="QZ246" s="3"/>
      <c r="RA246" s="3"/>
      <c r="RB246" s="3"/>
      <c r="RC246" s="3"/>
      <c r="RD246" s="3"/>
      <c r="RE246" s="3"/>
      <c r="RF246" s="3"/>
      <c r="RG246" s="3"/>
      <c r="RH246" s="3"/>
      <c r="RI246" s="3"/>
      <c r="RJ246" s="3"/>
      <c r="RK246" s="3"/>
      <c r="RL246" s="3"/>
      <c r="RM246" s="3"/>
      <c r="RN246" s="3"/>
      <c r="RO246" s="3"/>
      <c r="RP246" s="3"/>
      <c r="RQ246" s="3"/>
      <c r="RR246" s="3"/>
      <c r="RS246" s="3"/>
      <c r="RT246" s="3"/>
      <c r="RU246" s="3"/>
      <c r="RV246" s="3"/>
      <c r="RW246" s="3"/>
      <c r="RX246" s="3"/>
      <c r="RY246" s="3"/>
      <c r="RZ246" s="3"/>
      <c r="SA246" s="3"/>
      <c r="SB246" s="3"/>
      <c r="SC246" s="3"/>
      <c r="SD246" s="3"/>
      <c r="SE246" s="3"/>
      <c r="SF246" s="3"/>
      <c r="SG246" s="3"/>
      <c r="SH246" s="3"/>
      <c r="SI246" s="3"/>
      <c r="SJ246" s="3"/>
      <c r="SK246" s="3"/>
      <c r="SL246" s="3"/>
      <c r="SM246" s="3"/>
      <c r="SN246" s="3"/>
      <c r="SO246" s="3"/>
      <c r="SP246" s="3"/>
      <c r="SQ246" s="3"/>
      <c r="SR246" s="3"/>
      <c r="SS246" s="3"/>
      <c r="ST246" s="3"/>
      <c r="SU246" s="3"/>
      <c r="SV246" s="3"/>
      <c r="SW246" s="3"/>
      <c r="SX246" s="3"/>
      <c r="SY246" s="3"/>
      <c r="SZ246" s="3"/>
      <c r="TA246" s="3"/>
      <c r="TB246" s="3"/>
      <c r="TC246" s="3"/>
      <c r="TD246" s="3"/>
      <c r="TE246" s="3"/>
      <c r="TF246" s="3"/>
      <c r="TG246" s="3"/>
      <c r="TH246" s="3"/>
      <c r="TI246" s="3"/>
      <c r="TJ246" s="3"/>
      <c r="TK246" s="3"/>
      <c r="TL246" s="3"/>
      <c r="TM246" s="3"/>
      <c r="TN246" s="3"/>
      <c r="TO246" s="3"/>
      <c r="TP246" s="3"/>
      <c r="TQ246" s="3"/>
      <c r="TR246" s="3"/>
      <c r="TS246" s="3"/>
      <c r="TT246" s="3"/>
      <c r="TU246" s="3"/>
      <c r="TV246" s="3"/>
      <c r="TW246" s="3"/>
      <c r="TX246" s="3"/>
      <c r="TY246" s="3"/>
      <c r="TZ246" s="3"/>
      <c r="UA246" s="3"/>
      <c r="UB246" s="3"/>
      <c r="UC246" s="3"/>
      <c r="UD246" s="3"/>
      <c r="UE246" s="3"/>
      <c r="UF246" s="3"/>
      <c r="UG246" s="3"/>
      <c r="UH246" s="3"/>
      <c r="UI246" s="3"/>
      <c r="UJ246" s="3"/>
      <c r="UK246" s="3"/>
      <c r="UL246" s="3"/>
      <c r="UM246" s="3"/>
      <c r="UN246" s="3"/>
      <c r="UO246" s="3"/>
      <c r="UP246" s="3"/>
      <c r="UQ246" s="3"/>
      <c r="UR246" s="3"/>
      <c r="US246" s="3"/>
      <c r="UT246" s="3"/>
      <c r="UU246" s="3"/>
      <c r="UV246" s="3"/>
      <c r="UW246" s="3"/>
      <c r="UX246" s="3"/>
      <c r="UY246" s="3"/>
      <c r="UZ246" s="3"/>
      <c r="VA246" s="3"/>
      <c r="VB246" s="3"/>
      <c r="VC246" s="3"/>
      <c r="VD246" s="3"/>
      <c r="VE246" s="3"/>
      <c r="VF246" s="3"/>
      <c r="VG246" s="3"/>
      <c r="VH246" s="3"/>
      <c r="VI246" s="3"/>
      <c r="VJ246" s="3"/>
      <c r="VK246" s="3"/>
      <c r="VL246" s="3"/>
      <c r="VM246" s="3"/>
      <c r="VN246" s="3"/>
      <c r="VO246" s="3"/>
      <c r="VP246" s="3"/>
      <c r="VQ246" s="3"/>
      <c r="VR246" s="3"/>
      <c r="VS246" s="3"/>
      <c r="VT246" s="3"/>
      <c r="VU246" s="3"/>
      <c r="VV246" s="3"/>
      <c r="VW246" s="3"/>
      <c r="VX246" s="3"/>
      <c r="VY246" s="3"/>
      <c r="VZ246" s="3"/>
      <c r="WA246" s="3"/>
      <c r="WB246" s="3"/>
      <c r="WC246" s="3"/>
      <c r="WD246" s="3"/>
      <c r="WE246" s="3"/>
      <c r="WF246" s="3"/>
      <c r="WG246" s="3"/>
      <c r="WH246" s="3"/>
      <c r="WI246" s="3"/>
      <c r="WJ246" s="3"/>
      <c r="WK246" s="3"/>
      <c r="WL246" s="3"/>
      <c r="WM246" s="3"/>
      <c r="WN246" s="3"/>
      <c r="WO246" s="3"/>
      <c r="WP246" s="3"/>
      <c r="WQ246" s="3"/>
      <c r="WR246" s="3"/>
      <c r="WS246" s="3"/>
      <c r="WT246" s="3"/>
      <c r="WU246" s="3"/>
      <c r="WV246" s="3"/>
      <c r="WW246" s="3"/>
      <c r="WX246" s="3"/>
      <c r="WY246" s="3"/>
      <c r="WZ246" s="3"/>
      <c r="XA246" s="3"/>
      <c r="XB246" s="3"/>
      <c r="XC246" s="3"/>
      <c r="XD246" s="3"/>
      <c r="XE246" s="3"/>
      <c r="XF246" s="3"/>
      <c r="XG246" s="3"/>
      <c r="XH246" s="3"/>
      <c r="XI246" s="3"/>
      <c r="XJ246" s="3"/>
      <c r="XK246" s="3"/>
      <c r="XL246" s="3"/>
      <c r="XM246" s="3"/>
      <c r="XN246" s="3"/>
      <c r="XO246" s="3"/>
      <c r="XP246" s="3"/>
      <c r="XQ246" s="3"/>
      <c r="XR246" s="3"/>
      <c r="XS246" s="3"/>
      <c r="XT246" s="3"/>
      <c r="XU246" s="3"/>
      <c r="XV246" s="3"/>
      <c r="XW246" s="3"/>
      <c r="XX246" s="3"/>
      <c r="XY246" s="3"/>
      <c r="XZ246" s="3"/>
      <c r="YA246" s="3"/>
      <c r="YB246" s="3"/>
      <c r="YC246" s="3"/>
      <c r="YD246" s="3"/>
      <c r="YE246" s="3"/>
      <c r="YF246" s="3"/>
      <c r="YG246" s="3"/>
      <c r="YH246" s="3"/>
      <c r="YI246" s="3"/>
      <c r="YJ246" s="3"/>
      <c r="YK246" s="3"/>
      <c r="YL246" s="3"/>
      <c r="YM246" s="3"/>
      <c r="YN246" s="3"/>
      <c r="YO246" s="3"/>
      <c r="YP246" s="3"/>
      <c r="YQ246" s="3"/>
      <c r="YR246" s="3"/>
      <c r="YS246" s="3"/>
      <c r="YT246" s="3"/>
      <c r="YU246" s="3"/>
      <c r="YV246" s="3"/>
      <c r="YW246" s="3"/>
      <c r="YX246" s="3"/>
      <c r="YY246" s="3"/>
      <c r="YZ246" s="3"/>
      <c r="ZA246" s="3"/>
      <c r="ZB246" s="3"/>
      <c r="ZC246" s="3"/>
    </row>
    <row r="247" spans="1:679" s="2" customFormat="1" x14ac:dyDescent="0.45">
      <c r="A247" s="3" t="s">
        <v>11</v>
      </c>
      <c r="B247" s="4">
        <v>37368</v>
      </c>
      <c r="C247" s="7" t="s">
        <v>25</v>
      </c>
      <c r="D247" s="6" t="s">
        <v>265</v>
      </c>
      <c r="E247" s="3"/>
      <c r="F247" s="3">
        <v>42</v>
      </c>
      <c r="L247" s="3"/>
      <c r="M247" s="3"/>
      <c r="N247" s="48"/>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c r="CP247" s="3"/>
      <c r="CQ247" s="3"/>
      <c r="CR247" s="3"/>
      <c r="CS247" s="3"/>
      <c r="CT247" s="3"/>
      <c r="CU247" s="3"/>
      <c r="CV247" s="3"/>
      <c r="CW247" s="3"/>
      <c r="CX247" s="3"/>
      <c r="CY247" s="3"/>
      <c r="CZ247" s="3"/>
      <c r="DA247" s="3"/>
      <c r="DB247" s="3"/>
      <c r="DC247" s="3"/>
      <c r="DD247" s="3"/>
      <c r="DE247" s="3"/>
      <c r="DF247" s="3"/>
      <c r="DG247" s="3"/>
      <c r="DH247" s="3"/>
      <c r="DI247" s="3"/>
      <c r="DJ247" s="3"/>
      <c r="DK247" s="3"/>
      <c r="DL247" s="3"/>
      <c r="DM247" s="3"/>
      <c r="DN247" s="3"/>
      <c r="DO247" s="3"/>
      <c r="DP247" s="3"/>
      <c r="DQ247" s="3"/>
      <c r="DR247" s="3"/>
      <c r="DS247" s="3"/>
      <c r="DT247" s="3"/>
      <c r="DU247" s="3"/>
      <c r="DV247" s="3"/>
      <c r="DW247" s="3"/>
      <c r="DX247" s="3"/>
      <c r="DY247" s="3"/>
      <c r="DZ247" s="3"/>
      <c r="EA247" s="3"/>
      <c r="EB247" s="3"/>
      <c r="EC247" s="3"/>
      <c r="ED247" s="3"/>
      <c r="EE247" s="3"/>
      <c r="EF247" s="3"/>
      <c r="EG247" s="3"/>
      <c r="EH247" s="3"/>
      <c r="EI247" s="3"/>
      <c r="EJ247" s="3"/>
      <c r="EK247" s="3"/>
      <c r="EL247" s="3"/>
      <c r="EM247" s="3"/>
      <c r="EN247" s="3"/>
      <c r="EO247" s="3"/>
      <c r="EP247" s="3"/>
      <c r="EQ247" s="3"/>
      <c r="ER247" s="3"/>
      <c r="ES247" s="3"/>
      <c r="ET247" s="3"/>
      <c r="EU247" s="3"/>
      <c r="EV247" s="3"/>
      <c r="EW247" s="3"/>
      <c r="EX247" s="3"/>
      <c r="EY247" s="3"/>
      <c r="EZ247" s="3"/>
      <c r="FA247" s="3"/>
      <c r="FB247" s="3"/>
      <c r="FC247" s="3"/>
      <c r="FD247" s="3"/>
      <c r="FE247" s="3"/>
      <c r="FF247" s="3"/>
      <c r="FG247" s="3"/>
      <c r="FH247" s="3"/>
      <c r="FI247" s="3"/>
      <c r="FJ247" s="3"/>
      <c r="FK247" s="3"/>
      <c r="FL247" s="3"/>
      <c r="FM247" s="3"/>
      <c r="FN247" s="3"/>
      <c r="FO247" s="3"/>
      <c r="FP247" s="3"/>
      <c r="FQ247" s="3"/>
      <c r="FR247" s="3"/>
      <c r="FS247" s="3"/>
      <c r="FT247" s="3"/>
      <c r="FU247" s="3"/>
      <c r="FV247" s="3"/>
      <c r="FW247" s="3"/>
      <c r="FX247" s="3"/>
      <c r="FY247" s="3"/>
      <c r="FZ247" s="3"/>
      <c r="GA247" s="3"/>
      <c r="GB247" s="3"/>
      <c r="GC247" s="3"/>
      <c r="GD247" s="3"/>
      <c r="GE247" s="3"/>
      <c r="GF247" s="3"/>
      <c r="GG247" s="3"/>
      <c r="GH247" s="3"/>
      <c r="GI247" s="3"/>
      <c r="GJ247" s="3"/>
      <c r="GK247" s="3"/>
      <c r="GL247" s="3"/>
      <c r="GM247" s="3"/>
      <c r="GN247" s="3"/>
      <c r="GO247" s="3"/>
      <c r="GP247" s="3"/>
      <c r="GQ247" s="3"/>
      <c r="GR247" s="3"/>
      <c r="GS247" s="3"/>
      <c r="GT247" s="3"/>
      <c r="GU247" s="3"/>
      <c r="GV247" s="3"/>
      <c r="GW247" s="3"/>
      <c r="GX247" s="3"/>
      <c r="GY247" s="3"/>
      <c r="GZ247" s="3"/>
      <c r="HA247" s="3"/>
      <c r="HB247" s="3"/>
      <c r="HC247" s="3"/>
      <c r="HD247" s="3"/>
      <c r="HE247" s="3"/>
      <c r="HF247" s="3"/>
      <c r="HG247" s="3"/>
      <c r="HH247" s="3"/>
      <c r="HI247" s="3"/>
      <c r="HJ247" s="3"/>
      <c r="HK247" s="3"/>
      <c r="HL247" s="3"/>
      <c r="HM247" s="3"/>
      <c r="HN247" s="3"/>
      <c r="HO247" s="3"/>
      <c r="HP247" s="3"/>
      <c r="HQ247" s="3"/>
      <c r="HR247" s="3"/>
      <c r="HS247" s="3"/>
      <c r="HT247" s="3"/>
      <c r="HU247" s="3"/>
      <c r="HV247" s="3"/>
      <c r="HW247" s="3"/>
      <c r="HX247" s="3"/>
      <c r="HY247" s="3"/>
      <c r="HZ247" s="3"/>
      <c r="IA247" s="3"/>
      <c r="IB247" s="3"/>
      <c r="IC247" s="3"/>
      <c r="ID247" s="3"/>
      <c r="IE247" s="3"/>
      <c r="IF247" s="3"/>
      <c r="IG247" s="3"/>
      <c r="IH247" s="3"/>
      <c r="II247" s="3"/>
      <c r="IJ247" s="3"/>
      <c r="IK247" s="3"/>
      <c r="IL247" s="3"/>
      <c r="IM247" s="3"/>
      <c r="IN247" s="3"/>
      <c r="IO247" s="3"/>
      <c r="IP247" s="3"/>
      <c r="IQ247" s="3"/>
      <c r="IR247" s="3"/>
      <c r="IS247" s="3"/>
      <c r="IT247" s="3"/>
      <c r="IU247" s="3"/>
      <c r="IV247" s="3"/>
      <c r="IW247" s="3"/>
      <c r="IX247" s="3"/>
      <c r="IY247" s="3"/>
      <c r="IZ247" s="3"/>
      <c r="JA247" s="3"/>
      <c r="JB247" s="3"/>
      <c r="JC247" s="3"/>
      <c r="JD247" s="3"/>
      <c r="JE247" s="3"/>
      <c r="JF247" s="3"/>
      <c r="JG247" s="3"/>
      <c r="JH247" s="3"/>
      <c r="JI247" s="3"/>
      <c r="JJ247" s="3"/>
      <c r="JK247" s="3"/>
      <c r="JL247" s="3"/>
      <c r="JM247" s="3"/>
      <c r="JN247" s="3"/>
      <c r="JO247" s="3"/>
      <c r="JP247" s="3"/>
      <c r="JQ247" s="3"/>
      <c r="JR247" s="3"/>
      <c r="JS247" s="3"/>
      <c r="JT247" s="3"/>
      <c r="JU247" s="3"/>
      <c r="JV247" s="3"/>
      <c r="JW247" s="3"/>
      <c r="JX247" s="3"/>
      <c r="JY247" s="3"/>
      <c r="JZ247" s="3"/>
      <c r="KA247" s="3"/>
      <c r="KB247" s="3"/>
      <c r="KC247" s="3"/>
      <c r="KD247" s="3"/>
      <c r="KE247" s="3"/>
      <c r="KF247" s="3"/>
      <c r="KG247" s="3"/>
      <c r="KH247" s="3"/>
      <c r="KI247" s="3"/>
      <c r="KJ247" s="3"/>
      <c r="KK247" s="3"/>
      <c r="KL247" s="3"/>
      <c r="KM247" s="3"/>
      <c r="KN247" s="3"/>
      <c r="KO247" s="3"/>
      <c r="KP247" s="3"/>
      <c r="KQ247" s="3"/>
      <c r="KR247" s="3"/>
      <c r="KS247" s="3"/>
      <c r="KT247" s="3"/>
      <c r="KU247" s="3"/>
      <c r="KV247" s="3"/>
      <c r="KW247" s="3"/>
      <c r="KX247" s="3"/>
      <c r="KY247" s="3"/>
      <c r="KZ247" s="3"/>
      <c r="LA247" s="3"/>
      <c r="LB247" s="3"/>
      <c r="LC247" s="3"/>
      <c r="LD247" s="3"/>
      <c r="LE247" s="3"/>
      <c r="LF247" s="3"/>
      <c r="LG247" s="3"/>
      <c r="LH247" s="3"/>
      <c r="LI247" s="3"/>
      <c r="LJ247" s="3"/>
      <c r="LK247" s="3"/>
      <c r="LL247" s="3"/>
      <c r="LM247" s="3"/>
      <c r="LN247" s="3"/>
      <c r="LO247" s="3"/>
      <c r="LP247" s="3"/>
      <c r="LQ247" s="3"/>
      <c r="LR247" s="3"/>
      <c r="LS247" s="3"/>
      <c r="LT247" s="3"/>
      <c r="LU247" s="3"/>
      <c r="LV247" s="3"/>
      <c r="LW247" s="3"/>
      <c r="LX247" s="3"/>
      <c r="LY247" s="3"/>
      <c r="LZ247" s="3"/>
      <c r="MA247" s="3"/>
      <c r="MB247" s="3"/>
      <c r="MC247" s="3"/>
      <c r="MD247" s="3"/>
      <c r="ME247" s="3"/>
      <c r="MF247" s="3"/>
      <c r="MG247" s="3"/>
      <c r="MH247" s="3"/>
      <c r="MI247" s="3"/>
      <c r="MJ247" s="3"/>
      <c r="MK247" s="3"/>
      <c r="ML247" s="3"/>
      <c r="MM247" s="3"/>
      <c r="MN247" s="3"/>
      <c r="MO247" s="3"/>
      <c r="MP247" s="3"/>
      <c r="MQ247" s="3"/>
      <c r="MR247" s="3"/>
      <c r="MS247" s="3"/>
      <c r="MT247" s="3"/>
      <c r="MU247" s="3"/>
      <c r="MV247" s="3"/>
      <c r="MW247" s="3"/>
      <c r="MX247" s="3"/>
      <c r="MY247" s="3"/>
      <c r="MZ247" s="3"/>
      <c r="NA247" s="3"/>
      <c r="NB247" s="3"/>
      <c r="NC247" s="3"/>
      <c r="ND247" s="3"/>
      <c r="NE247" s="3"/>
      <c r="NF247" s="3"/>
      <c r="NG247" s="3"/>
      <c r="NH247" s="3"/>
      <c r="NI247" s="3"/>
      <c r="NJ247" s="3"/>
      <c r="NK247" s="3"/>
      <c r="NL247" s="3"/>
      <c r="NM247" s="3"/>
      <c r="NN247" s="3"/>
      <c r="NO247" s="3"/>
      <c r="NP247" s="3"/>
      <c r="NQ247" s="3"/>
      <c r="NR247" s="3"/>
      <c r="NS247" s="3"/>
      <c r="NT247" s="3"/>
      <c r="NU247" s="3"/>
      <c r="NV247" s="3"/>
      <c r="NW247" s="3"/>
      <c r="NX247" s="3"/>
      <c r="NY247" s="3"/>
      <c r="NZ247" s="3"/>
      <c r="OA247" s="3"/>
      <c r="OB247" s="3"/>
      <c r="OC247" s="3"/>
      <c r="OD247" s="3"/>
      <c r="OE247" s="3"/>
      <c r="OF247" s="3"/>
      <c r="OG247" s="3"/>
      <c r="OH247" s="3"/>
      <c r="OI247" s="3"/>
      <c r="OJ247" s="3"/>
      <c r="OK247" s="3"/>
      <c r="OL247" s="3"/>
      <c r="OM247" s="3"/>
      <c r="ON247" s="3"/>
      <c r="OO247" s="3"/>
      <c r="OP247" s="3"/>
      <c r="OQ247" s="3"/>
      <c r="OR247" s="3"/>
      <c r="OS247" s="3"/>
      <c r="OT247" s="3"/>
      <c r="OU247" s="3"/>
      <c r="OV247" s="3"/>
      <c r="OW247" s="3"/>
      <c r="OX247" s="3"/>
      <c r="OY247" s="3"/>
      <c r="OZ247" s="3"/>
      <c r="PA247" s="3"/>
      <c r="PB247" s="3"/>
      <c r="PC247" s="3"/>
      <c r="PD247" s="3"/>
      <c r="PE247" s="3"/>
      <c r="PF247" s="3"/>
      <c r="PG247" s="3"/>
      <c r="PH247" s="3"/>
      <c r="PI247" s="3"/>
      <c r="PJ247" s="3"/>
      <c r="PK247" s="3"/>
      <c r="PL247" s="3"/>
      <c r="PM247" s="3"/>
      <c r="PN247" s="3"/>
      <c r="PO247" s="3"/>
      <c r="PP247" s="3"/>
      <c r="PQ247" s="3"/>
      <c r="PR247" s="3"/>
      <c r="PS247" s="3"/>
      <c r="PT247" s="3"/>
      <c r="PU247" s="3"/>
      <c r="PV247" s="3"/>
      <c r="PW247" s="3"/>
      <c r="PX247" s="3"/>
      <c r="PY247" s="3"/>
      <c r="PZ247" s="3"/>
      <c r="QA247" s="3"/>
      <c r="QB247" s="3"/>
      <c r="QC247" s="3"/>
      <c r="QD247" s="3"/>
      <c r="QE247" s="3"/>
      <c r="QF247" s="3"/>
      <c r="QG247" s="3"/>
      <c r="QH247" s="3"/>
      <c r="QI247" s="3"/>
      <c r="QJ247" s="3"/>
      <c r="QK247" s="3"/>
      <c r="QL247" s="3"/>
      <c r="QM247" s="3"/>
      <c r="QN247" s="3"/>
      <c r="QO247" s="3"/>
      <c r="QP247" s="3"/>
      <c r="QQ247" s="3"/>
      <c r="QR247" s="3"/>
      <c r="QS247" s="3"/>
      <c r="QT247" s="3"/>
      <c r="QU247" s="3"/>
      <c r="QV247" s="3"/>
      <c r="QW247" s="3"/>
      <c r="QX247" s="3"/>
      <c r="QY247" s="3"/>
      <c r="QZ247" s="3"/>
      <c r="RA247" s="3"/>
      <c r="RB247" s="3"/>
      <c r="RC247" s="3"/>
      <c r="RD247" s="3"/>
      <c r="RE247" s="3"/>
      <c r="RF247" s="3"/>
      <c r="RG247" s="3"/>
      <c r="RH247" s="3"/>
      <c r="RI247" s="3"/>
      <c r="RJ247" s="3"/>
      <c r="RK247" s="3"/>
      <c r="RL247" s="3"/>
      <c r="RM247" s="3"/>
      <c r="RN247" s="3"/>
      <c r="RO247" s="3"/>
      <c r="RP247" s="3"/>
      <c r="RQ247" s="3"/>
      <c r="RR247" s="3"/>
      <c r="RS247" s="3"/>
      <c r="RT247" s="3"/>
      <c r="RU247" s="3"/>
      <c r="RV247" s="3"/>
      <c r="RW247" s="3"/>
      <c r="RX247" s="3"/>
      <c r="RY247" s="3"/>
      <c r="RZ247" s="3"/>
      <c r="SA247" s="3"/>
      <c r="SB247" s="3"/>
      <c r="SC247" s="3"/>
      <c r="SD247" s="3"/>
      <c r="SE247" s="3"/>
      <c r="SF247" s="3"/>
      <c r="SG247" s="3"/>
      <c r="SH247" s="3"/>
      <c r="SI247" s="3"/>
      <c r="SJ247" s="3"/>
      <c r="SK247" s="3"/>
      <c r="SL247" s="3"/>
      <c r="SM247" s="3"/>
      <c r="SN247" s="3"/>
      <c r="SO247" s="3"/>
      <c r="SP247" s="3"/>
      <c r="SQ247" s="3"/>
      <c r="SR247" s="3"/>
      <c r="SS247" s="3"/>
      <c r="ST247" s="3"/>
      <c r="SU247" s="3"/>
      <c r="SV247" s="3"/>
      <c r="SW247" s="3"/>
      <c r="SX247" s="3"/>
      <c r="SY247" s="3"/>
      <c r="SZ247" s="3"/>
      <c r="TA247" s="3"/>
      <c r="TB247" s="3"/>
      <c r="TC247" s="3"/>
      <c r="TD247" s="3"/>
      <c r="TE247" s="3"/>
      <c r="TF247" s="3"/>
      <c r="TG247" s="3"/>
      <c r="TH247" s="3"/>
      <c r="TI247" s="3"/>
      <c r="TJ247" s="3"/>
      <c r="TK247" s="3"/>
      <c r="TL247" s="3"/>
      <c r="TM247" s="3"/>
      <c r="TN247" s="3"/>
      <c r="TO247" s="3"/>
      <c r="TP247" s="3"/>
      <c r="TQ247" s="3"/>
      <c r="TR247" s="3"/>
      <c r="TS247" s="3"/>
      <c r="TT247" s="3"/>
      <c r="TU247" s="3"/>
      <c r="TV247" s="3"/>
      <c r="TW247" s="3"/>
      <c r="TX247" s="3"/>
      <c r="TY247" s="3"/>
      <c r="TZ247" s="3"/>
      <c r="UA247" s="3"/>
      <c r="UB247" s="3"/>
      <c r="UC247" s="3"/>
      <c r="UD247" s="3"/>
      <c r="UE247" s="3"/>
      <c r="UF247" s="3"/>
      <c r="UG247" s="3"/>
      <c r="UH247" s="3"/>
      <c r="UI247" s="3"/>
      <c r="UJ247" s="3"/>
      <c r="UK247" s="3"/>
      <c r="UL247" s="3"/>
      <c r="UM247" s="3"/>
      <c r="UN247" s="3"/>
      <c r="UO247" s="3"/>
      <c r="UP247" s="3"/>
      <c r="UQ247" s="3"/>
      <c r="UR247" s="3"/>
      <c r="US247" s="3"/>
      <c r="UT247" s="3"/>
      <c r="UU247" s="3"/>
      <c r="UV247" s="3"/>
      <c r="UW247" s="3"/>
      <c r="UX247" s="3"/>
      <c r="UY247" s="3"/>
      <c r="UZ247" s="3"/>
      <c r="VA247" s="3"/>
      <c r="VB247" s="3"/>
      <c r="VC247" s="3"/>
      <c r="VD247" s="3"/>
      <c r="VE247" s="3"/>
      <c r="VF247" s="3"/>
      <c r="VG247" s="3"/>
      <c r="VH247" s="3"/>
      <c r="VI247" s="3"/>
      <c r="VJ247" s="3"/>
      <c r="VK247" s="3"/>
      <c r="VL247" s="3"/>
      <c r="VM247" s="3"/>
      <c r="VN247" s="3"/>
      <c r="VO247" s="3"/>
      <c r="VP247" s="3"/>
      <c r="VQ247" s="3"/>
      <c r="VR247" s="3"/>
      <c r="VS247" s="3"/>
      <c r="VT247" s="3"/>
      <c r="VU247" s="3"/>
      <c r="VV247" s="3"/>
      <c r="VW247" s="3"/>
      <c r="VX247" s="3"/>
      <c r="VY247" s="3"/>
      <c r="VZ247" s="3"/>
      <c r="WA247" s="3"/>
      <c r="WB247" s="3"/>
      <c r="WC247" s="3"/>
      <c r="WD247" s="3"/>
      <c r="WE247" s="3"/>
      <c r="WF247" s="3"/>
      <c r="WG247" s="3"/>
      <c r="WH247" s="3"/>
      <c r="WI247" s="3"/>
      <c r="WJ247" s="3"/>
      <c r="WK247" s="3"/>
      <c r="WL247" s="3"/>
      <c r="WM247" s="3"/>
      <c r="WN247" s="3"/>
      <c r="WO247" s="3"/>
      <c r="WP247" s="3"/>
      <c r="WQ247" s="3"/>
      <c r="WR247" s="3"/>
      <c r="WS247" s="3"/>
      <c r="WT247" s="3"/>
      <c r="WU247" s="3"/>
      <c r="WV247" s="3"/>
      <c r="WW247" s="3"/>
      <c r="WX247" s="3"/>
      <c r="WY247" s="3"/>
      <c r="WZ247" s="3"/>
      <c r="XA247" s="3"/>
      <c r="XB247" s="3"/>
      <c r="XC247" s="3"/>
      <c r="XD247" s="3"/>
      <c r="XE247" s="3"/>
      <c r="XF247" s="3"/>
      <c r="XG247" s="3"/>
      <c r="XH247" s="3"/>
      <c r="XI247" s="3"/>
      <c r="XJ247" s="3"/>
      <c r="XK247" s="3"/>
      <c r="XL247" s="3"/>
      <c r="XM247" s="3"/>
      <c r="XN247" s="3"/>
      <c r="XO247" s="3"/>
      <c r="XP247" s="3"/>
      <c r="XQ247" s="3"/>
      <c r="XR247" s="3"/>
      <c r="XS247" s="3"/>
      <c r="XT247" s="3"/>
      <c r="XU247" s="3"/>
      <c r="XV247" s="3"/>
      <c r="XW247" s="3"/>
      <c r="XX247" s="3"/>
      <c r="XY247" s="3"/>
      <c r="XZ247" s="3"/>
      <c r="YA247" s="3"/>
      <c r="YB247" s="3"/>
      <c r="YC247" s="3"/>
      <c r="YD247" s="3"/>
      <c r="YE247" s="3"/>
      <c r="YF247" s="3"/>
      <c r="YG247" s="3"/>
      <c r="YH247" s="3"/>
      <c r="YI247" s="3"/>
      <c r="YJ247" s="3"/>
      <c r="YK247" s="3"/>
      <c r="YL247" s="3"/>
      <c r="YM247" s="3"/>
      <c r="YN247" s="3"/>
      <c r="YO247" s="3"/>
      <c r="YP247" s="3"/>
      <c r="YQ247" s="3"/>
      <c r="YR247" s="3"/>
      <c r="YS247" s="3"/>
      <c r="YT247" s="3"/>
      <c r="YU247" s="3"/>
      <c r="YV247" s="3"/>
      <c r="YW247" s="3"/>
      <c r="YX247" s="3"/>
      <c r="YY247" s="3"/>
      <c r="YZ247" s="3"/>
      <c r="ZA247" s="3"/>
      <c r="ZB247" s="3"/>
      <c r="ZC247" s="3"/>
    </row>
    <row r="248" spans="1:679" s="2" customFormat="1" x14ac:dyDescent="0.45">
      <c r="A248" s="3" t="s">
        <v>11</v>
      </c>
      <c r="B248" s="4">
        <v>37376</v>
      </c>
      <c r="C248" s="7" t="s">
        <v>21</v>
      </c>
      <c r="D248" s="6" t="s">
        <v>266</v>
      </c>
      <c r="E248" s="3"/>
      <c r="F248" s="3">
        <v>47</v>
      </c>
      <c r="L248" s="3"/>
      <c r="M248" s="3"/>
      <c r="N248" s="48"/>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3"/>
      <c r="CT248" s="3"/>
      <c r="CU248" s="3"/>
      <c r="CV248" s="3"/>
      <c r="CW248" s="3"/>
      <c r="CX248" s="3"/>
      <c r="CY248" s="3"/>
      <c r="CZ248" s="3"/>
      <c r="DA248" s="3"/>
      <c r="DB248" s="3"/>
      <c r="DC248" s="3"/>
      <c r="DD248" s="3"/>
      <c r="DE248" s="3"/>
      <c r="DF248" s="3"/>
      <c r="DG248" s="3"/>
      <c r="DH248" s="3"/>
      <c r="DI248" s="3"/>
      <c r="DJ248" s="3"/>
      <c r="DK248" s="3"/>
      <c r="DL248" s="3"/>
      <c r="DM248" s="3"/>
      <c r="DN248" s="3"/>
      <c r="DO248" s="3"/>
      <c r="DP248" s="3"/>
      <c r="DQ248" s="3"/>
      <c r="DR248" s="3"/>
      <c r="DS248" s="3"/>
      <c r="DT248" s="3"/>
      <c r="DU248" s="3"/>
      <c r="DV248" s="3"/>
      <c r="DW248" s="3"/>
      <c r="DX248" s="3"/>
      <c r="DY248" s="3"/>
      <c r="DZ248" s="3"/>
      <c r="EA248" s="3"/>
      <c r="EB248" s="3"/>
      <c r="EC248" s="3"/>
      <c r="ED248" s="3"/>
      <c r="EE248" s="3"/>
      <c r="EF248" s="3"/>
      <c r="EG248" s="3"/>
      <c r="EH248" s="3"/>
      <c r="EI248" s="3"/>
      <c r="EJ248" s="3"/>
      <c r="EK248" s="3"/>
      <c r="EL248" s="3"/>
      <c r="EM248" s="3"/>
      <c r="EN248" s="3"/>
      <c r="EO248" s="3"/>
      <c r="EP248" s="3"/>
      <c r="EQ248" s="3"/>
      <c r="ER248" s="3"/>
      <c r="ES248" s="3"/>
      <c r="ET248" s="3"/>
      <c r="EU248" s="3"/>
      <c r="EV248" s="3"/>
      <c r="EW248" s="3"/>
      <c r="EX248" s="3"/>
      <c r="EY248" s="3"/>
      <c r="EZ248" s="3"/>
      <c r="FA248" s="3"/>
      <c r="FB248" s="3"/>
      <c r="FC248" s="3"/>
      <c r="FD248" s="3"/>
      <c r="FE248" s="3"/>
      <c r="FF248" s="3"/>
      <c r="FG248" s="3"/>
      <c r="FH248" s="3"/>
      <c r="FI248" s="3"/>
      <c r="FJ248" s="3"/>
      <c r="FK248" s="3"/>
      <c r="FL248" s="3"/>
      <c r="FM248" s="3"/>
      <c r="FN248" s="3"/>
      <c r="FO248" s="3"/>
      <c r="FP248" s="3"/>
      <c r="FQ248" s="3"/>
      <c r="FR248" s="3"/>
      <c r="FS248" s="3"/>
      <c r="FT248" s="3"/>
      <c r="FU248" s="3"/>
      <c r="FV248" s="3"/>
      <c r="FW248" s="3"/>
      <c r="FX248" s="3"/>
      <c r="FY248" s="3"/>
      <c r="FZ248" s="3"/>
      <c r="GA248" s="3"/>
      <c r="GB248" s="3"/>
      <c r="GC248" s="3"/>
      <c r="GD248" s="3"/>
      <c r="GE248" s="3"/>
      <c r="GF248" s="3"/>
      <c r="GG248" s="3"/>
      <c r="GH248" s="3"/>
      <c r="GI248" s="3"/>
      <c r="GJ248" s="3"/>
      <c r="GK248" s="3"/>
      <c r="GL248" s="3"/>
      <c r="GM248" s="3"/>
      <c r="GN248" s="3"/>
      <c r="GO248" s="3"/>
      <c r="GP248" s="3"/>
      <c r="GQ248" s="3"/>
      <c r="GR248" s="3"/>
      <c r="GS248" s="3"/>
      <c r="GT248" s="3"/>
      <c r="GU248" s="3"/>
      <c r="GV248" s="3"/>
      <c r="GW248" s="3"/>
      <c r="GX248" s="3"/>
      <c r="GY248" s="3"/>
      <c r="GZ248" s="3"/>
      <c r="HA248" s="3"/>
      <c r="HB248" s="3"/>
      <c r="HC248" s="3"/>
      <c r="HD248" s="3"/>
      <c r="HE248" s="3"/>
      <c r="HF248" s="3"/>
      <c r="HG248" s="3"/>
      <c r="HH248" s="3"/>
      <c r="HI248" s="3"/>
      <c r="HJ248" s="3"/>
      <c r="HK248" s="3"/>
      <c r="HL248" s="3"/>
      <c r="HM248" s="3"/>
      <c r="HN248" s="3"/>
      <c r="HO248" s="3"/>
      <c r="HP248" s="3"/>
      <c r="HQ248" s="3"/>
      <c r="HR248" s="3"/>
      <c r="HS248" s="3"/>
      <c r="HT248" s="3"/>
      <c r="HU248" s="3"/>
      <c r="HV248" s="3"/>
      <c r="HW248" s="3"/>
      <c r="HX248" s="3"/>
      <c r="HY248" s="3"/>
      <c r="HZ248" s="3"/>
      <c r="IA248" s="3"/>
      <c r="IB248" s="3"/>
      <c r="IC248" s="3"/>
      <c r="ID248" s="3"/>
      <c r="IE248" s="3"/>
      <c r="IF248" s="3"/>
      <c r="IG248" s="3"/>
      <c r="IH248" s="3"/>
      <c r="II248" s="3"/>
      <c r="IJ248" s="3"/>
      <c r="IK248" s="3"/>
      <c r="IL248" s="3"/>
      <c r="IM248" s="3"/>
      <c r="IN248" s="3"/>
      <c r="IO248" s="3"/>
      <c r="IP248" s="3"/>
      <c r="IQ248" s="3"/>
      <c r="IR248" s="3"/>
      <c r="IS248" s="3"/>
      <c r="IT248" s="3"/>
      <c r="IU248" s="3"/>
      <c r="IV248" s="3"/>
      <c r="IW248" s="3"/>
      <c r="IX248" s="3"/>
      <c r="IY248" s="3"/>
      <c r="IZ248" s="3"/>
      <c r="JA248" s="3"/>
      <c r="JB248" s="3"/>
      <c r="JC248" s="3"/>
      <c r="JD248" s="3"/>
      <c r="JE248" s="3"/>
      <c r="JF248" s="3"/>
      <c r="JG248" s="3"/>
      <c r="JH248" s="3"/>
      <c r="JI248" s="3"/>
      <c r="JJ248" s="3"/>
      <c r="JK248" s="3"/>
      <c r="JL248" s="3"/>
      <c r="JM248" s="3"/>
      <c r="JN248" s="3"/>
      <c r="JO248" s="3"/>
      <c r="JP248" s="3"/>
      <c r="JQ248" s="3"/>
      <c r="JR248" s="3"/>
      <c r="JS248" s="3"/>
      <c r="JT248" s="3"/>
      <c r="JU248" s="3"/>
      <c r="JV248" s="3"/>
      <c r="JW248" s="3"/>
      <c r="JX248" s="3"/>
      <c r="JY248" s="3"/>
      <c r="JZ248" s="3"/>
      <c r="KA248" s="3"/>
      <c r="KB248" s="3"/>
      <c r="KC248" s="3"/>
      <c r="KD248" s="3"/>
      <c r="KE248" s="3"/>
      <c r="KF248" s="3"/>
      <c r="KG248" s="3"/>
      <c r="KH248" s="3"/>
      <c r="KI248" s="3"/>
      <c r="KJ248" s="3"/>
      <c r="KK248" s="3"/>
      <c r="KL248" s="3"/>
      <c r="KM248" s="3"/>
      <c r="KN248" s="3"/>
      <c r="KO248" s="3"/>
      <c r="KP248" s="3"/>
      <c r="KQ248" s="3"/>
      <c r="KR248" s="3"/>
      <c r="KS248" s="3"/>
      <c r="KT248" s="3"/>
      <c r="KU248" s="3"/>
      <c r="KV248" s="3"/>
      <c r="KW248" s="3"/>
      <c r="KX248" s="3"/>
      <c r="KY248" s="3"/>
      <c r="KZ248" s="3"/>
      <c r="LA248" s="3"/>
      <c r="LB248" s="3"/>
      <c r="LC248" s="3"/>
      <c r="LD248" s="3"/>
      <c r="LE248" s="3"/>
      <c r="LF248" s="3"/>
      <c r="LG248" s="3"/>
      <c r="LH248" s="3"/>
      <c r="LI248" s="3"/>
      <c r="LJ248" s="3"/>
      <c r="LK248" s="3"/>
      <c r="LL248" s="3"/>
      <c r="LM248" s="3"/>
      <c r="LN248" s="3"/>
      <c r="LO248" s="3"/>
      <c r="LP248" s="3"/>
      <c r="LQ248" s="3"/>
      <c r="LR248" s="3"/>
      <c r="LS248" s="3"/>
      <c r="LT248" s="3"/>
      <c r="LU248" s="3"/>
      <c r="LV248" s="3"/>
      <c r="LW248" s="3"/>
      <c r="LX248" s="3"/>
      <c r="LY248" s="3"/>
      <c r="LZ248" s="3"/>
      <c r="MA248" s="3"/>
      <c r="MB248" s="3"/>
      <c r="MC248" s="3"/>
      <c r="MD248" s="3"/>
      <c r="ME248" s="3"/>
      <c r="MF248" s="3"/>
      <c r="MG248" s="3"/>
      <c r="MH248" s="3"/>
      <c r="MI248" s="3"/>
      <c r="MJ248" s="3"/>
      <c r="MK248" s="3"/>
      <c r="ML248" s="3"/>
      <c r="MM248" s="3"/>
      <c r="MN248" s="3"/>
      <c r="MO248" s="3"/>
      <c r="MP248" s="3"/>
      <c r="MQ248" s="3"/>
      <c r="MR248" s="3"/>
      <c r="MS248" s="3"/>
      <c r="MT248" s="3"/>
      <c r="MU248" s="3"/>
      <c r="MV248" s="3"/>
      <c r="MW248" s="3"/>
      <c r="MX248" s="3"/>
      <c r="MY248" s="3"/>
      <c r="MZ248" s="3"/>
      <c r="NA248" s="3"/>
      <c r="NB248" s="3"/>
      <c r="NC248" s="3"/>
      <c r="ND248" s="3"/>
      <c r="NE248" s="3"/>
      <c r="NF248" s="3"/>
      <c r="NG248" s="3"/>
      <c r="NH248" s="3"/>
      <c r="NI248" s="3"/>
      <c r="NJ248" s="3"/>
      <c r="NK248" s="3"/>
      <c r="NL248" s="3"/>
      <c r="NM248" s="3"/>
      <c r="NN248" s="3"/>
      <c r="NO248" s="3"/>
      <c r="NP248" s="3"/>
      <c r="NQ248" s="3"/>
      <c r="NR248" s="3"/>
      <c r="NS248" s="3"/>
      <c r="NT248" s="3"/>
      <c r="NU248" s="3"/>
      <c r="NV248" s="3"/>
      <c r="NW248" s="3"/>
      <c r="NX248" s="3"/>
      <c r="NY248" s="3"/>
      <c r="NZ248" s="3"/>
      <c r="OA248" s="3"/>
      <c r="OB248" s="3"/>
      <c r="OC248" s="3"/>
      <c r="OD248" s="3"/>
      <c r="OE248" s="3"/>
      <c r="OF248" s="3"/>
      <c r="OG248" s="3"/>
      <c r="OH248" s="3"/>
      <c r="OI248" s="3"/>
      <c r="OJ248" s="3"/>
      <c r="OK248" s="3"/>
      <c r="OL248" s="3"/>
      <c r="OM248" s="3"/>
      <c r="ON248" s="3"/>
      <c r="OO248" s="3"/>
      <c r="OP248" s="3"/>
      <c r="OQ248" s="3"/>
      <c r="OR248" s="3"/>
      <c r="OS248" s="3"/>
      <c r="OT248" s="3"/>
      <c r="OU248" s="3"/>
      <c r="OV248" s="3"/>
      <c r="OW248" s="3"/>
      <c r="OX248" s="3"/>
      <c r="OY248" s="3"/>
      <c r="OZ248" s="3"/>
      <c r="PA248" s="3"/>
      <c r="PB248" s="3"/>
      <c r="PC248" s="3"/>
      <c r="PD248" s="3"/>
      <c r="PE248" s="3"/>
      <c r="PF248" s="3"/>
      <c r="PG248" s="3"/>
      <c r="PH248" s="3"/>
      <c r="PI248" s="3"/>
      <c r="PJ248" s="3"/>
      <c r="PK248" s="3"/>
      <c r="PL248" s="3"/>
      <c r="PM248" s="3"/>
      <c r="PN248" s="3"/>
      <c r="PO248" s="3"/>
      <c r="PP248" s="3"/>
      <c r="PQ248" s="3"/>
      <c r="PR248" s="3"/>
      <c r="PS248" s="3"/>
      <c r="PT248" s="3"/>
      <c r="PU248" s="3"/>
      <c r="PV248" s="3"/>
      <c r="PW248" s="3"/>
      <c r="PX248" s="3"/>
      <c r="PY248" s="3"/>
      <c r="PZ248" s="3"/>
      <c r="QA248" s="3"/>
      <c r="QB248" s="3"/>
      <c r="QC248" s="3"/>
      <c r="QD248" s="3"/>
      <c r="QE248" s="3"/>
      <c r="QF248" s="3"/>
      <c r="QG248" s="3"/>
      <c r="QH248" s="3"/>
      <c r="QI248" s="3"/>
      <c r="QJ248" s="3"/>
      <c r="QK248" s="3"/>
      <c r="QL248" s="3"/>
      <c r="QM248" s="3"/>
      <c r="QN248" s="3"/>
      <c r="QO248" s="3"/>
      <c r="QP248" s="3"/>
      <c r="QQ248" s="3"/>
      <c r="QR248" s="3"/>
      <c r="QS248" s="3"/>
      <c r="QT248" s="3"/>
      <c r="QU248" s="3"/>
      <c r="QV248" s="3"/>
      <c r="QW248" s="3"/>
      <c r="QX248" s="3"/>
      <c r="QY248" s="3"/>
      <c r="QZ248" s="3"/>
      <c r="RA248" s="3"/>
      <c r="RB248" s="3"/>
      <c r="RC248" s="3"/>
      <c r="RD248" s="3"/>
      <c r="RE248" s="3"/>
      <c r="RF248" s="3"/>
      <c r="RG248" s="3"/>
      <c r="RH248" s="3"/>
      <c r="RI248" s="3"/>
      <c r="RJ248" s="3"/>
      <c r="RK248" s="3"/>
      <c r="RL248" s="3"/>
      <c r="RM248" s="3"/>
      <c r="RN248" s="3"/>
      <c r="RO248" s="3"/>
      <c r="RP248" s="3"/>
      <c r="RQ248" s="3"/>
      <c r="RR248" s="3"/>
      <c r="RS248" s="3"/>
      <c r="RT248" s="3"/>
      <c r="RU248" s="3"/>
      <c r="RV248" s="3"/>
      <c r="RW248" s="3"/>
      <c r="RX248" s="3"/>
      <c r="RY248" s="3"/>
      <c r="RZ248" s="3"/>
      <c r="SA248" s="3"/>
      <c r="SB248" s="3"/>
      <c r="SC248" s="3"/>
      <c r="SD248" s="3"/>
      <c r="SE248" s="3"/>
      <c r="SF248" s="3"/>
      <c r="SG248" s="3"/>
      <c r="SH248" s="3"/>
      <c r="SI248" s="3"/>
      <c r="SJ248" s="3"/>
      <c r="SK248" s="3"/>
      <c r="SL248" s="3"/>
      <c r="SM248" s="3"/>
      <c r="SN248" s="3"/>
      <c r="SO248" s="3"/>
      <c r="SP248" s="3"/>
      <c r="SQ248" s="3"/>
      <c r="SR248" s="3"/>
      <c r="SS248" s="3"/>
      <c r="ST248" s="3"/>
      <c r="SU248" s="3"/>
      <c r="SV248" s="3"/>
      <c r="SW248" s="3"/>
      <c r="SX248" s="3"/>
      <c r="SY248" s="3"/>
      <c r="SZ248" s="3"/>
      <c r="TA248" s="3"/>
      <c r="TB248" s="3"/>
      <c r="TC248" s="3"/>
      <c r="TD248" s="3"/>
      <c r="TE248" s="3"/>
      <c r="TF248" s="3"/>
      <c r="TG248" s="3"/>
      <c r="TH248" s="3"/>
      <c r="TI248" s="3"/>
      <c r="TJ248" s="3"/>
      <c r="TK248" s="3"/>
      <c r="TL248" s="3"/>
      <c r="TM248" s="3"/>
      <c r="TN248" s="3"/>
      <c r="TO248" s="3"/>
      <c r="TP248" s="3"/>
      <c r="TQ248" s="3"/>
      <c r="TR248" s="3"/>
      <c r="TS248" s="3"/>
      <c r="TT248" s="3"/>
      <c r="TU248" s="3"/>
      <c r="TV248" s="3"/>
      <c r="TW248" s="3"/>
      <c r="TX248" s="3"/>
      <c r="TY248" s="3"/>
      <c r="TZ248" s="3"/>
      <c r="UA248" s="3"/>
      <c r="UB248" s="3"/>
      <c r="UC248" s="3"/>
      <c r="UD248" s="3"/>
      <c r="UE248" s="3"/>
      <c r="UF248" s="3"/>
      <c r="UG248" s="3"/>
      <c r="UH248" s="3"/>
      <c r="UI248" s="3"/>
      <c r="UJ248" s="3"/>
      <c r="UK248" s="3"/>
      <c r="UL248" s="3"/>
      <c r="UM248" s="3"/>
      <c r="UN248" s="3"/>
      <c r="UO248" s="3"/>
      <c r="UP248" s="3"/>
      <c r="UQ248" s="3"/>
      <c r="UR248" s="3"/>
      <c r="US248" s="3"/>
      <c r="UT248" s="3"/>
      <c r="UU248" s="3"/>
      <c r="UV248" s="3"/>
      <c r="UW248" s="3"/>
      <c r="UX248" s="3"/>
      <c r="UY248" s="3"/>
      <c r="UZ248" s="3"/>
      <c r="VA248" s="3"/>
      <c r="VB248" s="3"/>
      <c r="VC248" s="3"/>
      <c r="VD248" s="3"/>
      <c r="VE248" s="3"/>
      <c r="VF248" s="3"/>
      <c r="VG248" s="3"/>
      <c r="VH248" s="3"/>
      <c r="VI248" s="3"/>
      <c r="VJ248" s="3"/>
      <c r="VK248" s="3"/>
      <c r="VL248" s="3"/>
      <c r="VM248" s="3"/>
      <c r="VN248" s="3"/>
      <c r="VO248" s="3"/>
      <c r="VP248" s="3"/>
      <c r="VQ248" s="3"/>
      <c r="VR248" s="3"/>
      <c r="VS248" s="3"/>
      <c r="VT248" s="3"/>
      <c r="VU248" s="3"/>
      <c r="VV248" s="3"/>
      <c r="VW248" s="3"/>
      <c r="VX248" s="3"/>
      <c r="VY248" s="3"/>
      <c r="VZ248" s="3"/>
      <c r="WA248" s="3"/>
      <c r="WB248" s="3"/>
      <c r="WC248" s="3"/>
      <c r="WD248" s="3"/>
      <c r="WE248" s="3"/>
      <c r="WF248" s="3"/>
      <c r="WG248" s="3"/>
      <c r="WH248" s="3"/>
      <c r="WI248" s="3"/>
      <c r="WJ248" s="3"/>
      <c r="WK248" s="3"/>
      <c r="WL248" s="3"/>
      <c r="WM248" s="3"/>
      <c r="WN248" s="3"/>
      <c r="WO248" s="3"/>
      <c r="WP248" s="3"/>
      <c r="WQ248" s="3"/>
      <c r="WR248" s="3"/>
      <c r="WS248" s="3"/>
      <c r="WT248" s="3"/>
      <c r="WU248" s="3"/>
      <c r="WV248" s="3"/>
      <c r="WW248" s="3"/>
      <c r="WX248" s="3"/>
      <c r="WY248" s="3"/>
      <c r="WZ248" s="3"/>
      <c r="XA248" s="3"/>
      <c r="XB248" s="3"/>
      <c r="XC248" s="3"/>
      <c r="XD248" s="3"/>
      <c r="XE248" s="3"/>
      <c r="XF248" s="3"/>
      <c r="XG248" s="3"/>
      <c r="XH248" s="3"/>
      <c r="XI248" s="3"/>
      <c r="XJ248" s="3"/>
      <c r="XK248" s="3"/>
      <c r="XL248" s="3"/>
      <c r="XM248" s="3"/>
      <c r="XN248" s="3"/>
      <c r="XO248" s="3"/>
      <c r="XP248" s="3"/>
      <c r="XQ248" s="3"/>
      <c r="XR248" s="3"/>
      <c r="XS248" s="3"/>
      <c r="XT248" s="3"/>
      <c r="XU248" s="3"/>
      <c r="XV248" s="3"/>
      <c r="XW248" s="3"/>
      <c r="XX248" s="3"/>
      <c r="XY248" s="3"/>
      <c r="XZ248" s="3"/>
      <c r="YA248" s="3"/>
      <c r="YB248" s="3"/>
      <c r="YC248" s="3"/>
      <c r="YD248" s="3"/>
      <c r="YE248" s="3"/>
      <c r="YF248" s="3"/>
      <c r="YG248" s="3"/>
      <c r="YH248" s="3"/>
      <c r="YI248" s="3"/>
      <c r="YJ248" s="3"/>
      <c r="YK248" s="3"/>
      <c r="YL248" s="3"/>
      <c r="YM248" s="3"/>
      <c r="YN248" s="3"/>
      <c r="YO248" s="3"/>
      <c r="YP248" s="3"/>
      <c r="YQ248" s="3"/>
      <c r="YR248" s="3"/>
      <c r="YS248" s="3"/>
      <c r="YT248" s="3"/>
      <c r="YU248" s="3"/>
      <c r="YV248" s="3"/>
      <c r="YW248" s="3"/>
      <c r="YX248" s="3"/>
      <c r="YY248" s="3"/>
      <c r="YZ248" s="3"/>
      <c r="ZA248" s="3"/>
      <c r="ZB248" s="3"/>
      <c r="ZC248" s="3"/>
    </row>
    <row r="249" spans="1:679" s="2" customFormat="1" x14ac:dyDescent="0.45">
      <c r="A249" s="3" t="s">
        <v>11</v>
      </c>
      <c r="B249" s="4">
        <v>37377</v>
      </c>
      <c r="C249" s="7" t="s">
        <v>25</v>
      </c>
      <c r="D249" s="6" t="s">
        <v>267</v>
      </c>
      <c r="E249" s="3"/>
      <c r="F249" s="3">
        <v>2</v>
      </c>
      <c r="L249" s="3"/>
      <c r="M249" s="3"/>
      <c r="N249" s="48"/>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3"/>
      <c r="CT249" s="3"/>
      <c r="CU249" s="3"/>
      <c r="CV249" s="3"/>
      <c r="CW249" s="3"/>
      <c r="CX249" s="3"/>
      <c r="CY249" s="3"/>
      <c r="CZ249" s="3"/>
      <c r="DA249" s="3"/>
      <c r="DB249" s="3"/>
      <c r="DC249" s="3"/>
      <c r="DD249" s="3"/>
      <c r="DE249" s="3"/>
      <c r="DF249" s="3"/>
      <c r="DG249" s="3"/>
      <c r="DH249" s="3"/>
      <c r="DI249" s="3"/>
      <c r="DJ249" s="3"/>
      <c r="DK249" s="3"/>
      <c r="DL249" s="3"/>
      <c r="DM249" s="3"/>
      <c r="DN249" s="3"/>
      <c r="DO249" s="3"/>
      <c r="DP249" s="3"/>
      <c r="DQ249" s="3"/>
      <c r="DR249" s="3"/>
      <c r="DS249" s="3"/>
      <c r="DT249" s="3"/>
      <c r="DU249" s="3"/>
      <c r="DV249" s="3"/>
      <c r="DW249" s="3"/>
      <c r="DX249" s="3"/>
      <c r="DY249" s="3"/>
      <c r="DZ249" s="3"/>
      <c r="EA249" s="3"/>
      <c r="EB249" s="3"/>
      <c r="EC249" s="3"/>
      <c r="ED249" s="3"/>
      <c r="EE249" s="3"/>
      <c r="EF249" s="3"/>
      <c r="EG249" s="3"/>
      <c r="EH249" s="3"/>
      <c r="EI249" s="3"/>
      <c r="EJ249" s="3"/>
      <c r="EK249" s="3"/>
      <c r="EL249" s="3"/>
      <c r="EM249" s="3"/>
      <c r="EN249" s="3"/>
      <c r="EO249" s="3"/>
      <c r="EP249" s="3"/>
      <c r="EQ249" s="3"/>
      <c r="ER249" s="3"/>
      <c r="ES249" s="3"/>
      <c r="ET249" s="3"/>
      <c r="EU249" s="3"/>
      <c r="EV249" s="3"/>
      <c r="EW249" s="3"/>
      <c r="EX249" s="3"/>
      <c r="EY249" s="3"/>
      <c r="EZ249" s="3"/>
      <c r="FA249" s="3"/>
      <c r="FB249" s="3"/>
      <c r="FC249" s="3"/>
      <c r="FD249" s="3"/>
      <c r="FE249" s="3"/>
      <c r="FF249" s="3"/>
      <c r="FG249" s="3"/>
      <c r="FH249" s="3"/>
      <c r="FI249" s="3"/>
      <c r="FJ249" s="3"/>
      <c r="FK249" s="3"/>
      <c r="FL249" s="3"/>
      <c r="FM249" s="3"/>
      <c r="FN249" s="3"/>
      <c r="FO249" s="3"/>
      <c r="FP249" s="3"/>
      <c r="FQ249" s="3"/>
      <c r="FR249" s="3"/>
      <c r="FS249" s="3"/>
      <c r="FT249" s="3"/>
      <c r="FU249" s="3"/>
      <c r="FV249" s="3"/>
      <c r="FW249" s="3"/>
      <c r="FX249" s="3"/>
      <c r="FY249" s="3"/>
      <c r="FZ249" s="3"/>
      <c r="GA249" s="3"/>
      <c r="GB249" s="3"/>
      <c r="GC249" s="3"/>
      <c r="GD249" s="3"/>
      <c r="GE249" s="3"/>
      <c r="GF249" s="3"/>
      <c r="GG249" s="3"/>
      <c r="GH249" s="3"/>
      <c r="GI249" s="3"/>
      <c r="GJ249" s="3"/>
      <c r="GK249" s="3"/>
      <c r="GL249" s="3"/>
      <c r="GM249" s="3"/>
      <c r="GN249" s="3"/>
      <c r="GO249" s="3"/>
      <c r="GP249" s="3"/>
      <c r="GQ249" s="3"/>
      <c r="GR249" s="3"/>
      <c r="GS249" s="3"/>
      <c r="GT249" s="3"/>
      <c r="GU249" s="3"/>
      <c r="GV249" s="3"/>
      <c r="GW249" s="3"/>
      <c r="GX249" s="3"/>
      <c r="GY249" s="3"/>
      <c r="GZ249" s="3"/>
      <c r="HA249" s="3"/>
      <c r="HB249" s="3"/>
      <c r="HC249" s="3"/>
      <c r="HD249" s="3"/>
      <c r="HE249" s="3"/>
      <c r="HF249" s="3"/>
      <c r="HG249" s="3"/>
      <c r="HH249" s="3"/>
      <c r="HI249" s="3"/>
      <c r="HJ249" s="3"/>
      <c r="HK249" s="3"/>
      <c r="HL249" s="3"/>
      <c r="HM249" s="3"/>
      <c r="HN249" s="3"/>
      <c r="HO249" s="3"/>
      <c r="HP249" s="3"/>
      <c r="HQ249" s="3"/>
      <c r="HR249" s="3"/>
      <c r="HS249" s="3"/>
      <c r="HT249" s="3"/>
      <c r="HU249" s="3"/>
      <c r="HV249" s="3"/>
      <c r="HW249" s="3"/>
      <c r="HX249" s="3"/>
      <c r="HY249" s="3"/>
      <c r="HZ249" s="3"/>
      <c r="IA249" s="3"/>
      <c r="IB249" s="3"/>
      <c r="IC249" s="3"/>
      <c r="ID249" s="3"/>
      <c r="IE249" s="3"/>
      <c r="IF249" s="3"/>
      <c r="IG249" s="3"/>
      <c r="IH249" s="3"/>
      <c r="II249" s="3"/>
      <c r="IJ249" s="3"/>
      <c r="IK249" s="3"/>
      <c r="IL249" s="3"/>
      <c r="IM249" s="3"/>
      <c r="IN249" s="3"/>
      <c r="IO249" s="3"/>
      <c r="IP249" s="3"/>
      <c r="IQ249" s="3"/>
      <c r="IR249" s="3"/>
      <c r="IS249" s="3"/>
      <c r="IT249" s="3"/>
      <c r="IU249" s="3"/>
      <c r="IV249" s="3"/>
      <c r="IW249" s="3"/>
      <c r="IX249" s="3"/>
      <c r="IY249" s="3"/>
      <c r="IZ249" s="3"/>
      <c r="JA249" s="3"/>
      <c r="JB249" s="3"/>
      <c r="JC249" s="3"/>
      <c r="JD249" s="3"/>
      <c r="JE249" s="3"/>
      <c r="JF249" s="3"/>
      <c r="JG249" s="3"/>
      <c r="JH249" s="3"/>
      <c r="JI249" s="3"/>
      <c r="JJ249" s="3"/>
      <c r="JK249" s="3"/>
      <c r="JL249" s="3"/>
      <c r="JM249" s="3"/>
      <c r="JN249" s="3"/>
      <c r="JO249" s="3"/>
      <c r="JP249" s="3"/>
      <c r="JQ249" s="3"/>
      <c r="JR249" s="3"/>
      <c r="JS249" s="3"/>
      <c r="JT249" s="3"/>
      <c r="JU249" s="3"/>
      <c r="JV249" s="3"/>
      <c r="JW249" s="3"/>
      <c r="JX249" s="3"/>
      <c r="JY249" s="3"/>
      <c r="JZ249" s="3"/>
      <c r="KA249" s="3"/>
      <c r="KB249" s="3"/>
      <c r="KC249" s="3"/>
      <c r="KD249" s="3"/>
      <c r="KE249" s="3"/>
      <c r="KF249" s="3"/>
      <c r="KG249" s="3"/>
      <c r="KH249" s="3"/>
      <c r="KI249" s="3"/>
      <c r="KJ249" s="3"/>
      <c r="KK249" s="3"/>
      <c r="KL249" s="3"/>
      <c r="KM249" s="3"/>
      <c r="KN249" s="3"/>
      <c r="KO249" s="3"/>
      <c r="KP249" s="3"/>
      <c r="KQ249" s="3"/>
      <c r="KR249" s="3"/>
      <c r="KS249" s="3"/>
      <c r="KT249" s="3"/>
      <c r="KU249" s="3"/>
      <c r="KV249" s="3"/>
      <c r="KW249" s="3"/>
      <c r="KX249" s="3"/>
      <c r="KY249" s="3"/>
      <c r="KZ249" s="3"/>
      <c r="LA249" s="3"/>
      <c r="LB249" s="3"/>
      <c r="LC249" s="3"/>
      <c r="LD249" s="3"/>
      <c r="LE249" s="3"/>
      <c r="LF249" s="3"/>
      <c r="LG249" s="3"/>
      <c r="LH249" s="3"/>
      <c r="LI249" s="3"/>
      <c r="LJ249" s="3"/>
      <c r="LK249" s="3"/>
      <c r="LL249" s="3"/>
      <c r="LM249" s="3"/>
      <c r="LN249" s="3"/>
      <c r="LO249" s="3"/>
      <c r="LP249" s="3"/>
      <c r="LQ249" s="3"/>
      <c r="LR249" s="3"/>
      <c r="LS249" s="3"/>
      <c r="LT249" s="3"/>
      <c r="LU249" s="3"/>
      <c r="LV249" s="3"/>
      <c r="LW249" s="3"/>
      <c r="LX249" s="3"/>
      <c r="LY249" s="3"/>
      <c r="LZ249" s="3"/>
      <c r="MA249" s="3"/>
      <c r="MB249" s="3"/>
      <c r="MC249" s="3"/>
      <c r="MD249" s="3"/>
      <c r="ME249" s="3"/>
      <c r="MF249" s="3"/>
      <c r="MG249" s="3"/>
      <c r="MH249" s="3"/>
      <c r="MI249" s="3"/>
      <c r="MJ249" s="3"/>
      <c r="MK249" s="3"/>
      <c r="ML249" s="3"/>
      <c r="MM249" s="3"/>
      <c r="MN249" s="3"/>
      <c r="MO249" s="3"/>
      <c r="MP249" s="3"/>
      <c r="MQ249" s="3"/>
      <c r="MR249" s="3"/>
      <c r="MS249" s="3"/>
      <c r="MT249" s="3"/>
      <c r="MU249" s="3"/>
      <c r="MV249" s="3"/>
      <c r="MW249" s="3"/>
      <c r="MX249" s="3"/>
      <c r="MY249" s="3"/>
      <c r="MZ249" s="3"/>
      <c r="NA249" s="3"/>
      <c r="NB249" s="3"/>
      <c r="NC249" s="3"/>
      <c r="ND249" s="3"/>
      <c r="NE249" s="3"/>
      <c r="NF249" s="3"/>
      <c r="NG249" s="3"/>
      <c r="NH249" s="3"/>
      <c r="NI249" s="3"/>
      <c r="NJ249" s="3"/>
      <c r="NK249" s="3"/>
      <c r="NL249" s="3"/>
      <c r="NM249" s="3"/>
      <c r="NN249" s="3"/>
      <c r="NO249" s="3"/>
      <c r="NP249" s="3"/>
      <c r="NQ249" s="3"/>
      <c r="NR249" s="3"/>
      <c r="NS249" s="3"/>
      <c r="NT249" s="3"/>
      <c r="NU249" s="3"/>
      <c r="NV249" s="3"/>
      <c r="NW249" s="3"/>
      <c r="NX249" s="3"/>
      <c r="NY249" s="3"/>
      <c r="NZ249" s="3"/>
      <c r="OA249" s="3"/>
      <c r="OB249" s="3"/>
      <c r="OC249" s="3"/>
      <c r="OD249" s="3"/>
      <c r="OE249" s="3"/>
      <c r="OF249" s="3"/>
      <c r="OG249" s="3"/>
      <c r="OH249" s="3"/>
      <c r="OI249" s="3"/>
      <c r="OJ249" s="3"/>
      <c r="OK249" s="3"/>
      <c r="OL249" s="3"/>
      <c r="OM249" s="3"/>
      <c r="ON249" s="3"/>
      <c r="OO249" s="3"/>
      <c r="OP249" s="3"/>
      <c r="OQ249" s="3"/>
      <c r="OR249" s="3"/>
      <c r="OS249" s="3"/>
      <c r="OT249" s="3"/>
      <c r="OU249" s="3"/>
      <c r="OV249" s="3"/>
      <c r="OW249" s="3"/>
      <c r="OX249" s="3"/>
      <c r="OY249" s="3"/>
      <c r="OZ249" s="3"/>
      <c r="PA249" s="3"/>
      <c r="PB249" s="3"/>
      <c r="PC249" s="3"/>
      <c r="PD249" s="3"/>
      <c r="PE249" s="3"/>
      <c r="PF249" s="3"/>
      <c r="PG249" s="3"/>
      <c r="PH249" s="3"/>
      <c r="PI249" s="3"/>
      <c r="PJ249" s="3"/>
      <c r="PK249" s="3"/>
      <c r="PL249" s="3"/>
      <c r="PM249" s="3"/>
      <c r="PN249" s="3"/>
      <c r="PO249" s="3"/>
      <c r="PP249" s="3"/>
      <c r="PQ249" s="3"/>
      <c r="PR249" s="3"/>
      <c r="PS249" s="3"/>
      <c r="PT249" s="3"/>
      <c r="PU249" s="3"/>
      <c r="PV249" s="3"/>
      <c r="PW249" s="3"/>
      <c r="PX249" s="3"/>
      <c r="PY249" s="3"/>
      <c r="PZ249" s="3"/>
      <c r="QA249" s="3"/>
      <c r="QB249" s="3"/>
      <c r="QC249" s="3"/>
      <c r="QD249" s="3"/>
      <c r="QE249" s="3"/>
      <c r="QF249" s="3"/>
      <c r="QG249" s="3"/>
      <c r="QH249" s="3"/>
      <c r="QI249" s="3"/>
      <c r="QJ249" s="3"/>
      <c r="QK249" s="3"/>
      <c r="QL249" s="3"/>
      <c r="QM249" s="3"/>
      <c r="QN249" s="3"/>
      <c r="QO249" s="3"/>
      <c r="QP249" s="3"/>
      <c r="QQ249" s="3"/>
      <c r="QR249" s="3"/>
      <c r="QS249" s="3"/>
      <c r="QT249" s="3"/>
      <c r="QU249" s="3"/>
      <c r="QV249" s="3"/>
      <c r="QW249" s="3"/>
      <c r="QX249" s="3"/>
      <c r="QY249" s="3"/>
      <c r="QZ249" s="3"/>
      <c r="RA249" s="3"/>
      <c r="RB249" s="3"/>
      <c r="RC249" s="3"/>
      <c r="RD249" s="3"/>
      <c r="RE249" s="3"/>
      <c r="RF249" s="3"/>
      <c r="RG249" s="3"/>
      <c r="RH249" s="3"/>
      <c r="RI249" s="3"/>
      <c r="RJ249" s="3"/>
      <c r="RK249" s="3"/>
      <c r="RL249" s="3"/>
      <c r="RM249" s="3"/>
      <c r="RN249" s="3"/>
      <c r="RO249" s="3"/>
      <c r="RP249" s="3"/>
      <c r="RQ249" s="3"/>
      <c r="RR249" s="3"/>
      <c r="RS249" s="3"/>
      <c r="RT249" s="3"/>
      <c r="RU249" s="3"/>
      <c r="RV249" s="3"/>
      <c r="RW249" s="3"/>
      <c r="RX249" s="3"/>
      <c r="RY249" s="3"/>
      <c r="RZ249" s="3"/>
      <c r="SA249" s="3"/>
      <c r="SB249" s="3"/>
      <c r="SC249" s="3"/>
      <c r="SD249" s="3"/>
      <c r="SE249" s="3"/>
      <c r="SF249" s="3"/>
      <c r="SG249" s="3"/>
      <c r="SH249" s="3"/>
      <c r="SI249" s="3"/>
      <c r="SJ249" s="3"/>
      <c r="SK249" s="3"/>
      <c r="SL249" s="3"/>
      <c r="SM249" s="3"/>
      <c r="SN249" s="3"/>
      <c r="SO249" s="3"/>
      <c r="SP249" s="3"/>
      <c r="SQ249" s="3"/>
      <c r="SR249" s="3"/>
      <c r="SS249" s="3"/>
      <c r="ST249" s="3"/>
      <c r="SU249" s="3"/>
      <c r="SV249" s="3"/>
      <c r="SW249" s="3"/>
      <c r="SX249" s="3"/>
      <c r="SY249" s="3"/>
      <c r="SZ249" s="3"/>
      <c r="TA249" s="3"/>
      <c r="TB249" s="3"/>
      <c r="TC249" s="3"/>
      <c r="TD249" s="3"/>
      <c r="TE249" s="3"/>
      <c r="TF249" s="3"/>
      <c r="TG249" s="3"/>
      <c r="TH249" s="3"/>
      <c r="TI249" s="3"/>
      <c r="TJ249" s="3"/>
      <c r="TK249" s="3"/>
      <c r="TL249" s="3"/>
      <c r="TM249" s="3"/>
      <c r="TN249" s="3"/>
      <c r="TO249" s="3"/>
      <c r="TP249" s="3"/>
      <c r="TQ249" s="3"/>
      <c r="TR249" s="3"/>
      <c r="TS249" s="3"/>
      <c r="TT249" s="3"/>
      <c r="TU249" s="3"/>
      <c r="TV249" s="3"/>
      <c r="TW249" s="3"/>
      <c r="TX249" s="3"/>
      <c r="TY249" s="3"/>
      <c r="TZ249" s="3"/>
      <c r="UA249" s="3"/>
      <c r="UB249" s="3"/>
      <c r="UC249" s="3"/>
      <c r="UD249" s="3"/>
      <c r="UE249" s="3"/>
      <c r="UF249" s="3"/>
      <c r="UG249" s="3"/>
      <c r="UH249" s="3"/>
      <c r="UI249" s="3"/>
      <c r="UJ249" s="3"/>
      <c r="UK249" s="3"/>
      <c r="UL249" s="3"/>
      <c r="UM249" s="3"/>
      <c r="UN249" s="3"/>
      <c r="UO249" s="3"/>
      <c r="UP249" s="3"/>
      <c r="UQ249" s="3"/>
      <c r="UR249" s="3"/>
      <c r="US249" s="3"/>
      <c r="UT249" s="3"/>
      <c r="UU249" s="3"/>
      <c r="UV249" s="3"/>
      <c r="UW249" s="3"/>
      <c r="UX249" s="3"/>
      <c r="UY249" s="3"/>
      <c r="UZ249" s="3"/>
      <c r="VA249" s="3"/>
      <c r="VB249" s="3"/>
      <c r="VC249" s="3"/>
      <c r="VD249" s="3"/>
      <c r="VE249" s="3"/>
      <c r="VF249" s="3"/>
      <c r="VG249" s="3"/>
      <c r="VH249" s="3"/>
      <c r="VI249" s="3"/>
      <c r="VJ249" s="3"/>
      <c r="VK249" s="3"/>
      <c r="VL249" s="3"/>
      <c r="VM249" s="3"/>
      <c r="VN249" s="3"/>
      <c r="VO249" s="3"/>
      <c r="VP249" s="3"/>
      <c r="VQ249" s="3"/>
      <c r="VR249" s="3"/>
      <c r="VS249" s="3"/>
      <c r="VT249" s="3"/>
      <c r="VU249" s="3"/>
      <c r="VV249" s="3"/>
      <c r="VW249" s="3"/>
      <c r="VX249" s="3"/>
      <c r="VY249" s="3"/>
      <c r="VZ249" s="3"/>
      <c r="WA249" s="3"/>
      <c r="WB249" s="3"/>
      <c r="WC249" s="3"/>
      <c r="WD249" s="3"/>
      <c r="WE249" s="3"/>
      <c r="WF249" s="3"/>
      <c r="WG249" s="3"/>
      <c r="WH249" s="3"/>
      <c r="WI249" s="3"/>
      <c r="WJ249" s="3"/>
      <c r="WK249" s="3"/>
      <c r="WL249" s="3"/>
      <c r="WM249" s="3"/>
      <c r="WN249" s="3"/>
      <c r="WO249" s="3"/>
      <c r="WP249" s="3"/>
      <c r="WQ249" s="3"/>
      <c r="WR249" s="3"/>
      <c r="WS249" s="3"/>
      <c r="WT249" s="3"/>
      <c r="WU249" s="3"/>
      <c r="WV249" s="3"/>
      <c r="WW249" s="3"/>
      <c r="WX249" s="3"/>
      <c r="WY249" s="3"/>
      <c r="WZ249" s="3"/>
      <c r="XA249" s="3"/>
      <c r="XB249" s="3"/>
      <c r="XC249" s="3"/>
      <c r="XD249" s="3"/>
      <c r="XE249" s="3"/>
      <c r="XF249" s="3"/>
      <c r="XG249" s="3"/>
      <c r="XH249" s="3"/>
      <c r="XI249" s="3"/>
      <c r="XJ249" s="3"/>
      <c r="XK249" s="3"/>
      <c r="XL249" s="3"/>
      <c r="XM249" s="3"/>
      <c r="XN249" s="3"/>
      <c r="XO249" s="3"/>
      <c r="XP249" s="3"/>
      <c r="XQ249" s="3"/>
      <c r="XR249" s="3"/>
      <c r="XS249" s="3"/>
      <c r="XT249" s="3"/>
      <c r="XU249" s="3"/>
      <c r="XV249" s="3"/>
      <c r="XW249" s="3"/>
      <c r="XX249" s="3"/>
      <c r="XY249" s="3"/>
      <c r="XZ249" s="3"/>
      <c r="YA249" s="3"/>
      <c r="YB249" s="3"/>
      <c r="YC249" s="3"/>
      <c r="YD249" s="3"/>
      <c r="YE249" s="3"/>
      <c r="YF249" s="3"/>
      <c r="YG249" s="3"/>
      <c r="YH249" s="3"/>
      <c r="YI249" s="3"/>
      <c r="YJ249" s="3"/>
      <c r="YK249" s="3"/>
      <c r="YL249" s="3"/>
      <c r="YM249" s="3"/>
      <c r="YN249" s="3"/>
      <c r="YO249" s="3"/>
      <c r="YP249" s="3"/>
      <c r="YQ249" s="3"/>
      <c r="YR249" s="3"/>
      <c r="YS249" s="3"/>
      <c r="YT249" s="3"/>
      <c r="YU249" s="3"/>
      <c r="YV249" s="3"/>
      <c r="YW249" s="3"/>
      <c r="YX249" s="3"/>
      <c r="YY249" s="3"/>
      <c r="YZ249" s="3"/>
      <c r="ZA249" s="3"/>
      <c r="ZB249" s="3"/>
      <c r="ZC249" s="3"/>
    </row>
    <row r="250" spans="1:679" s="2" customFormat="1" x14ac:dyDescent="0.45">
      <c r="A250" s="3" t="s">
        <v>11</v>
      </c>
      <c r="B250" s="4">
        <v>37386</v>
      </c>
      <c r="C250" s="7" t="s">
        <v>21</v>
      </c>
      <c r="D250" s="6" t="s">
        <v>268</v>
      </c>
      <c r="E250" s="3"/>
      <c r="F250" s="3">
        <v>62</v>
      </c>
      <c r="L250" s="3"/>
      <c r="M250" s="3"/>
      <c r="N250" s="48"/>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c r="CP250" s="3"/>
      <c r="CQ250" s="3"/>
      <c r="CR250" s="3"/>
      <c r="CS250" s="3"/>
      <c r="CT250" s="3"/>
      <c r="CU250" s="3"/>
      <c r="CV250" s="3"/>
      <c r="CW250" s="3"/>
      <c r="CX250" s="3"/>
      <c r="CY250" s="3"/>
      <c r="CZ250" s="3"/>
      <c r="DA250" s="3"/>
      <c r="DB250" s="3"/>
      <c r="DC250" s="3"/>
      <c r="DD250" s="3"/>
      <c r="DE250" s="3"/>
      <c r="DF250" s="3"/>
      <c r="DG250" s="3"/>
      <c r="DH250" s="3"/>
      <c r="DI250" s="3"/>
      <c r="DJ250" s="3"/>
      <c r="DK250" s="3"/>
      <c r="DL250" s="3"/>
      <c r="DM250" s="3"/>
      <c r="DN250" s="3"/>
      <c r="DO250" s="3"/>
      <c r="DP250" s="3"/>
      <c r="DQ250" s="3"/>
      <c r="DR250" s="3"/>
      <c r="DS250" s="3"/>
      <c r="DT250" s="3"/>
      <c r="DU250" s="3"/>
      <c r="DV250" s="3"/>
      <c r="DW250" s="3"/>
      <c r="DX250" s="3"/>
      <c r="DY250" s="3"/>
      <c r="DZ250" s="3"/>
      <c r="EA250" s="3"/>
      <c r="EB250" s="3"/>
      <c r="EC250" s="3"/>
      <c r="ED250" s="3"/>
      <c r="EE250" s="3"/>
      <c r="EF250" s="3"/>
      <c r="EG250" s="3"/>
      <c r="EH250" s="3"/>
      <c r="EI250" s="3"/>
      <c r="EJ250" s="3"/>
      <c r="EK250" s="3"/>
      <c r="EL250" s="3"/>
      <c r="EM250" s="3"/>
      <c r="EN250" s="3"/>
      <c r="EO250" s="3"/>
      <c r="EP250" s="3"/>
      <c r="EQ250" s="3"/>
      <c r="ER250" s="3"/>
      <c r="ES250" s="3"/>
      <c r="ET250" s="3"/>
      <c r="EU250" s="3"/>
      <c r="EV250" s="3"/>
      <c r="EW250" s="3"/>
      <c r="EX250" s="3"/>
      <c r="EY250" s="3"/>
      <c r="EZ250" s="3"/>
      <c r="FA250" s="3"/>
      <c r="FB250" s="3"/>
      <c r="FC250" s="3"/>
      <c r="FD250" s="3"/>
      <c r="FE250" s="3"/>
      <c r="FF250" s="3"/>
      <c r="FG250" s="3"/>
      <c r="FH250" s="3"/>
      <c r="FI250" s="3"/>
      <c r="FJ250" s="3"/>
      <c r="FK250" s="3"/>
      <c r="FL250" s="3"/>
      <c r="FM250" s="3"/>
      <c r="FN250" s="3"/>
      <c r="FO250" s="3"/>
      <c r="FP250" s="3"/>
      <c r="FQ250" s="3"/>
      <c r="FR250" s="3"/>
      <c r="FS250" s="3"/>
      <c r="FT250" s="3"/>
      <c r="FU250" s="3"/>
      <c r="FV250" s="3"/>
      <c r="FW250" s="3"/>
      <c r="FX250" s="3"/>
      <c r="FY250" s="3"/>
      <c r="FZ250" s="3"/>
      <c r="GA250" s="3"/>
      <c r="GB250" s="3"/>
      <c r="GC250" s="3"/>
      <c r="GD250" s="3"/>
      <c r="GE250" s="3"/>
      <c r="GF250" s="3"/>
      <c r="GG250" s="3"/>
      <c r="GH250" s="3"/>
      <c r="GI250" s="3"/>
      <c r="GJ250" s="3"/>
      <c r="GK250" s="3"/>
      <c r="GL250" s="3"/>
      <c r="GM250" s="3"/>
      <c r="GN250" s="3"/>
      <c r="GO250" s="3"/>
      <c r="GP250" s="3"/>
      <c r="GQ250" s="3"/>
      <c r="GR250" s="3"/>
      <c r="GS250" s="3"/>
      <c r="GT250" s="3"/>
      <c r="GU250" s="3"/>
      <c r="GV250" s="3"/>
      <c r="GW250" s="3"/>
      <c r="GX250" s="3"/>
      <c r="GY250" s="3"/>
      <c r="GZ250" s="3"/>
      <c r="HA250" s="3"/>
      <c r="HB250" s="3"/>
      <c r="HC250" s="3"/>
      <c r="HD250" s="3"/>
      <c r="HE250" s="3"/>
      <c r="HF250" s="3"/>
      <c r="HG250" s="3"/>
      <c r="HH250" s="3"/>
      <c r="HI250" s="3"/>
      <c r="HJ250" s="3"/>
      <c r="HK250" s="3"/>
      <c r="HL250" s="3"/>
      <c r="HM250" s="3"/>
      <c r="HN250" s="3"/>
      <c r="HO250" s="3"/>
      <c r="HP250" s="3"/>
      <c r="HQ250" s="3"/>
      <c r="HR250" s="3"/>
      <c r="HS250" s="3"/>
      <c r="HT250" s="3"/>
      <c r="HU250" s="3"/>
      <c r="HV250" s="3"/>
      <c r="HW250" s="3"/>
      <c r="HX250" s="3"/>
      <c r="HY250" s="3"/>
      <c r="HZ250" s="3"/>
      <c r="IA250" s="3"/>
      <c r="IB250" s="3"/>
      <c r="IC250" s="3"/>
      <c r="ID250" s="3"/>
      <c r="IE250" s="3"/>
      <c r="IF250" s="3"/>
      <c r="IG250" s="3"/>
      <c r="IH250" s="3"/>
      <c r="II250" s="3"/>
      <c r="IJ250" s="3"/>
      <c r="IK250" s="3"/>
      <c r="IL250" s="3"/>
      <c r="IM250" s="3"/>
      <c r="IN250" s="3"/>
      <c r="IO250" s="3"/>
      <c r="IP250" s="3"/>
      <c r="IQ250" s="3"/>
      <c r="IR250" s="3"/>
      <c r="IS250" s="3"/>
      <c r="IT250" s="3"/>
      <c r="IU250" s="3"/>
      <c r="IV250" s="3"/>
      <c r="IW250" s="3"/>
      <c r="IX250" s="3"/>
      <c r="IY250" s="3"/>
      <c r="IZ250" s="3"/>
      <c r="JA250" s="3"/>
      <c r="JB250" s="3"/>
      <c r="JC250" s="3"/>
      <c r="JD250" s="3"/>
      <c r="JE250" s="3"/>
      <c r="JF250" s="3"/>
      <c r="JG250" s="3"/>
      <c r="JH250" s="3"/>
      <c r="JI250" s="3"/>
      <c r="JJ250" s="3"/>
      <c r="JK250" s="3"/>
      <c r="JL250" s="3"/>
      <c r="JM250" s="3"/>
      <c r="JN250" s="3"/>
      <c r="JO250" s="3"/>
      <c r="JP250" s="3"/>
      <c r="JQ250" s="3"/>
      <c r="JR250" s="3"/>
      <c r="JS250" s="3"/>
      <c r="JT250" s="3"/>
      <c r="JU250" s="3"/>
      <c r="JV250" s="3"/>
      <c r="JW250" s="3"/>
      <c r="JX250" s="3"/>
      <c r="JY250" s="3"/>
      <c r="JZ250" s="3"/>
      <c r="KA250" s="3"/>
      <c r="KB250" s="3"/>
      <c r="KC250" s="3"/>
      <c r="KD250" s="3"/>
      <c r="KE250" s="3"/>
      <c r="KF250" s="3"/>
      <c r="KG250" s="3"/>
      <c r="KH250" s="3"/>
      <c r="KI250" s="3"/>
      <c r="KJ250" s="3"/>
      <c r="KK250" s="3"/>
      <c r="KL250" s="3"/>
      <c r="KM250" s="3"/>
      <c r="KN250" s="3"/>
      <c r="KO250" s="3"/>
      <c r="KP250" s="3"/>
      <c r="KQ250" s="3"/>
      <c r="KR250" s="3"/>
      <c r="KS250" s="3"/>
      <c r="KT250" s="3"/>
      <c r="KU250" s="3"/>
      <c r="KV250" s="3"/>
      <c r="KW250" s="3"/>
      <c r="KX250" s="3"/>
      <c r="KY250" s="3"/>
      <c r="KZ250" s="3"/>
      <c r="LA250" s="3"/>
      <c r="LB250" s="3"/>
      <c r="LC250" s="3"/>
      <c r="LD250" s="3"/>
      <c r="LE250" s="3"/>
      <c r="LF250" s="3"/>
      <c r="LG250" s="3"/>
      <c r="LH250" s="3"/>
      <c r="LI250" s="3"/>
      <c r="LJ250" s="3"/>
      <c r="LK250" s="3"/>
      <c r="LL250" s="3"/>
      <c r="LM250" s="3"/>
      <c r="LN250" s="3"/>
      <c r="LO250" s="3"/>
      <c r="LP250" s="3"/>
      <c r="LQ250" s="3"/>
      <c r="LR250" s="3"/>
      <c r="LS250" s="3"/>
      <c r="LT250" s="3"/>
      <c r="LU250" s="3"/>
      <c r="LV250" s="3"/>
      <c r="LW250" s="3"/>
      <c r="LX250" s="3"/>
      <c r="LY250" s="3"/>
      <c r="LZ250" s="3"/>
      <c r="MA250" s="3"/>
      <c r="MB250" s="3"/>
      <c r="MC250" s="3"/>
      <c r="MD250" s="3"/>
      <c r="ME250" s="3"/>
      <c r="MF250" s="3"/>
      <c r="MG250" s="3"/>
      <c r="MH250" s="3"/>
      <c r="MI250" s="3"/>
      <c r="MJ250" s="3"/>
      <c r="MK250" s="3"/>
      <c r="ML250" s="3"/>
      <c r="MM250" s="3"/>
      <c r="MN250" s="3"/>
      <c r="MO250" s="3"/>
      <c r="MP250" s="3"/>
      <c r="MQ250" s="3"/>
      <c r="MR250" s="3"/>
      <c r="MS250" s="3"/>
      <c r="MT250" s="3"/>
      <c r="MU250" s="3"/>
      <c r="MV250" s="3"/>
      <c r="MW250" s="3"/>
      <c r="MX250" s="3"/>
      <c r="MY250" s="3"/>
      <c r="MZ250" s="3"/>
      <c r="NA250" s="3"/>
      <c r="NB250" s="3"/>
      <c r="NC250" s="3"/>
      <c r="ND250" s="3"/>
      <c r="NE250" s="3"/>
      <c r="NF250" s="3"/>
      <c r="NG250" s="3"/>
      <c r="NH250" s="3"/>
      <c r="NI250" s="3"/>
      <c r="NJ250" s="3"/>
      <c r="NK250" s="3"/>
      <c r="NL250" s="3"/>
      <c r="NM250" s="3"/>
      <c r="NN250" s="3"/>
      <c r="NO250" s="3"/>
      <c r="NP250" s="3"/>
      <c r="NQ250" s="3"/>
      <c r="NR250" s="3"/>
      <c r="NS250" s="3"/>
      <c r="NT250" s="3"/>
      <c r="NU250" s="3"/>
      <c r="NV250" s="3"/>
      <c r="NW250" s="3"/>
      <c r="NX250" s="3"/>
      <c r="NY250" s="3"/>
      <c r="NZ250" s="3"/>
      <c r="OA250" s="3"/>
      <c r="OB250" s="3"/>
      <c r="OC250" s="3"/>
      <c r="OD250" s="3"/>
      <c r="OE250" s="3"/>
      <c r="OF250" s="3"/>
      <c r="OG250" s="3"/>
      <c r="OH250" s="3"/>
      <c r="OI250" s="3"/>
      <c r="OJ250" s="3"/>
      <c r="OK250" s="3"/>
      <c r="OL250" s="3"/>
      <c r="OM250" s="3"/>
      <c r="ON250" s="3"/>
      <c r="OO250" s="3"/>
      <c r="OP250" s="3"/>
      <c r="OQ250" s="3"/>
      <c r="OR250" s="3"/>
      <c r="OS250" s="3"/>
      <c r="OT250" s="3"/>
      <c r="OU250" s="3"/>
      <c r="OV250" s="3"/>
      <c r="OW250" s="3"/>
      <c r="OX250" s="3"/>
      <c r="OY250" s="3"/>
      <c r="OZ250" s="3"/>
      <c r="PA250" s="3"/>
      <c r="PB250" s="3"/>
      <c r="PC250" s="3"/>
      <c r="PD250" s="3"/>
      <c r="PE250" s="3"/>
      <c r="PF250" s="3"/>
      <c r="PG250" s="3"/>
      <c r="PH250" s="3"/>
      <c r="PI250" s="3"/>
      <c r="PJ250" s="3"/>
      <c r="PK250" s="3"/>
      <c r="PL250" s="3"/>
      <c r="PM250" s="3"/>
      <c r="PN250" s="3"/>
      <c r="PO250" s="3"/>
      <c r="PP250" s="3"/>
      <c r="PQ250" s="3"/>
      <c r="PR250" s="3"/>
      <c r="PS250" s="3"/>
      <c r="PT250" s="3"/>
      <c r="PU250" s="3"/>
      <c r="PV250" s="3"/>
      <c r="PW250" s="3"/>
      <c r="PX250" s="3"/>
      <c r="PY250" s="3"/>
      <c r="PZ250" s="3"/>
      <c r="QA250" s="3"/>
      <c r="QB250" s="3"/>
      <c r="QC250" s="3"/>
      <c r="QD250" s="3"/>
      <c r="QE250" s="3"/>
      <c r="QF250" s="3"/>
      <c r="QG250" s="3"/>
      <c r="QH250" s="3"/>
      <c r="QI250" s="3"/>
      <c r="QJ250" s="3"/>
      <c r="QK250" s="3"/>
      <c r="QL250" s="3"/>
      <c r="QM250" s="3"/>
      <c r="QN250" s="3"/>
      <c r="QO250" s="3"/>
      <c r="QP250" s="3"/>
      <c r="QQ250" s="3"/>
      <c r="QR250" s="3"/>
      <c r="QS250" s="3"/>
      <c r="QT250" s="3"/>
      <c r="QU250" s="3"/>
      <c r="QV250" s="3"/>
      <c r="QW250" s="3"/>
      <c r="QX250" s="3"/>
      <c r="QY250" s="3"/>
      <c r="QZ250" s="3"/>
      <c r="RA250" s="3"/>
      <c r="RB250" s="3"/>
      <c r="RC250" s="3"/>
      <c r="RD250" s="3"/>
      <c r="RE250" s="3"/>
      <c r="RF250" s="3"/>
      <c r="RG250" s="3"/>
      <c r="RH250" s="3"/>
      <c r="RI250" s="3"/>
      <c r="RJ250" s="3"/>
      <c r="RK250" s="3"/>
      <c r="RL250" s="3"/>
      <c r="RM250" s="3"/>
      <c r="RN250" s="3"/>
      <c r="RO250" s="3"/>
      <c r="RP250" s="3"/>
      <c r="RQ250" s="3"/>
      <c r="RR250" s="3"/>
      <c r="RS250" s="3"/>
      <c r="RT250" s="3"/>
      <c r="RU250" s="3"/>
      <c r="RV250" s="3"/>
      <c r="RW250" s="3"/>
      <c r="RX250" s="3"/>
      <c r="RY250" s="3"/>
      <c r="RZ250" s="3"/>
      <c r="SA250" s="3"/>
      <c r="SB250" s="3"/>
      <c r="SC250" s="3"/>
      <c r="SD250" s="3"/>
      <c r="SE250" s="3"/>
      <c r="SF250" s="3"/>
      <c r="SG250" s="3"/>
      <c r="SH250" s="3"/>
      <c r="SI250" s="3"/>
      <c r="SJ250" s="3"/>
      <c r="SK250" s="3"/>
      <c r="SL250" s="3"/>
      <c r="SM250" s="3"/>
      <c r="SN250" s="3"/>
      <c r="SO250" s="3"/>
      <c r="SP250" s="3"/>
      <c r="SQ250" s="3"/>
      <c r="SR250" s="3"/>
      <c r="SS250" s="3"/>
      <c r="ST250" s="3"/>
      <c r="SU250" s="3"/>
      <c r="SV250" s="3"/>
      <c r="SW250" s="3"/>
      <c r="SX250" s="3"/>
      <c r="SY250" s="3"/>
      <c r="SZ250" s="3"/>
      <c r="TA250" s="3"/>
      <c r="TB250" s="3"/>
      <c r="TC250" s="3"/>
      <c r="TD250" s="3"/>
      <c r="TE250" s="3"/>
      <c r="TF250" s="3"/>
      <c r="TG250" s="3"/>
      <c r="TH250" s="3"/>
      <c r="TI250" s="3"/>
      <c r="TJ250" s="3"/>
      <c r="TK250" s="3"/>
      <c r="TL250" s="3"/>
      <c r="TM250" s="3"/>
      <c r="TN250" s="3"/>
      <c r="TO250" s="3"/>
      <c r="TP250" s="3"/>
      <c r="TQ250" s="3"/>
      <c r="TR250" s="3"/>
      <c r="TS250" s="3"/>
      <c r="TT250" s="3"/>
      <c r="TU250" s="3"/>
      <c r="TV250" s="3"/>
      <c r="TW250" s="3"/>
      <c r="TX250" s="3"/>
      <c r="TY250" s="3"/>
      <c r="TZ250" s="3"/>
      <c r="UA250" s="3"/>
      <c r="UB250" s="3"/>
      <c r="UC250" s="3"/>
      <c r="UD250" s="3"/>
      <c r="UE250" s="3"/>
      <c r="UF250" s="3"/>
      <c r="UG250" s="3"/>
      <c r="UH250" s="3"/>
      <c r="UI250" s="3"/>
      <c r="UJ250" s="3"/>
      <c r="UK250" s="3"/>
      <c r="UL250" s="3"/>
      <c r="UM250" s="3"/>
      <c r="UN250" s="3"/>
      <c r="UO250" s="3"/>
      <c r="UP250" s="3"/>
      <c r="UQ250" s="3"/>
      <c r="UR250" s="3"/>
      <c r="US250" s="3"/>
      <c r="UT250" s="3"/>
      <c r="UU250" s="3"/>
      <c r="UV250" s="3"/>
      <c r="UW250" s="3"/>
      <c r="UX250" s="3"/>
      <c r="UY250" s="3"/>
      <c r="UZ250" s="3"/>
      <c r="VA250" s="3"/>
      <c r="VB250" s="3"/>
      <c r="VC250" s="3"/>
      <c r="VD250" s="3"/>
      <c r="VE250" s="3"/>
      <c r="VF250" s="3"/>
      <c r="VG250" s="3"/>
      <c r="VH250" s="3"/>
      <c r="VI250" s="3"/>
      <c r="VJ250" s="3"/>
      <c r="VK250" s="3"/>
      <c r="VL250" s="3"/>
      <c r="VM250" s="3"/>
      <c r="VN250" s="3"/>
      <c r="VO250" s="3"/>
      <c r="VP250" s="3"/>
      <c r="VQ250" s="3"/>
      <c r="VR250" s="3"/>
      <c r="VS250" s="3"/>
      <c r="VT250" s="3"/>
      <c r="VU250" s="3"/>
      <c r="VV250" s="3"/>
      <c r="VW250" s="3"/>
      <c r="VX250" s="3"/>
      <c r="VY250" s="3"/>
      <c r="VZ250" s="3"/>
      <c r="WA250" s="3"/>
      <c r="WB250" s="3"/>
      <c r="WC250" s="3"/>
      <c r="WD250" s="3"/>
      <c r="WE250" s="3"/>
      <c r="WF250" s="3"/>
      <c r="WG250" s="3"/>
      <c r="WH250" s="3"/>
      <c r="WI250" s="3"/>
      <c r="WJ250" s="3"/>
      <c r="WK250" s="3"/>
      <c r="WL250" s="3"/>
      <c r="WM250" s="3"/>
      <c r="WN250" s="3"/>
      <c r="WO250" s="3"/>
      <c r="WP250" s="3"/>
      <c r="WQ250" s="3"/>
      <c r="WR250" s="3"/>
      <c r="WS250" s="3"/>
      <c r="WT250" s="3"/>
      <c r="WU250" s="3"/>
      <c r="WV250" s="3"/>
      <c r="WW250" s="3"/>
      <c r="WX250" s="3"/>
      <c r="WY250" s="3"/>
      <c r="WZ250" s="3"/>
      <c r="XA250" s="3"/>
      <c r="XB250" s="3"/>
      <c r="XC250" s="3"/>
      <c r="XD250" s="3"/>
      <c r="XE250" s="3"/>
      <c r="XF250" s="3"/>
      <c r="XG250" s="3"/>
      <c r="XH250" s="3"/>
      <c r="XI250" s="3"/>
      <c r="XJ250" s="3"/>
      <c r="XK250" s="3"/>
      <c r="XL250" s="3"/>
      <c r="XM250" s="3"/>
      <c r="XN250" s="3"/>
      <c r="XO250" s="3"/>
      <c r="XP250" s="3"/>
      <c r="XQ250" s="3"/>
      <c r="XR250" s="3"/>
      <c r="XS250" s="3"/>
      <c r="XT250" s="3"/>
      <c r="XU250" s="3"/>
      <c r="XV250" s="3"/>
      <c r="XW250" s="3"/>
      <c r="XX250" s="3"/>
      <c r="XY250" s="3"/>
      <c r="XZ250" s="3"/>
      <c r="YA250" s="3"/>
      <c r="YB250" s="3"/>
      <c r="YC250" s="3"/>
      <c r="YD250" s="3"/>
      <c r="YE250" s="3"/>
      <c r="YF250" s="3"/>
      <c r="YG250" s="3"/>
      <c r="YH250" s="3"/>
      <c r="YI250" s="3"/>
      <c r="YJ250" s="3"/>
      <c r="YK250" s="3"/>
      <c r="YL250" s="3"/>
      <c r="YM250" s="3"/>
      <c r="YN250" s="3"/>
      <c r="YO250" s="3"/>
      <c r="YP250" s="3"/>
      <c r="YQ250" s="3"/>
      <c r="YR250" s="3"/>
      <c r="YS250" s="3"/>
      <c r="YT250" s="3"/>
      <c r="YU250" s="3"/>
      <c r="YV250" s="3"/>
      <c r="YW250" s="3"/>
      <c r="YX250" s="3"/>
      <c r="YY250" s="3"/>
      <c r="YZ250" s="3"/>
      <c r="ZA250" s="3"/>
      <c r="ZB250" s="3"/>
      <c r="ZC250" s="3"/>
    </row>
    <row r="251" spans="1:679" s="2" customFormat="1" x14ac:dyDescent="0.45">
      <c r="A251" s="3" t="s">
        <v>11</v>
      </c>
      <c r="B251" s="4">
        <v>37399</v>
      </c>
      <c r="C251" s="7" t="s">
        <v>25</v>
      </c>
      <c r="D251" s="6" t="s">
        <v>269</v>
      </c>
      <c r="E251" s="11" t="s">
        <v>270</v>
      </c>
      <c r="F251" s="3">
        <v>5</v>
      </c>
      <c r="L251" s="3"/>
      <c r="M251" s="3"/>
      <c r="N251" s="48"/>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c r="CP251" s="3"/>
      <c r="CQ251" s="3"/>
      <c r="CR251" s="3"/>
      <c r="CS251" s="3"/>
      <c r="CT251" s="3"/>
      <c r="CU251" s="3"/>
      <c r="CV251" s="3"/>
      <c r="CW251" s="3"/>
      <c r="CX251" s="3"/>
      <c r="CY251" s="3"/>
      <c r="CZ251" s="3"/>
      <c r="DA251" s="3"/>
      <c r="DB251" s="3"/>
      <c r="DC251" s="3"/>
      <c r="DD251" s="3"/>
      <c r="DE251" s="3"/>
      <c r="DF251" s="3"/>
      <c r="DG251" s="3"/>
      <c r="DH251" s="3"/>
      <c r="DI251" s="3"/>
      <c r="DJ251" s="3"/>
      <c r="DK251" s="3"/>
      <c r="DL251" s="3"/>
      <c r="DM251" s="3"/>
      <c r="DN251" s="3"/>
      <c r="DO251" s="3"/>
      <c r="DP251" s="3"/>
      <c r="DQ251" s="3"/>
      <c r="DR251" s="3"/>
      <c r="DS251" s="3"/>
      <c r="DT251" s="3"/>
      <c r="DU251" s="3"/>
      <c r="DV251" s="3"/>
      <c r="DW251" s="3"/>
      <c r="DX251" s="3"/>
      <c r="DY251" s="3"/>
      <c r="DZ251" s="3"/>
      <c r="EA251" s="3"/>
      <c r="EB251" s="3"/>
      <c r="EC251" s="3"/>
      <c r="ED251" s="3"/>
      <c r="EE251" s="3"/>
      <c r="EF251" s="3"/>
      <c r="EG251" s="3"/>
      <c r="EH251" s="3"/>
      <c r="EI251" s="3"/>
      <c r="EJ251" s="3"/>
      <c r="EK251" s="3"/>
      <c r="EL251" s="3"/>
      <c r="EM251" s="3"/>
      <c r="EN251" s="3"/>
      <c r="EO251" s="3"/>
      <c r="EP251" s="3"/>
      <c r="EQ251" s="3"/>
      <c r="ER251" s="3"/>
      <c r="ES251" s="3"/>
      <c r="ET251" s="3"/>
      <c r="EU251" s="3"/>
      <c r="EV251" s="3"/>
      <c r="EW251" s="3"/>
      <c r="EX251" s="3"/>
      <c r="EY251" s="3"/>
      <c r="EZ251" s="3"/>
      <c r="FA251" s="3"/>
      <c r="FB251" s="3"/>
      <c r="FC251" s="3"/>
      <c r="FD251" s="3"/>
      <c r="FE251" s="3"/>
      <c r="FF251" s="3"/>
      <c r="FG251" s="3"/>
      <c r="FH251" s="3"/>
      <c r="FI251" s="3"/>
      <c r="FJ251" s="3"/>
      <c r="FK251" s="3"/>
      <c r="FL251" s="3"/>
      <c r="FM251" s="3"/>
      <c r="FN251" s="3"/>
      <c r="FO251" s="3"/>
      <c r="FP251" s="3"/>
      <c r="FQ251" s="3"/>
      <c r="FR251" s="3"/>
      <c r="FS251" s="3"/>
      <c r="FT251" s="3"/>
      <c r="FU251" s="3"/>
      <c r="FV251" s="3"/>
      <c r="FW251" s="3"/>
      <c r="FX251" s="3"/>
      <c r="FY251" s="3"/>
      <c r="FZ251" s="3"/>
      <c r="GA251" s="3"/>
      <c r="GB251" s="3"/>
      <c r="GC251" s="3"/>
      <c r="GD251" s="3"/>
      <c r="GE251" s="3"/>
      <c r="GF251" s="3"/>
      <c r="GG251" s="3"/>
      <c r="GH251" s="3"/>
      <c r="GI251" s="3"/>
      <c r="GJ251" s="3"/>
      <c r="GK251" s="3"/>
      <c r="GL251" s="3"/>
      <c r="GM251" s="3"/>
      <c r="GN251" s="3"/>
      <c r="GO251" s="3"/>
      <c r="GP251" s="3"/>
      <c r="GQ251" s="3"/>
      <c r="GR251" s="3"/>
      <c r="GS251" s="3"/>
      <c r="GT251" s="3"/>
      <c r="GU251" s="3"/>
      <c r="GV251" s="3"/>
      <c r="GW251" s="3"/>
      <c r="GX251" s="3"/>
      <c r="GY251" s="3"/>
      <c r="GZ251" s="3"/>
      <c r="HA251" s="3"/>
      <c r="HB251" s="3"/>
      <c r="HC251" s="3"/>
      <c r="HD251" s="3"/>
      <c r="HE251" s="3"/>
      <c r="HF251" s="3"/>
      <c r="HG251" s="3"/>
      <c r="HH251" s="3"/>
      <c r="HI251" s="3"/>
      <c r="HJ251" s="3"/>
      <c r="HK251" s="3"/>
      <c r="HL251" s="3"/>
      <c r="HM251" s="3"/>
      <c r="HN251" s="3"/>
      <c r="HO251" s="3"/>
      <c r="HP251" s="3"/>
      <c r="HQ251" s="3"/>
      <c r="HR251" s="3"/>
      <c r="HS251" s="3"/>
      <c r="HT251" s="3"/>
      <c r="HU251" s="3"/>
      <c r="HV251" s="3"/>
      <c r="HW251" s="3"/>
      <c r="HX251" s="3"/>
      <c r="HY251" s="3"/>
      <c r="HZ251" s="3"/>
      <c r="IA251" s="3"/>
      <c r="IB251" s="3"/>
      <c r="IC251" s="3"/>
      <c r="ID251" s="3"/>
      <c r="IE251" s="3"/>
      <c r="IF251" s="3"/>
      <c r="IG251" s="3"/>
      <c r="IH251" s="3"/>
      <c r="II251" s="3"/>
      <c r="IJ251" s="3"/>
      <c r="IK251" s="3"/>
      <c r="IL251" s="3"/>
      <c r="IM251" s="3"/>
      <c r="IN251" s="3"/>
      <c r="IO251" s="3"/>
      <c r="IP251" s="3"/>
      <c r="IQ251" s="3"/>
      <c r="IR251" s="3"/>
      <c r="IS251" s="3"/>
      <c r="IT251" s="3"/>
      <c r="IU251" s="3"/>
      <c r="IV251" s="3"/>
      <c r="IW251" s="3"/>
      <c r="IX251" s="3"/>
      <c r="IY251" s="3"/>
      <c r="IZ251" s="3"/>
      <c r="JA251" s="3"/>
      <c r="JB251" s="3"/>
      <c r="JC251" s="3"/>
      <c r="JD251" s="3"/>
      <c r="JE251" s="3"/>
      <c r="JF251" s="3"/>
      <c r="JG251" s="3"/>
      <c r="JH251" s="3"/>
      <c r="JI251" s="3"/>
      <c r="JJ251" s="3"/>
      <c r="JK251" s="3"/>
      <c r="JL251" s="3"/>
      <c r="JM251" s="3"/>
      <c r="JN251" s="3"/>
      <c r="JO251" s="3"/>
      <c r="JP251" s="3"/>
      <c r="JQ251" s="3"/>
      <c r="JR251" s="3"/>
      <c r="JS251" s="3"/>
      <c r="JT251" s="3"/>
      <c r="JU251" s="3"/>
      <c r="JV251" s="3"/>
      <c r="JW251" s="3"/>
      <c r="JX251" s="3"/>
      <c r="JY251" s="3"/>
      <c r="JZ251" s="3"/>
      <c r="KA251" s="3"/>
      <c r="KB251" s="3"/>
      <c r="KC251" s="3"/>
      <c r="KD251" s="3"/>
      <c r="KE251" s="3"/>
      <c r="KF251" s="3"/>
      <c r="KG251" s="3"/>
      <c r="KH251" s="3"/>
      <c r="KI251" s="3"/>
      <c r="KJ251" s="3"/>
      <c r="KK251" s="3"/>
      <c r="KL251" s="3"/>
      <c r="KM251" s="3"/>
      <c r="KN251" s="3"/>
      <c r="KO251" s="3"/>
      <c r="KP251" s="3"/>
      <c r="KQ251" s="3"/>
      <c r="KR251" s="3"/>
      <c r="KS251" s="3"/>
      <c r="KT251" s="3"/>
      <c r="KU251" s="3"/>
      <c r="KV251" s="3"/>
      <c r="KW251" s="3"/>
      <c r="KX251" s="3"/>
      <c r="KY251" s="3"/>
      <c r="KZ251" s="3"/>
      <c r="LA251" s="3"/>
      <c r="LB251" s="3"/>
      <c r="LC251" s="3"/>
      <c r="LD251" s="3"/>
      <c r="LE251" s="3"/>
      <c r="LF251" s="3"/>
      <c r="LG251" s="3"/>
      <c r="LH251" s="3"/>
      <c r="LI251" s="3"/>
      <c r="LJ251" s="3"/>
      <c r="LK251" s="3"/>
      <c r="LL251" s="3"/>
      <c r="LM251" s="3"/>
      <c r="LN251" s="3"/>
      <c r="LO251" s="3"/>
      <c r="LP251" s="3"/>
      <c r="LQ251" s="3"/>
      <c r="LR251" s="3"/>
      <c r="LS251" s="3"/>
      <c r="LT251" s="3"/>
      <c r="LU251" s="3"/>
      <c r="LV251" s="3"/>
      <c r="LW251" s="3"/>
      <c r="LX251" s="3"/>
      <c r="LY251" s="3"/>
      <c r="LZ251" s="3"/>
      <c r="MA251" s="3"/>
      <c r="MB251" s="3"/>
      <c r="MC251" s="3"/>
      <c r="MD251" s="3"/>
      <c r="ME251" s="3"/>
      <c r="MF251" s="3"/>
      <c r="MG251" s="3"/>
      <c r="MH251" s="3"/>
      <c r="MI251" s="3"/>
      <c r="MJ251" s="3"/>
      <c r="MK251" s="3"/>
      <c r="ML251" s="3"/>
      <c r="MM251" s="3"/>
      <c r="MN251" s="3"/>
      <c r="MO251" s="3"/>
      <c r="MP251" s="3"/>
      <c r="MQ251" s="3"/>
      <c r="MR251" s="3"/>
      <c r="MS251" s="3"/>
      <c r="MT251" s="3"/>
      <c r="MU251" s="3"/>
      <c r="MV251" s="3"/>
      <c r="MW251" s="3"/>
      <c r="MX251" s="3"/>
      <c r="MY251" s="3"/>
      <c r="MZ251" s="3"/>
      <c r="NA251" s="3"/>
      <c r="NB251" s="3"/>
      <c r="NC251" s="3"/>
      <c r="ND251" s="3"/>
      <c r="NE251" s="3"/>
      <c r="NF251" s="3"/>
      <c r="NG251" s="3"/>
      <c r="NH251" s="3"/>
      <c r="NI251" s="3"/>
      <c r="NJ251" s="3"/>
      <c r="NK251" s="3"/>
      <c r="NL251" s="3"/>
      <c r="NM251" s="3"/>
      <c r="NN251" s="3"/>
      <c r="NO251" s="3"/>
      <c r="NP251" s="3"/>
      <c r="NQ251" s="3"/>
      <c r="NR251" s="3"/>
      <c r="NS251" s="3"/>
      <c r="NT251" s="3"/>
      <c r="NU251" s="3"/>
      <c r="NV251" s="3"/>
      <c r="NW251" s="3"/>
      <c r="NX251" s="3"/>
      <c r="NY251" s="3"/>
      <c r="NZ251" s="3"/>
      <c r="OA251" s="3"/>
      <c r="OB251" s="3"/>
      <c r="OC251" s="3"/>
      <c r="OD251" s="3"/>
      <c r="OE251" s="3"/>
      <c r="OF251" s="3"/>
      <c r="OG251" s="3"/>
      <c r="OH251" s="3"/>
      <c r="OI251" s="3"/>
      <c r="OJ251" s="3"/>
      <c r="OK251" s="3"/>
      <c r="OL251" s="3"/>
      <c r="OM251" s="3"/>
      <c r="ON251" s="3"/>
      <c r="OO251" s="3"/>
      <c r="OP251" s="3"/>
      <c r="OQ251" s="3"/>
      <c r="OR251" s="3"/>
      <c r="OS251" s="3"/>
      <c r="OT251" s="3"/>
      <c r="OU251" s="3"/>
      <c r="OV251" s="3"/>
      <c r="OW251" s="3"/>
      <c r="OX251" s="3"/>
      <c r="OY251" s="3"/>
      <c r="OZ251" s="3"/>
      <c r="PA251" s="3"/>
      <c r="PB251" s="3"/>
      <c r="PC251" s="3"/>
      <c r="PD251" s="3"/>
      <c r="PE251" s="3"/>
      <c r="PF251" s="3"/>
      <c r="PG251" s="3"/>
      <c r="PH251" s="3"/>
      <c r="PI251" s="3"/>
      <c r="PJ251" s="3"/>
      <c r="PK251" s="3"/>
      <c r="PL251" s="3"/>
      <c r="PM251" s="3"/>
      <c r="PN251" s="3"/>
      <c r="PO251" s="3"/>
      <c r="PP251" s="3"/>
      <c r="PQ251" s="3"/>
      <c r="PR251" s="3"/>
      <c r="PS251" s="3"/>
      <c r="PT251" s="3"/>
      <c r="PU251" s="3"/>
      <c r="PV251" s="3"/>
      <c r="PW251" s="3"/>
      <c r="PX251" s="3"/>
      <c r="PY251" s="3"/>
      <c r="PZ251" s="3"/>
      <c r="QA251" s="3"/>
      <c r="QB251" s="3"/>
      <c r="QC251" s="3"/>
      <c r="QD251" s="3"/>
      <c r="QE251" s="3"/>
      <c r="QF251" s="3"/>
      <c r="QG251" s="3"/>
      <c r="QH251" s="3"/>
      <c r="QI251" s="3"/>
      <c r="QJ251" s="3"/>
      <c r="QK251" s="3"/>
      <c r="QL251" s="3"/>
      <c r="QM251" s="3"/>
      <c r="QN251" s="3"/>
      <c r="QO251" s="3"/>
      <c r="QP251" s="3"/>
      <c r="QQ251" s="3"/>
      <c r="QR251" s="3"/>
      <c r="QS251" s="3"/>
      <c r="QT251" s="3"/>
      <c r="QU251" s="3"/>
      <c r="QV251" s="3"/>
      <c r="QW251" s="3"/>
      <c r="QX251" s="3"/>
      <c r="QY251" s="3"/>
      <c r="QZ251" s="3"/>
      <c r="RA251" s="3"/>
      <c r="RB251" s="3"/>
      <c r="RC251" s="3"/>
      <c r="RD251" s="3"/>
      <c r="RE251" s="3"/>
      <c r="RF251" s="3"/>
      <c r="RG251" s="3"/>
      <c r="RH251" s="3"/>
      <c r="RI251" s="3"/>
      <c r="RJ251" s="3"/>
      <c r="RK251" s="3"/>
      <c r="RL251" s="3"/>
      <c r="RM251" s="3"/>
      <c r="RN251" s="3"/>
      <c r="RO251" s="3"/>
      <c r="RP251" s="3"/>
      <c r="RQ251" s="3"/>
      <c r="RR251" s="3"/>
      <c r="RS251" s="3"/>
      <c r="RT251" s="3"/>
      <c r="RU251" s="3"/>
      <c r="RV251" s="3"/>
      <c r="RW251" s="3"/>
      <c r="RX251" s="3"/>
      <c r="RY251" s="3"/>
      <c r="RZ251" s="3"/>
      <c r="SA251" s="3"/>
      <c r="SB251" s="3"/>
      <c r="SC251" s="3"/>
      <c r="SD251" s="3"/>
      <c r="SE251" s="3"/>
      <c r="SF251" s="3"/>
      <c r="SG251" s="3"/>
      <c r="SH251" s="3"/>
      <c r="SI251" s="3"/>
      <c r="SJ251" s="3"/>
      <c r="SK251" s="3"/>
      <c r="SL251" s="3"/>
      <c r="SM251" s="3"/>
      <c r="SN251" s="3"/>
      <c r="SO251" s="3"/>
      <c r="SP251" s="3"/>
      <c r="SQ251" s="3"/>
      <c r="SR251" s="3"/>
      <c r="SS251" s="3"/>
      <c r="ST251" s="3"/>
      <c r="SU251" s="3"/>
      <c r="SV251" s="3"/>
      <c r="SW251" s="3"/>
      <c r="SX251" s="3"/>
      <c r="SY251" s="3"/>
      <c r="SZ251" s="3"/>
      <c r="TA251" s="3"/>
      <c r="TB251" s="3"/>
      <c r="TC251" s="3"/>
      <c r="TD251" s="3"/>
      <c r="TE251" s="3"/>
      <c r="TF251" s="3"/>
      <c r="TG251" s="3"/>
      <c r="TH251" s="3"/>
      <c r="TI251" s="3"/>
      <c r="TJ251" s="3"/>
      <c r="TK251" s="3"/>
      <c r="TL251" s="3"/>
      <c r="TM251" s="3"/>
      <c r="TN251" s="3"/>
      <c r="TO251" s="3"/>
      <c r="TP251" s="3"/>
      <c r="TQ251" s="3"/>
      <c r="TR251" s="3"/>
      <c r="TS251" s="3"/>
      <c r="TT251" s="3"/>
      <c r="TU251" s="3"/>
      <c r="TV251" s="3"/>
      <c r="TW251" s="3"/>
      <c r="TX251" s="3"/>
      <c r="TY251" s="3"/>
      <c r="TZ251" s="3"/>
      <c r="UA251" s="3"/>
      <c r="UB251" s="3"/>
      <c r="UC251" s="3"/>
      <c r="UD251" s="3"/>
      <c r="UE251" s="3"/>
      <c r="UF251" s="3"/>
      <c r="UG251" s="3"/>
      <c r="UH251" s="3"/>
      <c r="UI251" s="3"/>
      <c r="UJ251" s="3"/>
      <c r="UK251" s="3"/>
      <c r="UL251" s="3"/>
      <c r="UM251" s="3"/>
      <c r="UN251" s="3"/>
      <c r="UO251" s="3"/>
      <c r="UP251" s="3"/>
      <c r="UQ251" s="3"/>
      <c r="UR251" s="3"/>
      <c r="US251" s="3"/>
      <c r="UT251" s="3"/>
      <c r="UU251" s="3"/>
      <c r="UV251" s="3"/>
      <c r="UW251" s="3"/>
      <c r="UX251" s="3"/>
      <c r="UY251" s="3"/>
      <c r="UZ251" s="3"/>
      <c r="VA251" s="3"/>
      <c r="VB251" s="3"/>
      <c r="VC251" s="3"/>
      <c r="VD251" s="3"/>
      <c r="VE251" s="3"/>
      <c r="VF251" s="3"/>
      <c r="VG251" s="3"/>
      <c r="VH251" s="3"/>
      <c r="VI251" s="3"/>
      <c r="VJ251" s="3"/>
      <c r="VK251" s="3"/>
      <c r="VL251" s="3"/>
      <c r="VM251" s="3"/>
      <c r="VN251" s="3"/>
      <c r="VO251" s="3"/>
      <c r="VP251" s="3"/>
      <c r="VQ251" s="3"/>
      <c r="VR251" s="3"/>
      <c r="VS251" s="3"/>
      <c r="VT251" s="3"/>
      <c r="VU251" s="3"/>
      <c r="VV251" s="3"/>
      <c r="VW251" s="3"/>
      <c r="VX251" s="3"/>
      <c r="VY251" s="3"/>
      <c r="VZ251" s="3"/>
      <c r="WA251" s="3"/>
      <c r="WB251" s="3"/>
      <c r="WC251" s="3"/>
      <c r="WD251" s="3"/>
      <c r="WE251" s="3"/>
      <c r="WF251" s="3"/>
      <c r="WG251" s="3"/>
      <c r="WH251" s="3"/>
      <c r="WI251" s="3"/>
      <c r="WJ251" s="3"/>
      <c r="WK251" s="3"/>
      <c r="WL251" s="3"/>
      <c r="WM251" s="3"/>
      <c r="WN251" s="3"/>
      <c r="WO251" s="3"/>
      <c r="WP251" s="3"/>
      <c r="WQ251" s="3"/>
      <c r="WR251" s="3"/>
      <c r="WS251" s="3"/>
      <c r="WT251" s="3"/>
      <c r="WU251" s="3"/>
      <c r="WV251" s="3"/>
      <c r="WW251" s="3"/>
      <c r="WX251" s="3"/>
      <c r="WY251" s="3"/>
      <c r="WZ251" s="3"/>
      <c r="XA251" s="3"/>
      <c r="XB251" s="3"/>
      <c r="XC251" s="3"/>
      <c r="XD251" s="3"/>
      <c r="XE251" s="3"/>
      <c r="XF251" s="3"/>
      <c r="XG251" s="3"/>
      <c r="XH251" s="3"/>
      <c r="XI251" s="3"/>
      <c r="XJ251" s="3"/>
      <c r="XK251" s="3"/>
      <c r="XL251" s="3"/>
      <c r="XM251" s="3"/>
      <c r="XN251" s="3"/>
      <c r="XO251" s="3"/>
      <c r="XP251" s="3"/>
      <c r="XQ251" s="3"/>
      <c r="XR251" s="3"/>
      <c r="XS251" s="3"/>
      <c r="XT251" s="3"/>
      <c r="XU251" s="3"/>
      <c r="XV251" s="3"/>
      <c r="XW251" s="3"/>
      <c r="XX251" s="3"/>
      <c r="XY251" s="3"/>
      <c r="XZ251" s="3"/>
      <c r="YA251" s="3"/>
      <c r="YB251" s="3"/>
      <c r="YC251" s="3"/>
      <c r="YD251" s="3"/>
      <c r="YE251" s="3"/>
      <c r="YF251" s="3"/>
      <c r="YG251" s="3"/>
      <c r="YH251" s="3"/>
      <c r="YI251" s="3"/>
      <c r="YJ251" s="3"/>
      <c r="YK251" s="3"/>
      <c r="YL251" s="3"/>
      <c r="YM251" s="3"/>
      <c r="YN251" s="3"/>
      <c r="YO251" s="3"/>
      <c r="YP251" s="3"/>
      <c r="YQ251" s="3"/>
      <c r="YR251" s="3"/>
      <c r="YS251" s="3"/>
      <c r="YT251" s="3"/>
      <c r="YU251" s="3"/>
      <c r="YV251" s="3"/>
      <c r="YW251" s="3"/>
      <c r="YX251" s="3"/>
      <c r="YY251" s="3"/>
      <c r="YZ251" s="3"/>
      <c r="ZA251" s="3"/>
      <c r="ZB251" s="3"/>
      <c r="ZC251" s="3"/>
    </row>
    <row r="252" spans="1:679" s="2" customFormat="1" x14ac:dyDescent="0.45">
      <c r="A252" s="3" t="s">
        <v>11</v>
      </c>
      <c r="B252" s="4">
        <v>37405</v>
      </c>
      <c r="C252" s="7" t="s">
        <v>25</v>
      </c>
      <c r="D252" s="6" t="s">
        <v>271</v>
      </c>
      <c r="E252" s="3"/>
      <c r="F252" s="3">
        <v>1</v>
      </c>
      <c r="L252" s="3"/>
      <c r="M252" s="3"/>
      <c r="N252" s="48"/>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3"/>
      <c r="CT252" s="3"/>
      <c r="CU252" s="3"/>
      <c r="CV252" s="3"/>
      <c r="CW252" s="3"/>
      <c r="CX252" s="3"/>
      <c r="CY252" s="3"/>
      <c r="CZ252" s="3"/>
      <c r="DA252" s="3"/>
      <c r="DB252" s="3"/>
      <c r="DC252" s="3"/>
      <c r="DD252" s="3"/>
      <c r="DE252" s="3"/>
      <c r="DF252" s="3"/>
      <c r="DG252" s="3"/>
      <c r="DH252" s="3"/>
      <c r="DI252" s="3"/>
      <c r="DJ252" s="3"/>
      <c r="DK252" s="3"/>
      <c r="DL252" s="3"/>
      <c r="DM252" s="3"/>
      <c r="DN252" s="3"/>
      <c r="DO252" s="3"/>
      <c r="DP252" s="3"/>
      <c r="DQ252" s="3"/>
      <c r="DR252" s="3"/>
      <c r="DS252" s="3"/>
      <c r="DT252" s="3"/>
      <c r="DU252" s="3"/>
      <c r="DV252" s="3"/>
      <c r="DW252" s="3"/>
      <c r="DX252" s="3"/>
      <c r="DY252" s="3"/>
      <c r="DZ252" s="3"/>
      <c r="EA252" s="3"/>
      <c r="EB252" s="3"/>
      <c r="EC252" s="3"/>
      <c r="ED252" s="3"/>
      <c r="EE252" s="3"/>
      <c r="EF252" s="3"/>
      <c r="EG252" s="3"/>
      <c r="EH252" s="3"/>
      <c r="EI252" s="3"/>
      <c r="EJ252" s="3"/>
      <c r="EK252" s="3"/>
      <c r="EL252" s="3"/>
      <c r="EM252" s="3"/>
      <c r="EN252" s="3"/>
      <c r="EO252" s="3"/>
      <c r="EP252" s="3"/>
      <c r="EQ252" s="3"/>
      <c r="ER252" s="3"/>
      <c r="ES252" s="3"/>
      <c r="ET252" s="3"/>
      <c r="EU252" s="3"/>
      <c r="EV252" s="3"/>
      <c r="EW252" s="3"/>
      <c r="EX252" s="3"/>
      <c r="EY252" s="3"/>
      <c r="EZ252" s="3"/>
      <c r="FA252" s="3"/>
      <c r="FB252" s="3"/>
      <c r="FC252" s="3"/>
      <c r="FD252" s="3"/>
      <c r="FE252" s="3"/>
      <c r="FF252" s="3"/>
      <c r="FG252" s="3"/>
      <c r="FH252" s="3"/>
      <c r="FI252" s="3"/>
      <c r="FJ252" s="3"/>
      <c r="FK252" s="3"/>
      <c r="FL252" s="3"/>
      <c r="FM252" s="3"/>
      <c r="FN252" s="3"/>
      <c r="FO252" s="3"/>
      <c r="FP252" s="3"/>
      <c r="FQ252" s="3"/>
      <c r="FR252" s="3"/>
      <c r="FS252" s="3"/>
      <c r="FT252" s="3"/>
      <c r="FU252" s="3"/>
      <c r="FV252" s="3"/>
      <c r="FW252" s="3"/>
      <c r="FX252" s="3"/>
      <c r="FY252" s="3"/>
      <c r="FZ252" s="3"/>
      <c r="GA252" s="3"/>
      <c r="GB252" s="3"/>
      <c r="GC252" s="3"/>
      <c r="GD252" s="3"/>
      <c r="GE252" s="3"/>
      <c r="GF252" s="3"/>
      <c r="GG252" s="3"/>
      <c r="GH252" s="3"/>
      <c r="GI252" s="3"/>
      <c r="GJ252" s="3"/>
      <c r="GK252" s="3"/>
      <c r="GL252" s="3"/>
      <c r="GM252" s="3"/>
      <c r="GN252" s="3"/>
      <c r="GO252" s="3"/>
      <c r="GP252" s="3"/>
      <c r="GQ252" s="3"/>
      <c r="GR252" s="3"/>
      <c r="GS252" s="3"/>
      <c r="GT252" s="3"/>
      <c r="GU252" s="3"/>
      <c r="GV252" s="3"/>
      <c r="GW252" s="3"/>
      <c r="GX252" s="3"/>
      <c r="GY252" s="3"/>
      <c r="GZ252" s="3"/>
      <c r="HA252" s="3"/>
      <c r="HB252" s="3"/>
      <c r="HC252" s="3"/>
      <c r="HD252" s="3"/>
      <c r="HE252" s="3"/>
      <c r="HF252" s="3"/>
      <c r="HG252" s="3"/>
      <c r="HH252" s="3"/>
      <c r="HI252" s="3"/>
      <c r="HJ252" s="3"/>
      <c r="HK252" s="3"/>
      <c r="HL252" s="3"/>
      <c r="HM252" s="3"/>
      <c r="HN252" s="3"/>
      <c r="HO252" s="3"/>
      <c r="HP252" s="3"/>
      <c r="HQ252" s="3"/>
      <c r="HR252" s="3"/>
      <c r="HS252" s="3"/>
      <c r="HT252" s="3"/>
      <c r="HU252" s="3"/>
      <c r="HV252" s="3"/>
      <c r="HW252" s="3"/>
      <c r="HX252" s="3"/>
      <c r="HY252" s="3"/>
      <c r="HZ252" s="3"/>
      <c r="IA252" s="3"/>
      <c r="IB252" s="3"/>
      <c r="IC252" s="3"/>
      <c r="ID252" s="3"/>
      <c r="IE252" s="3"/>
      <c r="IF252" s="3"/>
      <c r="IG252" s="3"/>
      <c r="IH252" s="3"/>
      <c r="II252" s="3"/>
      <c r="IJ252" s="3"/>
      <c r="IK252" s="3"/>
      <c r="IL252" s="3"/>
      <c r="IM252" s="3"/>
      <c r="IN252" s="3"/>
      <c r="IO252" s="3"/>
      <c r="IP252" s="3"/>
      <c r="IQ252" s="3"/>
      <c r="IR252" s="3"/>
      <c r="IS252" s="3"/>
      <c r="IT252" s="3"/>
      <c r="IU252" s="3"/>
      <c r="IV252" s="3"/>
      <c r="IW252" s="3"/>
      <c r="IX252" s="3"/>
      <c r="IY252" s="3"/>
      <c r="IZ252" s="3"/>
      <c r="JA252" s="3"/>
      <c r="JB252" s="3"/>
      <c r="JC252" s="3"/>
      <c r="JD252" s="3"/>
      <c r="JE252" s="3"/>
      <c r="JF252" s="3"/>
      <c r="JG252" s="3"/>
      <c r="JH252" s="3"/>
      <c r="JI252" s="3"/>
      <c r="JJ252" s="3"/>
      <c r="JK252" s="3"/>
      <c r="JL252" s="3"/>
      <c r="JM252" s="3"/>
      <c r="JN252" s="3"/>
      <c r="JO252" s="3"/>
      <c r="JP252" s="3"/>
      <c r="JQ252" s="3"/>
      <c r="JR252" s="3"/>
      <c r="JS252" s="3"/>
      <c r="JT252" s="3"/>
      <c r="JU252" s="3"/>
      <c r="JV252" s="3"/>
      <c r="JW252" s="3"/>
      <c r="JX252" s="3"/>
      <c r="JY252" s="3"/>
      <c r="JZ252" s="3"/>
      <c r="KA252" s="3"/>
      <c r="KB252" s="3"/>
      <c r="KC252" s="3"/>
      <c r="KD252" s="3"/>
      <c r="KE252" s="3"/>
      <c r="KF252" s="3"/>
      <c r="KG252" s="3"/>
      <c r="KH252" s="3"/>
      <c r="KI252" s="3"/>
      <c r="KJ252" s="3"/>
      <c r="KK252" s="3"/>
      <c r="KL252" s="3"/>
      <c r="KM252" s="3"/>
      <c r="KN252" s="3"/>
      <c r="KO252" s="3"/>
      <c r="KP252" s="3"/>
      <c r="KQ252" s="3"/>
      <c r="KR252" s="3"/>
      <c r="KS252" s="3"/>
      <c r="KT252" s="3"/>
      <c r="KU252" s="3"/>
      <c r="KV252" s="3"/>
      <c r="KW252" s="3"/>
      <c r="KX252" s="3"/>
      <c r="KY252" s="3"/>
      <c r="KZ252" s="3"/>
      <c r="LA252" s="3"/>
      <c r="LB252" s="3"/>
      <c r="LC252" s="3"/>
      <c r="LD252" s="3"/>
      <c r="LE252" s="3"/>
      <c r="LF252" s="3"/>
      <c r="LG252" s="3"/>
      <c r="LH252" s="3"/>
      <c r="LI252" s="3"/>
      <c r="LJ252" s="3"/>
      <c r="LK252" s="3"/>
      <c r="LL252" s="3"/>
      <c r="LM252" s="3"/>
      <c r="LN252" s="3"/>
      <c r="LO252" s="3"/>
      <c r="LP252" s="3"/>
      <c r="LQ252" s="3"/>
      <c r="LR252" s="3"/>
      <c r="LS252" s="3"/>
      <c r="LT252" s="3"/>
      <c r="LU252" s="3"/>
      <c r="LV252" s="3"/>
      <c r="LW252" s="3"/>
      <c r="LX252" s="3"/>
      <c r="LY252" s="3"/>
      <c r="LZ252" s="3"/>
      <c r="MA252" s="3"/>
      <c r="MB252" s="3"/>
      <c r="MC252" s="3"/>
      <c r="MD252" s="3"/>
      <c r="ME252" s="3"/>
      <c r="MF252" s="3"/>
      <c r="MG252" s="3"/>
      <c r="MH252" s="3"/>
      <c r="MI252" s="3"/>
      <c r="MJ252" s="3"/>
      <c r="MK252" s="3"/>
      <c r="ML252" s="3"/>
      <c r="MM252" s="3"/>
      <c r="MN252" s="3"/>
      <c r="MO252" s="3"/>
      <c r="MP252" s="3"/>
      <c r="MQ252" s="3"/>
      <c r="MR252" s="3"/>
      <c r="MS252" s="3"/>
      <c r="MT252" s="3"/>
      <c r="MU252" s="3"/>
      <c r="MV252" s="3"/>
      <c r="MW252" s="3"/>
      <c r="MX252" s="3"/>
      <c r="MY252" s="3"/>
      <c r="MZ252" s="3"/>
      <c r="NA252" s="3"/>
      <c r="NB252" s="3"/>
      <c r="NC252" s="3"/>
      <c r="ND252" s="3"/>
      <c r="NE252" s="3"/>
      <c r="NF252" s="3"/>
      <c r="NG252" s="3"/>
      <c r="NH252" s="3"/>
      <c r="NI252" s="3"/>
      <c r="NJ252" s="3"/>
      <c r="NK252" s="3"/>
      <c r="NL252" s="3"/>
      <c r="NM252" s="3"/>
      <c r="NN252" s="3"/>
      <c r="NO252" s="3"/>
      <c r="NP252" s="3"/>
      <c r="NQ252" s="3"/>
      <c r="NR252" s="3"/>
      <c r="NS252" s="3"/>
      <c r="NT252" s="3"/>
      <c r="NU252" s="3"/>
      <c r="NV252" s="3"/>
      <c r="NW252" s="3"/>
      <c r="NX252" s="3"/>
      <c r="NY252" s="3"/>
      <c r="NZ252" s="3"/>
      <c r="OA252" s="3"/>
      <c r="OB252" s="3"/>
      <c r="OC252" s="3"/>
      <c r="OD252" s="3"/>
      <c r="OE252" s="3"/>
      <c r="OF252" s="3"/>
      <c r="OG252" s="3"/>
      <c r="OH252" s="3"/>
      <c r="OI252" s="3"/>
      <c r="OJ252" s="3"/>
      <c r="OK252" s="3"/>
      <c r="OL252" s="3"/>
      <c r="OM252" s="3"/>
      <c r="ON252" s="3"/>
      <c r="OO252" s="3"/>
      <c r="OP252" s="3"/>
      <c r="OQ252" s="3"/>
      <c r="OR252" s="3"/>
      <c r="OS252" s="3"/>
      <c r="OT252" s="3"/>
      <c r="OU252" s="3"/>
      <c r="OV252" s="3"/>
      <c r="OW252" s="3"/>
      <c r="OX252" s="3"/>
      <c r="OY252" s="3"/>
      <c r="OZ252" s="3"/>
      <c r="PA252" s="3"/>
      <c r="PB252" s="3"/>
      <c r="PC252" s="3"/>
      <c r="PD252" s="3"/>
      <c r="PE252" s="3"/>
      <c r="PF252" s="3"/>
      <c r="PG252" s="3"/>
      <c r="PH252" s="3"/>
      <c r="PI252" s="3"/>
      <c r="PJ252" s="3"/>
      <c r="PK252" s="3"/>
      <c r="PL252" s="3"/>
      <c r="PM252" s="3"/>
      <c r="PN252" s="3"/>
      <c r="PO252" s="3"/>
      <c r="PP252" s="3"/>
      <c r="PQ252" s="3"/>
      <c r="PR252" s="3"/>
      <c r="PS252" s="3"/>
      <c r="PT252" s="3"/>
      <c r="PU252" s="3"/>
      <c r="PV252" s="3"/>
      <c r="PW252" s="3"/>
      <c r="PX252" s="3"/>
      <c r="PY252" s="3"/>
      <c r="PZ252" s="3"/>
      <c r="QA252" s="3"/>
      <c r="QB252" s="3"/>
      <c r="QC252" s="3"/>
      <c r="QD252" s="3"/>
      <c r="QE252" s="3"/>
      <c r="QF252" s="3"/>
      <c r="QG252" s="3"/>
      <c r="QH252" s="3"/>
      <c r="QI252" s="3"/>
      <c r="QJ252" s="3"/>
      <c r="QK252" s="3"/>
      <c r="QL252" s="3"/>
      <c r="QM252" s="3"/>
      <c r="QN252" s="3"/>
      <c r="QO252" s="3"/>
      <c r="QP252" s="3"/>
      <c r="QQ252" s="3"/>
      <c r="QR252" s="3"/>
      <c r="QS252" s="3"/>
      <c r="QT252" s="3"/>
      <c r="QU252" s="3"/>
      <c r="QV252" s="3"/>
      <c r="QW252" s="3"/>
      <c r="QX252" s="3"/>
      <c r="QY252" s="3"/>
      <c r="QZ252" s="3"/>
      <c r="RA252" s="3"/>
      <c r="RB252" s="3"/>
      <c r="RC252" s="3"/>
      <c r="RD252" s="3"/>
      <c r="RE252" s="3"/>
      <c r="RF252" s="3"/>
      <c r="RG252" s="3"/>
      <c r="RH252" s="3"/>
      <c r="RI252" s="3"/>
      <c r="RJ252" s="3"/>
      <c r="RK252" s="3"/>
      <c r="RL252" s="3"/>
      <c r="RM252" s="3"/>
      <c r="RN252" s="3"/>
      <c r="RO252" s="3"/>
      <c r="RP252" s="3"/>
      <c r="RQ252" s="3"/>
      <c r="RR252" s="3"/>
      <c r="RS252" s="3"/>
      <c r="RT252" s="3"/>
      <c r="RU252" s="3"/>
      <c r="RV252" s="3"/>
      <c r="RW252" s="3"/>
      <c r="RX252" s="3"/>
      <c r="RY252" s="3"/>
      <c r="RZ252" s="3"/>
      <c r="SA252" s="3"/>
      <c r="SB252" s="3"/>
      <c r="SC252" s="3"/>
      <c r="SD252" s="3"/>
      <c r="SE252" s="3"/>
      <c r="SF252" s="3"/>
      <c r="SG252" s="3"/>
      <c r="SH252" s="3"/>
      <c r="SI252" s="3"/>
      <c r="SJ252" s="3"/>
      <c r="SK252" s="3"/>
      <c r="SL252" s="3"/>
      <c r="SM252" s="3"/>
      <c r="SN252" s="3"/>
      <c r="SO252" s="3"/>
      <c r="SP252" s="3"/>
      <c r="SQ252" s="3"/>
      <c r="SR252" s="3"/>
      <c r="SS252" s="3"/>
      <c r="ST252" s="3"/>
      <c r="SU252" s="3"/>
      <c r="SV252" s="3"/>
      <c r="SW252" s="3"/>
      <c r="SX252" s="3"/>
      <c r="SY252" s="3"/>
      <c r="SZ252" s="3"/>
      <c r="TA252" s="3"/>
      <c r="TB252" s="3"/>
      <c r="TC252" s="3"/>
      <c r="TD252" s="3"/>
      <c r="TE252" s="3"/>
      <c r="TF252" s="3"/>
      <c r="TG252" s="3"/>
      <c r="TH252" s="3"/>
      <c r="TI252" s="3"/>
      <c r="TJ252" s="3"/>
      <c r="TK252" s="3"/>
      <c r="TL252" s="3"/>
      <c r="TM252" s="3"/>
      <c r="TN252" s="3"/>
      <c r="TO252" s="3"/>
      <c r="TP252" s="3"/>
      <c r="TQ252" s="3"/>
      <c r="TR252" s="3"/>
      <c r="TS252" s="3"/>
      <c r="TT252" s="3"/>
      <c r="TU252" s="3"/>
      <c r="TV252" s="3"/>
      <c r="TW252" s="3"/>
      <c r="TX252" s="3"/>
      <c r="TY252" s="3"/>
      <c r="TZ252" s="3"/>
      <c r="UA252" s="3"/>
      <c r="UB252" s="3"/>
      <c r="UC252" s="3"/>
      <c r="UD252" s="3"/>
      <c r="UE252" s="3"/>
      <c r="UF252" s="3"/>
      <c r="UG252" s="3"/>
      <c r="UH252" s="3"/>
      <c r="UI252" s="3"/>
      <c r="UJ252" s="3"/>
      <c r="UK252" s="3"/>
      <c r="UL252" s="3"/>
      <c r="UM252" s="3"/>
      <c r="UN252" s="3"/>
      <c r="UO252" s="3"/>
      <c r="UP252" s="3"/>
      <c r="UQ252" s="3"/>
      <c r="UR252" s="3"/>
      <c r="US252" s="3"/>
      <c r="UT252" s="3"/>
      <c r="UU252" s="3"/>
      <c r="UV252" s="3"/>
      <c r="UW252" s="3"/>
      <c r="UX252" s="3"/>
      <c r="UY252" s="3"/>
      <c r="UZ252" s="3"/>
      <c r="VA252" s="3"/>
      <c r="VB252" s="3"/>
      <c r="VC252" s="3"/>
      <c r="VD252" s="3"/>
      <c r="VE252" s="3"/>
      <c r="VF252" s="3"/>
      <c r="VG252" s="3"/>
      <c r="VH252" s="3"/>
      <c r="VI252" s="3"/>
      <c r="VJ252" s="3"/>
      <c r="VK252" s="3"/>
      <c r="VL252" s="3"/>
      <c r="VM252" s="3"/>
      <c r="VN252" s="3"/>
      <c r="VO252" s="3"/>
      <c r="VP252" s="3"/>
      <c r="VQ252" s="3"/>
      <c r="VR252" s="3"/>
      <c r="VS252" s="3"/>
      <c r="VT252" s="3"/>
      <c r="VU252" s="3"/>
      <c r="VV252" s="3"/>
      <c r="VW252" s="3"/>
      <c r="VX252" s="3"/>
      <c r="VY252" s="3"/>
      <c r="VZ252" s="3"/>
      <c r="WA252" s="3"/>
      <c r="WB252" s="3"/>
      <c r="WC252" s="3"/>
      <c r="WD252" s="3"/>
      <c r="WE252" s="3"/>
      <c r="WF252" s="3"/>
      <c r="WG252" s="3"/>
      <c r="WH252" s="3"/>
      <c r="WI252" s="3"/>
      <c r="WJ252" s="3"/>
      <c r="WK252" s="3"/>
      <c r="WL252" s="3"/>
      <c r="WM252" s="3"/>
      <c r="WN252" s="3"/>
      <c r="WO252" s="3"/>
      <c r="WP252" s="3"/>
      <c r="WQ252" s="3"/>
      <c r="WR252" s="3"/>
      <c r="WS252" s="3"/>
      <c r="WT252" s="3"/>
      <c r="WU252" s="3"/>
      <c r="WV252" s="3"/>
      <c r="WW252" s="3"/>
      <c r="WX252" s="3"/>
      <c r="WY252" s="3"/>
      <c r="WZ252" s="3"/>
      <c r="XA252" s="3"/>
      <c r="XB252" s="3"/>
      <c r="XC252" s="3"/>
      <c r="XD252" s="3"/>
      <c r="XE252" s="3"/>
      <c r="XF252" s="3"/>
      <c r="XG252" s="3"/>
      <c r="XH252" s="3"/>
      <c r="XI252" s="3"/>
      <c r="XJ252" s="3"/>
      <c r="XK252" s="3"/>
      <c r="XL252" s="3"/>
      <c r="XM252" s="3"/>
      <c r="XN252" s="3"/>
      <c r="XO252" s="3"/>
      <c r="XP252" s="3"/>
      <c r="XQ252" s="3"/>
      <c r="XR252" s="3"/>
      <c r="XS252" s="3"/>
      <c r="XT252" s="3"/>
      <c r="XU252" s="3"/>
      <c r="XV252" s="3"/>
      <c r="XW252" s="3"/>
      <c r="XX252" s="3"/>
      <c r="XY252" s="3"/>
      <c r="XZ252" s="3"/>
      <c r="YA252" s="3"/>
      <c r="YB252" s="3"/>
      <c r="YC252" s="3"/>
      <c r="YD252" s="3"/>
      <c r="YE252" s="3"/>
      <c r="YF252" s="3"/>
      <c r="YG252" s="3"/>
      <c r="YH252" s="3"/>
      <c r="YI252" s="3"/>
      <c r="YJ252" s="3"/>
      <c r="YK252" s="3"/>
      <c r="YL252" s="3"/>
      <c r="YM252" s="3"/>
      <c r="YN252" s="3"/>
      <c r="YO252" s="3"/>
      <c r="YP252" s="3"/>
      <c r="YQ252" s="3"/>
      <c r="YR252" s="3"/>
      <c r="YS252" s="3"/>
      <c r="YT252" s="3"/>
      <c r="YU252" s="3"/>
      <c r="YV252" s="3"/>
      <c r="YW252" s="3"/>
      <c r="YX252" s="3"/>
      <c r="YY252" s="3"/>
      <c r="YZ252" s="3"/>
      <c r="ZA252" s="3"/>
      <c r="ZB252" s="3"/>
      <c r="ZC252" s="3"/>
    </row>
    <row r="253" spans="1:679" s="2" customFormat="1" x14ac:dyDescent="0.45">
      <c r="A253" s="3" t="s">
        <v>11</v>
      </c>
      <c r="B253" s="4">
        <v>37449</v>
      </c>
      <c r="C253" s="7" t="s">
        <v>21</v>
      </c>
      <c r="D253" s="6" t="s">
        <v>272</v>
      </c>
      <c r="E253" s="3"/>
      <c r="F253" s="3">
        <v>2</v>
      </c>
      <c r="L253" s="3"/>
      <c r="M253" s="3"/>
      <c r="N253" s="48"/>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c r="CQ253" s="3"/>
      <c r="CR253" s="3"/>
      <c r="CS253" s="3"/>
      <c r="CT253" s="3"/>
      <c r="CU253" s="3"/>
      <c r="CV253" s="3"/>
      <c r="CW253" s="3"/>
      <c r="CX253" s="3"/>
      <c r="CY253" s="3"/>
      <c r="CZ253" s="3"/>
      <c r="DA253" s="3"/>
      <c r="DB253" s="3"/>
      <c r="DC253" s="3"/>
      <c r="DD253" s="3"/>
      <c r="DE253" s="3"/>
      <c r="DF253" s="3"/>
      <c r="DG253" s="3"/>
      <c r="DH253" s="3"/>
      <c r="DI253" s="3"/>
      <c r="DJ253" s="3"/>
      <c r="DK253" s="3"/>
      <c r="DL253" s="3"/>
      <c r="DM253" s="3"/>
      <c r="DN253" s="3"/>
      <c r="DO253" s="3"/>
      <c r="DP253" s="3"/>
      <c r="DQ253" s="3"/>
      <c r="DR253" s="3"/>
      <c r="DS253" s="3"/>
      <c r="DT253" s="3"/>
      <c r="DU253" s="3"/>
      <c r="DV253" s="3"/>
      <c r="DW253" s="3"/>
      <c r="DX253" s="3"/>
      <c r="DY253" s="3"/>
      <c r="DZ253" s="3"/>
      <c r="EA253" s="3"/>
      <c r="EB253" s="3"/>
      <c r="EC253" s="3"/>
      <c r="ED253" s="3"/>
      <c r="EE253" s="3"/>
      <c r="EF253" s="3"/>
      <c r="EG253" s="3"/>
      <c r="EH253" s="3"/>
      <c r="EI253" s="3"/>
      <c r="EJ253" s="3"/>
      <c r="EK253" s="3"/>
      <c r="EL253" s="3"/>
      <c r="EM253" s="3"/>
      <c r="EN253" s="3"/>
      <c r="EO253" s="3"/>
      <c r="EP253" s="3"/>
      <c r="EQ253" s="3"/>
      <c r="ER253" s="3"/>
      <c r="ES253" s="3"/>
      <c r="ET253" s="3"/>
      <c r="EU253" s="3"/>
      <c r="EV253" s="3"/>
      <c r="EW253" s="3"/>
      <c r="EX253" s="3"/>
      <c r="EY253" s="3"/>
      <c r="EZ253" s="3"/>
      <c r="FA253" s="3"/>
      <c r="FB253" s="3"/>
      <c r="FC253" s="3"/>
      <c r="FD253" s="3"/>
      <c r="FE253" s="3"/>
      <c r="FF253" s="3"/>
      <c r="FG253" s="3"/>
      <c r="FH253" s="3"/>
      <c r="FI253" s="3"/>
      <c r="FJ253" s="3"/>
      <c r="FK253" s="3"/>
      <c r="FL253" s="3"/>
      <c r="FM253" s="3"/>
      <c r="FN253" s="3"/>
      <c r="FO253" s="3"/>
      <c r="FP253" s="3"/>
      <c r="FQ253" s="3"/>
      <c r="FR253" s="3"/>
      <c r="FS253" s="3"/>
      <c r="FT253" s="3"/>
      <c r="FU253" s="3"/>
      <c r="FV253" s="3"/>
      <c r="FW253" s="3"/>
      <c r="FX253" s="3"/>
      <c r="FY253" s="3"/>
      <c r="FZ253" s="3"/>
      <c r="GA253" s="3"/>
      <c r="GB253" s="3"/>
      <c r="GC253" s="3"/>
      <c r="GD253" s="3"/>
      <c r="GE253" s="3"/>
      <c r="GF253" s="3"/>
      <c r="GG253" s="3"/>
      <c r="GH253" s="3"/>
      <c r="GI253" s="3"/>
      <c r="GJ253" s="3"/>
      <c r="GK253" s="3"/>
      <c r="GL253" s="3"/>
      <c r="GM253" s="3"/>
      <c r="GN253" s="3"/>
      <c r="GO253" s="3"/>
      <c r="GP253" s="3"/>
      <c r="GQ253" s="3"/>
      <c r="GR253" s="3"/>
      <c r="GS253" s="3"/>
      <c r="GT253" s="3"/>
      <c r="GU253" s="3"/>
      <c r="GV253" s="3"/>
      <c r="GW253" s="3"/>
      <c r="GX253" s="3"/>
      <c r="GY253" s="3"/>
      <c r="GZ253" s="3"/>
      <c r="HA253" s="3"/>
      <c r="HB253" s="3"/>
      <c r="HC253" s="3"/>
      <c r="HD253" s="3"/>
      <c r="HE253" s="3"/>
      <c r="HF253" s="3"/>
      <c r="HG253" s="3"/>
      <c r="HH253" s="3"/>
      <c r="HI253" s="3"/>
      <c r="HJ253" s="3"/>
      <c r="HK253" s="3"/>
      <c r="HL253" s="3"/>
      <c r="HM253" s="3"/>
      <c r="HN253" s="3"/>
      <c r="HO253" s="3"/>
      <c r="HP253" s="3"/>
      <c r="HQ253" s="3"/>
      <c r="HR253" s="3"/>
      <c r="HS253" s="3"/>
      <c r="HT253" s="3"/>
      <c r="HU253" s="3"/>
      <c r="HV253" s="3"/>
      <c r="HW253" s="3"/>
      <c r="HX253" s="3"/>
      <c r="HY253" s="3"/>
      <c r="HZ253" s="3"/>
      <c r="IA253" s="3"/>
      <c r="IB253" s="3"/>
      <c r="IC253" s="3"/>
      <c r="ID253" s="3"/>
      <c r="IE253" s="3"/>
      <c r="IF253" s="3"/>
      <c r="IG253" s="3"/>
      <c r="IH253" s="3"/>
      <c r="II253" s="3"/>
      <c r="IJ253" s="3"/>
      <c r="IK253" s="3"/>
      <c r="IL253" s="3"/>
      <c r="IM253" s="3"/>
      <c r="IN253" s="3"/>
      <c r="IO253" s="3"/>
      <c r="IP253" s="3"/>
      <c r="IQ253" s="3"/>
      <c r="IR253" s="3"/>
      <c r="IS253" s="3"/>
      <c r="IT253" s="3"/>
      <c r="IU253" s="3"/>
      <c r="IV253" s="3"/>
      <c r="IW253" s="3"/>
      <c r="IX253" s="3"/>
      <c r="IY253" s="3"/>
      <c r="IZ253" s="3"/>
      <c r="JA253" s="3"/>
      <c r="JB253" s="3"/>
      <c r="JC253" s="3"/>
      <c r="JD253" s="3"/>
      <c r="JE253" s="3"/>
      <c r="JF253" s="3"/>
      <c r="JG253" s="3"/>
      <c r="JH253" s="3"/>
      <c r="JI253" s="3"/>
      <c r="JJ253" s="3"/>
      <c r="JK253" s="3"/>
      <c r="JL253" s="3"/>
      <c r="JM253" s="3"/>
      <c r="JN253" s="3"/>
      <c r="JO253" s="3"/>
      <c r="JP253" s="3"/>
      <c r="JQ253" s="3"/>
      <c r="JR253" s="3"/>
      <c r="JS253" s="3"/>
      <c r="JT253" s="3"/>
      <c r="JU253" s="3"/>
      <c r="JV253" s="3"/>
      <c r="JW253" s="3"/>
      <c r="JX253" s="3"/>
      <c r="JY253" s="3"/>
      <c r="JZ253" s="3"/>
      <c r="KA253" s="3"/>
      <c r="KB253" s="3"/>
      <c r="KC253" s="3"/>
      <c r="KD253" s="3"/>
      <c r="KE253" s="3"/>
      <c r="KF253" s="3"/>
      <c r="KG253" s="3"/>
      <c r="KH253" s="3"/>
      <c r="KI253" s="3"/>
      <c r="KJ253" s="3"/>
      <c r="KK253" s="3"/>
      <c r="KL253" s="3"/>
      <c r="KM253" s="3"/>
      <c r="KN253" s="3"/>
      <c r="KO253" s="3"/>
      <c r="KP253" s="3"/>
      <c r="KQ253" s="3"/>
      <c r="KR253" s="3"/>
      <c r="KS253" s="3"/>
      <c r="KT253" s="3"/>
      <c r="KU253" s="3"/>
      <c r="KV253" s="3"/>
      <c r="KW253" s="3"/>
      <c r="KX253" s="3"/>
      <c r="KY253" s="3"/>
      <c r="KZ253" s="3"/>
      <c r="LA253" s="3"/>
      <c r="LB253" s="3"/>
      <c r="LC253" s="3"/>
      <c r="LD253" s="3"/>
      <c r="LE253" s="3"/>
      <c r="LF253" s="3"/>
      <c r="LG253" s="3"/>
      <c r="LH253" s="3"/>
      <c r="LI253" s="3"/>
      <c r="LJ253" s="3"/>
      <c r="LK253" s="3"/>
      <c r="LL253" s="3"/>
      <c r="LM253" s="3"/>
      <c r="LN253" s="3"/>
      <c r="LO253" s="3"/>
      <c r="LP253" s="3"/>
      <c r="LQ253" s="3"/>
      <c r="LR253" s="3"/>
      <c r="LS253" s="3"/>
      <c r="LT253" s="3"/>
      <c r="LU253" s="3"/>
      <c r="LV253" s="3"/>
      <c r="LW253" s="3"/>
      <c r="LX253" s="3"/>
      <c r="LY253" s="3"/>
      <c r="LZ253" s="3"/>
      <c r="MA253" s="3"/>
      <c r="MB253" s="3"/>
      <c r="MC253" s="3"/>
      <c r="MD253" s="3"/>
      <c r="ME253" s="3"/>
      <c r="MF253" s="3"/>
      <c r="MG253" s="3"/>
      <c r="MH253" s="3"/>
      <c r="MI253" s="3"/>
      <c r="MJ253" s="3"/>
      <c r="MK253" s="3"/>
      <c r="ML253" s="3"/>
      <c r="MM253" s="3"/>
      <c r="MN253" s="3"/>
      <c r="MO253" s="3"/>
      <c r="MP253" s="3"/>
      <c r="MQ253" s="3"/>
      <c r="MR253" s="3"/>
      <c r="MS253" s="3"/>
      <c r="MT253" s="3"/>
      <c r="MU253" s="3"/>
      <c r="MV253" s="3"/>
      <c r="MW253" s="3"/>
      <c r="MX253" s="3"/>
      <c r="MY253" s="3"/>
      <c r="MZ253" s="3"/>
      <c r="NA253" s="3"/>
      <c r="NB253" s="3"/>
      <c r="NC253" s="3"/>
      <c r="ND253" s="3"/>
      <c r="NE253" s="3"/>
      <c r="NF253" s="3"/>
      <c r="NG253" s="3"/>
      <c r="NH253" s="3"/>
      <c r="NI253" s="3"/>
      <c r="NJ253" s="3"/>
      <c r="NK253" s="3"/>
      <c r="NL253" s="3"/>
      <c r="NM253" s="3"/>
      <c r="NN253" s="3"/>
      <c r="NO253" s="3"/>
      <c r="NP253" s="3"/>
      <c r="NQ253" s="3"/>
      <c r="NR253" s="3"/>
      <c r="NS253" s="3"/>
      <c r="NT253" s="3"/>
      <c r="NU253" s="3"/>
      <c r="NV253" s="3"/>
      <c r="NW253" s="3"/>
      <c r="NX253" s="3"/>
      <c r="NY253" s="3"/>
      <c r="NZ253" s="3"/>
      <c r="OA253" s="3"/>
      <c r="OB253" s="3"/>
      <c r="OC253" s="3"/>
      <c r="OD253" s="3"/>
      <c r="OE253" s="3"/>
      <c r="OF253" s="3"/>
      <c r="OG253" s="3"/>
      <c r="OH253" s="3"/>
      <c r="OI253" s="3"/>
      <c r="OJ253" s="3"/>
      <c r="OK253" s="3"/>
      <c r="OL253" s="3"/>
      <c r="OM253" s="3"/>
      <c r="ON253" s="3"/>
      <c r="OO253" s="3"/>
      <c r="OP253" s="3"/>
      <c r="OQ253" s="3"/>
      <c r="OR253" s="3"/>
      <c r="OS253" s="3"/>
      <c r="OT253" s="3"/>
      <c r="OU253" s="3"/>
      <c r="OV253" s="3"/>
      <c r="OW253" s="3"/>
      <c r="OX253" s="3"/>
      <c r="OY253" s="3"/>
      <c r="OZ253" s="3"/>
      <c r="PA253" s="3"/>
      <c r="PB253" s="3"/>
      <c r="PC253" s="3"/>
      <c r="PD253" s="3"/>
      <c r="PE253" s="3"/>
      <c r="PF253" s="3"/>
      <c r="PG253" s="3"/>
      <c r="PH253" s="3"/>
      <c r="PI253" s="3"/>
      <c r="PJ253" s="3"/>
      <c r="PK253" s="3"/>
      <c r="PL253" s="3"/>
      <c r="PM253" s="3"/>
      <c r="PN253" s="3"/>
      <c r="PO253" s="3"/>
      <c r="PP253" s="3"/>
      <c r="PQ253" s="3"/>
      <c r="PR253" s="3"/>
      <c r="PS253" s="3"/>
      <c r="PT253" s="3"/>
      <c r="PU253" s="3"/>
      <c r="PV253" s="3"/>
      <c r="PW253" s="3"/>
      <c r="PX253" s="3"/>
      <c r="PY253" s="3"/>
      <c r="PZ253" s="3"/>
      <c r="QA253" s="3"/>
      <c r="QB253" s="3"/>
      <c r="QC253" s="3"/>
      <c r="QD253" s="3"/>
      <c r="QE253" s="3"/>
      <c r="QF253" s="3"/>
      <c r="QG253" s="3"/>
      <c r="QH253" s="3"/>
      <c r="QI253" s="3"/>
      <c r="QJ253" s="3"/>
      <c r="QK253" s="3"/>
      <c r="QL253" s="3"/>
      <c r="QM253" s="3"/>
      <c r="QN253" s="3"/>
      <c r="QO253" s="3"/>
      <c r="QP253" s="3"/>
      <c r="QQ253" s="3"/>
      <c r="QR253" s="3"/>
      <c r="QS253" s="3"/>
      <c r="QT253" s="3"/>
      <c r="QU253" s="3"/>
      <c r="QV253" s="3"/>
      <c r="QW253" s="3"/>
      <c r="QX253" s="3"/>
      <c r="QY253" s="3"/>
      <c r="QZ253" s="3"/>
      <c r="RA253" s="3"/>
      <c r="RB253" s="3"/>
      <c r="RC253" s="3"/>
      <c r="RD253" s="3"/>
      <c r="RE253" s="3"/>
      <c r="RF253" s="3"/>
      <c r="RG253" s="3"/>
      <c r="RH253" s="3"/>
      <c r="RI253" s="3"/>
      <c r="RJ253" s="3"/>
      <c r="RK253" s="3"/>
      <c r="RL253" s="3"/>
      <c r="RM253" s="3"/>
      <c r="RN253" s="3"/>
      <c r="RO253" s="3"/>
      <c r="RP253" s="3"/>
      <c r="RQ253" s="3"/>
      <c r="RR253" s="3"/>
      <c r="RS253" s="3"/>
      <c r="RT253" s="3"/>
      <c r="RU253" s="3"/>
      <c r="RV253" s="3"/>
      <c r="RW253" s="3"/>
      <c r="RX253" s="3"/>
      <c r="RY253" s="3"/>
      <c r="RZ253" s="3"/>
      <c r="SA253" s="3"/>
      <c r="SB253" s="3"/>
      <c r="SC253" s="3"/>
      <c r="SD253" s="3"/>
      <c r="SE253" s="3"/>
      <c r="SF253" s="3"/>
      <c r="SG253" s="3"/>
      <c r="SH253" s="3"/>
      <c r="SI253" s="3"/>
      <c r="SJ253" s="3"/>
      <c r="SK253" s="3"/>
      <c r="SL253" s="3"/>
      <c r="SM253" s="3"/>
      <c r="SN253" s="3"/>
      <c r="SO253" s="3"/>
      <c r="SP253" s="3"/>
      <c r="SQ253" s="3"/>
      <c r="SR253" s="3"/>
      <c r="SS253" s="3"/>
      <c r="ST253" s="3"/>
      <c r="SU253" s="3"/>
      <c r="SV253" s="3"/>
      <c r="SW253" s="3"/>
      <c r="SX253" s="3"/>
      <c r="SY253" s="3"/>
      <c r="SZ253" s="3"/>
      <c r="TA253" s="3"/>
      <c r="TB253" s="3"/>
      <c r="TC253" s="3"/>
      <c r="TD253" s="3"/>
      <c r="TE253" s="3"/>
      <c r="TF253" s="3"/>
      <c r="TG253" s="3"/>
      <c r="TH253" s="3"/>
      <c r="TI253" s="3"/>
      <c r="TJ253" s="3"/>
      <c r="TK253" s="3"/>
      <c r="TL253" s="3"/>
      <c r="TM253" s="3"/>
      <c r="TN253" s="3"/>
      <c r="TO253" s="3"/>
      <c r="TP253" s="3"/>
      <c r="TQ253" s="3"/>
      <c r="TR253" s="3"/>
      <c r="TS253" s="3"/>
      <c r="TT253" s="3"/>
      <c r="TU253" s="3"/>
      <c r="TV253" s="3"/>
      <c r="TW253" s="3"/>
      <c r="TX253" s="3"/>
      <c r="TY253" s="3"/>
      <c r="TZ253" s="3"/>
      <c r="UA253" s="3"/>
      <c r="UB253" s="3"/>
      <c r="UC253" s="3"/>
      <c r="UD253" s="3"/>
      <c r="UE253" s="3"/>
      <c r="UF253" s="3"/>
      <c r="UG253" s="3"/>
      <c r="UH253" s="3"/>
      <c r="UI253" s="3"/>
      <c r="UJ253" s="3"/>
      <c r="UK253" s="3"/>
      <c r="UL253" s="3"/>
      <c r="UM253" s="3"/>
      <c r="UN253" s="3"/>
      <c r="UO253" s="3"/>
      <c r="UP253" s="3"/>
      <c r="UQ253" s="3"/>
      <c r="UR253" s="3"/>
      <c r="US253" s="3"/>
      <c r="UT253" s="3"/>
      <c r="UU253" s="3"/>
      <c r="UV253" s="3"/>
      <c r="UW253" s="3"/>
      <c r="UX253" s="3"/>
      <c r="UY253" s="3"/>
      <c r="UZ253" s="3"/>
      <c r="VA253" s="3"/>
      <c r="VB253" s="3"/>
      <c r="VC253" s="3"/>
      <c r="VD253" s="3"/>
      <c r="VE253" s="3"/>
      <c r="VF253" s="3"/>
      <c r="VG253" s="3"/>
      <c r="VH253" s="3"/>
      <c r="VI253" s="3"/>
      <c r="VJ253" s="3"/>
      <c r="VK253" s="3"/>
      <c r="VL253" s="3"/>
      <c r="VM253" s="3"/>
      <c r="VN253" s="3"/>
      <c r="VO253" s="3"/>
      <c r="VP253" s="3"/>
      <c r="VQ253" s="3"/>
      <c r="VR253" s="3"/>
      <c r="VS253" s="3"/>
      <c r="VT253" s="3"/>
      <c r="VU253" s="3"/>
      <c r="VV253" s="3"/>
      <c r="VW253" s="3"/>
      <c r="VX253" s="3"/>
      <c r="VY253" s="3"/>
      <c r="VZ253" s="3"/>
      <c r="WA253" s="3"/>
      <c r="WB253" s="3"/>
      <c r="WC253" s="3"/>
      <c r="WD253" s="3"/>
      <c r="WE253" s="3"/>
      <c r="WF253" s="3"/>
      <c r="WG253" s="3"/>
      <c r="WH253" s="3"/>
      <c r="WI253" s="3"/>
      <c r="WJ253" s="3"/>
      <c r="WK253" s="3"/>
      <c r="WL253" s="3"/>
      <c r="WM253" s="3"/>
      <c r="WN253" s="3"/>
      <c r="WO253" s="3"/>
      <c r="WP253" s="3"/>
      <c r="WQ253" s="3"/>
      <c r="WR253" s="3"/>
      <c r="WS253" s="3"/>
      <c r="WT253" s="3"/>
      <c r="WU253" s="3"/>
      <c r="WV253" s="3"/>
      <c r="WW253" s="3"/>
      <c r="WX253" s="3"/>
      <c r="WY253" s="3"/>
      <c r="WZ253" s="3"/>
      <c r="XA253" s="3"/>
      <c r="XB253" s="3"/>
      <c r="XC253" s="3"/>
      <c r="XD253" s="3"/>
      <c r="XE253" s="3"/>
      <c r="XF253" s="3"/>
      <c r="XG253" s="3"/>
      <c r="XH253" s="3"/>
      <c r="XI253" s="3"/>
      <c r="XJ253" s="3"/>
      <c r="XK253" s="3"/>
      <c r="XL253" s="3"/>
      <c r="XM253" s="3"/>
      <c r="XN253" s="3"/>
      <c r="XO253" s="3"/>
      <c r="XP253" s="3"/>
      <c r="XQ253" s="3"/>
      <c r="XR253" s="3"/>
      <c r="XS253" s="3"/>
      <c r="XT253" s="3"/>
      <c r="XU253" s="3"/>
      <c r="XV253" s="3"/>
      <c r="XW253" s="3"/>
      <c r="XX253" s="3"/>
      <c r="XY253" s="3"/>
      <c r="XZ253" s="3"/>
      <c r="YA253" s="3"/>
      <c r="YB253" s="3"/>
      <c r="YC253" s="3"/>
      <c r="YD253" s="3"/>
      <c r="YE253" s="3"/>
      <c r="YF253" s="3"/>
      <c r="YG253" s="3"/>
      <c r="YH253" s="3"/>
      <c r="YI253" s="3"/>
      <c r="YJ253" s="3"/>
      <c r="YK253" s="3"/>
      <c r="YL253" s="3"/>
      <c r="YM253" s="3"/>
      <c r="YN253" s="3"/>
      <c r="YO253" s="3"/>
      <c r="YP253" s="3"/>
      <c r="YQ253" s="3"/>
      <c r="YR253" s="3"/>
      <c r="YS253" s="3"/>
      <c r="YT253" s="3"/>
      <c r="YU253" s="3"/>
      <c r="YV253" s="3"/>
      <c r="YW253" s="3"/>
      <c r="YX253" s="3"/>
      <c r="YY253" s="3"/>
      <c r="YZ253" s="3"/>
      <c r="ZA253" s="3"/>
      <c r="ZB253" s="3"/>
      <c r="ZC253" s="3"/>
    </row>
    <row r="254" spans="1:679" s="2" customFormat="1" x14ac:dyDescent="0.45">
      <c r="A254" s="3" t="s">
        <v>11</v>
      </c>
      <c r="B254" s="4">
        <v>37487</v>
      </c>
      <c r="C254" s="7" t="s">
        <v>21</v>
      </c>
      <c r="D254" s="6" t="s">
        <v>273</v>
      </c>
      <c r="E254" s="3"/>
      <c r="F254" s="3">
        <v>17</v>
      </c>
      <c r="L254" s="3"/>
      <c r="M254" s="3"/>
      <c r="N254" s="48"/>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3"/>
      <c r="CR254" s="3"/>
      <c r="CS254" s="3"/>
      <c r="CT254" s="3"/>
      <c r="CU254" s="3"/>
      <c r="CV254" s="3"/>
      <c r="CW254" s="3"/>
      <c r="CX254" s="3"/>
      <c r="CY254" s="3"/>
      <c r="CZ254" s="3"/>
      <c r="DA254" s="3"/>
      <c r="DB254" s="3"/>
      <c r="DC254" s="3"/>
      <c r="DD254" s="3"/>
      <c r="DE254" s="3"/>
      <c r="DF254" s="3"/>
      <c r="DG254" s="3"/>
      <c r="DH254" s="3"/>
      <c r="DI254" s="3"/>
      <c r="DJ254" s="3"/>
      <c r="DK254" s="3"/>
      <c r="DL254" s="3"/>
      <c r="DM254" s="3"/>
      <c r="DN254" s="3"/>
      <c r="DO254" s="3"/>
      <c r="DP254" s="3"/>
      <c r="DQ254" s="3"/>
      <c r="DR254" s="3"/>
      <c r="DS254" s="3"/>
      <c r="DT254" s="3"/>
      <c r="DU254" s="3"/>
      <c r="DV254" s="3"/>
      <c r="DW254" s="3"/>
      <c r="DX254" s="3"/>
      <c r="DY254" s="3"/>
      <c r="DZ254" s="3"/>
      <c r="EA254" s="3"/>
      <c r="EB254" s="3"/>
      <c r="EC254" s="3"/>
      <c r="ED254" s="3"/>
      <c r="EE254" s="3"/>
      <c r="EF254" s="3"/>
      <c r="EG254" s="3"/>
      <c r="EH254" s="3"/>
      <c r="EI254" s="3"/>
      <c r="EJ254" s="3"/>
      <c r="EK254" s="3"/>
      <c r="EL254" s="3"/>
      <c r="EM254" s="3"/>
      <c r="EN254" s="3"/>
      <c r="EO254" s="3"/>
      <c r="EP254" s="3"/>
      <c r="EQ254" s="3"/>
      <c r="ER254" s="3"/>
      <c r="ES254" s="3"/>
      <c r="ET254" s="3"/>
      <c r="EU254" s="3"/>
      <c r="EV254" s="3"/>
      <c r="EW254" s="3"/>
      <c r="EX254" s="3"/>
      <c r="EY254" s="3"/>
      <c r="EZ254" s="3"/>
      <c r="FA254" s="3"/>
      <c r="FB254" s="3"/>
      <c r="FC254" s="3"/>
      <c r="FD254" s="3"/>
      <c r="FE254" s="3"/>
      <c r="FF254" s="3"/>
      <c r="FG254" s="3"/>
      <c r="FH254" s="3"/>
      <c r="FI254" s="3"/>
      <c r="FJ254" s="3"/>
      <c r="FK254" s="3"/>
      <c r="FL254" s="3"/>
      <c r="FM254" s="3"/>
      <c r="FN254" s="3"/>
      <c r="FO254" s="3"/>
      <c r="FP254" s="3"/>
      <c r="FQ254" s="3"/>
      <c r="FR254" s="3"/>
      <c r="FS254" s="3"/>
      <c r="FT254" s="3"/>
      <c r="FU254" s="3"/>
      <c r="FV254" s="3"/>
      <c r="FW254" s="3"/>
      <c r="FX254" s="3"/>
      <c r="FY254" s="3"/>
      <c r="FZ254" s="3"/>
      <c r="GA254" s="3"/>
      <c r="GB254" s="3"/>
      <c r="GC254" s="3"/>
      <c r="GD254" s="3"/>
      <c r="GE254" s="3"/>
      <c r="GF254" s="3"/>
      <c r="GG254" s="3"/>
      <c r="GH254" s="3"/>
      <c r="GI254" s="3"/>
      <c r="GJ254" s="3"/>
      <c r="GK254" s="3"/>
      <c r="GL254" s="3"/>
      <c r="GM254" s="3"/>
      <c r="GN254" s="3"/>
      <c r="GO254" s="3"/>
      <c r="GP254" s="3"/>
      <c r="GQ254" s="3"/>
      <c r="GR254" s="3"/>
      <c r="GS254" s="3"/>
      <c r="GT254" s="3"/>
      <c r="GU254" s="3"/>
      <c r="GV254" s="3"/>
      <c r="GW254" s="3"/>
      <c r="GX254" s="3"/>
      <c r="GY254" s="3"/>
      <c r="GZ254" s="3"/>
      <c r="HA254" s="3"/>
      <c r="HB254" s="3"/>
      <c r="HC254" s="3"/>
      <c r="HD254" s="3"/>
      <c r="HE254" s="3"/>
      <c r="HF254" s="3"/>
      <c r="HG254" s="3"/>
      <c r="HH254" s="3"/>
      <c r="HI254" s="3"/>
      <c r="HJ254" s="3"/>
      <c r="HK254" s="3"/>
      <c r="HL254" s="3"/>
      <c r="HM254" s="3"/>
      <c r="HN254" s="3"/>
      <c r="HO254" s="3"/>
      <c r="HP254" s="3"/>
      <c r="HQ254" s="3"/>
      <c r="HR254" s="3"/>
      <c r="HS254" s="3"/>
      <c r="HT254" s="3"/>
      <c r="HU254" s="3"/>
      <c r="HV254" s="3"/>
      <c r="HW254" s="3"/>
      <c r="HX254" s="3"/>
      <c r="HY254" s="3"/>
      <c r="HZ254" s="3"/>
      <c r="IA254" s="3"/>
      <c r="IB254" s="3"/>
      <c r="IC254" s="3"/>
      <c r="ID254" s="3"/>
      <c r="IE254" s="3"/>
      <c r="IF254" s="3"/>
      <c r="IG254" s="3"/>
      <c r="IH254" s="3"/>
      <c r="II254" s="3"/>
      <c r="IJ254" s="3"/>
      <c r="IK254" s="3"/>
      <c r="IL254" s="3"/>
      <c r="IM254" s="3"/>
      <c r="IN254" s="3"/>
      <c r="IO254" s="3"/>
      <c r="IP254" s="3"/>
      <c r="IQ254" s="3"/>
      <c r="IR254" s="3"/>
      <c r="IS254" s="3"/>
      <c r="IT254" s="3"/>
      <c r="IU254" s="3"/>
      <c r="IV254" s="3"/>
      <c r="IW254" s="3"/>
      <c r="IX254" s="3"/>
      <c r="IY254" s="3"/>
      <c r="IZ254" s="3"/>
      <c r="JA254" s="3"/>
      <c r="JB254" s="3"/>
      <c r="JC254" s="3"/>
      <c r="JD254" s="3"/>
      <c r="JE254" s="3"/>
      <c r="JF254" s="3"/>
      <c r="JG254" s="3"/>
      <c r="JH254" s="3"/>
      <c r="JI254" s="3"/>
      <c r="JJ254" s="3"/>
      <c r="JK254" s="3"/>
      <c r="JL254" s="3"/>
      <c r="JM254" s="3"/>
      <c r="JN254" s="3"/>
      <c r="JO254" s="3"/>
      <c r="JP254" s="3"/>
      <c r="JQ254" s="3"/>
      <c r="JR254" s="3"/>
      <c r="JS254" s="3"/>
      <c r="JT254" s="3"/>
      <c r="JU254" s="3"/>
      <c r="JV254" s="3"/>
      <c r="JW254" s="3"/>
      <c r="JX254" s="3"/>
      <c r="JY254" s="3"/>
      <c r="JZ254" s="3"/>
      <c r="KA254" s="3"/>
      <c r="KB254" s="3"/>
      <c r="KC254" s="3"/>
      <c r="KD254" s="3"/>
      <c r="KE254" s="3"/>
      <c r="KF254" s="3"/>
      <c r="KG254" s="3"/>
      <c r="KH254" s="3"/>
      <c r="KI254" s="3"/>
      <c r="KJ254" s="3"/>
      <c r="KK254" s="3"/>
      <c r="KL254" s="3"/>
      <c r="KM254" s="3"/>
      <c r="KN254" s="3"/>
      <c r="KO254" s="3"/>
      <c r="KP254" s="3"/>
      <c r="KQ254" s="3"/>
      <c r="KR254" s="3"/>
      <c r="KS254" s="3"/>
      <c r="KT254" s="3"/>
      <c r="KU254" s="3"/>
      <c r="KV254" s="3"/>
      <c r="KW254" s="3"/>
      <c r="KX254" s="3"/>
      <c r="KY254" s="3"/>
      <c r="KZ254" s="3"/>
      <c r="LA254" s="3"/>
      <c r="LB254" s="3"/>
      <c r="LC254" s="3"/>
      <c r="LD254" s="3"/>
      <c r="LE254" s="3"/>
      <c r="LF254" s="3"/>
      <c r="LG254" s="3"/>
      <c r="LH254" s="3"/>
      <c r="LI254" s="3"/>
      <c r="LJ254" s="3"/>
      <c r="LK254" s="3"/>
      <c r="LL254" s="3"/>
      <c r="LM254" s="3"/>
      <c r="LN254" s="3"/>
      <c r="LO254" s="3"/>
      <c r="LP254" s="3"/>
      <c r="LQ254" s="3"/>
      <c r="LR254" s="3"/>
      <c r="LS254" s="3"/>
      <c r="LT254" s="3"/>
      <c r="LU254" s="3"/>
      <c r="LV254" s="3"/>
      <c r="LW254" s="3"/>
      <c r="LX254" s="3"/>
      <c r="LY254" s="3"/>
      <c r="LZ254" s="3"/>
      <c r="MA254" s="3"/>
      <c r="MB254" s="3"/>
      <c r="MC254" s="3"/>
      <c r="MD254" s="3"/>
      <c r="ME254" s="3"/>
      <c r="MF254" s="3"/>
      <c r="MG254" s="3"/>
      <c r="MH254" s="3"/>
      <c r="MI254" s="3"/>
      <c r="MJ254" s="3"/>
      <c r="MK254" s="3"/>
      <c r="ML254" s="3"/>
      <c r="MM254" s="3"/>
      <c r="MN254" s="3"/>
      <c r="MO254" s="3"/>
      <c r="MP254" s="3"/>
      <c r="MQ254" s="3"/>
      <c r="MR254" s="3"/>
      <c r="MS254" s="3"/>
      <c r="MT254" s="3"/>
      <c r="MU254" s="3"/>
      <c r="MV254" s="3"/>
      <c r="MW254" s="3"/>
      <c r="MX254" s="3"/>
      <c r="MY254" s="3"/>
      <c r="MZ254" s="3"/>
      <c r="NA254" s="3"/>
      <c r="NB254" s="3"/>
      <c r="NC254" s="3"/>
      <c r="ND254" s="3"/>
      <c r="NE254" s="3"/>
      <c r="NF254" s="3"/>
      <c r="NG254" s="3"/>
      <c r="NH254" s="3"/>
      <c r="NI254" s="3"/>
      <c r="NJ254" s="3"/>
      <c r="NK254" s="3"/>
      <c r="NL254" s="3"/>
      <c r="NM254" s="3"/>
      <c r="NN254" s="3"/>
      <c r="NO254" s="3"/>
      <c r="NP254" s="3"/>
      <c r="NQ254" s="3"/>
      <c r="NR254" s="3"/>
      <c r="NS254" s="3"/>
      <c r="NT254" s="3"/>
      <c r="NU254" s="3"/>
      <c r="NV254" s="3"/>
      <c r="NW254" s="3"/>
      <c r="NX254" s="3"/>
      <c r="NY254" s="3"/>
      <c r="NZ254" s="3"/>
      <c r="OA254" s="3"/>
      <c r="OB254" s="3"/>
      <c r="OC254" s="3"/>
      <c r="OD254" s="3"/>
      <c r="OE254" s="3"/>
      <c r="OF254" s="3"/>
      <c r="OG254" s="3"/>
      <c r="OH254" s="3"/>
      <c r="OI254" s="3"/>
      <c r="OJ254" s="3"/>
      <c r="OK254" s="3"/>
      <c r="OL254" s="3"/>
      <c r="OM254" s="3"/>
      <c r="ON254" s="3"/>
      <c r="OO254" s="3"/>
      <c r="OP254" s="3"/>
      <c r="OQ254" s="3"/>
      <c r="OR254" s="3"/>
      <c r="OS254" s="3"/>
      <c r="OT254" s="3"/>
      <c r="OU254" s="3"/>
      <c r="OV254" s="3"/>
      <c r="OW254" s="3"/>
      <c r="OX254" s="3"/>
      <c r="OY254" s="3"/>
      <c r="OZ254" s="3"/>
      <c r="PA254" s="3"/>
      <c r="PB254" s="3"/>
      <c r="PC254" s="3"/>
      <c r="PD254" s="3"/>
      <c r="PE254" s="3"/>
      <c r="PF254" s="3"/>
      <c r="PG254" s="3"/>
      <c r="PH254" s="3"/>
      <c r="PI254" s="3"/>
      <c r="PJ254" s="3"/>
      <c r="PK254" s="3"/>
      <c r="PL254" s="3"/>
      <c r="PM254" s="3"/>
      <c r="PN254" s="3"/>
      <c r="PO254" s="3"/>
      <c r="PP254" s="3"/>
      <c r="PQ254" s="3"/>
      <c r="PR254" s="3"/>
      <c r="PS254" s="3"/>
      <c r="PT254" s="3"/>
      <c r="PU254" s="3"/>
      <c r="PV254" s="3"/>
      <c r="PW254" s="3"/>
      <c r="PX254" s="3"/>
      <c r="PY254" s="3"/>
      <c r="PZ254" s="3"/>
      <c r="QA254" s="3"/>
      <c r="QB254" s="3"/>
      <c r="QC254" s="3"/>
      <c r="QD254" s="3"/>
      <c r="QE254" s="3"/>
      <c r="QF254" s="3"/>
      <c r="QG254" s="3"/>
      <c r="QH254" s="3"/>
      <c r="QI254" s="3"/>
      <c r="QJ254" s="3"/>
      <c r="QK254" s="3"/>
      <c r="QL254" s="3"/>
      <c r="QM254" s="3"/>
      <c r="QN254" s="3"/>
      <c r="QO254" s="3"/>
      <c r="QP254" s="3"/>
      <c r="QQ254" s="3"/>
      <c r="QR254" s="3"/>
      <c r="QS254" s="3"/>
      <c r="QT254" s="3"/>
      <c r="QU254" s="3"/>
      <c r="QV254" s="3"/>
      <c r="QW254" s="3"/>
      <c r="QX254" s="3"/>
      <c r="QY254" s="3"/>
      <c r="QZ254" s="3"/>
      <c r="RA254" s="3"/>
      <c r="RB254" s="3"/>
      <c r="RC254" s="3"/>
      <c r="RD254" s="3"/>
      <c r="RE254" s="3"/>
      <c r="RF254" s="3"/>
      <c r="RG254" s="3"/>
      <c r="RH254" s="3"/>
      <c r="RI254" s="3"/>
      <c r="RJ254" s="3"/>
      <c r="RK254" s="3"/>
      <c r="RL254" s="3"/>
      <c r="RM254" s="3"/>
      <c r="RN254" s="3"/>
      <c r="RO254" s="3"/>
      <c r="RP254" s="3"/>
      <c r="RQ254" s="3"/>
      <c r="RR254" s="3"/>
      <c r="RS254" s="3"/>
      <c r="RT254" s="3"/>
      <c r="RU254" s="3"/>
      <c r="RV254" s="3"/>
      <c r="RW254" s="3"/>
      <c r="RX254" s="3"/>
      <c r="RY254" s="3"/>
      <c r="RZ254" s="3"/>
      <c r="SA254" s="3"/>
      <c r="SB254" s="3"/>
      <c r="SC254" s="3"/>
      <c r="SD254" s="3"/>
      <c r="SE254" s="3"/>
      <c r="SF254" s="3"/>
      <c r="SG254" s="3"/>
      <c r="SH254" s="3"/>
      <c r="SI254" s="3"/>
      <c r="SJ254" s="3"/>
      <c r="SK254" s="3"/>
      <c r="SL254" s="3"/>
      <c r="SM254" s="3"/>
      <c r="SN254" s="3"/>
      <c r="SO254" s="3"/>
      <c r="SP254" s="3"/>
      <c r="SQ254" s="3"/>
      <c r="SR254" s="3"/>
      <c r="SS254" s="3"/>
      <c r="ST254" s="3"/>
      <c r="SU254" s="3"/>
      <c r="SV254" s="3"/>
      <c r="SW254" s="3"/>
      <c r="SX254" s="3"/>
      <c r="SY254" s="3"/>
      <c r="SZ254" s="3"/>
      <c r="TA254" s="3"/>
      <c r="TB254" s="3"/>
      <c r="TC254" s="3"/>
      <c r="TD254" s="3"/>
      <c r="TE254" s="3"/>
      <c r="TF254" s="3"/>
      <c r="TG254" s="3"/>
      <c r="TH254" s="3"/>
      <c r="TI254" s="3"/>
      <c r="TJ254" s="3"/>
      <c r="TK254" s="3"/>
      <c r="TL254" s="3"/>
      <c r="TM254" s="3"/>
      <c r="TN254" s="3"/>
      <c r="TO254" s="3"/>
      <c r="TP254" s="3"/>
      <c r="TQ254" s="3"/>
      <c r="TR254" s="3"/>
      <c r="TS254" s="3"/>
      <c r="TT254" s="3"/>
      <c r="TU254" s="3"/>
      <c r="TV254" s="3"/>
      <c r="TW254" s="3"/>
      <c r="TX254" s="3"/>
      <c r="TY254" s="3"/>
      <c r="TZ254" s="3"/>
      <c r="UA254" s="3"/>
      <c r="UB254" s="3"/>
      <c r="UC254" s="3"/>
      <c r="UD254" s="3"/>
      <c r="UE254" s="3"/>
      <c r="UF254" s="3"/>
      <c r="UG254" s="3"/>
      <c r="UH254" s="3"/>
      <c r="UI254" s="3"/>
      <c r="UJ254" s="3"/>
      <c r="UK254" s="3"/>
      <c r="UL254" s="3"/>
      <c r="UM254" s="3"/>
      <c r="UN254" s="3"/>
      <c r="UO254" s="3"/>
      <c r="UP254" s="3"/>
      <c r="UQ254" s="3"/>
      <c r="UR254" s="3"/>
      <c r="US254" s="3"/>
      <c r="UT254" s="3"/>
      <c r="UU254" s="3"/>
      <c r="UV254" s="3"/>
      <c r="UW254" s="3"/>
      <c r="UX254" s="3"/>
      <c r="UY254" s="3"/>
      <c r="UZ254" s="3"/>
      <c r="VA254" s="3"/>
      <c r="VB254" s="3"/>
      <c r="VC254" s="3"/>
      <c r="VD254" s="3"/>
      <c r="VE254" s="3"/>
      <c r="VF254" s="3"/>
      <c r="VG254" s="3"/>
      <c r="VH254" s="3"/>
      <c r="VI254" s="3"/>
      <c r="VJ254" s="3"/>
      <c r="VK254" s="3"/>
      <c r="VL254" s="3"/>
      <c r="VM254" s="3"/>
      <c r="VN254" s="3"/>
      <c r="VO254" s="3"/>
      <c r="VP254" s="3"/>
      <c r="VQ254" s="3"/>
      <c r="VR254" s="3"/>
      <c r="VS254" s="3"/>
      <c r="VT254" s="3"/>
      <c r="VU254" s="3"/>
      <c r="VV254" s="3"/>
      <c r="VW254" s="3"/>
      <c r="VX254" s="3"/>
      <c r="VY254" s="3"/>
      <c r="VZ254" s="3"/>
      <c r="WA254" s="3"/>
      <c r="WB254" s="3"/>
      <c r="WC254" s="3"/>
      <c r="WD254" s="3"/>
      <c r="WE254" s="3"/>
      <c r="WF254" s="3"/>
      <c r="WG254" s="3"/>
      <c r="WH254" s="3"/>
      <c r="WI254" s="3"/>
      <c r="WJ254" s="3"/>
      <c r="WK254" s="3"/>
      <c r="WL254" s="3"/>
      <c r="WM254" s="3"/>
      <c r="WN254" s="3"/>
      <c r="WO254" s="3"/>
      <c r="WP254" s="3"/>
      <c r="WQ254" s="3"/>
      <c r="WR254" s="3"/>
      <c r="WS254" s="3"/>
      <c r="WT254" s="3"/>
      <c r="WU254" s="3"/>
      <c r="WV254" s="3"/>
      <c r="WW254" s="3"/>
      <c r="WX254" s="3"/>
      <c r="WY254" s="3"/>
      <c r="WZ254" s="3"/>
      <c r="XA254" s="3"/>
      <c r="XB254" s="3"/>
      <c r="XC254" s="3"/>
      <c r="XD254" s="3"/>
      <c r="XE254" s="3"/>
      <c r="XF254" s="3"/>
      <c r="XG254" s="3"/>
      <c r="XH254" s="3"/>
      <c r="XI254" s="3"/>
      <c r="XJ254" s="3"/>
      <c r="XK254" s="3"/>
      <c r="XL254" s="3"/>
      <c r="XM254" s="3"/>
      <c r="XN254" s="3"/>
      <c r="XO254" s="3"/>
      <c r="XP254" s="3"/>
      <c r="XQ254" s="3"/>
      <c r="XR254" s="3"/>
      <c r="XS254" s="3"/>
      <c r="XT254" s="3"/>
      <c r="XU254" s="3"/>
      <c r="XV254" s="3"/>
      <c r="XW254" s="3"/>
      <c r="XX254" s="3"/>
      <c r="XY254" s="3"/>
      <c r="XZ254" s="3"/>
      <c r="YA254" s="3"/>
      <c r="YB254" s="3"/>
      <c r="YC254" s="3"/>
      <c r="YD254" s="3"/>
      <c r="YE254" s="3"/>
      <c r="YF254" s="3"/>
      <c r="YG254" s="3"/>
      <c r="YH254" s="3"/>
      <c r="YI254" s="3"/>
      <c r="YJ254" s="3"/>
      <c r="YK254" s="3"/>
      <c r="YL254" s="3"/>
      <c r="YM254" s="3"/>
      <c r="YN254" s="3"/>
      <c r="YO254" s="3"/>
      <c r="YP254" s="3"/>
      <c r="YQ254" s="3"/>
      <c r="YR254" s="3"/>
      <c r="YS254" s="3"/>
      <c r="YT254" s="3"/>
      <c r="YU254" s="3"/>
      <c r="YV254" s="3"/>
      <c r="YW254" s="3"/>
      <c r="YX254" s="3"/>
      <c r="YY254" s="3"/>
      <c r="YZ254" s="3"/>
      <c r="ZA254" s="3"/>
      <c r="ZB254" s="3"/>
      <c r="ZC254" s="3"/>
    </row>
    <row r="255" spans="1:679" s="2" customFormat="1" x14ac:dyDescent="0.45">
      <c r="A255" s="3" t="s">
        <v>11</v>
      </c>
      <c r="B255" s="4">
        <v>37531</v>
      </c>
      <c r="C255" s="7" t="s">
        <v>21</v>
      </c>
      <c r="D255" s="6" t="s">
        <v>274</v>
      </c>
      <c r="E255" s="3"/>
      <c r="F255" s="3">
        <v>2</v>
      </c>
      <c r="L255" s="3"/>
      <c r="M255" s="3"/>
      <c r="N255" s="48"/>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c r="CP255" s="3"/>
      <c r="CQ255" s="3"/>
      <c r="CR255" s="3"/>
      <c r="CS255" s="3"/>
      <c r="CT255" s="3"/>
      <c r="CU255" s="3"/>
      <c r="CV255" s="3"/>
      <c r="CW255" s="3"/>
      <c r="CX255" s="3"/>
      <c r="CY255" s="3"/>
      <c r="CZ255" s="3"/>
      <c r="DA255" s="3"/>
      <c r="DB255" s="3"/>
      <c r="DC255" s="3"/>
      <c r="DD255" s="3"/>
      <c r="DE255" s="3"/>
      <c r="DF255" s="3"/>
      <c r="DG255" s="3"/>
      <c r="DH255" s="3"/>
      <c r="DI255" s="3"/>
      <c r="DJ255" s="3"/>
      <c r="DK255" s="3"/>
      <c r="DL255" s="3"/>
      <c r="DM255" s="3"/>
      <c r="DN255" s="3"/>
      <c r="DO255" s="3"/>
      <c r="DP255" s="3"/>
      <c r="DQ255" s="3"/>
      <c r="DR255" s="3"/>
      <c r="DS255" s="3"/>
      <c r="DT255" s="3"/>
      <c r="DU255" s="3"/>
      <c r="DV255" s="3"/>
      <c r="DW255" s="3"/>
      <c r="DX255" s="3"/>
      <c r="DY255" s="3"/>
      <c r="DZ255" s="3"/>
      <c r="EA255" s="3"/>
      <c r="EB255" s="3"/>
      <c r="EC255" s="3"/>
      <c r="ED255" s="3"/>
      <c r="EE255" s="3"/>
      <c r="EF255" s="3"/>
      <c r="EG255" s="3"/>
      <c r="EH255" s="3"/>
      <c r="EI255" s="3"/>
      <c r="EJ255" s="3"/>
      <c r="EK255" s="3"/>
      <c r="EL255" s="3"/>
      <c r="EM255" s="3"/>
      <c r="EN255" s="3"/>
      <c r="EO255" s="3"/>
      <c r="EP255" s="3"/>
      <c r="EQ255" s="3"/>
      <c r="ER255" s="3"/>
      <c r="ES255" s="3"/>
      <c r="ET255" s="3"/>
      <c r="EU255" s="3"/>
      <c r="EV255" s="3"/>
      <c r="EW255" s="3"/>
      <c r="EX255" s="3"/>
      <c r="EY255" s="3"/>
      <c r="EZ255" s="3"/>
      <c r="FA255" s="3"/>
      <c r="FB255" s="3"/>
      <c r="FC255" s="3"/>
      <c r="FD255" s="3"/>
      <c r="FE255" s="3"/>
      <c r="FF255" s="3"/>
      <c r="FG255" s="3"/>
      <c r="FH255" s="3"/>
      <c r="FI255" s="3"/>
      <c r="FJ255" s="3"/>
      <c r="FK255" s="3"/>
      <c r="FL255" s="3"/>
      <c r="FM255" s="3"/>
      <c r="FN255" s="3"/>
      <c r="FO255" s="3"/>
      <c r="FP255" s="3"/>
      <c r="FQ255" s="3"/>
      <c r="FR255" s="3"/>
      <c r="FS255" s="3"/>
      <c r="FT255" s="3"/>
      <c r="FU255" s="3"/>
      <c r="FV255" s="3"/>
      <c r="FW255" s="3"/>
      <c r="FX255" s="3"/>
      <c r="FY255" s="3"/>
      <c r="FZ255" s="3"/>
      <c r="GA255" s="3"/>
      <c r="GB255" s="3"/>
      <c r="GC255" s="3"/>
      <c r="GD255" s="3"/>
      <c r="GE255" s="3"/>
      <c r="GF255" s="3"/>
      <c r="GG255" s="3"/>
      <c r="GH255" s="3"/>
      <c r="GI255" s="3"/>
      <c r="GJ255" s="3"/>
      <c r="GK255" s="3"/>
      <c r="GL255" s="3"/>
      <c r="GM255" s="3"/>
      <c r="GN255" s="3"/>
      <c r="GO255" s="3"/>
      <c r="GP255" s="3"/>
      <c r="GQ255" s="3"/>
      <c r="GR255" s="3"/>
      <c r="GS255" s="3"/>
      <c r="GT255" s="3"/>
      <c r="GU255" s="3"/>
      <c r="GV255" s="3"/>
      <c r="GW255" s="3"/>
      <c r="GX255" s="3"/>
      <c r="GY255" s="3"/>
      <c r="GZ255" s="3"/>
      <c r="HA255" s="3"/>
      <c r="HB255" s="3"/>
      <c r="HC255" s="3"/>
      <c r="HD255" s="3"/>
      <c r="HE255" s="3"/>
      <c r="HF255" s="3"/>
      <c r="HG255" s="3"/>
      <c r="HH255" s="3"/>
      <c r="HI255" s="3"/>
      <c r="HJ255" s="3"/>
      <c r="HK255" s="3"/>
      <c r="HL255" s="3"/>
      <c r="HM255" s="3"/>
      <c r="HN255" s="3"/>
      <c r="HO255" s="3"/>
      <c r="HP255" s="3"/>
      <c r="HQ255" s="3"/>
      <c r="HR255" s="3"/>
      <c r="HS255" s="3"/>
      <c r="HT255" s="3"/>
      <c r="HU255" s="3"/>
      <c r="HV255" s="3"/>
      <c r="HW255" s="3"/>
      <c r="HX255" s="3"/>
      <c r="HY255" s="3"/>
      <c r="HZ255" s="3"/>
      <c r="IA255" s="3"/>
      <c r="IB255" s="3"/>
      <c r="IC255" s="3"/>
      <c r="ID255" s="3"/>
      <c r="IE255" s="3"/>
      <c r="IF255" s="3"/>
      <c r="IG255" s="3"/>
      <c r="IH255" s="3"/>
      <c r="II255" s="3"/>
      <c r="IJ255" s="3"/>
      <c r="IK255" s="3"/>
      <c r="IL255" s="3"/>
      <c r="IM255" s="3"/>
      <c r="IN255" s="3"/>
      <c r="IO255" s="3"/>
      <c r="IP255" s="3"/>
      <c r="IQ255" s="3"/>
      <c r="IR255" s="3"/>
      <c r="IS255" s="3"/>
      <c r="IT255" s="3"/>
      <c r="IU255" s="3"/>
      <c r="IV255" s="3"/>
      <c r="IW255" s="3"/>
      <c r="IX255" s="3"/>
      <c r="IY255" s="3"/>
      <c r="IZ255" s="3"/>
      <c r="JA255" s="3"/>
      <c r="JB255" s="3"/>
      <c r="JC255" s="3"/>
      <c r="JD255" s="3"/>
      <c r="JE255" s="3"/>
      <c r="JF255" s="3"/>
      <c r="JG255" s="3"/>
      <c r="JH255" s="3"/>
      <c r="JI255" s="3"/>
      <c r="JJ255" s="3"/>
      <c r="JK255" s="3"/>
      <c r="JL255" s="3"/>
      <c r="JM255" s="3"/>
      <c r="JN255" s="3"/>
      <c r="JO255" s="3"/>
      <c r="JP255" s="3"/>
      <c r="JQ255" s="3"/>
      <c r="JR255" s="3"/>
      <c r="JS255" s="3"/>
      <c r="JT255" s="3"/>
      <c r="JU255" s="3"/>
      <c r="JV255" s="3"/>
      <c r="JW255" s="3"/>
      <c r="JX255" s="3"/>
      <c r="JY255" s="3"/>
      <c r="JZ255" s="3"/>
      <c r="KA255" s="3"/>
      <c r="KB255" s="3"/>
      <c r="KC255" s="3"/>
      <c r="KD255" s="3"/>
      <c r="KE255" s="3"/>
      <c r="KF255" s="3"/>
      <c r="KG255" s="3"/>
      <c r="KH255" s="3"/>
      <c r="KI255" s="3"/>
      <c r="KJ255" s="3"/>
      <c r="KK255" s="3"/>
      <c r="KL255" s="3"/>
      <c r="KM255" s="3"/>
      <c r="KN255" s="3"/>
      <c r="KO255" s="3"/>
      <c r="KP255" s="3"/>
      <c r="KQ255" s="3"/>
      <c r="KR255" s="3"/>
      <c r="KS255" s="3"/>
      <c r="KT255" s="3"/>
      <c r="KU255" s="3"/>
      <c r="KV255" s="3"/>
      <c r="KW255" s="3"/>
      <c r="KX255" s="3"/>
      <c r="KY255" s="3"/>
      <c r="KZ255" s="3"/>
      <c r="LA255" s="3"/>
      <c r="LB255" s="3"/>
      <c r="LC255" s="3"/>
      <c r="LD255" s="3"/>
      <c r="LE255" s="3"/>
      <c r="LF255" s="3"/>
      <c r="LG255" s="3"/>
      <c r="LH255" s="3"/>
      <c r="LI255" s="3"/>
      <c r="LJ255" s="3"/>
      <c r="LK255" s="3"/>
      <c r="LL255" s="3"/>
      <c r="LM255" s="3"/>
      <c r="LN255" s="3"/>
      <c r="LO255" s="3"/>
      <c r="LP255" s="3"/>
      <c r="LQ255" s="3"/>
      <c r="LR255" s="3"/>
      <c r="LS255" s="3"/>
      <c r="LT255" s="3"/>
      <c r="LU255" s="3"/>
      <c r="LV255" s="3"/>
      <c r="LW255" s="3"/>
      <c r="LX255" s="3"/>
      <c r="LY255" s="3"/>
      <c r="LZ255" s="3"/>
      <c r="MA255" s="3"/>
      <c r="MB255" s="3"/>
      <c r="MC255" s="3"/>
      <c r="MD255" s="3"/>
      <c r="ME255" s="3"/>
      <c r="MF255" s="3"/>
      <c r="MG255" s="3"/>
      <c r="MH255" s="3"/>
      <c r="MI255" s="3"/>
      <c r="MJ255" s="3"/>
      <c r="MK255" s="3"/>
      <c r="ML255" s="3"/>
      <c r="MM255" s="3"/>
      <c r="MN255" s="3"/>
      <c r="MO255" s="3"/>
      <c r="MP255" s="3"/>
      <c r="MQ255" s="3"/>
      <c r="MR255" s="3"/>
      <c r="MS255" s="3"/>
      <c r="MT255" s="3"/>
      <c r="MU255" s="3"/>
      <c r="MV255" s="3"/>
      <c r="MW255" s="3"/>
      <c r="MX255" s="3"/>
      <c r="MY255" s="3"/>
      <c r="MZ255" s="3"/>
      <c r="NA255" s="3"/>
      <c r="NB255" s="3"/>
      <c r="NC255" s="3"/>
      <c r="ND255" s="3"/>
      <c r="NE255" s="3"/>
      <c r="NF255" s="3"/>
      <c r="NG255" s="3"/>
      <c r="NH255" s="3"/>
      <c r="NI255" s="3"/>
      <c r="NJ255" s="3"/>
      <c r="NK255" s="3"/>
      <c r="NL255" s="3"/>
      <c r="NM255" s="3"/>
      <c r="NN255" s="3"/>
      <c r="NO255" s="3"/>
      <c r="NP255" s="3"/>
      <c r="NQ255" s="3"/>
      <c r="NR255" s="3"/>
      <c r="NS255" s="3"/>
      <c r="NT255" s="3"/>
      <c r="NU255" s="3"/>
      <c r="NV255" s="3"/>
      <c r="NW255" s="3"/>
      <c r="NX255" s="3"/>
      <c r="NY255" s="3"/>
      <c r="NZ255" s="3"/>
      <c r="OA255" s="3"/>
      <c r="OB255" s="3"/>
      <c r="OC255" s="3"/>
      <c r="OD255" s="3"/>
      <c r="OE255" s="3"/>
      <c r="OF255" s="3"/>
      <c r="OG255" s="3"/>
      <c r="OH255" s="3"/>
      <c r="OI255" s="3"/>
      <c r="OJ255" s="3"/>
      <c r="OK255" s="3"/>
      <c r="OL255" s="3"/>
      <c r="OM255" s="3"/>
      <c r="ON255" s="3"/>
      <c r="OO255" s="3"/>
      <c r="OP255" s="3"/>
      <c r="OQ255" s="3"/>
      <c r="OR255" s="3"/>
      <c r="OS255" s="3"/>
      <c r="OT255" s="3"/>
      <c r="OU255" s="3"/>
      <c r="OV255" s="3"/>
      <c r="OW255" s="3"/>
      <c r="OX255" s="3"/>
      <c r="OY255" s="3"/>
      <c r="OZ255" s="3"/>
      <c r="PA255" s="3"/>
      <c r="PB255" s="3"/>
      <c r="PC255" s="3"/>
      <c r="PD255" s="3"/>
      <c r="PE255" s="3"/>
      <c r="PF255" s="3"/>
      <c r="PG255" s="3"/>
      <c r="PH255" s="3"/>
      <c r="PI255" s="3"/>
      <c r="PJ255" s="3"/>
      <c r="PK255" s="3"/>
      <c r="PL255" s="3"/>
      <c r="PM255" s="3"/>
      <c r="PN255" s="3"/>
      <c r="PO255" s="3"/>
      <c r="PP255" s="3"/>
      <c r="PQ255" s="3"/>
      <c r="PR255" s="3"/>
      <c r="PS255" s="3"/>
      <c r="PT255" s="3"/>
      <c r="PU255" s="3"/>
      <c r="PV255" s="3"/>
      <c r="PW255" s="3"/>
      <c r="PX255" s="3"/>
      <c r="PY255" s="3"/>
      <c r="PZ255" s="3"/>
      <c r="QA255" s="3"/>
      <c r="QB255" s="3"/>
      <c r="QC255" s="3"/>
      <c r="QD255" s="3"/>
      <c r="QE255" s="3"/>
      <c r="QF255" s="3"/>
      <c r="QG255" s="3"/>
      <c r="QH255" s="3"/>
      <c r="QI255" s="3"/>
      <c r="QJ255" s="3"/>
      <c r="QK255" s="3"/>
      <c r="QL255" s="3"/>
      <c r="QM255" s="3"/>
      <c r="QN255" s="3"/>
      <c r="QO255" s="3"/>
      <c r="QP255" s="3"/>
      <c r="QQ255" s="3"/>
      <c r="QR255" s="3"/>
      <c r="QS255" s="3"/>
      <c r="QT255" s="3"/>
      <c r="QU255" s="3"/>
      <c r="QV255" s="3"/>
      <c r="QW255" s="3"/>
      <c r="QX255" s="3"/>
      <c r="QY255" s="3"/>
      <c r="QZ255" s="3"/>
      <c r="RA255" s="3"/>
      <c r="RB255" s="3"/>
      <c r="RC255" s="3"/>
      <c r="RD255" s="3"/>
      <c r="RE255" s="3"/>
      <c r="RF255" s="3"/>
      <c r="RG255" s="3"/>
      <c r="RH255" s="3"/>
      <c r="RI255" s="3"/>
      <c r="RJ255" s="3"/>
      <c r="RK255" s="3"/>
      <c r="RL255" s="3"/>
      <c r="RM255" s="3"/>
      <c r="RN255" s="3"/>
      <c r="RO255" s="3"/>
      <c r="RP255" s="3"/>
      <c r="RQ255" s="3"/>
      <c r="RR255" s="3"/>
      <c r="RS255" s="3"/>
      <c r="RT255" s="3"/>
      <c r="RU255" s="3"/>
      <c r="RV255" s="3"/>
      <c r="RW255" s="3"/>
      <c r="RX255" s="3"/>
      <c r="RY255" s="3"/>
      <c r="RZ255" s="3"/>
      <c r="SA255" s="3"/>
      <c r="SB255" s="3"/>
      <c r="SC255" s="3"/>
      <c r="SD255" s="3"/>
      <c r="SE255" s="3"/>
      <c r="SF255" s="3"/>
      <c r="SG255" s="3"/>
      <c r="SH255" s="3"/>
      <c r="SI255" s="3"/>
      <c r="SJ255" s="3"/>
      <c r="SK255" s="3"/>
      <c r="SL255" s="3"/>
      <c r="SM255" s="3"/>
      <c r="SN255" s="3"/>
      <c r="SO255" s="3"/>
      <c r="SP255" s="3"/>
      <c r="SQ255" s="3"/>
      <c r="SR255" s="3"/>
      <c r="SS255" s="3"/>
      <c r="ST255" s="3"/>
      <c r="SU255" s="3"/>
      <c r="SV255" s="3"/>
      <c r="SW255" s="3"/>
      <c r="SX255" s="3"/>
      <c r="SY255" s="3"/>
      <c r="SZ255" s="3"/>
      <c r="TA255" s="3"/>
      <c r="TB255" s="3"/>
      <c r="TC255" s="3"/>
      <c r="TD255" s="3"/>
      <c r="TE255" s="3"/>
      <c r="TF255" s="3"/>
      <c r="TG255" s="3"/>
      <c r="TH255" s="3"/>
      <c r="TI255" s="3"/>
      <c r="TJ255" s="3"/>
      <c r="TK255" s="3"/>
      <c r="TL255" s="3"/>
      <c r="TM255" s="3"/>
      <c r="TN255" s="3"/>
      <c r="TO255" s="3"/>
      <c r="TP255" s="3"/>
      <c r="TQ255" s="3"/>
      <c r="TR255" s="3"/>
      <c r="TS255" s="3"/>
      <c r="TT255" s="3"/>
      <c r="TU255" s="3"/>
      <c r="TV255" s="3"/>
      <c r="TW255" s="3"/>
      <c r="TX255" s="3"/>
      <c r="TY255" s="3"/>
      <c r="TZ255" s="3"/>
      <c r="UA255" s="3"/>
      <c r="UB255" s="3"/>
      <c r="UC255" s="3"/>
      <c r="UD255" s="3"/>
      <c r="UE255" s="3"/>
      <c r="UF255" s="3"/>
      <c r="UG255" s="3"/>
      <c r="UH255" s="3"/>
      <c r="UI255" s="3"/>
      <c r="UJ255" s="3"/>
      <c r="UK255" s="3"/>
      <c r="UL255" s="3"/>
      <c r="UM255" s="3"/>
      <c r="UN255" s="3"/>
      <c r="UO255" s="3"/>
      <c r="UP255" s="3"/>
      <c r="UQ255" s="3"/>
      <c r="UR255" s="3"/>
      <c r="US255" s="3"/>
      <c r="UT255" s="3"/>
      <c r="UU255" s="3"/>
      <c r="UV255" s="3"/>
      <c r="UW255" s="3"/>
      <c r="UX255" s="3"/>
      <c r="UY255" s="3"/>
      <c r="UZ255" s="3"/>
      <c r="VA255" s="3"/>
      <c r="VB255" s="3"/>
      <c r="VC255" s="3"/>
      <c r="VD255" s="3"/>
      <c r="VE255" s="3"/>
      <c r="VF255" s="3"/>
      <c r="VG255" s="3"/>
      <c r="VH255" s="3"/>
      <c r="VI255" s="3"/>
      <c r="VJ255" s="3"/>
      <c r="VK255" s="3"/>
      <c r="VL255" s="3"/>
      <c r="VM255" s="3"/>
      <c r="VN255" s="3"/>
      <c r="VO255" s="3"/>
      <c r="VP255" s="3"/>
      <c r="VQ255" s="3"/>
      <c r="VR255" s="3"/>
      <c r="VS255" s="3"/>
      <c r="VT255" s="3"/>
      <c r="VU255" s="3"/>
      <c r="VV255" s="3"/>
      <c r="VW255" s="3"/>
      <c r="VX255" s="3"/>
      <c r="VY255" s="3"/>
      <c r="VZ255" s="3"/>
      <c r="WA255" s="3"/>
      <c r="WB255" s="3"/>
      <c r="WC255" s="3"/>
      <c r="WD255" s="3"/>
      <c r="WE255" s="3"/>
      <c r="WF255" s="3"/>
      <c r="WG255" s="3"/>
      <c r="WH255" s="3"/>
      <c r="WI255" s="3"/>
      <c r="WJ255" s="3"/>
      <c r="WK255" s="3"/>
      <c r="WL255" s="3"/>
      <c r="WM255" s="3"/>
      <c r="WN255" s="3"/>
      <c r="WO255" s="3"/>
      <c r="WP255" s="3"/>
      <c r="WQ255" s="3"/>
      <c r="WR255" s="3"/>
      <c r="WS255" s="3"/>
      <c r="WT255" s="3"/>
      <c r="WU255" s="3"/>
      <c r="WV255" s="3"/>
      <c r="WW255" s="3"/>
      <c r="WX255" s="3"/>
      <c r="WY255" s="3"/>
      <c r="WZ255" s="3"/>
      <c r="XA255" s="3"/>
      <c r="XB255" s="3"/>
      <c r="XC255" s="3"/>
      <c r="XD255" s="3"/>
      <c r="XE255" s="3"/>
      <c r="XF255" s="3"/>
      <c r="XG255" s="3"/>
      <c r="XH255" s="3"/>
      <c r="XI255" s="3"/>
      <c r="XJ255" s="3"/>
      <c r="XK255" s="3"/>
      <c r="XL255" s="3"/>
      <c r="XM255" s="3"/>
      <c r="XN255" s="3"/>
      <c r="XO255" s="3"/>
      <c r="XP255" s="3"/>
      <c r="XQ255" s="3"/>
      <c r="XR255" s="3"/>
      <c r="XS255" s="3"/>
      <c r="XT255" s="3"/>
      <c r="XU255" s="3"/>
      <c r="XV255" s="3"/>
      <c r="XW255" s="3"/>
      <c r="XX255" s="3"/>
      <c r="XY255" s="3"/>
      <c r="XZ255" s="3"/>
      <c r="YA255" s="3"/>
      <c r="YB255" s="3"/>
      <c r="YC255" s="3"/>
      <c r="YD255" s="3"/>
      <c r="YE255" s="3"/>
      <c r="YF255" s="3"/>
      <c r="YG255" s="3"/>
      <c r="YH255" s="3"/>
      <c r="YI255" s="3"/>
      <c r="YJ255" s="3"/>
      <c r="YK255" s="3"/>
      <c r="YL255" s="3"/>
      <c r="YM255" s="3"/>
      <c r="YN255" s="3"/>
      <c r="YO255" s="3"/>
      <c r="YP255" s="3"/>
      <c r="YQ255" s="3"/>
      <c r="YR255" s="3"/>
      <c r="YS255" s="3"/>
      <c r="YT255" s="3"/>
      <c r="YU255" s="3"/>
      <c r="YV255" s="3"/>
      <c r="YW255" s="3"/>
      <c r="YX255" s="3"/>
      <c r="YY255" s="3"/>
      <c r="YZ255" s="3"/>
      <c r="ZA255" s="3"/>
      <c r="ZB255" s="3"/>
      <c r="ZC255" s="3"/>
    </row>
    <row r="256" spans="1:679" s="2" customFormat="1" x14ac:dyDescent="0.45">
      <c r="A256" s="3" t="s">
        <v>11</v>
      </c>
      <c r="B256" s="4">
        <v>37536</v>
      </c>
      <c r="C256" s="7" t="s">
        <v>21</v>
      </c>
      <c r="D256" s="6" t="s">
        <v>275</v>
      </c>
      <c r="E256" s="3"/>
      <c r="F256" s="3">
        <v>5</v>
      </c>
      <c r="L256" s="3"/>
      <c r="M256" s="3"/>
      <c r="N256" s="48"/>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c r="CO256" s="3"/>
      <c r="CP256" s="3"/>
      <c r="CQ256" s="3"/>
      <c r="CR256" s="3"/>
      <c r="CS256" s="3"/>
      <c r="CT256" s="3"/>
      <c r="CU256" s="3"/>
      <c r="CV256" s="3"/>
      <c r="CW256" s="3"/>
      <c r="CX256" s="3"/>
      <c r="CY256" s="3"/>
      <c r="CZ256" s="3"/>
      <c r="DA256" s="3"/>
      <c r="DB256" s="3"/>
      <c r="DC256" s="3"/>
      <c r="DD256" s="3"/>
      <c r="DE256" s="3"/>
      <c r="DF256" s="3"/>
      <c r="DG256" s="3"/>
      <c r="DH256" s="3"/>
      <c r="DI256" s="3"/>
      <c r="DJ256" s="3"/>
      <c r="DK256" s="3"/>
      <c r="DL256" s="3"/>
      <c r="DM256" s="3"/>
      <c r="DN256" s="3"/>
      <c r="DO256" s="3"/>
      <c r="DP256" s="3"/>
      <c r="DQ256" s="3"/>
      <c r="DR256" s="3"/>
      <c r="DS256" s="3"/>
      <c r="DT256" s="3"/>
      <c r="DU256" s="3"/>
      <c r="DV256" s="3"/>
      <c r="DW256" s="3"/>
      <c r="DX256" s="3"/>
      <c r="DY256" s="3"/>
      <c r="DZ256" s="3"/>
      <c r="EA256" s="3"/>
      <c r="EB256" s="3"/>
      <c r="EC256" s="3"/>
      <c r="ED256" s="3"/>
      <c r="EE256" s="3"/>
      <c r="EF256" s="3"/>
      <c r="EG256" s="3"/>
      <c r="EH256" s="3"/>
      <c r="EI256" s="3"/>
      <c r="EJ256" s="3"/>
      <c r="EK256" s="3"/>
      <c r="EL256" s="3"/>
      <c r="EM256" s="3"/>
      <c r="EN256" s="3"/>
      <c r="EO256" s="3"/>
      <c r="EP256" s="3"/>
      <c r="EQ256" s="3"/>
      <c r="ER256" s="3"/>
      <c r="ES256" s="3"/>
      <c r="ET256" s="3"/>
      <c r="EU256" s="3"/>
      <c r="EV256" s="3"/>
      <c r="EW256" s="3"/>
      <c r="EX256" s="3"/>
      <c r="EY256" s="3"/>
      <c r="EZ256" s="3"/>
      <c r="FA256" s="3"/>
      <c r="FB256" s="3"/>
      <c r="FC256" s="3"/>
      <c r="FD256" s="3"/>
      <c r="FE256" s="3"/>
      <c r="FF256" s="3"/>
      <c r="FG256" s="3"/>
      <c r="FH256" s="3"/>
      <c r="FI256" s="3"/>
      <c r="FJ256" s="3"/>
      <c r="FK256" s="3"/>
      <c r="FL256" s="3"/>
      <c r="FM256" s="3"/>
      <c r="FN256" s="3"/>
      <c r="FO256" s="3"/>
      <c r="FP256" s="3"/>
      <c r="FQ256" s="3"/>
      <c r="FR256" s="3"/>
      <c r="FS256" s="3"/>
      <c r="FT256" s="3"/>
      <c r="FU256" s="3"/>
      <c r="FV256" s="3"/>
      <c r="FW256" s="3"/>
      <c r="FX256" s="3"/>
      <c r="FY256" s="3"/>
      <c r="FZ256" s="3"/>
      <c r="GA256" s="3"/>
      <c r="GB256" s="3"/>
      <c r="GC256" s="3"/>
      <c r="GD256" s="3"/>
      <c r="GE256" s="3"/>
      <c r="GF256" s="3"/>
      <c r="GG256" s="3"/>
      <c r="GH256" s="3"/>
      <c r="GI256" s="3"/>
      <c r="GJ256" s="3"/>
      <c r="GK256" s="3"/>
      <c r="GL256" s="3"/>
      <c r="GM256" s="3"/>
      <c r="GN256" s="3"/>
      <c r="GO256" s="3"/>
      <c r="GP256" s="3"/>
      <c r="GQ256" s="3"/>
      <c r="GR256" s="3"/>
      <c r="GS256" s="3"/>
      <c r="GT256" s="3"/>
      <c r="GU256" s="3"/>
      <c r="GV256" s="3"/>
      <c r="GW256" s="3"/>
      <c r="GX256" s="3"/>
      <c r="GY256" s="3"/>
      <c r="GZ256" s="3"/>
      <c r="HA256" s="3"/>
      <c r="HB256" s="3"/>
      <c r="HC256" s="3"/>
      <c r="HD256" s="3"/>
      <c r="HE256" s="3"/>
      <c r="HF256" s="3"/>
      <c r="HG256" s="3"/>
      <c r="HH256" s="3"/>
      <c r="HI256" s="3"/>
      <c r="HJ256" s="3"/>
      <c r="HK256" s="3"/>
      <c r="HL256" s="3"/>
      <c r="HM256" s="3"/>
      <c r="HN256" s="3"/>
      <c r="HO256" s="3"/>
      <c r="HP256" s="3"/>
      <c r="HQ256" s="3"/>
      <c r="HR256" s="3"/>
      <c r="HS256" s="3"/>
      <c r="HT256" s="3"/>
      <c r="HU256" s="3"/>
      <c r="HV256" s="3"/>
      <c r="HW256" s="3"/>
      <c r="HX256" s="3"/>
      <c r="HY256" s="3"/>
      <c r="HZ256" s="3"/>
      <c r="IA256" s="3"/>
      <c r="IB256" s="3"/>
      <c r="IC256" s="3"/>
      <c r="ID256" s="3"/>
      <c r="IE256" s="3"/>
      <c r="IF256" s="3"/>
      <c r="IG256" s="3"/>
      <c r="IH256" s="3"/>
      <c r="II256" s="3"/>
      <c r="IJ256" s="3"/>
      <c r="IK256" s="3"/>
      <c r="IL256" s="3"/>
      <c r="IM256" s="3"/>
      <c r="IN256" s="3"/>
      <c r="IO256" s="3"/>
      <c r="IP256" s="3"/>
      <c r="IQ256" s="3"/>
      <c r="IR256" s="3"/>
      <c r="IS256" s="3"/>
      <c r="IT256" s="3"/>
      <c r="IU256" s="3"/>
      <c r="IV256" s="3"/>
      <c r="IW256" s="3"/>
      <c r="IX256" s="3"/>
      <c r="IY256" s="3"/>
      <c r="IZ256" s="3"/>
      <c r="JA256" s="3"/>
      <c r="JB256" s="3"/>
      <c r="JC256" s="3"/>
      <c r="JD256" s="3"/>
      <c r="JE256" s="3"/>
      <c r="JF256" s="3"/>
      <c r="JG256" s="3"/>
      <c r="JH256" s="3"/>
      <c r="JI256" s="3"/>
      <c r="JJ256" s="3"/>
      <c r="JK256" s="3"/>
      <c r="JL256" s="3"/>
      <c r="JM256" s="3"/>
      <c r="JN256" s="3"/>
      <c r="JO256" s="3"/>
      <c r="JP256" s="3"/>
      <c r="JQ256" s="3"/>
      <c r="JR256" s="3"/>
      <c r="JS256" s="3"/>
      <c r="JT256" s="3"/>
      <c r="JU256" s="3"/>
      <c r="JV256" s="3"/>
      <c r="JW256" s="3"/>
      <c r="JX256" s="3"/>
      <c r="JY256" s="3"/>
      <c r="JZ256" s="3"/>
      <c r="KA256" s="3"/>
      <c r="KB256" s="3"/>
      <c r="KC256" s="3"/>
      <c r="KD256" s="3"/>
      <c r="KE256" s="3"/>
      <c r="KF256" s="3"/>
      <c r="KG256" s="3"/>
      <c r="KH256" s="3"/>
      <c r="KI256" s="3"/>
      <c r="KJ256" s="3"/>
      <c r="KK256" s="3"/>
      <c r="KL256" s="3"/>
      <c r="KM256" s="3"/>
      <c r="KN256" s="3"/>
      <c r="KO256" s="3"/>
      <c r="KP256" s="3"/>
      <c r="KQ256" s="3"/>
      <c r="KR256" s="3"/>
      <c r="KS256" s="3"/>
      <c r="KT256" s="3"/>
      <c r="KU256" s="3"/>
      <c r="KV256" s="3"/>
      <c r="KW256" s="3"/>
      <c r="KX256" s="3"/>
      <c r="KY256" s="3"/>
      <c r="KZ256" s="3"/>
      <c r="LA256" s="3"/>
      <c r="LB256" s="3"/>
      <c r="LC256" s="3"/>
      <c r="LD256" s="3"/>
      <c r="LE256" s="3"/>
      <c r="LF256" s="3"/>
      <c r="LG256" s="3"/>
      <c r="LH256" s="3"/>
      <c r="LI256" s="3"/>
      <c r="LJ256" s="3"/>
      <c r="LK256" s="3"/>
      <c r="LL256" s="3"/>
      <c r="LM256" s="3"/>
      <c r="LN256" s="3"/>
      <c r="LO256" s="3"/>
      <c r="LP256" s="3"/>
      <c r="LQ256" s="3"/>
      <c r="LR256" s="3"/>
      <c r="LS256" s="3"/>
      <c r="LT256" s="3"/>
      <c r="LU256" s="3"/>
      <c r="LV256" s="3"/>
      <c r="LW256" s="3"/>
      <c r="LX256" s="3"/>
      <c r="LY256" s="3"/>
      <c r="LZ256" s="3"/>
      <c r="MA256" s="3"/>
      <c r="MB256" s="3"/>
      <c r="MC256" s="3"/>
      <c r="MD256" s="3"/>
      <c r="ME256" s="3"/>
      <c r="MF256" s="3"/>
      <c r="MG256" s="3"/>
      <c r="MH256" s="3"/>
      <c r="MI256" s="3"/>
      <c r="MJ256" s="3"/>
      <c r="MK256" s="3"/>
      <c r="ML256" s="3"/>
      <c r="MM256" s="3"/>
      <c r="MN256" s="3"/>
      <c r="MO256" s="3"/>
      <c r="MP256" s="3"/>
      <c r="MQ256" s="3"/>
      <c r="MR256" s="3"/>
      <c r="MS256" s="3"/>
      <c r="MT256" s="3"/>
      <c r="MU256" s="3"/>
      <c r="MV256" s="3"/>
      <c r="MW256" s="3"/>
      <c r="MX256" s="3"/>
      <c r="MY256" s="3"/>
      <c r="MZ256" s="3"/>
      <c r="NA256" s="3"/>
      <c r="NB256" s="3"/>
      <c r="NC256" s="3"/>
      <c r="ND256" s="3"/>
      <c r="NE256" s="3"/>
      <c r="NF256" s="3"/>
      <c r="NG256" s="3"/>
      <c r="NH256" s="3"/>
      <c r="NI256" s="3"/>
      <c r="NJ256" s="3"/>
      <c r="NK256" s="3"/>
      <c r="NL256" s="3"/>
      <c r="NM256" s="3"/>
      <c r="NN256" s="3"/>
      <c r="NO256" s="3"/>
      <c r="NP256" s="3"/>
      <c r="NQ256" s="3"/>
      <c r="NR256" s="3"/>
      <c r="NS256" s="3"/>
      <c r="NT256" s="3"/>
      <c r="NU256" s="3"/>
      <c r="NV256" s="3"/>
      <c r="NW256" s="3"/>
      <c r="NX256" s="3"/>
      <c r="NY256" s="3"/>
      <c r="NZ256" s="3"/>
      <c r="OA256" s="3"/>
      <c r="OB256" s="3"/>
      <c r="OC256" s="3"/>
      <c r="OD256" s="3"/>
      <c r="OE256" s="3"/>
      <c r="OF256" s="3"/>
      <c r="OG256" s="3"/>
      <c r="OH256" s="3"/>
      <c r="OI256" s="3"/>
      <c r="OJ256" s="3"/>
      <c r="OK256" s="3"/>
      <c r="OL256" s="3"/>
      <c r="OM256" s="3"/>
      <c r="ON256" s="3"/>
      <c r="OO256" s="3"/>
      <c r="OP256" s="3"/>
      <c r="OQ256" s="3"/>
      <c r="OR256" s="3"/>
      <c r="OS256" s="3"/>
      <c r="OT256" s="3"/>
      <c r="OU256" s="3"/>
      <c r="OV256" s="3"/>
      <c r="OW256" s="3"/>
      <c r="OX256" s="3"/>
      <c r="OY256" s="3"/>
      <c r="OZ256" s="3"/>
      <c r="PA256" s="3"/>
      <c r="PB256" s="3"/>
      <c r="PC256" s="3"/>
      <c r="PD256" s="3"/>
      <c r="PE256" s="3"/>
      <c r="PF256" s="3"/>
      <c r="PG256" s="3"/>
      <c r="PH256" s="3"/>
      <c r="PI256" s="3"/>
      <c r="PJ256" s="3"/>
      <c r="PK256" s="3"/>
      <c r="PL256" s="3"/>
      <c r="PM256" s="3"/>
      <c r="PN256" s="3"/>
      <c r="PO256" s="3"/>
      <c r="PP256" s="3"/>
      <c r="PQ256" s="3"/>
      <c r="PR256" s="3"/>
      <c r="PS256" s="3"/>
      <c r="PT256" s="3"/>
      <c r="PU256" s="3"/>
      <c r="PV256" s="3"/>
      <c r="PW256" s="3"/>
      <c r="PX256" s="3"/>
      <c r="PY256" s="3"/>
      <c r="PZ256" s="3"/>
      <c r="QA256" s="3"/>
      <c r="QB256" s="3"/>
      <c r="QC256" s="3"/>
      <c r="QD256" s="3"/>
      <c r="QE256" s="3"/>
      <c r="QF256" s="3"/>
      <c r="QG256" s="3"/>
      <c r="QH256" s="3"/>
      <c r="QI256" s="3"/>
      <c r="QJ256" s="3"/>
      <c r="QK256" s="3"/>
      <c r="QL256" s="3"/>
      <c r="QM256" s="3"/>
      <c r="QN256" s="3"/>
      <c r="QO256" s="3"/>
      <c r="QP256" s="3"/>
      <c r="QQ256" s="3"/>
      <c r="QR256" s="3"/>
      <c r="QS256" s="3"/>
      <c r="QT256" s="3"/>
      <c r="QU256" s="3"/>
      <c r="QV256" s="3"/>
      <c r="QW256" s="3"/>
      <c r="QX256" s="3"/>
      <c r="QY256" s="3"/>
      <c r="QZ256" s="3"/>
      <c r="RA256" s="3"/>
      <c r="RB256" s="3"/>
      <c r="RC256" s="3"/>
      <c r="RD256" s="3"/>
      <c r="RE256" s="3"/>
      <c r="RF256" s="3"/>
      <c r="RG256" s="3"/>
      <c r="RH256" s="3"/>
      <c r="RI256" s="3"/>
      <c r="RJ256" s="3"/>
      <c r="RK256" s="3"/>
      <c r="RL256" s="3"/>
      <c r="RM256" s="3"/>
      <c r="RN256" s="3"/>
      <c r="RO256" s="3"/>
      <c r="RP256" s="3"/>
      <c r="RQ256" s="3"/>
      <c r="RR256" s="3"/>
      <c r="RS256" s="3"/>
      <c r="RT256" s="3"/>
      <c r="RU256" s="3"/>
      <c r="RV256" s="3"/>
      <c r="RW256" s="3"/>
      <c r="RX256" s="3"/>
      <c r="RY256" s="3"/>
      <c r="RZ256" s="3"/>
      <c r="SA256" s="3"/>
      <c r="SB256" s="3"/>
      <c r="SC256" s="3"/>
      <c r="SD256" s="3"/>
      <c r="SE256" s="3"/>
      <c r="SF256" s="3"/>
      <c r="SG256" s="3"/>
      <c r="SH256" s="3"/>
      <c r="SI256" s="3"/>
      <c r="SJ256" s="3"/>
      <c r="SK256" s="3"/>
      <c r="SL256" s="3"/>
      <c r="SM256" s="3"/>
      <c r="SN256" s="3"/>
      <c r="SO256" s="3"/>
      <c r="SP256" s="3"/>
      <c r="SQ256" s="3"/>
      <c r="SR256" s="3"/>
      <c r="SS256" s="3"/>
      <c r="ST256" s="3"/>
      <c r="SU256" s="3"/>
      <c r="SV256" s="3"/>
      <c r="SW256" s="3"/>
      <c r="SX256" s="3"/>
      <c r="SY256" s="3"/>
      <c r="SZ256" s="3"/>
      <c r="TA256" s="3"/>
      <c r="TB256" s="3"/>
      <c r="TC256" s="3"/>
      <c r="TD256" s="3"/>
      <c r="TE256" s="3"/>
      <c r="TF256" s="3"/>
      <c r="TG256" s="3"/>
      <c r="TH256" s="3"/>
      <c r="TI256" s="3"/>
      <c r="TJ256" s="3"/>
      <c r="TK256" s="3"/>
      <c r="TL256" s="3"/>
      <c r="TM256" s="3"/>
      <c r="TN256" s="3"/>
      <c r="TO256" s="3"/>
      <c r="TP256" s="3"/>
      <c r="TQ256" s="3"/>
      <c r="TR256" s="3"/>
      <c r="TS256" s="3"/>
      <c r="TT256" s="3"/>
      <c r="TU256" s="3"/>
      <c r="TV256" s="3"/>
      <c r="TW256" s="3"/>
      <c r="TX256" s="3"/>
      <c r="TY256" s="3"/>
      <c r="TZ256" s="3"/>
      <c r="UA256" s="3"/>
      <c r="UB256" s="3"/>
      <c r="UC256" s="3"/>
      <c r="UD256" s="3"/>
      <c r="UE256" s="3"/>
      <c r="UF256" s="3"/>
      <c r="UG256" s="3"/>
      <c r="UH256" s="3"/>
      <c r="UI256" s="3"/>
      <c r="UJ256" s="3"/>
      <c r="UK256" s="3"/>
      <c r="UL256" s="3"/>
      <c r="UM256" s="3"/>
      <c r="UN256" s="3"/>
      <c r="UO256" s="3"/>
      <c r="UP256" s="3"/>
      <c r="UQ256" s="3"/>
      <c r="UR256" s="3"/>
      <c r="US256" s="3"/>
      <c r="UT256" s="3"/>
      <c r="UU256" s="3"/>
      <c r="UV256" s="3"/>
      <c r="UW256" s="3"/>
      <c r="UX256" s="3"/>
      <c r="UY256" s="3"/>
      <c r="UZ256" s="3"/>
      <c r="VA256" s="3"/>
      <c r="VB256" s="3"/>
      <c r="VC256" s="3"/>
      <c r="VD256" s="3"/>
      <c r="VE256" s="3"/>
      <c r="VF256" s="3"/>
      <c r="VG256" s="3"/>
      <c r="VH256" s="3"/>
      <c r="VI256" s="3"/>
      <c r="VJ256" s="3"/>
      <c r="VK256" s="3"/>
      <c r="VL256" s="3"/>
      <c r="VM256" s="3"/>
      <c r="VN256" s="3"/>
      <c r="VO256" s="3"/>
      <c r="VP256" s="3"/>
      <c r="VQ256" s="3"/>
      <c r="VR256" s="3"/>
      <c r="VS256" s="3"/>
      <c r="VT256" s="3"/>
      <c r="VU256" s="3"/>
      <c r="VV256" s="3"/>
      <c r="VW256" s="3"/>
      <c r="VX256" s="3"/>
      <c r="VY256" s="3"/>
      <c r="VZ256" s="3"/>
      <c r="WA256" s="3"/>
      <c r="WB256" s="3"/>
      <c r="WC256" s="3"/>
      <c r="WD256" s="3"/>
      <c r="WE256" s="3"/>
      <c r="WF256" s="3"/>
      <c r="WG256" s="3"/>
      <c r="WH256" s="3"/>
      <c r="WI256" s="3"/>
      <c r="WJ256" s="3"/>
      <c r="WK256" s="3"/>
      <c r="WL256" s="3"/>
      <c r="WM256" s="3"/>
      <c r="WN256" s="3"/>
      <c r="WO256" s="3"/>
      <c r="WP256" s="3"/>
      <c r="WQ256" s="3"/>
      <c r="WR256" s="3"/>
      <c r="WS256" s="3"/>
      <c r="WT256" s="3"/>
      <c r="WU256" s="3"/>
      <c r="WV256" s="3"/>
      <c r="WW256" s="3"/>
      <c r="WX256" s="3"/>
      <c r="WY256" s="3"/>
      <c r="WZ256" s="3"/>
      <c r="XA256" s="3"/>
      <c r="XB256" s="3"/>
      <c r="XC256" s="3"/>
      <c r="XD256" s="3"/>
      <c r="XE256" s="3"/>
      <c r="XF256" s="3"/>
      <c r="XG256" s="3"/>
      <c r="XH256" s="3"/>
      <c r="XI256" s="3"/>
      <c r="XJ256" s="3"/>
      <c r="XK256" s="3"/>
      <c r="XL256" s="3"/>
      <c r="XM256" s="3"/>
      <c r="XN256" s="3"/>
      <c r="XO256" s="3"/>
      <c r="XP256" s="3"/>
      <c r="XQ256" s="3"/>
      <c r="XR256" s="3"/>
      <c r="XS256" s="3"/>
      <c r="XT256" s="3"/>
      <c r="XU256" s="3"/>
      <c r="XV256" s="3"/>
      <c r="XW256" s="3"/>
      <c r="XX256" s="3"/>
      <c r="XY256" s="3"/>
      <c r="XZ256" s="3"/>
      <c r="YA256" s="3"/>
      <c r="YB256" s="3"/>
      <c r="YC256" s="3"/>
      <c r="YD256" s="3"/>
      <c r="YE256" s="3"/>
      <c r="YF256" s="3"/>
      <c r="YG256" s="3"/>
      <c r="YH256" s="3"/>
      <c r="YI256" s="3"/>
      <c r="YJ256" s="3"/>
      <c r="YK256" s="3"/>
      <c r="YL256" s="3"/>
      <c r="YM256" s="3"/>
      <c r="YN256" s="3"/>
      <c r="YO256" s="3"/>
      <c r="YP256" s="3"/>
      <c r="YQ256" s="3"/>
      <c r="YR256" s="3"/>
      <c r="YS256" s="3"/>
      <c r="YT256" s="3"/>
      <c r="YU256" s="3"/>
      <c r="YV256" s="3"/>
      <c r="YW256" s="3"/>
      <c r="YX256" s="3"/>
      <c r="YY256" s="3"/>
      <c r="YZ256" s="3"/>
      <c r="ZA256" s="3"/>
      <c r="ZB256" s="3"/>
      <c r="ZC256" s="3"/>
    </row>
    <row r="257" spans="1:679" s="2" customFormat="1" x14ac:dyDescent="0.45">
      <c r="A257" s="3" t="s">
        <v>11</v>
      </c>
      <c r="B257" s="4">
        <v>37694</v>
      </c>
      <c r="C257" s="7" t="s">
        <v>21</v>
      </c>
      <c r="D257" s="6" t="s">
        <v>276</v>
      </c>
      <c r="E257" s="3"/>
      <c r="F257" s="3">
        <v>37</v>
      </c>
      <c r="L257" s="3"/>
      <c r="M257" s="3"/>
      <c r="N257" s="48"/>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c r="CO257" s="3"/>
      <c r="CP257" s="3"/>
      <c r="CQ257" s="3"/>
      <c r="CR257" s="3"/>
      <c r="CS257" s="3"/>
      <c r="CT257" s="3"/>
      <c r="CU257" s="3"/>
      <c r="CV257" s="3"/>
      <c r="CW257" s="3"/>
      <c r="CX257" s="3"/>
      <c r="CY257" s="3"/>
      <c r="CZ257" s="3"/>
      <c r="DA257" s="3"/>
      <c r="DB257" s="3"/>
      <c r="DC257" s="3"/>
      <c r="DD257" s="3"/>
      <c r="DE257" s="3"/>
      <c r="DF257" s="3"/>
      <c r="DG257" s="3"/>
      <c r="DH257" s="3"/>
      <c r="DI257" s="3"/>
      <c r="DJ257" s="3"/>
      <c r="DK257" s="3"/>
      <c r="DL257" s="3"/>
      <c r="DM257" s="3"/>
      <c r="DN257" s="3"/>
      <c r="DO257" s="3"/>
      <c r="DP257" s="3"/>
      <c r="DQ257" s="3"/>
      <c r="DR257" s="3"/>
      <c r="DS257" s="3"/>
      <c r="DT257" s="3"/>
      <c r="DU257" s="3"/>
      <c r="DV257" s="3"/>
      <c r="DW257" s="3"/>
      <c r="DX257" s="3"/>
      <c r="DY257" s="3"/>
      <c r="DZ257" s="3"/>
      <c r="EA257" s="3"/>
      <c r="EB257" s="3"/>
      <c r="EC257" s="3"/>
      <c r="ED257" s="3"/>
      <c r="EE257" s="3"/>
      <c r="EF257" s="3"/>
      <c r="EG257" s="3"/>
      <c r="EH257" s="3"/>
      <c r="EI257" s="3"/>
      <c r="EJ257" s="3"/>
      <c r="EK257" s="3"/>
      <c r="EL257" s="3"/>
      <c r="EM257" s="3"/>
      <c r="EN257" s="3"/>
      <c r="EO257" s="3"/>
      <c r="EP257" s="3"/>
      <c r="EQ257" s="3"/>
      <c r="ER257" s="3"/>
      <c r="ES257" s="3"/>
      <c r="ET257" s="3"/>
      <c r="EU257" s="3"/>
      <c r="EV257" s="3"/>
      <c r="EW257" s="3"/>
      <c r="EX257" s="3"/>
      <c r="EY257" s="3"/>
      <c r="EZ257" s="3"/>
      <c r="FA257" s="3"/>
      <c r="FB257" s="3"/>
      <c r="FC257" s="3"/>
      <c r="FD257" s="3"/>
      <c r="FE257" s="3"/>
      <c r="FF257" s="3"/>
      <c r="FG257" s="3"/>
      <c r="FH257" s="3"/>
      <c r="FI257" s="3"/>
      <c r="FJ257" s="3"/>
      <c r="FK257" s="3"/>
      <c r="FL257" s="3"/>
      <c r="FM257" s="3"/>
      <c r="FN257" s="3"/>
      <c r="FO257" s="3"/>
      <c r="FP257" s="3"/>
      <c r="FQ257" s="3"/>
      <c r="FR257" s="3"/>
      <c r="FS257" s="3"/>
      <c r="FT257" s="3"/>
      <c r="FU257" s="3"/>
      <c r="FV257" s="3"/>
      <c r="FW257" s="3"/>
      <c r="FX257" s="3"/>
      <c r="FY257" s="3"/>
      <c r="FZ257" s="3"/>
      <c r="GA257" s="3"/>
      <c r="GB257" s="3"/>
      <c r="GC257" s="3"/>
      <c r="GD257" s="3"/>
      <c r="GE257" s="3"/>
      <c r="GF257" s="3"/>
      <c r="GG257" s="3"/>
      <c r="GH257" s="3"/>
      <c r="GI257" s="3"/>
      <c r="GJ257" s="3"/>
      <c r="GK257" s="3"/>
      <c r="GL257" s="3"/>
      <c r="GM257" s="3"/>
      <c r="GN257" s="3"/>
      <c r="GO257" s="3"/>
      <c r="GP257" s="3"/>
      <c r="GQ257" s="3"/>
      <c r="GR257" s="3"/>
      <c r="GS257" s="3"/>
      <c r="GT257" s="3"/>
      <c r="GU257" s="3"/>
      <c r="GV257" s="3"/>
      <c r="GW257" s="3"/>
      <c r="GX257" s="3"/>
      <c r="GY257" s="3"/>
      <c r="GZ257" s="3"/>
      <c r="HA257" s="3"/>
      <c r="HB257" s="3"/>
      <c r="HC257" s="3"/>
      <c r="HD257" s="3"/>
      <c r="HE257" s="3"/>
      <c r="HF257" s="3"/>
      <c r="HG257" s="3"/>
      <c r="HH257" s="3"/>
      <c r="HI257" s="3"/>
      <c r="HJ257" s="3"/>
      <c r="HK257" s="3"/>
      <c r="HL257" s="3"/>
      <c r="HM257" s="3"/>
      <c r="HN257" s="3"/>
      <c r="HO257" s="3"/>
      <c r="HP257" s="3"/>
      <c r="HQ257" s="3"/>
      <c r="HR257" s="3"/>
      <c r="HS257" s="3"/>
      <c r="HT257" s="3"/>
      <c r="HU257" s="3"/>
      <c r="HV257" s="3"/>
      <c r="HW257" s="3"/>
      <c r="HX257" s="3"/>
      <c r="HY257" s="3"/>
      <c r="HZ257" s="3"/>
      <c r="IA257" s="3"/>
      <c r="IB257" s="3"/>
      <c r="IC257" s="3"/>
      <c r="ID257" s="3"/>
      <c r="IE257" s="3"/>
      <c r="IF257" s="3"/>
      <c r="IG257" s="3"/>
      <c r="IH257" s="3"/>
      <c r="II257" s="3"/>
      <c r="IJ257" s="3"/>
      <c r="IK257" s="3"/>
      <c r="IL257" s="3"/>
      <c r="IM257" s="3"/>
      <c r="IN257" s="3"/>
      <c r="IO257" s="3"/>
      <c r="IP257" s="3"/>
      <c r="IQ257" s="3"/>
      <c r="IR257" s="3"/>
      <c r="IS257" s="3"/>
      <c r="IT257" s="3"/>
      <c r="IU257" s="3"/>
      <c r="IV257" s="3"/>
      <c r="IW257" s="3"/>
      <c r="IX257" s="3"/>
      <c r="IY257" s="3"/>
      <c r="IZ257" s="3"/>
      <c r="JA257" s="3"/>
      <c r="JB257" s="3"/>
      <c r="JC257" s="3"/>
      <c r="JD257" s="3"/>
      <c r="JE257" s="3"/>
      <c r="JF257" s="3"/>
      <c r="JG257" s="3"/>
      <c r="JH257" s="3"/>
      <c r="JI257" s="3"/>
      <c r="JJ257" s="3"/>
      <c r="JK257" s="3"/>
      <c r="JL257" s="3"/>
      <c r="JM257" s="3"/>
      <c r="JN257" s="3"/>
      <c r="JO257" s="3"/>
      <c r="JP257" s="3"/>
      <c r="JQ257" s="3"/>
      <c r="JR257" s="3"/>
      <c r="JS257" s="3"/>
      <c r="JT257" s="3"/>
      <c r="JU257" s="3"/>
      <c r="JV257" s="3"/>
      <c r="JW257" s="3"/>
      <c r="JX257" s="3"/>
      <c r="JY257" s="3"/>
      <c r="JZ257" s="3"/>
      <c r="KA257" s="3"/>
      <c r="KB257" s="3"/>
      <c r="KC257" s="3"/>
      <c r="KD257" s="3"/>
      <c r="KE257" s="3"/>
      <c r="KF257" s="3"/>
      <c r="KG257" s="3"/>
      <c r="KH257" s="3"/>
      <c r="KI257" s="3"/>
      <c r="KJ257" s="3"/>
      <c r="KK257" s="3"/>
      <c r="KL257" s="3"/>
      <c r="KM257" s="3"/>
      <c r="KN257" s="3"/>
      <c r="KO257" s="3"/>
      <c r="KP257" s="3"/>
      <c r="KQ257" s="3"/>
      <c r="KR257" s="3"/>
      <c r="KS257" s="3"/>
      <c r="KT257" s="3"/>
      <c r="KU257" s="3"/>
      <c r="KV257" s="3"/>
      <c r="KW257" s="3"/>
      <c r="KX257" s="3"/>
      <c r="KY257" s="3"/>
      <c r="KZ257" s="3"/>
      <c r="LA257" s="3"/>
      <c r="LB257" s="3"/>
      <c r="LC257" s="3"/>
      <c r="LD257" s="3"/>
      <c r="LE257" s="3"/>
      <c r="LF257" s="3"/>
      <c r="LG257" s="3"/>
      <c r="LH257" s="3"/>
      <c r="LI257" s="3"/>
      <c r="LJ257" s="3"/>
      <c r="LK257" s="3"/>
      <c r="LL257" s="3"/>
      <c r="LM257" s="3"/>
      <c r="LN257" s="3"/>
      <c r="LO257" s="3"/>
      <c r="LP257" s="3"/>
      <c r="LQ257" s="3"/>
      <c r="LR257" s="3"/>
      <c r="LS257" s="3"/>
      <c r="LT257" s="3"/>
      <c r="LU257" s="3"/>
      <c r="LV257" s="3"/>
      <c r="LW257" s="3"/>
      <c r="LX257" s="3"/>
      <c r="LY257" s="3"/>
      <c r="LZ257" s="3"/>
      <c r="MA257" s="3"/>
      <c r="MB257" s="3"/>
      <c r="MC257" s="3"/>
      <c r="MD257" s="3"/>
      <c r="ME257" s="3"/>
      <c r="MF257" s="3"/>
      <c r="MG257" s="3"/>
      <c r="MH257" s="3"/>
      <c r="MI257" s="3"/>
      <c r="MJ257" s="3"/>
      <c r="MK257" s="3"/>
      <c r="ML257" s="3"/>
      <c r="MM257" s="3"/>
      <c r="MN257" s="3"/>
      <c r="MO257" s="3"/>
      <c r="MP257" s="3"/>
      <c r="MQ257" s="3"/>
      <c r="MR257" s="3"/>
      <c r="MS257" s="3"/>
      <c r="MT257" s="3"/>
      <c r="MU257" s="3"/>
      <c r="MV257" s="3"/>
      <c r="MW257" s="3"/>
      <c r="MX257" s="3"/>
      <c r="MY257" s="3"/>
      <c r="MZ257" s="3"/>
      <c r="NA257" s="3"/>
      <c r="NB257" s="3"/>
      <c r="NC257" s="3"/>
      <c r="ND257" s="3"/>
      <c r="NE257" s="3"/>
      <c r="NF257" s="3"/>
      <c r="NG257" s="3"/>
      <c r="NH257" s="3"/>
      <c r="NI257" s="3"/>
      <c r="NJ257" s="3"/>
      <c r="NK257" s="3"/>
      <c r="NL257" s="3"/>
      <c r="NM257" s="3"/>
      <c r="NN257" s="3"/>
      <c r="NO257" s="3"/>
      <c r="NP257" s="3"/>
      <c r="NQ257" s="3"/>
      <c r="NR257" s="3"/>
      <c r="NS257" s="3"/>
      <c r="NT257" s="3"/>
      <c r="NU257" s="3"/>
      <c r="NV257" s="3"/>
      <c r="NW257" s="3"/>
      <c r="NX257" s="3"/>
      <c r="NY257" s="3"/>
      <c r="NZ257" s="3"/>
      <c r="OA257" s="3"/>
      <c r="OB257" s="3"/>
      <c r="OC257" s="3"/>
      <c r="OD257" s="3"/>
      <c r="OE257" s="3"/>
      <c r="OF257" s="3"/>
      <c r="OG257" s="3"/>
      <c r="OH257" s="3"/>
      <c r="OI257" s="3"/>
      <c r="OJ257" s="3"/>
      <c r="OK257" s="3"/>
      <c r="OL257" s="3"/>
      <c r="OM257" s="3"/>
      <c r="ON257" s="3"/>
      <c r="OO257" s="3"/>
      <c r="OP257" s="3"/>
      <c r="OQ257" s="3"/>
      <c r="OR257" s="3"/>
      <c r="OS257" s="3"/>
      <c r="OT257" s="3"/>
      <c r="OU257" s="3"/>
      <c r="OV257" s="3"/>
      <c r="OW257" s="3"/>
      <c r="OX257" s="3"/>
      <c r="OY257" s="3"/>
      <c r="OZ257" s="3"/>
      <c r="PA257" s="3"/>
      <c r="PB257" s="3"/>
      <c r="PC257" s="3"/>
      <c r="PD257" s="3"/>
      <c r="PE257" s="3"/>
      <c r="PF257" s="3"/>
      <c r="PG257" s="3"/>
      <c r="PH257" s="3"/>
      <c r="PI257" s="3"/>
      <c r="PJ257" s="3"/>
      <c r="PK257" s="3"/>
      <c r="PL257" s="3"/>
      <c r="PM257" s="3"/>
      <c r="PN257" s="3"/>
      <c r="PO257" s="3"/>
      <c r="PP257" s="3"/>
      <c r="PQ257" s="3"/>
      <c r="PR257" s="3"/>
      <c r="PS257" s="3"/>
      <c r="PT257" s="3"/>
      <c r="PU257" s="3"/>
      <c r="PV257" s="3"/>
      <c r="PW257" s="3"/>
      <c r="PX257" s="3"/>
      <c r="PY257" s="3"/>
      <c r="PZ257" s="3"/>
      <c r="QA257" s="3"/>
      <c r="QB257" s="3"/>
      <c r="QC257" s="3"/>
      <c r="QD257" s="3"/>
      <c r="QE257" s="3"/>
      <c r="QF257" s="3"/>
      <c r="QG257" s="3"/>
      <c r="QH257" s="3"/>
      <c r="QI257" s="3"/>
      <c r="QJ257" s="3"/>
      <c r="QK257" s="3"/>
      <c r="QL257" s="3"/>
      <c r="QM257" s="3"/>
      <c r="QN257" s="3"/>
      <c r="QO257" s="3"/>
      <c r="QP257" s="3"/>
      <c r="QQ257" s="3"/>
      <c r="QR257" s="3"/>
      <c r="QS257" s="3"/>
      <c r="QT257" s="3"/>
      <c r="QU257" s="3"/>
      <c r="QV257" s="3"/>
      <c r="QW257" s="3"/>
      <c r="QX257" s="3"/>
      <c r="QY257" s="3"/>
      <c r="QZ257" s="3"/>
      <c r="RA257" s="3"/>
      <c r="RB257" s="3"/>
      <c r="RC257" s="3"/>
      <c r="RD257" s="3"/>
      <c r="RE257" s="3"/>
      <c r="RF257" s="3"/>
      <c r="RG257" s="3"/>
      <c r="RH257" s="3"/>
      <c r="RI257" s="3"/>
      <c r="RJ257" s="3"/>
      <c r="RK257" s="3"/>
      <c r="RL257" s="3"/>
      <c r="RM257" s="3"/>
      <c r="RN257" s="3"/>
      <c r="RO257" s="3"/>
      <c r="RP257" s="3"/>
      <c r="RQ257" s="3"/>
      <c r="RR257" s="3"/>
      <c r="RS257" s="3"/>
      <c r="RT257" s="3"/>
      <c r="RU257" s="3"/>
      <c r="RV257" s="3"/>
      <c r="RW257" s="3"/>
      <c r="RX257" s="3"/>
      <c r="RY257" s="3"/>
      <c r="RZ257" s="3"/>
      <c r="SA257" s="3"/>
      <c r="SB257" s="3"/>
      <c r="SC257" s="3"/>
      <c r="SD257" s="3"/>
      <c r="SE257" s="3"/>
      <c r="SF257" s="3"/>
      <c r="SG257" s="3"/>
      <c r="SH257" s="3"/>
      <c r="SI257" s="3"/>
      <c r="SJ257" s="3"/>
      <c r="SK257" s="3"/>
      <c r="SL257" s="3"/>
      <c r="SM257" s="3"/>
      <c r="SN257" s="3"/>
      <c r="SO257" s="3"/>
      <c r="SP257" s="3"/>
      <c r="SQ257" s="3"/>
      <c r="SR257" s="3"/>
      <c r="SS257" s="3"/>
      <c r="ST257" s="3"/>
      <c r="SU257" s="3"/>
      <c r="SV257" s="3"/>
      <c r="SW257" s="3"/>
      <c r="SX257" s="3"/>
      <c r="SY257" s="3"/>
      <c r="SZ257" s="3"/>
      <c r="TA257" s="3"/>
      <c r="TB257" s="3"/>
      <c r="TC257" s="3"/>
      <c r="TD257" s="3"/>
      <c r="TE257" s="3"/>
      <c r="TF257" s="3"/>
      <c r="TG257" s="3"/>
      <c r="TH257" s="3"/>
      <c r="TI257" s="3"/>
      <c r="TJ257" s="3"/>
      <c r="TK257" s="3"/>
      <c r="TL257" s="3"/>
      <c r="TM257" s="3"/>
      <c r="TN257" s="3"/>
      <c r="TO257" s="3"/>
      <c r="TP257" s="3"/>
      <c r="TQ257" s="3"/>
      <c r="TR257" s="3"/>
      <c r="TS257" s="3"/>
      <c r="TT257" s="3"/>
      <c r="TU257" s="3"/>
      <c r="TV257" s="3"/>
      <c r="TW257" s="3"/>
      <c r="TX257" s="3"/>
      <c r="TY257" s="3"/>
      <c r="TZ257" s="3"/>
      <c r="UA257" s="3"/>
      <c r="UB257" s="3"/>
      <c r="UC257" s="3"/>
      <c r="UD257" s="3"/>
      <c r="UE257" s="3"/>
      <c r="UF257" s="3"/>
      <c r="UG257" s="3"/>
      <c r="UH257" s="3"/>
      <c r="UI257" s="3"/>
      <c r="UJ257" s="3"/>
      <c r="UK257" s="3"/>
      <c r="UL257" s="3"/>
      <c r="UM257" s="3"/>
      <c r="UN257" s="3"/>
      <c r="UO257" s="3"/>
      <c r="UP257" s="3"/>
      <c r="UQ257" s="3"/>
      <c r="UR257" s="3"/>
      <c r="US257" s="3"/>
      <c r="UT257" s="3"/>
      <c r="UU257" s="3"/>
      <c r="UV257" s="3"/>
      <c r="UW257" s="3"/>
      <c r="UX257" s="3"/>
      <c r="UY257" s="3"/>
      <c r="UZ257" s="3"/>
      <c r="VA257" s="3"/>
      <c r="VB257" s="3"/>
      <c r="VC257" s="3"/>
      <c r="VD257" s="3"/>
      <c r="VE257" s="3"/>
      <c r="VF257" s="3"/>
      <c r="VG257" s="3"/>
      <c r="VH257" s="3"/>
      <c r="VI257" s="3"/>
      <c r="VJ257" s="3"/>
      <c r="VK257" s="3"/>
      <c r="VL257" s="3"/>
      <c r="VM257" s="3"/>
      <c r="VN257" s="3"/>
      <c r="VO257" s="3"/>
      <c r="VP257" s="3"/>
      <c r="VQ257" s="3"/>
      <c r="VR257" s="3"/>
      <c r="VS257" s="3"/>
      <c r="VT257" s="3"/>
      <c r="VU257" s="3"/>
      <c r="VV257" s="3"/>
      <c r="VW257" s="3"/>
      <c r="VX257" s="3"/>
      <c r="VY257" s="3"/>
      <c r="VZ257" s="3"/>
      <c r="WA257" s="3"/>
      <c r="WB257" s="3"/>
      <c r="WC257" s="3"/>
      <c r="WD257" s="3"/>
      <c r="WE257" s="3"/>
      <c r="WF257" s="3"/>
      <c r="WG257" s="3"/>
      <c r="WH257" s="3"/>
      <c r="WI257" s="3"/>
      <c r="WJ257" s="3"/>
      <c r="WK257" s="3"/>
      <c r="WL257" s="3"/>
      <c r="WM257" s="3"/>
      <c r="WN257" s="3"/>
      <c r="WO257" s="3"/>
      <c r="WP257" s="3"/>
      <c r="WQ257" s="3"/>
      <c r="WR257" s="3"/>
      <c r="WS257" s="3"/>
      <c r="WT257" s="3"/>
      <c r="WU257" s="3"/>
      <c r="WV257" s="3"/>
      <c r="WW257" s="3"/>
      <c r="WX257" s="3"/>
      <c r="WY257" s="3"/>
      <c r="WZ257" s="3"/>
      <c r="XA257" s="3"/>
      <c r="XB257" s="3"/>
      <c r="XC257" s="3"/>
      <c r="XD257" s="3"/>
      <c r="XE257" s="3"/>
      <c r="XF257" s="3"/>
      <c r="XG257" s="3"/>
      <c r="XH257" s="3"/>
      <c r="XI257" s="3"/>
      <c r="XJ257" s="3"/>
      <c r="XK257" s="3"/>
      <c r="XL257" s="3"/>
      <c r="XM257" s="3"/>
      <c r="XN257" s="3"/>
      <c r="XO257" s="3"/>
      <c r="XP257" s="3"/>
      <c r="XQ257" s="3"/>
      <c r="XR257" s="3"/>
      <c r="XS257" s="3"/>
      <c r="XT257" s="3"/>
      <c r="XU257" s="3"/>
      <c r="XV257" s="3"/>
      <c r="XW257" s="3"/>
      <c r="XX257" s="3"/>
      <c r="XY257" s="3"/>
      <c r="XZ257" s="3"/>
      <c r="YA257" s="3"/>
      <c r="YB257" s="3"/>
      <c r="YC257" s="3"/>
      <c r="YD257" s="3"/>
      <c r="YE257" s="3"/>
      <c r="YF257" s="3"/>
      <c r="YG257" s="3"/>
      <c r="YH257" s="3"/>
      <c r="YI257" s="3"/>
      <c r="YJ257" s="3"/>
      <c r="YK257" s="3"/>
      <c r="YL257" s="3"/>
      <c r="YM257" s="3"/>
      <c r="YN257" s="3"/>
      <c r="YO257" s="3"/>
      <c r="YP257" s="3"/>
      <c r="YQ257" s="3"/>
      <c r="YR257" s="3"/>
      <c r="YS257" s="3"/>
      <c r="YT257" s="3"/>
      <c r="YU257" s="3"/>
      <c r="YV257" s="3"/>
      <c r="YW257" s="3"/>
      <c r="YX257" s="3"/>
      <c r="YY257" s="3"/>
      <c r="YZ257" s="3"/>
      <c r="ZA257" s="3"/>
      <c r="ZB257" s="3"/>
      <c r="ZC257" s="3"/>
    </row>
    <row r="258" spans="1:679" s="2" customFormat="1" x14ac:dyDescent="0.45">
      <c r="A258" s="3" t="s">
        <v>11</v>
      </c>
      <c r="B258" s="4">
        <v>37705</v>
      </c>
      <c r="C258" s="7" t="s">
        <v>25</v>
      </c>
      <c r="D258" s="6" t="s">
        <v>277</v>
      </c>
      <c r="E258" s="3"/>
      <c r="F258" s="3">
        <v>3</v>
      </c>
      <c r="L258" s="3"/>
      <c r="M258" s="3"/>
      <c r="N258" s="48"/>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3"/>
      <c r="CR258" s="3"/>
      <c r="CS258" s="3"/>
      <c r="CT258" s="3"/>
      <c r="CU258" s="3"/>
      <c r="CV258" s="3"/>
      <c r="CW258" s="3"/>
      <c r="CX258" s="3"/>
      <c r="CY258" s="3"/>
      <c r="CZ258" s="3"/>
      <c r="DA258" s="3"/>
      <c r="DB258" s="3"/>
      <c r="DC258" s="3"/>
      <c r="DD258" s="3"/>
      <c r="DE258" s="3"/>
      <c r="DF258" s="3"/>
      <c r="DG258" s="3"/>
      <c r="DH258" s="3"/>
      <c r="DI258" s="3"/>
      <c r="DJ258" s="3"/>
      <c r="DK258" s="3"/>
      <c r="DL258" s="3"/>
      <c r="DM258" s="3"/>
      <c r="DN258" s="3"/>
      <c r="DO258" s="3"/>
      <c r="DP258" s="3"/>
      <c r="DQ258" s="3"/>
      <c r="DR258" s="3"/>
      <c r="DS258" s="3"/>
      <c r="DT258" s="3"/>
      <c r="DU258" s="3"/>
      <c r="DV258" s="3"/>
      <c r="DW258" s="3"/>
      <c r="DX258" s="3"/>
      <c r="DY258" s="3"/>
      <c r="DZ258" s="3"/>
      <c r="EA258" s="3"/>
      <c r="EB258" s="3"/>
      <c r="EC258" s="3"/>
      <c r="ED258" s="3"/>
      <c r="EE258" s="3"/>
      <c r="EF258" s="3"/>
      <c r="EG258" s="3"/>
      <c r="EH258" s="3"/>
      <c r="EI258" s="3"/>
      <c r="EJ258" s="3"/>
      <c r="EK258" s="3"/>
      <c r="EL258" s="3"/>
      <c r="EM258" s="3"/>
      <c r="EN258" s="3"/>
      <c r="EO258" s="3"/>
      <c r="EP258" s="3"/>
      <c r="EQ258" s="3"/>
      <c r="ER258" s="3"/>
      <c r="ES258" s="3"/>
      <c r="ET258" s="3"/>
      <c r="EU258" s="3"/>
      <c r="EV258" s="3"/>
      <c r="EW258" s="3"/>
      <c r="EX258" s="3"/>
      <c r="EY258" s="3"/>
      <c r="EZ258" s="3"/>
      <c r="FA258" s="3"/>
      <c r="FB258" s="3"/>
      <c r="FC258" s="3"/>
      <c r="FD258" s="3"/>
      <c r="FE258" s="3"/>
      <c r="FF258" s="3"/>
      <c r="FG258" s="3"/>
      <c r="FH258" s="3"/>
      <c r="FI258" s="3"/>
      <c r="FJ258" s="3"/>
      <c r="FK258" s="3"/>
      <c r="FL258" s="3"/>
      <c r="FM258" s="3"/>
      <c r="FN258" s="3"/>
      <c r="FO258" s="3"/>
      <c r="FP258" s="3"/>
      <c r="FQ258" s="3"/>
      <c r="FR258" s="3"/>
      <c r="FS258" s="3"/>
      <c r="FT258" s="3"/>
      <c r="FU258" s="3"/>
      <c r="FV258" s="3"/>
      <c r="FW258" s="3"/>
      <c r="FX258" s="3"/>
      <c r="FY258" s="3"/>
      <c r="FZ258" s="3"/>
      <c r="GA258" s="3"/>
      <c r="GB258" s="3"/>
      <c r="GC258" s="3"/>
      <c r="GD258" s="3"/>
      <c r="GE258" s="3"/>
      <c r="GF258" s="3"/>
      <c r="GG258" s="3"/>
      <c r="GH258" s="3"/>
      <c r="GI258" s="3"/>
      <c r="GJ258" s="3"/>
      <c r="GK258" s="3"/>
      <c r="GL258" s="3"/>
      <c r="GM258" s="3"/>
      <c r="GN258" s="3"/>
      <c r="GO258" s="3"/>
      <c r="GP258" s="3"/>
      <c r="GQ258" s="3"/>
      <c r="GR258" s="3"/>
      <c r="GS258" s="3"/>
      <c r="GT258" s="3"/>
      <c r="GU258" s="3"/>
      <c r="GV258" s="3"/>
      <c r="GW258" s="3"/>
      <c r="GX258" s="3"/>
      <c r="GY258" s="3"/>
      <c r="GZ258" s="3"/>
      <c r="HA258" s="3"/>
      <c r="HB258" s="3"/>
      <c r="HC258" s="3"/>
      <c r="HD258" s="3"/>
      <c r="HE258" s="3"/>
      <c r="HF258" s="3"/>
      <c r="HG258" s="3"/>
      <c r="HH258" s="3"/>
      <c r="HI258" s="3"/>
      <c r="HJ258" s="3"/>
      <c r="HK258" s="3"/>
      <c r="HL258" s="3"/>
      <c r="HM258" s="3"/>
      <c r="HN258" s="3"/>
      <c r="HO258" s="3"/>
      <c r="HP258" s="3"/>
      <c r="HQ258" s="3"/>
      <c r="HR258" s="3"/>
      <c r="HS258" s="3"/>
      <c r="HT258" s="3"/>
      <c r="HU258" s="3"/>
      <c r="HV258" s="3"/>
      <c r="HW258" s="3"/>
      <c r="HX258" s="3"/>
      <c r="HY258" s="3"/>
      <c r="HZ258" s="3"/>
      <c r="IA258" s="3"/>
      <c r="IB258" s="3"/>
      <c r="IC258" s="3"/>
      <c r="ID258" s="3"/>
      <c r="IE258" s="3"/>
      <c r="IF258" s="3"/>
      <c r="IG258" s="3"/>
      <c r="IH258" s="3"/>
      <c r="II258" s="3"/>
      <c r="IJ258" s="3"/>
      <c r="IK258" s="3"/>
      <c r="IL258" s="3"/>
      <c r="IM258" s="3"/>
      <c r="IN258" s="3"/>
      <c r="IO258" s="3"/>
      <c r="IP258" s="3"/>
      <c r="IQ258" s="3"/>
      <c r="IR258" s="3"/>
      <c r="IS258" s="3"/>
      <c r="IT258" s="3"/>
      <c r="IU258" s="3"/>
      <c r="IV258" s="3"/>
      <c r="IW258" s="3"/>
      <c r="IX258" s="3"/>
      <c r="IY258" s="3"/>
      <c r="IZ258" s="3"/>
      <c r="JA258" s="3"/>
      <c r="JB258" s="3"/>
      <c r="JC258" s="3"/>
      <c r="JD258" s="3"/>
      <c r="JE258" s="3"/>
      <c r="JF258" s="3"/>
      <c r="JG258" s="3"/>
      <c r="JH258" s="3"/>
      <c r="JI258" s="3"/>
      <c r="JJ258" s="3"/>
      <c r="JK258" s="3"/>
      <c r="JL258" s="3"/>
      <c r="JM258" s="3"/>
      <c r="JN258" s="3"/>
      <c r="JO258" s="3"/>
      <c r="JP258" s="3"/>
      <c r="JQ258" s="3"/>
      <c r="JR258" s="3"/>
      <c r="JS258" s="3"/>
      <c r="JT258" s="3"/>
      <c r="JU258" s="3"/>
      <c r="JV258" s="3"/>
      <c r="JW258" s="3"/>
      <c r="JX258" s="3"/>
      <c r="JY258" s="3"/>
      <c r="JZ258" s="3"/>
      <c r="KA258" s="3"/>
      <c r="KB258" s="3"/>
      <c r="KC258" s="3"/>
      <c r="KD258" s="3"/>
      <c r="KE258" s="3"/>
      <c r="KF258" s="3"/>
      <c r="KG258" s="3"/>
      <c r="KH258" s="3"/>
      <c r="KI258" s="3"/>
      <c r="KJ258" s="3"/>
      <c r="KK258" s="3"/>
      <c r="KL258" s="3"/>
      <c r="KM258" s="3"/>
      <c r="KN258" s="3"/>
      <c r="KO258" s="3"/>
      <c r="KP258" s="3"/>
      <c r="KQ258" s="3"/>
      <c r="KR258" s="3"/>
      <c r="KS258" s="3"/>
      <c r="KT258" s="3"/>
      <c r="KU258" s="3"/>
      <c r="KV258" s="3"/>
      <c r="KW258" s="3"/>
      <c r="KX258" s="3"/>
      <c r="KY258" s="3"/>
      <c r="KZ258" s="3"/>
      <c r="LA258" s="3"/>
      <c r="LB258" s="3"/>
      <c r="LC258" s="3"/>
      <c r="LD258" s="3"/>
      <c r="LE258" s="3"/>
      <c r="LF258" s="3"/>
      <c r="LG258" s="3"/>
      <c r="LH258" s="3"/>
      <c r="LI258" s="3"/>
      <c r="LJ258" s="3"/>
      <c r="LK258" s="3"/>
      <c r="LL258" s="3"/>
      <c r="LM258" s="3"/>
      <c r="LN258" s="3"/>
      <c r="LO258" s="3"/>
      <c r="LP258" s="3"/>
      <c r="LQ258" s="3"/>
      <c r="LR258" s="3"/>
      <c r="LS258" s="3"/>
      <c r="LT258" s="3"/>
      <c r="LU258" s="3"/>
      <c r="LV258" s="3"/>
      <c r="LW258" s="3"/>
      <c r="LX258" s="3"/>
      <c r="LY258" s="3"/>
      <c r="LZ258" s="3"/>
      <c r="MA258" s="3"/>
      <c r="MB258" s="3"/>
      <c r="MC258" s="3"/>
      <c r="MD258" s="3"/>
      <c r="ME258" s="3"/>
      <c r="MF258" s="3"/>
      <c r="MG258" s="3"/>
      <c r="MH258" s="3"/>
      <c r="MI258" s="3"/>
      <c r="MJ258" s="3"/>
      <c r="MK258" s="3"/>
      <c r="ML258" s="3"/>
      <c r="MM258" s="3"/>
      <c r="MN258" s="3"/>
      <c r="MO258" s="3"/>
      <c r="MP258" s="3"/>
      <c r="MQ258" s="3"/>
      <c r="MR258" s="3"/>
      <c r="MS258" s="3"/>
      <c r="MT258" s="3"/>
      <c r="MU258" s="3"/>
      <c r="MV258" s="3"/>
      <c r="MW258" s="3"/>
      <c r="MX258" s="3"/>
      <c r="MY258" s="3"/>
      <c r="MZ258" s="3"/>
      <c r="NA258" s="3"/>
      <c r="NB258" s="3"/>
      <c r="NC258" s="3"/>
      <c r="ND258" s="3"/>
      <c r="NE258" s="3"/>
      <c r="NF258" s="3"/>
      <c r="NG258" s="3"/>
      <c r="NH258" s="3"/>
      <c r="NI258" s="3"/>
      <c r="NJ258" s="3"/>
      <c r="NK258" s="3"/>
      <c r="NL258" s="3"/>
      <c r="NM258" s="3"/>
      <c r="NN258" s="3"/>
      <c r="NO258" s="3"/>
      <c r="NP258" s="3"/>
      <c r="NQ258" s="3"/>
      <c r="NR258" s="3"/>
      <c r="NS258" s="3"/>
      <c r="NT258" s="3"/>
      <c r="NU258" s="3"/>
      <c r="NV258" s="3"/>
      <c r="NW258" s="3"/>
      <c r="NX258" s="3"/>
      <c r="NY258" s="3"/>
      <c r="NZ258" s="3"/>
      <c r="OA258" s="3"/>
      <c r="OB258" s="3"/>
      <c r="OC258" s="3"/>
      <c r="OD258" s="3"/>
      <c r="OE258" s="3"/>
      <c r="OF258" s="3"/>
      <c r="OG258" s="3"/>
      <c r="OH258" s="3"/>
      <c r="OI258" s="3"/>
      <c r="OJ258" s="3"/>
      <c r="OK258" s="3"/>
      <c r="OL258" s="3"/>
      <c r="OM258" s="3"/>
      <c r="ON258" s="3"/>
      <c r="OO258" s="3"/>
      <c r="OP258" s="3"/>
      <c r="OQ258" s="3"/>
      <c r="OR258" s="3"/>
      <c r="OS258" s="3"/>
      <c r="OT258" s="3"/>
      <c r="OU258" s="3"/>
      <c r="OV258" s="3"/>
      <c r="OW258" s="3"/>
      <c r="OX258" s="3"/>
      <c r="OY258" s="3"/>
      <c r="OZ258" s="3"/>
      <c r="PA258" s="3"/>
      <c r="PB258" s="3"/>
      <c r="PC258" s="3"/>
      <c r="PD258" s="3"/>
      <c r="PE258" s="3"/>
      <c r="PF258" s="3"/>
      <c r="PG258" s="3"/>
      <c r="PH258" s="3"/>
      <c r="PI258" s="3"/>
      <c r="PJ258" s="3"/>
      <c r="PK258" s="3"/>
      <c r="PL258" s="3"/>
      <c r="PM258" s="3"/>
      <c r="PN258" s="3"/>
      <c r="PO258" s="3"/>
      <c r="PP258" s="3"/>
      <c r="PQ258" s="3"/>
      <c r="PR258" s="3"/>
      <c r="PS258" s="3"/>
      <c r="PT258" s="3"/>
      <c r="PU258" s="3"/>
      <c r="PV258" s="3"/>
      <c r="PW258" s="3"/>
      <c r="PX258" s="3"/>
      <c r="PY258" s="3"/>
      <c r="PZ258" s="3"/>
      <c r="QA258" s="3"/>
      <c r="QB258" s="3"/>
      <c r="QC258" s="3"/>
      <c r="QD258" s="3"/>
      <c r="QE258" s="3"/>
      <c r="QF258" s="3"/>
      <c r="QG258" s="3"/>
      <c r="QH258" s="3"/>
      <c r="QI258" s="3"/>
      <c r="QJ258" s="3"/>
      <c r="QK258" s="3"/>
      <c r="QL258" s="3"/>
      <c r="QM258" s="3"/>
      <c r="QN258" s="3"/>
      <c r="QO258" s="3"/>
      <c r="QP258" s="3"/>
      <c r="QQ258" s="3"/>
      <c r="QR258" s="3"/>
      <c r="QS258" s="3"/>
      <c r="QT258" s="3"/>
      <c r="QU258" s="3"/>
      <c r="QV258" s="3"/>
      <c r="QW258" s="3"/>
      <c r="QX258" s="3"/>
      <c r="QY258" s="3"/>
      <c r="QZ258" s="3"/>
      <c r="RA258" s="3"/>
      <c r="RB258" s="3"/>
      <c r="RC258" s="3"/>
      <c r="RD258" s="3"/>
      <c r="RE258" s="3"/>
      <c r="RF258" s="3"/>
      <c r="RG258" s="3"/>
      <c r="RH258" s="3"/>
      <c r="RI258" s="3"/>
      <c r="RJ258" s="3"/>
      <c r="RK258" s="3"/>
      <c r="RL258" s="3"/>
      <c r="RM258" s="3"/>
      <c r="RN258" s="3"/>
      <c r="RO258" s="3"/>
      <c r="RP258" s="3"/>
      <c r="RQ258" s="3"/>
      <c r="RR258" s="3"/>
      <c r="RS258" s="3"/>
      <c r="RT258" s="3"/>
      <c r="RU258" s="3"/>
      <c r="RV258" s="3"/>
      <c r="RW258" s="3"/>
      <c r="RX258" s="3"/>
      <c r="RY258" s="3"/>
      <c r="RZ258" s="3"/>
      <c r="SA258" s="3"/>
      <c r="SB258" s="3"/>
      <c r="SC258" s="3"/>
      <c r="SD258" s="3"/>
      <c r="SE258" s="3"/>
      <c r="SF258" s="3"/>
      <c r="SG258" s="3"/>
      <c r="SH258" s="3"/>
      <c r="SI258" s="3"/>
      <c r="SJ258" s="3"/>
      <c r="SK258" s="3"/>
      <c r="SL258" s="3"/>
      <c r="SM258" s="3"/>
      <c r="SN258" s="3"/>
      <c r="SO258" s="3"/>
      <c r="SP258" s="3"/>
      <c r="SQ258" s="3"/>
      <c r="SR258" s="3"/>
      <c r="SS258" s="3"/>
      <c r="ST258" s="3"/>
      <c r="SU258" s="3"/>
      <c r="SV258" s="3"/>
      <c r="SW258" s="3"/>
      <c r="SX258" s="3"/>
      <c r="SY258" s="3"/>
      <c r="SZ258" s="3"/>
      <c r="TA258" s="3"/>
      <c r="TB258" s="3"/>
      <c r="TC258" s="3"/>
      <c r="TD258" s="3"/>
      <c r="TE258" s="3"/>
      <c r="TF258" s="3"/>
      <c r="TG258" s="3"/>
      <c r="TH258" s="3"/>
      <c r="TI258" s="3"/>
      <c r="TJ258" s="3"/>
      <c r="TK258" s="3"/>
      <c r="TL258" s="3"/>
      <c r="TM258" s="3"/>
      <c r="TN258" s="3"/>
      <c r="TO258" s="3"/>
      <c r="TP258" s="3"/>
      <c r="TQ258" s="3"/>
      <c r="TR258" s="3"/>
      <c r="TS258" s="3"/>
      <c r="TT258" s="3"/>
      <c r="TU258" s="3"/>
      <c r="TV258" s="3"/>
      <c r="TW258" s="3"/>
      <c r="TX258" s="3"/>
      <c r="TY258" s="3"/>
      <c r="TZ258" s="3"/>
      <c r="UA258" s="3"/>
      <c r="UB258" s="3"/>
      <c r="UC258" s="3"/>
      <c r="UD258" s="3"/>
      <c r="UE258" s="3"/>
      <c r="UF258" s="3"/>
      <c r="UG258" s="3"/>
      <c r="UH258" s="3"/>
      <c r="UI258" s="3"/>
      <c r="UJ258" s="3"/>
      <c r="UK258" s="3"/>
      <c r="UL258" s="3"/>
      <c r="UM258" s="3"/>
      <c r="UN258" s="3"/>
      <c r="UO258" s="3"/>
      <c r="UP258" s="3"/>
      <c r="UQ258" s="3"/>
      <c r="UR258" s="3"/>
      <c r="US258" s="3"/>
      <c r="UT258" s="3"/>
      <c r="UU258" s="3"/>
      <c r="UV258" s="3"/>
      <c r="UW258" s="3"/>
      <c r="UX258" s="3"/>
      <c r="UY258" s="3"/>
      <c r="UZ258" s="3"/>
      <c r="VA258" s="3"/>
      <c r="VB258" s="3"/>
      <c r="VC258" s="3"/>
      <c r="VD258" s="3"/>
      <c r="VE258" s="3"/>
      <c r="VF258" s="3"/>
      <c r="VG258" s="3"/>
      <c r="VH258" s="3"/>
      <c r="VI258" s="3"/>
      <c r="VJ258" s="3"/>
      <c r="VK258" s="3"/>
      <c r="VL258" s="3"/>
      <c r="VM258" s="3"/>
      <c r="VN258" s="3"/>
      <c r="VO258" s="3"/>
      <c r="VP258" s="3"/>
      <c r="VQ258" s="3"/>
      <c r="VR258" s="3"/>
      <c r="VS258" s="3"/>
      <c r="VT258" s="3"/>
      <c r="VU258" s="3"/>
      <c r="VV258" s="3"/>
      <c r="VW258" s="3"/>
      <c r="VX258" s="3"/>
      <c r="VY258" s="3"/>
      <c r="VZ258" s="3"/>
      <c r="WA258" s="3"/>
      <c r="WB258" s="3"/>
      <c r="WC258" s="3"/>
      <c r="WD258" s="3"/>
      <c r="WE258" s="3"/>
      <c r="WF258" s="3"/>
      <c r="WG258" s="3"/>
      <c r="WH258" s="3"/>
      <c r="WI258" s="3"/>
      <c r="WJ258" s="3"/>
      <c r="WK258" s="3"/>
      <c r="WL258" s="3"/>
      <c r="WM258" s="3"/>
      <c r="WN258" s="3"/>
      <c r="WO258" s="3"/>
      <c r="WP258" s="3"/>
      <c r="WQ258" s="3"/>
      <c r="WR258" s="3"/>
      <c r="WS258" s="3"/>
      <c r="WT258" s="3"/>
      <c r="WU258" s="3"/>
      <c r="WV258" s="3"/>
      <c r="WW258" s="3"/>
      <c r="WX258" s="3"/>
      <c r="WY258" s="3"/>
      <c r="WZ258" s="3"/>
      <c r="XA258" s="3"/>
      <c r="XB258" s="3"/>
      <c r="XC258" s="3"/>
      <c r="XD258" s="3"/>
      <c r="XE258" s="3"/>
      <c r="XF258" s="3"/>
      <c r="XG258" s="3"/>
      <c r="XH258" s="3"/>
      <c r="XI258" s="3"/>
      <c r="XJ258" s="3"/>
      <c r="XK258" s="3"/>
      <c r="XL258" s="3"/>
      <c r="XM258" s="3"/>
      <c r="XN258" s="3"/>
      <c r="XO258" s="3"/>
      <c r="XP258" s="3"/>
      <c r="XQ258" s="3"/>
      <c r="XR258" s="3"/>
      <c r="XS258" s="3"/>
      <c r="XT258" s="3"/>
      <c r="XU258" s="3"/>
      <c r="XV258" s="3"/>
      <c r="XW258" s="3"/>
      <c r="XX258" s="3"/>
      <c r="XY258" s="3"/>
      <c r="XZ258" s="3"/>
      <c r="YA258" s="3"/>
      <c r="YB258" s="3"/>
      <c r="YC258" s="3"/>
      <c r="YD258" s="3"/>
      <c r="YE258" s="3"/>
      <c r="YF258" s="3"/>
      <c r="YG258" s="3"/>
      <c r="YH258" s="3"/>
      <c r="YI258" s="3"/>
      <c r="YJ258" s="3"/>
      <c r="YK258" s="3"/>
      <c r="YL258" s="3"/>
      <c r="YM258" s="3"/>
      <c r="YN258" s="3"/>
      <c r="YO258" s="3"/>
      <c r="YP258" s="3"/>
      <c r="YQ258" s="3"/>
      <c r="YR258" s="3"/>
      <c r="YS258" s="3"/>
      <c r="YT258" s="3"/>
      <c r="YU258" s="3"/>
      <c r="YV258" s="3"/>
      <c r="YW258" s="3"/>
      <c r="YX258" s="3"/>
      <c r="YY258" s="3"/>
      <c r="YZ258" s="3"/>
      <c r="ZA258" s="3"/>
      <c r="ZB258" s="3"/>
      <c r="ZC258" s="3"/>
    </row>
    <row r="259" spans="1:679" s="2" customFormat="1" x14ac:dyDescent="0.45">
      <c r="A259" s="3" t="s">
        <v>11</v>
      </c>
      <c r="B259" s="4">
        <v>37708</v>
      </c>
      <c r="C259" s="7" t="s">
        <v>21</v>
      </c>
      <c r="D259" s="6" t="s">
        <v>278</v>
      </c>
      <c r="E259" s="3"/>
      <c r="F259" s="3">
        <v>41</v>
      </c>
      <c r="L259" s="3"/>
      <c r="M259" s="3"/>
      <c r="N259" s="48"/>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c r="CP259" s="3"/>
      <c r="CQ259" s="3"/>
      <c r="CR259" s="3"/>
      <c r="CS259" s="3"/>
      <c r="CT259" s="3"/>
      <c r="CU259" s="3"/>
      <c r="CV259" s="3"/>
      <c r="CW259" s="3"/>
      <c r="CX259" s="3"/>
      <c r="CY259" s="3"/>
      <c r="CZ259" s="3"/>
      <c r="DA259" s="3"/>
      <c r="DB259" s="3"/>
      <c r="DC259" s="3"/>
      <c r="DD259" s="3"/>
      <c r="DE259" s="3"/>
      <c r="DF259" s="3"/>
      <c r="DG259" s="3"/>
      <c r="DH259" s="3"/>
      <c r="DI259" s="3"/>
      <c r="DJ259" s="3"/>
      <c r="DK259" s="3"/>
      <c r="DL259" s="3"/>
      <c r="DM259" s="3"/>
      <c r="DN259" s="3"/>
      <c r="DO259" s="3"/>
      <c r="DP259" s="3"/>
      <c r="DQ259" s="3"/>
      <c r="DR259" s="3"/>
      <c r="DS259" s="3"/>
      <c r="DT259" s="3"/>
      <c r="DU259" s="3"/>
      <c r="DV259" s="3"/>
      <c r="DW259" s="3"/>
      <c r="DX259" s="3"/>
      <c r="DY259" s="3"/>
      <c r="DZ259" s="3"/>
      <c r="EA259" s="3"/>
      <c r="EB259" s="3"/>
      <c r="EC259" s="3"/>
      <c r="ED259" s="3"/>
      <c r="EE259" s="3"/>
      <c r="EF259" s="3"/>
      <c r="EG259" s="3"/>
      <c r="EH259" s="3"/>
      <c r="EI259" s="3"/>
      <c r="EJ259" s="3"/>
      <c r="EK259" s="3"/>
      <c r="EL259" s="3"/>
      <c r="EM259" s="3"/>
      <c r="EN259" s="3"/>
      <c r="EO259" s="3"/>
      <c r="EP259" s="3"/>
      <c r="EQ259" s="3"/>
      <c r="ER259" s="3"/>
      <c r="ES259" s="3"/>
      <c r="ET259" s="3"/>
      <c r="EU259" s="3"/>
      <c r="EV259" s="3"/>
      <c r="EW259" s="3"/>
      <c r="EX259" s="3"/>
      <c r="EY259" s="3"/>
      <c r="EZ259" s="3"/>
      <c r="FA259" s="3"/>
      <c r="FB259" s="3"/>
      <c r="FC259" s="3"/>
      <c r="FD259" s="3"/>
      <c r="FE259" s="3"/>
      <c r="FF259" s="3"/>
      <c r="FG259" s="3"/>
      <c r="FH259" s="3"/>
      <c r="FI259" s="3"/>
      <c r="FJ259" s="3"/>
      <c r="FK259" s="3"/>
      <c r="FL259" s="3"/>
      <c r="FM259" s="3"/>
      <c r="FN259" s="3"/>
      <c r="FO259" s="3"/>
      <c r="FP259" s="3"/>
      <c r="FQ259" s="3"/>
      <c r="FR259" s="3"/>
      <c r="FS259" s="3"/>
      <c r="FT259" s="3"/>
      <c r="FU259" s="3"/>
      <c r="FV259" s="3"/>
      <c r="FW259" s="3"/>
      <c r="FX259" s="3"/>
      <c r="FY259" s="3"/>
      <c r="FZ259" s="3"/>
      <c r="GA259" s="3"/>
      <c r="GB259" s="3"/>
      <c r="GC259" s="3"/>
      <c r="GD259" s="3"/>
      <c r="GE259" s="3"/>
      <c r="GF259" s="3"/>
      <c r="GG259" s="3"/>
      <c r="GH259" s="3"/>
      <c r="GI259" s="3"/>
      <c r="GJ259" s="3"/>
      <c r="GK259" s="3"/>
      <c r="GL259" s="3"/>
      <c r="GM259" s="3"/>
      <c r="GN259" s="3"/>
      <c r="GO259" s="3"/>
      <c r="GP259" s="3"/>
      <c r="GQ259" s="3"/>
      <c r="GR259" s="3"/>
      <c r="GS259" s="3"/>
      <c r="GT259" s="3"/>
      <c r="GU259" s="3"/>
      <c r="GV259" s="3"/>
      <c r="GW259" s="3"/>
      <c r="GX259" s="3"/>
      <c r="GY259" s="3"/>
      <c r="GZ259" s="3"/>
      <c r="HA259" s="3"/>
      <c r="HB259" s="3"/>
      <c r="HC259" s="3"/>
      <c r="HD259" s="3"/>
      <c r="HE259" s="3"/>
      <c r="HF259" s="3"/>
      <c r="HG259" s="3"/>
      <c r="HH259" s="3"/>
      <c r="HI259" s="3"/>
      <c r="HJ259" s="3"/>
      <c r="HK259" s="3"/>
      <c r="HL259" s="3"/>
      <c r="HM259" s="3"/>
      <c r="HN259" s="3"/>
      <c r="HO259" s="3"/>
      <c r="HP259" s="3"/>
      <c r="HQ259" s="3"/>
      <c r="HR259" s="3"/>
      <c r="HS259" s="3"/>
      <c r="HT259" s="3"/>
      <c r="HU259" s="3"/>
      <c r="HV259" s="3"/>
      <c r="HW259" s="3"/>
      <c r="HX259" s="3"/>
      <c r="HY259" s="3"/>
      <c r="HZ259" s="3"/>
      <c r="IA259" s="3"/>
      <c r="IB259" s="3"/>
      <c r="IC259" s="3"/>
      <c r="ID259" s="3"/>
      <c r="IE259" s="3"/>
      <c r="IF259" s="3"/>
      <c r="IG259" s="3"/>
      <c r="IH259" s="3"/>
      <c r="II259" s="3"/>
      <c r="IJ259" s="3"/>
      <c r="IK259" s="3"/>
      <c r="IL259" s="3"/>
      <c r="IM259" s="3"/>
      <c r="IN259" s="3"/>
      <c r="IO259" s="3"/>
      <c r="IP259" s="3"/>
      <c r="IQ259" s="3"/>
      <c r="IR259" s="3"/>
      <c r="IS259" s="3"/>
      <c r="IT259" s="3"/>
      <c r="IU259" s="3"/>
      <c r="IV259" s="3"/>
      <c r="IW259" s="3"/>
      <c r="IX259" s="3"/>
      <c r="IY259" s="3"/>
      <c r="IZ259" s="3"/>
      <c r="JA259" s="3"/>
      <c r="JB259" s="3"/>
      <c r="JC259" s="3"/>
      <c r="JD259" s="3"/>
      <c r="JE259" s="3"/>
      <c r="JF259" s="3"/>
      <c r="JG259" s="3"/>
      <c r="JH259" s="3"/>
      <c r="JI259" s="3"/>
      <c r="JJ259" s="3"/>
      <c r="JK259" s="3"/>
      <c r="JL259" s="3"/>
      <c r="JM259" s="3"/>
      <c r="JN259" s="3"/>
      <c r="JO259" s="3"/>
      <c r="JP259" s="3"/>
      <c r="JQ259" s="3"/>
      <c r="JR259" s="3"/>
      <c r="JS259" s="3"/>
      <c r="JT259" s="3"/>
      <c r="JU259" s="3"/>
      <c r="JV259" s="3"/>
      <c r="JW259" s="3"/>
      <c r="JX259" s="3"/>
      <c r="JY259" s="3"/>
      <c r="JZ259" s="3"/>
      <c r="KA259" s="3"/>
      <c r="KB259" s="3"/>
      <c r="KC259" s="3"/>
      <c r="KD259" s="3"/>
      <c r="KE259" s="3"/>
      <c r="KF259" s="3"/>
      <c r="KG259" s="3"/>
      <c r="KH259" s="3"/>
      <c r="KI259" s="3"/>
      <c r="KJ259" s="3"/>
      <c r="KK259" s="3"/>
      <c r="KL259" s="3"/>
      <c r="KM259" s="3"/>
      <c r="KN259" s="3"/>
      <c r="KO259" s="3"/>
      <c r="KP259" s="3"/>
      <c r="KQ259" s="3"/>
      <c r="KR259" s="3"/>
      <c r="KS259" s="3"/>
      <c r="KT259" s="3"/>
      <c r="KU259" s="3"/>
      <c r="KV259" s="3"/>
      <c r="KW259" s="3"/>
      <c r="KX259" s="3"/>
      <c r="KY259" s="3"/>
      <c r="KZ259" s="3"/>
      <c r="LA259" s="3"/>
      <c r="LB259" s="3"/>
      <c r="LC259" s="3"/>
      <c r="LD259" s="3"/>
      <c r="LE259" s="3"/>
      <c r="LF259" s="3"/>
      <c r="LG259" s="3"/>
      <c r="LH259" s="3"/>
      <c r="LI259" s="3"/>
      <c r="LJ259" s="3"/>
      <c r="LK259" s="3"/>
      <c r="LL259" s="3"/>
      <c r="LM259" s="3"/>
      <c r="LN259" s="3"/>
      <c r="LO259" s="3"/>
      <c r="LP259" s="3"/>
      <c r="LQ259" s="3"/>
      <c r="LR259" s="3"/>
      <c r="LS259" s="3"/>
      <c r="LT259" s="3"/>
      <c r="LU259" s="3"/>
      <c r="LV259" s="3"/>
      <c r="LW259" s="3"/>
      <c r="LX259" s="3"/>
      <c r="LY259" s="3"/>
      <c r="LZ259" s="3"/>
      <c r="MA259" s="3"/>
      <c r="MB259" s="3"/>
      <c r="MC259" s="3"/>
      <c r="MD259" s="3"/>
      <c r="ME259" s="3"/>
      <c r="MF259" s="3"/>
      <c r="MG259" s="3"/>
      <c r="MH259" s="3"/>
      <c r="MI259" s="3"/>
      <c r="MJ259" s="3"/>
      <c r="MK259" s="3"/>
      <c r="ML259" s="3"/>
      <c r="MM259" s="3"/>
      <c r="MN259" s="3"/>
      <c r="MO259" s="3"/>
      <c r="MP259" s="3"/>
      <c r="MQ259" s="3"/>
      <c r="MR259" s="3"/>
      <c r="MS259" s="3"/>
      <c r="MT259" s="3"/>
      <c r="MU259" s="3"/>
      <c r="MV259" s="3"/>
      <c r="MW259" s="3"/>
      <c r="MX259" s="3"/>
      <c r="MY259" s="3"/>
      <c r="MZ259" s="3"/>
      <c r="NA259" s="3"/>
      <c r="NB259" s="3"/>
      <c r="NC259" s="3"/>
      <c r="ND259" s="3"/>
      <c r="NE259" s="3"/>
      <c r="NF259" s="3"/>
      <c r="NG259" s="3"/>
      <c r="NH259" s="3"/>
      <c r="NI259" s="3"/>
      <c r="NJ259" s="3"/>
      <c r="NK259" s="3"/>
      <c r="NL259" s="3"/>
      <c r="NM259" s="3"/>
      <c r="NN259" s="3"/>
      <c r="NO259" s="3"/>
      <c r="NP259" s="3"/>
      <c r="NQ259" s="3"/>
      <c r="NR259" s="3"/>
      <c r="NS259" s="3"/>
      <c r="NT259" s="3"/>
      <c r="NU259" s="3"/>
      <c r="NV259" s="3"/>
      <c r="NW259" s="3"/>
      <c r="NX259" s="3"/>
      <c r="NY259" s="3"/>
      <c r="NZ259" s="3"/>
      <c r="OA259" s="3"/>
      <c r="OB259" s="3"/>
      <c r="OC259" s="3"/>
      <c r="OD259" s="3"/>
      <c r="OE259" s="3"/>
      <c r="OF259" s="3"/>
      <c r="OG259" s="3"/>
      <c r="OH259" s="3"/>
      <c r="OI259" s="3"/>
      <c r="OJ259" s="3"/>
      <c r="OK259" s="3"/>
      <c r="OL259" s="3"/>
      <c r="OM259" s="3"/>
      <c r="ON259" s="3"/>
      <c r="OO259" s="3"/>
      <c r="OP259" s="3"/>
      <c r="OQ259" s="3"/>
      <c r="OR259" s="3"/>
      <c r="OS259" s="3"/>
      <c r="OT259" s="3"/>
      <c r="OU259" s="3"/>
      <c r="OV259" s="3"/>
      <c r="OW259" s="3"/>
      <c r="OX259" s="3"/>
      <c r="OY259" s="3"/>
      <c r="OZ259" s="3"/>
      <c r="PA259" s="3"/>
      <c r="PB259" s="3"/>
      <c r="PC259" s="3"/>
      <c r="PD259" s="3"/>
      <c r="PE259" s="3"/>
      <c r="PF259" s="3"/>
      <c r="PG259" s="3"/>
      <c r="PH259" s="3"/>
      <c r="PI259" s="3"/>
      <c r="PJ259" s="3"/>
      <c r="PK259" s="3"/>
      <c r="PL259" s="3"/>
      <c r="PM259" s="3"/>
      <c r="PN259" s="3"/>
      <c r="PO259" s="3"/>
      <c r="PP259" s="3"/>
      <c r="PQ259" s="3"/>
      <c r="PR259" s="3"/>
      <c r="PS259" s="3"/>
      <c r="PT259" s="3"/>
      <c r="PU259" s="3"/>
      <c r="PV259" s="3"/>
      <c r="PW259" s="3"/>
      <c r="PX259" s="3"/>
      <c r="PY259" s="3"/>
      <c r="PZ259" s="3"/>
      <c r="QA259" s="3"/>
      <c r="QB259" s="3"/>
      <c r="QC259" s="3"/>
      <c r="QD259" s="3"/>
      <c r="QE259" s="3"/>
      <c r="QF259" s="3"/>
      <c r="QG259" s="3"/>
      <c r="QH259" s="3"/>
      <c r="QI259" s="3"/>
      <c r="QJ259" s="3"/>
      <c r="QK259" s="3"/>
      <c r="QL259" s="3"/>
      <c r="QM259" s="3"/>
      <c r="QN259" s="3"/>
      <c r="QO259" s="3"/>
      <c r="QP259" s="3"/>
      <c r="QQ259" s="3"/>
      <c r="QR259" s="3"/>
      <c r="QS259" s="3"/>
      <c r="QT259" s="3"/>
      <c r="QU259" s="3"/>
      <c r="QV259" s="3"/>
      <c r="QW259" s="3"/>
      <c r="QX259" s="3"/>
      <c r="QY259" s="3"/>
      <c r="QZ259" s="3"/>
      <c r="RA259" s="3"/>
      <c r="RB259" s="3"/>
      <c r="RC259" s="3"/>
      <c r="RD259" s="3"/>
      <c r="RE259" s="3"/>
      <c r="RF259" s="3"/>
      <c r="RG259" s="3"/>
      <c r="RH259" s="3"/>
      <c r="RI259" s="3"/>
      <c r="RJ259" s="3"/>
      <c r="RK259" s="3"/>
      <c r="RL259" s="3"/>
      <c r="RM259" s="3"/>
      <c r="RN259" s="3"/>
      <c r="RO259" s="3"/>
      <c r="RP259" s="3"/>
      <c r="RQ259" s="3"/>
      <c r="RR259" s="3"/>
      <c r="RS259" s="3"/>
      <c r="RT259" s="3"/>
      <c r="RU259" s="3"/>
      <c r="RV259" s="3"/>
      <c r="RW259" s="3"/>
      <c r="RX259" s="3"/>
      <c r="RY259" s="3"/>
      <c r="RZ259" s="3"/>
      <c r="SA259" s="3"/>
      <c r="SB259" s="3"/>
      <c r="SC259" s="3"/>
      <c r="SD259" s="3"/>
      <c r="SE259" s="3"/>
      <c r="SF259" s="3"/>
      <c r="SG259" s="3"/>
      <c r="SH259" s="3"/>
      <c r="SI259" s="3"/>
      <c r="SJ259" s="3"/>
      <c r="SK259" s="3"/>
      <c r="SL259" s="3"/>
      <c r="SM259" s="3"/>
      <c r="SN259" s="3"/>
      <c r="SO259" s="3"/>
      <c r="SP259" s="3"/>
      <c r="SQ259" s="3"/>
      <c r="SR259" s="3"/>
      <c r="SS259" s="3"/>
      <c r="ST259" s="3"/>
      <c r="SU259" s="3"/>
      <c r="SV259" s="3"/>
      <c r="SW259" s="3"/>
      <c r="SX259" s="3"/>
      <c r="SY259" s="3"/>
      <c r="SZ259" s="3"/>
      <c r="TA259" s="3"/>
      <c r="TB259" s="3"/>
      <c r="TC259" s="3"/>
      <c r="TD259" s="3"/>
      <c r="TE259" s="3"/>
      <c r="TF259" s="3"/>
      <c r="TG259" s="3"/>
      <c r="TH259" s="3"/>
      <c r="TI259" s="3"/>
      <c r="TJ259" s="3"/>
      <c r="TK259" s="3"/>
      <c r="TL259" s="3"/>
      <c r="TM259" s="3"/>
      <c r="TN259" s="3"/>
      <c r="TO259" s="3"/>
      <c r="TP259" s="3"/>
      <c r="TQ259" s="3"/>
      <c r="TR259" s="3"/>
      <c r="TS259" s="3"/>
      <c r="TT259" s="3"/>
      <c r="TU259" s="3"/>
      <c r="TV259" s="3"/>
      <c r="TW259" s="3"/>
      <c r="TX259" s="3"/>
      <c r="TY259" s="3"/>
      <c r="TZ259" s="3"/>
      <c r="UA259" s="3"/>
      <c r="UB259" s="3"/>
      <c r="UC259" s="3"/>
      <c r="UD259" s="3"/>
      <c r="UE259" s="3"/>
      <c r="UF259" s="3"/>
      <c r="UG259" s="3"/>
      <c r="UH259" s="3"/>
      <c r="UI259" s="3"/>
      <c r="UJ259" s="3"/>
      <c r="UK259" s="3"/>
      <c r="UL259" s="3"/>
      <c r="UM259" s="3"/>
      <c r="UN259" s="3"/>
      <c r="UO259" s="3"/>
      <c r="UP259" s="3"/>
      <c r="UQ259" s="3"/>
      <c r="UR259" s="3"/>
      <c r="US259" s="3"/>
      <c r="UT259" s="3"/>
      <c r="UU259" s="3"/>
      <c r="UV259" s="3"/>
      <c r="UW259" s="3"/>
      <c r="UX259" s="3"/>
      <c r="UY259" s="3"/>
      <c r="UZ259" s="3"/>
      <c r="VA259" s="3"/>
      <c r="VB259" s="3"/>
      <c r="VC259" s="3"/>
      <c r="VD259" s="3"/>
      <c r="VE259" s="3"/>
      <c r="VF259" s="3"/>
      <c r="VG259" s="3"/>
      <c r="VH259" s="3"/>
      <c r="VI259" s="3"/>
      <c r="VJ259" s="3"/>
      <c r="VK259" s="3"/>
      <c r="VL259" s="3"/>
      <c r="VM259" s="3"/>
      <c r="VN259" s="3"/>
      <c r="VO259" s="3"/>
      <c r="VP259" s="3"/>
      <c r="VQ259" s="3"/>
      <c r="VR259" s="3"/>
      <c r="VS259" s="3"/>
      <c r="VT259" s="3"/>
      <c r="VU259" s="3"/>
      <c r="VV259" s="3"/>
      <c r="VW259" s="3"/>
      <c r="VX259" s="3"/>
      <c r="VY259" s="3"/>
      <c r="VZ259" s="3"/>
      <c r="WA259" s="3"/>
      <c r="WB259" s="3"/>
      <c r="WC259" s="3"/>
      <c r="WD259" s="3"/>
      <c r="WE259" s="3"/>
      <c r="WF259" s="3"/>
      <c r="WG259" s="3"/>
      <c r="WH259" s="3"/>
      <c r="WI259" s="3"/>
      <c r="WJ259" s="3"/>
      <c r="WK259" s="3"/>
      <c r="WL259" s="3"/>
      <c r="WM259" s="3"/>
      <c r="WN259" s="3"/>
      <c r="WO259" s="3"/>
      <c r="WP259" s="3"/>
      <c r="WQ259" s="3"/>
      <c r="WR259" s="3"/>
      <c r="WS259" s="3"/>
      <c r="WT259" s="3"/>
      <c r="WU259" s="3"/>
      <c r="WV259" s="3"/>
      <c r="WW259" s="3"/>
      <c r="WX259" s="3"/>
      <c r="WY259" s="3"/>
      <c r="WZ259" s="3"/>
      <c r="XA259" s="3"/>
      <c r="XB259" s="3"/>
      <c r="XC259" s="3"/>
      <c r="XD259" s="3"/>
      <c r="XE259" s="3"/>
      <c r="XF259" s="3"/>
      <c r="XG259" s="3"/>
      <c r="XH259" s="3"/>
      <c r="XI259" s="3"/>
      <c r="XJ259" s="3"/>
      <c r="XK259" s="3"/>
      <c r="XL259" s="3"/>
      <c r="XM259" s="3"/>
      <c r="XN259" s="3"/>
      <c r="XO259" s="3"/>
      <c r="XP259" s="3"/>
      <c r="XQ259" s="3"/>
      <c r="XR259" s="3"/>
      <c r="XS259" s="3"/>
      <c r="XT259" s="3"/>
      <c r="XU259" s="3"/>
      <c r="XV259" s="3"/>
      <c r="XW259" s="3"/>
      <c r="XX259" s="3"/>
      <c r="XY259" s="3"/>
      <c r="XZ259" s="3"/>
      <c r="YA259" s="3"/>
      <c r="YB259" s="3"/>
      <c r="YC259" s="3"/>
      <c r="YD259" s="3"/>
      <c r="YE259" s="3"/>
      <c r="YF259" s="3"/>
      <c r="YG259" s="3"/>
      <c r="YH259" s="3"/>
      <c r="YI259" s="3"/>
      <c r="YJ259" s="3"/>
      <c r="YK259" s="3"/>
      <c r="YL259" s="3"/>
      <c r="YM259" s="3"/>
      <c r="YN259" s="3"/>
      <c r="YO259" s="3"/>
      <c r="YP259" s="3"/>
      <c r="YQ259" s="3"/>
      <c r="YR259" s="3"/>
      <c r="YS259" s="3"/>
      <c r="YT259" s="3"/>
      <c r="YU259" s="3"/>
      <c r="YV259" s="3"/>
      <c r="YW259" s="3"/>
      <c r="YX259" s="3"/>
      <c r="YY259" s="3"/>
      <c r="YZ259" s="3"/>
      <c r="ZA259" s="3"/>
      <c r="ZB259" s="3"/>
      <c r="ZC259" s="3"/>
    </row>
    <row r="260" spans="1:679" s="2" customFormat="1" x14ac:dyDescent="0.45">
      <c r="A260" s="3" t="s">
        <v>11</v>
      </c>
      <c r="B260" s="4">
        <v>37720</v>
      </c>
      <c r="C260" s="7" t="s">
        <v>21</v>
      </c>
      <c r="D260" s="6" t="s">
        <v>279</v>
      </c>
      <c r="E260" s="3"/>
      <c r="F260" s="3">
        <v>58</v>
      </c>
      <c r="L260" s="3"/>
      <c r="M260" s="3"/>
      <c r="N260" s="48"/>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c r="CP260" s="3"/>
      <c r="CQ260" s="3"/>
      <c r="CR260" s="3"/>
      <c r="CS260" s="3"/>
      <c r="CT260" s="3"/>
      <c r="CU260" s="3"/>
      <c r="CV260" s="3"/>
      <c r="CW260" s="3"/>
      <c r="CX260" s="3"/>
      <c r="CY260" s="3"/>
      <c r="CZ260" s="3"/>
      <c r="DA260" s="3"/>
      <c r="DB260" s="3"/>
      <c r="DC260" s="3"/>
      <c r="DD260" s="3"/>
      <c r="DE260" s="3"/>
      <c r="DF260" s="3"/>
      <c r="DG260" s="3"/>
      <c r="DH260" s="3"/>
      <c r="DI260" s="3"/>
      <c r="DJ260" s="3"/>
      <c r="DK260" s="3"/>
      <c r="DL260" s="3"/>
      <c r="DM260" s="3"/>
      <c r="DN260" s="3"/>
      <c r="DO260" s="3"/>
      <c r="DP260" s="3"/>
      <c r="DQ260" s="3"/>
      <c r="DR260" s="3"/>
      <c r="DS260" s="3"/>
      <c r="DT260" s="3"/>
      <c r="DU260" s="3"/>
      <c r="DV260" s="3"/>
      <c r="DW260" s="3"/>
      <c r="DX260" s="3"/>
      <c r="DY260" s="3"/>
      <c r="DZ260" s="3"/>
      <c r="EA260" s="3"/>
      <c r="EB260" s="3"/>
      <c r="EC260" s="3"/>
      <c r="ED260" s="3"/>
      <c r="EE260" s="3"/>
      <c r="EF260" s="3"/>
      <c r="EG260" s="3"/>
      <c r="EH260" s="3"/>
      <c r="EI260" s="3"/>
      <c r="EJ260" s="3"/>
      <c r="EK260" s="3"/>
      <c r="EL260" s="3"/>
      <c r="EM260" s="3"/>
      <c r="EN260" s="3"/>
      <c r="EO260" s="3"/>
      <c r="EP260" s="3"/>
      <c r="EQ260" s="3"/>
      <c r="ER260" s="3"/>
      <c r="ES260" s="3"/>
      <c r="ET260" s="3"/>
      <c r="EU260" s="3"/>
      <c r="EV260" s="3"/>
      <c r="EW260" s="3"/>
      <c r="EX260" s="3"/>
      <c r="EY260" s="3"/>
      <c r="EZ260" s="3"/>
      <c r="FA260" s="3"/>
      <c r="FB260" s="3"/>
      <c r="FC260" s="3"/>
      <c r="FD260" s="3"/>
      <c r="FE260" s="3"/>
      <c r="FF260" s="3"/>
      <c r="FG260" s="3"/>
      <c r="FH260" s="3"/>
      <c r="FI260" s="3"/>
      <c r="FJ260" s="3"/>
      <c r="FK260" s="3"/>
      <c r="FL260" s="3"/>
      <c r="FM260" s="3"/>
      <c r="FN260" s="3"/>
      <c r="FO260" s="3"/>
      <c r="FP260" s="3"/>
      <c r="FQ260" s="3"/>
      <c r="FR260" s="3"/>
      <c r="FS260" s="3"/>
      <c r="FT260" s="3"/>
      <c r="FU260" s="3"/>
      <c r="FV260" s="3"/>
      <c r="FW260" s="3"/>
      <c r="FX260" s="3"/>
      <c r="FY260" s="3"/>
      <c r="FZ260" s="3"/>
      <c r="GA260" s="3"/>
      <c r="GB260" s="3"/>
      <c r="GC260" s="3"/>
      <c r="GD260" s="3"/>
      <c r="GE260" s="3"/>
      <c r="GF260" s="3"/>
      <c r="GG260" s="3"/>
      <c r="GH260" s="3"/>
      <c r="GI260" s="3"/>
      <c r="GJ260" s="3"/>
      <c r="GK260" s="3"/>
      <c r="GL260" s="3"/>
      <c r="GM260" s="3"/>
      <c r="GN260" s="3"/>
      <c r="GO260" s="3"/>
      <c r="GP260" s="3"/>
      <c r="GQ260" s="3"/>
      <c r="GR260" s="3"/>
      <c r="GS260" s="3"/>
      <c r="GT260" s="3"/>
      <c r="GU260" s="3"/>
      <c r="GV260" s="3"/>
      <c r="GW260" s="3"/>
      <c r="GX260" s="3"/>
      <c r="GY260" s="3"/>
      <c r="GZ260" s="3"/>
      <c r="HA260" s="3"/>
      <c r="HB260" s="3"/>
      <c r="HC260" s="3"/>
      <c r="HD260" s="3"/>
      <c r="HE260" s="3"/>
      <c r="HF260" s="3"/>
      <c r="HG260" s="3"/>
      <c r="HH260" s="3"/>
      <c r="HI260" s="3"/>
      <c r="HJ260" s="3"/>
      <c r="HK260" s="3"/>
      <c r="HL260" s="3"/>
      <c r="HM260" s="3"/>
      <c r="HN260" s="3"/>
      <c r="HO260" s="3"/>
      <c r="HP260" s="3"/>
      <c r="HQ260" s="3"/>
      <c r="HR260" s="3"/>
      <c r="HS260" s="3"/>
      <c r="HT260" s="3"/>
      <c r="HU260" s="3"/>
      <c r="HV260" s="3"/>
      <c r="HW260" s="3"/>
      <c r="HX260" s="3"/>
      <c r="HY260" s="3"/>
      <c r="HZ260" s="3"/>
      <c r="IA260" s="3"/>
      <c r="IB260" s="3"/>
      <c r="IC260" s="3"/>
      <c r="ID260" s="3"/>
      <c r="IE260" s="3"/>
      <c r="IF260" s="3"/>
      <c r="IG260" s="3"/>
      <c r="IH260" s="3"/>
      <c r="II260" s="3"/>
      <c r="IJ260" s="3"/>
      <c r="IK260" s="3"/>
      <c r="IL260" s="3"/>
      <c r="IM260" s="3"/>
      <c r="IN260" s="3"/>
      <c r="IO260" s="3"/>
      <c r="IP260" s="3"/>
      <c r="IQ260" s="3"/>
      <c r="IR260" s="3"/>
      <c r="IS260" s="3"/>
      <c r="IT260" s="3"/>
      <c r="IU260" s="3"/>
      <c r="IV260" s="3"/>
      <c r="IW260" s="3"/>
      <c r="IX260" s="3"/>
      <c r="IY260" s="3"/>
      <c r="IZ260" s="3"/>
      <c r="JA260" s="3"/>
      <c r="JB260" s="3"/>
      <c r="JC260" s="3"/>
      <c r="JD260" s="3"/>
      <c r="JE260" s="3"/>
      <c r="JF260" s="3"/>
      <c r="JG260" s="3"/>
      <c r="JH260" s="3"/>
      <c r="JI260" s="3"/>
      <c r="JJ260" s="3"/>
      <c r="JK260" s="3"/>
      <c r="JL260" s="3"/>
      <c r="JM260" s="3"/>
      <c r="JN260" s="3"/>
      <c r="JO260" s="3"/>
      <c r="JP260" s="3"/>
      <c r="JQ260" s="3"/>
      <c r="JR260" s="3"/>
      <c r="JS260" s="3"/>
      <c r="JT260" s="3"/>
      <c r="JU260" s="3"/>
      <c r="JV260" s="3"/>
      <c r="JW260" s="3"/>
      <c r="JX260" s="3"/>
      <c r="JY260" s="3"/>
      <c r="JZ260" s="3"/>
      <c r="KA260" s="3"/>
      <c r="KB260" s="3"/>
      <c r="KC260" s="3"/>
      <c r="KD260" s="3"/>
      <c r="KE260" s="3"/>
      <c r="KF260" s="3"/>
      <c r="KG260" s="3"/>
      <c r="KH260" s="3"/>
      <c r="KI260" s="3"/>
      <c r="KJ260" s="3"/>
      <c r="KK260" s="3"/>
      <c r="KL260" s="3"/>
      <c r="KM260" s="3"/>
      <c r="KN260" s="3"/>
      <c r="KO260" s="3"/>
      <c r="KP260" s="3"/>
      <c r="KQ260" s="3"/>
      <c r="KR260" s="3"/>
      <c r="KS260" s="3"/>
      <c r="KT260" s="3"/>
      <c r="KU260" s="3"/>
      <c r="KV260" s="3"/>
      <c r="KW260" s="3"/>
      <c r="KX260" s="3"/>
      <c r="KY260" s="3"/>
      <c r="KZ260" s="3"/>
      <c r="LA260" s="3"/>
      <c r="LB260" s="3"/>
      <c r="LC260" s="3"/>
      <c r="LD260" s="3"/>
      <c r="LE260" s="3"/>
      <c r="LF260" s="3"/>
      <c r="LG260" s="3"/>
      <c r="LH260" s="3"/>
      <c r="LI260" s="3"/>
      <c r="LJ260" s="3"/>
      <c r="LK260" s="3"/>
      <c r="LL260" s="3"/>
      <c r="LM260" s="3"/>
      <c r="LN260" s="3"/>
      <c r="LO260" s="3"/>
      <c r="LP260" s="3"/>
      <c r="LQ260" s="3"/>
      <c r="LR260" s="3"/>
      <c r="LS260" s="3"/>
      <c r="LT260" s="3"/>
      <c r="LU260" s="3"/>
      <c r="LV260" s="3"/>
      <c r="LW260" s="3"/>
      <c r="LX260" s="3"/>
      <c r="LY260" s="3"/>
      <c r="LZ260" s="3"/>
      <c r="MA260" s="3"/>
      <c r="MB260" s="3"/>
      <c r="MC260" s="3"/>
      <c r="MD260" s="3"/>
      <c r="ME260" s="3"/>
      <c r="MF260" s="3"/>
      <c r="MG260" s="3"/>
      <c r="MH260" s="3"/>
      <c r="MI260" s="3"/>
      <c r="MJ260" s="3"/>
      <c r="MK260" s="3"/>
      <c r="ML260" s="3"/>
      <c r="MM260" s="3"/>
      <c r="MN260" s="3"/>
      <c r="MO260" s="3"/>
      <c r="MP260" s="3"/>
      <c r="MQ260" s="3"/>
      <c r="MR260" s="3"/>
      <c r="MS260" s="3"/>
      <c r="MT260" s="3"/>
      <c r="MU260" s="3"/>
      <c r="MV260" s="3"/>
      <c r="MW260" s="3"/>
      <c r="MX260" s="3"/>
      <c r="MY260" s="3"/>
      <c r="MZ260" s="3"/>
      <c r="NA260" s="3"/>
      <c r="NB260" s="3"/>
      <c r="NC260" s="3"/>
      <c r="ND260" s="3"/>
      <c r="NE260" s="3"/>
      <c r="NF260" s="3"/>
      <c r="NG260" s="3"/>
      <c r="NH260" s="3"/>
      <c r="NI260" s="3"/>
      <c r="NJ260" s="3"/>
      <c r="NK260" s="3"/>
      <c r="NL260" s="3"/>
      <c r="NM260" s="3"/>
      <c r="NN260" s="3"/>
      <c r="NO260" s="3"/>
      <c r="NP260" s="3"/>
      <c r="NQ260" s="3"/>
      <c r="NR260" s="3"/>
      <c r="NS260" s="3"/>
      <c r="NT260" s="3"/>
      <c r="NU260" s="3"/>
      <c r="NV260" s="3"/>
      <c r="NW260" s="3"/>
      <c r="NX260" s="3"/>
      <c r="NY260" s="3"/>
      <c r="NZ260" s="3"/>
      <c r="OA260" s="3"/>
      <c r="OB260" s="3"/>
      <c r="OC260" s="3"/>
      <c r="OD260" s="3"/>
      <c r="OE260" s="3"/>
      <c r="OF260" s="3"/>
      <c r="OG260" s="3"/>
      <c r="OH260" s="3"/>
      <c r="OI260" s="3"/>
      <c r="OJ260" s="3"/>
      <c r="OK260" s="3"/>
      <c r="OL260" s="3"/>
      <c r="OM260" s="3"/>
      <c r="ON260" s="3"/>
      <c r="OO260" s="3"/>
      <c r="OP260" s="3"/>
      <c r="OQ260" s="3"/>
      <c r="OR260" s="3"/>
      <c r="OS260" s="3"/>
      <c r="OT260" s="3"/>
      <c r="OU260" s="3"/>
      <c r="OV260" s="3"/>
      <c r="OW260" s="3"/>
      <c r="OX260" s="3"/>
      <c r="OY260" s="3"/>
      <c r="OZ260" s="3"/>
      <c r="PA260" s="3"/>
      <c r="PB260" s="3"/>
      <c r="PC260" s="3"/>
      <c r="PD260" s="3"/>
      <c r="PE260" s="3"/>
      <c r="PF260" s="3"/>
      <c r="PG260" s="3"/>
      <c r="PH260" s="3"/>
      <c r="PI260" s="3"/>
      <c r="PJ260" s="3"/>
      <c r="PK260" s="3"/>
      <c r="PL260" s="3"/>
      <c r="PM260" s="3"/>
      <c r="PN260" s="3"/>
      <c r="PO260" s="3"/>
      <c r="PP260" s="3"/>
      <c r="PQ260" s="3"/>
      <c r="PR260" s="3"/>
      <c r="PS260" s="3"/>
      <c r="PT260" s="3"/>
      <c r="PU260" s="3"/>
      <c r="PV260" s="3"/>
      <c r="PW260" s="3"/>
      <c r="PX260" s="3"/>
      <c r="PY260" s="3"/>
      <c r="PZ260" s="3"/>
      <c r="QA260" s="3"/>
      <c r="QB260" s="3"/>
      <c r="QC260" s="3"/>
      <c r="QD260" s="3"/>
      <c r="QE260" s="3"/>
      <c r="QF260" s="3"/>
      <c r="QG260" s="3"/>
      <c r="QH260" s="3"/>
      <c r="QI260" s="3"/>
      <c r="QJ260" s="3"/>
      <c r="QK260" s="3"/>
      <c r="QL260" s="3"/>
      <c r="QM260" s="3"/>
      <c r="QN260" s="3"/>
      <c r="QO260" s="3"/>
      <c r="QP260" s="3"/>
      <c r="QQ260" s="3"/>
      <c r="QR260" s="3"/>
      <c r="QS260" s="3"/>
      <c r="QT260" s="3"/>
      <c r="QU260" s="3"/>
      <c r="QV260" s="3"/>
      <c r="QW260" s="3"/>
      <c r="QX260" s="3"/>
      <c r="QY260" s="3"/>
      <c r="QZ260" s="3"/>
      <c r="RA260" s="3"/>
      <c r="RB260" s="3"/>
      <c r="RC260" s="3"/>
      <c r="RD260" s="3"/>
      <c r="RE260" s="3"/>
      <c r="RF260" s="3"/>
      <c r="RG260" s="3"/>
      <c r="RH260" s="3"/>
      <c r="RI260" s="3"/>
      <c r="RJ260" s="3"/>
      <c r="RK260" s="3"/>
      <c r="RL260" s="3"/>
      <c r="RM260" s="3"/>
      <c r="RN260" s="3"/>
      <c r="RO260" s="3"/>
      <c r="RP260" s="3"/>
      <c r="RQ260" s="3"/>
      <c r="RR260" s="3"/>
      <c r="RS260" s="3"/>
      <c r="RT260" s="3"/>
      <c r="RU260" s="3"/>
      <c r="RV260" s="3"/>
      <c r="RW260" s="3"/>
      <c r="RX260" s="3"/>
      <c r="RY260" s="3"/>
      <c r="RZ260" s="3"/>
      <c r="SA260" s="3"/>
      <c r="SB260" s="3"/>
      <c r="SC260" s="3"/>
      <c r="SD260" s="3"/>
      <c r="SE260" s="3"/>
      <c r="SF260" s="3"/>
      <c r="SG260" s="3"/>
      <c r="SH260" s="3"/>
      <c r="SI260" s="3"/>
      <c r="SJ260" s="3"/>
      <c r="SK260" s="3"/>
      <c r="SL260" s="3"/>
      <c r="SM260" s="3"/>
      <c r="SN260" s="3"/>
      <c r="SO260" s="3"/>
      <c r="SP260" s="3"/>
      <c r="SQ260" s="3"/>
      <c r="SR260" s="3"/>
      <c r="SS260" s="3"/>
      <c r="ST260" s="3"/>
      <c r="SU260" s="3"/>
      <c r="SV260" s="3"/>
      <c r="SW260" s="3"/>
      <c r="SX260" s="3"/>
      <c r="SY260" s="3"/>
      <c r="SZ260" s="3"/>
      <c r="TA260" s="3"/>
      <c r="TB260" s="3"/>
      <c r="TC260" s="3"/>
      <c r="TD260" s="3"/>
      <c r="TE260" s="3"/>
      <c r="TF260" s="3"/>
      <c r="TG260" s="3"/>
      <c r="TH260" s="3"/>
      <c r="TI260" s="3"/>
      <c r="TJ260" s="3"/>
      <c r="TK260" s="3"/>
      <c r="TL260" s="3"/>
      <c r="TM260" s="3"/>
      <c r="TN260" s="3"/>
      <c r="TO260" s="3"/>
      <c r="TP260" s="3"/>
      <c r="TQ260" s="3"/>
      <c r="TR260" s="3"/>
      <c r="TS260" s="3"/>
      <c r="TT260" s="3"/>
      <c r="TU260" s="3"/>
      <c r="TV260" s="3"/>
      <c r="TW260" s="3"/>
      <c r="TX260" s="3"/>
      <c r="TY260" s="3"/>
      <c r="TZ260" s="3"/>
      <c r="UA260" s="3"/>
      <c r="UB260" s="3"/>
      <c r="UC260" s="3"/>
      <c r="UD260" s="3"/>
      <c r="UE260" s="3"/>
      <c r="UF260" s="3"/>
      <c r="UG260" s="3"/>
      <c r="UH260" s="3"/>
      <c r="UI260" s="3"/>
      <c r="UJ260" s="3"/>
      <c r="UK260" s="3"/>
      <c r="UL260" s="3"/>
      <c r="UM260" s="3"/>
      <c r="UN260" s="3"/>
      <c r="UO260" s="3"/>
      <c r="UP260" s="3"/>
      <c r="UQ260" s="3"/>
      <c r="UR260" s="3"/>
      <c r="US260" s="3"/>
      <c r="UT260" s="3"/>
      <c r="UU260" s="3"/>
      <c r="UV260" s="3"/>
      <c r="UW260" s="3"/>
      <c r="UX260" s="3"/>
      <c r="UY260" s="3"/>
      <c r="UZ260" s="3"/>
      <c r="VA260" s="3"/>
      <c r="VB260" s="3"/>
      <c r="VC260" s="3"/>
      <c r="VD260" s="3"/>
      <c r="VE260" s="3"/>
      <c r="VF260" s="3"/>
      <c r="VG260" s="3"/>
      <c r="VH260" s="3"/>
      <c r="VI260" s="3"/>
      <c r="VJ260" s="3"/>
      <c r="VK260" s="3"/>
      <c r="VL260" s="3"/>
      <c r="VM260" s="3"/>
      <c r="VN260" s="3"/>
      <c r="VO260" s="3"/>
      <c r="VP260" s="3"/>
      <c r="VQ260" s="3"/>
      <c r="VR260" s="3"/>
      <c r="VS260" s="3"/>
      <c r="VT260" s="3"/>
      <c r="VU260" s="3"/>
      <c r="VV260" s="3"/>
      <c r="VW260" s="3"/>
      <c r="VX260" s="3"/>
      <c r="VY260" s="3"/>
      <c r="VZ260" s="3"/>
      <c r="WA260" s="3"/>
      <c r="WB260" s="3"/>
      <c r="WC260" s="3"/>
      <c r="WD260" s="3"/>
      <c r="WE260" s="3"/>
      <c r="WF260" s="3"/>
      <c r="WG260" s="3"/>
      <c r="WH260" s="3"/>
      <c r="WI260" s="3"/>
      <c r="WJ260" s="3"/>
      <c r="WK260" s="3"/>
      <c r="WL260" s="3"/>
      <c r="WM260" s="3"/>
      <c r="WN260" s="3"/>
      <c r="WO260" s="3"/>
      <c r="WP260" s="3"/>
      <c r="WQ260" s="3"/>
      <c r="WR260" s="3"/>
      <c r="WS260" s="3"/>
      <c r="WT260" s="3"/>
      <c r="WU260" s="3"/>
      <c r="WV260" s="3"/>
      <c r="WW260" s="3"/>
      <c r="WX260" s="3"/>
      <c r="WY260" s="3"/>
      <c r="WZ260" s="3"/>
      <c r="XA260" s="3"/>
      <c r="XB260" s="3"/>
      <c r="XC260" s="3"/>
      <c r="XD260" s="3"/>
      <c r="XE260" s="3"/>
      <c r="XF260" s="3"/>
      <c r="XG260" s="3"/>
      <c r="XH260" s="3"/>
      <c r="XI260" s="3"/>
      <c r="XJ260" s="3"/>
      <c r="XK260" s="3"/>
      <c r="XL260" s="3"/>
      <c r="XM260" s="3"/>
      <c r="XN260" s="3"/>
      <c r="XO260" s="3"/>
      <c r="XP260" s="3"/>
      <c r="XQ260" s="3"/>
      <c r="XR260" s="3"/>
      <c r="XS260" s="3"/>
      <c r="XT260" s="3"/>
      <c r="XU260" s="3"/>
      <c r="XV260" s="3"/>
      <c r="XW260" s="3"/>
      <c r="XX260" s="3"/>
      <c r="XY260" s="3"/>
      <c r="XZ260" s="3"/>
      <c r="YA260" s="3"/>
      <c r="YB260" s="3"/>
      <c r="YC260" s="3"/>
      <c r="YD260" s="3"/>
      <c r="YE260" s="3"/>
      <c r="YF260" s="3"/>
      <c r="YG260" s="3"/>
      <c r="YH260" s="3"/>
      <c r="YI260" s="3"/>
      <c r="YJ260" s="3"/>
      <c r="YK260" s="3"/>
      <c r="YL260" s="3"/>
      <c r="YM260" s="3"/>
      <c r="YN260" s="3"/>
      <c r="YO260" s="3"/>
      <c r="YP260" s="3"/>
      <c r="YQ260" s="3"/>
      <c r="YR260" s="3"/>
      <c r="YS260" s="3"/>
      <c r="YT260" s="3"/>
      <c r="YU260" s="3"/>
      <c r="YV260" s="3"/>
      <c r="YW260" s="3"/>
      <c r="YX260" s="3"/>
      <c r="YY260" s="3"/>
      <c r="YZ260" s="3"/>
      <c r="ZA260" s="3"/>
      <c r="ZB260" s="3"/>
      <c r="ZC260" s="3"/>
    </row>
    <row r="261" spans="1:679" s="2" customFormat="1" x14ac:dyDescent="0.45">
      <c r="A261" s="3" t="s">
        <v>11</v>
      </c>
      <c r="B261" s="4">
        <v>37736</v>
      </c>
      <c r="C261" s="7" t="s">
        <v>21</v>
      </c>
      <c r="D261" s="6" t="s">
        <v>280</v>
      </c>
      <c r="E261" s="3"/>
      <c r="F261" s="3">
        <v>17</v>
      </c>
      <c r="L261" s="3"/>
      <c r="M261" s="3"/>
      <c r="N261" s="48"/>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c r="CP261" s="3"/>
      <c r="CQ261" s="3"/>
      <c r="CR261" s="3"/>
      <c r="CS261" s="3"/>
      <c r="CT261" s="3"/>
      <c r="CU261" s="3"/>
      <c r="CV261" s="3"/>
      <c r="CW261" s="3"/>
      <c r="CX261" s="3"/>
      <c r="CY261" s="3"/>
      <c r="CZ261" s="3"/>
      <c r="DA261" s="3"/>
      <c r="DB261" s="3"/>
      <c r="DC261" s="3"/>
      <c r="DD261" s="3"/>
      <c r="DE261" s="3"/>
      <c r="DF261" s="3"/>
      <c r="DG261" s="3"/>
      <c r="DH261" s="3"/>
      <c r="DI261" s="3"/>
      <c r="DJ261" s="3"/>
      <c r="DK261" s="3"/>
      <c r="DL261" s="3"/>
      <c r="DM261" s="3"/>
      <c r="DN261" s="3"/>
      <c r="DO261" s="3"/>
      <c r="DP261" s="3"/>
      <c r="DQ261" s="3"/>
      <c r="DR261" s="3"/>
      <c r="DS261" s="3"/>
      <c r="DT261" s="3"/>
      <c r="DU261" s="3"/>
      <c r="DV261" s="3"/>
      <c r="DW261" s="3"/>
      <c r="DX261" s="3"/>
      <c r="DY261" s="3"/>
      <c r="DZ261" s="3"/>
      <c r="EA261" s="3"/>
      <c r="EB261" s="3"/>
      <c r="EC261" s="3"/>
      <c r="ED261" s="3"/>
      <c r="EE261" s="3"/>
      <c r="EF261" s="3"/>
      <c r="EG261" s="3"/>
      <c r="EH261" s="3"/>
      <c r="EI261" s="3"/>
      <c r="EJ261" s="3"/>
      <c r="EK261" s="3"/>
      <c r="EL261" s="3"/>
      <c r="EM261" s="3"/>
      <c r="EN261" s="3"/>
      <c r="EO261" s="3"/>
      <c r="EP261" s="3"/>
      <c r="EQ261" s="3"/>
      <c r="ER261" s="3"/>
      <c r="ES261" s="3"/>
      <c r="ET261" s="3"/>
      <c r="EU261" s="3"/>
      <c r="EV261" s="3"/>
      <c r="EW261" s="3"/>
      <c r="EX261" s="3"/>
      <c r="EY261" s="3"/>
      <c r="EZ261" s="3"/>
      <c r="FA261" s="3"/>
      <c r="FB261" s="3"/>
      <c r="FC261" s="3"/>
      <c r="FD261" s="3"/>
      <c r="FE261" s="3"/>
      <c r="FF261" s="3"/>
      <c r="FG261" s="3"/>
      <c r="FH261" s="3"/>
      <c r="FI261" s="3"/>
      <c r="FJ261" s="3"/>
      <c r="FK261" s="3"/>
      <c r="FL261" s="3"/>
      <c r="FM261" s="3"/>
      <c r="FN261" s="3"/>
      <c r="FO261" s="3"/>
      <c r="FP261" s="3"/>
      <c r="FQ261" s="3"/>
      <c r="FR261" s="3"/>
      <c r="FS261" s="3"/>
      <c r="FT261" s="3"/>
      <c r="FU261" s="3"/>
      <c r="FV261" s="3"/>
      <c r="FW261" s="3"/>
      <c r="FX261" s="3"/>
      <c r="FY261" s="3"/>
      <c r="FZ261" s="3"/>
      <c r="GA261" s="3"/>
      <c r="GB261" s="3"/>
      <c r="GC261" s="3"/>
      <c r="GD261" s="3"/>
      <c r="GE261" s="3"/>
      <c r="GF261" s="3"/>
      <c r="GG261" s="3"/>
      <c r="GH261" s="3"/>
      <c r="GI261" s="3"/>
      <c r="GJ261" s="3"/>
      <c r="GK261" s="3"/>
      <c r="GL261" s="3"/>
      <c r="GM261" s="3"/>
      <c r="GN261" s="3"/>
      <c r="GO261" s="3"/>
      <c r="GP261" s="3"/>
      <c r="GQ261" s="3"/>
      <c r="GR261" s="3"/>
      <c r="GS261" s="3"/>
      <c r="GT261" s="3"/>
      <c r="GU261" s="3"/>
      <c r="GV261" s="3"/>
      <c r="GW261" s="3"/>
      <c r="GX261" s="3"/>
      <c r="GY261" s="3"/>
      <c r="GZ261" s="3"/>
      <c r="HA261" s="3"/>
      <c r="HB261" s="3"/>
      <c r="HC261" s="3"/>
      <c r="HD261" s="3"/>
      <c r="HE261" s="3"/>
      <c r="HF261" s="3"/>
      <c r="HG261" s="3"/>
      <c r="HH261" s="3"/>
      <c r="HI261" s="3"/>
      <c r="HJ261" s="3"/>
      <c r="HK261" s="3"/>
      <c r="HL261" s="3"/>
      <c r="HM261" s="3"/>
      <c r="HN261" s="3"/>
      <c r="HO261" s="3"/>
      <c r="HP261" s="3"/>
      <c r="HQ261" s="3"/>
      <c r="HR261" s="3"/>
      <c r="HS261" s="3"/>
      <c r="HT261" s="3"/>
      <c r="HU261" s="3"/>
      <c r="HV261" s="3"/>
      <c r="HW261" s="3"/>
      <c r="HX261" s="3"/>
      <c r="HY261" s="3"/>
      <c r="HZ261" s="3"/>
      <c r="IA261" s="3"/>
      <c r="IB261" s="3"/>
      <c r="IC261" s="3"/>
      <c r="ID261" s="3"/>
      <c r="IE261" s="3"/>
      <c r="IF261" s="3"/>
      <c r="IG261" s="3"/>
      <c r="IH261" s="3"/>
      <c r="II261" s="3"/>
      <c r="IJ261" s="3"/>
      <c r="IK261" s="3"/>
      <c r="IL261" s="3"/>
      <c r="IM261" s="3"/>
      <c r="IN261" s="3"/>
      <c r="IO261" s="3"/>
      <c r="IP261" s="3"/>
      <c r="IQ261" s="3"/>
      <c r="IR261" s="3"/>
      <c r="IS261" s="3"/>
      <c r="IT261" s="3"/>
      <c r="IU261" s="3"/>
      <c r="IV261" s="3"/>
      <c r="IW261" s="3"/>
      <c r="IX261" s="3"/>
      <c r="IY261" s="3"/>
      <c r="IZ261" s="3"/>
      <c r="JA261" s="3"/>
      <c r="JB261" s="3"/>
      <c r="JC261" s="3"/>
      <c r="JD261" s="3"/>
      <c r="JE261" s="3"/>
      <c r="JF261" s="3"/>
      <c r="JG261" s="3"/>
      <c r="JH261" s="3"/>
      <c r="JI261" s="3"/>
      <c r="JJ261" s="3"/>
      <c r="JK261" s="3"/>
      <c r="JL261" s="3"/>
      <c r="JM261" s="3"/>
      <c r="JN261" s="3"/>
      <c r="JO261" s="3"/>
      <c r="JP261" s="3"/>
      <c r="JQ261" s="3"/>
      <c r="JR261" s="3"/>
      <c r="JS261" s="3"/>
      <c r="JT261" s="3"/>
      <c r="JU261" s="3"/>
      <c r="JV261" s="3"/>
      <c r="JW261" s="3"/>
      <c r="JX261" s="3"/>
      <c r="JY261" s="3"/>
      <c r="JZ261" s="3"/>
      <c r="KA261" s="3"/>
      <c r="KB261" s="3"/>
      <c r="KC261" s="3"/>
      <c r="KD261" s="3"/>
      <c r="KE261" s="3"/>
      <c r="KF261" s="3"/>
      <c r="KG261" s="3"/>
      <c r="KH261" s="3"/>
      <c r="KI261" s="3"/>
      <c r="KJ261" s="3"/>
      <c r="KK261" s="3"/>
      <c r="KL261" s="3"/>
      <c r="KM261" s="3"/>
      <c r="KN261" s="3"/>
      <c r="KO261" s="3"/>
      <c r="KP261" s="3"/>
      <c r="KQ261" s="3"/>
      <c r="KR261" s="3"/>
      <c r="KS261" s="3"/>
      <c r="KT261" s="3"/>
      <c r="KU261" s="3"/>
      <c r="KV261" s="3"/>
      <c r="KW261" s="3"/>
      <c r="KX261" s="3"/>
      <c r="KY261" s="3"/>
      <c r="KZ261" s="3"/>
      <c r="LA261" s="3"/>
      <c r="LB261" s="3"/>
      <c r="LC261" s="3"/>
      <c r="LD261" s="3"/>
      <c r="LE261" s="3"/>
      <c r="LF261" s="3"/>
      <c r="LG261" s="3"/>
      <c r="LH261" s="3"/>
      <c r="LI261" s="3"/>
      <c r="LJ261" s="3"/>
      <c r="LK261" s="3"/>
      <c r="LL261" s="3"/>
      <c r="LM261" s="3"/>
      <c r="LN261" s="3"/>
      <c r="LO261" s="3"/>
      <c r="LP261" s="3"/>
      <c r="LQ261" s="3"/>
      <c r="LR261" s="3"/>
      <c r="LS261" s="3"/>
      <c r="LT261" s="3"/>
      <c r="LU261" s="3"/>
      <c r="LV261" s="3"/>
      <c r="LW261" s="3"/>
      <c r="LX261" s="3"/>
      <c r="LY261" s="3"/>
      <c r="LZ261" s="3"/>
      <c r="MA261" s="3"/>
      <c r="MB261" s="3"/>
      <c r="MC261" s="3"/>
      <c r="MD261" s="3"/>
      <c r="ME261" s="3"/>
      <c r="MF261" s="3"/>
      <c r="MG261" s="3"/>
      <c r="MH261" s="3"/>
      <c r="MI261" s="3"/>
      <c r="MJ261" s="3"/>
      <c r="MK261" s="3"/>
      <c r="ML261" s="3"/>
      <c r="MM261" s="3"/>
      <c r="MN261" s="3"/>
      <c r="MO261" s="3"/>
      <c r="MP261" s="3"/>
      <c r="MQ261" s="3"/>
      <c r="MR261" s="3"/>
      <c r="MS261" s="3"/>
      <c r="MT261" s="3"/>
      <c r="MU261" s="3"/>
      <c r="MV261" s="3"/>
      <c r="MW261" s="3"/>
      <c r="MX261" s="3"/>
      <c r="MY261" s="3"/>
      <c r="MZ261" s="3"/>
      <c r="NA261" s="3"/>
      <c r="NB261" s="3"/>
      <c r="NC261" s="3"/>
      <c r="ND261" s="3"/>
      <c r="NE261" s="3"/>
      <c r="NF261" s="3"/>
      <c r="NG261" s="3"/>
      <c r="NH261" s="3"/>
      <c r="NI261" s="3"/>
      <c r="NJ261" s="3"/>
      <c r="NK261" s="3"/>
      <c r="NL261" s="3"/>
      <c r="NM261" s="3"/>
      <c r="NN261" s="3"/>
      <c r="NO261" s="3"/>
      <c r="NP261" s="3"/>
      <c r="NQ261" s="3"/>
      <c r="NR261" s="3"/>
      <c r="NS261" s="3"/>
      <c r="NT261" s="3"/>
      <c r="NU261" s="3"/>
      <c r="NV261" s="3"/>
      <c r="NW261" s="3"/>
      <c r="NX261" s="3"/>
      <c r="NY261" s="3"/>
      <c r="NZ261" s="3"/>
      <c r="OA261" s="3"/>
      <c r="OB261" s="3"/>
      <c r="OC261" s="3"/>
      <c r="OD261" s="3"/>
      <c r="OE261" s="3"/>
      <c r="OF261" s="3"/>
      <c r="OG261" s="3"/>
      <c r="OH261" s="3"/>
      <c r="OI261" s="3"/>
      <c r="OJ261" s="3"/>
      <c r="OK261" s="3"/>
      <c r="OL261" s="3"/>
      <c r="OM261" s="3"/>
      <c r="ON261" s="3"/>
      <c r="OO261" s="3"/>
      <c r="OP261" s="3"/>
      <c r="OQ261" s="3"/>
      <c r="OR261" s="3"/>
      <c r="OS261" s="3"/>
      <c r="OT261" s="3"/>
      <c r="OU261" s="3"/>
      <c r="OV261" s="3"/>
      <c r="OW261" s="3"/>
      <c r="OX261" s="3"/>
      <c r="OY261" s="3"/>
      <c r="OZ261" s="3"/>
      <c r="PA261" s="3"/>
      <c r="PB261" s="3"/>
      <c r="PC261" s="3"/>
      <c r="PD261" s="3"/>
      <c r="PE261" s="3"/>
      <c r="PF261" s="3"/>
      <c r="PG261" s="3"/>
      <c r="PH261" s="3"/>
      <c r="PI261" s="3"/>
      <c r="PJ261" s="3"/>
      <c r="PK261" s="3"/>
      <c r="PL261" s="3"/>
      <c r="PM261" s="3"/>
      <c r="PN261" s="3"/>
      <c r="PO261" s="3"/>
      <c r="PP261" s="3"/>
      <c r="PQ261" s="3"/>
      <c r="PR261" s="3"/>
      <c r="PS261" s="3"/>
      <c r="PT261" s="3"/>
      <c r="PU261" s="3"/>
      <c r="PV261" s="3"/>
      <c r="PW261" s="3"/>
      <c r="PX261" s="3"/>
      <c r="PY261" s="3"/>
      <c r="PZ261" s="3"/>
      <c r="QA261" s="3"/>
      <c r="QB261" s="3"/>
      <c r="QC261" s="3"/>
      <c r="QD261" s="3"/>
      <c r="QE261" s="3"/>
      <c r="QF261" s="3"/>
      <c r="QG261" s="3"/>
      <c r="QH261" s="3"/>
      <c r="QI261" s="3"/>
      <c r="QJ261" s="3"/>
      <c r="QK261" s="3"/>
      <c r="QL261" s="3"/>
      <c r="QM261" s="3"/>
      <c r="QN261" s="3"/>
      <c r="QO261" s="3"/>
      <c r="QP261" s="3"/>
      <c r="QQ261" s="3"/>
      <c r="QR261" s="3"/>
      <c r="QS261" s="3"/>
      <c r="QT261" s="3"/>
      <c r="QU261" s="3"/>
      <c r="QV261" s="3"/>
      <c r="QW261" s="3"/>
      <c r="QX261" s="3"/>
      <c r="QY261" s="3"/>
      <c r="QZ261" s="3"/>
      <c r="RA261" s="3"/>
      <c r="RB261" s="3"/>
      <c r="RC261" s="3"/>
      <c r="RD261" s="3"/>
      <c r="RE261" s="3"/>
      <c r="RF261" s="3"/>
      <c r="RG261" s="3"/>
      <c r="RH261" s="3"/>
      <c r="RI261" s="3"/>
      <c r="RJ261" s="3"/>
      <c r="RK261" s="3"/>
      <c r="RL261" s="3"/>
      <c r="RM261" s="3"/>
      <c r="RN261" s="3"/>
      <c r="RO261" s="3"/>
      <c r="RP261" s="3"/>
      <c r="RQ261" s="3"/>
      <c r="RR261" s="3"/>
      <c r="RS261" s="3"/>
      <c r="RT261" s="3"/>
      <c r="RU261" s="3"/>
      <c r="RV261" s="3"/>
      <c r="RW261" s="3"/>
      <c r="RX261" s="3"/>
      <c r="RY261" s="3"/>
      <c r="RZ261" s="3"/>
      <c r="SA261" s="3"/>
      <c r="SB261" s="3"/>
      <c r="SC261" s="3"/>
      <c r="SD261" s="3"/>
      <c r="SE261" s="3"/>
      <c r="SF261" s="3"/>
      <c r="SG261" s="3"/>
      <c r="SH261" s="3"/>
      <c r="SI261" s="3"/>
      <c r="SJ261" s="3"/>
      <c r="SK261" s="3"/>
      <c r="SL261" s="3"/>
      <c r="SM261" s="3"/>
      <c r="SN261" s="3"/>
      <c r="SO261" s="3"/>
      <c r="SP261" s="3"/>
      <c r="SQ261" s="3"/>
      <c r="SR261" s="3"/>
      <c r="SS261" s="3"/>
      <c r="ST261" s="3"/>
      <c r="SU261" s="3"/>
      <c r="SV261" s="3"/>
      <c r="SW261" s="3"/>
      <c r="SX261" s="3"/>
      <c r="SY261" s="3"/>
      <c r="SZ261" s="3"/>
      <c r="TA261" s="3"/>
      <c r="TB261" s="3"/>
      <c r="TC261" s="3"/>
      <c r="TD261" s="3"/>
      <c r="TE261" s="3"/>
      <c r="TF261" s="3"/>
      <c r="TG261" s="3"/>
      <c r="TH261" s="3"/>
      <c r="TI261" s="3"/>
      <c r="TJ261" s="3"/>
      <c r="TK261" s="3"/>
      <c r="TL261" s="3"/>
      <c r="TM261" s="3"/>
      <c r="TN261" s="3"/>
      <c r="TO261" s="3"/>
      <c r="TP261" s="3"/>
      <c r="TQ261" s="3"/>
      <c r="TR261" s="3"/>
      <c r="TS261" s="3"/>
      <c r="TT261" s="3"/>
      <c r="TU261" s="3"/>
      <c r="TV261" s="3"/>
      <c r="TW261" s="3"/>
      <c r="TX261" s="3"/>
      <c r="TY261" s="3"/>
      <c r="TZ261" s="3"/>
      <c r="UA261" s="3"/>
      <c r="UB261" s="3"/>
      <c r="UC261" s="3"/>
      <c r="UD261" s="3"/>
      <c r="UE261" s="3"/>
      <c r="UF261" s="3"/>
      <c r="UG261" s="3"/>
      <c r="UH261" s="3"/>
      <c r="UI261" s="3"/>
      <c r="UJ261" s="3"/>
      <c r="UK261" s="3"/>
      <c r="UL261" s="3"/>
      <c r="UM261" s="3"/>
      <c r="UN261" s="3"/>
      <c r="UO261" s="3"/>
      <c r="UP261" s="3"/>
      <c r="UQ261" s="3"/>
      <c r="UR261" s="3"/>
      <c r="US261" s="3"/>
      <c r="UT261" s="3"/>
      <c r="UU261" s="3"/>
      <c r="UV261" s="3"/>
      <c r="UW261" s="3"/>
      <c r="UX261" s="3"/>
      <c r="UY261" s="3"/>
      <c r="UZ261" s="3"/>
      <c r="VA261" s="3"/>
      <c r="VB261" s="3"/>
      <c r="VC261" s="3"/>
      <c r="VD261" s="3"/>
      <c r="VE261" s="3"/>
      <c r="VF261" s="3"/>
      <c r="VG261" s="3"/>
      <c r="VH261" s="3"/>
      <c r="VI261" s="3"/>
      <c r="VJ261" s="3"/>
      <c r="VK261" s="3"/>
      <c r="VL261" s="3"/>
      <c r="VM261" s="3"/>
      <c r="VN261" s="3"/>
      <c r="VO261" s="3"/>
      <c r="VP261" s="3"/>
      <c r="VQ261" s="3"/>
      <c r="VR261" s="3"/>
      <c r="VS261" s="3"/>
      <c r="VT261" s="3"/>
      <c r="VU261" s="3"/>
      <c r="VV261" s="3"/>
      <c r="VW261" s="3"/>
      <c r="VX261" s="3"/>
      <c r="VY261" s="3"/>
      <c r="VZ261" s="3"/>
      <c r="WA261" s="3"/>
      <c r="WB261" s="3"/>
      <c r="WC261" s="3"/>
      <c r="WD261" s="3"/>
      <c r="WE261" s="3"/>
      <c r="WF261" s="3"/>
      <c r="WG261" s="3"/>
      <c r="WH261" s="3"/>
      <c r="WI261" s="3"/>
      <c r="WJ261" s="3"/>
      <c r="WK261" s="3"/>
      <c r="WL261" s="3"/>
      <c r="WM261" s="3"/>
      <c r="WN261" s="3"/>
      <c r="WO261" s="3"/>
      <c r="WP261" s="3"/>
      <c r="WQ261" s="3"/>
      <c r="WR261" s="3"/>
      <c r="WS261" s="3"/>
      <c r="WT261" s="3"/>
      <c r="WU261" s="3"/>
      <c r="WV261" s="3"/>
      <c r="WW261" s="3"/>
      <c r="WX261" s="3"/>
      <c r="WY261" s="3"/>
      <c r="WZ261" s="3"/>
      <c r="XA261" s="3"/>
      <c r="XB261" s="3"/>
      <c r="XC261" s="3"/>
      <c r="XD261" s="3"/>
      <c r="XE261" s="3"/>
      <c r="XF261" s="3"/>
      <c r="XG261" s="3"/>
      <c r="XH261" s="3"/>
      <c r="XI261" s="3"/>
      <c r="XJ261" s="3"/>
      <c r="XK261" s="3"/>
      <c r="XL261" s="3"/>
      <c r="XM261" s="3"/>
      <c r="XN261" s="3"/>
      <c r="XO261" s="3"/>
      <c r="XP261" s="3"/>
      <c r="XQ261" s="3"/>
      <c r="XR261" s="3"/>
      <c r="XS261" s="3"/>
      <c r="XT261" s="3"/>
      <c r="XU261" s="3"/>
      <c r="XV261" s="3"/>
      <c r="XW261" s="3"/>
      <c r="XX261" s="3"/>
      <c r="XY261" s="3"/>
      <c r="XZ261" s="3"/>
      <c r="YA261" s="3"/>
      <c r="YB261" s="3"/>
      <c r="YC261" s="3"/>
      <c r="YD261" s="3"/>
      <c r="YE261" s="3"/>
      <c r="YF261" s="3"/>
      <c r="YG261" s="3"/>
      <c r="YH261" s="3"/>
      <c r="YI261" s="3"/>
      <c r="YJ261" s="3"/>
      <c r="YK261" s="3"/>
      <c r="YL261" s="3"/>
      <c r="YM261" s="3"/>
      <c r="YN261" s="3"/>
      <c r="YO261" s="3"/>
      <c r="YP261" s="3"/>
      <c r="YQ261" s="3"/>
      <c r="YR261" s="3"/>
      <c r="YS261" s="3"/>
      <c r="YT261" s="3"/>
      <c r="YU261" s="3"/>
      <c r="YV261" s="3"/>
      <c r="YW261" s="3"/>
      <c r="YX261" s="3"/>
      <c r="YY261" s="3"/>
      <c r="YZ261" s="3"/>
      <c r="ZA261" s="3"/>
      <c r="ZB261" s="3"/>
      <c r="ZC261" s="3"/>
    </row>
    <row r="262" spans="1:679" s="2" customFormat="1" x14ac:dyDescent="0.45">
      <c r="A262" s="3" t="s">
        <v>11</v>
      </c>
      <c r="B262" s="4">
        <v>37749</v>
      </c>
      <c r="C262" s="7" t="s">
        <v>25</v>
      </c>
      <c r="D262" s="6" t="s">
        <v>281</v>
      </c>
      <c r="E262" s="3"/>
      <c r="F262" s="3">
        <v>2</v>
      </c>
      <c r="L262" s="3"/>
      <c r="M262" s="3"/>
      <c r="N262" s="48"/>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3"/>
      <c r="CR262" s="3"/>
      <c r="CS262" s="3"/>
      <c r="CT262" s="3"/>
      <c r="CU262" s="3"/>
      <c r="CV262" s="3"/>
      <c r="CW262" s="3"/>
      <c r="CX262" s="3"/>
      <c r="CY262" s="3"/>
      <c r="CZ262" s="3"/>
      <c r="DA262" s="3"/>
      <c r="DB262" s="3"/>
      <c r="DC262" s="3"/>
      <c r="DD262" s="3"/>
      <c r="DE262" s="3"/>
      <c r="DF262" s="3"/>
      <c r="DG262" s="3"/>
      <c r="DH262" s="3"/>
      <c r="DI262" s="3"/>
      <c r="DJ262" s="3"/>
      <c r="DK262" s="3"/>
      <c r="DL262" s="3"/>
      <c r="DM262" s="3"/>
      <c r="DN262" s="3"/>
      <c r="DO262" s="3"/>
      <c r="DP262" s="3"/>
      <c r="DQ262" s="3"/>
      <c r="DR262" s="3"/>
      <c r="DS262" s="3"/>
      <c r="DT262" s="3"/>
      <c r="DU262" s="3"/>
      <c r="DV262" s="3"/>
      <c r="DW262" s="3"/>
      <c r="DX262" s="3"/>
      <c r="DY262" s="3"/>
      <c r="DZ262" s="3"/>
      <c r="EA262" s="3"/>
      <c r="EB262" s="3"/>
      <c r="EC262" s="3"/>
      <c r="ED262" s="3"/>
      <c r="EE262" s="3"/>
      <c r="EF262" s="3"/>
      <c r="EG262" s="3"/>
      <c r="EH262" s="3"/>
      <c r="EI262" s="3"/>
      <c r="EJ262" s="3"/>
      <c r="EK262" s="3"/>
      <c r="EL262" s="3"/>
      <c r="EM262" s="3"/>
      <c r="EN262" s="3"/>
      <c r="EO262" s="3"/>
      <c r="EP262" s="3"/>
      <c r="EQ262" s="3"/>
      <c r="ER262" s="3"/>
      <c r="ES262" s="3"/>
      <c r="ET262" s="3"/>
      <c r="EU262" s="3"/>
      <c r="EV262" s="3"/>
      <c r="EW262" s="3"/>
      <c r="EX262" s="3"/>
      <c r="EY262" s="3"/>
      <c r="EZ262" s="3"/>
      <c r="FA262" s="3"/>
      <c r="FB262" s="3"/>
      <c r="FC262" s="3"/>
      <c r="FD262" s="3"/>
      <c r="FE262" s="3"/>
      <c r="FF262" s="3"/>
      <c r="FG262" s="3"/>
      <c r="FH262" s="3"/>
      <c r="FI262" s="3"/>
      <c r="FJ262" s="3"/>
      <c r="FK262" s="3"/>
      <c r="FL262" s="3"/>
      <c r="FM262" s="3"/>
      <c r="FN262" s="3"/>
      <c r="FO262" s="3"/>
      <c r="FP262" s="3"/>
      <c r="FQ262" s="3"/>
      <c r="FR262" s="3"/>
      <c r="FS262" s="3"/>
      <c r="FT262" s="3"/>
      <c r="FU262" s="3"/>
      <c r="FV262" s="3"/>
      <c r="FW262" s="3"/>
      <c r="FX262" s="3"/>
      <c r="FY262" s="3"/>
      <c r="FZ262" s="3"/>
      <c r="GA262" s="3"/>
      <c r="GB262" s="3"/>
      <c r="GC262" s="3"/>
      <c r="GD262" s="3"/>
      <c r="GE262" s="3"/>
      <c r="GF262" s="3"/>
      <c r="GG262" s="3"/>
      <c r="GH262" s="3"/>
      <c r="GI262" s="3"/>
      <c r="GJ262" s="3"/>
      <c r="GK262" s="3"/>
      <c r="GL262" s="3"/>
      <c r="GM262" s="3"/>
      <c r="GN262" s="3"/>
      <c r="GO262" s="3"/>
      <c r="GP262" s="3"/>
      <c r="GQ262" s="3"/>
      <c r="GR262" s="3"/>
      <c r="GS262" s="3"/>
      <c r="GT262" s="3"/>
      <c r="GU262" s="3"/>
      <c r="GV262" s="3"/>
      <c r="GW262" s="3"/>
      <c r="GX262" s="3"/>
      <c r="GY262" s="3"/>
      <c r="GZ262" s="3"/>
      <c r="HA262" s="3"/>
      <c r="HB262" s="3"/>
      <c r="HC262" s="3"/>
      <c r="HD262" s="3"/>
      <c r="HE262" s="3"/>
      <c r="HF262" s="3"/>
      <c r="HG262" s="3"/>
      <c r="HH262" s="3"/>
      <c r="HI262" s="3"/>
      <c r="HJ262" s="3"/>
      <c r="HK262" s="3"/>
      <c r="HL262" s="3"/>
      <c r="HM262" s="3"/>
      <c r="HN262" s="3"/>
      <c r="HO262" s="3"/>
      <c r="HP262" s="3"/>
      <c r="HQ262" s="3"/>
      <c r="HR262" s="3"/>
      <c r="HS262" s="3"/>
      <c r="HT262" s="3"/>
      <c r="HU262" s="3"/>
      <c r="HV262" s="3"/>
      <c r="HW262" s="3"/>
      <c r="HX262" s="3"/>
      <c r="HY262" s="3"/>
      <c r="HZ262" s="3"/>
      <c r="IA262" s="3"/>
      <c r="IB262" s="3"/>
      <c r="IC262" s="3"/>
      <c r="ID262" s="3"/>
      <c r="IE262" s="3"/>
      <c r="IF262" s="3"/>
      <c r="IG262" s="3"/>
      <c r="IH262" s="3"/>
      <c r="II262" s="3"/>
      <c r="IJ262" s="3"/>
      <c r="IK262" s="3"/>
      <c r="IL262" s="3"/>
      <c r="IM262" s="3"/>
      <c r="IN262" s="3"/>
      <c r="IO262" s="3"/>
      <c r="IP262" s="3"/>
      <c r="IQ262" s="3"/>
      <c r="IR262" s="3"/>
      <c r="IS262" s="3"/>
      <c r="IT262" s="3"/>
      <c r="IU262" s="3"/>
      <c r="IV262" s="3"/>
      <c r="IW262" s="3"/>
      <c r="IX262" s="3"/>
      <c r="IY262" s="3"/>
      <c r="IZ262" s="3"/>
      <c r="JA262" s="3"/>
      <c r="JB262" s="3"/>
      <c r="JC262" s="3"/>
      <c r="JD262" s="3"/>
      <c r="JE262" s="3"/>
      <c r="JF262" s="3"/>
      <c r="JG262" s="3"/>
      <c r="JH262" s="3"/>
      <c r="JI262" s="3"/>
      <c r="JJ262" s="3"/>
      <c r="JK262" s="3"/>
      <c r="JL262" s="3"/>
      <c r="JM262" s="3"/>
      <c r="JN262" s="3"/>
      <c r="JO262" s="3"/>
      <c r="JP262" s="3"/>
      <c r="JQ262" s="3"/>
      <c r="JR262" s="3"/>
      <c r="JS262" s="3"/>
      <c r="JT262" s="3"/>
      <c r="JU262" s="3"/>
      <c r="JV262" s="3"/>
      <c r="JW262" s="3"/>
      <c r="JX262" s="3"/>
      <c r="JY262" s="3"/>
      <c r="JZ262" s="3"/>
      <c r="KA262" s="3"/>
      <c r="KB262" s="3"/>
      <c r="KC262" s="3"/>
      <c r="KD262" s="3"/>
      <c r="KE262" s="3"/>
      <c r="KF262" s="3"/>
      <c r="KG262" s="3"/>
      <c r="KH262" s="3"/>
      <c r="KI262" s="3"/>
      <c r="KJ262" s="3"/>
      <c r="KK262" s="3"/>
      <c r="KL262" s="3"/>
      <c r="KM262" s="3"/>
      <c r="KN262" s="3"/>
      <c r="KO262" s="3"/>
      <c r="KP262" s="3"/>
      <c r="KQ262" s="3"/>
      <c r="KR262" s="3"/>
      <c r="KS262" s="3"/>
      <c r="KT262" s="3"/>
      <c r="KU262" s="3"/>
      <c r="KV262" s="3"/>
      <c r="KW262" s="3"/>
      <c r="KX262" s="3"/>
      <c r="KY262" s="3"/>
      <c r="KZ262" s="3"/>
      <c r="LA262" s="3"/>
      <c r="LB262" s="3"/>
      <c r="LC262" s="3"/>
      <c r="LD262" s="3"/>
      <c r="LE262" s="3"/>
      <c r="LF262" s="3"/>
      <c r="LG262" s="3"/>
      <c r="LH262" s="3"/>
      <c r="LI262" s="3"/>
      <c r="LJ262" s="3"/>
      <c r="LK262" s="3"/>
      <c r="LL262" s="3"/>
      <c r="LM262" s="3"/>
      <c r="LN262" s="3"/>
      <c r="LO262" s="3"/>
      <c r="LP262" s="3"/>
      <c r="LQ262" s="3"/>
      <c r="LR262" s="3"/>
      <c r="LS262" s="3"/>
      <c r="LT262" s="3"/>
      <c r="LU262" s="3"/>
      <c r="LV262" s="3"/>
      <c r="LW262" s="3"/>
      <c r="LX262" s="3"/>
      <c r="LY262" s="3"/>
      <c r="LZ262" s="3"/>
      <c r="MA262" s="3"/>
      <c r="MB262" s="3"/>
      <c r="MC262" s="3"/>
      <c r="MD262" s="3"/>
      <c r="ME262" s="3"/>
      <c r="MF262" s="3"/>
      <c r="MG262" s="3"/>
      <c r="MH262" s="3"/>
      <c r="MI262" s="3"/>
      <c r="MJ262" s="3"/>
      <c r="MK262" s="3"/>
      <c r="ML262" s="3"/>
      <c r="MM262" s="3"/>
      <c r="MN262" s="3"/>
      <c r="MO262" s="3"/>
      <c r="MP262" s="3"/>
      <c r="MQ262" s="3"/>
      <c r="MR262" s="3"/>
      <c r="MS262" s="3"/>
      <c r="MT262" s="3"/>
      <c r="MU262" s="3"/>
      <c r="MV262" s="3"/>
      <c r="MW262" s="3"/>
      <c r="MX262" s="3"/>
      <c r="MY262" s="3"/>
      <c r="MZ262" s="3"/>
      <c r="NA262" s="3"/>
      <c r="NB262" s="3"/>
      <c r="NC262" s="3"/>
      <c r="ND262" s="3"/>
      <c r="NE262" s="3"/>
      <c r="NF262" s="3"/>
      <c r="NG262" s="3"/>
      <c r="NH262" s="3"/>
      <c r="NI262" s="3"/>
      <c r="NJ262" s="3"/>
      <c r="NK262" s="3"/>
      <c r="NL262" s="3"/>
      <c r="NM262" s="3"/>
      <c r="NN262" s="3"/>
      <c r="NO262" s="3"/>
      <c r="NP262" s="3"/>
      <c r="NQ262" s="3"/>
      <c r="NR262" s="3"/>
      <c r="NS262" s="3"/>
      <c r="NT262" s="3"/>
      <c r="NU262" s="3"/>
      <c r="NV262" s="3"/>
      <c r="NW262" s="3"/>
      <c r="NX262" s="3"/>
      <c r="NY262" s="3"/>
      <c r="NZ262" s="3"/>
      <c r="OA262" s="3"/>
      <c r="OB262" s="3"/>
      <c r="OC262" s="3"/>
      <c r="OD262" s="3"/>
      <c r="OE262" s="3"/>
      <c r="OF262" s="3"/>
      <c r="OG262" s="3"/>
      <c r="OH262" s="3"/>
      <c r="OI262" s="3"/>
      <c r="OJ262" s="3"/>
      <c r="OK262" s="3"/>
      <c r="OL262" s="3"/>
      <c r="OM262" s="3"/>
      <c r="ON262" s="3"/>
      <c r="OO262" s="3"/>
      <c r="OP262" s="3"/>
      <c r="OQ262" s="3"/>
      <c r="OR262" s="3"/>
      <c r="OS262" s="3"/>
      <c r="OT262" s="3"/>
      <c r="OU262" s="3"/>
      <c r="OV262" s="3"/>
      <c r="OW262" s="3"/>
      <c r="OX262" s="3"/>
      <c r="OY262" s="3"/>
      <c r="OZ262" s="3"/>
      <c r="PA262" s="3"/>
      <c r="PB262" s="3"/>
      <c r="PC262" s="3"/>
      <c r="PD262" s="3"/>
      <c r="PE262" s="3"/>
      <c r="PF262" s="3"/>
      <c r="PG262" s="3"/>
      <c r="PH262" s="3"/>
      <c r="PI262" s="3"/>
      <c r="PJ262" s="3"/>
      <c r="PK262" s="3"/>
      <c r="PL262" s="3"/>
      <c r="PM262" s="3"/>
      <c r="PN262" s="3"/>
      <c r="PO262" s="3"/>
      <c r="PP262" s="3"/>
      <c r="PQ262" s="3"/>
      <c r="PR262" s="3"/>
      <c r="PS262" s="3"/>
      <c r="PT262" s="3"/>
      <c r="PU262" s="3"/>
      <c r="PV262" s="3"/>
      <c r="PW262" s="3"/>
      <c r="PX262" s="3"/>
      <c r="PY262" s="3"/>
      <c r="PZ262" s="3"/>
      <c r="QA262" s="3"/>
      <c r="QB262" s="3"/>
      <c r="QC262" s="3"/>
      <c r="QD262" s="3"/>
      <c r="QE262" s="3"/>
      <c r="QF262" s="3"/>
      <c r="QG262" s="3"/>
      <c r="QH262" s="3"/>
      <c r="QI262" s="3"/>
      <c r="QJ262" s="3"/>
      <c r="QK262" s="3"/>
      <c r="QL262" s="3"/>
      <c r="QM262" s="3"/>
      <c r="QN262" s="3"/>
      <c r="QO262" s="3"/>
      <c r="QP262" s="3"/>
      <c r="QQ262" s="3"/>
      <c r="QR262" s="3"/>
      <c r="QS262" s="3"/>
      <c r="QT262" s="3"/>
      <c r="QU262" s="3"/>
      <c r="QV262" s="3"/>
      <c r="QW262" s="3"/>
      <c r="QX262" s="3"/>
      <c r="QY262" s="3"/>
      <c r="QZ262" s="3"/>
      <c r="RA262" s="3"/>
      <c r="RB262" s="3"/>
      <c r="RC262" s="3"/>
      <c r="RD262" s="3"/>
      <c r="RE262" s="3"/>
      <c r="RF262" s="3"/>
      <c r="RG262" s="3"/>
      <c r="RH262" s="3"/>
      <c r="RI262" s="3"/>
      <c r="RJ262" s="3"/>
      <c r="RK262" s="3"/>
      <c r="RL262" s="3"/>
      <c r="RM262" s="3"/>
      <c r="RN262" s="3"/>
      <c r="RO262" s="3"/>
      <c r="RP262" s="3"/>
      <c r="RQ262" s="3"/>
      <c r="RR262" s="3"/>
      <c r="RS262" s="3"/>
      <c r="RT262" s="3"/>
      <c r="RU262" s="3"/>
      <c r="RV262" s="3"/>
      <c r="RW262" s="3"/>
      <c r="RX262" s="3"/>
      <c r="RY262" s="3"/>
      <c r="RZ262" s="3"/>
      <c r="SA262" s="3"/>
      <c r="SB262" s="3"/>
      <c r="SC262" s="3"/>
      <c r="SD262" s="3"/>
      <c r="SE262" s="3"/>
      <c r="SF262" s="3"/>
      <c r="SG262" s="3"/>
      <c r="SH262" s="3"/>
      <c r="SI262" s="3"/>
      <c r="SJ262" s="3"/>
      <c r="SK262" s="3"/>
      <c r="SL262" s="3"/>
      <c r="SM262" s="3"/>
      <c r="SN262" s="3"/>
      <c r="SO262" s="3"/>
      <c r="SP262" s="3"/>
      <c r="SQ262" s="3"/>
      <c r="SR262" s="3"/>
      <c r="SS262" s="3"/>
      <c r="ST262" s="3"/>
      <c r="SU262" s="3"/>
      <c r="SV262" s="3"/>
      <c r="SW262" s="3"/>
      <c r="SX262" s="3"/>
      <c r="SY262" s="3"/>
      <c r="SZ262" s="3"/>
      <c r="TA262" s="3"/>
      <c r="TB262" s="3"/>
      <c r="TC262" s="3"/>
      <c r="TD262" s="3"/>
      <c r="TE262" s="3"/>
      <c r="TF262" s="3"/>
      <c r="TG262" s="3"/>
      <c r="TH262" s="3"/>
      <c r="TI262" s="3"/>
      <c r="TJ262" s="3"/>
      <c r="TK262" s="3"/>
      <c r="TL262" s="3"/>
      <c r="TM262" s="3"/>
      <c r="TN262" s="3"/>
      <c r="TO262" s="3"/>
      <c r="TP262" s="3"/>
      <c r="TQ262" s="3"/>
      <c r="TR262" s="3"/>
      <c r="TS262" s="3"/>
      <c r="TT262" s="3"/>
      <c r="TU262" s="3"/>
      <c r="TV262" s="3"/>
      <c r="TW262" s="3"/>
      <c r="TX262" s="3"/>
      <c r="TY262" s="3"/>
      <c r="TZ262" s="3"/>
      <c r="UA262" s="3"/>
      <c r="UB262" s="3"/>
      <c r="UC262" s="3"/>
      <c r="UD262" s="3"/>
      <c r="UE262" s="3"/>
      <c r="UF262" s="3"/>
      <c r="UG262" s="3"/>
      <c r="UH262" s="3"/>
      <c r="UI262" s="3"/>
      <c r="UJ262" s="3"/>
      <c r="UK262" s="3"/>
      <c r="UL262" s="3"/>
      <c r="UM262" s="3"/>
      <c r="UN262" s="3"/>
      <c r="UO262" s="3"/>
      <c r="UP262" s="3"/>
      <c r="UQ262" s="3"/>
      <c r="UR262" s="3"/>
      <c r="US262" s="3"/>
      <c r="UT262" s="3"/>
      <c r="UU262" s="3"/>
      <c r="UV262" s="3"/>
      <c r="UW262" s="3"/>
      <c r="UX262" s="3"/>
      <c r="UY262" s="3"/>
      <c r="UZ262" s="3"/>
      <c r="VA262" s="3"/>
      <c r="VB262" s="3"/>
      <c r="VC262" s="3"/>
      <c r="VD262" s="3"/>
      <c r="VE262" s="3"/>
      <c r="VF262" s="3"/>
      <c r="VG262" s="3"/>
      <c r="VH262" s="3"/>
      <c r="VI262" s="3"/>
      <c r="VJ262" s="3"/>
      <c r="VK262" s="3"/>
      <c r="VL262" s="3"/>
      <c r="VM262" s="3"/>
      <c r="VN262" s="3"/>
      <c r="VO262" s="3"/>
      <c r="VP262" s="3"/>
      <c r="VQ262" s="3"/>
      <c r="VR262" s="3"/>
      <c r="VS262" s="3"/>
      <c r="VT262" s="3"/>
      <c r="VU262" s="3"/>
      <c r="VV262" s="3"/>
      <c r="VW262" s="3"/>
      <c r="VX262" s="3"/>
      <c r="VY262" s="3"/>
      <c r="VZ262" s="3"/>
      <c r="WA262" s="3"/>
      <c r="WB262" s="3"/>
      <c r="WC262" s="3"/>
      <c r="WD262" s="3"/>
      <c r="WE262" s="3"/>
      <c r="WF262" s="3"/>
      <c r="WG262" s="3"/>
      <c r="WH262" s="3"/>
      <c r="WI262" s="3"/>
      <c r="WJ262" s="3"/>
      <c r="WK262" s="3"/>
      <c r="WL262" s="3"/>
      <c r="WM262" s="3"/>
      <c r="WN262" s="3"/>
      <c r="WO262" s="3"/>
      <c r="WP262" s="3"/>
      <c r="WQ262" s="3"/>
      <c r="WR262" s="3"/>
      <c r="WS262" s="3"/>
      <c r="WT262" s="3"/>
      <c r="WU262" s="3"/>
      <c r="WV262" s="3"/>
      <c r="WW262" s="3"/>
      <c r="WX262" s="3"/>
      <c r="WY262" s="3"/>
      <c r="WZ262" s="3"/>
      <c r="XA262" s="3"/>
      <c r="XB262" s="3"/>
      <c r="XC262" s="3"/>
      <c r="XD262" s="3"/>
      <c r="XE262" s="3"/>
      <c r="XF262" s="3"/>
      <c r="XG262" s="3"/>
      <c r="XH262" s="3"/>
      <c r="XI262" s="3"/>
      <c r="XJ262" s="3"/>
      <c r="XK262" s="3"/>
      <c r="XL262" s="3"/>
      <c r="XM262" s="3"/>
      <c r="XN262" s="3"/>
      <c r="XO262" s="3"/>
      <c r="XP262" s="3"/>
      <c r="XQ262" s="3"/>
      <c r="XR262" s="3"/>
      <c r="XS262" s="3"/>
      <c r="XT262" s="3"/>
      <c r="XU262" s="3"/>
      <c r="XV262" s="3"/>
      <c r="XW262" s="3"/>
      <c r="XX262" s="3"/>
      <c r="XY262" s="3"/>
      <c r="XZ262" s="3"/>
      <c r="YA262" s="3"/>
      <c r="YB262" s="3"/>
      <c r="YC262" s="3"/>
      <c r="YD262" s="3"/>
      <c r="YE262" s="3"/>
      <c r="YF262" s="3"/>
      <c r="YG262" s="3"/>
      <c r="YH262" s="3"/>
      <c r="YI262" s="3"/>
      <c r="YJ262" s="3"/>
      <c r="YK262" s="3"/>
      <c r="YL262" s="3"/>
      <c r="YM262" s="3"/>
      <c r="YN262" s="3"/>
      <c r="YO262" s="3"/>
      <c r="YP262" s="3"/>
      <c r="YQ262" s="3"/>
      <c r="YR262" s="3"/>
      <c r="YS262" s="3"/>
      <c r="YT262" s="3"/>
      <c r="YU262" s="3"/>
      <c r="YV262" s="3"/>
      <c r="YW262" s="3"/>
      <c r="YX262" s="3"/>
      <c r="YY262" s="3"/>
      <c r="YZ262" s="3"/>
      <c r="ZA262" s="3"/>
      <c r="ZB262" s="3"/>
      <c r="ZC262" s="3"/>
    </row>
    <row r="263" spans="1:679" s="2" customFormat="1" x14ac:dyDescent="0.45">
      <c r="A263" s="3" t="s">
        <v>11</v>
      </c>
      <c r="B263" s="4">
        <v>37764</v>
      </c>
      <c r="C263" s="7" t="s">
        <v>21</v>
      </c>
      <c r="D263" s="6" t="s">
        <v>282</v>
      </c>
      <c r="E263" s="3"/>
      <c r="F263" s="3">
        <v>35</v>
      </c>
      <c r="L263" s="3"/>
      <c r="M263" s="3"/>
      <c r="N263" s="48"/>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c r="CO263" s="3"/>
      <c r="CP263" s="3"/>
      <c r="CQ263" s="3"/>
      <c r="CR263" s="3"/>
      <c r="CS263" s="3"/>
      <c r="CT263" s="3"/>
      <c r="CU263" s="3"/>
      <c r="CV263" s="3"/>
      <c r="CW263" s="3"/>
      <c r="CX263" s="3"/>
      <c r="CY263" s="3"/>
      <c r="CZ263" s="3"/>
      <c r="DA263" s="3"/>
      <c r="DB263" s="3"/>
      <c r="DC263" s="3"/>
      <c r="DD263" s="3"/>
      <c r="DE263" s="3"/>
      <c r="DF263" s="3"/>
      <c r="DG263" s="3"/>
      <c r="DH263" s="3"/>
      <c r="DI263" s="3"/>
      <c r="DJ263" s="3"/>
      <c r="DK263" s="3"/>
      <c r="DL263" s="3"/>
      <c r="DM263" s="3"/>
      <c r="DN263" s="3"/>
      <c r="DO263" s="3"/>
      <c r="DP263" s="3"/>
      <c r="DQ263" s="3"/>
      <c r="DR263" s="3"/>
      <c r="DS263" s="3"/>
      <c r="DT263" s="3"/>
      <c r="DU263" s="3"/>
      <c r="DV263" s="3"/>
      <c r="DW263" s="3"/>
      <c r="DX263" s="3"/>
      <c r="DY263" s="3"/>
      <c r="DZ263" s="3"/>
      <c r="EA263" s="3"/>
      <c r="EB263" s="3"/>
      <c r="EC263" s="3"/>
      <c r="ED263" s="3"/>
      <c r="EE263" s="3"/>
      <c r="EF263" s="3"/>
      <c r="EG263" s="3"/>
      <c r="EH263" s="3"/>
      <c r="EI263" s="3"/>
      <c r="EJ263" s="3"/>
      <c r="EK263" s="3"/>
      <c r="EL263" s="3"/>
      <c r="EM263" s="3"/>
      <c r="EN263" s="3"/>
      <c r="EO263" s="3"/>
      <c r="EP263" s="3"/>
      <c r="EQ263" s="3"/>
      <c r="ER263" s="3"/>
      <c r="ES263" s="3"/>
      <c r="ET263" s="3"/>
      <c r="EU263" s="3"/>
      <c r="EV263" s="3"/>
      <c r="EW263" s="3"/>
      <c r="EX263" s="3"/>
      <c r="EY263" s="3"/>
      <c r="EZ263" s="3"/>
      <c r="FA263" s="3"/>
      <c r="FB263" s="3"/>
      <c r="FC263" s="3"/>
      <c r="FD263" s="3"/>
      <c r="FE263" s="3"/>
      <c r="FF263" s="3"/>
      <c r="FG263" s="3"/>
      <c r="FH263" s="3"/>
      <c r="FI263" s="3"/>
      <c r="FJ263" s="3"/>
      <c r="FK263" s="3"/>
      <c r="FL263" s="3"/>
      <c r="FM263" s="3"/>
      <c r="FN263" s="3"/>
      <c r="FO263" s="3"/>
      <c r="FP263" s="3"/>
      <c r="FQ263" s="3"/>
      <c r="FR263" s="3"/>
      <c r="FS263" s="3"/>
      <c r="FT263" s="3"/>
      <c r="FU263" s="3"/>
      <c r="FV263" s="3"/>
      <c r="FW263" s="3"/>
      <c r="FX263" s="3"/>
      <c r="FY263" s="3"/>
      <c r="FZ263" s="3"/>
      <c r="GA263" s="3"/>
      <c r="GB263" s="3"/>
      <c r="GC263" s="3"/>
      <c r="GD263" s="3"/>
      <c r="GE263" s="3"/>
      <c r="GF263" s="3"/>
      <c r="GG263" s="3"/>
      <c r="GH263" s="3"/>
      <c r="GI263" s="3"/>
      <c r="GJ263" s="3"/>
      <c r="GK263" s="3"/>
      <c r="GL263" s="3"/>
      <c r="GM263" s="3"/>
      <c r="GN263" s="3"/>
      <c r="GO263" s="3"/>
      <c r="GP263" s="3"/>
      <c r="GQ263" s="3"/>
      <c r="GR263" s="3"/>
      <c r="GS263" s="3"/>
      <c r="GT263" s="3"/>
      <c r="GU263" s="3"/>
      <c r="GV263" s="3"/>
      <c r="GW263" s="3"/>
      <c r="GX263" s="3"/>
      <c r="GY263" s="3"/>
      <c r="GZ263" s="3"/>
      <c r="HA263" s="3"/>
      <c r="HB263" s="3"/>
      <c r="HC263" s="3"/>
      <c r="HD263" s="3"/>
      <c r="HE263" s="3"/>
      <c r="HF263" s="3"/>
      <c r="HG263" s="3"/>
      <c r="HH263" s="3"/>
      <c r="HI263" s="3"/>
      <c r="HJ263" s="3"/>
      <c r="HK263" s="3"/>
      <c r="HL263" s="3"/>
      <c r="HM263" s="3"/>
      <c r="HN263" s="3"/>
      <c r="HO263" s="3"/>
      <c r="HP263" s="3"/>
      <c r="HQ263" s="3"/>
      <c r="HR263" s="3"/>
      <c r="HS263" s="3"/>
      <c r="HT263" s="3"/>
      <c r="HU263" s="3"/>
      <c r="HV263" s="3"/>
      <c r="HW263" s="3"/>
      <c r="HX263" s="3"/>
      <c r="HY263" s="3"/>
      <c r="HZ263" s="3"/>
      <c r="IA263" s="3"/>
      <c r="IB263" s="3"/>
      <c r="IC263" s="3"/>
      <c r="ID263" s="3"/>
      <c r="IE263" s="3"/>
      <c r="IF263" s="3"/>
      <c r="IG263" s="3"/>
      <c r="IH263" s="3"/>
      <c r="II263" s="3"/>
      <c r="IJ263" s="3"/>
      <c r="IK263" s="3"/>
      <c r="IL263" s="3"/>
      <c r="IM263" s="3"/>
      <c r="IN263" s="3"/>
      <c r="IO263" s="3"/>
      <c r="IP263" s="3"/>
      <c r="IQ263" s="3"/>
      <c r="IR263" s="3"/>
      <c r="IS263" s="3"/>
      <c r="IT263" s="3"/>
      <c r="IU263" s="3"/>
      <c r="IV263" s="3"/>
      <c r="IW263" s="3"/>
      <c r="IX263" s="3"/>
      <c r="IY263" s="3"/>
      <c r="IZ263" s="3"/>
      <c r="JA263" s="3"/>
      <c r="JB263" s="3"/>
      <c r="JC263" s="3"/>
      <c r="JD263" s="3"/>
      <c r="JE263" s="3"/>
      <c r="JF263" s="3"/>
      <c r="JG263" s="3"/>
      <c r="JH263" s="3"/>
      <c r="JI263" s="3"/>
      <c r="JJ263" s="3"/>
      <c r="JK263" s="3"/>
      <c r="JL263" s="3"/>
      <c r="JM263" s="3"/>
      <c r="JN263" s="3"/>
      <c r="JO263" s="3"/>
      <c r="JP263" s="3"/>
      <c r="JQ263" s="3"/>
      <c r="JR263" s="3"/>
      <c r="JS263" s="3"/>
      <c r="JT263" s="3"/>
      <c r="JU263" s="3"/>
      <c r="JV263" s="3"/>
      <c r="JW263" s="3"/>
      <c r="JX263" s="3"/>
      <c r="JY263" s="3"/>
      <c r="JZ263" s="3"/>
      <c r="KA263" s="3"/>
      <c r="KB263" s="3"/>
      <c r="KC263" s="3"/>
      <c r="KD263" s="3"/>
      <c r="KE263" s="3"/>
      <c r="KF263" s="3"/>
      <c r="KG263" s="3"/>
      <c r="KH263" s="3"/>
      <c r="KI263" s="3"/>
      <c r="KJ263" s="3"/>
      <c r="KK263" s="3"/>
      <c r="KL263" s="3"/>
      <c r="KM263" s="3"/>
      <c r="KN263" s="3"/>
      <c r="KO263" s="3"/>
      <c r="KP263" s="3"/>
      <c r="KQ263" s="3"/>
      <c r="KR263" s="3"/>
      <c r="KS263" s="3"/>
      <c r="KT263" s="3"/>
      <c r="KU263" s="3"/>
      <c r="KV263" s="3"/>
      <c r="KW263" s="3"/>
      <c r="KX263" s="3"/>
      <c r="KY263" s="3"/>
      <c r="KZ263" s="3"/>
      <c r="LA263" s="3"/>
      <c r="LB263" s="3"/>
      <c r="LC263" s="3"/>
      <c r="LD263" s="3"/>
      <c r="LE263" s="3"/>
      <c r="LF263" s="3"/>
      <c r="LG263" s="3"/>
      <c r="LH263" s="3"/>
      <c r="LI263" s="3"/>
      <c r="LJ263" s="3"/>
      <c r="LK263" s="3"/>
      <c r="LL263" s="3"/>
      <c r="LM263" s="3"/>
      <c r="LN263" s="3"/>
      <c r="LO263" s="3"/>
      <c r="LP263" s="3"/>
      <c r="LQ263" s="3"/>
      <c r="LR263" s="3"/>
      <c r="LS263" s="3"/>
      <c r="LT263" s="3"/>
      <c r="LU263" s="3"/>
      <c r="LV263" s="3"/>
      <c r="LW263" s="3"/>
      <c r="LX263" s="3"/>
      <c r="LY263" s="3"/>
      <c r="LZ263" s="3"/>
      <c r="MA263" s="3"/>
      <c r="MB263" s="3"/>
      <c r="MC263" s="3"/>
      <c r="MD263" s="3"/>
      <c r="ME263" s="3"/>
      <c r="MF263" s="3"/>
      <c r="MG263" s="3"/>
      <c r="MH263" s="3"/>
      <c r="MI263" s="3"/>
      <c r="MJ263" s="3"/>
      <c r="MK263" s="3"/>
      <c r="ML263" s="3"/>
      <c r="MM263" s="3"/>
      <c r="MN263" s="3"/>
      <c r="MO263" s="3"/>
      <c r="MP263" s="3"/>
      <c r="MQ263" s="3"/>
      <c r="MR263" s="3"/>
      <c r="MS263" s="3"/>
      <c r="MT263" s="3"/>
      <c r="MU263" s="3"/>
      <c r="MV263" s="3"/>
      <c r="MW263" s="3"/>
      <c r="MX263" s="3"/>
      <c r="MY263" s="3"/>
      <c r="MZ263" s="3"/>
      <c r="NA263" s="3"/>
      <c r="NB263" s="3"/>
      <c r="NC263" s="3"/>
      <c r="ND263" s="3"/>
      <c r="NE263" s="3"/>
      <c r="NF263" s="3"/>
      <c r="NG263" s="3"/>
      <c r="NH263" s="3"/>
      <c r="NI263" s="3"/>
      <c r="NJ263" s="3"/>
      <c r="NK263" s="3"/>
      <c r="NL263" s="3"/>
      <c r="NM263" s="3"/>
      <c r="NN263" s="3"/>
      <c r="NO263" s="3"/>
      <c r="NP263" s="3"/>
      <c r="NQ263" s="3"/>
      <c r="NR263" s="3"/>
      <c r="NS263" s="3"/>
      <c r="NT263" s="3"/>
      <c r="NU263" s="3"/>
      <c r="NV263" s="3"/>
      <c r="NW263" s="3"/>
      <c r="NX263" s="3"/>
      <c r="NY263" s="3"/>
      <c r="NZ263" s="3"/>
      <c r="OA263" s="3"/>
      <c r="OB263" s="3"/>
      <c r="OC263" s="3"/>
      <c r="OD263" s="3"/>
      <c r="OE263" s="3"/>
      <c r="OF263" s="3"/>
      <c r="OG263" s="3"/>
      <c r="OH263" s="3"/>
      <c r="OI263" s="3"/>
      <c r="OJ263" s="3"/>
      <c r="OK263" s="3"/>
      <c r="OL263" s="3"/>
      <c r="OM263" s="3"/>
      <c r="ON263" s="3"/>
      <c r="OO263" s="3"/>
      <c r="OP263" s="3"/>
      <c r="OQ263" s="3"/>
      <c r="OR263" s="3"/>
      <c r="OS263" s="3"/>
      <c r="OT263" s="3"/>
      <c r="OU263" s="3"/>
      <c r="OV263" s="3"/>
      <c r="OW263" s="3"/>
      <c r="OX263" s="3"/>
      <c r="OY263" s="3"/>
      <c r="OZ263" s="3"/>
      <c r="PA263" s="3"/>
      <c r="PB263" s="3"/>
      <c r="PC263" s="3"/>
      <c r="PD263" s="3"/>
      <c r="PE263" s="3"/>
      <c r="PF263" s="3"/>
      <c r="PG263" s="3"/>
      <c r="PH263" s="3"/>
      <c r="PI263" s="3"/>
      <c r="PJ263" s="3"/>
      <c r="PK263" s="3"/>
      <c r="PL263" s="3"/>
      <c r="PM263" s="3"/>
      <c r="PN263" s="3"/>
      <c r="PO263" s="3"/>
      <c r="PP263" s="3"/>
      <c r="PQ263" s="3"/>
      <c r="PR263" s="3"/>
      <c r="PS263" s="3"/>
      <c r="PT263" s="3"/>
      <c r="PU263" s="3"/>
      <c r="PV263" s="3"/>
      <c r="PW263" s="3"/>
      <c r="PX263" s="3"/>
      <c r="PY263" s="3"/>
      <c r="PZ263" s="3"/>
      <c r="QA263" s="3"/>
      <c r="QB263" s="3"/>
      <c r="QC263" s="3"/>
      <c r="QD263" s="3"/>
      <c r="QE263" s="3"/>
      <c r="QF263" s="3"/>
      <c r="QG263" s="3"/>
      <c r="QH263" s="3"/>
      <c r="QI263" s="3"/>
      <c r="QJ263" s="3"/>
      <c r="QK263" s="3"/>
      <c r="QL263" s="3"/>
      <c r="QM263" s="3"/>
      <c r="QN263" s="3"/>
      <c r="QO263" s="3"/>
      <c r="QP263" s="3"/>
      <c r="QQ263" s="3"/>
      <c r="QR263" s="3"/>
      <c r="QS263" s="3"/>
      <c r="QT263" s="3"/>
      <c r="QU263" s="3"/>
      <c r="QV263" s="3"/>
      <c r="QW263" s="3"/>
      <c r="QX263" s="3"/>
      <c r="QY263" s="3"/>
      <c r="QZ263" s="3"/>
      <c r="RA263" s="3"/>
      <c r="RB263" s="3"/>
      <c r="RC263" s="3"/>
      <c r="RD263" s="3"/>
      <c r="RE263" s="3"/>
      <c r="RF263" s="3"/>
      <c r="RG263" s="3"/>
      <c r="RH263" s="3"/>
      <c r="RI263" s="3"/>
      <c r="RJ263" s="3"/>
      <c r="RK263" s="3"/>
      <c r="RL263" s="3"/>
      <c r="RM263" s="3"/>
      <c r="RN263" s="3"/>
      <c r="RO263" s="3"/>
      <c r="RP263" s="3"/>
      <c r="RQ263" s="3"/>
      <c r="RR263" s="3"/>
      <c r="RS263" s="3"/>
      <c r="RT263" s="3"/>
      <c r="RU263" s="3"/>
      <c r="RV263" s="3"/>
      <c r="RW263" s="3"/>
      <c r="RX263" s="3"/>
      <c r="RY263" s="3"/>
      <c r="RZ263" s="3"/>
      <c r="SA263" s="3"/>
      <c r="SB263" s="3"/>
      <c r="SC263" s="3"/>
      <c r="SD263" s="3"/>
      <c r="SE263" s="3"/>
      <c r="SF263" s="3"/>
      <c r="SG263" s="3"/>
      <c r="SH263" s="3"/>
      <c r="SI263" s="3"/>
      <c r="SJ263" s="3"/>
      <c r="SK263" s="3"/>
      <c r="SL263" s="3"/>
      <c r="SM263" s="3"/>
      <c r="SN263" s="3"/>
      <c r="SO263" s="3"/>
      <c r="SP263" s="3"/>
      <c r="SQ263" s="3"/>
      <c r="SR263" s="3"/>
      <c r="SS263" s="3"/>
      <c r="ST263" s="3"/>
      <c r="SU263" s="3"/>
      <c r="SV263" s="3"/>
      <c r="SW263" s="3"/>
      <c r="SX263" s="3"/>
      <c r="SY263" s="3"/>
      <c r="SZ263" s="3"/>
      <c r="TA263" s="3"/>
      <c r="TB263" s="3"/>
      <c r="TC263" s="3"/>
      <c r="TD263" s="3"/>
      <c r="TE263" s="3"/>
      <c r="TF263" s="3"/>
      <c r="TG263" s="3"/>
      <c r="TH263" s="3"/>
      <c r="TI263" s="3"/>
      <c r="TJ263" s="3"/>
      <c r="TK263" s="3"/>
      <c r="TL263" s="3"/>
      <c r="TM263" s="3"/>
      <c r="TN263" s="3"/>
      <c r="TO263" s="3"/>
      <c r="TP263" s="3"/>
      <c r="TQ263" s="3"/>
      <c r="TR263" s="3"/>
      <c r="TS263" s="3"/>
      <c r="TT263" s="3"/>
      <c r="TU263" s="3"/>
      <c r="TV263" s="3"/>
      <c r="TW263" s="3"/>
      <c r="TX263" s="3"/>
      <c r="TY263" s="3"/>
      <c r="TZ263" s="3"/>
      <c r="UA263" s="3"/>
      <c r="UB263" s="3"/>
      <c r="UC263" s="3"/>
      <c r="UD263" s="3"/>
      <c r="UE263" s="3"/>
      <c r="UF263" s="3"/>
      <c r="UG263" s="3"/>
      <c r="UH263" s="3"/>
      <c r="UI263" s="3"/>
      <c r="UJ263" s="3"/>
      <c r="UK263" s="3"/>
      <c r="UL263" s="3"/>
      <c r="UM263" s="3"/>
      <c r="UN263" s="3"/>
      <c r="UO263" s="3"/>
      <c r="UP263" s="3"/>
      <c r="UQ263" s="3"/>
      <c r="UR263" s="3"/>
      <c r="US263" s="3"/>
      <c r="UT263" s="3"/>
      <c r="UU263" s="3"/>
      <c r="UV263" s="3"/>
      <c r="UW263" s="3"/>
      <c r="UX263" s="3"/>
      <c r="UY263" s="3"/>
      <c r="UZ263" s="3"/>
      <c r="VA263" s="3"/>
      <c r="VB263" s="3"/>
      <c r="VC263" s="3"/>
      <c r="VD263" s="3"/>
      <c r="VE263" s="3"/>
      <c r="VF263" s="3"/>
      <c r="VG263" s="3"/>
      <c r="VH263" s="3"/>
      <c r="VI263" s="3"/>
      <c r="VJ263" s="3"/>
      <c r="VK263" s="3"/>
      <c r="VL263" s="3"/>
      <c r="VM263" s="3"/>
      <c r="VN263" s="3"/>
      <c r="VO263" s="3"/>
      <c r="VP263" s="3"/>
      <c r="VQ263" s="3"/>
      <c r="VR263" s="3"/>
      <c r="VS263" s="3"/>
      <c r="VT263" s="3"/>
      <c r="VU263" s="3"/>
      <c r="VV263" s="3"/>
      <c r="VW263" s="3"/>
      <c r="VX263" s="3"/>
      <c r="VY263" s="3"/>
      <c r="VZ263" s="3"/>
      <c r="WA263" s="3"/>
      <c r="WB263" s="3"/>
      <c r="WC263" s="3"/>
      <c r="WD263" s="3"/>
      <c r="WE263" s="3"/>
      <c r="WF263" s="3"/>
      <c r="WG263" s="3"/>
      <c r="WH263" s="3"/>
      <c r="WI263" s="3"/>
      <c r="WJ263" s="3"/>
      <c r="WK263" s="3"/>
      <c r="WL263" s="3"/>
      <c r="WM263" s="3"/>
      <c r="WN263" s="3"/>
      <c r="WO263" s="3"/>
      <c r="WP263" s="3"/>
      <c r="WQ263" s="3"/>
      <c r="WR263" s="3"/>
      <c r="WS263" s="3"/>
      <c r="WT263" s="3"/>
      <c r="WU263" s="3"/>
      <c r="WV263" s="3"/>
      <c r="WW263" s="3"/>
      <c r="WX263" s="3"/>
      <c r="WY263" s="3"/>
      <c r="WZ263" s="3"/>
      <c r="XA263" s="3"/>
      <c r="XB263" s="3"/>
      <c r="XC263" s="3"/>
      <c r="XD263" s="3"/>
      <c r="XE263" s="3"/>
      <c r="XF263" s="3"/>
      <c r="XG263" s="3"/>
      <c r="XH263" s="3"/>
      <c r="XI263" s="3"/>
      <c r="XJ263" s="3"/>
      <c r="XK263" s="3"/>
      <c r="XL263" s="3"/>
      <c r="XM263" s="3"/>
      <c r="XN263" s="3"/>
      <c r="XO263" s="3"/>
      <c r="XP263" s="3"/>
      <c r="XQ263" s="3"/>
      <c r="XR263" s="3"/>
      <c r="XS263" s="3"/>
      <c r="XT263" s="3"/>
      <c r="XU263" s="3"/>
      <c r="XV263" s="3"/>
      <c r="XW263" s="3"/>
      <c r="XX263" s="3"/>
      <c r="XY263" s="3"/>
      <c r="XZ263" s="3"/>
      <c r="YA263" s="3"/>
      <c r="YB263" s="3"/>
      <c r="YC263" s="3"/>
      <c r="YD263" s="3"/>
      <c r="YE263" s="3"/>
      <c r="YF263" s="3"/>
      <c r="YG263" s="3"/>
      <c r="YH263" s="3"/>
      <c r="YI263" s="3"/>
      <c r="YJ263" s="3"/>
      <c r="YK263" s="3"/>
      <c r="YL263" s="3"/>
      <c r="YM263" s="3"/>
      <c r="YN263" s="3"/>
      <c r="YO263" s="3"/>
      <c r="YP263" s="3"/>
      <c r="YQ263" s="3"/>
      <c r="YR263" s="3"/>
      <c r="YS263" s="3"/>
      <c r="YT263" s="3"/>
      <c r="YU263" s="3"/>
      <c r="YV263" s="3"/>
      <c r="YW263" s="3"/>
      <c r="YX263" s="3"/>
      <c r="YY263" s="3"/>
      <c r="YZ263" s="3"/>
      <c r="ZA263" s="3"/>
      <c r="ZB263" s="3"/>
      <c r="ZC263" s="3"/>
    </row>
    <row r="264" spans="1:679" s="2" customFormat="1" x14ac:dyDescent="0.45">
      <c r="A264" s="3" t="s">
        <v>11</v>
      </c>
      <c r="B264" s="4">
        <v>37771</v>
      </c>
      <c r="C264" s="7" t="s">
        <v>25</v>
      </c>
      <c r="D264" s="6" t="s">
        <v>283</v>
      </c>
      <c r="E264" s="3"/>
      <c r="F264" s="3">
        <v>21</v>
      </c>
      <c r="L264" s="3"/>
      <c r="M264" s="3"/>
      <c r="N264" s="48"/>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c r="CO264" s="3"/>
      <c r="CP264" s="3"/>
      <c r="CQ264" s="3"/>
      <c r="CR264" s="3"/>
      <c r="CS264" s="3"/>
      <c r="CT264" s="3"/>
      <c r="CU264" s="3"/>
      <c r="CV264" s="3"/>
      <c r="CW264" s="3"/>
      <c r="CX264" s="3"/>
      <c r="CY264" s="3"/>
      <c r="CZ264" s="3"/>
      <c r="DA264" s="3"/>
      <c r="DB264" s="3"/>
      <c r="DC264" s="3"/>
      <c r="DD264" s="3"/>
      <c r="DE264" s="3"/>
      <c r="DF264" s="3"/>
      <c r="DG264" s="3"/>
      <c r="DH264" s="3"/>
      <c r="DI264" s="3"/>
      <c r="DJ264" s="3"/>
      <c r="DK264" s="3"/>
      <c r="DL264" s="3"/>
      <c r="DM264" s="3"/>
      <c r="DN264" s="3"/>
      <c r="DO264" s="3"/>
      <c r="DP264" s="3"/>
      <c r="DQ264" s="3"/>
      <c r="DR264" s="3"/>
      <c r="DS264" s="3"/>
      <c r="DT264" s="3"/>
      <c r="DU264" s="3"/>
      <c r="DV264" s="3"/>
      <c r="DW264" s="3"/>
      <c r="DX264" s="3"/>
      <c r="DY264" s="3"/>
      <c r="DZ264" s="3"/>
      <c r="EA264" s="3"/>
      <c r="EB264" s="3"/>
      <c r="EC264" s="3"/>
      <c r="ED264" s="3"/>
      <c r="EE264" s="3"/>
      <c r="EF264" s="3"/>
      <c r="EG264" s="3"/>
      <c r="EH264" s="3"/>
      <c r="EI264" s="3"/>
      <c r="EJ264" s="3"/>
      <c r="EK264" s="3"/>
      <c r="EL264" s="3"/>
      <c r="EM264" s="3"/>
      <c r="EN264" s="3"/>
      <c r="EO264" s="3"/>
      <c r="EP264" s="3"/>
      <c r="EQ264" s="3"/>
      <c r="ER264" s="3"/>
      <c r="ES264" s="3"/>
      <c r="ET264" s="3"/>
      <c r="EU264" s="3"/>
      <c r="EV264" s="3"/>
      <c r="EW264" s="3"/>
      <c r="EX264" s="3"/>
      <c r="EY264" s="3"/>
      <c r="EZ264" s="3"/>
      <c r="FA264" s="3"/>
      <c r="FB264" s="3"/>
      <c r="FC264" s="3"/>
      <c r="FD264" s="3"/>
      <c r="FE264" s="3"/>
      <c r="FF264" s="3"/>
      <c r="FG264" s="3"/>
      <c r="FH264" s="3"/>
      <c r="FI264" s="3"/>
      <c r="FJ264" s="3"/>
      <c r="FK264" s="3"/>
      <c r="FL264" s="3"/>
      <c r="FM264" s="3"/>
      <c r="FN264" s="3"/>
      <c r="FO264" s="3"/>
      <c r="FP264" s="3"/>
      <c r="FQ264" s="3"/>
      <c r="FR264" s="3"/>
      <c r="FS264" s="3"/>
      <c r="FT264" s="3"/>
      <c r="FU264" s="3"/>
      <c r="FV264" s="3"/>
      <c r="FW264" s="3"/>
      <c r="FX264" s="3"/>
      <c r="FY264" s="3"/>
      <c r="FZ264" s="3"/>
      <c r="GA264" s="3"/>
      <c r="GB264" s="3"/>
      <c r="GC264" s="3"/>
      <c r="GD264" s="3"/>
      <c r="GE264" s="3"/>
      <c r="GF264" s="3"/>
      <c r="GG264" s="3"/>
      <c r="GH264" s="3"/>
      <c r="GI264" s="3"/>
      <c r="GJ264" s="3"/>
      <c r="GK264" s="3"/>
      <c r="GL264" s="3"/>
      <c r="GM264" s="3"/>
      <c r="GN264" s="3"/>
      <c r="GO264" s="3"/>
      <c r="GP264" s="3"/>
      <c r="GQ264" s="3"/>
      <c r="GR264" s="3"/>
      <c r="GS264" s="3"/>
      <c r="GT264" s="3"/>
      <c r="GU264" s="3"/>
      <c r="GV264" s="3"/>
      <c r="GW264" s="3"/>
      <c r="GX264" s="3"/>
      <c r="GY264" s="3"/>
      <c r="GZ264" s="3"/>
      <c r="HA264" s="3"/>
      <c r="HB264" s="3"/>
      <c r="HC264" s="3"/>
      <c r="HD264" s="3"/>
      <c r="HE264" s="3"/>
      <c r="HF264" s="3"/>
      <c r="HG264" s="3"/>
      <c r="HH264" s="3"/>
      <c r="HI264" s="3"/>
      <c r="HJ264" s="3"/>
      <c r="HK264" s="3"/>
      <c r="HL264" s="3"/>
      <c r="HM264" s="3"/>
      <c r="HN264" s="3"/>
      <c r="HO264" s="3"/>
      <c r="HP264" s="3"/>
      <c r="HQ264" s="3"/>
      <c r="HR264" s="3"/>
      <c r="HS264" s="3"/>
      <c r="HT264" s="3"/>
      <c r="HU264" s="3"/>
      <c r="HV264" s="3"/>
      <c r="HW264" s="3"/>
      <c r="HX264" s="3"/>
      <c r="HY264" s="3"/>
      <c r="HZ264" s="3"/>
      <c r="IA264" s="3"/>
      <c r="IB264" s="3"/>
      <c r="IC264" s="3"/>
      <c r="ID264" s="3"/>
      <c r="IE264" s="3"/>
      <c r="IF264" s="3"/>
      <c r="IG264" s="3"/>
      <c r="IH264" s="3"/>
      <c r="II264" s="3"/>
      <c r="IJ264" s="3"/>
      <c r="IK264" s="3"/>
      <c r="IL264" s="3"/>
      <c r="IM264" s="3"/>
      <c r="IN264" s="3"/>
      <c r="IO264" s="3"/>
      <c r="IP264" s="3"/>
      <c r="IQ264" s="3"/>
      <c r="IR264" s="3"/>
      <c r="IS264" s="3"/>
      <c r="IT264" s="3"/>
      <c r="IU264" s="3"/>
      <c r="IV264" s="3"/>
      <c r="IW264" s="3"/>
      <c r="IX264" s="3"/>
      <c r="IY264" s="3"/>
      <c r="IZ264" s="3"/>
      <c r="JA264" s="3"/>
      <c r="JB264" s="3"/>
      <c r="JC264" s="3"/>
      <c r="JD264" s="3"/>
      <c r="JE264" s="3"/>
      <c r="JF264" s="3"/>
      <c r="JG264" s="3"/>
      <c r="JH264" s="3"/>
      <c r="JI264" s="3"/>
      <c r="JJ264" s="3"/>
      <c r="JK264" s="3"/>
      <c r="JL264" s="3"/>
      <c r="JM264" s="3"/>
      <c r="JN264" s="3"/>
      <c r="JO264" s="3"/>
      <c r="JP264" s="3"/>
      <c r="JQ264" s="3"/>
      <c r="JR264" s="3"/>
      <c r="JS264" s="3"/>
      <c r="JT264" s="3"/>
      <c r="JU264" s="3"/>
      <c r="JV264" s="3"/>
      <c r="JW264" s="3"/>
      <c r="JX264" s="3"/>
      <c r="JY264" s="3"/>
      <c r="JZ264" s="3"/>
      <c r="KA264" s="3"/>
      <c r="KB264" s="3"/>
      <c r="KC264" s="3"/>
      <c r="KD264" s="3"/>
      <c r="KE264" s="3"/>
      <c r="KF264" s="3"/>
      <c r="KG264" s="3"/>
      <c r="KH264" s="3"/>
      <c r="KI264" s="3"/>
      <c r="KJ264" s="3"/>
      <c r="KK264" s="3"/>
      <c r="KL264" s="3"/>
      <c r="KM264" s="3"/>
      <c r="KN264" s="3"/>
      <c r="KO264" s="3"/>
      <c r="KP264" s="3"/>
      <c r="KQ264" s="3"/>
      <c r="KR264" s="3"/>
      <c r="KS264" s="3"/>
      <c r="KT264" s="3"/>
      <c r="KU264" s="3"/>
      <c r="KV264" s="3"/>
      <c r="KW264" s="3"/>
      <c r="KX264" s="3"/>
      <c r="KY264" s="3"/>
      <c r="KZ264" s="3"/>
      <c r="LA264" s="3"/>
      <c r="LB264" s="3"/>
      <c r="LC264" s="3"/>
      <c r="LD264" s="3"/>
      <c r="LE264" s="3"/>
      <c r="LF264" s="3"/>
      <c r="LG264" s="3"/>
      <c r="LH264" s="3"/>
      <c r="LI264" s="3"/>
      <c r="LJ264" s="3"/>
      <c r="LK264" s="3"/>
      <c r="LL264" s="3"/>
      <c r="LM264" s="3"/>
      <c r="LN264" s="3"/>
      <c r="LO264" s="3"/>
      <c r="LP264" s="3"/>
      <c r="LQ264" s="3"/>
      <c r="LR264" s="3"/>
      <c r="LS264" s="3"/>
      <c r="LT264" s="3"/>
      <c r="LU264" s="3"/>
      <c r="LV264" s="3"/>
      <c r="LW264" s="3"/>
      <c r="LX264" s="3"/>
      <c r="LY264" s="3"/>
      <c r="LZ264" s="3"/>
      <c r="MA264" s="3"/>
      <c r="MB264" s="3"/>
      <c r="MC264" s="3"/>
      <c r="MD264" s="3"/>
      <c r="ME264" s="3"/>
      <c r="MF264" s="3"/>
      <c r="MG264" s="3"/>
      <c r="MH264" s="3"/>
      <c r="MI264" s="3"/>
      <c r="MJ264" s="3"/>
      <c r="MK264" s="3"/>
      <c r="ML264" s="3"/>
      <c r="MM264" s="3"/>
      <c r="MN264" s="3"/>
      <c r="MO264" s="3"/>
      <c r="MP264" s="3"/>
      <c r="MQ264" s="3"/>
      <c r="MR264" s="3"/>
      <c r="MS264" s="3"/>
      <c r="MT264" s="3"/>
      <c r="MU264" s="3"/>
      <c r="MV264" s="3"/>
      <c r="MW264" s="3"/>
      <c r="MX264" s="3"/>
      <c r="MY264" s="3"/>
      <c r="MZ264" s="3"/>
      <c r="NA264" s="3"/>
      <c r="NB264" s="3"/>
      <c r="NC264" s="3"/>
      <c r="ND264" s="3"/>
      <c r="NE264" s="3"/>
      <c r="NF264" s="3"/>
      <c r="NG264" s="3"/>
      <c r="NH264" s="3"/>
      <c r="NI264" s="3"/>
      <c r="NJ264" s="3"/>
      <c r="NK264" s="3"/>
      <c r="NL264" s="3"/>
      <c r="NM264" s="3"/>
      <c r="NN264" s="3"/>
      <c r="NO264" s="3"/>
      <c r="NP264" s="3"/>
      <c r="NQ264" s="3"/>
      <c r="NR264" s="3"/>
      <c r="NS264" s="3"/>
      <c r="NT264" s="3"/>
      <c r="NU264" s="3"/>
      <c r="NV264" s="3"/>
      <c r="NW264" s="3"/>
      <c r="NX264" s="3"/>
      <c r="NY264" s="3"/>
      <c r="NZ264" s="3"/>
      <c r="OA264" s="3"/>
      <c r="OB264" s="3"/>
      <c r="OC264" s="3"/>
      <c r="OD264" s="3"/>
      <c r="OE264" s="3"/>
      <c r="OF264" s="3"/>
      <c r="OG264" s="3"/>
      <c r="OH264" s="3"/>
      <c r="OI264" s="3"/>
      <c r="OJ264" s="3"/>
      <c r="OK264" s="3"/>
      <c r="OL264" s="3"/>
      <c r="OM264" s="3"/>
      <c r="ON264" s="3"/>
      <c r="OO264" s="3"/>
      <c r="OP264" s="3"/>
      <c r="OQ264" s="3"/>
      <c r="OR264" s="3"/>
      <c r="OS264" s="3"/>
      <c r="OT264" s="3"/>
      <c r="OU264" s="3"/>
      <c r="OV264" s="3"/>
      <c r="OW264" s="3"/>
      <c r="OX264" s="3"/>
      <c r="OY264" s="3"/>
      <c r="OZ264" s="3"/>
      <c r="PA264" s="3"/>
      <c r="PB264" s="3"/>
      <c r="PC264" s="3"/>
      <c r="PD264" s="3"/>
      <c r="PE264" s="3"/>
      <c r="PF264" s="3"/>
      <c r="PG264" s="3"/>
      <c r="PH264" s="3"/>
      <c r="PI264" s="3"/>
      <c r="PJ264" s="3"/>
      <c r="PK264" s="3"/>
      <c r="PL264" s="3"/>
      <c r="PM264" s="3"/>
      <c r="PN264" s="3"/>
      <c r="PO264" s="3"/>
      <c r="PP264" s="3"/>
      <c r="PQ264" s="3"/>
      <c r="PR264" s="3"/>
      <c r="PS264" s="3"/>
      <c r="PT264" s="3"/>
      <c r="PU264" s="3"/>
      <c r="PV264" s="3"/>
      <c r="PW264" s="3"/>
      <c r="PX264" s="3"/>
      <c r="PY264" s="3"/>
      <c r="PZ264" s="3"/>
      <c r="QA264" s="3"/>
      <c r="QB264" s="3"/>
      <c r="QC264" s="3"/>
      <c r="QD264" s="3"/>
      <c r="QE264" s="3"/>
      <c r="QF264" s="3"/>
      <c r="QG264" s="3"/>
      <c r="QH264" s="3"/>
      <c r="QI264" s="3"/>
      <c r="QJ264" s="3"/>
      <c r="QK264" s="3"/>
      <c r="QL264" s="3"/>
      <c r="QM264" s="3"/>
      <c r="QN264" s="3"/>
      <c r="QO264" s="3"/>
      <c r="QP264" s="3"/>
      <c r="QQ264" s="3"/>
      <c r="QR264" s="3"/>
      <c r="QS264" s="3"/>
      <c r="QT264" s="3"/>
      <c r="QU264" s="3"/>
      <c r="QV264" s="3"/>
      <c r="QW264" s="3"/>
      <c r="QX264" s="3"/>
      <c r="QY264" s="3"/>
      <c r="QZ264" s="3"/>
      <c r="RA264" s="3"/>
      <c r="RB264" s="3"/>
      <c r="RC264" s="3"/>
      <c r="RD264" s="3"/>
      <c r="RE264" s="3"/>
      <c r="RF264" s="3"/>
      <c r="RG264" s="3"/>
      <c r="RH264" s="3"/>
      <c r="RI264" s="3"/>
      <c r="RJ264" s="3"/>
      <c r="RK264" s="3"/>
      <c r="RL264" s="3"/>
      <c r="RM264" s="3"/>
      <c r="RN264" s="3"/>
      <c r="RO264" s="3"/>
      <c r="RP264" s="3"/>
      <c r="RQ264" s="3"/>
      <c r="RR264" s="3"/>
      <c r="RS264" s="3"/>
      <c r="RT264" s="3"/>
      <c r="RU264" s="3"/>
      <c r="RV264" s="3"/>
      <c r="RW264" s="3"/>
      <c r="RX264" s="3"/>
      <c r="RY264" s="3"/>
      <c r="RZ264" s="3"/>
      <c r="SA264" s="3"/>
      <c r="SB264" s="3"/>
      <c r="SC264" s="3"/>
      <c r="SD264" s="3"/>
      <c r="SE264" s="3"/>
      <c r="SF264" s="3"/>
      <c r="SG264" s="3"/>
      <c r="SH264" s="3"/>
      <c r="SI264" s="3"/>
      <c r="SJ264" s="3"/>
      <c r="SK264" s="3"/>
      <c r="SL264" s="3"/>
      <c r="SM264" s="3"/>
      <c r="SN264" s="3"/>
      <c r="SO264" s="3"/>
      <c r="SP264" s="3"/>
      <c r="SQ264" s="3"/>
      <c r="SR264" s="3"/>
      <c r="SS264" s="3"/>
      <c r="ST264" s="3"/>
      <c r="SU264" s="3"/>
      <c r="SV264" s="3"/>
      <c r="SW264" s="3"/>
      <c r="SX264" s="3"/>
      <c r="SY264" s="3"/>
      <c r="SZ264" s="3"/>
      <c r="TA264" s="3"/>
      <c r="TB264" s="3"/>
      <c r="TC264" s="3"/>
      <c r="TD264" s="3"/>
      <c r="TE264" s="3"/>
      <c r="TF264" s="3"/>
      <c r="TG264" s="3"/>
      <c r="TH264" s="3"/>
      <c r="TI264" s="3"/>
      <c r="TJ264" s="3"/>
      <c r="TK264" s="3"/>
      <c r="TL264" s="3"/>
      <c r="TM264" s="3"/>
      <c r="TN264" s="3"/>
      <c r="TO264" s="3"/>
      <c r="TP264" s="3"/>
      <c r="TQ264" s="3"/>
      <c r="TR264" s="3"/>
      <c r="TS264" s="3"/>
      <c r="TT264" s="3"/>
      <c r="TU264" s="3"/>
      <c r="TV264" s="3"/>
      <c r="TW264" s="3"/>
      <c r="TX264" s="3"/>
      <c r="TY264" s="3"/>
      <c r="TZ264" s="3"/>
      <c r="UA264" s="3"/>
      <c r="UB264" s="3"/>
      <c r="UC264" s="3"/>
      <c r="UD264" s="3"/>
      <c r="UE264" s="3"/>
      <c r="UF264" s="3"/>
      <c r="UG264" s="3"/>
      <c r="UH264" s="3"/>
      <c r="UI264" s="3"/>
      <c r="UJ264" s="3"/>
      <c r="UK264" s="3"/>
      <c r="UL264" s="3"/>
      <c r="UM264" s="3"/>
      <c r="UN264" s="3"/>
      <c r="UO264" s="3"/>
      <c r="UP264" s="3"/>
      <c r="UQ264" s="3"/>
      <c r="UR264" s="3"/>
      <c r="US264" s="3"/>
      <c r="UT264" s="3"/>
      <c r="UU264" s="3"/>
      <c r="UV264" s="3"/>
      <c r="UW264" s="3"/>
      <c r="UX264" s="3"/>
      <c r="UY264" s="3"/>
      <c r="UZ264" s="3"/>
      <c r="VA264" s="3"/>
      <c r="VB264" s="3"/>
      <c r="VC264" s="3"/>
      <c r="VD264" s="3"/>
      <c r="VE264" s="3"/>
      <c r="VF264" s="3"/>
      <c r="VG264" s="3"/>
      <c r="VH264" s="3"/>
      <c r="VI264" s="3"/>
      <c r="VJ264" s="3"/>
      <c r="VK264" s="3"/>
      <c r="VL264" s="3"/>
      <c r="VM264" s="3"/>
      <c r="VN264" s="3"/>
      <c r="VO264" s="3"/>
      <c r="VP264" s="3"/>
      <c r="VQ264" s="3"/>
      <c r="VR264" s="3"/>
      <c r="VS264" s="3"/>
      <c r="VT264" s="3"/>
      <c r="VU264" s="3"/>
      <c r="VV264" s="3"/>
      <c r="VW264" s="3"/>
      <c r="VX264" s="3"/>
      <c r="VY264" s="3"/>
      <c r="VZ264" s="3"/>
      <c r="WA264" s="3"/>
      <c r="WB264" s="3"/>
      <c r="WC264" s="3"/>
      <c r="WD264" s="3"/>
      <c r="WE264" s="3"/>
      <c r="WF264" s="3"/>
      <c r="WG264" s="3"/>
      <c r="WH264" s="3"/>
      <c r="WI264" s="3"/>
      <c r="WJ264" s="3"/>
      <c r="WK264" s="3"/>
      <c r="WL264" s="3"/>
      <c r="WM264" s="3"/>
      <c r="WN264" s="3"/>
      <c r="WO264" s="3"/>
      <c r="WP264" s="3"/>
      <c r="WQ264" s="3"/>
      <c r="WR264" s="3"/>
      <c r="WS264" s="3"/>
      <c r="WT264" s="3"/>
      <c r="WU264" s="3"/>
      <c r="WV264" s="3"/>
      <c r="WW264" s="3"/>
      <c r="WX264" s="3"/>
      <c r="WY264" s="3"/>
      <c r="WZ264" s="3"/>
      <c r="XA264" s="3"/>
      <c r="XB264" s="3"/>
      <c r="XC264" s="3"/>
      <c r="XD264" s="3"/>
      <c r="XE264" s="3"/>
      <c r="XF264" s="3"/>
      <c r="XG264" s="3"/>
      <c r="XH264" s="3"/>
      <c r="XI264" s="3"/>
      <c r="XJ264" s="3"/>
      <c r="XK264" s="3"/>
      <c r="XL264" s="3"/>
      <c r="XM264" s="3"/>
      <c r="XN264" s="3"/>
      <c r="XO264" s="3"/>
      <c r="XP264" s="3"/>
      <c r="XQ264" s="3"/>
      <c r="XR264" s="3"/>
      <c r="XS264" s="3"/>
      <c r="XT264" s="3"/>
      <c r="XU264" s="3"/>
      <c r="XV264" s="3"/>
      <c r="XW264" s="3"/>
      <c r="XX264" s="3"/>
      <c r="XY264" s="3"/>
      <c r="XZ264" s="3"/>
      <c r="YA264" s="3"/>
      <c r="YB264" s="3"/>
      <c r="YC264" s="3"/>
      <c r="YD264" s="3"/>
      <c r="YE264" s="3"/>
      <c r="YF264" s="3"/>
      <c r="YG264" s="3"/>
      <c r="YH264" s="3"/>
      <c r="YI264" s="3"/>
      <c r="YJ264" s="3"/>
      <c r="YK264" s="3"/>
      <c r="YL264" s="3"/>
      <c r="YM264" s="3"/>
      <c r="YN264" s="3"/>
      <c r="YO264" s="3"/>
      <c r="YP264" s="3"/>
      <c r="YQ264" s="3"/>
      <c r="YR264" s="3"/>
      <c r="YS264" s="3"/>
      <c r="YT264" s="3"/>
      <c r="YU264" s="3"/>
      <c r="YV264" s="3"/>
      <c r="YW264" s="3"/>
      <c r="YX264" s="3"/>
      <c r="YY264" s="3"/>
      <c r="YZ264" s="3"/>
      <c r="ZA264" s="3"/>
      <c r="ZB264" s="3"/>
      <c r="ZC264" s="3"/>
    </row>
    <row r="265" spans="1:679" s="2" customFormat="1" x14ac:dyDescent="0.45">
      <c r="A265" s="3" t="s">
        <v>11</v>
      </c>
      <c r="B265" s="4">
        <v>37810</v>
      </c>
      <c r="C265" s="7" t="s">
        <v>21</v>
      </c>
      <c r="D265" s="6" t="s">
        <v>284</v>
      </c>
      <c r="E265" s="3"/>
      <c r="F265" s="3">
        <v>12</v>
      </c>
      <c r="L265" s="3"/>
      <c r="M265" s="3"/>
      <c r="N265" s="48"/>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c r="CO265" s="3"/>
      <c r="CP265" s="3"/>
      <c r="CQ265" s="3"/>
      <c r="CR265" s="3"/>
      <c r="CS265" s="3"/>
      <c r="CT265" s="3"/>
      <c r="CU265" s="3"/>
      <c r="CV265" s="3"/>
      <c r="CW265" s="3"/>
      <c r="CX265" s="3"/>
      <c r="CY265" s="3"/>
      <c r="CZ265" s="3"/>
      <c r="DA265" s="3"/>
      <c r="DB265" s="3"/>
      <c r="DC265" s="3"/>
      <c r="DD265" s="3"/>
      <c r="DE265" s="3"/>
      <c r="DF265" s="3"/>
      <c r="DG265" s="3"/>
      <c r="DH265" s="3"/>
      <c r="DI265" s="3"/>
      <c r="DJ265" s="3"/>
      <c r="DK265" s="3"/>
      <c r="DL265" s="3"/>
      <c r="DM265" s="3"/>
      <c r="DN265" s="3"/>
      <c r="DO265" s="3"/>
      <c r="DP265" s="3"/>
      <c r="DQ265" s="3"/>
      <c r="DR265" s="3"/>
      <c r="DS265" s="3"/>
      <c r="DT265" s="3"/>
      <c r="DU265" s="3"/>
      <c r="DV265" s="3"/>
      <c r="DW265" s="3"/>
      <c r="DX265" s="3"/>
      <c r="DY265" s="3"/>
      <c r="DZ265" s="3"/>
      <c r="EA265" s="3"/>
      <c r="EB265" s="3"/>
      <c r="EC265" s="3"/>
      <c r="ED265" s="3"/>
      <c r="EE265" s="3"/>
      <c r="EF265" s="3"/>
      <c r="EG265" s="3"/>
      <c r="EH265" s="3"/>
      <c r="EI265" s="3"/>
      <c r="EJ265" s="3"/>
      <c r="EK265" s="3"/>
      <c r="EL265" s="3"/>
      <c r="EM265" s="3"/>
      <c r="EN265" s="3"/>
      <c r="EO265" s="3"/>
      <c r="EP265" s="3"/>
      <c r="EQ265" s="3"/>
      <c r="ER265" s="3"/>
      <c r="ES265" s="3"/>
      <c r="ET265" s="3"/>
      <c r="EU265" s="3"/>
      <c r="EV265" s="3"/>
      <c r="EW265" s="3"/>
      <c r="EX265" s="3"/>
      <c r="EY265" s="3"/>
      <c r="EZ265" s="3"/>
      <c r="FA265" s="3"/>
      <c r="FB265" s="3"/>
      <c r="FC265" s="3"/>
      <c r="FD265" s="3"/>
      <c r="FE265" s="3"/>
      <c r="FF265" s="3"/>
      <c r="FG265" s="3"/>
      <c r="FH265" s="3"/>
      <c r="FI265" s="3"/>
      <c r="FJ265" s="3"/>
      <c r="FK265" s="3"/>
      <c r="FL265" s="3"/>
      <c r="FM265" s="3"/>
      <c r="FN265" s="3"/>
      <c r="FO265" s="3"/>
      <c r="FP265" s="3"/>
      <c r="FQ265" s="3"/>
      <c r="FR265" s="3"/>
      <c r="FS265" s="3"/>
      <c r="FT265" s="3"/>
      <c r="FU265" s="3"/>
      <c r="FV265" s="3"/>
      <c r="FW265" s="3"/>
      <c r="FX265" s="3"/>
      <c r="FY265" s="3"/>
      <c r="FZ265" s="3"/>
      <c r="GA265" s="3"/>
      <c r="GB265" s="3"/>
      <c r="GC265" s="3"/>
      <c r="GD265" s="3"/>
      <c r="GE265" s="3"/>
      <c r="GF265" s="3"/>
      <c r="GG265" s="3"/>
      <c r="GH265" s="3"/>
      <c r="GI265" s="3"/>
      <c r="GJ265" s="3"/>
      <c r="GK265" s="3"/>
      <c r="GL265" s="3"/>
      <c r="GM265" s="3"/>
      <c r="GN265" s="3"/>
      <c r="GO265" s="3"/>
      <c r="GP265" s="3"/>
      <c r="GQ265" s="3"/>
      <c r="GR265" s="3"/>
      <c r="GS265" s="3"/>
      <c r="GT265" s="3"/>
      <c r="GU265" s="3"/>
      <c r="GV265" s="3"/>
      <c r="GW265" s="3"/>
      <c r="GX265" s="3"/>
      <c r="GY265" s="3"/>
      <c r="GZ265" s="3"/>
      <c r="HA265" s="3"/>
      <c r="HB265" s="3"/>
      <c r="HC265" s="3"/>
      <c r="HD265" s="3"/>
      <c r="HE265" s="3"/>
      <c r="HF265" s="3"/>
      <c r="HG265" s="3"/>
      <c r="HH265" s="3"/>
      <c r="HI265" s="3"/>
      <c r="HJ265" s="3"/>
      <c r="HK265" s="3"/>
      <c r="HL265" s="3"/>
      <c r="HM265" s="3"/>
      <c r="HN265" s="3"/>
      <c r="HO265" s="3"/>
      <c r="HP265" s="3"/>
      <c r="HQ265" s="3"/>
      <c r="HR265" s="3"/>
      <c r="HS265" s="3"/>
      <c r="HT265" s="3"/>
      <c r="HU265" s="3"/>
      <c r="HV265" s="3"/>
      <c r="HW265" s="3"/>
      <c r="HX265" s="3"/>
      <c r="HY265" s="3"/>
      <c r="HZ265" s="3"/>
      <c r="IA265" s="3"/>
      <c r="IB265" s="3"/>
      <c r="IC265" s="3"/>
      <c r="ID265" s="3"/>
      <c r="IE265" s="3"/>
      <c r="IF265" s="3"/>
      <c r="IG265" s="3"/>
      <c r="IH265" s="3"/>
      <c r="II265" s="3"/>
      <c r="IJ265" s="3"/>
      <c r="IK265" s="3"/>
      <c r="IL265" s="3"/>
      <c r="IM265" s="3"/>
      <c r="IN265" s="3"/>
      <c r="IO265" s="3"/>
      <c r="IP265" s="3"/>
      <c r="IQ265" s="3"/>
      <c r="IR265" s="3"/>
      <c r="IS265" s="3"/>
      <c r="IT265" s="3"/>
      <c r="IU265" s="3"/>
      <c r="IV265" s="3"/>
      <c r="IW265" s="3"/>
      <c r="IX265" s="3"/>
      <c r="IY265" s="3"/>
      <c r="IZ265" s="3"/>
      <c r="JA265" s="3"/>
      <c r="JB265" s="3"/>
      <c r="JC265" s="3"/>
      <c r="JD265" s="3"/>
      <c r="JE265" s="3"/>
      <c r="JF265" s="3"/>
      <c r="JG265" s="3"/>
      <c r="JH265" s="3"/>
      <c r="JI265" s="3"/>
      <c r="JJ265" s="3"/>
      <c r="JK265" s="3"/>
      <c r="JL265" s="3"/>
      <c r="JM265" s="3"/>
      <c r="JN265" s="3"/>
      <c r="JO265" s="3"/>
      <c r="JP265" s="3"/>
      <c r="JQ265" s="3"/>
      <c r="JR265" s="3"/>
      <c r="JS265" s="3"/>
      <c r="JT265" s="3"/>
      <c r="JU265" s="3"/>
      <c r="JV265" s="3"/>
      <c r="JW265" s="3"/>
      <c r="JX265" s="3"/>
      <c r="JY265" s="3"/>
      <c r="JZ265" s="3"/>
      <c r="KA265" s="3"/>
      <c r="KB265" s="3"/>
      <c r="KC265" s="3"/>
      <c r="KD265" s="3"/>
      <c r="KE265" s="3"/>
      <c r="KF265" s="3"/>
      <c r="KG265" s="3"/>
      <c r="KH265" s="3"/>
      <c r="KI265" s="3"/>
      <c r="KJ265" s="3"/>
      <c r="KK265" s="3"/>
      <c r="KL265" s="3"/>
      <c r="KM265" s="3"/>
      <c r="KN265" s="3"/>
      <c r="KO265" s="3"/>
      <c r="KP265" s="3"/>
      <c r="KQ265" s="3"/>
      <c r="KR265" s="3"/>
      <c r="KS265" s="3"/>
      <c r="KT265" s="3"/>
      <c r="KU265" s="3"/>
      <c r="KV265" s="3"/>
      <c r="KW265" s="3"/>
      <c r="KX265" s="3"/>
      <c r="KY265" s="3"/>
      <c r="KZ265" s="3"/>
      <c r="LA265" s="3"/>
      <c r="LB265" s="3"/>
      <c r="LC265" s="3"/>
      <c r="LD265" s="3"/>
      <c r="LE265" s="3"/>
      <c r="LF265" s="3"/>
      <c r="LG265" s="3"/>
      <c r="LH265" s="3"/>
      <c r="LI265" s="3"/>
      <c r="LJ265" s="3"/>
      <c r="LK265" s="3"/>
      <c r="LL265" s="3"/>
      <c r="LM265" s="3"/>
      <c r="LN265" s="3"/>
      <c r="LO265" s="3"/>
      <c r="LP265" s="3"/>
      <c r="LQ265" s="3"/>
      <c r="LR265" s="3"/>
      <c r="LS265" s="3"/>
      <c r="LT265" s="3"/>
      <c r="LU265" s="3"/>
      <c r="LV265" s="3"/>
      <c r="LW265" s="3"/>
      <c r="LX265" s="3"/>
      <c r="LY265" s="3"/>
      <c r="LZ265" s="3"/>
      <c r="MA265" s="3"/>
      <c r="MB265" s="3"/>
      <c r="MC265" s="3"/>
      <c r="MD265" s="3"/>
      <c r="ME265" s="3"/>
      <c r="MF265" s="3"/>
      <c r="MG265" s="3"/>
      <c r="MH265" s="3"/>
      <c r="MI265" s="3"/>
      <c r="MJ265" s="3"/>
      <c r="MK265" s="3"/>
      <c r="ML265" s="3"/>
      <c r="MM265" s="3"/>
      <c r="MN265" s="3"/>
      <c r="MO265" s="3"/>
      <c r="MP265" s="3"/>
      <c r="MQ265" s="3"/>
      <c r="MR265" s="3"/>
      <c r="MS265" s="3"/>
      <c r="MT265" s="3"/>
      <c r="MU265" s="3"/>
      <c r="MV265" s="3"/>
      <c r="MW265" s="3"/>
      <c r="MX265" s="3"/>
      <c r="MY265" s="3"/>
      <c r="MZ265" s="3"/>
      <c r="NA265" s="3"/>
      <c r="NB265" s="3"/>
      <c r="NC265" s="3"/>
      <c r="ND265" s="3"/>
      <c r="NE265" s="3"/>
      <c r="NF265" s="3"/>
      <c r="NG265" s="3"/>
      <c r="NH265" s="3"/>
      <c r="NI265" s="3"/>
      <c r="NJ265" s="3"/>
      <c r="NK265" s="3"/>
      <c r="NL265" s="3"/>
      <c r="NM265" s="3"/>
      <c r="NN265" s="3"/>
      <c r="NO265" s="3"/>
      <c r="NP265" s="3"/>
      <c r="NQ265" s="3"/>
      <c r="NR265" s="3"/>
      <c r="NS265" s="3"/>
      <c r="NT265" s="3"/>
      <c r="NU265" s="3"/>
      <c r="NV265" s="3"/>
      <c r="NW265" s="3"/>
      <c r="NX265" s="3"/>
      <c r="NY265" s="3"/>
      <c r="NZ265" s="3"/>
      <c r="OA265" s="3"/>
      <c r="OB265" s="3"/>
      <c r="OC265" s="3"/>
      <c r="OD265" s="3"/>
      <c r="OE265" s="3"/>
      <c r="OF265" s="3"/>
      <c r="OG265" s="3"/>
      <c r="OH265" s="3"/>
      <c r="OI265" s="3"/>
      <c r="OJ265" s="3"/>
      <c r="OK265" s="3"/>
      <c r="OL265" s="3"/>
      <c r="OM265" s="3"/>
      <c r="ON265" s="3"/>
      <c r="OO265" s="3"/>
      <c r="OP265" s="3"/>
      <c r="OQ265" s="3"/>
      <c r="OR265" s="3"/>
      <c r="OS265" s="3"/>
      <c r="OT265" s="3"/>
      <c r="OU265" s="3"/>
      <c r="OV265" s="3"/>
      <c r="OW265" s="3"/>
      <c r="OX265" s="3"/>
      <c r="OY265" s="3"/>
      <c r="OZ265" s="3"/>
      <c r="PA265" s="3"/>
      <c r="PB265" s="3"/>
      <c r="PC265" s="3"/>
      <c r="PD265" s="3"/>
      <c r="PE265" s="3"/>
      <c r="PF265" s="3"/>
      <c r="PG265" s="3"/>
      <c r="PH265" s="3"/>
      <c r="PI265" s="3"/>
      <c r="PJ265" s="3"/>
      <c r="PK265" s="3"/>
      <c r="PL265" s="3"/>
      <c r="PM265" s="3"/>
      <c r="PN265" s="3"/>
      <c r="PO265" s="3"/>
      <c r="PP265" s="3"/>
      <c r="PQ265" s="3"/>
      <c r="PR265" s="3"/>
      <c r="PS265" s="3"/>
      <c r="PT265" s="3"/>
      <c r="PU265" s="3"/>
      <c r="PV265" s="3"/>
      <c r="PW265" s="3"/>
      <c r="PX265" s="3"/>
      <c r="PY265" s="3"/>
      <c r="PZ265" s="3"/>
      <c r="QA265" s="3"/>
      <c r="QB265" s="3"/>
      <c r="QC265" s="3"/>
      <c r="QD265" s="3"/>
      <c r="QE265" s="3"/>
      <c r="QF265" s="3"/>
      <c r="QG265" s="3"/>
      <c r="QH265" s="3"/>
      <c r="QI265" s="3"/>
      <c r="QJ265" s="3"/>
      <c r="QK265" s="3"/>
      <c r="QL265" s="3"/>
      <c r="QM265" s="3"/>
      <c r="QN265" s="3"/>
      <c r="QO265" s="3"/>
      <c r="QP265" s="3"/>
      <c r="QQ265" s="3"/>
      <c r="QR265" s="3"/>
      <c r="QS265" s="3"/>
      <c r="QT265" s="3"/>
      <c r="QU265" s="3"/>
      <c r="QV265" s="3"/>
      <c r="QW265" s="3"/>
      <c r="QX265" s="3"/>
      <c r="QY265" s="3"/>
      <c r="QZ265" s="3"/>
      <c r="RA265" s="3"/>
      <c r="RB265" s="3"/>
      <c r="RC265" s="3"/>
      <c r="RD265" s="3"/>
      <c r="RE265" s="3"/>
      <c r="RF265" s="3"/>
      <c r="RG265" s="3"/>
      <c r="RH265" s="3"/>
      <c r="RI265" s="3"/>
      <c r="RJ265" s="3"/>
      <c r="RK265" s="3"/>
      <c r="RL265" s="3"/>
      <c r="RM265" s="3"/>
      <c r="RN265" s="3"/>
      <c r="RO265" s="3"/>
      <c r="RP265" s="3"/>
      <c r="RQ265" s="3"/>
      <c r="RR265" s="3"/>
      <c r="RS265" s="3"/>
      <c r="RT265" s="3"/>
      <c r="RU265" s="3"/>
      <c r="RV265" s="3"/>
      <c r="RW265" s="3"/>
      <c r="RX265" s="3"/>
      <c r="RY265" s="3"/>
      <c r="RZ265" s="3"/>
      <c r="SA265" s="3"/>
      <c r="SB265" s="3"/>
      <c r="SC265" s="3"/>
      <c r="SD265" s="3"/>
      <c r="SE265" s="3"/>
      <c r="SF265" s="3"/>
      <c r="SG265" s="3"/>
      <c r="SH265" s="3"/>
      <c r="SI265" s="3"/>
      <c r="SJ265" s="3"/>
      <c r="SK265" s="3"/>
      <c r="SL265" s="3"/>
      <c r="SM265" s="3"/>
      <c r="SN265" s="3"/>
      <c r="SO265" s="3"/>
      <c r="SP265" s="3"/>
      <c r="SQ265" s="3"/>
      <c r="SR265" s="3"/>
      <c r="SS265" s="3"/>
      <c r="ST265" s="3"/>
      <c r="SU265" s="3"/>
      <c r="SV265" s="3"/>
      <c r="SW265" s="3"/>
      <c r="SX265" s="3"/>
      <c r="SY265" s="3"/>
      <c r="SZ265" s="3"/>
      <c r="TA265" s="3"/>
      <c r="TB265" s="3"/>
      <c r="TC265" s="3"/>
      <c r="TD265" s="3"/>
      <c r="TE265" s="3"/>
      <c r="TF265" s="3"/>
      <c r="TG265" s="3"/>
      <c r="TH265" s="3"/>
      <c r="TI265" s="3"/>
      <c r="TJ265" s="3"/>
      <c r="TK265" s="3"/>
      <c r="TL265" s="3"/>
      <c r="TM265" s="3"/>
      <c r="TN265" s="3"/>
      <c r="TO265" s="3"/>
      <c r="TP265" s="3"/>
      <c r="TQ265" s="3"/>
      <c r="TR265" s="3"/>
      <c r="TS265" s="3"/>
      <c r="TT265" s="3"/>
      <c r="TU265" s="3"/>
      <c r="TV265" s="3"/>
      <c r="TW265" s="3"/>
      <c r="TX265" s="3"/>
      <c r="TY265" s="3"/>
      <c r="TZ265" s="3"/>
      <c r="UA265" s="3"/>
      <c r="UB265" s="3"/>
      <c r="UC265" s="3"/>
      <c r="UD265" s="3"/>
      <c r="UE265" s="3"/>
      <c r="UF265" s="3"/>
      <c r="UG265" s="3"/>
      <c r="UH265" s="3"/>
      <c r="UI265" s="3"/>
      <c r="UJ265" s="3"/>
      <c r="UK265" s="3"/>
      <c r="UL265" s="3"/>
      <c r="UM265" s="3"/>
      <c r="UN265" s="3"/>
      <c r="UO265" s="3"/>
      <c r="UP265" s="3"/>
      <c r="UQ265" s="3"/>
      <c r="UR265" s="3"/>
      <c r="US265" s="3"/>
      <c r="UT265" s="3"/>
      <c r="UU265" s="3"/>
      <c r="UV265" s="3"/>
      <c r="UW265" s="3"/>
      <c r="UX265" s="3"/>
      <c r="UY265" s="3"/>
      <c r="UZ265" s="3"/>
      <c r="VA265" s="3"/>
      <c r="VB265" s="3"/>
      <c r="VC265" s="3"/>
      <c r="VD265" s="3"/>
      <c r="VE265" s="3"/>
      <c r="VF265" s="3"/>
      <c r="VG265" s="3"/>
      <c r="VH265" s="3"/>
      <c r="VI265" s="3"/>
      <c r="VJ265" s="3"/>
      <c r="VK265" s="3"/>
      <c r="VL265" s="3"/>
      <c r="VM265" s="3"/>
      <c r="VN265" s="3"/>
      <c r="VO265" s="3"/>
      <c r="VP265" s="3"/>
      <c r="VQ265" s="3"/>
      <c r="VR265" s="3"/>
      <c r="VS265" s="3"/>
      <c r="VT265" s="3"/>
      <c r="VU265" s="3"/>
      <c r="VV265" s="3"/>
      <c r="VW265" s="3"/>
      <c r="VX265" s="3"/>
      <c r="VY265" s="3"/>
      <c r="VZ265" s="3"/>
      <c r="WA265" s="3"/>
      <c r="WB265" s="3"/>
      <c r="WC265" s="3"/>
      <c r="WD265" s="3"/>
      <c r="WE265" s="3"/>
      <c r="WF265" s="3"/>
      <c r="WG265" s="3"/>
      <c r="WH265" s="3"/>
      <c r="WI265" s="3"/>
      <c r="WJ265" s="3"/>
      <c r="WK265" s="3"/>
      <c r="WL265" s="3"/>
      <c r="WM265" s="3"/>
      <c r="WN265" s="3"/>
      <c r="WO265" s="3"/>
      <c r="WP265" s="3"/>
      <c r="WQ265" s="3"/>
      <c r="WR265" s="3"/>
      <c r="WS265" s="3"/>
      <c r="WT265" s="3"/>
      <c r="WU265" s="3"/>
      <c r="WV265" s="3"/>
      <c r="WW265" s="3"/>
      <c r="WX265" s="3"/>
      <c r="WY265" s="3"/>
      <c r="WZ265" s="3"/>
      <c r="XA265" s="3"/>
      <c r="XB265" s="3"/>
      <c r="XC265" s="3"/>
      <c r="XD265" s="3"/>
      <c r="XE265" s="3"/>
      <c r="XF265" s="3"/>
      <c r="XG265" s="3"/>
      <c r="XH265" s="3"/>
      <c r="XI265" s="3"/>
      <c r="XJ265" s="3"/>
      <c r="XK265" s="3"/>
      <c r="XL265" s="3"/>
      <c r="XM265" s="3"/>
      <c r="XN265" s="3"/>
      <c r="XO265" s="3"/>
      <c r="XP265" s="3"/>
      <c r="XQ265" s="3"/>
      <c r="XR265" s="3"/>
      <c r="XS265" s="3"/>
      <c r="XT265" s="3"/>
      <c r="XU265" s="3"/>
      <c r="XV265" s="3"/>
      <c r="XW265" s="3"/>
      <c r="XX265" s="3"/>
      <c r="XY265" s="3"/>
      <c r="XZ265" s="3"/>
      <c r="YA265" s="3"/>
      <c r="YB265" s="3"/>
      <c r="YC265" s="3"/>
      <c r="YD265" s="3"/>
      <c r="YE265" s="3"/>
      <c r="YF265" s="3"/>
      <c r="YG265" s="3"/>
      <c r="YH265" s="3"/>
      <c r="YI265" s="3"/>
      <c r="YJ265" s="3"/>
      <c r="YK265" s="3"/>
      <c r="YL265" s="3"/>
      <c r="YM265" s="3"/>
      <c r="YN265" s="3"/>
      <c r="YO265" s="3"/>
      <c r="YP265" s="3"/>
      <c r="YQ265" s="3"/>
      <c r="YR265" s="3"/>
      <c r="YS265" s="3"/>
      <c r="YT265" s="3"/>
      <c r="YU265" s="3"/>
      <c r="YV265" s="3"/>
      <c r="YW265" s="3"/>
      <c r="YX265" s="3"/>
      <c r="YY265" s="3"/>
      <c r="YZ265" s="3"/>
      <c r="ZA265" s="3"/>
      <c r="ZB265" s="3"/>
      <c r="ZC265" s="3"/>
    </row>
    <row r="266" spans="1:679" s="2" customFormat="1" x14ac:dyDescent="0.45">
      <c r="A266" s="3" t="s">
        <v>11</v>
      </c>
      <c r="B266" s="4">
        <v>37844</v>
      </c>
      <c r="C266" s="7" t="s">
        <v>25</v>
      </c>
      <c r="D266" s="6" t="s">
        <v>285</v>
      </c>
      <c r="E266" s="3"/>
      <c r="F266" s="3">
        <v>39</v>
      </c>
      <c r="L266" s="3"/>
      <c r="M266" s="3"/>
      <c r="N266" s="48"/>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c r="CO266" s="3"/>
      <c r="CP266" s="3"/>
      <c r="CQ266" s="3"/>
      <c r="CR266" s="3"/>
      <c r="CS266" s="3"/>
      <c r="CT266" s="3"/>
      <c r="CU266" s="3"/>
      <c r="CV266" s="3"/>
      <c r="CW266" s="3"/>
      <c r="CX266" s="3"/>
      <c r="CY266" s="3"/>
      <c r="CZ266" s="3"/>
      <c r="DA266" s="3"/>
      <c r="DB266" s="3"/>
      <c r="DC266" s="3"/>
      <c r="DD266" s="3"/>
      <c r="DE266" s="3"/>
      <c r="DF266" s="3"/>
      <c r="DG266" s="3"/>
      <c r="DH266" s="3"/>
      <c r="DI266" s="3"/>
      <c r="DJ266" s="3"/>
      <c r="DK266" s="3"/>
      <c r="DL266" s="3"/>
      <c r="DM266" s="3"/>
      <c r="DN266" s="3"/>
      <c r="DO266" s="3"/>
      <c r="DP266" s="3"/>
      <c r="DQ266" s="3"/>
      <c r="DR266" s="3"/>
      <c r="DS266" s="3"/>
      <c r="DT266" s="3"/>
      <c r="DU266" s="3"/>
      <c r="DV266" s="3"/>
      <c r="DW266" s="3"/>
      <c r="DX266" s="3"/>
      <c r="DY266" s="3"/>
      <c r="DZ266" s="3"/>
      <c r="EA266" s="3"/>
      <c r="EB266" s="3"/>
      <c r="EC266" s="3"/>
      <c r="ED266" s="3"/>
      <c r="EE266" s="3"/>
      <c r="EF266" s="3"/>
      <c r="EG266" s="3"/>
      <c r="EH266" s="3"/>
      <c r="EI266" s="3"/>
      <c r="EJ266" s="3"/>
      <c r="EK266" s="3"/>
      <c r="EL266" s="3"/>
      <c r="EM266" s="3"/>
      <c r="EN266" s="3"/>
      <c r="EO266" s="3"/>
      <c r="EP266" s="3"/>
      <c r="EQ266" s="3"/>
      <c r="ER266" s="3"/>
      <c r="ES266" s="3"/>
      <c r="ET266" s="3"/>
      <c r="EU266" s="3"/>
      <c r="EV266" s="3"/>
      <c r="EW266" s="3"/>
      <c r="EX266" s="3"/>
      <c r="EY266" s="3"/>
      <c r="EZ266" s="3"/>
      <c r="FA266" s="3"/>
      <c r="FB266" s="3"/>
      <c r="FC266" s="3"/>
      <c r="FD266" s="3"/>
      <c r="FE266" s="3"/>
      <c r="FF266" s="3"/>
      <c r="FG266" s="3"/>
      <c r="FH266" s="3"/>
      <c r="FI266" s="3"/>
      <c r="FJ266" s="3"/>
      <c r="FK266" s="3"/>
      <c r="FL266" s="3"/>
      <c r="FM266" s="3"/>
      <c r="FN266" s="3"/>
      <c r="FO266" s="3"/>
      <c r="FP266" s="3"/>
      <c r="FQ266" s="3"/>
      <c r="FR266" s="3"/>
      <c r="FS266" s="3"/>
      <c r="FT266" s="3"/>
      <c r="FU266" s="3"/>
      <c r="FV266" s="3"/>
      <c r="FW266" s="3"/>
      <c r="FX266" s="3"/>
      <c r="FY266" s="3"/>
      <c r="FZ266" s="3"/>
      <c r="GA266" s="3"/>
      <c r="GB266" s="3"/>
      <c r="GC266" s="3"/>
      <c r="GD266" s="3"/>
      <c r="GE266" s="3"/>
      <c r="GF266" s="3"/>
      <c r="GG266" s="3"/>
      <c r="GH266" s="3"/>
      <c r="GI266" s="3"/>
      <c r="GJ266" s="3"/>
      <c r="GK266" s="3"/>
      <c r="GL266" s="3"/>
      <c r="GM266" s="3"/>
      <c r="GN266" s="3"/>
      <c r="GO266" s="3"/>
      <c r="GP266" s="3"/>
      <c r="GQ266" s="3"/>
      <c r="GR266" s="3"/>
      <c r="GS266" s="3"/>
      <c r="GT266" s="3"/>
      <c r="GU266" s="3"/>
      <c r="GV266" s="3"/>
      <c r="GW266" s="3"/>
      <c r="GX266" s="3"/>
      <c r="GY266" s="3"/>
      <c r="GZ266" s="3"/>
      <c r="HA266" s="3"/>
      <c r="HB266" s="3"/>
      <c r="HC266" s="3"/>
      <c r="HD266" s="3"/>
      <c r="HE266" s="3"/>
      <c r="HF266" s="3"/>
      <c r="HG266" s="3"/>
      <c r="HH266" s="3"/>
      <c r="HI266" s="3"/>
      <c r="HJ266" s="3"/>
      <c r="HK266" s="3"/>
      <c r="HL266" s="3"/>
      <c r="HM266" s="3"/>
      <c r="HN266" s="3"/>
      <c r="HO266" s="3"/>
      <c r="HP266" s="3"/>
      <c r="HQ266" s="3"/>
      <c r="HR266" s="3"/>
      <c r="HS266" s="3"/>
      <c r="HT266" s="3"/>
      <c r="HU266" s="3"/>
      <c r="HV266" s="3"/>
      <c r="HW266" s="3"/>
      <c r="HX266" s="3"/>
      <c r="HY266" s="3"/>
      <c r="HZ266" s="3"/>
      <c r="IA266" s="3"/>
      <c r="IB266" s="3"/>
      <c r="IC266" s="3"/>
      <c r="ID266" s="3"/>
      <c r="IE266" s="3"/>
      <c r="IF266" s="3"/>
      <c r="IG266" s="3"/>
      <c r="IH266" s="3"/>
      <c r="II266" s="3"/>
      <c r="IJ266" s="3"/>
      <c r="IK266" s="3"/>
      <c r="IL266" s="3"/>
      <c r="IM266" s="3"/>
      <c r="IN266" s="3"/>
      <c r="IO266" s="3"/>
      <c r="IP266" s="3"/>
      <c r="IQ266" s="3"/>
      <c r="IR266" s="3"/>
      <c r="IS266" s="3"/>
      <c r="IT266" s="3"/>
      <c r="IU266" s="3"/>
      <c r="IV266" s="3"/>
      <c r="IW266" s="3"/>
      <c r="IX266" s="3"/>
      <c r="IY266" s="3"/>
      <c r="IZ266" s="3"/>
      <c r="JA266" s="3"/>
      <c r="JB266" s="3"/>
      <c r="JC266" s="3"/>
      <c r="JD266" s="3"/>
      <c r="JE266" s="3"/>
      <c r="JF266" s="3"/>
      <c r="JG266" s="3"/>
      <c r="JH266" s="3"/>
      <c r="JI266" s="3"/>
      <c r="JJ266" s="3"/>
      <c r="JK266" s="3"/>
      <c r="JL266" s="3"/>
      <c r="JM266" s="3"/>
      <c r="JN266" s="3"/>
      <c r="JO266" s="3"/>
      <c r="JP266" s="3"/>
      <c r="JQ266" s="3"/>
      <c r="JR266" s="3"/>
      <c r="JS266" s="3"/>
      <c r="JT266" s="3"/>
      <c r="JU266" s="3"/>
      <c r="JV266" s="3"/>
      <c r="JW266" s="3"/>
      <c r="JX266" s="3"/>
      <c r="JY266" s="3"/>
      <c r="JZ266" s="3"/>
      <c r="KA266" s="3"/>
      <c r="KB266" s="3"/>
      <c r="KC266" s="3"/>
      <c r="KD266" s="3"/>
      <c r="KE266" s="3"/>
      <c r="KF266" s="3"/>
      <c r="KG266" s="3"/>
      <c r="KH266" s="3"/>
      <c r="KI266" s="3"/>
      <c r="KJ266" s="3"/>
      <c r="KK266" s="3"/>
      <c r="KL266" s="3"/>
      <c r="KM266" s="3"/>
      <c r="KN266" s="3"/>
      <c r="KO266" s="3"/>
      <c r="KP266" s="3"/>
      <c r="KQ266" s="3"/>
      <c r="KR266" s="3"/>
      <c r="KS266" s="3"/>
      <c r="KT266" s="3"/>
      <c r="KU266" s="3"/>
      <c r="KV266" s="3"/>
      <c r="KW266" s="3"/>
      <c r="KX266" s="3"/>
      <c r="KY266" s="3"/>
      <c r="KZ266" s="3"/>
      <c r="LA266" s="3"/>
      <c r="LB266" s="3"/>
      <c r="LC266" s="3"/>
      <c r="LD266" s="3"/>
      <c r="LE266" s="3"/>
      <c r="LF266" s="3"/>
      <c r="LG266" s="3"/>
      <c r="LH266" s="3"/>
      <c r="LI266" s="3"/>
      <c r="LJ266" s="3"/>
      <c r="LK266" s="3"/>
      <c r="LL266" s="3"/>
      <c r="LM266" s="3"/>
      <c r="LN266" s="3"/>
      <c r="LO266" s="3"/>
      <c r="LP266" s="3"/>
      <c r="LQ266" s="3"/>
      <c r="LR266" s="3"/>
      <c r="LS266" s="3"/>
      <c r="LT266" s="3"/>
      <c r="LU266" s="3"/>
      <c r="LV266" s="3"/>
      <c r="LW266" s="3"/>
      <c r="LX266" s="3"/>
      <c r="LY266" s="3"/>
      <c r="LZ266" s="3"/>
      <c r="MA266" s="3"/>
      <c r="MB266" s="3"/>
      <c r="MC266" s="3"/>
      <c r="MD266" s="3"/>
      <c r="ME266" s="3"/>
      <c r="MF266" s="3"/>
      <c r="MG266" s="3"/>
      <c r="MH266" s="3"/>
      <c r="MI266" s="3"/>
      <c r="MJ266" s="3"/>
      <c r="MK266" s="3"/>
      <c r="ML266" s="3"/>
      <c r="MM266" s="3"/>
      <c r="MN266" s="3"/>
      <c r="MO266" s="3"/>
      <c r="MP266" s="3"/>
      <c r="MQ266" s="3"/>
      <c r="MR266" s="3"/>
      <c r="MS266" s="3"/>
      <c r="MT266" s="3"/>
      <c r="MU266" s="3"/>
      <c r="MV266" s="3"/>
      <c r="MW266" s="3"/>
      <c r="MX266" s="3"/>
      <c r="MY266" s="3"/>
      <c r="MZ266" s="3"/>
      <c r="NA266" s="3"/>
      <c r="NB266" s="3"/>
      <c r="NC266" s="3"/>
      <c r="ND266" s="3"/>
      <c r="NE266" s="3"/>
      <c r="NF266" s="3"/>
      <c r="NG266" s="3"/>
      <c r="NH266" s="3"/>
      <c r="NI266" s="3"/>
      <c r="NJ266" s="3"/>
      <c r="NK266" s="3"/>
      <c r="NL266" s="3"/>
      <c r="NM266" s="3"/>
      <c r="NN266" s="3"/>
      <c r="NO266" s="3"/>
      <c r="NP266" s="3"/>
      <c r="NQ266" s="3"/>
      <c r="NR266" s="3"/>
      <c r="NS266" s="3"/>
      <c r="NT266" s="3"/>
      <c r="NU266" s="3"/>
      <c r="NV266" s="3"/>
      <c r="NW266" s="3"/>
      <c r="NX266" s="3"/>
      <c r="NY266" s="3"/>
      <c r="NZ266" s="3"/>
      <c r="OA266" s="3"/>
      <c r="OB266" s="3"/>
      <c r="OC266" s="3"/>
      <c r="OD266" s="3"/>
      <c r="OE266" s="3"/>
      <c r="OF266" s="3"/>
      <c r="OG266" s="3"/>
      <c r="OH266" s="3"/>
      <c r="OI266" s="3"/>
      <c r="OJ266" s="3"/>
      <c r="OK266" s="3"/>
      <c r="OL266" s="3"/>
      <c r="OM266" s="3"/>
      <c r="ON266" s="3"/>
      <c r="OO266" s="3"/>
      <c r="OP266" s="3"/>
      <c r="OQ266" s="3"/>
      <c r="OR266" s="3"/>
      <c r="OS266" s="3"/>
      <c r="OT266" s="3"/>
      <c r="OU266" s="3"/>
      <c r="OV266" s="3"/>
      <c r="OW266" s="3"/>
      <c r="OX266" s="3"/>
      <c r="OY266" s="3"/>
      <c r="OZ266" s="3"/>
      <c r="PA266" s="3"/>
      <c r="PB266" s="3"/>
      <c r="PC266" s="3"/>
      <c r="PD266" s="3"/>
      <c r="PE266" s="3"/>
      <c r="PF266" s="3"/>
      <c r="PG266" s="3"/>
      <c r="PH266" s="3"/>
      <c r="PI266" s="3"/>
      <c r="PJ266" s="3"/>
      <c r="PK266" s="3"/>
      <c r="PL266" s="3"/>
      <c r="PM266" s="3"/>
      <c r="PN266" s="3"/>
      <c r="PO266" s="3"/>
      <c r="PP266" s="3"/>
      <c r="PQ266" s="3"/>
      <c r="PR266" s="3"/>
      <c r="PS266" s="3"/>
      <c r="PT266" s="3"/>
      <c r="PU266" s="3"/>
      <c r="PV266" s="3"/>
      <c r="PW266" s="3"/>
      <c r="PX266" s="3"/>
      <c r="PY266" s="3"/>
      <c r="PZ266" s="3"/>
      <c r="QA266" s="3"/>
      <c r="QB266" s="3"/>
      <c r="QC266" s="3"/>
      <c r="QD266" s="3"/>
      <c r="QE266" s="3"/>
      <c r="QF266" s="3"/>
      <c r="QG266" s="3"/>
      <c r="QH266" s="3"/>
      <c r="QI266" s="3"/>
      <c r="QJ266" s="3"/>
      <c r="QK266" s="3"/>
      <c r="QL266" s="3"/>
      <c r="QM266" s="3"/>
      <c r="QN266" s="3"/>
      <c r="QO266" s="3"/>
      <c r="QP266" s="3"/>
      <c r="QQ266" s="3"/>
      <c r="QR266" s="3"/>
      <c r="QS266" s="3"/>
      <c r="QT266" s="3"/>
      <c r="QU266" s="3"/>
      <c r="QV266" s="3"/>
      <c r="QW266" s="3"/>
      <c r="QX266" s="3"/>
      <c r="QY266" s="3"/>
      <c r="QZ266" s="3"/>
      <c r="RA266" s="3"/>
      <c r="RB266" s="3"/>
      <c r="RC266" s="3"/>
      <c r="RD266" s="3"/>
      <c r="RE266" s="3"/>
      <c r="RF266" s="3"/>
      <c r="RG266" s="3"/>
      <c r="RH266" s="3"/>
      <c r="RI266" s="3"/>
      <c r="RJ266" s="3"/>
      <c r="RK266" s="3"/>
      <c r="RL266" s="3"/>
      <c r="RM266" s="3"/>
      <c r="RN266" s="3"/>
      <c r="RO266" s="3"/>
      <c r="RP266" s="3"/>
      <c r="RQ266" s="3"/>
      <c r="RR266" s="3"/>
      <c r="RS266" s="3"/>
      <c r="RT266" s="3"/>
      <c r="RU266" s="3"/>
      <c r="RV266" s="3"/>
      <c r="RW266" s="3"/>
      <c r="RX266" s="3"/>
      <c r="RY266" s="3"/>
      <c r="RZ266" s="3"/>
      <c r="SA266" s="3"/>
      <c r="SB266" s="3"/>
      <c r="SC266" s="3"/>
      <c r="SD266" s="3"/>
      <c r="SE266" s="3"/>
      <c r="SF266" s="3"/>
      <c r="SG266" s="3"/>
      <c r="SH266" s="3"/>
      <c r="SI266" s="3"/>
      <c r="SJ266" s="3"/>
      <c r="SK266" s="3"/>
      <c r="SL266" s="3"/>
      <c r="SM266" s="3"/>
      <c r="SN266" s="3"/>
      <c r="SO266" s="3"/>
      <c r="SP266" s="3"/>
      <c r="SQ266" s="3"/>
      <c r="SR266" s="3"/>
      <c r="SS266" s="3"/>
      <c r="ST266" s="3"/>
      <c r="SU266" s="3"/>
      <c r="SV266" s="3"/>
      <c r="SW266" s="3"/>
      <c r="SX266" s="3"/>
      <c r="SY266" s="3"/>
      <c r="SZ266" s="3"/>
      <c r="TA266" s="3"/>
      <c r="TB266" s="3"/>
      <c r="TC266" s="3"/>
      <c r="TD266" s="3"/>
      <c r="TE266" s="3"/>
      <c r="TF266" s="3"/>
      <c r="TG266" s="3"/>
      <c r="TH266" s="3"/>
      <c r="TI266" s="3"/>
      <c r="TJ266" s="3"/>
      <c r="TK266" s="3"/>
      <c r="TL266" s="3"/>
      <c r="TM266" s="3"/>
      <c r="TN266" s="3"/>
      <c r="TO266" s="3"/>
      <c r="TP266" s="3"/>
      <c r="TQ266" s="3"/>
      <c r="TR266" s="3"/>
      <c r="TS266" s="3"/>
      <c r="TT266" s="3"/>
      <c r="TU266" s="3"/>
      <c r="TV266" s="3"/>
      <c r="TW266" s="3"/>
      <c r="TX266" s="3"/>
      <c r="TY266" s="3"/>
      <c r="TZ266" s="3"/>
      <c r="UA266" s="3"/>
      <c r="UB266" s="3"/>
      <c r="UC266" s="3"/>
      <c r="UD266" s="3"/>
      <c r="UE266" s="3"/>
      <c r="UF266" s="3"/>
      <c r="UG266" s="3"/>
      <c r="UH266" s="3"/>
      <c r="UI266" s="3"/>
      <c r="UJ266" s="3"/>
      <c r="UK266" s="3"/>
      <c r="UL266" s="3"/>
      <c r="UM266" s="3"/>
      <c r="UN266" s="3"/>
      <c r="UO266" s="3"/>
      <c r="UP266" s="3"/>
      <c r="UQ266" s="3"/>
      <c r="UR266" s="3"/>
      <c r="US266" s="3"/>
      <c r="UT266" s="3"/>
      <c r="UU266" s="3"/>
      <c r="UV266" s="3"/>
      <c r="UW266" s="3"/>
      <c r="UX266" s="3"/>
      <c r="UY266" s="3"/>
      <c r="UZ266" s="3"/>
      <c r="VA266" s="3"/>
      <c r="VB266" s="3"/>
      <c r="VC266" s="3"/>
      <c r="VD266" s="3"/>
      <c r="VE266" s="3"/>
      <c r="VF266" s="3"/>
      <c r="VG266" s="3"/>
      <c r="VH266" s="3"/>
      <c r="VI266" s="3"/>
      <c r="VJ266" s="3"/>
      <c r="VK266" s="3"/>
      <c r="VL266" s="3"/>
      <c r="VM266" s="3"/>
      <c r="VN266" s="3"/>
      <c r="VO266" s="3"/>
      <c r="VP266" s="3"/>
      <c r="VQ266" s="3"/>
      <c r="VR266" s="3"/>
      <c r="VS266" s="3"/>
      <c r="VT266" s="3"/>
      <c r="VU266" s="3"/>
      <c r="VV266" s="3"/>
      <c r="VW266" s="3"/>
      <c r="VX266" s="3"/>
      <c r="VY266" s="3"/>
      <c r="VZ266" s="3"/>
      <c r="WA266" s="3"/>
      <c r="WB266" s="3"/>
      <c r="WC266" s="3"/>
      <c r="WD266" s="3"/>
      <c r="WE266" s="3"/>
      <c r="WF266" s="3"/>
      <c r="WG266" s="3"/>
      <c r="WH266" s="3"/>
      <c r="WI266" s="3"/>
      <c r="WJ266" s="3"/>
      <c r="WK266" s="3"/>
      <c r="WL266" s="3"/>
      <c r="WM266" s="3"/>
      <c r="WN266" s="3"/>
      <c r="WO266" s="3"/>
      <c r="WP266" s="3"/>
      <c r="WQ266" s="3"/>
      <c r="WR266" s="3"/>
      <c r="WS266" s="3"/>
      <c r="WT266" s="3"/>
      <c r="WU266" s="3"/>
      <c r="WV266" s="3"/>
      <c r="WW266" s="3"/>
      <c r="WX266" s="3"/>
      <c r="WY266" s="3"/>
      <c r="WZ266" s="3"/>
      <c r="XA266" s="3"/>
      <c r="XB266" s="3"/>
      <c r="XC266" s="3"/>
      <c r="XD266" s="3"/>
      <c r="XE266" s="3"/>
      <c r="XF266" s="3"/>
      <c r="XG266" s="3"/>
      <c r="XH266" s="3"/>
      <c r="XI266" s="3"/>
      <c r="XJ266" s="3"/>
      <c r="XK266" s="3"/>
      <c r="XL266" s="3"/>
      <c r="XM266" s="3"/>
      <c r="XN266" s="3"/>
      <c r="XO266" s="3"/>
      <c r="XP266" s="3"/>
      <c r="XQ266" s="3"/>
      <c r="XR266" s="3"/>
      <c r="XS266" s="3"/>
      <c r="XT266" s="3"/>
      <c r="XU266" s="3"/>
      <c r="XV266" s="3"/>
      <c r="XW266" s="3"/>
      <c r="XX266" s="3"/>
      <c r="XY266" s="3"/>
      <c r="XZ266" s="3"/>
      <c r="YA266" s="3"/>
      <c r="YB266" s="3"/>
      <c r="YC266" s="3"/>
      <c r="YD266" s="3"/>
      <c r="YE266" s="3"/>
      <c r="YF266" s="3"/>
      <c r="YG266" s="3"/>
      <c r="YH266" s="3"/>
      <c r="YI266" s="3"/>
      <c r="YJ266" s="3"/>
      <c r="YK266" s="3"/>
      <c r="YL266" s="3"/>
      <c r="YM266" s="3"/>
      <c r="YN266" s="3"/>
      <c r="YO266" s="3"/>
      <c r="YP266" s="3"/>
      <c r="YQ266" s="3"/>
      <c r="YR266" s="3"/>
      <c r="YS266" s="3"/>
      <c r="YT266" s="3"/>
      <c r="YU266" s="3"/>
      <c r="YV266" s="3"/>
      <c r="YW266" s="3"/>
      <c r="YX266" s="3"/>
      <c r="YY266" s="3"/>
      <c r="YZ266" s="3"/>
      <c r="ZA266" s="3"/>
      <c r="ZB266" s="3"/>
      <c r="ZC266" s="3"/>
    </row>
    <row r="267" spans="1:679" s="2" customFormat="1" x14ac:dyDescent="0.45">
      <c r="A267" s="3" t="s">
        <v>11</v>
      </c>
      <c r="B267" s="4">
        <v>37945</v>
      </c>
      <c r="C267" s="7" t="s">
        <v>21</v>
      </c>
      <c r="D267" s="6" t="s">
        <v>286</v>
      </c>
      <c r="E267" s="3"/>
      <c r="F267" s="3">
        <v>4</v>
      </c>
      <c r="L267" s="3"/>
      <c r="M267" s="3"/>
      <c r="N267" s="48"/>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c r="CO267" s="3"/>
      <c r="CP267" s="3"/>
      <c r="CQ267" s="3"/>
      <c r="CR267" s="3"/>
      <c r="CS267" s="3"/>
      <c r="CT267" s="3"/>
      <c r="CU267" s="3"/>
      <c r="CV267" s="3"/>
      <c r="CW267" s="3"/>
      <c r="CX267" s="3"/>
      <c r="CY267" s="3"/>
      <c r="CZ267" s="3"/>
      <c r="DA267" s="3"/>
      <c r="DB267" s="3"/>
      <c r="DC267" s="3"/>
      <c r="DD267" s="3"/>
      <c r="DE267" s="3"/>
      <c r="DF267" s="3"/>
      <c r="DG267" s="3"/>
      <c r="DH267" s="3"/>
      <c r="DI267" s="3"/>
      <c r="DJ267" s="3"/>
      <c r="DK267" s="3"/>
      <c r="DL267" s="3"/>
      <c r="DM267" s="3"/>
      <c r="DN267" s="3"/>
      <c r="DO267" s="3"/>
      <c r="DP267" s="3"/>
      <c r="DQ267" s="3"/>
      <c r="DR267" s="3"/>
      <c r="DS267" s="3"/>
      <c r="DT267" s="3"/>
      <c r="DU267" s="3"/>
      <c r="DV267" s="3"/>
      <c r="DW267" s="3"/>
      <c r="DX267" s="3"/>
      <c r="DY267" s="3"/>
      <c r="DZ267" s="3"/>
      <c r="EA267" s="3"/>
      <c r="EB267" s="3"/>
      <c r="EC267" s="3"/>
      <c r="ED267" s="3"/>
      <c r="EE267" s="3"/>
      <c r="EF267" s="3"/>
      <c r="EG267" s="3"/>
      <c r="EH267" s="3"/>
      <c r="EI267" s="3"/>
      <c r="EJ267" s="3"/>
      <c r="EK267" s="3"/>
      <c r="EL267" s="3"/>
      <c r="EM267" s="3"/>
      <c r="EN267" s="3"/>
      <c r="EO267" s="3"/>
      <c r="EP267" s="3"/>
      <c r="EQ267" s="3"/>
      <c r="ER267" s="3"/>
      <c r="ES267" s="3"/>
      <c r="ET267" s="3"/>
      <c r="EU267" s="3"/>
      <c r="EV267" s="3"/>
      <c r="EW267" s="3"/>
      <c r="EX267" s="3"/>
      <c r="EY267" s="3"/>
      <c r="EZ267" s="3"/>
      <c r="FA267" s="3"/>
      <c r="FB267" s="3"/>
      <c r="FC267" s="3"/>
      <c r="FD267" s="3"/>
      <c r="FE267" s="3"/>
      <c r="FF267" s="3"/>
      <c r="FG267" s="3"/>
      <c r="FH267" s="3"/>
      <c r="FI267" s="3"/>
      <c r="FJ267" s="3"/>
      <c r="FK267" s="3"/>
      <c r="FL267" s="3"/>
      <c r="FM267" s="3"/>
      <c r="FN267" s="3"/>
      <c r="FO267" s="3"/>
      <c r="FP267" s="3"/>
      <c r="FQ267" s="3"/>
      <c r="FR267" s="3"/>
      <c r="FS267" s="3"/>
      <c r="FT267" s="3"/>
      <c r="FU267" s="3"/>
      <c r="FV267" s="3"/>
      <c r="FW267" s="3"/>
      <c r="FX267" s="3"/>
      <c r="FY267" s="3"/>
      <c r="FZ267" s="3"/>
      <c r="GA267" s="3"/>
      <c r="GB267" s="3"/>
      <c r="GC267" s="3"/>
      <c r="GD267" s="3"/>
      <c r="GE267" s="3"/>
      <c r="GF267" s="3"/>
      <c r="GG267" s="3"/>
      <c r="GH267" s="3"/>
      <c r="GI267" s="3"/>
      <c r="GJ267" s="3"/>
      <c r="GK267" s="3"/>
      <c r="GL267" s="3"/>
      <c r="GM267" s="3"/>
      <c r="GN267" s="3"/>
      <c r="GO267" s="3"/>
      <c r="GP267" s="3"/>
      <c r="GQ267" s="3"/>
      <c r="GR267" s="3"/>
      <c r="GS267" s="3"/>
      <c r="GT267" s="3"/>
      <c r="GU267" s="3"/>
      <c r="GV267" s="3"/>
      <c r="GW267" s="3"/>
      <c r="GX267" s="3"/>
      <c r="GY267" s="3"/>
      <c r="GZ267" s="3"/>
      <c r="HA267" s="3"/>
      <c r="HB267" s="3"/>
      <c r="HC267" s="3"/>
      <c r="HD267" s="3"/>
      <c r="HE267" s="3"/>
      <c r="HF267" s="3"/>
      <c r="HG267" s="3"/>
      <c r="HH267" s="3"/>
      <c r="HI267" s="3"/>
      <c r="HJ267" s="3"/>
      <c r="HK267" s="3"/>
      <c r="HL267" s="3"/>
      <c r="HM267" s="3"/>
      <c r="HN267" s="3"/>
      <c r="HO267" s="3"/>
      <c r="HP267" s="3"/>
      <c r="HQ267" s="3"/>
      <c r="HR267" s="3"/>
      <c r="HS267" s="3"/>
      <c r="HT267" s="3"/>
      <c r="HU267" s="3"/>
      <c r="HV267" s="3"/>
      <c r="HW267" s="3"/>
      <c r="HX267" s="3"/>
      <c r="HY267" s="3"/>
      <c r="HZ267" s="3"/>
      <c r="IA267" s="3"/>
      <c r="IB267" s="3"/>
      <c r="IC267" s="3"/>
      <c r="ID267" s="3"/>
      <c r="IE267" s="3"/>
      <c r="IF267" s="3"/>
      <c r="IG267" s="3"/>
      <c r="IH267" s="3"/>
      <c r="II267" s="3"/>
      <c r="IJ267" s="3"/>
      <c r="IK267" s="3"/>
      <c r="IL267" s="3"/>
      <c r="IM267" s="3"/>
      <c r="IN267" s="3"/>
      <c r="IO267" s="3"/>
      <c r="IP267" s="3"/>
      <c r="IQ267" s="3"/>
      <c r="IR267" s="3"/>
      <c r="IS267" s="3"/>
      <c r="IT267" s="3"/>
      <c r="IU267" s="3"/>
      <c r="IV267" s="3"/>
      <c r="IW267" s="3"/>
      <c r="IX267" s="3"/>
      <c r="IY267" s="3"/>
      <c r="IZ267" s="3"/>
      <c r="JA267" s="3"/>
      <c r="JB267" s="3"/>
      <c r="JC267" s="3"/>
      <c r="JD267" s="3"/>
      <c r="JE267" s="3"/>
      <c r="JF267" s="3"/>
      <c r="JG267" s="3"/>
      <c r="JH267" s="3"/>
      <c r="JI267" s="3"/>
      <c r="JJ267" s="3"/>
      <c r="JK267" s="3"/>
      <c r="JL267" s="3"/>
      <c r="JM267" s="3"/>
      <c r="JN267" s="3"/>
      <c r="JO267" s="3"/>
      <c r="JP267" s="3"/>
      <c r="JQ267" s="3"/>
      <c r="JR267" s="3"/>
      <c r="JS267" s="3"/>
      <c r="JT267" s="3"/>
      <c r="JU267" s="3"/>
      <c r="JV267" s="3"/>
      <c r="JW267" s="3"/>
      <c r="JX267" s="3"/>
      <c r="JY267" s="3"/>
      <c r="JZ267" s="3"/>
      <c r="KA267" s="3"/>
      <c r="KB267" s="3"/>
      <c r="KC267" s="3"/>
      <c r="KD267" s="3"/>
      <c r="KE267" s="3"/>
      <c r="KF267" s="3"/>
      <c r="KG267" s="3"/>
      <c r="KH267" s="3"/>
      <c r="KI267" s="3"/>
      <c r="KJ267" s="3"/>
      <c r="KK267" s="3"/>
      <c r="KL267" s="3"/>
      <c r="KM267" s="3"/>
      <c r="KN267" s="3"/>
      <c r="KO267" s="3"/>
      <c r="KP267" s="3"/>
      <c r="KQ267" s="3"/>
      <c r="KR267" s="3"/>
      <c r="KS267" s="3"/>
      <c r="KT267" s="3"/>
      <c r="KU267" s="3"/>
      <c r="KV267" s="3"/>
      <c r="KW267" s="3"/>
      <c r="KX267" s="3"/>
      <c r="KY267" s="3"/>
      <c r="KZ267" s="3"/>
      <c r="LA267" s="3"/>
      <c r="LB267" s="3"/>
      <c r="LC267" s="3"/>
      <c r="LD267" s="3"/>
      <c r="LE267" s="3"/>
      <c r="LF267" s="3"/>
      <c r="LG267" s="3"/>
      <c r="LH267" s="3"/>
      <c r="LI267" s="3"/>
      <c r="LJ267" s="3"/>
      <c r="LK267" s="3"/>
      <c r="LL267" s="3"/>
      <c r="LM267" s="3"/>
      <c r="LN267" s="3"/>
      <c r="LO267" s="3"/>
      <c r="LP267" s="3"/>
      <c r="LQ267" s="3"/>
      <c r="LR267" s="3"/>
      <c r="LS267" s="3"/>
      <c r="LT267" s="3"/>
      <c r="LU267" s="3"/>
      <c r="LV267" s="3"/>
      <c r="LW267" s="3"/>
      <c r="LX267" s="3"/>
      <c r="LY267" s="3"/>
      <c r="LZ267" s="3"/>
      <c r="MA267" s="3"/>
      <c r="MB267" s="3"/>
      <c r="MC267" s="3"/>
      <c r="MD267" s="3"/>
      <c r="ME267" s="3"/>
      <c r="MF267" s="3"/>
      <c r="MG267" s="3"/>
      <c r="MH267" s="3"/>
      <c r="MI267" s="3"/>
      <c r="MJ267" s="3"/>
      <c r="MK267" s="3"/>
      <c r="ML267" s="3"/>
      <c r="MM267" s="3"/>
      <c r="MN267" s="3"/>
      <c r="MO267" s="3"/>
      <c r="MP267" s="3"/>
      <c r="MQ267" s="3"/>
      <c r="MR267" s="3"/>
      <c r="MS267" s="3"/>
      <c r="MT267" s="3"/>
      <c r="MU267" s="3"/>
      <c r="MV267" s="3"/>
      <c r="MW267" s="3"/>
      <c r="MX267" s="3"/>
      <c r="MY267" s="3"/>
      <c r="MZ267" s="3"/>
      <c r="NA267" s="3"/>
      <c r="NB267" s="3"/>
      <c r="NC267" s="3"/>
      <c r="ND267" s="3"/>
      <c r="NE267" s="3"/>
      <c r="NF267" s="3"/>
      <c r="NG267" s="3"/>
      <c r="NH267" s="3"/>
      <c r="NI267" s="3"/>
      <c r="NJ267" s="3"/>
      <c r="NK267" s="3"/>
      <c r="NL267" s="3"/>
      <c r="NM267" s="3"/>
      <c r="NN267" s="3"/>
      <c r="NO267" s="3"/>
      <c r="NP267" s="3"/>
      <c r="NQ267" s="3"/>
      <c r="NR267" s="3"/>
      <c r="NS267" s="3"/>
      <c r="NT267" s="3"/>
      <c r="NU267" s="3"/>
      <c r="NV267" s="3"/>
      <c r="NW267" s="3"/>
      <c r="NX267" s="3"/>
      <c r="NY267" s="3"/>
      <c r="NZ267" s="3"/>
      <c r="OA267" s="3"/>
      <c r="OB267" s="3"/>
      <c r="OC267" s="3"/>
      <c r="OD267" s="3"/>
      <c r="OE267" s="3"/>
      <c r="OF267" s="3"/>
      <c r="OG267" s="3"/>
      <c r="OH267" s="3"/>
      <c r="OI267" s="3"/>
      <c r="OJ267" s="3"/>
      <c r="OK267" s="3"/>
      <c r="OL267" s="3"/>
      <c r="OM267" s="3"/>
      <c r="ON267" s="3"/>
      <c r="OO267" s="3"/>
      <c r="OP267" s="3"/>
      <c r="OQ267" s="3"/>
      <c r="OR267" s="3"/>
      <c r="OS267" s="3"/>
      <c r="OT267" s="3"/>
      <c r="OU267" s="3"/>
      <c r="OV267" s="3"/>
      <c r="OW267" s="3"/>
      <c r="OX267" s="3"/>
      <c r="OY267" s="3"/>
      <c r="OZ267" s="3"/>
      <c r="PA267" s="3"/>
      <c r="PB267" s="3"/>
      <c r="PC267" s="3"/>
      <c r="PD267" s="3"/>
      <c r="PE267" s="3"/>
      <c r="PF267" s="3"/>
      <c r="PG267" s="3"/>
      <c r="PH267" s="3"/>
      <c r="PI267" s="3"/>
      <c r="PJ267" s="3"/>
      <c r="PK267" s="3"/>
      <c r="PL267" s="3"/>
      <c r="PM267" s="3"/>
      <c r="PN267" s="3"/>
      <c r="PO267" s="3"/>
      <c r="PP267" s="3"/>
      <c r="PQ267" s="3"/>
      <c r="PR267" s="3"/>
      <c r="PS267" s="3"/>
      <c r="PT267" s="3"/>
      <c r="PU267" s="3"/>
      <c r="PV267" s="3"/>
      <c r="PW267" s="3"/>
      <c r="PX267" s="3"/>
      <c r="PY267" s="3"/>
      <c r="PZ267" s="3"/>
      <c r="QA267" s="3"/>
      <c r="QB267" s="3"/>
      <c r="QC267" s="3"/>
      <c r="QD267" s="3"/>
      <c r="QE267" s="3"/>
      <c r="QF267" s="3"/>
      <c r="QG267" s="3"/>
      <c r="QH267" s="3"/>
      <c r="QI267" s="3"/>
      <c r="QJ267" s="3"/>
      <c r="QK267" s="3"/>
      <c r="QL267" s="3"/>
      <c r="QM267" s="3"/>
      <c r="QN267" s="3"/>
      <c r="QO267" s="3"/>
      <c r="QP267" s="3"/>
      <c r="QQ267" s="3"/>
      <c r="QR267" s="3"/>
      <c r="QS267" s="3"/>
      <c r="QT267" s="3"/>
      <c r="QU267" s="3"/>
      <c r="QV267" s="3"/>
      <c r="QW267" s="3"/>
      <c r="QX267" s="3"/>
      <c r="QY267" s="3"/>
      <c r="QZ267" s="3"/>
      <c r="RA267" s="3"/>
      <c r="RB267" s="3"/>
      <c r="RC267" s="3"/>
      <c r="RD267" s="3"/>
      <c r="RE267" s="3"/>
      <c r="RF267" s="3"/>
      <c r="RG267" s="3"/>
      <c r="RH267" s="3"/>
      <c r="RI267" s="3"/>
      <c r="RJ267" s="3"/>
      <c r="RK267" s="3"/>
      <c r="RL267" s="3"/>
      <c r="RM267" s="3"/>
      <c r="RN267" s="3"/>
      <c r="RO267" s="3"/>
      <c r="RP267" s="3"/>
      <c r="RQ267" s="3"/>
      <c r="RR267" s="3"/>
      <c r="RS267" s="3"/>
      <c r="RT267" s="3"/>
      <c r="RU267" s="3"/>
      <c r="RV267" s="3"/>
      <c r="RW267" s="3"/>
      <c r="RX267" s="3"/>
      <c r="RY267" s="3"/>
      <c r="RZ267" s="3"/>
      <c r="SA267" s="3"/>
      <c r="SB267" s="3"/>
      <c r="SC267" s="3"/>
      <c r="SD267" s="3"/>
      <c r="SE267" s="3"/>
      <c r="SF267" s="3"/>
      <c r="SG267" s="3"/>
      <c r="SH267" s="3"/>
      <c r="SI267" s="3"/>
      <c r="SJ267" s="3"/>
      <c r="SK267" s="3"/>
      <c r="SL267" s="3"/>
      <c r="SM267" s="3"/>
      <c r="SN267" s="3"/>
      <c r="SO267" s="3"/>
      <c r="SP267" s="3"/>
      <c r="SQ267" s="3"/>
      <c r="SR267" s="3"/>
      <c r="SS267" s="3"/>
      <c r="ST267" s="3"/>
      <c r="SU267" s="3"/>
      <c r="SV267" s="3"/>
      <c r="SW267" s="3"/>
      <c r="SX267" s="3"/>
      <c r="SY267" s="3"/>
      <c r="SZ267" s="3"/>
      <c r="TA267" s="3"/>
      <c r="TB267" s="3"/>
      <c r="TC267" s="3"/>
      <c r="TD267" s="3"/>
      <c r="TE267" s="3"/>
      <c r="TF267" s="3"/>
      <c r="TG267" s="3"/>
      <c r="TH267" s="3"/>
      <c r="TI267" s="3"/>
      <c r="TJ267" s="3"/>
      <c r="TK267" s="3"/>
      <c r="TL267" s="3"/>
      <c r="TM267" s="3"/>
      <c r="TN267" s="3"/>
      <c r="TO267" s="3"/>
      <c r="TP267" s="3"/>
      <c r="TQ267" s="3"/>
      <c r="TR267" s="3"/>
      <c r="TS267" s="3"/>
      <c r="TT267" s="3"/>
      <c r="TU267" s="3"/>
      <c r="TV267" s="3"/>
      <c r="TW267" s="3"/>
      <c r="TX267" s="3"/>
      <c r="TY267" s="3"/>
      <c r="TZ267" s="3"/>
      <c r="UA267" s="3"/>
      <c r="UB267" s="3"/>
      <c r="UC267" s="3"/>
      <c r="UD267" s="3"/>
      <c r="UE267" s="3"/>
      <c r="UF267" s="3"/>
      <c r="UG267" s="3"/>
      <c r="UH267" s="3"/>
      <c r="UI267" s="3"/>
      <c r="UJ267" s="3"/>
      <c r="UK267" s="3"/>
      <c r="UL267" s="3"/>
      <c r="UM267" s="3"/>
      <c r="UN267" s="3"/>
      <c r="UO267" s="3"/>
      <c r="UP267" s="3"/>
      <c r="UQ267" s="3"/>
      <c r="UR267" s="3"/>
      <c r="US267" s="3"/>
      <c r="UT267" s="3"/>
      <c r="UU267" s="3"/>
      <c r="UV267" s="3"/>
      <c r="UW267" s="3"/>
      <c r="UX267" s="3"/>
      <c r="UY267" s="3"/>
      <c r="UZ267" s="3"/>
      <c r="VA267" s="3"/>
      <c r="VB267" s="3"/>
      <c r="VC267" s="3"/>
      <c r="VD267" s="3"/>
      <c r="VE267" s="3"/>
      <c r="VF267" s="3"/>
      <c r="VG267" s="3"/>
      <c r="VH267" s="3"/>
      <c r="VI267" s="3"/>
      <c r="VJ267" s="3"/>
      <c r="VK267" s="3"/>
      <c r="VL267" s="3"/>
      <c r="VM267" s="3"/>
      <c r="VN267" s="3"/>
      <c r="VO267" s="3"/>
      <c r="VP267" s="3"/>
      <c r="VQ267" s="3"/>
      <c r="VR267" s="3"/>
      <c r="VS267" s="3"/>
      <c r="VT267" s="3"/>
      <c r="VU267" s="3"/>
      <c r="VV267" s="3"/>
      <c r="VW267" s="3"/>
      <c r="VX267" s="3"/>
      <c r="VY267" s="3"/>
      <c r="VZ267" s="3"/>
      <c r="WA267" s="3"/>
      <c r="WB267" s="3"/>
      <c r="WC267" s="3"/>
      <c r="WD267" s="3"/>
      <c r="WE267" s="3"/>
      <c r="WF267" s="3"/>
      <c r="WG267" s="3"/>
      <c r="WH267" s="3"/>
      <c r="WI267" s="3"/>
      <c r="WJ267" s="3"/>
      <c r="WK267" s="3"/>
      <c r="WL267" s="3"/>
      <c r="WM267" s="3"/>
      <c r="WN267" s="3"/>
      <c r="WO267" s="3"/>
      <c r="WP267" s="3"/>
      <c r="WQ267" s="3"/>
      <c r="WR267" s="3"/>
      <c r="WS267" s="3"/>
      <c r="WT267" s="3"/>
      <c r="WU267" s="3"/>
      <c r="WV267" s="3"/>
      <c r="WW267" s="3"/>
      <c r="WX267" s="3"/>
      <c r="WY267" s="3"/>
      <c r="WZ267" s="3"/>
      <c r="XA267" s="3"/>
      <c r="XB267" s="3"/>
      <c r="XC267" s="3"/>
      <c r="XD267" s="3"/>
      <c r="XE267" s="3"/>
      <c r="XF267" s="3"/>
      <c r="XG267" s="3"/>
      <c r="XH267" s="3"/>
      <c r="XI267" s="3"/>
      <c r="XJ267" s="3"/>
      <c r="XK267" s="3"/>
      <c r="XL267" s="3"/>
      <c r="XM267" s="3"/>
      <c r="XN267" s="3"/>
      <c r="XO267" s="3"/>
      <c r="XP267" s="3"/>
      <c r="XQ267" s="3"/>
      <c r="XR267" s="3"/>
      <c r="XS267" s="3"/>
      <c r="XT267" s="3"/>
      <c r="XU267" s="3"/>
      <c r="XV267" s="3"/>
      <c r="XW267" s="3"/>
      <c r="XX267" s="3"/>
      <c r="XY267" s="3"/>
      <c r="XZ267" s="3"/>
      <c r="YA267" s="3"/>
      <c r="YB267" s="3"/>
      <c r="YC267" s="3"/>
      <c r="YD267" s="3"/>
      <c r="YE267" s="3"/>
      <c r="YF267" s="3"/>
      <c r="YG267" s="3"/>
      <c r="YH267" s="3"/>
      <c r="YI267" s="3"/>
      <c r="YJ267" s="3"/>
      <c r="YK267" s="3"/>
      <c r="YL267" s="3"/>
      <c r="YM267" s="3"/>
      <c r="YN267" s="3"/>
      <c r="YO267" s="3"/>
      <c r="YP267" s="3"/>
      <c r="YQ267" s="3"/>
      <c r="YR267" s="3"/>
      <c r="YS267" s="3"/>
      <c r="YT267" s="3"/>
      <c r="YU267" s="3"/>
      <c r="YV267" s="3"/>
      <c r="YW267" s="3"/>
      <c r="YX267" s="3"/>
      <c r="YY267" s="3"/>
      <c r="YZ267" s="3"/>
      <c r="ZA267" s="3"/>
      <c r="ZB267" s="3"/>
      <c r="ZC267" s="3"/>
    </row>
    <row r="268" spans="1:679" s="2" customFormat="1" x14ac:dyDescent="0.45">
      <c r="A268" s="3" t="s">
        <v>11</v>
      </c>
      <c r="B268" s="4">
        <v>37946</v>
      </c>
      <c r="C268" s="7" t="s">
        <v>25</v>
      </c>
      <c r="D268" s="6" t="s">
        <v>287</v>
      </c>
      <c r="E268" s="3"/>
      <c r="F268" s="3">
        <v>3</v>
      </c>
      <c r="L268" s="3"/>
      <c r="M268" s="3"/>
      <c r="N268" s="48"/>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c r="CO268" s="3"/>
      <c r="CP268" s="3"/>
      <c r="CQ268" s="3"/>
      <c r="CR268" s="3"/>
      <c r="CS268" s="3"/>
      <c r="CT268" s="3"/>
      <c r="CU268" s="3"/>
      <c r="CV268" s="3"/>
      <c r="CW268" s="3"/>
      <c r="CX268" s="3"/>
      <c r="CY268" s="3"/>
      <c r="CZ268" s="3"/>
      <c r="DA268" s="3"/>
      <c r="DB268" s="3"/>
      <c r="DC268" s="3"/>
      <c r="DD268" s="3"/>
      <c r="DE268" s="3"/>
      <c r="DF268" s="3"/>
      <c r="DG268" s="3"/>
      <c r="DH268" s="3"/>
      <c r="DI268" s="3"/>
      <c r="DJ268" s="3"/>
      <c r="DK268" s="3"/>
      <c r="DL268" s="3"/>
      <c r="DM268" s="3"/>
      <c r="DN268" s="3"/>
      <c r="DO268" s="3"/>
      <c r="DP268" s="3"/>
      <c r="DQ268" s="3"/>
      <c r="DR268" s="3"/>
      <c r="DS268" s="3"/>
      <c r="DT268" s="3"/>
      <c r="DU268" s="3"/>
      <c r="DV268" s="3"/>
      <c r="DW268" s="3"/>
      <c r="DX268" s="3"/>
      <c r="DY268" s="3"/>
      <c r="DZ268" s="3"/>
      <c r="EA268" s="3"/>
      <c r="EB268" s="3"/>
      <c r="EC268" s="3"/>
      <c r="ED268" s="3"/>
      <c r="EE268" s="3"/>
      <c r="EF268" s="3"/>
      <c r="EG268" s="3"/>
      <c r="EH268" s="3"/>
      <c r="EI268" s="3"/>
      <c r="EJ268" s="3"/>
      <c r="EK268" s="3"/>
      <c r="EL268" s="3"/>
      <c r="EM268" s="3"/>
      <c r="EN268" s="3"/>
      <c r="EO268" s="3"/>
      <c r="EP268" s="3"/>
      <c r="EQ268" s="3"/>
      <c r="ER268" s="3"/>
      <c r="ES268" s="3"/>
      <c r="ET268" s="3"/>
      <c r="EU268" s="3"/>
      <c r="EV268" s="3"/>
      <c r="EW268" s="3"/>
      <c r="EX268" s="3"/>
      <c r="EY268" s="3"/>
      <c r="EZ268" s="3"/>
      <c r="FA268" s="3"/>
      <c r="FB268" s="3"/>
      <c r="FC268" s="3"/>
      <c r="FD268" s="3"/>
      <c r="FE268" s="3"/>
      <c r="FF268" s="3"/>
      <c r="FG268" s="3"/>
      <c r="FH268" s="3"/>
      <c r="FI268" s="3"/>
      <c r="FJ268" s="3"/>
      <c r="FK268" s="3"/>
      <c r="FL268" s="3"/>
      <c r="FM268" s="3"/>
      <c r="FN268" s="3"/>
      <c r="FO268" s="3"/>
      <c r="FP268" s="3"/>
      <c r="FQ268" s="3"/>
      <c r="FR268" s="3"/>
      <c r="FS268" s="3"/>
      <c r="FT268" s="3"/>
      <c r="FU268" s="3"/>
      <c r="FV268" s="3"/>
      <c r="FW268" s="3"/>
      <c r="FX268" s="3"/>
      <c r="FY268" s="3"/>
      <c r="FZ268" s="3"/>
      <c r="GA268" s="3"/>
      <c r="GB268" s="3"/>
      <c r="GC268" s="3"/>
      <c r="GD268" s="3"/>
      <c r="GE268" s="3"/>
      <c r="GF268" s="3"/>
      <c r="GG268" s="3"/>
      <c r="GH268" s="3"/>
      <c r="GI268" s="3"/>
      <c r="GJ268" s="3"/>
      <c r="GK268" s="3"/>
      <c r="GL268" s="3"/>
      <c r="GM268" s="3"/>
      <c r="GN268" s="3"/>
      <c r="GO268" s="3"/>
      <c r="GP268" s="3"/>
      <c r="GQ268" s="3"/>
      <c r="GR268" s="3"/>
      <c r="GS268" s="3"/>
      <c r="GT268" s="3"/>
      <c r="GU268" s="3"/>
      <c r="GV268" s="3"/>
      <c r="GW268" s="3"/>
      <c r="GX268" s="3"/>
      <c r="GY268" s="3"/>
      <c r="GZ268" s="3"/>
      <c r="HA268" s="3"/>
      <c r="HB268" s="3"/>
      <c r="HC268" s="3"/>
      <c r="HD268" s="3"/>
      <c r="HE268" s="3"/>
      <c r="HF268" s="3"/>
      <c r="HG268" s="3"/>
      <c r="HH268" s="3"/>
      <c r="HI268" s="3"/>
      <c r="HJ268" s="3"/>
      <c r="HK268" s="3"/>
      <c r="HL268" s="3"/>
      <c r="HM268" s="3"/>
      <c r="HN268" s="3"/>
      <c r="HO268" s="3"/>
      <c r="HP268" s="3"/>
      <c r="HQ268" s="3"/>
      <c r="HR268" s="3"/>
      <c r="HS268" s="3"/>
      <c r="HT268" s="3"/>
      <c r="HU268" s="3"/>
      <c r="HV268" s="3"/>
      <c r="HW268" s="3"/>
      <c r="HX268" s="3"/>
      <c r="HY268" s="3"/>
      <c r="HZ268" s="3"/>
      <c r="IA268" s="3"/>
      <c r="IB268" s="3"/>
      <c r="IC268" s="3"/>
      <c r="ID268" s="3"/>
      <c r="IE268" s="3"/>
      <c r="IF268" s="3"/>
      <c r="IG268" s="3"/>
      <c r="IH268" s="3"/>
      <c r="II268" s="3"/>
      <c r="IJ268" s="3"/>
      <c r="IK268" s="3"/>
      <c r="IL268" s="3"/>
      <c r="IM268" s="3"/>
      <c r="IN268" s="3"/>
      <c r="IO268" s="3"/>
      <c r="IP268" s="3"/>
      <c r="IQ268" s="3"/>
      <c r="IR268" s="3"/>
      <c r="IS268" s="3"/>
      <c r="IT268" s="3"/>
      <c r="IU268" s="3"/>
      <c r="IV268" s="3"/>
      <c r="IW268" s="3"/>
      <c r="IX268" s="3"/>
      <c r="IY268" s="3"/>
      <c r="IZ268" s="3"/>
      <c r="JA268" s="3"/>
      <c r="JB268" s="3"/>
      <c r="JC268" s="3"/>
      <c r="JD268" s="3"/>
      <c r="JE268" s="3"/>
      <c r="JF268" s="3"/>
      <c r="JG268" s="3"/>
      <c r="JH268" s="3"/>
      <c r="JI268" s="3"/>
      <c r="JJ268" s="3"/>
      <c r="JK268" s="3"/>
      <c r="JL268" s="3"/>
      <c r="JM268" s="3"/>
      <c r="JN268" s="3"/>
      <c r="JO268" s="3"/>
      <c r="JP268" s="3"/>
      <c r="JQ268" s="3"/>
      <c r="JR268" s="3"/>
      <c r="JS268" s="3"/>
      <c r="JT268" s="3"/>
      <c r="JU268" s="3"/>
      <c r="JV268" s="3"/>
      <c r="JW268" s="3"/>
      <c r="JX268" s="3"/>
      <c r="JY268" s="3"/>
      <c r="JZ268" s="3"/>
      <c r="KA268" s="3"/>
      <c r="KB268" s="3"/>
      <c r="KC268" s="3"/>
      <c r="KD268" s="3"/>
      <c r="KE268" s="3"/>
      <c r="KF268" s="3"/>
      <c r="KG268" s="3"/>
      <c r="KH268" s="3"/>
      <c r="KI268" s="3"/>
      <c r="KJ268" s="3"/>
      <c r="KK268" s="3"/>
      <c r="KL268" s="3"/>
      <c r="KM268" s="3"/>
      <c r="KN268" s="3"/>
      <c r="KO268" s="3"/>
      <c r="KP268" s="3"/>
      <c r="KQ268" s="3"/>
      <c r="KR268" s="3"/>
      <c r="KS268" s="3"/>
      <c r="KT268" s="3"/>
      <c r="KU268" s="3"/>
      <c r="KV268" s="3"/>
      <c r="KW268" s="3"/>
      <c r="KX268" s="3"/>
      <c r="KY268" s="3"/>
      <c r="KZ268" s="3"/>
      <c r="LA268" s="3"/>
      <c r="LB268" s="3"/>
      <c r="LC268" s="3"/>
      <c r="LD268" s="3"/>
      <c r="LE268" s="3"/>
      <c r="LF268" s="3"/>
      <c r="LG268" s="3"/>
      <c r="LH268" s="3"/>
      <c r="LI268" s="3"/>
      <c r="LJ268" s="3"/>
      <c r="LK268" s="3"/>
      <c r="LL268" s="3"/>
      <c r="LM268" s="3"/>
      <c r="LN268" s="3"/>
      <c r="LO268" s="3"/>
      <c r="LP268" s="3"/>
      <c r="LQ268" s="3"/>
      <c r="LR268" s="3"/>
      <c r="LS268" s="3"/>
      <c r="LT268" s="3"/>
      <c r="LU268" s="3"/>
      <c r="LV268" s="3"/>
      <c r="LW268" s="3"/>
      <c r="LX268" s="3"/>
      <c r="LY268" s="3"/>
      <c r="LZ268" s="3"/>
      <c r="MA268" s="3"/>
      <c r="MB268" s="3"/>
      <c r="MC268" s="3"/>
      <c r="MD268" s="3"/>
      <c r="ME268" s="3"/>
      <c r="MF268" s="3"/>
      <c r="MG268" s="3"/>
      <c r="MH268" s="3"/>
      <c r="MI268" s="3"/>
      <c r="MJ268" s="3"/>
      <c r="MK268" s="3"/>
      <c r="ML268" s="3"/>
      <c r="MM268" s="3"/>
      <c r="MN268" s="3"/>
      <c r="MO268" s="3"/>
      <c r="MP268" s="3"/>
      <c r="MQ268" s="3"/>
      <c r="MR268" s="3"/>
      <c r="MS268" s="3"/>
      <c r="MT268" s="3"/>
      <c r="MU268" s="3"/>
      <c r="MV268" s="3"/>
      <c r="MW268" s="3"/>
      <c r="MX268" s="3"/>
      <c r="MY268" s="3"/>
      <c r="MZ268" s="3"/>
      <c r="NA268" s="3"/>
      <c r="NB268" s="3"/>
      <c r="NC268" s="3"/>
      <c r="ND268" s="3"/>
      <c r="NE268" s="3"/>
      <c r="NF268" s="3"/>
      <c r="NG268" s="3"/>
      <c r="NH268" s="3"/>
      <c r="NI268" s="3"/>
      <c r="NJ268" s="3"/>
      <c r="NK268" s="3"/>
      <c r="NL268" s="3"/>
      <c r="NM268" s="3"/>
      <c r="NN268" s="3"/>
      <c r="NO268" s="3"/>
      <c r="NP268" s="3"/>
      <c r="NQ268" s="3"/>
      <c r="NR268" s="3"/>
      <c r="NS268" s="3"/>
      <c r="NT268" s="3"/>
      <c r="NU268" s="3"/>
      <c r="NV268" s="3"/>
      <c r="NW268" s="3"/>
      <c r="NX268" s="3"/>
      <c r="NY268" s="3"/>
      <c r="NZ268" s="3"/>
      <c r="OA268" s="3"/>
      <c r="OB268" s="3"/>
      <c r="OC268" s="3"/>
      <c r="OD268" s="3"/>
      <c r="OE268" s="3"/>
      <c r="OF268" s="3"/>
      <c r="OG268" s="3"/>
      <c r="OH268" s="3"/>
      <c r="OI268" s="3"/>
      <c r="OJ268" s="3"/>
      <c r="OK268" s="3"/>
      <c r="OL268" s="3"/>
      <c r="OM268" s="3"/>
      <c r="ON268" s="3"/>
      <c r="OO268" s="3"/>
      <c r="OP268" s="3"/>
      <c r="OQ268" s="3"/>
      <c r="OR268" s="3"/>
      <c r="OS268" s="3"/>
      <c r="OT268" s="3"/>
      <c r="OU268" s="3"/>
      <c r="OV268" s="3"/>
      <c r="OW268" s="3"/>
      <c r="OX268" s="3"/>
      <c r="OY268" s="3"/>
      <c r="OZ268" s="3"/>
      <c r="PA268" s="3"/>
      <c r="PB268" s="3"/>
      <c r="PC268" s="3"/>
      <c r="PD268" s="3"/>
      <c r="PE268" s="3"/>
      <c r="PF268" s="3"/>
      <c r="PG268" s="3"/>
      <c r="PH268" s="3"/>
      <c r="PI268" s="3"/>
      <c r="PJ268" s="3"/>
      <c r="PK268" s="3"/>
      <c r="PL268" s="3"/>
      <c r="PM268" s="3"/>
      <c r="PN268" s="3"/>
      <c r="PO268" s="3"/>
      <c r="PP268" s="3"/>
      <c r="PQ268" s="3"/>
      <c r="PR268" s="3"/>
      <c r="PS268" s="3"/>
      <c r="PT268" s="3"/>
      <c r="PU268" s="3"/>
      <c r="PV268" s="3"/>
      <c r="PW268" s="3"/>
      <c r="PX268" s="3"/>
      <c r="PY268" s="3"/>
      <c r="PZ268" s="3"/>
      <c r="QA268" s="3"/>
      <c r="QB268" s="3"/>
      <c r="QC268" s="3"/>
      <c r="QD268" s="3"/>
      <c r="QE268" s="3"/>
      <c r="QF268" s="3"/>
      <c r="QG268" s="3"/>
      <c r="QH268" s="3"/>
      <c r="QI268" s="3"/>
      <c r="QJ268" s="3"/>
      <c r="QK268" s="3"/>
      <c r="QL268" s="3"/>
      <c r="QM268" s="3"/>
      <c r="QN268" s="3"/>
      <c r="QO268" s="3"/>
      <c r="QP268" s="3"/>
      <c r="QQ268" s="3"/>
      <c r="QR268" s="3"/>
      <c r="QS268" s="3"/>
      <c r="QT268" s="3"/>
      <c r="QU268" s="3"/>
      <c r="QV268" s="3"/>
      <c r="QW268" s="3"/>
      <c r="QX268" s="3"/>
      <c r="QY268" s="3"/>
      <c r="QZ268" s="3"/>
      <c r="RA268" s="3"/>
      <c r="RB268" s="3"/>
      <c r="RC268" s="3"/>
      <c r="RD268" s="3"/>
      <c r="RE268" s="3"/>
      <c r="RF268" s="3"/>
      <c r="RG268" s="3"/>
      <c r="RH268" s="3"/>
      <c r="RI268" s="3"/>
      <c r="RJ268" s="3"/>
      <c r="RK268" s="3"/>
      <c r="RL268" s="3"/>
      <c r="RM268" s="3"/>
      <c r="RN268" s="3"/>
      <c r="RO268" s="3"/>
      <c r="RP268" s="3"/>
      <c r="RQ268" s="3"/>
      <c r="RR268" s="3"/>
      <c r="RS268" s="3"/>
      <c r="RT268" s="3"/>
      <c r="RU268" s="3"/>
      <c r="RV268" s="3"/>
      <c r="RW268" s="3"/>
      <c r="RX268" s="3"/>
      <c r="RY268" s="3"/>
      <c r="RZ268" s="3"/>
      <c r="SA268" s="3"/>
      <c r="SB268" s="3"/>
      <c r="SC268" s="3"/>
      <c r="SD268" s="3"/>
      <c r="SE268" s="3"/>
      <c r="SF268" s="3"/>
      <c r="SG268" s="3"/>
      <c r="SH268" s="3"/>
      <c r="SI268" s="3"/>
      <c r="SJ268" s="3"/>
      <c r="SK268" s="3"/>
      <c r="SL268" s="3"/>
      <c r="SM268" s="3"/>
      <c r="SN268" s="3"/>
      <c r="SO268" s="3"/>
      <c r="SP268" s="3"/>
      <c r="SQ268" s="3"/>
      <c r="SR268" s="3"/>
      <c r="SS268" s="3"/>
      <c r="ST268" s="3"/>
      <c r="SU268" s="3"/>
      <c r="SV268" s="3"/>
      <c r="SW268" s="3"/>
      <c r="SX268" s="3"/>
      <c r="SY268" s="3"/>
      <c r="SZ268" s="3"/>
      <c r="TA268" s="3"/>
      <c r="TB268" s="3"/>
      <c r="TC268" s="3"/>
      <c r="TD268" s="3"/>
      <c r="TE268" s="3"/>
      <c r="TF268" s="3"/>
      <c r="TG268" s="3"/>
      <c r="TH268" s="3"/>
      <c r="TI268" s="3"/>
      <c r="TJ268" s="3"/>
      <c r="TK268" s="3"/>
      <c r="TL268" s="3"/>
      <c r="TM268" s="3"/>
      <c r="TN268" s="3"/>
      <c r="TO268" s="3"/>
      <c r="TP268" s="3"/>
      <c r="TQ268" s="3"/>
      <c r="TR268" s="3"/>
      <c r="TS268" s="3"/>
      <c r="TT268" s="3"/>
      <c r="TU268" s="3"/>
      <c r="TV268" s="3"/>
      <c r="TW268" s="3"/>
      <c r="TX268" s="3"/>
      <c r="TY268" s="3"/>
      <c r="TZ268" s="3"/>
      <c r="UA268" s="3"/>
      <c r="UB268" s="3"/>
      <c r="UC268" s="3"/>
      <c r="UD268" s="3"/>
      <c r="UE268" s="3"/>
      <c r="UF268" s="3"/>
      <c r="UG268" s="3"/>
      <c r="UH268" s="3"/>
      <c r="UI268" s="3"/>
      <c r="UJ268" s="3"/>
      <c r="UK268" s="3"/>
      <c r="UL268" s="3"/>
      <c r="UM268" s="3"/>
      <c r="UN268" s="3"/>
      <c r="UO268" s="3"/>
      <c r="UP268" s="3"/>
      <c r="UQ268" s="3"/>
      <c r="UR268" s="3"/>
      <c r="US268" s="3"/>
      <c r="UT268" s="3"/>
      <c r="UU268" s="3"/>
      <c r="UV268" s="3"/>
      <c r="UW268" s="3"/>
      <c r="UX268" s="3"/>
      <c r="UY268" s="3"/>
      <c r="UZ268" s="3"/>
      <c r="VA268" s="3"/>
      <c r="VB268" s="3"/>
      <c r="VC268" s="3"/>
      <c r="VD268" s="3"/>
      <c r="VE268" s="3"/>
      <c r="VF268" s="3"/>
      <c r="VG268" s="3"/>
      <c r="VH268" s="3"/>
      <c r="VI268" s="3"/>
      <c r="VJ268" s="3"/>
      <c r="VK268" s="3"/>
      <c r="VL268" s="3"/>
      <c r="VM268" s="3"/>
      <c r="VN268" s="3"/>
      <c r="VO268" s="3"/>
      <c r="VP268" s="3"/>
      <c r="VQ268" s="3"/>
      <c r="VR268" s="3"/>
      <c r="VS268" s="3"/>
      <c r="VT268" s="3"/>
      <c r="VU268" s="3"/>
      <c r="VV268" s="3"/>
      <c r="VW268" s="3"/>
      <c r="VX268" s="3"/>
      <c r="VY268" s="3"/>
      <c r="VZ268" s="3"/>
      <c r="WA268" s="3"/>
      <c r="WB268" s="3"/>
      <c r="WC268" s="3"/>
      <c r="WD268" s="3"/>
      <c r="WE268" s="3"/>
      <c r="WF268" s="3"/>
      <c r="WG268" s="3"/>
      <c r="WH268" s="3"/>
      <c r="WI268" s="3"/>
      <c r="WJ268" s="3"/>
      <c r="WK268" s="3"/>
      <c r="WL268" s="3"/>
      <c r="WM268" s="3"/>
      <c r="WN268" s="3"/>
      <c r="WO268" s="3"/>
      <c r="WP268" s="3"/>
      <c r="WQ268" s="3"/>
      <c r="WR268" s="3"/>
      <c r="WS268" s="3"/>
      <c r="WT268" s="3"/>
      <c r="WU268" s="3"/>
      <c r="WV268" s="3"/>
      <c r="WW268" s="3"/>
      <c r="WX268" s="3"/>
      <c r="WY268" s="3"/>
      <c r="WZ268" s="3"/>
      <c r="XA268" s="3"/>
      <c r="XB268" s="3"/>
      <c r="XC268" s="3"/>
      <c r="XD268" s="3"/>
      <c r="XE268" s="3"/>
      <c r="XF268" s="3"/>
      <c r="XG268" s="3"/>
      <c r="XH268" s="3"/>
      <c r="XI268" s="3"/>
      <c r="XJ268" s="3"/>
      <c r="XK268" s="3"/>
      <c r="XL268" s="3"/>
      <c r="XM268" s="3"/>
      <c r="XN268" s="3"/>
      <c r="XO268" s="3"/>
      <c r="XP268" s="3"/>
      <c r="XQ268" s="3"/>
      <c r="XR268" s="3"/>
      <c r="XS268" s="3"/>
      <c r="XT268" s="3"/>
      <c r="XU268" s="3"/>
      <c r="XV268" s="3"/>
      <c r="XW268" s="3"/>
      <c r="XX268" s="3"/>
      <c r="XY268" s="3"/>
      <c r="XZ268" s="3"/>
      <c r="YA268" s="3"/>
      <c r="YB268" s="3"/>
      <c r="YC268" s="3"/>
      <c r="YD268" s="3"/>
      <c r="YE268" s="3"/>
      <c r="YF268" s="3"/>
      <c r="YG268" s="3"/>
      <c r="YH268" s="3"/>
      <c r="YI268" s="3"/>
      <c r="YJ268" s="3"/>
      <c r="YK268" s="3"/>
      <c r="YL268" s="3"/>
      <c r="YM268" s="3"/>
      <c r="YN268" s="3"/>
      <c r="YO268" s="3"/>
      <c r="YP268" s="3"/>
      <c r="YQ268" s="3"/>
      <c r="YR268" s="3"/>
      <c r="YS268" s="3"/>
      <c r="YT268" s="3"/>
      <c r="YU268" s="3"/>
      <c r="YV268" s="3"/>
      <c r="YW268" s="3"/>
      <c r="YX268" s="3"/>
      <c r="YY268" s="3"/>
      <c r="YZ268" s="3"/>
      <c r="ZA268" s="3"/>
      <c r="ZB268" s="3"/>
      <c r="ZC268" s="3"/>
    </row>
    <row r="269" spans="1:679" s="2" customFormat="1" x14ac:dyDescent="0.45">
      <c r="A269" s="3" t="s">
        <v>11</v>
      </c>
      <c r="B269" s="4">
        <v>37949</v>
      </c>
      <c r="C269" s="7" t="s">
        <v>25</v>
      </c>
      <c r="D269" s="6" t="s">
        <v>288</v>
      </c>
      <c r="E269" s="3"/>
      <c r="F269" s="3">
        <v>34</v>
      </c>
      <c r="L269" s="3"/>
      <c r="M269" s="3"/>
      <c r="N269" s="48"/>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c r="CO269" s="3"/>
      <c r="CP269" s="3"/>
      <c r="CQ269" s="3"/>
      <c r="CR269" s="3"/>
      <c r="CS269" s="3"/>
      <c r="CT269" s="3"/>
      <c r="CU269" s="3"/>
      <c r="CV269" s="3"/>
      <c r="CW269" s="3"/>
      <c r="CX269" s="3"/>
      <c r="CY269" s="3"/>
      <c r="CZ269" s="3"/>
      <c r="DA269" s="3"/>
      <c r="DB269" s="3"/>
      <c r="DC269" s="3"/>
      <c r="DD269" s="3"/>
      <c r="DE269" s="3"/>
      <c r="DF269" s="3"/>
      <c r="DG269" s="3"/>
      <c r="DH269" s="3"/>
      <c r="DI269" s="3"/>
      <c r="DJ269" s="3"/>
      <c r="DK269" s="3"/>
      <c r="DL269" s="3"/>
      <c r="DM269" s="3"/>
      <c r="DN269" s="3"/>
      <c r="DO269" s="3"/>
      <c r="DP269" s="3"/>
      <c r="DQ269" s="3"/>
      <c r="DR269" s="3"/>
      <c r="DS269" s="3"/>
      <c r="DT269" s="3"/>
      <c r="DU269" s="3"/>
      <c r="DV269" s="3"/>
      <c r="DW269" s="3"/>
      <c r="DX269" s="3"/>
      <c r="DY269" s="3"/>
      <c r="DZ269" s="3"/>
      <c r="EA269" s="3"/>
      <c r="EB269" s="3"/>
      <c r="EC269" s="3"/>
      <c r="ED269" s="3"/>
      <c r="EE269" s="3"/>
      <c r="EF269" s="3"/>
      <c r="EG269" s="3"/>
      <c r="EH269" s="3"/>
      <c r="EI269" s="3"/>
      <c r="EJ269" s="3"/>
      <c r="EK269" s="3"/>
      <c r="EL269" s="3"/>
      <c r="EM269" s="3"/>
      <c r="EN269" s="3"/>
      <c r="EO269" s="3"/>
      <c r="EP269" s="3"/>
      <c r="EQ269" s="3"/>
      <c r="ER269" s="3"/>
      <c r="ES269" s="3"/>
      <c r="ET269" s="3"/>
      <c r="EU269" s="3"/>
      <c r="EV269" s="3"/>
      <c r="EW269" s="3"/>
      <c r="EX269" s="3"/>
      <c r="EY269" s="3"/>
      <c r="EZ269" s="3"/>
      <c r="FA269" s="3"/>
      <c r="FB269" s="3"/>
      <c r="FC269" s="3"/>
      <c r="FD269" s="3"/>
      <c r="FE269" s="3"/>
      <c r="FF269" s="3"/>
      <c r="FG269" s="3"/>
      <c r="FH269" s="3"/>
      <c r="FI269" s="3"/>
      <c r="FJ269" s="3"/>
      <c r="FK269" s="3"/>
      <c r="FL269" s="3"/>
      <c r="FM269" s="3"/>
      <c r="FN269" s="3"/>
      <c r="FO269" s="3"/>
      <c r="FP269" s="3"/>
      <c r="FQ269" s="3"/>
      <c r="FR269" s="3"/>
      <c r="FS269" s="3"/>
      <c r="FT269" s="3"/>
      <c r="FU269" s="3"/>
      <c r="FV269" s="3"/>
      <c r="FW269" s="3"/>
      <c r="FX269" s="3"/>
      <c r="FY269" s="3"/>
      <c r="FZ269" s="3"/>
      <c r="GA269" s="3"/>
      <c r="GB269" s="3"/>
      <c r="GC269" s="3"/>
      <c r="GD269" s="3"/>
      <c r="GE269" s="3"/>
      <c r="GF269" s="3"/>
      <c r="GG269" s="3"/>
      <c r="GH269" s="3"/>
      <c r="GI269" s="3"/>
      <c r="GJ269" s="3"/>
      <c r="GK269" s="3"/>
      <c r="GL269" s="3"/>
      <c r="GM269" s="3"/>
      <c r="GN269" s="3"/>
      <c r="GO269" s="3"/>
      <c r="GP269" s="3"/>
      <c r="GQ269" s="3"/>
      <c r="GR269" s="3"/>
      <c r="GS269" s="3"/>
      <c r="GT269" s="3"/>
      <c r="GU269" s="3"/>
      <c r="GV269" s="3"/>
      <c r="GW269" s="3"/>
      <c r="GX269" s="3"/>
      <c r="GY269" s="3"/>
      <c r="GZ269" s="3"/>
      <c r="HA269" s="3"/>
      <c r="HB269" s="3"/>
      <c r="HC269" s="3"/>
      <c r="HD269" s="3"/>
      <c r="HE269" s="3"/>
      <c r="HF269" s="3"/>
      <c r="HG269" s="3"/>
      <c r="HH269" s="3"/>
      <c r="HI269" s="3"/>
      <c r="HJ269" s="3"/>
      <c r="HK269" s="3"/>
      <c r="HL269" s="3"/>
      <c r="HM269" s="3"/>
      <c r="HN269" s="3"/>
      <c r="HO269" s="3"/>
      <c r="HP269" s="3"/>
      <c r="HQ269" s="3"/>
      <c r="HR269" s="3"/>
      <c r="HS269" s="3"/>
      <c r="HT269" s="3"/>
      <c r="HU269" s="3"/>
      <c r="HV269" s="3"/>
      <c r="HW269" s="3"/>
      <c r="HX269" s="3"/>
      <c r="HY269" s="3"/>
      <c r="HZ269" s="3"/>
      <c r="IA269" s="3"/>
      <c r="IB269" s="3"/>
      <c r="IC269" s="3"/>
      <c r="ID269" s="3"/>
      <c r="IE269" s="3"/>
      <c r="IF269" s="3"/>
      <c r="IG269" s="3"/>
      <c r="IH269" s="3"/>
      <c r="II269" s="3"/>
      <c r="IJ269" s="3"/>
      <c r="IK269" s="3"/>
      <c r="IL269" s="3"/>
      <c r="IM269" s="3"/>
      <c r="IN269" s="3"/>
      <c r="IO269" s="3"/>
      <c r="IP269" s="3"/>
      <c r="IQ269" s="3"/>
      <c r="IR269" s="3"/>
      <c r="IS269" s="3"/>
      <c r="IT269" s="3"/>
      <c r="IU269" s="3"/>
      <c r="IV269" s="3"/>
      <c r="IW269" s="3"/>
      <c r="IX269" s="3"/>
      <c r="IY269" s="3"/>
      <c r="IZ269" s="3"/>
      <c r="JA269" s="3"/>
      <c r="JB269" s="3"/>
      <c r="JC269" s="3"/>
      <c r="JD269" s="3"/>
      <c r="JE269" s="3"/>
      <c r="JF269" s="3"/>
      <c r="JG269" s="3"/>
      <c r="JH269" s="3"/>
      <c r="JI269" s="3"/>
      <c r="JJ269" s="3"/>
      <c r="JK269" s="3"/>
      <c r="JL269" s="3"/>
      <c r="JM269" s="3"/>
      <c r="JN269" s="3"/>
      <c r="JO269" s="3"/>
      <c r="JP269" s="3"/>
      <c r="JQ269" s="3"/>
      <c r="JR269" s="3"/>
      <c r="JS269" s="3"/>
      <c r="JT269" s="3"/>
      <c r="JU269" s="3"/>
      <c r="JV269" s="3"/>
      <c r="JW269" s="3"/>
      <c r="JX269" s="3"/>
      <c r="JY269" s="3"/>
      <c r="JZ269" s="3"/>
      <c r="KA269" s="3"/>
      <c r="KB269" s="3"/>
      <c r="KC269" s="3"/>
      <c r="KD269" s="3"/>
      <c r="KE269" s="3"/>
      <c r="KF269" s="3"/>
      <c r="KG269" s="3"/>
      <c r="KH269" s="3"/>
      <c r="KI269" s="3"/>
      <c r="KJ269" s="3"/>
      <c r="KK269" s="3"/>
      <c r="KL269" s="3"/>
      <c r="KM269" s="3"/>
      <c r="KN269" s="3"/>
      <c r="KO269" s="3"/>
      <c r="KP269" s="3"/>
      <c r="KQ269" s="3"/>
      <c r="KR269" s="3"/>
      <c r="KS269" s="3"/>
      <c r="KT269" s="3"/>
      <c r="KU269" s="3"/>
      <c r="KV269" s="3"/>
      <c r="KW269" s="3"/>
      <c r="KX269" s="3"/>
      <c r="KY269" s="3"/>
      <c r="KZ269" s="3"/>
      <c r="LA269" s="3"/>
      <c r="LB269" s="3"/>
      <c r="LC269" s="3"/>
      <c r="LD269" s="3"/>
      <c r="LE269" s="3"/>
      <c r="LF269" s="3"/>
      <c r="LG269" s="3"/>
      <c r="LH269" s="3"/>
      <c r="LI269" s="3"/>
      <c r="LJ269" s="3"/>
      <c r="LK269" s="3"/>
      <c r="LL269" s="3"/>
      <c r="LM269" s="3"/>
      <c r="LN269" s="3"/>
      <c r="LO269" s="3"/>
      <c r="LP269" s="3"/>
      <c r="LQ269" s="3"/>
      <c r="LR269" s="3"/>
      <c r="LS269" s="3"/>
      <c r="LT269" s="3"/>
      <c r="LU269" s="3"/>
      <c r="LV269" s="3"/>
      <c r="LW269" s="3"/>
      <c r="LX269" s="3"/>
      <c r="LY269" s="3"/>
      <c r="LZ269" s="3"/>
      <c r="MA269" s="3"/>
      <c r="MB269" s="3"/>
      <c r="MC269" s="3"/>
      <c r="MD269" s="3"/>
      <c r="ME269" s="3"/>
      <c r="MF269" s="3"/>
      <c r="MG269" s="3"/>
      <c r="MH269" s="3"/>
      <c r="MI269" s="3"/>
      <c r="MJ269" s="3"/>
      <c r="MK269" s="3"/>
      <c r="ML269" s="3"/>
      <c r="MM269" s="3"/>
      <c r="MN269" s="3"/>
      <c r="MO269" s="3"/>
      <c r="MP269" s="3"/>
      <c r="MQ269" s="3"/>
      <c r="MR269" s="3"/>
      <c r="MS269" s="3"/>
      <c r="MT269" s="3"/>
      <c r="MU269" s="3"/>
      <c r="MV269" s="3"/>
      <c r="MW269" s="3"/>
      <c r="MX269" s="3"/>
      <c r="MY269" s="3"/>
      <c r="MZ269" s="3"/>
      <c r="NA269" s="3"/>
      <c r="NB269" s="3"/>
      <c r="NC269" s="3"/>
      <c r="ND269" s="3"/>
      <c r="NE269" s="3"/>
      <c r="NF269" s="3"/>
      <c r="NG269" s="3"/>
      <c r="NH269" s="3"/>
      <c r="NI269" s="3"/>
      <c r="NJ269" s="3"/>
      <c r="NK269" s="3"/>
      <c r="NL269" s="3"/>
      <c r="NM269" s="3"/>
      <c r="NN269" s="3"/>
      <c r="NO269" s="3"/>
      <c r="NP269" s="3"/>
      <c r="NQ269" s="3"/>
      <c r="NR269" s="3"/>
      <c r="NS269" s="3"/>
      <c r="NT269" s="3"/>
      <c r="NU269" s="3"/>
      <c r="NV269" s="3"/>
      <c r="NW269" s="3"/>
      <c r="NX269" s="3"/>
      <c r="NY269" s="3"/>
      <c r="NZ269" s="3"/>
      <c r="OA269" s="3"/>
      <c r="OB269" s="3"/>
      <c r="OC269" s="3"/>
      <c r="OD269" s="3"/>
      <c r="OE269" s="3"/>
      <c r="OF269" s="3"/>
      <c r="OG269" s="3"/>
      <c r="OH269" s="3"/>
      <c r="OI269" s="3"/>
      <c r="OJ269" s="3"/>
      <c r="OK269" s="3"/>
      <c r="OL269" s="3"/>
      <c r="OM269" s="3"/>
      <c r="ON269" s="3"/>
      <c r="OO269" s="3"/>
      <c r="OP269" s="3"/>
      <c r="OQ269" s="3"/>
      <c r="OR269" s="3"/>
      <c r="OS269" s="3"/>
      <c r="OT269" s="3"/>
      <c r="OU269" s="3"/>
      <c r="OV269" s="3"/>
      <c r="OW269" s="3"/>
      <c r="OX269" s="3"/>
      <c r="OY269" s="3"/>
      <c r="OZ269" s="3"/>
      <c r="PA269" s="3"/>
      <c r="PB269" s="3"/>
      <c r="PC269" s="3"/>
      <c r="PD269" s="3"/>
      <c r="PE269" s="3"/>
      <c r="PF269" s="3"/>
      <c r="PG269" s="3"/>
      <c r="PH269" s="3"/>
      <c r="PI269" s="3"/>
      <c r="PJ269" s="3"/>
      <c r="PK269" s="3"/>
      <c r="PL269" s="3"/>
      <c r="PM269" s="3"/>
      <c r="PN269" s="3"/>
      <c r="PO269" s="3"/>
      <c r="PP269" s="3"/>
      <c r="PQ269" s="3"/>
      <c r="PR269" s="3"/>
      <c r="PS269" s="3"/>
      <c r="PT269" s="3"/>
      <c r="PU269" s="3"/>
      <c r="PV269" s="3"/>
      <c r="PW269" s="3"/>
      <c r="PX269" s="3"/>
      <c r="PY269" s="3"/>
      <c r="PZ269" s="3"/>
      <c r="QA269" s="3"/>
      <c r="QB269" s="3"/>
      <c r="QC269" s="3"/>
      <c r="QD269" s="3"/>
      <c r="QE269" s="3"/>
      <c r="QF269" s="3"/>
      <c r="QG269" s="3"/>
      <c r="QH269" s="3"/>
      <c r="QI269" s="3"/>
      <c r="QJ269" s="3"/>
      <c r="QK269" s="3"/>
      <c r="QL269" s="3"/>
      <c r="QM269" s="3"/>
      <c r="QN269" s="3"/>
      <c r="QO269" s="3"/>
      <c r="QP269" s="3"/>
      <c r="QQ269" s="3"/>
      <c r="QR269" s="3"/>
      <c r="QS269" s="3"/>
      <c r="QT269" s="3"/>
      <c r="QU269" s="3"/>
      <c r="QV269" s="3"/>
      <c r="QW269" s="3"/>
      <c r="QX269" s="3"/>
      <c r="QY269" s="3"/>
      <c r="QZ269" s="3"/>
      <c r="RA269" s="3"/>
      <c r="RB269" s="3"/>
      <c r="RC269" s="3"/>
      <c r="RD269" s="3"/>
      <c r="RE269" s="3"/>
      <c r="RF269" s="3"/>
      <c r="RG269" s="3"/>
      <c r="RH269" s="3"/>
      <c r="RI269" s="3"/>
      <c r="RJ269" s="3"/>
      <c r="RK269" s="3"/>
      <c r="RL269" s="3"/>
      <c r="RM269" s="3"/>
      <c r="RN269" s="3"/>
      <c r="RO269" s="3"/>
      <c r="RP269" s="3"/>
      <c r="RQ269" s="3"/>
      <c r="RR269" s="3"/>
      <c r="RS269" s="3"/>
      <c r="RT269" s="3"/>
      <c r="RU269" s="3"/>
      <c r="RV269" s="3"/>
      <c r="RW269" s="3"/>
      <c r="RX269" s="3"/>
      <c r="RY269" s="3"/>
      <c r="RZ269" s="3"/>
      <c r="SA269" s="3"/>
      <c r="SB269" s="3"/>
      <c r="SC269" s="3"/>
      <c r="SD269" s="3"/>
      <c r="SE269" s="3"/>
      <c r="SF269" s="3"/>
      <c r="SG269" s="3"/>
      <c r="SH269" s="3"/>
      <c r="SI269" s="3"/>
      <c r="SJ269" s="3"/>
      <c r="SK269" s="3"/>
      <c r="SL269" s="3"/>
      <c r="SM269" s="3"/>
      <c r="SN269" s="3"/>
      <c r="SO269" s="3"/>
      <c r="SP269" s="3"/>
      <c r="SQ269" s="3"/>
      <c r="SR269" s="3"/>
      <c r="SS269" s="3"/>
      <c r="ST269" s="3"/>
      <c r="SU269" s="3"/>
      <c r="SV269" s="3"/>
      <c r="SW269" s="3"/>
      <c r="SX269" s="3"/>
      <c r="SY269" s="3"/>
      <c r="SZ269" s="3"/>
      <c r="TA269" s="3"/>
      <c r="TB269" s="3"/>
      <c r="TC269" s="3"/>
      <c r="TD269" s="3"/>
      <c r="TE269" s="3"/>
      <c r="TF269" s="3"/>
      <c r="TG269" s="3"/>
      <c r="TH269" s="3"/>
      <c r="TI269" s="3"/>
      <c r="TJ269" s="3"/>
      <c r="TK269" s="3"/>
      <c r="TL269" s="3"/>
      <c r="TM269" s="3"/>
      <c r="TN269" s="3"/>
      <c r="TO269" s="3"/>
      <c r="TP269" s="3"/>
      <c r="TQ269" s="3"/>
      <c r="TR269" s="3"/>
      <c r="TS269" s="3"/>
      <c r="TT269" s="3"/>
      <c r="TU269" s="3"/>
      <c r="TV269" s="3"/>
      <c r="TW269" s="3"/>
      <c r="TX269" s="3"/>
      <c r="TY269" s="3"/>
      <c r="TZ269" s="3"/>
      <c r="UA269" s="3"/>
      <c r="UB269" s="3"/>
      <c r="UC269" s="3"/>
      <c r="UD269" s="3"/>
      <c r="UE269" s="3"/>
      <c r="UF269" s="3"/>
      <c r="UG269" s="3"/>
      <c r="UH269" s="3"/>
      <c r="UI269" s="3"/>
      <c r="UJ269" s="3"/>
      <c r="UK269" s="3"/>
      <c r="UL269" s="3"/>
      <c r="UM269" s="3"/>
      <c r="UN269" s="3"/>
      <c r="UO269" s="3"/>
      <c r="UP269" s="3"/>
      <c r="UQ269" s="3"/>
      <c r="UR269" s="3"/>
      <c r="US269" s="3"/>
      <c r="UT269" s="3"/>
      <c r="UU269" s="3"/>
      <c r="UV269" s="3"/>
      <c r="UW269" s="3"/>
      <c r="UX269" s="3"/>
      <c r="UY269" s="3"/>
      <c r="UZ269" s="3"/>
      <c r="VA269" s="3"/>
      <c r="VB269" s="3"/>
      <c r="VC269" s="3"/>
      <c r="VD269" s="3"/>
      <c r="VE269" s="3"/>
      <c r="VF269" s="3"/>
      <c r="VG269" s="3"/>
      <c r="VH269" s="3"/>
      <c r="VI269" s="3"/>
      <c r="VJ269" s="3"/>
      <c r="VK269" s="3"/>
      <c r="VL269" s="3"/>
      <c r="VM269" s="3"/>
      <c r="VN269" s="3"/>
      <c r="VO269" s="3"/>
      <c r="VP269" s="3"/>
      <c r="VQ269" s="3"/>
      <c r="VR269" s="3"/>
      <c r="VS269" s="3"/>
      <c r="VT269" s="3"/>
      <c r="VU269" s="3"/>
      <c r="VV269" s="3"/>
      <c r="VW269" s="3"/>
      <c r="VX269" s="3"/>
      <c r="VY269" s="3"/>
      <c r="VZ269" s="3"/>
      <c r="WA269" s="3"/>
      <c r="WB269" s="3"/>
      <c r="WC269" s="3"/>
      <c r="WD269" s="3"/>
      <c r="WE269" s="3"/>
      <c r="WF269" s="3"/>
      <c r="WG269" s="3"/>
      <c r="WH269" s="3"/>
      <c r="WI269" s="3"/>
      <c r="WJ269" s="3"/>
      <c r="WK269" s="3"/>
      <c r="WL269" s="3"/>
      <c r="WM269" s="3"/>
      <c r="WN269" s="3"/>
      <c r="WO269" s="3"/>
      <c r="WP269" s="3"/>
      <c r="WQ269" s="3"/>
      <c r="WR269" s="3"/>
      <c r="WS269" s="3"/>
      <c r="WT269" s="3"/>
      <c r="WU269" s="3"/>
      <c r="WV269" s="3"/>
      <c r="WW269" s="3"/>
      <c r="WX269" s="3"/>
      <c r="WY269" s="3"/>
      <c r="WZ269" s="3"/>
      <c r="XA269" s="3"/>
      <c r="XB269" s="3"/>
      <c r="XC269" s="3"/>
      <c r="XD269" s="3"/>
      <c r="XE269" s="3"/>
      <c r="XF269" s="3"/>
      <c r="XG269" s="3"/>
      <c r="XH269" s="3"/>
      <c r="XI269" s="3"/>
      <c r="XJ269" s="3"/>
      <c r="XK269" s="3"/>
      <c r="XL269" s="3"/>
      <c r="XM269" s="3"/>
      <c r="XN269" s="3"/>
      <c r="XO269" s="3"/>
      <c r="XP269" s="3"/>
      <c r="XQ269" s="3"/>
      <c r="XR269" s="3"/>
      <c r="XS269" s="3"/>
      <c r="XT269" s="3"/>
      <c r="XU269" s="3"/>
      <c r="XV269" s="3"/>
      <c r="XW269" s="3"/>
      <c r="XX269" s="3"/>
      <c r="XY269" s="3"/>
      <c r="XZ269" s="3"/>
      <c r="YA269" s="3"/>
      <c r="YB269" s="3"/>
      <c r="YC269" s="3"/>
      <c r="YD269" s="3"/>
      <c r="YE269" s="3"/>
      <c r="YF269" s="3"/>
      <c r="YG269" s="3"/>
      <c r="YH269" s="3"/>
      <c r="YI269" s="3"/>
      <c r="YJ269" s="3"/>
      <c r="YK269" s="3"/>
      <c r="YL269" s="3"/>
      <c r="YM269" s="3"/>
      <c r="YN269" s="3"/>
      <c r="YO269" s="3"/>
      <c r="YP269" s="3"/>
      <c r="YQ269" s="3"/>
      <c r="YR269" s="3"/>
      <c r="YS269" s="3"/>
      <c r="YT269" s="3"/>
      <c r="YU269" s="3"/>
      <c r="YV269" s="3"/>
      <c r="YW269" s="3"/>
      <c r="YX269" s="3"/>
      <c r="YY269" s="3"/>
      <c r="YZ269" s="3"/>
      <c r="ZA269" s="3"/>
      <c r="ZB269" s="3"/>
      <c r="ZC269" s="3"/>
    </row>
    <row r="270" spans="1:679" s="2" customFormat="1" x14ac:dyDescent="0.45">
      <c r="A270" s="3" t="s">
        <v>11</v>
      </c>
      <c r="B270" s="4">
        <v>37951</v>
      </c>
      <c r="C270" s="7" t="s">
        <v>21</v>
      </c>
      <c r="D270" s="6" t="s">
        <v>289</v>
      </c>
      <c r="E270" s="3"/>
      <c r="F270" s="3">
        <v>7</v>
      </c>
      <c r="L270" s="3"/>
      <c r="M270" s="3"/>
      <c r="N270" s="48"/>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c r="CO270" s="3"/>
      <c r="CP270" s="3"/>
      <c r="CQ270" s="3"/>
      <c r="CR270" s="3"/>
      <c r="CS270" s="3"/>
      <c r="CT270" s="3"/>
      <c r="CU270" s="3"/>
      <c r="CV270" s="3"/>
      <c r="CW270" s="3"/>
      <c r="CX270" s="3"/>
      <c r="CY270" s="3"/>
      <c r="CZ270" s="3"/>
      <c r="DA270" s="3"/>
      <c r="DB270" s="3"/>
      <c r="DC270" s="3"/>
      <c r="DD270" s="3"/>
      <c r="DE270" s="3"/>
      <c r="DF270" s="3"/>
      <c r="DG270" s="3"/>
      <c r="DH270" s="3"/>
      <c r="DI270" s="3"/>
      <c r="DJ270" s="3"/>
      <c r="DK270" s="3"/>
      <c r="DL270" s="3"/>
      <c r="DM270" s="3"/>
      <c r="DN270" s="3"/>
      <c r="DO270" s="3"/>
      <c r="DP270" s="3"/>
      <c r="DQ270" s="3"/>
      <c r="DR270" s="3"/>
      <c r="DS270" s="3"/>
      <c r="DT270" s="3"/>
      <c r="DU270" s="3"/>
      <c r="DV270" s="3"/>
      <c r="DW270" s="3"/>
      <c r="DX270" s="3"/>
      <c r="DY270" s="3"/>
      <c r="DZ270" s="3"/>
      <c r="EA270" s="3"/>
      <c r="EB270" s="3"/>
      <c r="EC270" s="3"/>
      <c r="ED270" s="3"/>
      <c r="EE270" s="3"/>
      <c r="EF270" s="3"/>
      <c r="EG270" s="3"/>
      <c r="EH270" s="3"/>
      <c r="EI270" s="3"/>
      <c r="EJ270" s="3"/>
      <c r="EK270" s="3"/>
      <c r="EL270" s="3"/>
      <c r="EM270" s="3"/>
      <c r="EN270" s="3"/>
      <c r="EO270" s="3"/>
      <c r="EP270" s="3"/>
      <c r="EQ270" s="3"/>
      <c r="ER270" s="3"/>
      <c r="ES270" s="3"/>
      <c r="ET270" s="3"/>
      <c r="EU270" s="3"/>
      <c r="EV270" s="3"/>
      <c r="EW270" s="3"/>
      <c r="EX270" s="3"/>
      <c r="EY270" s="3"/>
      <c r="EZ270" s="3"/>
      <c r="FA270" s="3"/>
      <c r="FB270" s="3"/>
      <c r="FC270" s="3"/>
      <c r="FD270" s="3"/>
      <c r="FE270" s="3"/>
      <c r="FF270" s="3"/>
      <c r="FG270" s="3"/>
      <c r="FH270" s="3"/>
      <c r="FI270" s="3"/>
      <c r="FJ270" s="3"/>
      <c r="FK270" s="3"/>
      <c r="FL270" s="3"/>
      <c r="FM270" s="3"/>
      <c r="FN270" s="3"/>
      <c r="FO270" s="3"/>
      <c r="FP270" s="3"/>
      <c r="FQ270" s="3"/>
      <c r="FR270" s="3"/>
      <c r="FS270" s="3"/>
      <c r="FT270" s="3"/>
      <c r="FU270" s="3"/>
      <c r="FV270" s="3"/>
      <c r="FW270" s="3"/>
      <c r="FX270" s="3"/>
      <c r="FY270" s="3"/>
      <c r="FZ270" s="3"/>
      <c r="GA270" s="3"/>
      <c r="GB270" s="3"/>
      <c r="GC270" s="3"/>
      <c r="GD270" s="3"/>
      <c r="GE270" s="3"/>
      <c r="GF270" s="3"/>
      <c r="GG270" s="3"/>
      <c r="GH270" s="3"/>
      <c r="GI270" s="3"/>
      <c r="GJ270" s="3"/>
      <c r="GK270" s="3"/>
      <c r="GL270" s="3"/>
      <c r="GM270" s="3"/>
      <c r="GN270" s="3"/>
      <c r="GO270" s="3"/>
      <c r="GP270" s="3"/>
      <c r="GQ270" s="3"/>
      <c r="GR270" s="3"/>
      <c r="GS270" s="3"/>
      <c r="GT270" s="3"/>
      <c r="GU270" s="3"/>
      <c r="GV270" s="3"/>
      <c r="GW270" s="3"/>
      <c r="GX270" s="3"/>
      <c r="GY270" s="3"/>
      <c r="GZ270" s="3"/>
      <c r="HA270" s="3"/>
      <c r="HB270" s="3"/>
      <c r="HC270" s="3"/>
      <c r="HD270" s="3"/>
      <c r="HE270" s="3"/>
      <c r="HF270" s="3"/>
      <c r="HG270" s="3"/>
      <c r="HH270" s="3"/>
      <c r="HI270" s="3"/>
      <c r="HJ270" s="3"/>
      <c r="HK270" s="3"/>
      <c r="HL270" s="3"/>
      <c r="HM270" s="3"/>
      <c r="HN270" s="3"/>
      <c r="HO270" s="3"/>
      <c r="HP270" s="3"/>
      <c r="HQ270" s="3"/>
      <c r="HR270" s="3"/>
      <c r="HS270" s="3"/>
      <c r="HT270" s="3"/>
      <c r="HU270" s="3"/>
      <c r="HV270" s="3"/>
      <c r="HW270" s="3"/>
      <c r="HX270" s="3"/>
      <c r="HY270" s="3"/>
      <c r="HZ270" s="3"/>
      <c r="IA270" s="3"/>
      <c r="IB270" s="3"/>
      <c r="IC270" s="3"/>
      <c r="ID270" s="3"/>
      <c r="IE270" s="3"/>
      <c r="IF270" s="3"/>
      <c r="IG270" s="3"/>
      <c r="IH270" s="3"/>
      <c r="II270" s="3"/>
      <c r="IJ270" s="3"/>
      <c r="IK270" s="3"/>
      <c r="IL270" s="3"/>
      <c r="IM270" s="3"/>
      <c r="IN270" s="3"/>
      <c r="IO270" s="3"/>
      <c r="IP270" s="3"/>
      <c r="IQ270" s="3"/>
      <c r="IR270" s="3"/>
      <c r="IS270" s="3"/>
      <c r="IT270" s="3"/>
      <c r="IU270" s="3"/>
      <c r="IV270" s="3"/>
      <c r="IW270" s="3"/>
      <c r="IX270" s="3"/>
      <c r="IY270" s="3"/>
      <c r="IZ270" s="3"/>
      <c r="JA270" s="3"/>
      <c r="JB270" s="3"/>
      <c r="JC270" s="3"/>
      <c r="JD270" s="3"/>
      <c r="JE270" s="3"/>
      <c r="JF270" s="3"/>
      <c r="JG270" s="3"/>
      <c r="JH270" s="3"/>
      <c r="JI270" s="3"/>
      <c r="JJ270" s="3"/>
      <c r="JK270" s="3"/>
      <c r="JL270" s="3"/>
      <c r="JM270" s="3"/>
      <c r="JN270" s="3"/>
      <c r="JO270" s="3"/>
      <c r="JP270" s="3"/>
      <c r="JQ270" s="3"/>
      <c r="JR270" s="3"/>
      <c r="JS270" s="3"/>
      <c r="JT270" s="3"/>
      <c r="JU270" s="3"/>
      <c r="JV270" s="3"/>
      <c r="JW270" s="3"/>
      <c r="JX270" s="3"/>
      <c r="JY270" s="3"/>
      <c r="JZ270" s="3"/>
      <c r="KA270" s="3"/>
      <c r="KB270" s="3"/>
      <c r="KC270" s="3"/>
      <c r="KD270" s="3"/>
      <c r="KE270" s="3"/>
      <c r="KF270" s="3"/>
      <c r="KG270" s="3"/>
      <c r="KH270" s="3"/>
      <c r="KI270" s="3"/>
      <c r="KJ270" s="3"/>
      <c r="KK270" s="3"/>
      <c r="KL270" s="3"/>
      <c r="KM270" s="3"/>
      <c r="KN270" s="3"/>
      <c r="KO270" s="3"/>
      <c r="KP270" s="3"/>
      <c r="KQ270" s="3"/>
      <c r="KR270" s="3"/>
      <c r="KS270" s="3"/>
      <c r="KT270" s="3"/>
      <c r="KU270" s="3"/>
      <c r="KV270" s="3"/>
      <c r="KW270" s="3"/>
      <c r="KX270" s="3"/>
      <c r="KY270" s="3"/>
      <c r="KZ270" s="3"/>
      <c r="LA270" s="3"/>
      <c r="LB270" s="3"/>
      <c r="LC270" s="3"/>
      <c r="LD270" s="3"/>
      <c r="LE270" s="3"/>
      <c r="LF270" s="3"/>
      <c r="LG270" s="3"/>
      <c r="LH270" s="3"/>
      <c r="LI270" s="3"/>
      <c r="LJ270" s="3"/>
      <c r="LK270" s="3"/>
      <c r="LL270" s="3"/>
      <c r="LM270" s="3"/>
      <c r="LN270" s="3"/>
      <c r="LO270" s="3"/>
      <c r="LP270" s="3"/>
      <c r="LQ270" s="3"/>
      <c r="LR270" s="3"/>
      <c r="LS270" s="3"/>
      <c r="LT270" s="3"/>
      <c r="LU270" s="3"/>
      <c r="LV270" s="3"/>
      <c r="LW270" s="3"/>
      <c r="LX270" s="3"/>
      <c r="LY270" s="3"/>
      <c r="LZ270" s="3"/>
      <c r="MA270" s="3"/>
      <c r="MB270" s="3"/>
      <c r="MC270" s="3"/>
      <c r="MD270" s="3"/>
      <c r="ME270" s="3"/>
      <c r="MF270" s="3"/>
      <c r="MG270" s="3"/>
      <c r="MH270" s="3"/>
      <c r="MI270" s="3"/>
      <c r="MJ270" s="3"/>
      <c r="MK270" s="3"/>
      <c r="ML270" s="3"/>
      <c r="MM270" s="3"/>
      <c r="MN270" s="3"/>
      <c r="MO270" s="3"/>
      <c r="MP270" s="3"/>
      <c r="MQ270" s="3"/>
      <c r="MR270" s="3"/>
      <c r="MS270" s="3"/>
      <c r="MT270" s="3"/>
      <c r="MU270" s="3"/>
      <c r="MV270" s="3"/>
      <c r="MW270" s="3"/>
      <c r="MX270" s="3"/>
      <c r="MY270" s="3"/>
      <c r="MZ270" s="3"/>
      <c r="NA270" s="3"/>
      <c r="NB270" s="3"/>
      <c r="NC270" s="3"/>
      <c r="ND270" s="3"/>
      <c r="NE270" s="3"/>
      <c r="NF270" s="3"/>
      <c r="NG270" s="3"/>
      <c r="NH270" s="3"/>
      <c r="NI270" s="3"/>
      <c r="NJ270" s="3"/>
      <c r="NK270" s="3"/>
      <c r="NL270" s="3"/>
      <c r="NM270" s="3"/>
      <c r="NN270" s="3"/>
      <c r="NO270" s="3"/>
      <c r="NP270" s="3"/>
      <c r="NQ270" s="3"/>
      <c r="NR270" s="3"/>
      <c r="NS270" s="3"/>
      <c r="NT270" s="3"/>
      <c r="NU270" s="3"/>
      <c r="NV270" s="3"/>
      <c r="NW270" s="3"/>
      <c r="NX270" s="3"/>
      <c r="NY270" s="3"/>
      <c r="NZ270" s="3"/>
      <c r="OA270" s="3"/>
      <c r="OB270" s="3"/>
      <c r="OC270" s="3"/>
      <c r="OD270" s="3"/>
      <c r="OE270" s="3"/>
      <c r="OF270" s="3"/>
      <c r="OG270" s="3"/>
      <c r="OH270" s="3"/>
      <c r="OI270" s="3"/>
      <c r="OJ270" s="3"/>
      <c r="OK270" s="3"/>
      <c r="OL270" s="3"/>
      <c r="OM270" s="3"/>
      <c r="ON270" s="3"/>
      <c r="OO270" s="3"/>
      <c r="OP270" s="3"/>
      <c r="OQ270" s="3"/>
      <c r="OR270" s="3"/>
      <c r="OS270" s="3"/>
      <c r="OT270" s="3"/>
      <c r="OU270" s="3"/>
      <c r="OV270" s="3"/>
      <c r="OW270" s="3"/>
      <c r="OX270" s="3"/>
      <c r="OY270" s="3"/>
      <c r="OZ270" s="3"/>
      <c r="PA270" s="3"/>
      <c r="PB270" s="3"/>
      <c r="PC270" s="3"/>
      <c r="PD270" s="3"/>
      <c r="PE270" s="3"/>
      <c r="PF270" s="3"/>
      <c r="PG270" s="3"/>
      <c r="PH270" s="3"/>
      <c r="PI270" s="3"/>
      <c r="PJ270" s="3"/>
      <c r="PK270" s="3"/>
      <c r="PL270" s="3"/>
      <c r="PM270" s="3"/>
      <c r="PN270" s="3"/>
      <c r="PO270" s="3"/>
      <c r="PP270" s="3"/>
      <c r="PQ270" s="3"/>
      <c r="PR270" s="3"/>
      <c r="PS270" s="3"/>
      <c r="PT270" s="3"/>
      <c r="PU270" s="3"/>
      <c r="PV270" s="3"/>
      <c r="PW270" s="3"/>
      <c r="PX270" s="3"/>
      <c r="PY270" s="3"/>
      <c r="PZ270" s="3"/>
      <c r="QA270" s="3"/>
      <c r="QB270" s="3"/>
      <c r="QC270" s="3"/>
      <c r="QD270" s="3"/>
      <c r="QE270" s="3"/>
      <c r="QF270" s="3"/>
      <c r="QG270" s="3"/>
      <c r="QH270" s="3"/>
      <c r="QI270" s="3"/>
      <c r="QJ270" s="3"/>
      <c r="QK270" s="3"/>
      <c r="QL270" s="3"/>
      <c r="QM270" s="3"/>
      <c r="QN270" s="3"/>
      <c r="QO270" s="3"/>
      <c r="QP270" s="3"/>
      <c r="QQ270" s="3"/>
      <c r="QR270" s="3"/>
      <c r="QS270" s="3"/>
      <c r="QT270" s="3"/>
      <c r="QU270" s="3"/>
      <c r="QV270" s="3"/>
      <c r="QW270" s="3"/>
      <c r="QX270" s="3"/>
      <c r="QY270" s="3"/>
      <c r="QZ270" s="3"/>
      <c r="RA270" s="3"/>
      <c r="RB270" s="3"/>
      <c r="RC270" s="3"/>
      <c r="RD270" s="3"/>
      <c r="RE270" s="3"/>
      <c r="RF270" s="3"/>
      <c r="RG270" s="3"/>
      <c r="RH270" s="3"/>
      <c r="RI270" s="3"/>
      <c r="RJ270" s="3"/>
      <c r="RK270" s="3"/>
      <c r="RL270" s="3"/>
      <c r="RM270" s="3"/>
      <c r="RN270" s="3"/>
      <c r="RO270" s="3"/>
      <c r="RP270" s="3"/>
      <c r="RQ270" s="3"/>
      <c r="RR270" s="3"/>
      <c r="RS270" s="3"/>
      <c r="RT270" s="3"/>
      <c r="RU270" s="3"/>
      <c r="RV270" s="3"/>
      <c r="RW270" s="3"/>
      <c r="RX270" s="3"/>
      <c r="RY270" s="3"/>
      <c r="RZ270" s="3"/>
      <c r="SA270" s="3"/>
      <c r="SB270" s="3"/>
      <c r="SC270" s="3"/>
      <c r="SD270" s="3"/>
      <c r="SE270" s="3"/>
      <c r="SF270" s="3"/>
      <c r="SG270" s="3"/>
      <c r="SH270" s="3"/>
      <c r="SI270" s="3"/>
      <c r="SJ270" s="3"/>
      <c r="SK270" s="3"/>
      <c r="SL270" s="3"/>
      <c r="SM270" s="3"/>
      <c r="SN270" s="3"/>
      <c r="SO270" s="3"/>
      <c r="SP270" s="3"/>
      <c r="SQ270" s="3"/>
      <c r="SR270" s="3"/>
      <c r="SS270" s="3"/>
      <c r="ST270" s="3"/>
      <c r="SU270" s="3"/>
      <c r="SV270" s="3"/>
      <c r="SW270" s="3"/>
      <c r="SX270" s="3"/>
      <c r="SY270" s="3"/>
      <c r="SZ270" s="3"/>
      <c r="TA270" s="3"/>
      <c r="TB270" s="3"/>
      <c r="TC270" s="3"/>
      <c r="TD270" s="3"/>
      <c r="TE270" s="3"/>
      <c r="TF270" s="3"/>
      <c r="TG270" s="3"/>
      <c r="TH270" s="3"/>
      <c r="TI270" s="3"/>
      <c r="TJ270" s="3"/>
      <c r="TK270" s="3"/>
      <c r="TL270" s="3"/>
      <c r="TM270" s="3"/>
      <c r="TN270" s="3"/>
      <c r="TO270" s="3"/>
      <c r="TP270" s="3"/>
      <c r="TQ270" s="3"/>
      <c r="TR270" s="3"/>
      <c r="TS270" s="3"/>
      <c r="TT270" s="3"/>
      <c r="TU270" s="3"/>
      <c r="TV270" s="3"/>
      <c r="TW270" s="3"/>
      <c r="TX270" s="3"/>
      <c r="TY270" s="3"/>
      <c r="TZ270" s="3"/>
      <c r="UA270" s="3"/>
      <c r="UB270" s="3"/>
      <c r="UC270" s="3"/>
      <c r="UD270" s="3"/>
      <c r="UE270" s="3"/>
      <c r="UF270" s="3"/>
      <c r="UG270" s="3"/>
      <c r="UH270" s="3"/>
      <c r="UI270" s="3"/>
      <c r="UJ270" s="3"/>
      <c r="UK270" s="3"/>
      <c r="UL270" s="3"/>
      <c r="UM270" s="3"/>
      <c r="UN270" s="3"/>
      <c r="UO270" s="3"/>
      <c r="UP270" s="3"/>
      <c r="UQ270" s="3"/>
      <c r="UR270" s="3"/>
      <c r="US270" s="3"/>
      <c r="UT270" s="3"/>
      <c r="UU270" s="3"/>
      <c r="UV270" s="3"/>
      <c r="UW270" s="3"/>
      <c r="UX270" s="3"/>
      <c r="UY270" s="3"/>
      <c r="UZ270" s="3"/>
      <c r="VA270" s="3"/>
      <c r="VB270" s="3"/>
      <c r="VC270" s="3"/>
      <c r="VD270" s="3"/>
      <c r="VE270" s="3"/>
      <c r="VF270" s="3"/>
      <c r="VG270" s="3"/>
      <c r="VH270" s="3"/>
      <c r="VI270" s="3"/>
      <c r="VJ270" s="3"/>
      <c r="VK270" s="3"/>
      <c r="VL270" s="3"/>
      <c r="VM270" s="3"/>
      <c r="VN270" s="3"/>
      <c r="VO270" s="3"/>
      <c r="VP270" s="3"/>
      <c r="VQ270" s="3"/>
      <c r="VR270" s="3"/>
      <c r="VS270" s="3"/>
      <c r="VT270" s="3"/>
      <c r="VU270" s="3"/>
      <c r="VV270" s="3"/>
      <c r="VW270" s="3"/>
      <c r="VX270" s="3"/>
      <c r="VY270" s="3"/>
      <c r="VZ270" s="3"/>
      <c r="WA270" s="3"/>
      <c r="WB270" s="3"/>
      <c r="WC270" s="3"/>
      <c r="WD270" s="3"/>
      <c r="WE270" s="3"/>
      <c r="WF270" s="3"/>
      <c r="WG270" s="3"/>
      <c r="WH270" s="3"/>
      <c r="WI270" s="3"/>
      <c r="WJ270" s="3"/>
      <c r="WK270" s="3"/>
      <c r="WL270" s="3"/>
      <c r="WM270" s="3"/>
      <c r="WN270" s="3"/>
      <c r="WO270" s="3"/>
      <c r="WP270" s="3"/>
      <c r="WQ270" s="3"/>
      <c r="WR270" s="3"/>
      <c r="WS270" s="3"/>
      <c r="WT270" s="3"/>
      <c r="WU270" s="3"/>
      <c r="WV270" s="3"/>
      <c r="WW270" s="3"/>
      <c r="WX270" s="3"/>
      <c r="WY270" s="3"/>
      <c r="WZ270" s="3"/>
      <c r="XA270" s="3"/>
      <c r="XB270" s="3"/>
      <c r="XC270" s="3"/>
      <c r="XD270" s="3"/>
      <c r="XE270" s="3"/>
      <c r="XF270" s="3"/>
      <c r="XG270" s="3"/>
      <c r="XH270" s="3"/>
      <c r="XI270" s="3"/>
      <c r="XJ270" s="3"/>
      <c r="XK270" s="3"/>
      <c r="XL270" s="3"/>
      <c r="XM270" s="3"/>
      <c r="XN270" s="3"/>
      <c r="XO270" s="3"/>
      <c r="XP270" s="3"/>
      <c r="XQ270" s="3"/>
      <c r="XR270" s="3"/>
      <c r="XS270" s="3"/>
      <c r="XT270" s="3"/>
      <c r="XU270" s="3"/>
      <c r="XV270" s="3"/>
      <c r="XW270" s="3"/>
      <c r="XX270" s="3"/>
      <c r="XY270" s="3"/>
      <c r="XZ270" s="3"/>
      <c r="YA270" s="3"/>
      <c r="YB270" s="3"/>
      <c r="YC270" s="3"/>
      <c r="YD270" s="3"/>
      <c r="YE270" s="3"/>
      <c r="YF270" s="3"/>
      <c r="YG270" s="3"/>
      <c r="YH270" s="3"/>
      <c r="YI270" s="3"/>
      <c r="YJ270" s="3"/>
      <c r="YK270" s="3"/>
      <c r="YL270" s="3"/>
      <c r="YM270" s="3"/>
      <c r="YN270" s="3"/>
      <c r="YO270" s="3"/>
      <c r="YP270" s="3"/>
      <c r="YQ270" s="3"/>
      <c r="YR270" s="3"/>
      <c r="YS270" s="3"/>
      <c r="YT270" s="3"/>
      <c r="YU270" s="3"/>
      <c r="YV270" s="3"/>
      <c r="YW270" s="3"/>
      <c r="YX270" s="3"/>
      <c r="YY270" s="3"/>
      <c r="YZ270" s="3"/>
      <c r="ZA270" s="3"/>
      <c r="ZB270" s="3"/>
      <c r="ZC270" s="3"/>
    </row>
    <row r="271" spans="1:679" s="2" customFormat="1" x14ac:dyDescent="0.45">
      <c r="A271" s="3" t="s">
        <v>11</v>
      </c>
      <c r="B271" s="4">
        <v>38019</v>
      </c>
      <c r="C271" s="7" t="s">
        <v>21</v>
      </c>
      <c r="D271" s="6" t="s">
        <v>290</v>
      </c>
      <c r="E271" s="3"/>
      <c r="F271" s="3">
        <v>56</v>
      </c>
      <c r="L271" s="3"/>
      <c r="M271" s="3"/>
      <c r="N271" s="48"/>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c r="CO271" s="3"/>
      <c r="CP271" s="3"/>
      <c r="CQ271" s="3"/>
      <c r="CR271" s="3"/>
      <c r="CS271" s="3"/>
      <c r="CT271" s="3"/>
      <c r="CU271" s="3"/>
      <c r="CV271" s="3"/>
      <c r="CW271" s="3"/>
      <c r="CX271" s="3"/>
      <c r="CY271" s="3"/>
      <c r="CZ271" s="3"/>
      <c r="DA271" s="3"/>
      <c r="DB271" s="3"/>
      <c r="DC271" s="3"/>
      <c r="DD271" s="3"/>
      <c r="DE271" s="3"/>
      <c r="DF271" s="3"/>
      <c r="DG271" s="3"/>
      <c r="DH271" s="3"/>
      <c r="DI271" s="3"/>
      <c r="DJ271" s="3"/>
      <c r="DK271" s="3"/>
      <c r="DL271" s="3"/>
      <c r="DM271" s="3"/>
      <c r="DN271" s="3"/>
      <c r="DO271" s="3"/>
      <c r="DP271" s="3"/>
      <c r="DQ271" s="3"/>
      <c r="DR271" s="3"/>
      <c r="DS271" s="3"/>
      <c r="DT271" s="3"/>
      <c r="DU271" s="3"/>
      <c r="DV271" s="3"/>
      <c r="DW271" s="3"/>
      <c r="DX271" s="3"/>
      <c r="DY271" s="3"/>
      <c r="DZ271" s="3"/>
      <c r="EA271" s="3"/>
      <c r="EB271" s="3"/>
      <c r="EC271" s="3"/>
      <c r="ED271" s="3"/>
      <c r="EE271" s="3"/>
      <c r="EF271" s="3"/>
      <c r="EG271" s="3"/>
      <c r="EH271" s="3"/>
      <c r="EI271" s="3"/>
      <c r="EJ271" s="3"/>
      <c r="EK271" s="3"/>
      <c r="EL271" s="3"/>
      <c r="EM271" s="3"/>
      <c r="EN271" s="3"/>
      <c r="EO271" s="3"/>
      <c r="EP271" s="3"/>
      <c r="EQ271" s="3"/>
      <c r="ER271" s="3"/>
      <c r="ES271" s="3"/>
      <c r="ET271" s="3"/>
      <c r="EU271" s="3"/>
      <c r="EV271" s="3"/>
      <c r="EW271" s="3"/>
      <c r="EX271" s="3"/>
      <c r="EY271" s="3"/>
      <c r="EZ271" s="3"/>
      <c r="FA271" s="3"/>
      <c r="FB271" s="3"/>
      <c r="FC271" s="3"/>
      <c r="FD271" s="3"/>
      <c r="FE271" s="3"/>
      <c r="FF271" s="3"/>
      <c r="FG271" s="3"/>
      <c r="FH271" s="3"/>
      <c r="FI271" s="3"/>
      <c r="FJ271" s="3"/>
      <c r="FK271" s="3"/>
      <c r="FL271" s="3"/>
      <c r="FM271" s="3"/>
      <c r="FN271" s="3"/>
      <c r="FO271" s="3"/>
      <c r="FP271" s="3"/>
      <c r="FQ271" s="3"/>
      <c r="FR271" s="3"/>
      <c r="FS271" s="3"/>
      <c r="FT271" s="3"/>
      <c r="FU271" s="3"/>
      <c r="FV271" s="3"/>
      <c r="FW271" s="3"/>
      <c r="FX271" s="3"/>
      <c r="FY271" s="3"/>
      <c r="FZ271" s="3"/>
      <c r="GA271" s="3"/>
      <c r="GB271" s="3"/>
      <c r="GC271" s="3"/>
      <c r="GD271" s="3"/>
      <c r="GE271" s="3"/>
      <c r="GF271" s="3"/>
      <c r="GG271" s="3"/>
      <c r="GH271" s="3"/>
      <c r="GI271" s="3"/>
      <c r="GJ271" s="3"/>
      <c r="GK271" s="3"/>
      <c r="GL271" s="3"/>
      <c r="GM271" s="3"/>
      <c r="GN271" s="3"/>
      <c r="GO271" s="3"/>
      <c r="GP271" s="3"/>
      <c r="GQ271" s="3"/>
      <c r="GR271" s="3"/>
      <c r="GS271" s="3"/>
      <c r="GT271" s="3"/>
      <c r="GU271" s="3"/>
      <c r="GV271" s="3"/>
      <c r="GW271" s="3"/>
      <c r="GX271" s="3"/>
      <c r="GY271" s="3"/>
      <c r="GZ271" s="3"/>
      <c r="HA271" s="3"/>
      <c r="HB271" s="3"/>
      <c r="HC271" s="3"/>
      <c r="HD271" s="3"/>
      <c r="HE271" s="3"/>
      <c r="HF271" s="3"/>
      <c r="HG271" s="3"/>
      <c r="HH271" s="3"/>
      <c r="HI271" s="3"/>
      <c r="HJ271" s="3"/>
      <c r="HK271" s="3"/>
      <c r="HL271" s="3"/>
      <c r="HM271" s="3"/>
      <c r="HN271" s="3"/>
      <c r="HO271" s="3"/>
      <c r="HP271" s="3"/>
      <c r="HQ271" s="3"/>
      <c r="HR271" s="3"/>
      <c r="HS271" s="3"/>
      <c r="HT271" s="3"/>
      <c r="HU271" s="3"/>
      <c r="HV271" s="3"/>
      <c r="HW271" s="3"/>
      <c r="HX271" s="3"/>
      <c r="HY271" s="3"/>
      <c r="HZ271" s="3"/>
      <c r="IA271" s="3"/>
      <c r="IB271" s="3"/>
      <c r="IC271" s="3"/>
      <c r="ID271" s="3"/>
      <c r="IE271" s="3"/>
      <c r="IF271" s="3"/>
      <c r="IG271" s="3"/>
      <c r="IH271" s="3"/>
      <c r="II271" s="3"/>
      <c r="IJ271" s="3"/>
      <c r="IK271" s="3"/>
      <c r="IL271" s="3"/>
      <c r="IM271" s="3"/>
      <c r="IN271" s="3"/>
      <c r="IO271" s="3"/>
      <c r="IP271" s="3"/>
      <c r="IQ271" s="3"/>
      <c r="IR271" s="3"/>
      <c r="IS271" s="3"/>
      <c r="IT271" s="3"/>
      <c r="IU271" s="3"/>
      <c r="IV271" s="3"/>
      <c r="IW271" s="3"/>
      <c r="IX271" s="3"/>
      <c r="IY271" s="3"/>
      <c r="IZ271" s="3"/>
      <c r="JA271" s="3"/>
      <c r="JB271" s="3"/>
      <c r="JC271" s="3"/>
      <c r="JD271" s="3"/>
      <c r="JE271" s="3"/>
      <c r="JF271" s="3"/>
      <c r="JG271" s="3"/>
      <c r="JH271" s="3"/>
      <c r="JI271" s="3"/>
      <c r="JJ271" s="3"/>
      <c r="JK271" s="3"/>
      <c r="JL271" s="3"/>
      <c r="JM271" s="3"/>
      <c r="JN271" s="3"/>
      <c r="JO271" s="3"/>
      <c r="JP271" s="3"/>
      <c r="JQ271" s="3"/>
      <c r="JR271" s="3"/>
      <c r="JS271" s="3"/>
      <c r="JT271" s="3"/>
      <c r="JU271" s="3"/>
      <c r="JV271" s="3"/>
      <c r="JW271" s="3"/>
      <c r="JX271" s="3"/>
      <c r="JY271" s="3"/>
      <c r="JZ271" s="3"/>
      <c r="KA271" s="3"/>
      <c r="KB271" s="3"/>
      <c r="KC271" s="3"/>
      <c r="KD271" s="3"/>
      <c r="KE271" s="3"/>
      <c r="KF271" s="3"/>
      <c r="KG271" s="3"/>
      <c r="KH271" s="3"/>
      <c r="KI271" s="3"/>
      <c r="KJ271" s="3"/>
      <c r="KK271" s="3"/>
      <c r="KL271" s="3"/>
      <c r="KM271" s="3"/>
      <c r="KN271" s="3"/>
      <c r="KO271" s="3"/>
      <c r="KP271" s="3"/>
      <c r="KQ271" s="3"/>
      <c r="KR271" s="3"/>
      <c r="KS271" s="3"/>
      <c r="KT271" s="3"/>
      <c r="KU271" s="3"/>
      <c r="KV271" s="3"/>
      <c r="KW271" s="3"/>
      <c r="KX271" s="3"/>
      <c r="KY271" s="3"/>
      <c r="KZ271" s="3"/>
      <c r="LA271" s="3"/>
      <c r="LB271" s="3"/>
      <c r="LC271" s="3"/>
      <c r="LD271" s="3"/>
      <c r="LE271" s="3"/>
      <c r="LF271" s="3"/>
      <c r="LG271" s="3"/>
      <c r="LH271" s="3"/>
      <c r="LI271" s="3"/>
      <c r="LJ271" s="3"/>
      <c r="LK271" s="3"/>
      <c r="LL271" s="3"/>
      <c r="LM271" s="3"/>
      <c r="LN271" s="3"/>
      <c r="LO271" s="3"/>
      <c r="LP271" s="3"/>
      <c r="LQ271" s="3"/>
      <c r="LR271" s="3"/>
      <c r="LS271" s="3"/>
      <c r="LT271" s="3"/>
      <c r="LU271" s="3"/>
      <c r="LV271" s="3"/>
      <c r="LW271" s="3"/>
      <c r="LX271" s="3"/>
      <c r="LY271" s="3"/>
      <c r="LZ271" s="3"/>
      <c r="MA271" s="3"/>
      <c r="MB271" s="3"/>
      <c r="MC271" s="3"/>
      <c r="MD271" s="3"/>
      <c r="ME271" s="3"/>
      <c r="MF271" s="3"/>
      <c r="MG271" s="3"/>
      <c r="MH271" s="3"/>
      <c r="MI271" s="3"/>
      <c r="MJ271" s="3"/>
      <c r="MK271" s="3"/>
      <c r="ML271" s="3"/>
      <c r="MM271" s="3"/>
      <c r="MN271" s="3"/>
      <c r="MO271" s="3"/>
      <c r="MP271" s="3"/>
      <c r="MQ271" s="3"/>
      <c r="MR271" s="3"/>
      <c r="MS271" s="3"/>
      <c r="MT271" s="3"/>
      <c r="MU271" s="3"/>
      <c r="MV271" s="3"/>
      <c r="MW271" s="3"/>
      <c r="MX271" s="3"/>
      <c r="MY271" s="3"/>
      <c r="MZ271" s="3"/>
      <c r="NA271" s="3"/>
      <c r="NB271" s="3"/>
      <c r="NC271" s="3"/>
      <c r="ND271" s="3"/>
      <c r="NE271" s="3"/>
      <c r="NF271" s="3"/>
      <c r="NG271" s="3"/>
      <c r="NH271" s="3"/>
      <c r="NI271" s="3"/>
      <c r="NJ271" s="3"/>
      <c r="NK271" s="3"/>
      <c r="NL271" s="3"/>
      <c r="NM271" s="3"/>
      <c r="NN271" s="3"/>
      <c r="NO271" s="3"/>
      <c r="NP271" s="3"/>
      <c r="NQ271" s="3"/>
      <c r="NR271" s="3"/>
      <c r="NS271" s="3"/>
      <c r="NT271" s="3"/>
      <c r="NU271" s="3"/>
      <c r="NV271" s="3"/>
      <c r="NW271" s="3"/>
      <c r="NX271" s="3"/>
      <c r="NY271" s="3"/>
      <c r="NZ271" s="3"/>
      <c r="OA271" s="3"/>
      <c r="OB271" s="3"/>
      <c r="OC271" s="3"/>
      <c r="OD271" s="3"/>
      <c r="OE271" s="3"/>
      <c r="OF271" s="3"/>
      <c r="OG271" s="3"/>
      <c r="OH271" s="3"/>
      <c r="OI271" s="3"/>
      <c r="OJ271" s="3"/>
      <c r="OK271" s="3"/>
      <c r="OL271" s="3"/>
      <c r="OM271" s="3"/>
      <c r="ON271" s="3"/>
      <c r="OO271" s="3"/>
      <c r="OP271" s="3"/>
      <c r="OQ271" s="3"/>
      <c r="OR271" s="3"/>
      <c r="OS271" s="3"/>
      <c r="OT271" s="3"/>
      <c r="OU271" s="3"/>
      <c r="OV271" s="3"/>
      <c r="OW271" s="3"/>
      <c r="OX271" s="3"/>
      <c r="OY271" s="3"/>
      <c r="OZ271" s="3"/>
      <c r="PA271" s="3"/>
      <c r="PB271" s="3"/>
      <c r="PC271" s="3"/>
      <c r="PD271" s="3"/>
      <c r="PE271" s="3"/>
      <c r="PF271" s="3"/>
      <c r="PG271" s="3"/>
      <c r="PH271" s="3"/>
      <c r="PI271" s="3"/>
      <c r="PJ271" s="3"/>
      <c r="PK271" s="3"/>
      <c r="PL271" s="3"/>
      <c r="PM271" s="3"/>
      <c r="PN271" s="3"/>
      <c r="PO271" s="3"/>
      <c r="PP271" s="3"/>
      <c r="PQ271" s="3"/>
      <c r="PR271" s="3"/>
      <c r="PS271" s="3"/>
      <c r="PT271" s="3"/>
      <c r="PU271" s="3"/>
      <c r="PV271" s="3"/>
      <c r="PW271" s="3"/>
      <c r="PX271" s="3"/>
      <c r="PY271" s="3"/>
      <c r="PZ271" s="3"/>
      <c r="QA271" s="3"/>
      <c r="QB271" s="3"/>
      <c r="QC271" s="3"/>
      <c r="QD271" s="3"/>
      <c r="QE271" s="3"/>
      <c r="QF271" s="3"/>
      <c r="QG271" s="3"/>
      <c r="QH271" s="3"/>
      <c r="QI271" s="3"/>
      <c r="QJ271" s="3"/>
      <c r="QK271" s="3"/>
      <c r="QL271" s="3"/>
      <c r="QM271" s="3"/>
      <c r="QN271" s="3"/>
      <c r="QO271" s="3"/>
      <c r="QP271" s="3"/>
      <c r="QQ271" s="3"/>
      <c r="QR271" s="3"/>
      <c r="QS271" s="3"/>
      <c r="QT271" s="3"/>
      <c r="QU271" s="3"/>
      <c r="QV271" s="3"/>
      <c r="QW271" s="3"/>
      <c r="QX271" s="3"/>
      <c r="QY271" s="3"/>
      <c r="QZ271" s="3"/>
      <c r="RA271" s="3"/>
      <c r="RB271" s="3"/>
      <c r="RC271" s="3"/>
      <c r="RD271" s="3"/>
      <c r="RE271" s="3"/>
      <c r="RF271" s="3"/>
      <c r="RG271" s="3"/>
      <c r="RH271" s="3"/>
      <c r="RI271" s="3"/>
      <c r="RJ271" s="3"/>
      <c r="RK271" s="3"/>
      <c r="RL271" s="3"/>
      <c r="RM271" s="3"/>
      <c r="RN271" s="3"/>
      <c r="RO271" s="3"/>
      <c r="RP271" s="3"/>
      <c r="RQ271" s="3"/>
      <c r="RR271" s="3"/>
      <c r="RS271" s="3"/>
      <c r="RT271" s="3"/>
      <c r="RU271" s="3"/>
      <c r="RV271" s="3"/>
      <c r="RW271" s="3"/>
      <c r="RX271" s="3"/>
      <c r="RY271" s="3"/>
      <c r="RZ271" s="3"/>
      <c r="SA271" s="3"/>
      <c r="SB271" s="3"/>
      <c r="SC271" s="3"/>
      <c r="SD271" s="3"/>
      <c r="SE271" s="3"/>
      <c r="SF271" s="3"/>
      <c r="SG271" s="3"/>
      <c r="SH271" s="3"/>
      <c r="SI271" s="3"/>
      <c r="SJ271" s="3"/>
      <c r="SK271" s="3"/>
      <c r="SL271" s="3"/>
      <c r="SM271" s="3"/>
      <c r="SN271" s="3"/>
      <c r="SO271" s="3"/>
      <c r="SP271" s="3"/>
      <c r="SQ271" s="3"/>
      <c r="SR271" s="3"/>
      <c r="SS271" s="3"/>
      <c r="ST271" s="3"/>
      <c r="SU271" s="3"/>
      <c r="SV271" s="3"/>
      <c r="SW271" s="3"/>
      <c r="SX271" s="3"/>
      <c r="SY271" s="3"/>
      <c r="SZ271" s="3"/>
      <c r="TA271" s="3"/>
      <c r="TB271" s="3"/>
      <c r="TC271" s="3"/>
      <c r="TD271" s="3"/>
      <c r="TE271" s="3"/>
      <c r="TF271" s="3"/>
      <c r="TG271" s="3"/>
      <c r="TH271" s="3"/>
      <c r="TI271" s="3"/>
      <c r="TJ271" s="3"/>
      <c r="TK271" s="3"/>
      <c r="TL271" s="3"/>
      <c r="TM271" s="3"/>
      <c r="TN271" s="3"/>
      <c r="TO271" s="3"/>
      <c r="TP271" s="3"/>
      <c r="TQ271" s="3"/>
      <c r="TR271" s="3"/>
      <c r="TS271" s="3"/>
      <c r="TT271" s="3"/>
      <c r="TU271" s="3"/>
      <c r="TV271" s="3"/>
      <c r="TW271" s="3"/>
      <c r="TX271" s="3"/>
      <c r="TY271" s="3"/>
      <c r="TZ271" s="3"/>
      <c r="UA271" s="3"/>
      <c r="UB271" s="3"/>
      <c r="UC271" s="3"/>
      <c r="UD271" s="3"/>
      <c r="UE271" s="3"/>
      <c r="UF271" s="3"/>
      <c r="UG271" s="3"/>
      <c r="UH271" s="3"/>
      <c r="UI271" s="3"/>
      <c r="UJ271" s="3"/>
      <c r="UK271" s="3"/>
      <c r="UL271" s="3"/>
      <c r="UM271" s="3"/>
      <c r="UN271" s="3"/>
      <c r="UO271" s="3"/>
      <c r="UP271" s="3"/>
      <c r="UQ271" s="3"/>
      <c r="UR271" s="3"/>
      <c r="US271" s="3"/>
      <c r="UT271" s="3"/>
      <c r="UU271" s="3"/>
      <c r="UV271" s="3"/>
      <c r="UW271" s="3"/>
      <c r="UX271" s="3"/>
      <c r="UY271" s="3"/>
      <c r="UZ271" s="3"/>
      <c r="VA271" s="3"/>
      <c r="VB271" s="3"/>
      <c r="VC271" s="3"/>
      <c r="VD271" s="3"/>
      <c r="VE271" s="3"/>
      <c r="VF271" s="3"/>
      <c r="VG271" s="3"/>
      <c r="VH271" s="3"/>
      <c r="VI271" s="3"/>
      <c r="VJ271" s="3"/>
      <c r="VK271" s="3"/>
      <c r="VL271" s="3"/>
      <c r="VM271" s="3"/>
      <c r="VN271" s="3"/>
      <c r="VO271" s="3"/>
      <c r="VP271" s="3"/>
      <c r="VQ271" s="3"/>
      <c r="VR271" s="3"/>
      <c r="VS271" s="3"/>
      <c r="VT271" s="3"/>
      <c r="VU271" s="3"/>
      <c r="VV271" s="3"/>
      <c r="VW271" s="3"/>
      <c r="VX271" s="3"/>
      <c r="VY271" s="3"/>
      <c r="VZ271" s="3"/>
      <c r="WA271" s="3"/>
      <c r="WB271" s="3"/>
      <c r="WC271" s="3"/>
      <c r="WD271" s="3"/>
      <c r="WE271" s="3"/>
      <c r="WF271" s="3"/>
      <c r="WG271" s="3"/>
      <c r="WH271" s="3"/>
      <c r="WI271" s="3"/>
      <c r="WJ271" s="3"/>
      <c r="WK271" s="3"/>
      <c r="WL271" s="3"/>
      <c r="WM271" s="3"/>
      <c r="WN271" s="3"/>
      <c r="WO271" s="3"/>
      <c r="WP271" s="3"/>
      <c r="WQ271" s="3"/>
      <c r="WR271" s="3"/>
      <c r="WS271" s="3"/>
      <c r="WT271" s="3"/>
      <c r="WU271" s="3"/>
      <c r="WV271" s="3"/>
      <c r="WW271" s="3"/>
      <c r="WX271" s="3"/>
      <c r="WY271" s="3"/>
      <c r="WZ271" s="3"/>
      <c r="XA271" s="3"/>
      <c r="XB271" s="3"/>
      <c r="XC271" s="3"/>
      <c r="XD271" s="3"/>
      <c r="XE271" s="3"/>
      <c r="XF271" s="3"/>
      <c r="XG271" s="3"/>
      <c r="XH271" s="3"/>
      <c r="XI271" s="3"/>
      <c r="XJ271" s="3"/>
      <c r="XK271" s="3"/>
      <c r="XL271" s="3"/>
      <c r="XM271" s="3"/>
      <c r="XN271" s="3"/>
      <c r="XO271" s="3"/>
      <c r="XP271" s="3"/>
      <c r="XQ271" s="3"/>
      <c r="XR271" s="3"/>
      <c r="XS271" s="3"/>
      <c r="XT271" s="3"/>
      <c r="XU271" s="3"/>
      <c r="XV271" s="3"/>
      <c r="XW271" s="3"/>
      <c r="XX271" s="3"/>
      <c r="XY271" s="3"/>
      <c r="XZ271" s="3"/>
      <c r="YA271" s="3"/>
      <c r="YB271" s="3"/>
      <c r="YC271" s="3"/>
      <c r="YD271" s="3"/>
      <c r="YE271" s="3"/>
      <c r="YF271" s="3"/>
      <c r="YG271" s="3"/>
      <c r="YH271" s="3"/>
      <c r="YI271" s="3"/>
      <c r="YJ271" s="3"/>
      <c r="YK271" s="3"/>
      <c r="YL271" s="3"/>
      <c r="YM271" s="3"/>
      <c r="YN271" s="3"/>
      <c r="YO271" s="3"/>
      <c r="YP271" s="3"/>
      <c r="YQ271" s="3"/>
      <c r="YR271" s="3"/>
      <c r="YS271" s="3"/>
      <c r="YT271" s="3"/>
      <c r="YU271" s="3"/>
      <c r="YV271" s="3"/>
      <c r="YW271" s="3"/>
      <c r="YX271" s="3"/>
      <c r="YY271" s="3"/>
      <c r="YZ271" s="3"/>
      <c r="ZA271" s="3"/>
      <c r="ZB271" s="3"/>
      <c r="ZC271" s="3"/>
    </row>
    <row r="272" spans="1:679" s="2" customFormat="1" x14ac:dyDescent="0.45">
      <c r="A272" s="3" t="s">
        <v>11</v>
      </c>
      <c r="B272" s="4">
        <v>38019</v>
      </c>
      <c r="C272" s="7" t="s">
        <v>21</v>
      </c>
      <c r="D272" s="6" t="s">
        <v>291</v>
      </c>
      <c r="E272" s="3"/>
      <c r="F272" s="3">
        <v>41</v>
      </c>
      <c r="L272" s="3"/>
      <c r="M272" s="3"/>
      <c r="N272" s="48"/>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c r="CO272" s="3"/>
      <c r="CP272" s="3"/>
      <c r="CQ272" s="3"/>
      <c r="CR272" s="3"/>
      <c r="CS272" s="3"/>
      <c r="CT272" s="3"/>
      <c r="CU272" s="3"/>
      <c r="CV272" s="3"/>
      <c r="CW272" s="3"/>
      <c r="CX272" s="3"/>
      <c r="CY272" s="3"/>
      <c r="CZ272" s="3"/>
      <c r="DA272" s="3"/>
      <c r="DB272" s="3"/>
      <c r="DC272" s="3"/>
      <c r="DD272" s="3"/>
      <c r="DE272" s="3"/>
      <c r="DF272" s="3"/>
      <c r="DG272" s="3"/>
      <c r="DH272" s="3"/>
      <c r="DI272" s="3"/>
      <c r="DJ272" s="3"/>
      <c r="DK272" s="3"/>
      <c r="DL272" s="3"/>
      <c r="DM272" s="3"/>
      <c r="DN272" s="3"/>
      <c r="DO272" s="3"/>
      <c r="DP272" s="3"/>
      <c r="DQ272" s="3"/>
      <c r="DR272" s="3"/>
      <c r="DS272" s="3"/>
      <c r="DT272" s="3"/>
      <c r="DU272" s="3"/>
      <c r="DV272" s="3"/>
      <c r="DW272" s="3"/>
      <c r="DX272" s="3"/>
      <c r="DY272" s="3"/>
      <c r="DZ272" s="3"/>
      <c r="EA272" s="3"/>
      <c r="EB272" s="3"/>
      <c r="EC272" s="3"/>
      <c r="ED272" s="3"/>
      <c r="EE272" s="3"/>
      <c r="EF272" s="3"/>
      <c r="EG272" s="3"/>
      <c r="EH272" s="3"/>
      <c r="EI272" s="3"/>
      <c r="EJ272" s="3"/>
      <c r="EK272" s="3"/>
      <c r="EL272" s="3"/>
      <c r="EM272" s="3"/>
      <c r="EN272" s="3"/>
      <c r="EO272" s="3"/>
      <c r="EP272" s="3"/>
      <c r="EQ272" s="3"/>
      <c r="ER272" s="3"/>
      <c r="ES272" s="3"/>
      <c r="ET272" s="3"/>
      <c r="EU272" s="3"/>
      <c r="EV272" s="3"/>
      <c r="EW272" s="3"/>
      <c r="EX272" s="3"/>
      <c r="EY272" s="3"/>
      <c r="EZ272" s="3"/>
      <c r="FA272" s="3"/>
      <c r="FB272" s="3"/>
      <c r="FC272" s="3"/>
      <c r="FD272" s="3"/>
      <c r="FE272" s="3"/>
      <c r="FF272" s="3"/>
      <c r="FG272" s="3"/>
      <c r="FH272" s="3"/>
      <c r="FI272" s="3"/>
      <c r="FJ272" s="3"/>
      <c r="FK272" s="3"/>
      <c r="FL272" s="3"/>
      <c r="FM272" s="3"/>
      <c r="FN272" s="3"/>
      <c r="FO272" s="3"/>
      <c r="FP272" s="3"/>
      <c r="FQ272" s="3"/>
      <c r="FR272" s="3"/>
      <c r="FS272" s="3"/>
      <c r="FT272" s="3"/>
      <c r="FU272" s="3"/>
      <c r="FV272" s="3"/>
      <c r="FW272" s="3"/>
      <c r="FX272" s="3"/>
      <c r="FY272" s="3"/>
      <c r="FZ272" s="3"/>
      <c r="GA272" s="3"/>
      <c r="GB272" s="3"/>
      <c r="GC272" s="3"/>
      <c r="GD272" s="3"/>
      <c r="GE272" s="3"/>
      <c r="GF272" s="3"/>
      <c r="GG272" s="3"/>
      <c r="GH272" s="3"/>
      <c r="GI272" s="3"/>
      <c r="GJ272" s="3"/>
      <c r="GK272" s="3"/>
      <c r="GL272" s="3"/>
      <c r="GM272" s="3"/>
      <c r="GN272" s="3"/>
      <c r="GO272" s="3"/>
      <c r="GP272" s="3"/>
      <c r="GQ272" s="3"/>
      <c r="GR272" s="3"/>
      <c r="GS272" s="3"/>
      <c r="GT272" s="3"/>
      <c r="GU272" s="3"/>
      <c r="GV272" s="3"/>
      <c r="GW272" s="3"/>
      <c r="GX272" s="3"/>
      <c r="GY272" s="3"/>
      <c r="GZ272" s="3"/>
      <c r="HA272" s="3"/>
      <c r="HB272" s="3"/>
      <c r="HC272" s="3"/>
      <c r="HD272" s="3"/>
      <c r="HE272" s="3"/>
      <c r="HF272" s="3"/>
      <c r="HG272" s="3"/>
      <c r="HH272" s="3"/>
      <c r="HI272" s="3"/>
      <c r="HJ272" s="3"/>
      <c r="HK272" s="3"/>
      <c r="HL272" s="3"/>
      <c r="HM272" s="3"/>
      <c r="HN272" s="3"/>
      <c r="HO272" s="3"/>
      <c r="HP272" s="3"/>
      <c r="HQ272" s="3"/>
      <c r="HR272" s="3"/>
      <c r="HS272" s="3"/>
      <c r="HT272" s="3"/>
      <c r="HU272" s="3"/>
      <c r="HV272" s="3"/>
      <c r="HW272" s="3"/>
      <c r="HX272" s="3"/>
      <c r="HY272" s="3"/>
      <c r="HZ272" s="3"/>
      <c r="IA272" s="3"/>
      <c r="IB272" s="3"/>
      <c r="IC272" s="3"/>
      <c r="ID272" s="3"/>
      <c r="IE272" s="3"/>
      <c r="IF272" s="3"/>
      <c r="IG272" s="3"/>
      <c r="IH272" s="3"/>
      <c r="II272" s="3"/>
      <c r="IJ272" s="3"/>
      <c r="IK272" s="3"/>
      <c r="IL272" s="3"/>
      <c r="IM272" s="3"/>
      <c r="IN272" s="3"/>
      <c r="IO272" s="3"/>
      <c r="IP272" s="3"/>
      <c r="IQ272" s="3"/>
      <c r="IR272" s="3"/>
      <c r="IS272" s="3"/>
      <c r="IT272" s="3"/>
      <c r="IU272" s="3"/>
      <c r="IV272" s="3"/>
      <c r="IW272" s="3"/>
      <c r="IX272" s="3"/>
      <c r="IY272" s="3"/>
      <c r="IZ272" s="3"/>
      <c r="JA272" s="3"/>
      <c r="JB272" s="3"/>
      <c r="JC272" s="3"/>
      <c r="JD272" s="3"/>
      <c r="JE272" s="3"/>
      <c r="JF272" s="3"/>
      <c r="JG272" s="3"/>
      <c r="JH272" s="3"/>
      <c r="JI272" s="3"/>
      <c r="JJ272" s="3"/>
      <c r="JK272" s="3"/>
      <c r="JL272" s="3"/>
      <c r="JM272" s="3"/>
      <c r="JN272" s="3"/>
      <c r="JO272" s="3"/>
      <c r="JP272" s="3"/>
      <c r="JQ272" s="3"/>
      <c r="JR272" s="3"/>
      <c r="JS272" s="3"/>
      <c r="JT272" s="3"/>
      <c r="JU272" s="3"/>
      <c r="JV272" s="3"/>
      <c r="JW272" s="3"/>
      <c r="JX272" s="3"/>
      <c r="JY272" s="3"/>
      <c r="JZ272" s="3"/>
      <c r="KA272" s="3"/>
      <c r="KB272" s="3"/>
      <c r="KC272" s="3"/>
      <c r="KD272" s="3"/>
      <c r="KE272" s="3"/>
      <c r="KF272" s="3"/>
      <c r="KG272" s="3"/>
      <c r="KH272" s="3"/>
      <c r="KI272" s="3"/>
      <c r="KJ272" s="3"/>
      <c r="KK272" s="3"/>
      <c r="KL272" s="3"/>
      <c r="KM272" s="3"/>
      <c r="KN272" s="3"/>
      <c r="KO272" s="3"/>
      <c r="KP272" s="3"/>
      <c r="KQ272" s="3"/>
      <c r="KR272" s="3"/>
      <c r="KS272" s="3"/>
      <c r="KT272" s="3"/>
      <c r="KU272" s="3"/>
      <c r="KV272" s="3"/>
      <c r="KW272" s="3"/>
      <c r="KX272" s="3"/>
      <c r="KY272" s="3"/>
      <c r="KZ272" s="3"/>
      <c r="LA272" s="3"/>
      <c r="LB272" s="3"/>
      <c r="LC272" s="3"/>
      <c r="LD272" s="3"/>
      <c r="LE272" s="3"/>
      <c r="LF272" s="3"/>
      <c r="LG272" s="3"/>
      <c r="LH272" s="3"/>
      <c r="LI272" s="3"/>
      <c r="LJ272" s="3"/>
      <c r="LK272" s="3"/>
      <c r="LL272" s="3"/>
      <c r="LM272" s="3"/>
      <c r="LN272" s="3"/>
      <c r="LO272" s="3"/>
      <c r="LP272" s="3"/>
      <c r="LQ272" s="3"/>
      <c r="LR272" s="3"/>
      <c r="LS272" s="3"/>
      <c r="LT272" s="3"/>
      <c r="LU272" s="3"/>
      <c r="LV272" s="3"/>
      <c r="LW272" s="3"/>
      <c r="LX272" s="3"/>
      <c r="LY272" s="3"/>
      <c r="LZ272" s="3"/>
      <c r="MA272" s="3"/>
      <c r="MB272" s="3"/>
      <c r="MC272" s="3"/>
      <c r="MD272" s="3"/>
      <c r="ME272" s="3"/>
      <c r="MF272" s="3"/>
      <c r="MG272" s="3"/>
      <c r="MH272" s="3"/>
      <c r="MI272" s="3"/>
      <c r="MJ272" s="3"/>
      <c r="MK272" s="3"/>
      <c r="ML272" s="3"/>
      <c r="MM272" s="3"/>
      <c r="MN272" s="3"/>
      <c r="MO272" s="3"/>
      <c r="MP272" s="3"/>
      <c r="MQ272" s="3"/>
      <c r="MR272" s="3"/>
      <c r="MS272" s="3"/>
      <c r="MT272" s="3"/>
      <c r="MU272" s="3"/>
      <c r="MV272" s="3"/>
      <c r="MW272" s="3"/>
      <c r="MX272" s="3"/>
      <c r="MY272" s="3"/>
      <c r="MZ272" s="3"/>
      <c r="NA272" s="3"/>
      <c r="NB272" s="3"/>
      <c r="NC272" s="3"/>
      <c r="ND272" s="3"/>
      <c r="NE272" s="3"/>
      <c r="NF272" s="3"/>
      <c r="NG272" s="3"/>
      <c r="NH272" s="3"/>
      <c r="NI272" s="3"/>
      <c r="NJ272" s="3"/>
      <c r="NK272" s="3"/>
      <c r="NL272" s="3"/>
      <c r="NM272" s="3"/>
      <c r="NN272" s="3"/>
      <c r="NO272" s="3"/>
      <c r="NP272" s="3"/>
      <c r="NQ272" s="3"/>
      <c r="NR272" s="3"/>
      <c r="NS272" s="3"/>
      <c r="NT272" s="3"/>
      <c r="NU272" s="3"/>
      <c r="NV272" s="3"/>
      <c r="NW272" s="3"/>
      <c r="NX272" s="3"/>
      <c r="NY272" s="3"/>
      <c r="NZ272" s="3"/>
      <c r="OA272" s="3"/>
      <c r="OB272" s="3"/>
      <c r="OC272" s="3"/>
      <c r="OD272" s="3"/>
      <c r="OE272" s="3"/>
      <c r="OF272" s="3"/>
      <c r="OG272" s="3"/>
      <c r="OH272" s="3"/>
      <c r="OI272" s="3"/>
      <c r="OJ272" s="3"/>
      <c r="OK272" s="3"/>
      <c r="OL272" s="3"/>
      <c r="OM272" s="3"/>
      <c r="ON272" s="3"/>
      <c r="OO272" s="3"/>
      <c r="OP272" s="3"/>
      <c r="OQ272" s="3"/>
      <c r="OR272" s="3"/>
      <c r="OS272" s="3"/>
      <c r="OT272" s="3"/>
      <c r="OU272" s="3"/>
      <c r="OV272" s="3"/>
      <c r="OW272" s="3"/>
      <c r="OX272" s="3"/>
      <c r="OY272" s="3"/>
      <c r="OZ272" s="3"/>
      <c r="PA272" s="3"/>
      <c r="PB272" s="3"/>
      <c r="PC272" s="3"/>
      <c r="PD272" s="3"/>
      <c r="PE272" s="3"/>
      <c r="PF272" s="3"/>
      <c r="PG272" s="3"/>
      <c r="PH272" s="3"/>
      <c r="PI272" s="3"/>
      <c r="PJ272" s="3"/>
      <c r="PK272" s="3"/>
      <c r="PL272" s="3"/>
      <c r="PM272" s="3"/>
      <c r="PN272" s="3"/>
      <c r="PO272" s="3"/>
      <c r="PP272" s="3"/>
      <c r="PQ272" s="3"/>
      <c r="PR272" s="3"/>
      <c r="PS272" s="3"/>
      <c r="PT272" s="3"/>
      <c r="PU272" s="3"/>
      <c r="PV272" s="3"/>
      <c r="PW272" s="3"/>
      <c r="PX272" s="3"/>
      <c r="PY272" s="3"/>
      <c r="PZ272" s="3"/>
      <c r="QA272" s="3"/>
      <c r="QB272" s="3"/>
      <c r="QC272" s="3"/>
      <c r="QD272" s="3"/>
      <c r="QE272" s="3"/>
      <c r="QF272" s="3"/>
      <c r="QG272" s="3"/>
      <c r="QH272" s="3"/>
      <c r="QI272" s="3"/>
      <c r="QJ272" s="3"/>
      <c r="QK272" s="3"/>
      <c r="QL272" s="3"/>
      <c r="QM272" s="3"/>
      <c r="QN272" s="3"/>
      <c r="QO272" s="3"/>
      <c r="QP272" s="3"/>
      <c r="QQ272" s="3"/>
      <c r="QR272" s="3"/>
      <c r="QS272" s="3"/>
      <c r="QT272" s="3"/>
      <c r="QU272" s="3"/>
      <c r="QV272" s="3"/>
      <c r="QW272" s="3"/>
      <c r="QX272" s="3"/>
      <c r="QY272" s="3"/>
      <c r="QZ272" s="3"/>
      <c r="RA272" s="3"/>
      <c r="RB272" s="3"/>
      <c r="RC272" s="3"/>
      <c r="RD272" s="3"/>
      <c r="RE272" s="3"/>
      <c r="RF272" s="3"/>
      <c r="RG272" s="3"/>
      <c r="RH272" s="3"/>
      <c r="RI272" s="3"/>
      <c r="RJ272" s="3"/>
      <c r="RK272" s="3"/>
      <c r="RL272" s="3"/>
      <c r="RM272" s="3"/>
      <c r="RN272" s="3"/>
      <c r="RO272" s="3"/>
      <c r="RP272" s="3"/>
      <c r="RQ272" s="3"/>
      <c r="RR272" s="3"/>
      <c r="RS272" s="3"/>
      <c r="RT272" s="3"/>
      <c r="RU272" s="3"/>
      <c r="RV272" s="3"/>
      <c r="RW272" s="3"/>
      <c r="RX272" s="3"/>
      <c r="RY272" s="3"/>
      <c r="RZ272" s="3"/>
      <c r="SA272" s="3"/>
      <c r="SB272" s="3"/>
      <c r="SC272" s="3"/>
      <c r="SD272" s="3"/>
      <c r="SE272" s="3"/>
      <c r="SF272" s="3"/>
      <c r="SG272" s="3"/>
      <c r="SH272" s="3"/>
      <c r="SI272" s="3"/>
      <c r="SJ272" s="3"/>
      <c r="SK272" s="3"/>
      <c r="SL272" s="3"/>
      <c r="SM272" s="3"/>
      <c r="SN272" s="3"/>
      <c r="SO272" s="3"/>
      <c r="SP272" s="3"/>
      <c r="SQ272" s="3"/>
      <c r="SR272" s="3"/>
      <c r="SS272" s="3"/>
      <c r="ST272" s="3"/>
      <c r="SU272" s="3"/>
      <c r="SV272" s="3"/>
      <c r="SW272" s="3"/>
      <c r="SX272" s="3"/>
      <c r="SY272" s="3"/>
      <c r="SZ272" s="3"/>
      <c r="TA272" s="3"/>
      <c r="TB272" s="3"/>
      <c r="TC272" s="3"/>
      <c r="TD272" s="3"/>
      <c r="TE272" s="3"/>
      <c r="TF272" s="3"/>
      <c r="TG272" s="3"/>
      <c r="TH272" s="3"/>
      <c r="TI272" s="3"/>
      <c r="TJ272" s="3"/>
      <c r="TK272" s="3"/>
      <c r="TL272" s="3"/>
      <c r="TM272" s="3"/>
      <c r="TN272" s="3"/>
      <c r="TO272" s="3"/>
      <c r="TP272" s="3"/>
      <c r="TQ272" s="3"/>
      <c r="TR272" s="3"/>
      <c r="TS272" s="3"/>
      <c r="TT272" s="3"/>
      <c r="TU272" s="3"/>
      <c r="TV272" s="3"/>
      <c r="TW272" s="3"/>
      <c r="TX272" s="3"/>
      <c r="TY272" s="3"/>
      <c r="TZ272" s="3"/>
      <c r="UA272" s="3"/>
      <c r="UB272" s="3"/>
      <c r="UC272" s="3"/>
      <c r="UD272" s="3"/>
      <c r="UE272" s="3"/>
      <c r="UF272" s="3"/>
      <c r="UG272" s="3"/>
      <c r="UH272" s="3"/>
      <c r="UI272" s="3"/>
      <c r="UJ272" s="3"/>
      <c r="UK272" s="3"/>
      <c r="UL272" s="3"/>
      <c r="UM272" s="3"/>
      <c r="UN272" s="3"/>
      <c r="UO272" s="3"/>
      <c r="UP272" s="3"/>
      <c r="UQ272" s="3"/>
      <c r="UR272" s="3"/>
      <c r="US272" s="3"/>
      <c r="UT272" s="3"/>
      <c r="UU272" s="3"/>
      <c r="UV272" s="3"/>
      <c r="UW272" s="3"/>
      <c r="UX272" s="3"/>
      <c r="UY272" s="3"/>
      <c r="UZ272" s="3"/>
      <c r="VA272" s="3"/>
      <c r="VB272" s="3"/>
      <c r="VC272" s="3"/>
      <c r="VD272" s="3"/>
      <c r="VE272" s="3"/>
      <c r="VF272" s="3"/>
      <c r="VG272" s="3"/>
      <c r="VH272" s="3"/>
      <c r="VI272" s="3"/>
      <c r="VJ272" s="3"/>
      <c r="VK272" s="3"/>
      <c r="VL272" s="3"/>
      <c r="VM272" s="3"/>
      <c r="VN272" s="3"/>
      <c r="VO272" s="3"/>
      <c r="VP272" s="3"/>
      <c r="VQ272" s="3"/>
      <c r="VR272" s="3"/>
      <c r="VS272" s="3"/>
      <c r="VT272" s="3"/>
      <c r="VU272" s="3"/>
      <c r="VV272" s="3"/>
      <c r="VW272" s="3"/>
      <c r="VX272" s="3"/>
      <c r="VY272" s="3"/>
      <c r="VZ272" s="3"/>
      <c r="WA272" s="3"/>
      <c r="WB272" s="3"/>
      <c r="WC272" s="3"/>
      <c r="WD272" s="3"/>
      <c r="WE272" s="3"/>
      <c r="WF272" s="3"/>
      <c r="WG272" s="3"/>
      <c r="WH272" s="3"/>
      <c r="WI272" s="3"/>
      <c r="WJ272" s="3"/>
      <c r="WK272" s="3"/>
      <c r="WL272" s="3"/>
      <c r="WM272" s="3"/>
      <c r="WN272" s="3"/>
      <c r="WO272" s="3"/>
      <c r="WP272" s="3"/>
      <c r="WQ272" s="3"/>
      <c r="WR272" s="3"/>
      <c r="WS272" s="3"/>
      <c r="WT272" s="3"/>
      <c r="WU272" s="3"/>
      <c r="WV272" s="3"/>
      <c r="WW272" s="3"/>
      <c r="WX272" s="3"/>
      <c r="WY272" s="3"/>
      <c r="WZ272" s="3"/>
      <c r="XA272" s="3"/>
      <c r="XB272" s="3"/>
      <c r="XC272" s="3"/>
      <c r="XD272" s="3"/>
      <c r="XE272" s="3"/>
      <c r="XF272" s="3"/>
      <c r="XG272" s="3"/>
      <c r="XH272" s="3"/>
      <c r="XI272" s="3"/>
      <c r="XJ272" s="3"/>
      <c r="XK272" s="3"/>
      <c r="XL272" s="3"/>
      <c r="XM272" s="3"/>
      <c r="XN272" s="3"/>
      <c r="XO272" s="3"/>
      <c r="XP272" s="3"/>
      <c r="XQ272" s="3"/>
      <c r="XR272" s="3"/>
      <c r="XS272" s="3"/>
      <c r="XT272" s="3"/>
      <c r="XU272" s="3"/>
      <c r="XV272" s="3"/>
      <c r="XW272" s="3"/>
      <c r="XX272" s="3"/>
      <c r="XY272" s="3"/>
      <c r="XZ272" s="3"/>
      <c r="YA272" s="3"/>
      <c r="YB272" s="3"/>
      <c r="YC272" s="3"/>
      <c r="YD272" s="3"/>
      <c r="YE272" s="3"/>
      <c r="YF272" s="3"/>
      <c r="YG272" s="3"/>
      <c r="YH272" s="3"/>
      <c r="YI272" s="3"/>
      <c r="YJ272" s="3"/>
      <c r="YK272" s="3"/>
      <c r="YL272" s="3"/>
      <c r="YM272" s="3"/>
      <c r="YN272" s="3"/>
      <c r="YO272" s="3"/>
      <c r="YP272" s="3"/>
      <c r="YQ272" s="3"/>
      <c r="YR272" s="3"/>
      <c r="YS272" s="3"/>
      <c r="YT272" s="3"/>
      <c r="YU272" s="3"/>
      <c r="YV272" s="3"/>
      <c r="YW272" s="3"/>
      <c r="YX272" s="3"/>
      <c r="YY272" s="3"/>
      <c r="YZ272" s="3"/>
      <c r="ZA272" s="3"/>
      <c r="ZB272" s="3"/>
      <c r="ZC272" s="3"/>
    </row>
    <row r="273" spans="1:679" s="2" customFormat="1" x14ac:dyDescent="0.45">
      <c r="A273" s="3" t="s">
        <v>11</v>
      </c>
      <c r="B273" s="4">
        <v>38034</v>
      </c>
      <c r="C273" s="7" t="s">
        <v>25</v>
      </c>
      <c r="D273" s="6" t="s">
        <v>292</v>
      </c>
      <c r="E273" s="3"/>
      <c r="F273" s="3">
        <v>2</v>
      </c>
      <c r="L273" s="3"/>
      <c r="M273" s="3"/>
      <c r="N273" s="48"/>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c r="CO273" s="3"/>
      <c r="CP273" s="3"/>
      <c r="CQ273" s="3"/>
      <c r="CR273" s="3"/>
      <c r="CS273" s="3"/>
      <c r="CT273" s="3"/>
      <c r="CU273" s="3"/>
      <c r="CV273" s="3"/>
      <c r="CW273" s="3"/>
      <c r="CX273" s="3"/>
      <c r="CY273" s="3"/>
      <c r="CZ273" s="3"/>
      <c r="DA273" s="3"/>
      <c r="DB273" s="3"/>
      <c r="DC273" s="3"/>
      <c r="DD273" s="3"/>
      <c r="DE273" s="3"/>
      <c r="DF273" s="3"/>
      <c r="DG273" s="3"/>
      <c r="DH273" s="3"/>
      <c r="DI273" s="3"/>
      <c r="DJ273" s="3"/>
      <c r="DK273" s="3"/>
      <c r="DL273" s="3"/>
      <c r="DM273" s="3"/>
      <c r="DN273" s="3"/>
      <c r="DO273" s="3"/>
      <c r="DP273" s="3"/>
      <c r="DQ273" s="3"/>
      <c r="DR273" s="3"/>
      <c r="DS273" s="3"/>
      <c r="DT273" s="3"/>
      <c r="DU273" s="3"/>
      <c r="DV273" s="3"/>
      <c r="DW273" s="3"/>
      <c r="DX273" s="3"/>
      <c r="DY273" s="3"/>
      <c r="DZ273" s="3"/>
      <c r="EA273" s="3"/>
      <c r="EB273" s="3"/>
      <c r="EC273" s="3"/>
      <c r="ED273" s="3"/>
      <c r="EE273" s="3"/>
      <c r="EF273" s="3"/>
      <c r="EG273" s="3"/>
      <c r="EH273" s="3"/>
      <c r="EI273" s="3"/>
      <c r="EJ273" s="3"/>
      <c r="EK273" s="3"/>
      <c r="EL273" s="3"/>
      <c r="EM273" s="3"/>
      <c r="EN273" s="3"/>
      <c r="EO273" s="3"/>
      <c r="EP273" s="3"/>
      <c r="EQ273" s="3"/>
      <c r="ER273" s="3"/>
      <c r="ES273" s="3"/>
      <c r="ET273" s="3"/>
      <c r="EU273" s="3"/>
      <c r="EV273" s="3"/>
      <c r="EW273" s="3"/>
      <c r="EX273" s="3"/>
      <c r="EY273" s="3"/>
      <c r="EZ273" s="3"/>
      <c r="FA273" s="3"/>
      <c r="FB273" s="3"/>
      <c r="FC273" s="3"/>
      <c r="FD273" s="3"/>
      <c r="FE273" s="3"/>
      <c r="FF273" s="3"/>
      <c r="FG273" s="3"/>
      <c r="FH273" s="3"/>
      <c r="FI273" s="3"/>
      <c r="FJ273" s="3"/>
      <c r="FK273" s="3"/>
      <c r="FL273" s="3"/>
      <c r="FM273" s="3"/>
      <c r="FN273" s="3"/>
      <c r="FO273" s="3"/>
      <c r="FP273" s="3"/>
      <c r="FQ273" s="3"/>
      <c r="FR273" s="3"/>
      <c r="FS273" s="3"/>
      <c r="FT273" s="3"/>
      <c r="FU273" s="3"/>
      <c r="FV273" s="3"/>
      <c r="FW273" s="3"/>
      <c r="FX273" s="3"/>
      <c r="FY273" s="3"/>
      <c r="FZ273" s="3"/>
      <c r="GA273" s="3"/>
      <c r="GB273" s="3"/>
      <c r="GC273" s="3"/>
      <c r="GD273" s="3"/>
      <c r="GE273" s="3"/>
      <c r="GF273" s="3"/>
      <c r="GG273" s="3"/>
      <c r="GH273" s="3"/>
      <c r="GI273" s="3"/>
      <c r="GJ273" s="3"/>
      <c r="GK273" s="3"/>
      <c r="GL273" s="3"/>
      <c r="GM273" s="3"/>
      <c r="GN273" s="3"/>
      <c r="GO273" s="3"/>
      <c r="GP273" s="3"/>
      <c r="GQ273" s="3"/>
      <c r="GR273" s="3"/>
      <c r="GS273" s="3"/>
      <c r="GT273" s="3"/>
      <c r="GU273" s="3"/>
      <c r="GV273" s="3"/>
      <c r="GW273" s="3"/>
      <c r="GX273" s="3"/>
      <c r="GY273" s="3"/>
      <c r="GZ273" s="3"/>
      <c r="HA273" s="3"/>
      <c r="HB273" s="3"/>
      <c r="HC273" s="3"/>
      <c r="HD273" s="3"/>
      <c r="HE273" s="3"/>
      <c r="HF273" s="3"/>
      <c r="HG273" s="3"/>
      <c r="HH273" s="3"/>
      <c r="HI273" s="3"/>
      <c r="HJ273" s="3"/>
      <c r="HK273" s="3"/>
      <c r="HL273" s="3"/>
      <c r="HM273" s="3"/>
      <c r="HN273" s="3"/>
      <c r="HO273" s="3"/>
      <c r="HP273" s="3"/>
      <c r="HQ273" s="3"/>
      <c r="HR273" s="3"/>
      <c r="HS273" s="3"/>
      <c r="HT273" s="3"/>
      <c r="HU273" s="3"/>
      <c r="HV273" s="3"/>
      <c r="HW273" s="3"/>
      <c r="HX273" s="3"/>
      <c r="HY273" s="3"/>
      <c r="HZ273" s="3"/>
      <c r="IA273" s="3"/>
      <c r="IB273" s="3"/>
      <c r="IC273" s="3"/>
      <c r="ID273" s="3"/>
      <c r="IE273" s="3"/>
      <c r="IF273" s="3"/>
      <c r="IG273" s="3"/>
      <c r="IH273" s="3"/>
      <c r="II273" s="3"/>
      <c r="IJ273" s="3"/>
      <c r="IK273" s="3"/>
      <c r="IL273" s="3"/>
      <c r="IM273" s="3"/>
      <c r="IN273" s="3"/>
      <c r="IO273" s="3"/>
      <c r="IP273" s="3"/>
      <c r="IQ273" s="3"/>
      <c r="IR273" s="3"/>
      <c r="IS273" s="3"/>
      <c r="IT273" s="3"/>
      <c r="IU273" s="3"/>
      <c r="IV273" s="3"/>
      <c r="IW273" s="3"/>
      <c r="IX273" s="3"/>
      <c r="IY273" s="3"/>
      <c r="IZ273" s="3"/>
      <c r="JA273" s="3"/>
      <c r="JB273" s="3"/>
      <c r="JC273" s="3"/>
      <c r="JD273" s="3"/>
      <c r="JE273" s="3"/>
      <c r="JF273" s="3"/>
      <c r="JG273" s="3"/>
      <c r="JH273" s="3"/>
      <c r="JI273" s="3"/>
      <c r="JJ273" s="3"/>
      <c r="JK273" s="3"/>
      <c r="JL273" s="3"/>
      <c r="JM273" s="3"/>
      <c r="JN273" s="3"/>
      <c r="JO273" s="3"/>
      <c r="JP273" s="3"/>
      <c r="JQ273" s="3"/>
      <c r="JR273" s="3"/>
      <c r="JS273" s="3"/>
      <c r="JT273" s="3"/>
      <c r="JU273" s="3"/>
      <c r="JV273" s="3"/>
      <c r="JW273" s="3"/>
      <c r="JX273" s="3"/>
      <c r="JY273" s="3"/>
      <c r="JZ273" s="3"/>
      <c r="KA273" s="3"/>
      <c r="KB273" s="3"/>
      <c r="KC273" s="3"/>
      <c r="KD273" s="3"/>
      <c r="KE273" s="3"/>
      <c r="KF273" s="3"/>
      <c r="KG273" s="3"/>
      <c r="KH273" s="3"/>
      <c r="KI273" s="3"/>
      <c r="KJ273" s="3"/>
      <c r="KK273" s="3"/>
      <c r="KL273" s="3"/>
      <c r="KM273" s="3"/>
      <c r="KN273" s="3"/>
      <c r="KO273" s="3"/>
      <c r="KP273" s="3"/>
      <c r="KQ273" s="3"/>
      <c r="KR273" s="3"/>
      <c r="KS273" s="3"/>
      <c r="KT273" s="3"/>
      <c r="KU273" s="3"/>
      <c r="KV273" s="3"/>
      <c r="KW273" s="3"/>
      <c r="KX273" s="3"/>
      <c r="KY273" s="3"/>
      <c r="KZ273" s="3"/>
      <c r="LA273" s="3"/>
      <c r="LB273" s="3"/>
      <c r="LC273" s="3"/>
      <c r="LD273" s="3"/>
      <c r="LE273" s="3"/>
      <c r="LF273" s="3"/>
      <c r="LG273" s="3"/>
      <c r="LH273" s="3"/>
      <c r="LI273" s="3"/>
      <c r="LJ273" s="3"/>
      <c r="LK273" s="3"/>
      <c r="LL273" s="3"/>
      <c r="LM273" s="3"/>
      <c r="LN273" s="3"/>
      <c r="LO273" s="3"/>
      <c r="LP273" s="3"/>
      <c r="LQ273" s="3"/>
      <c r="LR273" s="3"/>
      <c r="LS273" s="3"/>
      <c r="LT273" s="3"/>
      <c r="LU273" s="3"/>
      <c r="LV273" s="3"/>
      <c r="LW273" s="3"/>
      <c r="LX273" s="3"/>
      <c r="LY273" s="3"/>
      <c r="LZ273" s="3"/>
      <c r="MA273" s="3"/>
      <c r="MB273" s="3"/>
      <c r="MC273" s="3"/>
      <c r="MD273" s="3"/>
      <c r="ME273" s="3"/>
      <c r="MF273" s="3"/>
      <c r="MG273" s="3"/>
      <c r="MH273" s="3"/>
      <c r="MI273" s="3"/>
      <c r="MJ273" s="3"/>
      <c r="MK273" s="3"/>
      <c r="ML273" s="3"/>
      <c r="MM273" s="3"/>
      <c r="MN273" s="3"/>
      <c r="MO273" s="3"/>
      <c r="MP273" s="3"/>
      <c r="MQ273" s="3"/>
      <c r="MR273" s="3"/>
      <c r="MS273" s="3"/>
      <c r="MT273" s="3"/>
      <c r="MU273" s="3"/>
      <c r="MV273" s="3"/>
      <c r="MW273" s="3"/>
      <c r="MX273" s="3"/>
      <c r="MY273" s="3"/>
      <c r="MZ273" s="3"/>
      <c r="NA273" s="3"/>
      <c r="NB273" s="3"/>
      <c r="NC273" s="3"/>
      <c r="ND273" s="3"/>
      <c r="NE273" s="3"/>
      <c r="NF273" s="3"/>
      <c r="NG273" s="3"/>
      <c r="NH273" s="3"/>
      <c r="NI273" s="3"/>
      <c r="NJ273" s="3"/>
      <c r="NK273" s="3"/>
      <c r="NL273" s="3"/>
      <c r="NM273" s="3"/>
      <c r="NN273" s="3"/>
      <c r="NO273" s="3"/>
      <c r="NP273" s="3"/>
      <c r="NQ273" s="3"/>
      <c r="NR273" s="3"/>
      <c r="NS273" s="3"/>
      <c r="NT273" s="3"/>
      <c r="NU273" s="3"/>
      <c r="NV273" s="3"/>
      <c r="NW273" s="3"/>
      <c r="NX273" s="3"/>
      <c r="NY273" s="3"/>
      <c r="NZ273" s="3"/>
      <c r="OA273" s="3"/>
      <c r="OB273" s="3"/>
      <c r="OC273" s="3"/>
      <c r="OD273" s="3"/>
      <c r="OE273" s="3"/>
      <c r="OF273" s="3"/>
      <c r="OG273" s="3"/>
      <c r="OH273" s="3"/>
      <c r="OI273" s="3"/>
      <c r="OJ273" s="3"/>
      <c r="OK273" s="3"/>
      <c r="OL273" s="3"/>
      <c r="OM273" s="3"/>
      <c r="ON273" s="3"/>
      <c r="OO273" s="3"/>
      <c r="OP273" s="3"/>
      <c r="OQ273" s="3"/>
      <c r="OR273" s="3"/>
      <c r="OS273" s="3"/>
      <c r="OT273" s="3"/>
      <c r="OU273" s="3"/>
      <c r="OV273" s="3"/>
      <c r="OW273" s="3"/>
      <c r="OX273" s="3"/>
      <c r="OY273" s="3"/>
      <c r="OZ273" s="3"/>
      <c r="PA273" s="3"/>
      <c r="PB273" s="3"/>
      <c r="PC273" s="3"/>
      <c r="PD273" s="3"/>
      <c r="PE273" s="3"/>
      <c r="PF273" s="3"/>
      <c r="PG273" s="3"/>
      <c r="PH273" s="3"/>
      <c r="PI273" s="3"/>
      <c r="PJ273" s="3"/>
      <c r="PK273" s="3"/>
      <c r="PL273" s="3"/>
      <c r="PM273" s="3"/>
      <c r="PN273" s="3"/>
      <c r="PO273" s="3"/>
      <c r="PP273" s="3"/>
      <c r="PQ273" s="3"/>
      <c r="PR273" s="3"/>
      <c r="PS273" s="3"/>
      <c r="PT273" s="3"/>
      <c r="PU273" s="3"/>
      <c r="PV273" s="3"/>
      <c r="PW273" s="3"/>
      <c r="PX273" s="3"/>
      <c r="PY273" s="3"/>
      <c r="PZ273" s="3"/>
      <c r="QA273" s="3"/>
      <c r="QB273" s="3"/>
      <c r="QC273" s="3"/>
      <c r="QD273" s="3"/>
      <c r="QE273" s="3"/>
      <c r="QF273" s="3"/>
      <c r="QG273" s="3"/>
      <c r="QH273" s="3"/>
      <c r="QI273" s="3"/>
      <c r="QJ273" s="3"/>
      <c r="QK273" s="3"/>
      <c r="QL273" s="3"/>
      <c r="QM273" s="3"/>
      <c r="QN273" s="3"/>
      <c r="QO273" s="3"/>
      <c r="QP273" s="3"/>
      <c r="QQ273" s="3"/>
      <c r="QR273" s="3"/>
      <c r="QS273" s="3"/>
      <c r="QT273" s="3"/>
      <c r="QU273" s="3"/>
      <c r="QV273" s="3"/>
      <c r="QW273" s="3"/>
      <c r="QX273" s="3"/>
      <c r="QY273" s="3"/>
      <c r="QZ273" s="3"/>
      <c r="RA273" s="3"/>
      <c r="RB273" s="3"/>
      <c r="RC273" s="3"/>
      <c r="RD273" s="3"/>
      <c r="RE273" s="3"/>
      <c r="RF273" s="3"/>
      <c r="RG273" s="3"/>
      <c r="RH273" s="3"/>
      <c r="RI273" s="3"/>
      <c r="RJ273" s="3"/>
      <c r="RK273" s="3"/>
      <c r="RL273" s="3"/>
      <c r="RM273" s="3"/>
      <c r="RN273" s="3"/>
      <c r="RO273" s="3"/>
      <c r="RP273" s="3"/>
      <c r="RQ273" s="3"/>
      <c r="RR273" s="3"/>
      <c r="RS273" s="3"/>
      <c r="RT273" s="3"/>
      <c r="RU273" s="3"/>
      <c r="RV273" s="3"/>
      <c r="RW273" s="3"/>
      <c r="RX273" s="3"/>
      <c r="RY273" s="3"/>
      <c r="RZ273" s="3"/>
      <c r="SA273" s="3"/>
      <c r="SB273" s="3"/>
      <c r="SC273" s="3"/>
      <c r="SD273" s="3"/>
      <c r="SE273" s="3"/>
      <c r="SF273" s="3"/>
      <c r="SG273" s="3"/>
      <c r="SH273" s="3"/>
      <c r="SI273" s="3"/>
      <c r="SJ273" s="3"/>
      <c r="SK273" s="3"/>
      <c r="SL273" s="3"/>
      <c r="SM273" s="3"/>
      <c r="SN273" s="3"/>
      <c r="SO273" s="3"/>
      <c r="SP273" s="3"/>
      <c r="SQ273" s="3"/>
      <c r="SR273" s="3"/>
      <c r="SS273" s="3"/>
      <c r="ST273" s="3"/>
      <c r="SU273" s="3"/>
      <c r="SV273" s="3"/>
      <c r="SW273" s="3"/>
      <c r="SX273" s="3"/>
      <c r="SY273" s="3"/>
      <c r="SZ273" s="3"/>
      <c r="TA273" s="3"/>
      <c r="TB273" s="3"/>
      <c r="TC273" s="3"/>
      <c r="TD273" s="3"/>
      <c r="TE273" s="3"/>
      <c r="TF273" s="3"/>
      <c r="TG273" s="3"/>
      <c r="TH273" s="3"/>
      <c r="TI273" s="3"/>
      <c r="TJ273" s="3"/>
      <c r="TK273" s="3"/>
      <c r="TL273" s="3"/>
      <c r="TM273" s="3"/>
      <c r="TN273" s="3"/>
      <c r="TO273" s="3"/>
      <c r="TP273" s="3"/>
      <c r="TQ273" s="3"/>
      <c r="TR273" s="3"/>
      <c r="TS273" s="3"/>
      <c r="TT273" s="3"/>
      <c r="TU273" s="3"/>
      <c r="TV273" s="3"/>
      <c r="TW273" s="3"/>
      <c r="TX273" s="3"/>
      <c r="TY273" s="3"/>
      <c r="TZ273" s="3"/>
      <c r="UA273" s="3"/>
      <c r="UB273" s="3"/>
      <c r="UC273" s="3"/>
      <c r="UD273" s="3"/>
      <c r="UE273" s="3"/>
      <c r="UF273" s="3"/>
      <c r="UG273" s="3"/>
      <c r="UH273" s="3"/>
      <c r="UI273" s="3"/>
      <c r="UJ273" s="3"/>
      <c r="UK273" s="3"/>
      <c r="UL273" s="3"/>
      <c r="UM273" s="3"/>
      <c r="UN273" s="3"/>
      <c r="UO273" s="3"/>
      <c r="UP273" s="3"/>
      <c r="UQ273" s="3"/>
      <c r="UR273" s="3"/>
      <c r="US273" s="3"/>
      <c r="UT273" s="3"/>
      <c r="UU273" s="3"/>
      <c r="UV273" s="3"/>
      <c r="UW273" s="3"/>
      <c r="UX273" s="3"/>
      <c r="UY273" s="3"/>
      <c r="UZ273" s="3"/>
      <c r="VA273" s="3"/>
      <c r="VB273" s="3"/>
      <c r="VC273" s="3"/>
      <c r="VD273" s="3"/>
      <c r="VE273" s="3"/>
      <c r="VF273" s="3"/>
      <c r="VG273" s="3"/>
      <c r="VH273" s="3"/>
      <c r="VI273" s="3"/>
      <c r="VJ273" s="3"/>
      <c r="VK273" s="3"/>
      <c r="VL273" s="3"/>
      <c r="VM273" s="3"/>
      <c r="VN273" s="3"/>
      <c r="VO273" s="3"/>
      <c r="VP273" s="3"/>
      <c r="VQ273" s="3"/>
      <c r="VR273" s="3"/>
      <c r="VS273" s="3"/>
      <c r="VT273" s="3"/>
      <c r="VU273" s="3"/>
      <c r="VV273" s="3"/>
      <c r="VW273" s="3"/>
      <c r="VX273" s="3"/>
      <c r="VY273" s="3"/>
      <c r="VZ273" s="3"/>
      <c r="WA273" s="3"/>
      <c r="WB273" s="3"/>
      <c r="WC273" s="3"/>
      <c r="WD273" s="3"/>
      <c r="WE273" s="3"/>
      <c r="WF273" s="3"/>
      <c r="WG273" s="3"/>
      <c r="WH273" s="3"/>
      <c r="WI273" s="3"/>
      <c r="WJ273" s="3"/>
      <c r="WK273" s="3"/>
      <c r="WL273" s="3"/>
      <c r="WM273" s="3"/>
      <c r="WN273" s="3"/>
      <c r="WO273" s="3"/>
      <c r="WP273" s="3"/>
      <c r="WQ273" s="3"/>
      <c r="WR273" s="3"/>
      <c r="WS273" s="3"/>
      <c r="WT273" s="3"/>
      <c r="WU273" s="3"/>
      <c r="WV273" s="3"/>
      <c r="WW273" s="3"/>
      <c r="WX273" s="3"/>
      <c r="WY273" s="3"/>
      <c r="WZ273" s="3"/>
      <c r="XA273" s="3"/>
      <c r="XB273" s="3"/>
      <c r="XC273" s="3"/>
      <c r="XD273" s="3"/>
      <c r="XE273" s="3"/>
      <c r="XF273" s="3"/>
      <c r="XG273" s="3"/>
      <c r="XH273" s="3"/>
      <c r="XI273" s="3"/>
      <c r="XJ273" s="3"/>
      <c r="XK273" s="3"/>
      <c r="XL273" s="3"/>
      <c r="XM273" s="3"/>
      <c r="XN273" s="3"/>
      <c r="XO273" s="3"/>
      <c r="XP273" s="3"/>
      <c r="XQ273" s="3"/>
      <c r="XR273" s="3"/>
      <c r="XS273" s="3"/>
      <c r="XT273" s="3"/>
      <c r="XU273" s="3"/>
      <c r="XV273" s="3"/>
      <c r="XW273" s="3"/>
      <c r="XX273" s="3"/>
      <c r="XY273" s="3"/>
      <c r="XZ273" s="3"/>
      <c r="YA273" s="3"/>
      <c r="YB273" s="3"/>
      <c r="YC273" s="3"/>
      <c r="YD273" s="3"/>
      <c r="YE273" s="3"/>
      <c r="YF273" s="3"/>
      <c r="YG273" s="3"/>
      <c r="YH273" s="3"/>
      <c r="YI273" s="3"/>
      <c r="YJ273" s="3"/>
      <c r="YK273" s="3"/>
      <c r="YL273" s="3"/>
      <c r="YM273" s="3"/>
      <c r="YN273" s="3"/>
      <c r="YO273" s="3"/>
      <c r="YP273" s="3"/>
      <c r="YQ273" s="3"/>
      <c r="YR273" s="3"/>
      <c r="YS273" s="3"/>
      <c r="YT273" s="3"/>
      <c r="YU273" s="3"/>
      <c r="YV273" s="3"/>
      <c r="YW273" s="3"/>
      <c r="YX273" s="3"/>
      <c r="YY273" s="3"/>
      <c r="YZ273" s="3"/>
      <c r="ZA273" s="3"/>
      <c r="ZB273" s="3"/>
      <c r="ZC273" s="3"/>
    </row>
    <row r="274" spans="1:679" s="2" customFormat="1" x14ac:dyDescent="0.45">
      <c r="A274" s="3" t="s">
        <v>11</v>
      </c>
      <c r="B274" s="4">
        <v>38034</v>
      </c>
      <c r="C274" s="7" t="s">
        <v>25</v>
      </c>
      <c r="D274" s="6" t="s">
        <v>293</v>
      </c>
      <c r="E274" s="3"/>
      <c r="F274" s="3">
        <v>3</v>
      </c>
      <c r="L274" s="3"/>
      <c r="M274" s="3"/>
      <c r="N274" s="48"/>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3"/>
      <c r="CT274" s="3"/>
      <c r="CU274" s="3"/>
      <c r="CV274" s="3"/>
      <c r="CW274" s="3"/>
      <c r="CX274" s="3"/>
      <c r="CY274" s="3"/>
      <c r="CZ274" s="3"/>
      <c r="DA274" s="3"/>
      <c r="DB274" s="3"/>
      <c r="DC274" s="3"/>
      <c r="DD274" s="3"/>
      <c r="DE274" s="3"/>
      <c r="DF274" s="3"/>
      <c r="DG274" s="3"/>
      <c r="DH274" s="3"/>
      <c r="DI274" s="3"/>
      <c r="DJ274" s="3"/>
      <c r="DK274" s="3"/>
      <c r="DL274" s="3"/>
      <c r="DM274" s="3"/>
      <c r="DN274" s="3"/>
      <c r="DO274" s="3"/>
      <c r="DP274" s="3"/>
      <c r="DQ274" s="3"/>
      <c r="DR274" s="3"/>
      <c r="DS274" s="3"/>
      <c r="DT274" s="3"/>
      <c r="DU274" s="3"/>
      <c r="DV274" s="3"/>
      <c r="DW274" s="3"/>
      <c r="DX274" s="3"/>
      <c r="DY274" s="3"/>
      <c r="DZ274" s="3"/>
      <c r="EA274" s="3"/>
      <c r="EB274" s="3"/>
      <c r="EC274" s="3"/>
      <c r="ED274" s="3"/>
      <c r="EE274" s="3"/>
      <c r="EF274" s="3"/>
      <c r="EG274" s="3"/>
      <c r="EH274" s="3"/>
      <c r="EI274" s="3"/>
      <c r="EJ274" s="3"/>
      <c r="EK274" s="3"/>
      <c r="EL274" s="3"/>
      <c r="EM274" s="3"/>
      <c r="EN274" s="3"/>
      <c r="EO274" s="3"/>
      <c r="EP274" s="3"/>
      <c r="EQ274" s="3"/>
      <c r="ER274" s="3"/>
      <c r="ES274" s="3"/>
      <c r="ET274" s="3"/>
      <c r="EU274" s="3"/>
      <c r="EV274" s="3"/>
      <c r="EW274" s="3"/>
      <c r="EX274" s="3"/>
      <c r="EY274" s="3"/>
      <c r="EZ274" s="3"/>
      <c r="FA274" s="3"/>
      <c r="FB274" s="3"/>
      <c r="FC274" s="3"/>
      <c r="FD274" s="3"/>
      <c r="FE274" s="3"/>
      <c r="FF274" s="3"/>
      <c r="FG274" s="3"/>
      <c r="FH274" s="3"/>
      <c r="FI274" s="3"/>
      <c r="FJ274" s="3"/>
      <c r="FK274" s="3"/>
      <c r="FL274" s="3"/>
      <c r="FM274" s="3"/>
      <c r="FN274" s="3"/>
      <c r="FO274" s="3"/>
      <c r="FP274" s="3"/>
      <c r="FQ274" s="3"/>
      <c r="FR274" s="3"/>
      <c r="FS274" s="3"/>
      <c r="FT274" s="3"/>
      <c r="FU274" s="3"/>
      <c r="FV274" s="3"/>
      <c r="FW274" s="3"/>
      <c r="FX274" s="3"/>
      <c r="FY274" s="3"/>
      <c r="FZ274" s="3"/>
      <c r="GA274" s="3"/>
      <c r="GB274" s="3"/>
      <c r="GC274" s="3"/>
      <c r="GD274" s="3"/>
      <c r="GE274" s="3"/>
      <c r="GF274" s="3"/>
      <c r="GG274" s="3"/>
      <c r="GH274" s="3"/>
      <c r="GI274" s="3"/>
      <c r="GJ274" s="3"/>
      <c r="GK274" s="3"/>
      <c r="GL274" s="3"/>
      <c r="GM274" s="3"/>
      <c r="GN274" s="3"/>
      <c r="GO274" s="3"/>
      <c r="GP274" s="3"/>
      <c r="GQ274" s="3"/>
      <c r="GR274" s="3"/>
      <c r="GS274" s="3"/>
      <c r="GT274" s="3"/>
      <c r="GU274" s="3"/>
      <c r="GV274" s="3"/>
      <c r="GW274" s="3"/>
      <c r="GX274" s="3"/>
      <c r="GY274" s="3"/>
      <c r="GZ274" s="3"/>
      <c r="HA274" s="3"/>
      <c r="HB274" s="3"/>
      <c r="HC274" s="3"/>
      <c r="HD274" s="3"/>
      <c r="HE274" s="3"/>
      <c r="HF274" s="3"/>
      <c r="HG274" s="3"/>
      <c r="HH274" s="3"/>
      <c r="HI274" s="3"/>
      <c r="HJ274" s="3"/>
      <c r="HK274" s="3"/>
      <c r="HL274" s="3"/>
      <c r="HM274" s="3"/>
      <c r="HN274" s="3"/>
      <c r="HO274" s="3"/>
      <c r="HP274" s="3"/>
      <c r="HQ274" s="3"/>
      <c r="HR274" s="3"/>
      <c r="HS274" s="3"/>
      <c r="HT274" s="3"/>
      <c r="HU274" s="3"/>
      <c r="HV274" s="3"/>
      <c r="HW274" s="3"/>
      <c r="HX274" s="3"/>
      <c r="HY274" s="3"/>
      <c r="HZ274" s="3"/>
      <c r="IA274" s="3"/>
      <c r="IB274" s="3"/>
      <c r="IC274" s="3"/>
      <c r="ID274" s="3"/>
      <c r="IE274" s="3"/>
      <c r="IF274" s="3"/>
      <c r="IG274" s="3"/>
      <c r="IH274" s="3"/>
      <c r="II274" s="3"/>
      <c r="IJ274" s="3"/>
      <c r="IK274" s="3"/>
      <c r="IL274" s="3"/>
      <c r="IM274" s="3"/>
      <c r="IN274" s="3"/>
      <c r="IO274" s="3"/>
      <c r="IP274" s="3"/>
      <c r="IQ274" s="3"/>
      <c r="IR274" s="3"/>
      <c r="IS274" s="3"/>
      <c r="IT274" s="3"/>
      <c r="IU274" s="3"/>
      <c r="IV274" s="3"/>
      <c r="IW274" s="3"/>
      <c r="IX274" s="3"/>
      <c r="IY274" s="3"/>
      <c r="IZ274" s="3"/>
      <c r="JA274" s="3"/>
      <c r="JB274" s="3"/>
      <c r="JC274" s="3"/>
      <c r="JD274" s="3"/>
      <c r="JE274" s="3"/>
      <c r="JF274" s="3"/>
      <c r="JG274" s="3"/>
      <c r="JH274" s="3"/>
      <c r="JI274" s="3"/>
      <c r="JJ274" s="3"/>
      <c r="JK274" s="3"/>
      <c r="JL274" s="3"/>
      <c r="JM274" s="3"/>
      <c r="JN274" s="3"/>
      <c r="JO274" s="3"/>
      <c r="JP274" s="3"/>
      <c r="JQ274" s="3"/>
      <c r="JR274" s="3"/>
      <c r="JS274" s="3"/>
      <c r="JT274" s="3"/>
      <c r="JU274" s="3"/>
      <c r="JV274" s="3"/>
      <c r="JW274" s="3"/>
      <c r="JX274" s="3"/>
      <c r="JY274" s="3"/>
      <c r="JZ274" s="3"/>
      <c r="KA274" s="3"/>
      <c r="KB274" s="3"/>
      <c r="KC274" s="3"/>
      <c r="KD274" s="3"/>
      <c r="KE274" s="3"/>
      <c r="KF274" s="3"/>
      <c r="KG274" s="3"/>
      <c r="KH274" s="3"/>
      <c r="KI274" s="3"/>
      <c r="KJ274" s="3"/>
      <c r="KK274" s="3"/>
      <c r="KL274" s="3"/>
      <c r="KM274" s="3"/>
      <c r="KN274" s="3"/>
      <c r="KO274" s="3"/>
      <c r="KP274" s="3"/>
      <c r="KQ274" s="3"/>
      <c r="KR274" s="3"/>
      <c r="KS274" s="3"/>
      <c r="KT274" s="3"/>
      <c r="KU274" s="3"/>
      <c r="KV274" s="3"/>
      <c r="KW274" s="3"/>
      <c r="KX274" s="3"/>
      <c r="KY274" s="3"/>
      <c r="KZ274" s="3"/>
      <c r="LA274" s="3"/>
      <c r="LB274" s="3"/>
      <c r="LC274" s="3"/>
      <c r="LD274" s="3"/>
      <c r="LE274" s="3"/>
      <c r="LF274" s="3"/>
      <c r="LG274" s="3"/>
      <c r="LH274" s="3"/>
      <c r="LI274" s="3"/>
      <c r="LJ274" s="3"/>
      <c r="LK274" s="3"/>
      <c r="LL274" s="3"/>
      <c r="LM274" s="3"/>
      <c r="LN274" s="3"/>
      <c r="LO274" s="3"/>
      <c r="LP274" s="3"/>
      <c r="LQ274" s="3"/>
      <c r="LR274" s="3"/>
      <c r="LS274" s="3"/>
      <c r="LT274" s="3"/>
      <c r="LU274" s="3"/>
      <c r="LV274" s="3"/>
      <c r="LW274" s="3"/>
      <c r="LX274" s="3"/>
      <c r="LY274" s="3"/>
      <c r="LZ274" s="3"/>
      <c r="MA274" s="3"/>
      <c r="MB274" s="3"/>
      <c r="MC274" s="3"/>
      <c r="MD274" s="3"/>
      <c r="ME274" s="3"/>
      <c r="MF274" s="3"/>
      <c r="MG274" s="3"/>
      <c r="MH274" s="3"/>
      <c r="MI274" s="3"/>
      <c r="MJ274" s="3"/>
      <c r="MK274" s="3"/>
      <c r="ML274" s="3"/>
      <c r="MM274" s="3"/>
      <c r="MN274" s="3"/>
      <c r="MO274" s="3"/>
      <c r="MP274" s="3"/>
      <c r="MQ274" s="3"/>
      <c r="MR274" s="3"/>
      <c r="MS274" s="3"/>
      <c r="MT274" s="3"/>
      <c r="MU274" s="3"/>
      <c r="MV274" s="3"/>
      <c r="MW274" s="3"/>
      <c r="MX274" s="3"/>
      <c r="MY274" s="3"/>
      <c r="MZ274" s="3"/>
      <c r="NA274" s="3"/>
      <c r="NB274" s="3"/>
      <c r="NC274" s="3"/>
      <c r="ND274" s="3"/>
      <c r="NE274" s="3"/>
      <c r="NF274" s="3"/>
      <c r="NG274" s="3"/>
      <c r="NH274" s="3"/>
      <c r="NI274" s="3"/>
      <c r="NJ274" s="3"/>
      <c r="NK274" s="3"/>
      <c r="NL274" s="3"/>
      <c r="NM274" s="3"/>
      <c r="NN274" s="3"/>
      <c r="NO274" s="3"/>
      <c r="NP274" s="3"/>
      <c r="NQ274" s="3"/>
      <c r="NR274" s="3"/>
      <c r="NS274" s="3"/>
      <c r="NT274" s="3"/>
      <c r="NU274" s="3"/>
      <c r="NV274" s="3"/>
      <c r="NW274" s="3"/>
      <c r="NX274" s="3"/>
      <c r="NY274" s="3"/>
      <c r="NZ274" s="3"/>
      <c r="OA274" s="3"/>
      <c r="OB274" s="3"/>
      <c r="OC274" s="3"/>
      <c r="OD274" s="3"/>
      <c r="OE274" s="3"/>
      <c r="OF274" s="3"/>
      <c r="OG274" s="3"/>
      <c r="OH274" s="3"/>
      <c r="OI274" s="3"/>
      <c r="OJ274" s="3"/>
      <c r="OK274" s="3"/>
      <c r="OL274" s="3"/>
      <c r="OM274" s="3"/>
      <c r="ON274" s="3"/>
      <c r="OO274" s="3"/>
      <c r="OP274" s="3"/>
      <c r="OQ274" s="3"/>
      <c r="OR274" s="3"/>
      <c r="OS274" s="3"/>
      <c r="OT274" s="3"/>
      <c r="OU274" s="3"/>
      <c r="OV274" s="3"/>
      <c r="OW274" s="3"/>
      <c r="OX274" s="3"/>
      <c r="OY274" s="3"/>
      <c r="OZ274" s="3"/>
      <c r="PA274" s="3"/>
      <c r="PB274" s="3"/>
      <c r="PC274" s="3"/>
      <c r="PD274" s="3"/>
      <c r="PE274" s="3"/>
      <c r="PF274" s="3"/>
      <c r="PG274" s="3"/>
      <c r="PH274" s="3"/>
      <c r="PI274" s="3"/>
      <c r="PJ274" s="3"/>
      <c r="PK274" s="3"/>
      <c r="PL274" s="3"/>
      <c r="PM274" s="3"/>
      <c r="PN274" s="3"/>
      <c r="PO274" s="3"/>
      <c r="PP274" s="3"/>
      <c r="PQ274" s="3"/>
      <c r="PR274" s="3"/>
      <c r="PS274" s="3"/>
      <c r="PT274" s="3"/>
      <c r="PU274" s="3"/>
      <c r="PV274" s="3"/>
      <c r="PW274" s="3"/>
      <c r="PX274" s="3"/>
      <c r="PY274" s="3"/>
      <c r="PZ274" s="3"/>
      <c r="QA274" s="3"/>
      <c r="QB274" s="3"/>
      <c r="QC274" s="3"/>
      <c r="QD274" s="3"/>
      <c r="QE274" s="3"/>
      <c r="QF274" s="3"/>
      <c r="QG274" s="3"/>
      <c r="QH274" s="3"/>
      <c r="QI274" s="3"/>
      <c r="QJ274" s="3"/>
      <c r="QK274" s="3"/>
      <c r="QL274" s="3"/>
      <c r="QM274" s="3"/>
      <c r="QN274" s="3"/>
      <c r="QO274" s="3"/>
      <c r="QP274" s="3"/>
      <c r="QQ274" s="3"/>
      <c r="QR274" s="3"/>
      <c r="QS274" s="3"/>
      <c r="QT274" s="3"/>
      <c r="QU274" s="3"/>
      <c r="QV274" s="3"/>
      <c r="QW274" s="3"/>
      <c r="QX274" s="3"/>
      <c r="QY274" s="3"/>
      <c r="QZ274" s="3"/>
      <c r="RA274" s="3"/>
      <c r="RB274" s="3"/>
      <c r="RC274" s="3"/>
      <c r="RD274" s="3"/>
      <c r="RE274" s="3"/>
      <c r="RF274" s="3"/>
      <c r="RG274" s="3"/>
      <c r="RH274" s="3"/>
      <c r="RI274" s="3"/>
      <c r="RJ274" s="3"/>
      <c r="RK274" s="3"/>
      <c r="RL274" s="3"/>
      <c r="RM274" s="3"/>
      <c r="RN274" s="3"/>
      <c r="RO274" s="3"/>
      <c r="RP274" s="3"/>
      <c r="RQ274" s="3"/>
      <c r="RR274" s="3"/>
      <c r="RS274" s="3"/>
      <c r="RT274" s="3"/>
      <c r="RU274" s="3"/>
      <c r="RV274" s="3"/>
      <c r="RW274" s="3"/>
      <c r="RX274" s="3"/>
      <c r="RY274" s="3"/>
      <c r="RZ274" s="3"/>
      <c r="SA274" s="3"/>
      <c r="SB274" s="3"/>
      <c r="SC274" s="3"/>
      <c r="SD274" s="3"/>
      <c r="SE274" s="3"/>
      <c r="SF274" s="3"/>
      <c r="SG274" s="3"/>
      <c r="SH274" s="3"/>
      <c r="SI274" s="3"/>
      <c r="SJ274" s="3"/>
      <c r="SK274" s="3"/>
      <c r="SL274" s="3"/>
      <c r="SM274" s="3"/>
      <c r="SN274" s="3"/>
      <c r="SO274" s="3"/>
      <c r="SP274" s="3"/>
      <c r="SQ274" s="3"/>
      <c r="SR274" s="3"/>
      <c r="SS274" s="3"/>
      <c r="ST274" s="3"/>
      <c r="SU274" s="3"/>
      <c r="SV274" s="3"/>
      <c r="SW274" s="3"/>
      <c r="SX274" s="3"/>
      <c r="SY274" s="3"/>
      <c r="SZ274" s="3"/>
      <c r="TA274" s="3"/>
      <c r="TB274" s="3"/>
      <c r="TC274" s="3"/>
      <c r="TD274" s="3"/>
      <c r="TE274" s="3"/>
      <c r="TF274" s="3"/>
      <c r="TG274" s="3"/>
      <c r="TH274" s="3"/>
      <c r="TI274" s="3"/>
      <c r="TJ274" s="3"/>
      <c r="TK274" s="3"/>
      <c r="TL274" s="3"/>
      <c r="TM274" s="3"/>
      <c r="TN274" s="3"/>
      <c r="TO274" s="3"/>
      <c r="TP274" s="3"/>
      <c r="TQ274" s="3"/>
      <c r="TR274" s="3"/>
      <c r="TS274" s="3"/>
      <c r="TT274" s="3"/>
      <c r="TU274" s="3"/>
      <c r="TV274" s="3"/>
      <c r="TW274" s="3"/>
      <c r="TX274" s="3"/>
      <c r="TY274" s="3"/>
      <c r="TZ274" s="3"/>
      <c r="UA274" s="3"/>
      <c r="UB274" s="3"/>
      <c r="UC274" s="3"/>
      <c r="UD274" s="3"/>
      <c r="UE274" s="3"/>
      <c r="UF274" s="3"/>
      <c r="UG274" s="3"/>
      <c r="UH274" s="3"/>
      <c r="UI274" s="3"/>
      <c r="UJ274" s="3"/>
      <c r="UK274" s="3"/>
      <c r="UL274" s="3"/>
      <c r="UM274" s="3"/>
      <c r="UN274" s="3"/>
      <c r="UO274" s="3"/>
      <c r="UP274" s="3"/>
      <c r="UQ274" s="3"/>
      <c r="UR274" s="3"/>
      <c r="US274" s="3"/>
      <c r="UT274" s="3"/>
      <c r="UU274" s="3"/>
      <c r="UV274" s="3"/>
      <c r="UW274" s="3"/>
      <c r="UX274" s="3"/>
      <c r="UY274" s="3"/>
      <c r="UZ274" s="3"/>
      <c r="VA274" s="3"/>
      <c r="VB274" s="3"/>
      <c r="VC274" s="3"/>
      <c r="VD274" s="3"/>
      <c r="VE274" s="3"/>
      <c r="VF274" s="3"/>
      <c r="VG274" s="3"/>
      <c r="VH274" s="3"/>
      <c r="VI274" s="3"/>
      <c r="VJ274" s="3"/>
      <c r="VK274" s="3"/>
      <c r="VL274" s="3"/>
      <c r="VM274" s="3"/>
      <c r="VN274" s="3"/>
      <c r="VO274" s="3"/>
      <c r="VP274" s="3"/>
      <c r="VQ274" s="3"/>
      <c r="VR274" s="3"/>
      <c r="VS274" s="3"/>
      <c r="VT274" s="3"/>
      <c r="VU274" s="3"/>
      <c r="VV274" s="3"/>
      <c r="VW274" s="3"/>
      <c r="VX274" s="3"/>
      <c r="VY274" s="3"/>
      <c r="VZ274" s="3"/>
      <c r="WA274" s="3"/>
      <c r="WB274" s="3"/>
      <c r="WC274" s="3"/>
      <c r="WD274" s="3"/>
      <c r="WE274" s="3"/>
      <c r="WF274" s="3"/>
      <c r="WG274" s="3"/>
      <c r="WH274" s="3"/>
      <c r="WI274" s="3"/>
      <c r="WJ274" s="3"/>
      <c r="WK274" s="3"/>
      <c r="WL274" s="3"/>
      <c r="WM274" s="3"/>
      <c r="WN274" s="3"/>
      <c r="WO274" s="3"/>
      <c r="WP274" s="3"/>
      <c r="WQ274" s="3"/>
      <c r="WR274" s="3"/>
      <c r="WS274" s="3"/>
      <c r="WT274" s="3"/>
      <c r="WU274" s="3"/>
      <c r="WV274" s="3"/>
      <c r="WW274" s="3"/>
      <c r="WX274" s="3"/>
      <c r="WY274" s="3"/>
      <c r="WZ274" s="3"/>
      <c r="XA274" s="3"/>
      <c r="XB274" s="3"/>
      <c r="XC274" s="3"/>
      <c r="XD274" s="3"/>
      <c r="XE274" s="3"/>
      <c r="XF274" s="3"/>
      <c r="XG274" s="3"/>
      <c r="XH274" s="3"/>
      <c r="XI274" s="3"/>
      <c r="XJ274" s="3"/>
      <c r="XK274" s="3"/>
      <c r="XL274" s="3"/>
      <c r="XM274" s="3"/>
      <c r="XN274" s="3"/>
      <c r="XO274" s="3"/>
      <c r="XP274" s="3"/>
      <c r="XQ274" s="3"/>
      <c r="XR274" s="3"/>
      <c r="XS274" s="3"/>
      <c r="XT274" s="3"/>
      <c r="XU274" s="3"/>
      <c r="XV274" s="3"/>
      <c r="XW274" s="3"/>
      <c r="XX274" s="3"/>
      <c r="XY274" s="3"/>
      <c r="XZ274" s="3"/>
      <c r="YA274" s="3"/>
      <c r="YB274" s="3"/>
      <c r="YC274" s="3"/>
      <c r="YD274" s="3"/>
      <c r="YE274" s="3"/>
      <c r="YF274" s="3"/>
      <c r="YG274" s="3"/>
      <c r="YH274" s="3"/>
      <c r="YI274" s="3"/>
      <c r="YJ274" s="3"/>
      <c r="YK274" s="3"/>
      <c r="YL274" s="3"/>
      <c r="YM274" s="3"/>
      <c r="YN274" s="3"/>
      <c r="YO274" s="3"/>
      <c r="YP274" s="3"/>
      <c r="YQ274" s="3"/>
      <c r="YR274" s="3"/>
      <c r="YS274" s="3"/>
      <c r="YT274" s="3"/>
      <c r="YU274" s="3"/>
      <c r="YV274" s="3"/>
      <c r="YW274" s="3"/>
      <c r="YX274" s="3"/>
      <c r="YY274" s="3"/>
      <c r="YZ274" s="3"/>
      <c r="ZA274" s="3"/>
      <c r="ZB274" s="3"/>
      <c r="ZC274" s="3"/>
    </row>
    <row r="275" spans="1:679" s="2" customFormat="1" x14ac:dyDescent="0.45">
      <c r="A275" s="3" t="s">
        <v>11</v>
      </c>
      <c r="B275" s="4">
        <v>38044</v>
      </c>
      <c r="C275" s="7" t="s">
        <v>25</v>
      </c>
      <c r="D275" s="6" t="s">
        <v>294</v>
      </c>
      <c r="E275" s="3"/>
      <c r="F275" s="3">
        <v>4</v>
      </c>
      <c r="L275" s="3"/>
      <c r="M275" s="3"/>
      <c r="N275" s="48"/>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c r="CP275" s="3"/>
      <c r="CQ275" s="3"/>
      <c r="CR275" s="3"/>
      <c r="CS275" s="3"/>
      <c r="CT275" s="3"/>
      <c r="CU275" s="3"/>
      <c r="CV275" s="3"/>
      <c r="CW275" s="3"/>
      <c r="CX275" s="3"/>
      <c r="CY275" s="3"/>
      <c r="CZ275" s="3"/>
      <c r="DA275" s="3"/>
      <c r="DB275" s="3"/>
      <c r="DC275" s="3"/>
      <c r="DD275" s="3"/>
      <c r="DE275" s="3"/>
      <c r="DF275" s="3"/>
      <c r="DG275" s="3"/>
      <c r="DH275" s="3"/>
      <c r="DI275" s="3"/>
      <c r="DJ275" s="3"/>
      <c r="DK275" s="3"/>
      <c r="DL275" s="3"/>
      <c r="DM275" s="3"/>
      <c r="DN275" s="3"/>
      <c r="DO275" s="3"/>
      <c r="DP275" s="3"/>
      <c r="DQ275" s="3"/>
      <c r="DR275" s="3"/>
      <c r="DS275" s="3"/>
      <c r="DT275" s="3"/>
      <c r="DU275" s="3"/>
      <c r="DV275" s="3"/>
      <c r="DW275" s="3"/>
      <c r="DX275" s="3"/>
      <c r="DY275" s="3"/>
      <c r="DZ275" s="3"/>
      <c r="EA275" s="3"/>
      <c r="EB275" s="3"/>
      <c r="EC275" s="3"/>
      <c r="ED275" s="3"/>
      <c r="EE275" s="3"/>
      <c r="EF275" s="3"/>
      <c r="EG275" s="3"/>
      <c r="EH275" s="3"/>
      <c r="EI275" s="3"/>
      <c r="EJ275" s="3"/>
      <c r="EK275" s="3"/>
      <c r="EL275" s="3"/>
      <c r="EM275" s="3"/>
      <c r="EN275" s="3"/>
      <c r="EO275" s="3"/>
      <c r="EP275" s="3"/>
      <c r="EQ275" s="3"/>
      <c r="ER275" s="3"/>
      <c r="ES275" s="3"/>
      <c r="ET275" s="3"/>
      <c r="EU275" s="3"/>
      <c r="EV275" s="3"/>
      <c r="EW275" s="3"/>
      <c r="EX275" s="3"/>
      <c r="EY275" s="3"/>
      <c r="EZ275" s="3"/>
      <c r="FA275" s="3"/>
      <c r="FB275" s="3"/>
      <c r="FC275" s="3"/>
      <c r="FD275" s="3"/>
      <c r="FE275" s="3"/>
      <c r="FF275" s="3"/>
      <c r="FG275" s="3"/>
      <c r="FH275" s="3"/>
      <c r="FI275" s="3"/>
      <c r="FJ275" s="3"/>
      <c r="FK275" s="3"/>
      <c r="FL275" s="3"/>
      <c r="FM275" s="3"/>
      <c r="FN275" s="3"/>
      <c r="FO275" s="3"/>
      <c r="FP275" s="3"/>
      <c r="FQ275" s="3"/>
      <c r="FR275" s="3"/>
      <c r="FS275" s="3"/>
      <c r="FT275" s="3"/>
      <c r="FU275" s="3"/>
      <c r="FV275" s="3"/>
      <c r="FW275" s="3"/>
      <c r="FX275" s="3"/>
      <c r="FY275" s="3"/>
      <c r="FZ275" s="3"/>
      <c r="GA275" s="3"/>
      <c r="GB275" s="3"/>
      <c r="GC275" s="3"/>
      <c r="GD275" s="3"/>
      <c r="GE275" s="3"/>
      <c r="GF275" s="3"/>
      <c r="GG275" s="3"/>
      <c r="GH275" s="3"/>
      <c r="GI275" s="3"/>
      <c r="GJ275" s="3"/>
      <c r="GK275" s="3"/>
      <c r="GL275" s="3"/>
      <c r="GM275" s="3"/>
      <c r="GN275" s="3"/>
      <c r="GO275" s="3"/>
      <c r="GP275" s="3"/>
      <c r="GQ275" s="3"/>
      <c r="GR275" s="3"/>
      <c r="GS275" s="3"/>
      <c r="GT275" s="3"/>
      <c r="GU275" s="3"/>
      <c r="GV275" s="3"/>
      <c r="GW275" s="3"/>
      <c r="GX275" s="3"/>
      <c r="GY275" s="3"/>
      <c r="GZ275" s="3"/>
      <c r="HA275" s="3"/>
      <c r="HB275" s="3"/>
      <c r="HC275" s="3"/>
      <c r="HD275" s="3"/>
      <c r="HE275" s="3"/>
      <c r="HF275" s="3"/>
      <c r="HG275" s="3"/>
      <c r="HH275" s="3"/>
      <c r="HI275" s="3"/>
      <c r="HJ275" s="3"/>
      <c r="HK275" s="3"/>
      <c r="HL275" s="3"/>
      <c r="HM275" s="3"/>
      <c r="HN275" s="3"/>
      <c r="HO275" s="3"/>
      <c r="HP275" s="3"/>
      <c r="HQ275" s="3"/>
      <c r="HR275" s="3"/>
      <c r="HS275" s="3"/>
      <c r="HT275" s="3"/>
      <c r="HU275" s="3"/>
      <c r="HV275" s="3"/>
      <c r="HW275" s="3"/>
      <c r="HX275" s="3"/>
      <c r="HY275" s="3"/>
      <c r="HZ275" s="3"/>
      <c r="IA275" s="3"/>
      <c r="IB275" s="3"/>
      <c r="IC275" s="3"/>
      <c r="ID275" s="3"/>
      <c r="IE275" s="3"/>
      <c r="IF275" s="3"/>
      <c r="IG275" s="3"/>
      <c r="IH275" s="3"/>
      <c r="II275" s="3"/>
      <c r="IJ275" s="3"/>
      <c r="IK275" s="3"/>
      <c r="IL275" s="3"/>
      <c r="IM275" s="3"/>
      <c r="IN275" s="3"/>
      <c r="IO275" s="3"/>
      <c r="IP275" s="3"/>
      <c r="IQ275" s="3"/>
      <c r="IR275" s="3"/>
      <c r="IS275" s="3"/>
      <c r="IT275" s="3"/>
      <c r="IU275" s="3"/>
      <c r="IV275" s="3"/>
      <c r="IW275" s="3"/>
      <c r="IX275" s="3"/>
      <c r="IY275" s="3"/>
      <c r="IZ275" s="3"/>
      <c r="JA275" s="3"/>
      <c r="JB275" s="3"/>
      <c r="JC275" s="3"/>
      <c r="JD275" s="3"/>
      <c r="JE275" s="3"/>
      <c r="JF275" s="3"/>
      <c r="JG275" s="3"/>
      <c r="JH275" s="3"/>
      <c r="JI275" s="3"/>
      <c r="JJ275" s="3"/>
      <c r="JK275" s="3"/>
      <c r="JL275" s="3"/>
      <c r="JM275" s="3"/>
      <c r="JN275" s="3"/>
      <c r="JO275" s="3"/>
      <c r="JP275" s="3"/>
      <c r="JQ275" s="3"/>
      <c r="JR275" s="3"/>
      <c r="JS275" s="3"/>
      <c r="JT275" s="3"/>
      <c r="JU275" s="3"/>
      <c r="JV275" s="3"/>
      <c r="JW275" s="3"/>
      <c r="JX275" s="3"/>
      <c r="JY275" s="3"/>
      <c r="JZ275" s="3"/>
      <c r="KA275" s="3"/>
      <c r="KB275" s="3"/>
      <c r="KC275" s="3"/>
      <c r="KD275" s="3"/>
      <c r="KE275" s="3"/>
      <c r="KF275" s="3"/>
      <c r="KG275" s="3"/>
      <c r="KH275" s="3"/>
      <c r="KI275" s="3"/>
      <c r="KJ275" s="3"/>
      <c r="KK275" s="3"/>
      <c r="KL275" s="3"/>
      <c r="KM275" s="3"/>
      <c r="KN275" s="3"/>
      <c r="KO275" s="3"/>
      <c r="KP275" s="3"/>
      <c r="KQ275" s="3"/>
      <c r="KR275" s="3"/>
      <c r="KS275" s="3"/>
      <c r="KT275" s="3"/>
      <c r="KU275" s="3"/>
      <c r="KV275" s="3"/>
      <c r="KW275" s="3"/>
      <c r="KX275" s="3"/>
      <c r="KY275" s="3"/>
      <c r="KZ275" s="3"/>
      <c r="LA275" s="3"/>
      <c r="LB275" s="3"/>
      <c r="LC275" s="3"/>
      <c r="LD275" s="3"/>
      <c r="LE275" s="3"/>
      <c r="LF275" s="3"/>
      <c r="LG275" s="3"/>
      <c r="LH275" s="3"/>
      <c r="LI275" s="3"/>
      <c r="LJ275" s="3"/>
      <c r="LK275" s="3"/>
      <c r="LL275" s="3"/>
      <c r="LM275" s="3"/>
      <c r="LN275" s="3"/>
      <c r="LO275" s="3"/>
      <c r="LP275" s="3"/>
      <c r="LQ275" s="3"/>
      <c r="LR275" s="3"/>
      <c r="LS275" s="3"/>
      <c r="LT275" s="3"/>
      <c r="LU275" s="3"/>
      <c r="LV275" s="3"/>
      <c r="LW275" s="3"/>
      <c r="LX275" s="3"/>
      <c r="LY275" s="3"/>
      <c r="LZ275" s="3"/>
      <c r="MA275" s="3"/>
      <c r="MB275" s="3"/>
      <c r="MC275" s="3"/>
      <c r="MD275" s="3"/>
      <c r="ME275" s="3"/>
      <c r="MF275" s="3"/>
      <c r="MG275" s="3"/>
      <c r="MH275" s="3"/>
      <c r="MI275" s="3"/>
      <c r="MJ275" s="3"/>
      <c r="MK275" s="3"/>
      <c r="ML275" s="3"/>
      <c r="MM275" s="3"/>
      <c r="MN275" s="3"/>
      <c r="MO275" s="3"/>
      <c r="MP275" s="3"/>
      <c r="MQ275" s="3"/>
      <c r="MR275" s="3"/>
      <c r="MS275" s="3"/>
      <c r="MT275" s="3"/>
      <c r="MU275" s="3"/>
      <c r="MV275" s="3"/>
      <c r="MW275" s="3"/>
      <c r="MX275" s="3"/>
      <c r="MY275" s="3"/>
      <c r="MZ275" s="3"/>
      <c r="NA275" s="3"/>
      <c r="NB275" s="3"/>
      <c r="NC275" s="3"/>
      <c r="ND275" s="3"/>
      <c r="NE275" s="3"/>
      <c r="NF275" s="3"/>
      <c r="NG275" s="3"/>
      <c r="NH275" s="3"/>
      <c r="NI275" s="3"/>
      <c r="NJ275" s="3"/>
      <c r="NK275" s="3"/>
      <c r="NL275" s="3"/>
      <c r="NM275" s="3"/>
      <c r="NN275" s="3"/>
      <c r="NO275" s="3"/>
      <c r="NP275" s="3"/>
      <c r="NQ275" s="3"/>
      <c r="NR275" s="3"/>
      <c r="NS275" s="3"/>
      <c r="NT275" s="3"/>
      <c r="NU275" s="3"/>
      <c r="NV275" s="3"/>
      <c r="NW275" s="3"/>
      <c r="NX275" s="3"/>
      <c r="NY275" s="3"/>
      <c r="NZ275" s="3"/>
      <c r="OA275" s="3"/>
      <c r="OB275" s="3"/>
      <c r="OC275" s="3"/>
      <c r="OD275" s="3"/>
      <c r="OE275" s="3"/>
      <c r="OF275" s="3"/>
      <c r="OG275" s="3"/>
      <c r="OH275" s="3"/>
      <c r="OI275" s="3"/>
      <c r="OJ275" s="3"/>
      <c r="OK275" s="3"/>
      <c r="OL275" s="3"/>
      <c r="OM275" s="3"/>
      <c r="ON275" s="3"/>
      <c r="OO275" s="3"/>
      <c r="OP275" s="3"/>
      <c r="OQ275" s="3"/>
      <c r="OR275" s="3"/>
      <c r="OS275" s="3"/>
      <c r="OT275" s="3"/>
      <c r="OU275" s="3"/>
      <c r="OV275" s="3"/>
      <c r="OW275" s="3"/>
      <c r="OX275" s="3"/>
      <c r="OY275" s="3"/>
      <c r="OZ275" s="3"/>
      <c r="PA275" s="3"/>
      <c r="PB275" s="3"/>
      <c r="PC275" s="3"/>
      <c r="PD275" s="3"/>
      <c r="PE275" s="3"/>
      <c r="PF275" s="3"/>
      <c r="PG275" s="3"/>
      <c r="PH275" s="3"/>
      <c r="PI275" s="3"/>
      <c r="PJ275" s="3"/>
      <c r="PK275" s="3"/>
      <c r="PL275" s="3"/>
      <c r="PM275" s="3"/>
      <c r="PN275" s="3"/>
      <c r="PO275" s="3"/>
      <c r="PP275" s="3"/>
      <c r="PQ275" s="3"/>
      <c r="PR275" s="3"/>
      <c r="PS275" s="3"/>
      <c r="PT275" s="3"/>
      <c r="PU275" s="3"/>
      <c r="PV275" s="3"/>
      <c r="PW275" s="3"/>
      <c r="PX275" s="3"/>
      <c r="PY275" s="3"/>
      <c r="PZ275" s="3"/>
      <c r="QA275" s="3"/>
      <c r="QB275" s="3"/>
      <c r="QC275" s="3"/>
      <c r="QD275" s="3"/>
      <c r="QE275" s="3"/>
      <c r="QF275" s="3"/>
      <c r="QG275" s="3"/>
      <c r="QH275" s="3"/>
      <c r="QI275" s="3"/>
      <c r="QJ275" s="3"/>
      <c r="QK275" s="3"/>
      <c r="QL275" s="3"/>
      <c r="QM275" s="3"/>
      <c r="QN275" s="3"/>
      <c r="QO275" s="3"/>
      <c r="QP275" s="3"/>
      <c r="QQ275" s="3"/>
      <c r="QR275" s="3"/>
      <c r="QS275" s="3"/>
      <c r="QT275" s="3"/>
      <c r="QU275" s="3"/>
      <c r="QV275" s="3"/>
      <c r="QW275" s="3"/>
      <c r="QX275" s="3"/>
      <c r="QY275" s="3"/>
      <c r="QZ275" s="3"/>
      <c r="RA275" s="3"/>
      <c r="RB275" s="3"/>
      <c r="RC275" s="3"/>
      <c r="RD275" s="3"/>
      <c r="RE275" s="3"/>
      <c r="RF275" s="3"/>
      <c r="RG275" s="3"/>
      <c r="RH275" s="3"/>
      <c r="RI275" s="3"/>
      <c r="RJ275" s="3"/>
      <c r="RK275" s="3"/>
      <c r="RL275" s="3"/>
      <c r="RM275" s="3"/>
      <c r="RN275" s="3"/>
      <c r="RO275" s="3"/>
      <c r="RP275" s="3"/>
      <c r="RQ275" s="3"/>
      <c r="RR275" s="3"/>
      <c r="RS275" s="3"/>
      <c r="RT275" s="3"/>
      <c r="RU275" s="3"/>
      <c r="RV275" s="3"/>
      <c r="RW275" s="3"/>
      <c r="RX275" s="3"/>
      <c r="RY275" s="3"/>
      <c r="RZ275" s="3"/>
      <c r="SA275" s="3"/>
      <c r="SB275" s="3"/>
      <c r="SC275" s="3"/>
      <c r="SD275" s="3"/>
      <c r="SE275" s="3"/>
      <c r="SF275" s="3"/>
      <c r="SG275" s="3"/>
      <c r="SH275" s="3"/>
      <c r="SI275" s="3"/>
      <c r="SJ275" s="3"/>
      <c r="SK275" s="3"/>
      <c r="SL275" s="3"/>
      <c r="SM275" s="3"/>
      <c r="SN275" s="3"/>
      <c r="SO275" s="3"/>
      <c r="SP275" s="3"/>
      <c r="SQ275" s="3"/>
      <c r="SR275" s="3"/>
      <c r="SS275" s="3"/>
      <c r="ST275" s="3"/>
      <c r="SU275" s="3"/>
      <c r="SV275" s="3"/>
      <c r="SW275" s="3"/>
      <c r="SX275" s="3"/>
      <c r="SY275" s="3"/>
      <c r="SZ275" s="3"/>
      <c r="TA275" s="3"/>
      <c r="TB275" s="3"/>
      <c r="TC275" s="3"/>
      <c r="TD275" s="3"/>
      <c r="TE275" s="3"/>
      <c r="TF275" s="3"/>
      <c r="TG275" s="3"/>
      <c r="TH275" s="3"/>
      <c r="TI275" s="3"/>
      <c r="TJ275" s="3"/>
      <c r="TK275" s="3"/>
      <c r="TL275" s="3"/>
      <c r="TM275" s="3"/>
      <c r="TN275" s="3"/>
      <c r="TO275" s="3"/>
      <c r="TP275" s="3"/>
      <c r="TQ275" s="3"/>
      <c r="TR275" s="3"/>
      <c r="TS275" s="3"/>
      <c r="TT275" s="3"/>
      <c r="TU275" s="3"/>
      <c r="TV275" s="3"/>
      <c r="TW275" s="3"/>
      <c r="TX275" s="3"/>
      <c r="TY275" s="3"/>
      <c r="TZ275" s="3"/>
      <c r="UA275" s="3"/>
      <c r="UB275" s="3"/>
      <c r="UC275" s="3"/>
      <c r="UD275" s="3"/>
      <c r="UE275" s="3"/>
      <c r="UF275" s="3"/>
      <c r="UG275" s="3"/>
      <c r="UH275" s="3"/>
      <c r="UI275" s="3"/>
      <c r="UJ275" s="3"/>
      <c r="UK275" s="3"/>
      <c r="UL275" s="3"/>
      <c r="UM275" s="3"/>
      <c r="UN275" s="3"/>
      <c r="UO275" s="3"/>
      <c r="UP275" s="3"/>
      <c r="UQ275" s="3"/>
      <c r="UR275" s="3"/>
      <c r="US275" s="3"/>
      <c r="UT275" s="3"/>
      <c r="UU275" s="3"/>
      <c r="UV275" s="3"/>
      <c r="UW275" s="3"/>
      <c r="UX275" s="3"/>
      <c r="UY275" s="3"/>
      <c r="UZ275" s="3"/>
      <c r="VA275" s="3"/>
      <c r="VB275" s="3"/>
      <c r="VC275" s="3"/>
      <c r="VD275" s="3"/>
      <c r="VE275" s="3"/>
      <c r="VF275" s="3"/>
      <c r="VG275" s="3"/>
      <c r="VH275" s="3"/>
      <c r="VI275" s="3"/>
      <c r="VJ275" s="3"/>
      <c r="VK275" s="3"/>
      <c r="VL275" s="3"/>
      <c r="VM275" s="3"/>
      <c r="VN275" s="3"/>
      <c r="VO275" s="3"/>
      <c r="VP275" s="3"/>
      <c r="VQ275" s="3"/>
      <c r="VR275" s="3"/>
      <c r="VS275" s="3"/>
      <c r="VT275" s="3"/>
      <c r="VU275" s="3"/>
      <c r="VV275" s="3"/>
      <c r="VW275" s="3"/>
      <c r="VX275" s="3"/>
      <c r="VY275" s="3"/>
      <c r="VZ275" s="3"/>
      <c r="WA275" s="3"/>
      <c r="WB275" s="3"/>
      <c r="WC275" s="3"/>
      <c r="WD275" s="3"/>
      <c r="WE275" s="3"/>
      <c r="WF275" s="3"/>
      <c r="WG275" s="3"/>
      <c r="WH275" s="3"/>
      <c r="WI275" s="3"/>
      <c r="WJ275" s="3"/>
      <c r="WK275" s="3"/>
      <c r="WL275" s="3"/>
      <c r="WM275" s="3"/>
      <c r="WN275" s="3"/>
      <c r="WO275" s="3"/>
      <c r="WP275" s="3"/>
      <c r="WQ275" s="3"/>
      <c r="WR275" s="3"/>
      <c r="WS275" s="3"/>
      <c r="WT275" s="3"/>
      <c r="WU275" s="3"/>
      <c r="WV275" s="3"/>
      <c r="WW275" s="3"/>
      <c r="WX275" s="3"/>
      <c r="WY275" s="3"/>
      <c r="WZ275" s="3"/>
      <c r="XA275" s="3"/>
      <c r="XB275" s="3"/>
      <c r="XC275" s="3"/>
      <c r="XD275" s="3"/>
      <c r="XE275" s="3"/>
      <c r="XF275" s="3"/>
      <c r="XG275" s="3"/>
      <c r="XH275" s="3"/>
      <c r="XI275" s="3"/>
      <c r="XJ275" s="3"/>
      <c r="XK275" s="3"/>
      <c r="XL275" s="3"/>
      <c r="XM275" s="3"/>
      <c r="XN275" s="3"/>
      <c r="XO275" s="3"/>
      <c r="XP275" s="3"/>
      <c r="XQ275" s="3"/>
      <c r="XR275" s="3"/>
      <c r="XS275" s="3"/>
      <c r="XT275" s="3"/>
      <c r="XU275" s="3"/>
      <c r="XV275" s="3"/>
      <c r="XW275" s="3"/>
      <c r="XX275" s="3"/>
      <c r="XY275" s="3"/>
      <c r="XZ275" s="3"/>
      <c r="YA275" s="3"/>
      <c r="YB275" s="3"/>
      <c r="YC275" s="3"/>
      <c r="YD275" s="3"/>
      <c r="YE275" s="3"/>
      <c r="YF275" s="3"/>
      <c r="YG275" s="3"/>
      <c r="YH275" s="3"/>
      <c r="YI275" s="3"/>
      <c r="YJ275" s="3"/>
      <c r="YK275" s="3"/>
      <c r="YL275" s="3"/>
      <c r="YM275" s="3"/>
      <c r="YN275" s="3"/>
      <c r="YO275" s="3"/>
      <c r="YP275" s="3"/>
      <c r="YQ275" s="3"/>
      <c r="YR275" s="3"/>
      <c r="YS275" s="3"/>
      <c r="YT275" s="3"/>
      <c r="YU275" s="3"/>
      <c r="YV275" s="3"/>
      <c r="YW275" s="3"/>
      <c r="YX275" s="3"/>
      <c r="YY275" s="3"/>
      <c r="YZ275" s="3"/>
      <c r="ZA275" s="3"/>
      <c r="ZB275" s="3"/>
      <c r="ZC275" s="3"/>
    </row>
    <row r="276" spans="1:679" s="2" customFormat="1" x14ac:dyDescent="0.45">
      <c r="A276" s="3" t="s">
        <v>11</v>
      </c>
      <c r="B276" s="4">
        <v>38044</v>
      </c>
      <c r="C276" s="7" t="s">
        <v>25</v>
      </c>
      <c r="D276" s="6" t="s">
        <v>295</v>
      </c>
      <c r="E276" s="3"/>
      <c r="F276" s="3">
        <v>3</v>
      </c>
      <c r="L276" s="3"/>
      <c r="M276" s="3"/>
      <c r="N276" s="48"/>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c r="CO276" s="3"/>
      <c r="CP276" s="3"/>
      <c r="CQ276" s="3"/>
      <c r="CR276" s="3"/>
      <c r="CS276" s="3"/>
      <c r="CT276" s="3"/>
      <c r="CU276" s="3"/>
      <c r="CV276" s="3"/>
      <c r="CW276" s="3"/>
      <c r="CX276" s="3"/>
      <c r="CY276" s="3"/>
      <c r="CZ276" s="3"/>
      <c r="DA276" s="3"/>
      <c r="DB276" s="3"/>
      <c r="DC276" s="3"/>
      <c r="DD276" s="3"/>
      <c r="DE276" s="3"/>
      <c r="DF276" s="3"/>
      <c r="DG276" s="3"/>
      <c r="DH276" s="3"/>
      <c r="DI276" s="3"/>
      <c r="DJ276" s="3"/>
      <c r="DK276" s="3"/>
      <c r="DL276" s="3"/>
      <c r="DM276" s="3"/>
      <c r="DN276" s="3"/>
      <c r="DO276" s="3"/>
      <c r="DP276" s="3"/>
      <c r="DQ276" s="3"/>
      <c r="DR276" s="3"/>
      <c r="DS276" s="3"/>
      <c r="DT276" s="3"/>
      <c r="DU276" s="3"/>
      <c r="DV276" s="3"/>
      <c r="DW276" s="3"/>
      <c r="DX276" s="3"/>
      <c r="DY276" s="3"/>
      <c r="DZ276" s="3"/>
      <c r="EA276" s="3"/>
      <c r="EB276" s="3"/>
      <c r="EC276" s="3"/>
      <c r="ED276" s="3"/>
      <c r="EE276" s="3"/>
      <c r="EF276" s="3"/>
      <c r="EG276" s="3"/>
      <c r="EH276" s="3"/>
      <c r="EI276" s="3"/>
      <c r="EJ276" s="3"/>
      <c r="EK276" s="3"/>
      <c r="EL276" s="3"/>
      <c r="EM276" s="3"/>
      <c r="EN276" s="3"/>
      <c r="EO276" s="3"/>
      <c r="EP276" s="3"/>
      <c r="EQ276" s="3"/>
      <c r="ER276" s="3"/>
      <c r="ES276" s="3"/>
      <c r="ET276" s="3"/>
      <c r="EU276" s="3"/>
      <c r="EV276" s="3"/>
      <c r="EW276" s="3"/>
      <c r="EX276" s="3"/>
      <c r="EY276" s="3"/>
      <c r="EZ276" s="3"/>
      <c r="FA276" s="3"/>
      <c r="FB276" s="3"/>
      <c r="FC276" s="3"/>
      <c r="FD276" s="3"/>
      <c r="FE276" s="3"/>
      <c r="FF276" s="3"/>
      <c r="FG276" s="3"/>
      <c r="FH276" s="3"/>
      <c r="FI276" s="3"/>
      <c r="FJ276" s="3"/>
      <c r="FK276" s="3"/>
      <c r="FL276" s="3"/>
      <c r="FM276" s="3"/>
      <c r="FN276" s="3"/>
      <c r="FO276" s="3"/>
      <c r="FP276" s="3"/>
      <c r="FQ276" s="3"/>
      <c r="FR276" s="3"/>
      <c r="FS276" s="3"/>
      <c r="FT276" s="3"/>
      <c r="FU276" s="3"/>
      <c r="FV276" s="3"/>
      <c r="FW276" s="3"/>
      <c r="FX276" s="3"/>
      <c r="FY276" s="3"/>
      <c r="FZ276" s="3"/>
      <c r="GA276" s="3"/>
      <c r="GB276" s="3"/>
      <c r="GC276" s="3"/>
      <c r="GD276" s="3"/>
      <c r="GE276" s="3"/>
      <c r="GF276" s="3"/>
      <c r="GG276" s="3"/>
      <c r="GH276" s="3"/>
      <c r="GI276" s="3"/>
      <c r="GJ276" s="3"/>
      <c r="GK276" s="3"/>
      <c r="GL276" s="3"/>
      <c r="GM276" s="3"/>
      <c r="GN276" s="3"/>
      <c r="GO276" s="3"/>
      <c r="GP276" s="3"/>
      <c r="GQ276" s="3"/>
      <c r="GR276" s="3"/>
      <c r="GS276" s="3"/>
      <c r="GT276" s="3"/>
      <c r="GU276" s="3"/>
      <c r="GV276" s="3"/>
      <c r="GW276" s="3"/>
      <c r="GX276" s="3"/>
      <c r="GY276" s="3"/>
      <c r="GZ276" s="3"/>
      <c r="HA276" s="3"/>
      <c r="HB276" s="3"/>
      <c r="HC276" s="3"/>
      <c r="HD276" s="3"/>
      <c r="HE276" s="3"/>
      <c r="HF276" s="3"/>
      <c r="HG276" s="3"/>
      <c r="HH276" s="3"/>
      <c r="HI276" s="3"/>
      <c r="HJ276" s="3"/>
      <c r="HK276" s="3"/>
      <c r="HL276" s="3"/>
      <c r="HM276" s="3"/>
      <c r="HN276" s="3"/>
      <c r="HO276" s="3"/>
      <c r="HP276" s="3"/>
      <c r="HQ276" s="3"/>
      <c r="HR276" s="3"/>
      <c r="HS276" s="3"/>
      <c r="HT276" s="3"/>
      <c r="HU276" s="3"/>
      <c r="HV276" s="3"/>
      <c r="HW276" s="3"/>
      <c r="HX276" s="3"/>
      <c r="HY276" s="3"/>
      <c r="HZ276" s="3"/>
      <c r="IA276" s="3"/>
      <c r="IB276" s="3"/>
      <c r="IC276" s="3"/>
      <c r="ID276" s="3"/>
      <c r="IE276" s="3"/>
      <c r="IF276" s="3"/>
      <c r="IG276" s="3"/>
      <c r="IH276" s="3"/>
      <c r="II276" s="3"/>
      <c r="IJ276" s="3"/>
      <c r="IK276" s="3"/>
      <c r="IL276" s="3"/>
      <c r="IM276" s="3"/>
      <c r="IN276" s="3"/>
      <c r="IO276" s="3"/>
      <c r="IP276" s="3"/>
      <c r="IQ276" s="3"/>
      <c r="IR276" s="3"/>
      <c r="IS276" s="3"/>
      <c r="IT276" s="3"/>
      <c r="IU276" s="3"/>
      <c r="IV276" s="3"/>
      <c r="IW276" s="3"/>
      <c r="IX276" s="3"/>
      <c r="IY276" s="3"/>
      <c r="IZ276" s="3"/>
      <c r="JA276" s="3"/>
      <c r="JB276" s="3"/>
      <c r="JC276" s="3"/>
      <c r="JD276" s="3"/>
      <c r="JE276" s="3"/>
      <c r="JF276" s="3"/>
      <c r="JG276" s="3"/>
      <c r="JH276" s="3"/>
      <c r="JI276" s="3"/>
      <c r="JJ276" s="3"/>
      <c r="JK276" s="3"/>
      <c r="JL276" s="3"/>
      <c r="JM276" s="3"/>
      <c r="JN276" s="3"/>
      <c r="JO276" s="3"/>
      <c r="JP276" s="3"/>
      <c r="JQ276" s="3"/>
      <c r="JR276" s="3"/>
      <c r="JS276" s="3"/>
      <c r="JT276" s="3"/>
      <c r="JU276" s="3"/>
      <c r="JV276" s="3"/>
      <c r="JW276" s="3"/>
      <c r="JX276" s="3"/>
      <c r="JY276" s="3"/>
      <c r="JZ276" s="3"/>
      <c r="KA276" s="3"/>
      <c r="KB276" s="3"/>
      <c r="KC276" s="3"/>
      <c r="KD276" s="3"/>
      <c r="KE276" s="3"/>
      <c r="KF276" s="3"/>
      <c r="KG276" s="3"/>
      <c r="KH276" s="3"/>
      <c r="KI276" s="3"/>
      <c r="KJ276" s="3"/>
      <c r="KK276" s="3"/>
      <c r="KL276" s="3"/>
      <c r="KM276" s="3"/>
      <c r="KN276" s="3"/>
      <c r="KO276" s="3"/>
      <c r="KP276" s="3"/>
      <c r="KQ276" s="3"/>
      <c r="KR276" s="3"/>
      <c r="KS276" s="3"/>
      <c r="KT276" s="3"/>
      <c r="KU276" s="3"/>
      <c r="KV276" s="3"/>
      <c r="KW276" s="3"/>
      <c r="KX276" s="3"/>
      <c r="KY276" s="3"/>
      <c r="KZ276" s="3"/>
      <c r="LA276" s="3"/>
      <c r="LB276" s="3"/>
      <c r="LC276" s="3"/>
      <c r="LD276" s="3"/>
      <c r="LE276" s="3"/>
      <c r="LF276" s="3"/>
      <c r="LG276" s="3"/>
      <c r="LH276" s="3"/>
      <c r="LI276" s="3"/>
      <c r="LJ276" s="3"/>
      <c r="LK276" s="3"/>
      <c r="LL276" s="3"/>
      <c r="LM276" s="3"/>
      <c r="LN276" s="3"/>
      <c r="LO276" s="3"/>
      <c r="LP276" s="3"/>
      <c r="LQ276" s="3"/>
      <c r="LR276" s="3"/>
      <c r="LS276" s="3"/>
      <c r="LT276" s="3"/>
      <c r="LU276" s="3"/>
      <c r="LV276" s="3"/>
      <c r="LW276" s="3"/>
      <c r="LX276" s="3"/>
      <c r="LY276" s="3"/>
      <c r="LZ276" s="3"/>
      <c r="MA276" s="3"/>
      <c r="MB276" s="3"/>
      <c r="MC276" s="3"/>
      <c r="MD276" s="3"/>
      <c r="ME276" s="3"/>
      <c r="MF276" s="3"/>
      <c r="MG276" s="3"/>
      <c r="MH276" s="3"/>
      <c r="MI276" s="3"/>
      <c r="MJ276" s="3"/>
      <c r="MK276" s="3"/>
      <c r="ML276" s="3"/>
      <c r="MM276" s="3"/>
      <c r="MN276" s="3"/>
      <c r="MO276" s="3"/>
      <c r="MP276" s="3"/>
      <c r="MQ276" s="3"/>
      <c r="MR276" s="3"/>
      <c r="MS276" s="3"/>
      <c r="MT276" s="3"/>
      <c r="MU276" s="3"/>
      <c r="MV276" s="3"/>
      <c r="MW276" s="3"/>
      <c r="MX276" s="3"/>
      <c r="MY276" s="3"/>
      <c r="MZ276" s="3"/>
      <c r="NA276" s="3"/>
      <c r="NB276" s="3"/>
      <c r="NC276" s="3"/>
      <c r="ND276" s="3"/>
      <c r="NE276" s="3"/>
      <c r="NF276" s="3"/>
      <c r="NG276" s="3"/>
      <c r="NH276" s="3"/>
      <c r="NI276" s="3"/>
      <c r="NJ276" s="3"/>
      <c r="NK276" s="3"/>
      <c r="NL276" s="3"/>
      <c r="NM276" s="3"/>
      <c r="NN276" s="3"/>
      <c r="NO276" s="3"/>
      <c r="NP276" s="3"/>
      <c r="NQ276" s="3"/>
      <c r="NR276" s="3"/>
      <c r="NS276" s="3"/>
      <c r="NT276" s="3"/>
      <c r="NU276" s="3"/>
      <c r="NV276" s="3"/>
      <c r="NW276" s="3"/>
      <c r="NX276" s="3"/>
      <c r="NY276" s="3"/>
      <c r="NZ276" s="3"/>
      <c r="OA276" s="3"/>
      <c r="OB276" s="3"/>
      <c r="OC276" s="3"/>
      <c r="OD276" s="3"/>
      <c r="OE276" s="3"/>
      <c r="OF276" s="3"/>
      <c r="OG276" s="3"/>
      <c r="OH276" s="3"/>
      <c r="OI276" s="3"/>
      <c r="OJ276" s="3"/>
      <c r="OK276" s="3"/>
      <c r="OL276" s="3"/>
      <c r="OM276" s="3"/>
      <c r="ON276" s="3"/>
      <c r="OO276" s="3"/>
      <c r="OP276" s="3"/>
      <c r="OQ276" s="3"/>
      <c r="OR276" s="3"/>
      <c r="OS276" s="3"/>
      <c r="OT276" s="3"/>
      <c r="OU276" s="3"/>
      <c r="OV276" s="3"/>
      <c r="OW276" s="3"/>
      <c r="OX276" s="3"/>
      <c r="OY276" s="3"/>
      <c r="OZ276" s="3"/>
      <c r="PA276" s="3"/>
      <c r="PB276" s="3"/>
      <c r="PC276" s="3"/>
      <c r="PD276" s="3"/>
      <c r="PE276" s="3"/>
      <c r="PF276" s="3"/>
      <c r="PG276" s="3"/>
      <c r="PH276" s="3"/>
      <c r="PI276" s="3"/>
      <c r="PJ276" s="3"/>
      <c r="PK276" s="3"/>
      <c r="PL276" s="3"/>
      <c r="PM276" s="3"/>
      <c r="PN276" s="3"/>
      <c r="PO276" s="3"/>
      <c r="PP276" s="3"/>
      <c r="PQ276" s="3"/>
      <c r="PR276" s="3"/>
      <c r="PS276" s="3"/>
      <c r="PT276" s="3"/>
      <c r="PU276" s="3"/>
      <c r="PV276" s="3"/>
      <c r="PW276" s="3"/>
      <c r="PX276" s="3"/>
      <c r="PY276" s="3"/>
      <c r="PZ276" s="3"/>
      <c r="QA276" s="3"/>
      <c r="QB276" s="3"/>
      <c r="QC276" s="3"/>
      <c r="QD276" s="3"/>
      <c r="QE276" s="3"/>
      <c r="QF276" s="3"/>
      <c r="QG276" s="3"/>
      <c r="QH276" s="3"/>
      <c r="QI276" s="3"/>
      <c r="QJ276" s="3"/>
      <c r="QK276" s="3"/>
      <c r="QL276" s="3"/>
      <c r="QM276" s="3"/>
      <c r="QN276" s="3"/>
      <c r="QO276" s="3"/>
      <c r="QP276" s="3"/>
      <c r="QQ276" s="3"/>
      <c r="QR276" s="3"/>
      <c r="QS276" s="3"/>
      <c r="QT276" s="3"/>
      <c r="QU276" s="3"/>
      <c r="QV276" s="3"/>
      <c r="QW276" s="3"/>
      <c r="QX276" s="3"/>
      <c r="QY276" s="3"/>
      <c r="QZ276" s="3"/>
      <c r="RA276" s="3"/>
      <c r="RB276" s="3"/>
      <c r="RC276" s="3"/>
      <c r="RD276" s="3"/>
      <c r="RE276" s="3"/>
      <c r="RF276" s="3"/>
      <c r="RG276" s="3"/>
      <c r="RH276" s="3"/>
      <c r="RI276" s="3"/>
      <c r="RJ276" s="3"/>
      <c r="RK276" s="3"/>
      <c r="RL276" s="3"/>
      <c r="RM276" s="3"/>
      <c r="RN276" s="3"/>
      <c r="RO276" s="3"/>
      <c r="RP276" s="3"/>
      <c r="RQ276" s="3"/>
      <c r="RR276" s="3"/>
      <c r="RS276" s="3"/>
      <c r="RT276" s="3"/>
      <c r="RU276" s="3"/>
      <c r="RV276" s="3"/>
      <c r="RW276" s="3"/>
      <c r="RX276" s="3"/>
      <c r="RY276" s="3"/>
      <c r="RZ276" s="3"/>
      <c r="SA276" s="3"/>
      <c r="SB276" s="3"/>
      <c r="SC276" s="3"/>
      <c r="SD276" s="3"/>
      <c r="SE276" s="3"/>
      <c r="SF276" s="3"/>
      <c r="SG276" s="3"/>
      <c r="SH276" s="3"/>
      <c r="SI276" s="3"/>
      <c r="SJ276" s="3"/>
      <c r="SK276" s="3"/>
      <c r="SL276" s="3"/>
      <c r="SM276" s="3"/>
      <c r="SN276" s="3"/>
      <c r="SO276" s="3"/>
      <c r="SP276" s="3"/>
      <c r="SQ276" s="3"/>
      <c r="SR276" s="3"/>
      <c r="SS276" s="3"/>
      <c r="ST276" s="3"/>
      <c r="SU276" s="3"/>
      <c r="SV276" s="3"/>
      <c r="SW276" s="3"/>
      <c r="SX276" s="3"/>
      <c r="SY276" s="3"/>
      <c r="SZ276" s="3"/>
      <c r="TA276" s="3"/>
      <c r="TB276" s="3"/>
      <c r="TC276" s="3"/>
      <c r="TD276" s="3"/>
      <c r="TE276" s="3"/>
      <c r="TF276" s="3"/>
      <c r="TG276" s="3"/>
      <c r="TH276" s="3"/>
      <c r="TI276" s="3"/>
      <c r="TJ276" s="3"/>
      <c r="TK276" s="3"/>
      <c r="TL276" s="3"/>
      <c r="TM276" s="3"/>
      <c r="TN276" s="3"/>
      <c r="TO276" s="3"/>
      <c r="TP276" s="3"/>
      <c r="TQ276" s="3"/>
      <c r="TR276" s="3"/>
      <c r="TS276" s="3"/>
      <c r="TT276" s="3"/>
      <c r="TU276" s="3"/>
      <c r="TV276" s="3"/>
      <c r="TW276" s="3"/>
      <c r="TX276" s="3"/>
      <c r="TY276" s="3"/>
      <c r="TZ276" s="3"/>
      <c r="UA276" s="3"/>
      <c r="UB276" s="3"/>
      <c r="UC276" s="3"/>
      <c r="UD276" s="3"/>
      <c r="UE276" s="3"/>
      <c r="UF276" s="3"/>
      <c r="UG276" s="3"/>
      <c r="UH276" s="3"/>
      <c r="UI276" s="3"/>
      <c r="UJ276" s="3"/>
      <c r="UK276" s="3"/>
      <c r="UL276" s="3"/>
      <c r="UM276" s="3"/>
      <c r="UN276" s="3"/>
      <c r="UO276" s="3"/>
      <c r="UP276" s="3"/>
      <c r="UQ276" s="3"/>
      <c r="UR276" s="3"/>
      <c r="US276" s="3"/>
      <c r="UT276" s="3"/>
      <c r="UU276" s="3"/>
      <c r="UV276" s="3"/>
      <c r="UW276" s="3"/>
      <c r="UX276" s="3"/>
      <c r="UY276" s="3"/>
      <c r="UZ276" s="3"/>
      <c r="VA276" s="3"/>
      <c r="VB276" s="3"/>
      <c r="VC276" s="3"/>
      <c r="VD276" s="3"/>
      <c r="VE276" s="3"/>
      <c r="VF276" s="3"/>
      <c r="VG276" s="3"/>
      <c r="VH276" s="3"/>
      <c r="VI276" s="3"/>
      <c r="VJ276" s="3"/>
      <c r="VK276" s="3"/>
      <c r="VL276" s="3"/>
      <c r="VM276" s="3"/>
      <c r="VN276" s="3"/>
      <c r="VO276" s="3"/>
      <c r="VP276" s="3"/>
      <c r="VQ276" s="3"/>
      <c r="VR276" s="3"/>
      <c r="VS276" s="3"/>
      <c r="VT276" s="3"/>
      <c r="VU276" s="3"/>
      <c r="VV276" s="3"/>
      <c r="VW276" s="3"/>
      <c r="VX276" s="3"/>
      <c r="VY276" s="3"/>
      <c r="VZ276" s="3"/>
      <c r="WA276" s="3"/>
      <c r="WB276" s="3"/>
      <c r="WC276" s="3"/>
      <c r="WD276" s="3"/>
      <c r="WE276" s="3"/>
      <c r="WF276" s="3"/>
      <c r="WG276" s="3"/>
      <c r="WH276" s="3"/>
      <c r="WI276" s="3"/>
      <c r="WJ276" s="3"/>
      <c r="WK276" s="3"/>
      <c r="WL276" s="3"/>
      <c r="WM276" s="3"/>
      <c r="WN276" s="3"/>
      <c r="WO276" s="3"/>
      <c r="WP276" s="3"/>
      <c r="WQ276" s="3"/>
      <c r="WR276" s="3"/>
      <c r="WS276" s="3"/>
      <c r="WT276" s="3"/>
      <c r="WU276" s="3"/>
      <c r="WV276" s="3"/>
      <c r="WW276" s="3"/>
      <c r="WX276" s="3"/>
      <c r="WY276" s="3"/>
      <c r="WZ276" s="3"/>
      <c r="XA276" s="3"/>
      <c r="XB276" s="3"/>
      <c r="XC276" s="3"/>
      <c r="XD276" s="3"/>
      <c r="XE276" s="3"/>
      <c r="XF276" s="3"/>
      <c r="XG276" s="3"/>
      <c r="XH276" s="3"/>
      <c r="XI276" s="3"/>
      <c r="XJ276" s="3"/>
      <c r="XK276" s="3"/>
      <c r="XL276" s="3"/>
      <c r="XM276" s="3"/>
      <c r="XN276" s="3"/>
      <c r="XO276" s="3"/>
      <c r="XP276" s="3"/>
      <c r="XQ276" s="3"/>
      <c r="XR276" s="3"/>
      <c r="XS276" s="3"/>
      <c r="XT276" s="3"/>
      <c r="XU276" s="3"/>
      <c r="XV276" s="3"/>
      <c r="XW276" s="3"/>
      <c r="XX276" s="3"/>
      <c r="XY276" s="3"/>
      <c r="XZ276" s="3"/>
      <c r="YA276" s="3"/>
      <c r="YB276" s="3"/>
      <c r="YC276" s="3"/>
      <c r="YD276" s="3"/>
      <c r="YE276" s="3"/>
      <c r="YF276" s="3"/>
      <c r="YG276" s="3"/>
      <c r="YH276" s="3"/>
      <c r="YI276" s="3"/>
      <c r="YJ276" s="3"/>
      <c r="YK276" s="3"/>
      <c r="YL276" s="3"/>
      <c r="YM276" s="3"/>
      <c r="YN276" s="3"/>
      <c r="YO276" s="3"/>
      <c r="YP276" s="3"/>
      <c r="YQ276" s="3"/>
      <c r="YR276" s="3"/>
      <c r="YS276" s="3"/>
      <c r="YT276" s="3"/>
      <c r="YU276" s="3"/>
      <c r="YV276" s="3"/>
      <c r="YW276" s="3"/>
      <c r="YX276" s="3"/>
      <c r="YY276" s="3"/>
      <c r="YZ276" s="3"/>
      <c r="ZA276" s="3"/>
      <c r="ZB276" s="3"/>
      <c r="ZC276" s="3"/>
    </row>
    <row r="277" spans="1:679" s="2" customFormat="1" x14ac:dyDescent="0.45">
      <c r="A277" s="3" t="s">
        <v>11</v>
      </c>
      <c r="B277" s="4">
        <v>38069</v>
      </c>
      <c r="C277" s="7" t="s">
        <v>21</v>
      </c>
      <c r="D277" s="6" t="s">
        <v>296</v>
      </c>
      <c r="E277" s="3"/>
      <c r="F277" s="3">
        <v>10</v>
      </c>
      <c r="L277" s="3"/>
      <c r="M277" s="3"/>
      <c r="N277" s="48"/>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c r="CO277" s="3"/>
      <c r="CP277" s="3"/>
      <c r="CQ277" s="3"/>
      <c r="CR277" s="3"/>
      <c r="CS277" s="3"/>
      <c r="CT277" s="3"/>
      <c r="CU277" s="3"/>
      <c r="CV277" s="3"/>
      <c r="CW277" s="3"/>
      <c r="CX277" s="3"/>
      <c r="CY277" s="3"/>
      <c r="CZ277" s="3"/>
      <c r="DA277" s="3"/>
      <c r="DB277" s="3"/>
      <c r="DC277" s="3"/>
      <c r="DD277" s="3"/>
      <c r="DE277" s="3"/>
      <c r="DF277" s="3"/>
      <c r="DG277" s="3"/>
      <c r="DH277" s="3"/>
      <c r="DI277" s="3"/>
      <c r="DJ277" s="3"/>
      <c r="DK277" s="3"/>
      <c r="DL277" s="3"/>
      <c r="DM277" s="3"/>
      <c r="DN277" s="3"/>
      <c r="DO277" s="3"/>
      <c r="DP277" s="3"/>
      <c r="DQ277" s="3"/>
      <c r="DR277" s="3"/>
      <c r="DS277" s="3"/>
      <c r="DT277" s="3"/>
      <c r="DU277" s="3"/>
      <c r="DV277" s="3"/>
      <c r="DW277" s="3"/>
      <c r="DX277" s="3"/>
      <c r="DY277" s="3"/>
      <c r="DZ277" s="3"/>
      <c r="EA277" s="3"/>
      <c r="EB277" s="3"/>
      <c r="EC277" s="3"/>
      <c r="ED277" s="3"/>
      <c r="EE277" s="3"/>
      <c r="EF277" s="3"/>
      <c r="EG277" s="3"/>
      <c r="EH277" s="3"/>
      <c r="EI277" s="3"/>
      <c r="EJ277" s="3"/>
      <c r="EK277" s="3"/>
      <c r="EL277" s="3"/>
      <c r="EM277" s="3"/>
      <c r="EN277" s="3"/>
      <c r="EO277" s="3"/>
      <c r="EP277" s="3"/>
      <c r="EQ277" s="3"/>
      <c r="ER277" s="3"/>
      <c r="ES277" s="3"/>
      <c r="ET277" s="3"/>
      <c r="EU277" s="3"/>
      <c r="EV277" s="3"/>
      <c r="EW277" s="3"/>
      <c r="EX277" s="3"/>
      <c r="EY277" s="3"/>
      <c r="EZ277" s="3"/>
      <c r="FA277" s="3"/>
      <c r="FB277" s="3"/>
      <c r="FC277" s="3"/>
      <c r="FD277" s="3"/>
      <c r="FE277" s="3"/>
      <c r="FF277" s="3"/>
      <c r="FG277" s="3"/>
      <c r="FH277" s="3"/>
      <c r="FI277" s="3"/>
      <c r="FJ277" s="3"/>
      <c r="FK277" s="3"/>
      <c r="FL277" s="3"/>
      <c r="FM277" s="3"/>
      <c r="FN277" s="3"/>
      <c r="FO277" s="3"/>
      <c r="FP277" s="3"/>
      <c r="FQ277" s="3"/>
      <c r="FR277" s="3"/>
      <c r="FS277" s="3"/>
      <c r="FT277" s="3"/>
      <c r="FU277" s="3"/>
      <c r="FV277" s="3"/>
      <c r="FW277" s="3"/>
      <c r="FX277" s="3"/>
      <c r="FY277" s="3"/>
      <c r="FZ277" s="3"/>
      <c r="GA277" s="3"/>
      <c r="GB277" s="3"/>
      <c r="GC277" s="3"/>
      <c r="GD277" s="3"/>
      <c r="GE277" s="3"/>
      <c r="GF277" s="3"/>
      <c r="GG277" s="3"/>
      <c r="GH277" s="3"/>
      <c r="GI277" s="3"/>
      <c r="GJ277" s="3"/>
      <c r="GK277" s="3"/>
      <c r="GL277" s="3"/>
      <c r="GM277" s="3"/>
      <c r="GN277" s="3"/>
      <c r="GO277" s="3"/>
      <c r="GP277" s="3"/>
      <c r="GQ277" s="3"/>
      <c r="GR277" s="3"/>
      <c r="GS277" s="3"/>
      <c r="GT277" s="3"/>
      <c r="GU277" s="3"/>
      <c r="GV277" s="3"/>
      <c r="GW277" s="3"/>
      <c r="GX277" s="3"/>
      <c r="GY277" s="3"/>
      <c r="GZ277" s="3"/>
      <c r="HA277" s="3"/>
      <c r="HB277" s="3"/>
      <c r="HC277" s="3"/>
      <c r="HD277" s="3"/>
      <c r="HE277" s="3"/>
      <c r="HF277" s="3"/>
      <c r="HG277" s="3"/>
      <c r="HH277" s="3"/>
      <c r="HI277" s="3"/>
      <c r="HJ277" s="3"/>
      <c r="HK277" s="3"/>
      <c r="HL277" s="3"/>
      <c r="HM277" s="3"/>
      <c r="HN277" s="3"/>
      <c r="HO277" s="3"/>
      <c r="HP277" s="3"/>
      <c r="HQ277" s="3"/>
      <c r="HR277" s="3"/>
      <c r="HS277" s="3"/>
      <c r="HT277" s="3"/>
      <c r="HU277" s="3"/>
      <c r="HV277" s="3"/>
      <c r="HW277" s="3"/>
      <c r="HX277" s="3"/>
      <c r="HY277" s="3"/>
      <c r="HZ277" s="3"/>
      <c r="IA277" s="3"/>
      <c r="IB277" s="3"/>
      <c r="IC277" s="3"/>
      <c r="ID277" s="3"/>
      <c r="IE277" s="3"/>
      <c r="IF277" s="3"/>
      <c r="IG277" s="3"/>
      <c r="IH277" s="3"/>
      <c r="II277" s="3"/>
      <c r="IJ277" s="3"/>
      <c r="IK277" s="3"/>
      <c r="IL277" s="3"/>
      <c r="IM277" s="3"/>
      <c r="IN277" s="3"/>
      <c r="IO277" s="3"/>
      <c r="IP277" s="3"/>
      <c r="IQ277" s="3"/>
      <c r="IR277" s="3"/>
      <c r="IS277" s="3"/>
      <c r="IT277" s="3"/>
      <c r="IU277" s="3"/>
      <c r="IV277" s="3"/>
      <c r="IW277" s="3"/>
      <c r="IX277" s="3"/>
      <c r="IY277" s="3"/>
      <c r="IZ277" s="3"/>
      <c r="JA277" s="3"/>
      <c r="JB277" s="3"/>
      <c r="JC277" s="3"/>
      <c r="JD277" s="3"/>
      <c r="JE277" s="3"/>
      <c r="JF277" s="3"/>
      <c r="JG277" s="3"/>
      <c r="JH277" s="3"/>
      <c r="JI277" s="3"/>
      <c r="JJ277" s="3"/>
      <c r="JK277" s="3"/>
      <c r="JL277" s="3"/>
      <c r="JM277" s="3"/>
      <c r="JN277" s="3"/>
      <c r="JO277" s="3"/>
      <c r="JP277" s="3"/>
      <c r="JQ277" s="3"/>
      <c r="JR277" s="3"/>
      <c r="JS277" s="3"/>
      <c r="JT277" s="3"/>
      <c r="JU277" s="3"/>
      <c r="JV277" s="3"/>
      <c r="JW277" s="3"/>
      <c r="JX277" s="3"/>
      <c r="JY277" s="3"/>
      <c r="JZ277" s="3"/>
      <c r="KA277" s="3"/>
      <c r="KB277" s="3"/>
      <c r="KC277" s="3"/>
      <c r="KD277" s="3"/>
      <c r="KE277" s="3"/>
      <c r="KF277" s="3"/>
      <c r="KG277" s="3"/>
      <c r="KH277" s="3"/>
      <c r="KI277" s="3"/>
      <c r="KJ277" s="3"/>
      <c r="KK277" s="3"/>
      <c r="KL277" s="3"/>
      <c r="KM277" s="3"/>
      <c r="KN277" s="3"/>
      <c r="KO277" s="3"/>
      <c r="KP277" s="3"/>
      <c r="KQ277" s="3"/>
      <c r="KR277" s="3"/>
      <c r="KS277" s="3"/>
      <c r="KT277" s="3"/>
      <c r="KU277" s="3"/>
      <c r="KV277" s="3"/>
      <c r="KW277" s="3"/>
      <c r="KX277" s="3"/>
      <c r="KY277" s="3"/>
      <c r="KZ277" s="3"/>
      <c r="LA277" s="3"/>
      <c r="LB277" s="3"/>
      <c r="LC277" s="3"/>
      <c r="LD277" s="3"/>
      <c r="LE277" s="3"/>
      <c r="LF277" s="3"/>
      <c r="LG277" s="3"/>
      <c r="LH277" s="3"/>
      <c r="LI277" s="3"/>
      <c r="LJ277" s="3"/>
      <c r="LK277" s="3"/>
      <c r="LL277" s="3"/>
      <c r="LM277" s="3"/>
      <c r="LN277" s="3"/>
      <c r="LO277" s="3"/>
      <c r="LP277" s="3"/>
      <c r="LQ277" s="3"/>
      <c r="LR277" s="3"/>
      <c r="LS277" s="3"/>
      <c r="LT277" s="3"/>
      <c r="LU277" s="3"/>
      <c r="LV277" s="3"/>
      <c r="LW277" s="3"/>
      <c r="LX277" s="3"/>
      <c r="LY277" s="3"/>
      <c r="LZ277" s="3"/>
      <c r="MA277" s="3"/>
      <c r="MB277" s="3"/>
      <c r="MC277" s="3"/>
      <c r="MD277" s="3"/>
      <c r="ME277" s="3"/>
      <c r="MF277" s="3"/>
      <c r="MG277" s="3"/>
      <c r="MH277" s="3"/>
      <c r="MI277" s="3"/>
      <c r="MJ277" s="3"/>
      <c r="MK277" s="3"/>
      <c r="ML277" s="3"/>
      <c r="MM277" s="3"/>
      <c r="MN277" s="3"/>
      <c r="MO277" s="3"/>
      <c r="MP277" s="3"/>
      <c r="MQ277" s="3"/>
      <c r="MR277" s="3"/>
      <c r="MS277" s="3"/>
      <c r="MT277" s="3"/>
      <c r="MU277" s="3"/>
      <c r="MV277" s="3"/>
      <c r="MW277" s="3"/>
      <c r="MX277" s="3"/>
      <c r="MY277" s="3"/>
      <c r="MZ277" s="3"/>
      <c r="NA277" s="3"/>
      <c r="NB277" s="3"/>
      <c r="NC277" s="3"/>
      <c r="ND277" s="3"/>
      <c r="NE277" s="3"/>
      <c r="NF277" s="3"/>
      <c r="NG277" s="3"/>
      <c r="NH277" s="3"/>
      <c r="NI277" s="3"/>
      <c r="NJ277" s="3"/>
      <c r="NK277" s="3"/>
      <c r="NL277" s="3"/>
      <c r="NM277" s="3"/>
      <c r="NN277" s="3"/>
      <c r="NO277" s="3"/>
      <c r="NP277" s="3"/>
      <c r="NQ277" s="3"/>
      <c r="NR277" s="3"/>
      <c r="NS277" s="3"/>
      <c r="NT277" s="3"/>
      <c r="NU277" s="3"/>
      <c r="NV277" s="3"/>
      <c r="NW277" s="3"/>
      <c r="NX277" s="3"/>
      <c r="NY277" s="3"/>
      <c r="NZ277" s="3"/>
      <c r="OA277" s="3"/>
      <c r="OB277" s="3"/>
      <c r="OC277" s="3"/>
      <c r="OD277" s="3"/>
      <c r="OE277" s="3"/>
      <c r="OF277" s="3"/>
      <c r="OG277" s="3"/>
      <c r="OH277" s="3"/>
      <c r="OI277" s="3"/>
      <c r="OJ277" s="3"/>
      <c r="OK277" s="3"/>
      <c r="OL277" s="3"/>
      <c r="OM277" s="3"/>
      <c r="ON277" s="3"/>
      <c r="OO277" s="3"/>
      <c r="OP277" s="3"/>
      <c r="OQ277" s="3"/>
      <c r="OR277" s="3"/>
      <c r="OS277" s="3"/>
      <c r="OT277" s="3"/>
      <c r="OU277" s="3"/>
      <c r="OV277" s="3"/>
      <c r="OW277" s="3"/>
      <c r="OX277" s="3"/>
      <c r="OY277" s="3"/>
      <c r="OZ277" s="3"/>
      <c r="PA277" s="3"/>
      <c r="PB277" s="3"/>
      <c r="PC277" s="3"/>
      <c r="PD277" s="3"/>
      <c r="PE277" s="3"/>
      <c r="PF277" s="3"/>
      <c r="PG277" s="3"/>
      <c r="PH277" s="3"/>
      <c r="PI277" s="3"/>
      <c r="PJ277" s="3"/>
      <c r="PK277" s="3"/>
      <c r="PL277" s="3"/>
      <c r="PM277" s="3"/>
      <c r="PN277" s="3"/>
      <c r="PO277" s="3"/>
      <c r="PP277" s="3"/>
      <c r="PQ277" s="3"/>
      <c r="PR277" s="3"/>
      <c r="PS277" s="3"/>
      <c r="PT277" s="3"/>
      <c r="PU277" s="3"/>
      <c r="PV277" s="3"/>
      <c r="PW277" s="3"/>
      <c r="PX277" s="3"/>
      <c r="PY277" s="3"/>
      <c r="PZ277" s="3"/>
      <c r="QA277" s="3"/>
      <c r="QB277" s="3"/>
      <c r="QC277" s="3"/>
      <c r="QD277" s="3"/>
      <c r="QE277" s="3"/>
      <c r="QF277" s="3"/>
      <c r="QG277" s="3"/>
      <c r="QH277" s="3"/>
      <c r="QI277" s="3"/>
      <c r="QJ277" s="3"/>
      <c r="QK277" s="3"/>
      <c r="QL277" s="3"/>
      <c r="QM277" s="3"/>
      <c r="QN277" s="3"/>
      <c r="QO277" s="3"/>
      <c r="QP277" s="3"/>
      <c r="QQ277" s="3"/>
      <c r="QR277" s="3"/>
      <c r="QS277" s="3"/>
      <c r="QT277" s="3"/>
      <c r="QU277" s="3"/>
      <c r="QV277" s="3"/>
      <c r="QW277" s="3"/>
      <c r="QX277" s="3"/>
      <c r="QY277" s="3"/>
      <c r="QZ277" s="3"/>
      <c r="RA277" s="3"/>
      <c r="RB277" s="3"/>
      <c r="RC277" s="3"/>
      <c r="RD277" s="3"/>
      <c r="RE277" s="3"/>
      <c r="RF277" s="3"/>
      <c r="RG277" s="3"/>
      <c r="RH277" s="3"/>
      <c r="RI277" s="3"/>
      <c r="RJ277" s="3"/>
      <c r="RK277" s="3"/>
      <c r="RL277" s="3"/>
      <c r="RM277" s="3"/>
      <c r="RN277" s="3"/>
      <c r="RO277" s="3"/>
      <c r="RP277" s="3"/>
      <c r="RQ277" s="3"/>
      <c r="RR277" s="3"/>
      <c r="RS277" s="3"/>
      <c r="RT277" s="3"/>
      <c r="RU277" s="3"/>
      <c r="RV277" s="3"/>
      <c r="RW277" s="3"/>
      <c r="RX277" s="3"/>
      <c r="RY277" s="3"/>
      <c r="RZ277" s="3"/>
      <c r="SA277" s="3"/>
      <c r="SB277" s="3"/>
      <c r="SC277" s="3"/>
      <c r="SD277" s="3"/>
      <c r="SE277" s="3"/>
      <c r="SF277" s="3"/>
      <c r="SG277" s="3"/>
      <c r="SH277" s="3"/>
      <c r="SI277" s="3"/>
      <c r="SJ277" s="3"/>
      <c r="SK277" s="3"/>
      <c r="SL277" s="3"/>
      <c r="SM277" s="3"/>
      <c r="SN277" s="3"/>
      <c r="SO277" s="3"/>
      <c r="SP277" s="3"/>
      <c r="SQ277" s="3"/>
      <c r="SR277" s="3"/>
      <c r="SS277" s="3"/>
      <c r="ST277" s="3"/>
      <c r="SU277" s="3"/>
      <c r="SV277" s="3"/>
      <c r="SW277" s="3"/>
      <c r="SX277" s="3"/>
      <c r="SY277" s="3"/>
      <c r="SZ277" s="3"/>
      <c r="TA277" s="3"/>
      <c r="TB277" s="3"/>
      <c r="TC277" s="3"/>
      <c r="TD277" s="3"/>
      <c r="TE277" s="3"/>
      <c r="TF277" s="3"/>
      <c r="TG277" s="3"/>
      <c r="TH277" s="3"/>
      <c r="TI277" s="3"/>
      <c r="TJ277" s="3"/>
      <c r="TK277" s="3"/>
      <c r="TL277" s="3"/>
      <c r="TM277" s="3"/>
      <c r="TN277" s="3"/>
      <c r="TO277" s="3"/>
      <c r="TP277" s="3"/>
      <c r="TQ277" s="3"/>
      <c r="TR277" s="3"/>
      <c r="TS277" s="3"/>
      <c r="TT277" s="3"/>
      <c r="TU277" s="3"/>
      <c r="TV277" s="3"/>
      <c r="TW277" s="3"/>
      <c r="TX277" s="3"/>
      <c r="TY277" s="3"/>
      <c r="TZ277" s="3"/>
      <c r="UA277" s="3"/>
      <c r="UB277" s="3"/>
      <c r="UC277" s="3"/>
      <c r="UD277" s="3"/>
      <c r="UE277" s="3"/>
      <c r="UF277" s="3"/>
      <c r="UG277" s="3"/>
      <c r="UH277" s="3"/>
      <c r="UI277" s="3"/>
      <c r="UJ277" s="3"/>
      <c r="UK277" s="3"/>
      <c r="UL277" s="3"/>
      <c r="UM277" s="3"/>
      <c r="UN277" s="3"/>
      <c r="UO277" s="3"/>
      <c r="UP277" s="3"/>
      <c r="UQ277" s="3"/>
      <c r="UR277" s="3"/>
      <c r="US277" s="3"/>
      <c r="UT277" s="3"/>
      <c r="UU277" s="3"/>
      <c r="UV277" s="3"/>
      <c r="UW277" s="3"/>
      <c r="UX277" s="3"/>
      <c r="UY277" s="3"/>
      <c r="UZ277" s="3"/>
      <c r="VA277" s="3"/>
      <c r="VB277" s="3"/>
      <c r="VC277" s="3"/>
      <c r="VD277" s="3"/>
      <c r="VE277" s="3"/>
      <c r="VF277" s="3"/>
      <c r="VG277" s="3"/>
      <c r="VH277" s="3"/>
      <c r="VI277" s="3"/>
      <c r="VJ277" s="3"/>
      <c r="VK277" s="3"/>
      <c r="VL277" s="3"/>
      <c r="VM277" s="3"/>
      <c r="VN277" s="3"/>
      <c r="VO277" s="3"/>
      <c r="VP277" s="3"/>
      <c r="VQ277" s="3"/>
      <c r="VR277" s="3"/>
      <c r="VS277" s="3"/>
      <c r="VT277" s="3"/>
      <c r="VU277" s="3"/>
      <c r="VV277" s="3"/>
      <c r="VW277" s="3"/>
      <c r="VX277" s="3"/>
      <c r="VY277" s="3"/>
      <c r="VZ277" s="3"/>
      <c r="WA277" s="3"/>
      <c r="WB277" s="3"/>
      <c r="WC277" s="3"/>
      <c r="WD277" s="3"/>
      <c r="WE277" s="3"/>
      <c r="WF277" s="3"/>
      <c r="WG277" s="3"/>
      <c r="WH277" s="3"/>
      <c r="WI277" s="3"/>
      <c r="WJ277" s="3"/>
      <c r="WK277" s="3"/>
      <c r="WL277" s="3"/>
      <c r="WM277" s="3"/>
      <c r="WN277" s="3"/>
      <c r="WO277" s="3"/>
      <c r="WP277" s="3"/>
      <c r="WQ277" s="3"/>
      <c r="WR277" s="3"/>
      <c r="WS277" s="3"/>
      <c r="WT277" s="3"/>
      <c r="WU277" s="3"/>
      <c r="WV277" s="3"/>
      <c r="WW277" s="3"/>
      <c r="WX277" s="3"/>
      <c r="WY277" s="3"/>
      <c r="WZ277" s="3"/>
      <c r="XA277" s="3"/>
      <c r="XB277" s="3"/>
      <c r="XC277" s="3"/>
      <c r="XD277" s="3"/>
      <c r="XE277" s="3"/>
      <c r="XF277" s="3"/>
      <c r="XG277" s="3"/>
      <c r="XH277" s="3"/>
      <c r="XI277" s="3"/>
      <c r="XJ277" s="3"/>
      <c r="XK277" s="3"/>
      <c r="XL277" s="3"/>
      <c r="XM277" s="3"/>
      <c r="XN277" s="3"/>
      <c r="XO277" s="3"/>
      <c r="XP277" s="3"/>
      <c r="XQ277" s="3"/>
      <c r="XR277" s="3"/>
      <c r="XS277" s="3"/>
      <c r="XT277" s="3"/>
      <c r="XU277" s="3"/>
      <c r="XV277" s="3"/>
      <c r="XW277" s="3"/>
      <c r="XX277" s="3"/>
      <c r="XY277" s="3"/>
      <c r="XZ277" s="3"/>
      <c r="YA277" s="3"/>
      <c r="YB277" s="3"/>
      <c r="YC277" s="3"/>
      <c r="YD277" s="3"/>
      <c r="YE277" s="3"/>
      <c r="YF277" s="3"/>
      <c r="YG277" s="3"/>
      <c r="YH277" s="3"/>
      <c r="YI277" s="3"/>
      <c r="YJ277" s="3"/>
      <c r="YK277" s="3"/>
      <c r="YL277" s="3"/>
      <c r="YM277" s="3"/>
      <c r="YN277" s="3"/>
      <c r="YO277" s="3"/>
      <c r="YP277" s="3"/>
      <c r="YQ277" s="3"/>
      <c r="YR277" s="3"/>
      <c r="YS277" s="3"/>
      <c r="YT277" s="3"/>
      <c r="YU277" s="3"/>
      <c r="YV277" s="3"/>
      <c r="YW277" s="3"/>
      <c r="YX277" s="3"/>
      <c r="YY277" s="3"/>
      <c r="YZ277" s="3"/>
      <c r="ZA277" s="3"/>
      <c r="ZB277" s="3"/>
      <c r="ZC277" s="3"/>
    </row>
    <row r="278" spans="1:679" s="2" customFormat="1" x14ac:dyDescent="0.45">
      <c r="A278" s="3" t="s">
        <v>11</v>
      </c>
      <c r="B278" s="4">
        <v>38084</v>
      </c>
      <c r="C278" s="7" t="s">
        <v>21</v>
      </c>
      <c r="D278" s="6" t="s">
        <v>297</v>
      </c>
      <c r="E278" s="3"/>
      <c r="F278" s="3">
        <v>51</v>
      </c>
      <c r="L278" s="3"/>
      <c r="M278" s="3"/>
      <c r="N278" s="48"/>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c r="CO278" s="3"/>
      <c r="CP278" s="3"/>
      <c r="CQ278" s="3"/>
      <c r="CR278" s="3"/>
      <c r="CS278" s="3"/>
      <c r="CT278" s="3"/>
      <c r="CU278" s="3"/>
      <c r="CV278" s="3"/>
      <c r="CW278" s="3"/>
      <c r="CX278" s="3"/>
      <c r="CY278" s="3"/>
      <c r="CZ278" s="3"/>
      <c r="DA278" s="3"/>
      <c r="DB278" s="3"/>
      <c r="DC278" s="3"/>
      <c r="DD278" s="3"/>
      <c r="DE278" s="3"/>
      <c r="DF278" s="3"/>
      <c r="DG278" s="3"/>
      <c r="DH278" s="3"/>
      <c r="DI278" s="3"/>
      <c r="DJ278" s="3"/>
      <c r="DK278" s="3"/>
      <c r="DL278" s="3"/>
      <c r="DM278" s="3"/>
      <c r="DN278" s="3"/>
      <c r="DO278" s="3"/>
      <c r="DP278" s="3"/>
      <c r="DQ278" s="3"/>
      <c r="DR278" s="3"/>
      <c r="DS278" s="3"/>
      <c r="DT278" s="3"/>
      <c r="DU278" s="3"/>
      <c r="DV278" s="3"/>
      <c r="DW278" s="3"/>
      <c r="DX278" s="3"/>
      <c r="DY278" s="3"/>
      <c r="DZ278" s="3"/>
      <c r="EA278" s="3"/>
      <c r="EB278" s="3"/>
      <c r="EC278" s="3"/>
      <c r="ED278" s="3"/>
      <c r="EE278" s="3"/>
      <c r="EF278" s="3"/>
      <c r="EG278" s="3"/>
      <c r="EH278" s="3"/>
      <c r="EI278" s="3"/>
      <c r="EJ278" s="3"/>
      <c r="EK278" s="3"/>
      <c r="EL278" s="3"/>
      <c r="EM278" s="3"/>
      <c r="EN278" s="3"/>
      <c r="EO278" s="3"/>
      <c r="EP278" s="3"/>
      <c r="EQ278" s="3"/>
      <c r="ER278" s="3"/>
      <c r="ES278" s="3"/>
      <c r="ET278" s="3"/>
      <c r="EU278" s="3"/>
      <c r="EV278" s="3"/>
      <c r="EW278" s="3"/>
      <c r="EX278" s="3"/>
      <c r="EY278" s="3"/>
      <c r="EZ278" s="3"/>
      <c r="FA278" s="3"/>
      <c r="FB278" s="3"/>
      <c r="FC278" s="3"/>
      <c r="FD278" s="3"/>
      <c r="FE278" s="3"/>
      <c r="FF278" s="3"/>
      <c r="FG278" s="3"/>
      <c r="FH278" s="3"/>
      <c r="FI278" s="3"/>
      <c r="FJ278" s="3"/>
      <c r="FK278" s="3"/>
      <c r="FL278" s="3"/>
      <c r="FM278" s="3"/>
      <c r="FN278" s="3"/>
      <c r="FO278" s="3"/>
      <c r="FP278" s="3"/>
      <c r="FQ278" s="3"/>
      <c r="FR278" s="3"/>
      <c r="FS278" s="3"/>
      <c r="FT278" s="3"/>
      <c r="FU278" s="3"/>
      <c r="FV278" s="3"/>
      <c r="FW278" s="3"/>
      <c r="FX278" s="3"/>
      <c r="FY278" s="3"/>
      <c r="FZ278" s="3"/>
      <c r="GA278" s="3"/>
      <c r="GB278" s="3"/>
      <c r="GC278" s="3"/>
      <c r="GD278" s="3"/>
      <c r="GE278" s="3"/>
      <c r="GF278" s="3"/>
      <c r="GG278" s="3"/>
      <c r="GH278" s="3"/>
      <c r="GI278" s="3"/>
      <c r="GJ278" s="3"/>
      <c r="GK278" s="3"/>
      <c r="GL278" s="3"/>
      <c r="GM278" s="3"/>
      <c r="GN278" s="3"/>
      <c r="GO278" s="3"/>
      <c r="GP278" s="3"/>
      <c r="GQ278" s="3"/>
      <c r="GR278" s="3"/>
      <c r="GS278" s="3"/>
      <c r="GT278" s="3"/>
      <c r="GU278" s="3"/>
      <c r="GV278" s="3"/>
      <c r="GW278" s="3"/>
      <c r="GX278" s="3"/>
      <c r="GY278" s="3"/>
      <c r="GZ278" s="3"/>
      <c r="HA278" s="3"/>
      <c r="HB278" s="3"/>
      <c r="HC278" s="3"/>
      <c r="HD278" s="3"/>
      <c r="HE278" s="3"/>
      <c r="HF278" s="3"/>
      <c r="HG278" s="3"/>
      <c r="HH278" s="3"/>
      <c r="HI278" s="3"/>
      <c r="HJ278" s="3"/>
      <c r="HK278" s="3"/>
      <c r="HL278" s="3"/>
      <c r="HM278" s="3"/>
      <c r="HN278" s="3"/>
      <c r="HO278" s="3"/>
      <c r="HP278" s="3"/>
      <c r="HQ278" s="3"/>
      <c r="HR278" s="3"/>
      <c r="HS278" s="3"/>
      <c r="HT278" s="3"/>
      <c r="HU278" s="3"/>
      <c r="HV278" s="3"/>
      <c r="HW278" s="3"/>
      <c r="HX278" s="3"/>
      <c r="HY278" s="3"/>
      <c r="HZ278" s="3"/>
      <c r="IA278" s="3"/>
      <c r="IB278" s="3"/>
      <c r="IC278" s="3"/>
      <c r="ID278" s="3"/>
      <c r="IE278" s="3"/>
      <c r="IF278" s="3"/>
      <c r="IG278" s="3"/>
      <c r="IH278" s="3"/>
      <c r="II278" s="3"/>
      <c r="IJ278" s="3"/>
      <c r="IK278" s="3"/>
      <c r="IL278" s="3"/>
      <c r="IM278" s="3"/>
      <c r="IN278" s="3"/>
      <c r="IO278" s="3"/>
      <c r="IP278" s="3"/>
      <c r="IQ278" s="3"/>
      <c r="IR278" s="3"/>
      <c r="IS278" s="3"/>
      <c r="IT278" s="3"/>
      <c r="IU278" s="3"/>
      <c r="IV278" s="3"/>
      <c r="IW278" s="3"/>
      <c r="IX278" s="3"/>
      <c r="IY278" s="3"/>
      <c r="IZ278" s="3"/>
      <c r="JA278" s="3"/>
      <c r="JB278" s="3"/>
      <c r="JC278" s="3"/>
      <c r="JD278" s="3"/>
      <c r="JE278" s="3"/>
      <c r="JF278" s="3"/>
      <c r="JG278" s="3"/>
      <c r="JH278" s="3"/>
      <c r="JI278" s="3"/>
      <c r="JJ278" s="3"/>
      <c r="JK278" s="3"/>
      <c r="JL278" s="3"/>
      <c r="JM278" s="3"/>
      <c r="JN278" s="3"/>
      <c r="JO278" s="3"/>
      <c r="JP278" s="3"/>
      <c r="JQ278" s="3"/>
      <c r="JR278" s="3"/>
      <c r="JS278" s="3"/>
      <c r="JT278" s="3"/>
      <c r="JU278" s="3"/>
      <c r="JV278" s="3"/>
      <c r="JW278" s="3"/>
      <c r="JX278" s="3"/>
      <c r="JY278" s="3"/>
      <c r="JZ278" s="3"/>
      <c r="KA278" s="3"/>
      <c r="KB278" s="3"/>
      <c r="KC278" s="3"/>
      <c r="KD278" s="3"/>
      <c r="KE278" s="3"/>
      <c r="KF278" s="3"/>
      <c r="KG278" s="3"/>
      <c r="KH278" s="3"/>
      <c r="KI278" s="3"/>
      <c r="KJ278" s="3"/>
      <c r="KK278" s="3"/>
      <c r="KL278" s="3"/>
      <c r="KM278" s="3"/>
      <c r="KN278" s="3"/>
      <c r="KO278" s="3"/>
      <c r="KP278" s="3"/>
      <c r="KQ278" s="3"/>
      <c r="KR278" s="3"/>
      <c r="KS278" s="3"/>
      <c r="KT278" s="3"/>
      <c r="KU278" s="3"/>
      <c r="KV278" s="3"/>
      <c r="KW278" s="3"/>
      <c r="KX278" s="3"/>
      <c r="KY278" s="3"/>
      <c r="KZ278" s="3"/>
      <c r="LA278" s="3"/>
      <c r="LB278" s="3"/>
      <c r="LC278" s="3"/>
      <c r="LD278" s="3"/>
      <c r="LE278" s="3"/>
      <c r="LF278" s="3"/>
      <c r="LG278" s="3"/>
      <c r="LH278" s="3"/>
      <c r="LI278" s="3"/>
      <c r="LJ278" s="3"/>
      <c r="LK278" s="3"/>
      <c r="LL278" s="3"/>
      <c r="LM278" s="3"/>
      <c r="LN278" s="3"/>
      <c r="LO278" s="3"/>
      <c r="LP278" s="3"/>
      <c r="LQ278" s="3"/>
      <c r="LR278" s="3"/>
      <c r="LS278" s="3"/>
      <c r="LT278" s="3"/>
      <c r="LU278" s="3"/>
      <c r="LV278" s="3"/>
      <c r="LW278" s="3"/>
      <c r="LX278" s="3"/>
      <c r="LY278" s="3"/>
      <c r="LZ278" s="3"/>
      <c r="MA278" s="3"/>
      <c r="MB278" s="3"/>
      <c r="MC278" s="3"/>
      <c r="MD278" s="3"/>
      <c r="ME278" s="3"/>
      <c r="MF278" s="3"/>
      <c r="MG278" s="3"/>
      <c r="MH278" s="3"/>
      <c r="MI278" s="3"/>
      <c r="MJ278" s="3"/>
      <c r="MK278" s="3"/>
      <c r="ML278" s="3"/>
      <c r="MM278" s="3"/>
      <c r="MN278" s="3"/>
      <c r="MO278" s="3"/>
      <c r="MP278" s="3"/>
      <c r="MQ278" s="3"/>
      <c r="MR278" s="3"/>
      <c r="MS278" s="3"/>
      <c r="MT278" s="3"/>
      <c r="MU278" s="3"/>
      <c r="MV278" s="3"/>
      <c r="MW278" s="3"/>
      <c r="MX278" s="3"/>
      <c r="MY278" s="3"/>
      <c r="MZ278" s="3"/>
      <c r="NA278" s="3"/>
      <c r="NB278" s="3"/>
      <c r="NC278" s="3"/>
      <c r="ND278" s="3"/>
      <c r="NE278" s="3"/>
      <c r="NF278" s="3"/>
      <c r="NG278" s="3"/>
      <c r="NH278" s="3"/>
      <c r="NI278" s="3"/>
      <c r="NJ278" s="3"/>
      <c r="NK278" s="3"/>
      <c r="NL278" s="3"/>
      <c r="NM278" s="3"/>
      <c r="NN278" s="3"/>
      <c r="NO278" s="3"/>
      <c r="NP278" s="3"/>
      <c r="NQ278" s="3"/>
      <c r="NR278" s="3"/>
      <c r="NS278" s="3"/>
      <c r="NT278" s="3"/>
      <c r="NU278" s="3"/>
      <c r="NV278" s="3"/>
      <c r="NW278" s="3"/>
      <c r="NX278" s="3"/>
      <c r="NY278" s="3"/>
      <c r="NZ278" s="3"/>
      <c r="OA278" s="3"/>
      <c r="OB278" s="3"/>
      <c r="OC278" s="3"/>
      <c r="OD278" s="3"/>
      <c r="OE278" s="3"/>
      <c r="OF278" s="3"/>
      <c r="OG278" s="3"/>
      <c r="OH278" s="3"/>
      <c r="OI278" s="3"/>
      <c r="OJ278" s="3"/>
      <c r="OK278" s="3"/>
      <c r="OL278" s="3"/>
      <c r="OM278" s="3"/>
      <c r="ON278" s="3"/>
      <c r="OO278" s="3"/>
      <c r="OP278" s="3"/>
      <c r="OQ278" s="3"/>
      <c r="OR278" s="3"/>
      <c r="OS278" s="3"/>
      <c r="OT278" s="3"/>
      <c r="OU278" s="3"/>
      <c r="OV278" s="3"/>
      <c r="OW278" s="3"/>
      <c r="OX278" s="3"/>
      <c r="OY278" s="3"/>
      <c r="OZ278" s="3"/>
      <c r="PA278" s="3"/>
      <c r="PB278" s="3"/>
      <c r="PC278" s="3"/>
      <c r="PD278" s="3"/>
      <c r="PE278" s="3"/>
      <c r="PF278" s="3"/>
      <c r="PG278" s="3"/>
      <c r="PH278" s="3"/>
      <c r="PI278" s="3"/>
      <c r="PJ278" s="3"/>
      <c r="PK278" s="3"/>
      <c r="PL278" s="3"/>
      <c r="PM278" s="3"/>
      <c r="PN278" s="3"/>
      <c r="PO278" s="3"/>
      <c r="PP278" s="3"/>
      <c r="PQ278" s="3"/>
      <c r="PR278" s="3"/>
      <c r="PS278" s="3"/>
      <c r="PT278" s="3"/>
      <c r="PU278" s="3"/>
      <c r="PV278" s="3"/>
      <c r="PW278" s="3"/>
      <c r="PX278" s="3"/>
      <c r="PY278" s="3"/>
      <c r="PZ278" s="3"/>
      <c r="QA278" s="3"/>
      <c r="QB278" s="3"/>
      <c r="QC278" s="3"/>
      <c r="QD278" s="3"/>
      <c r="QE278" s="3"/>
      <c r="QF278" s="3"/>
      <c r="QG278" s="3"/>
      <c r="QH278" s="3"/>
      <c r="QI278" s="3"/>
      <c r="QJ278" s="3"/>
      <c r="QK278" s="3"/>
      <c r="QL278" s="3"/>
      <c r="QM278" s="3"/>
      <c r="QN278" s="3"/>
      <c r="QO278" s="3"/>
      <c r="QP278" s="3"/>
      <c r="QQ278" s="3"/>
      <c r="QR278" s="3"/>
      <c r="QS278" s="3"/>
      <c r="QT278" s="3"/>
      <c r="QU278" s="3"/>
      <c r="QV278" s="3"/>
      <c r="QW278" s="3"/>
      <c r="QX278" s="3"/>
      <c r="QY278" s="3"/>
      <c r="QZ278" s="3"/>
      <c r="RA278" s="3"/>
      <c r="RB278" s="3"/>
      <c r="RC278" s="3"/>
      <c r="RD278" s="3"/>
      <c r="RE278" s="3"/>
      <c r="RF278" s="3"/>
      <c r="RG278" s="3"/>
      <c r="RH278" s="3"/>
      <c r="RI278" s="3"/>
      <c r="RJ278" s="3"/>
      <c r="RK278" s="3"/>
      <c r="RL278" s="3"/>
      <c r="RM278" s="3"/>
      <c r="RN278" s="3"/>
      <c r="RO278" s="3"/>
      <c r="RP278" s="3"/>
      <c r="RQ278" s="3"/>
      <c r="RR278" s="3"/>
      <c r="RS278" s="3"/>
      <c r="RT278" s="3"/>
      <c r="RU278" s="3"/>
      <c r="RV278" s="3"/>
      <c r="RW278" s="3"/>
      <c r="RX278" s="3"/>
      <c r="RY278" s="3"/>
      <c r="RZ278" s="3"/>
      <c r="SA278" s="3"/>
      <c r="SB278" s="3"/>
      <c r="SC278" s="3"/>
      <c r="SD278" s="3"/>
      <c r="SE278" s="3"/>
      <c r="SF278" s="3"/>
      <c r="SG278" s="3"/>
      <c r="SH278" s="3"/>
      <c r="SI278" s="3"/>
      <c r="SJ278" s="3"/>
      <c r="SK278" s="3"/>
      <c r="SL278" s="3"/>
      <c r="SM278" s="3"/>
      <c r="SN278" s="3"/>
      <c r="SO278" s="3"/>
      <c r="SP278" s="3"/>
      <c r="SQ278" s="3"/>
      <c r="SR278" s="3"/>
      <c r="SS278" s="3"/>
      <c r="ST278" s="3"/>
      <c r="SU278" s="3"/>
      <c r="SV278" s="3"/>
      <c r="SW278" s="3"/>
      <c r="SX278" s="3"/>
      <c r="SY278" s="3"/>
      <c r="SZ278" s="3"/>
      <c r="TA278" s="3"/>
      <c r="TB278" s="3"/>
      <c r="TC278" s="3"/>
      <c r="TD278" s="3"/>
      <c r="TE278" s="3"/>
      <c r="TF278" s="3"/>
      <c r="TG278" s="3"/>
      <c r="TH278" s="3"/>
      <c r="TI278" s="3"/>
      <c r="TJ278" s="3"/>
      <c r="TK278" s="3"/>
      <c r="TL278" s="3"/>
      <c r="TM278" s="3"/>
      <c r="TN278" s="3"/>
      <c r="TO278" s="3"/>
      <c r="TP278" s="3"/>
      <c r="TQ278" s="3"/>
      <c r="TR278" s="3"/>
      <c r="TS278" s="3"/>
      <c r="TT278" s="3"/>
      <c r="TU278" s="3"/>
      <c r="TV278" s="3"/>
      <c r="TW278" s="3"/>
      <c r="TX278" s="3"/>
      <c r="TY278" s="3"/>
      <c r="TZ278" s="3"/>
      <c r="UA278" s="3"/>
      <c r="UB278" s="3"/>
      <c r="UC278" s="3"/>
      <c r="UD278" s="3"/>
      <c r="UE278" s="3"/>
      <c r="UF278" s="3"/>
      <c r="UG278" s="3"/>
      <c r="UH278" s="3"/>
      <c r="UI278" s="3"/>
      <c r="UJ278" s="3"/>
      <c r="UK278" s="3"/>
      <c r="UL278" s="3"/>
      <c r="UM278" s="3"/>
      <c r="UN278" s="3"/>
      <c r="UO278" s="3"/>
      <c r="UP278" s="3"/>
      <c r="UQ278" s="3"/>
      <c r="UR278" s="3"/>
      <c r="US278" s="3"/>
      <c r="UT278" s="3"/>
      <c r="UU278" s="3"/>
      <c r="UV278" s="3"/>
      <c r="UW278" s="3"/>
      <c r="UX278" s="3"/>
      <c r="UY278" s="3"/>
      <c r="UZ278" s="3"/>
      <c r="VA278" s="3"/>
      <c r="VB278" s="3"/>
      <c r="VC278" s="3"/>
      <c r="VD278" s="3"/>
      <c r="VE278" s="3"/>
      <c r="VF278" s="3"/>
      <c r="VG278" s="3"/>
      <c r="VH278" s="3"/>
      <c r="VI278" s="3"/>
      <c r="VJ278" s="3"/>
      <c r="VK278" s="3"/>
      <c r="VL278" s="3"/>
      <c r="VM278" s="3"/>
      <c r="VN278" s="3"/>
      <c r="VO278" s="3"/>
      <c r="VP278" s="3"/>
      <c r="VQ278" s="3"/>
      <c r="VR278" s="3"/>
      <c r="VS278" s="3"/>
      <c r="VT278" s="3"/>
      <c r="VU278" s="3"/>
      <c r="VV278" s="3"/>
      <c r="VW278" s="3"/>
      <c r="VX278" s="3"/>
      <c r="VY278" s="3"/>
      <c r="VZ278" s="3"/>
      <c r="WA278" s="3"/>
      <c r="WB278" s="3"/>
      <c r="WC278" s="3"/>
      <c r="WD278" s="3"/>
      <c r="WE278" s="3"/>
      <c r="WF278" s="3"/>
      <c r="WG278" s="3"/>
      <c r="WH278" s="3"/>
      <c r="WI278" s="3"/>
      <c r="WJ278" s="3"/>
      <c r="WK278" s="3"/>
      <c r="WL278" s="3"/>
      <c r="WM278" s="3"/>
      <c r="WN278" s="3"/>
      <c r="WO278" s="3"/>
      <c r="WP278" s="3"/>
      <c r="WQ278" s="3"/>
      <c r="WR278" s="3"/>
      <c r="WS278" s="3"/>
      <c r="WT278" s="3"/>
      <c r="WU278" s="3"/>
      <c r="WV278" s="3"/>
      <c r="WW278" s="3"/>
      <c r="WX278" s="3"/>
      <c r="WY278" s="3"/>
      <c r="WZ278" s="3"/>
      <c r="XA278" s="3"/>
      <c r="XB278" s="3"/>
      <c r="XC278" s="3"/>
      <c r="XD278" s="3"/>
      <c r="XE278" s="3"/>
      <c r="XF278" s="3"/>
      <c r="XG278" s="3"/>
      <c r="XH278" s="3"/>
      <c r="XI278" s="3"/>
      <c r="XJ278" s="3"/>
      <c r="XK278" s="3"/>
      <c r="XL278" s="3"/>
      <c r="XM278" s="3"/>
      <c r="XN278" s="3"/>
      <c r="XO278" s="3"/>
      <c r="XP278" s="3"/>
      <c r="XQ278" s="3"/>
      <c r="XR278" s="3"/>
      <c r="XS278" s="3"/>
      <c r="XT278" s="3"/>
      <c r="XU278" s="3"/>
      <c r="XV278" s="3"/>
      <c r="XW278" s="3"/>
      <c r="XX278" s="3"/>
      <c r="XY278" s="3"/>
      <c r="XZ278" s="3"/>
      <c r="YA278" s="3"/>
      <c r="YB278" s="3"/>
      <c r="YC278" s="3"/>
      <c r="YD278" s="3"/>
      <c r="YE278" s="3"/>
      <c r="YF278" s="3"/>
      <c r="YG278" s="3"/>
      <c r="YH278" s="3"/>
      <c r="YI278" s="3"/>
      <c r="YJ278" s="3"/>
      <c r="YK278" s="3"/>
      <c r="YL278" s="3"/>
      <c r="YM278" s="3"/>
      <c r="YN278" s="3"/>
      <c r="YO278" s="3"/>
      <c r="YP278" s="3"/>
      <c r="YQ278" s="3"/>
      <c r="YR278" s="3"/>
      <c r="YS278" s="3"/>
      <c r="YT278" s="3"/>
      <c r="YU278" s="3"/>
      <c r="YV278" s="3"/>
      <c r="YW278" s="3"/>
      <c r="YX278" s="3"/>
      <c r="YY278" s="3"/>
      <c r="YZ278" s="3"/>
      <c r="ZA278" s="3"/>
      <c r="ZB278" s="3"/>
      <c r="ZC278" s="3"/>
    </row>
    <row r="279" spans="1:679" s="2" customFormat="1" x14ac:dyDescent="0.45">
      <c r="A279" s="3" t="s">
        <v>11</v>
      </c>
      <c r="B279" s="4">
        <v>38084</v>
      </c>
      <c r="C279" s="7" t="s">
        <v>21</v>
      </c>
      <c r="D279" s="6" t="s">
        <v>298</v>
      </c>
      <c r="E279" s="3"/>
      <c r="F279" s="3">
        <v>18</v>
      </c>
      <c r="L279" s="3"/>
      <c r="M279" s="3"/>
      <c r="N279" s="48"/>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c r="CO279" s="3"/>
      <c r="CP279" s="3"/>
      <c r="CQ279" s="3"/>
      <c r="CR279" s="3"/>
      <c r="CS279" s="3"/>
      <c r="CT279" s="3"/>
      <c r="CU279" s="3"/>
      <c r="CV279" s="3"/>
      <c r="CW279" s="3"/>
      <c r="CX279" s="3"/>
      <c r="CY279" s="3"/>
      <c r="CZ279" s="3"/>
      <c r="DA279" s="3"/>
      <c r="DB279" s="3"/>
      <c r="DC279" s="3"/>
      <c r="DD279" s="3"/>
      <c r="DE279" s="3"/>
      <c r="DF279" s="3"/>
      <c r="DG279" s="3"/>
      <c r="DH279" s="3"/>
      <c r="DI279" s="3"/>
      <c r="DJ279" s="3"/>
      <c r="DK279" s="3"/>
      <c r="DL279" s="3"/>
      <c r="DM279" s="3"/>
      <c r="DN279" s="3"/>
      <c r="DO279" s="3"/>
      <c r="DP279" s="3"/>
      <c r="DQ279" s="3"/>
      <c r="DR279" s="3"/>
      <c r="DS279" s="3"/>
      <c r="DT279" s="3"/>
      <c r="DU279" s="3"/>
      <c r="DV279" s="3"/>
      <c r="DW279" s="3"/>
      <c r="DX279" s="3"/>
      <c r="DY279" s="3"/>
      <c r="DZ279" s="3"/>
      <c r="EA279" s="3"/>
      <c r="EB279" s="3"/>
      <c r="EC279" s="3"/>
      <c r="ED279" s="3"/>
      <c r="EE279" s="3"/>
      <c r="EF279" s="3"/>
      <c r="EG279" s="3"/>
      <c r="EH279" s="3"/>
      <c r="EI279" s="3"/>
      <c r="EJ279" s="3"/>
      <c r="EK279" s="3"/>
      <c r="EL279" s="3"/>
      <c r="EM279" s="3"/>
      <c r="EN279" s="3"/>
      <c r="EO279" s="3"/>
      <c r="EP279" s="3"/>
      <c r="EQ279" s="3"/>
      <c r="ER279" s="3"/>
      <c r="ES279" s="3"/>
      <c r="ET279" s="3"/>
      <c r="EU279" s="3"/>
      <c r="EV279" s="3"/>
      <c r="EW279" s="3"/>
      <c r="EX279" s="3"/>
      <c r="EY279" s="3"/>
      <c r="EZ279" s="3"/>
      <c r="FA279" s="3"/>
      <c r="FB279" s="3"/>
      <c r="FC279" s="3"/>
      <c r="FD279" s="3"/>
      <c r="FE279" s="3"/>
      <c r="FF279" s="3"/>
      <c r="FG279" s="3"/>
      <c r="FH279" s="3"/>
      <c r="FI279" s="3"/>
      <c r="FJ279" s="3"/>
      <c r="FK279" s="3"/>
      <c r="FL279" s="3"/>
      <c r="FM279" s="3"/>
      <c r="FN279" s="3"/>
      <c r="FO279" s="3"/>
      <c r="FP279" s="3"/>
      <c r="FQ279" s="3"/>
      <c r="FR279" s="3"/>
      <c r="FS279" s="3"/>
      <c r="FT279" s="3"/>
      <c r="FU279" s="3"/>
      <c r="FV279" s="3"/>
      <c r="FW279" s="3"/>
      <c r="FX279" s="3"/>
      <c r="FY279" s="3"/>
      <c r="FZ279" s="3"/>
      <c r="GA279" s="3"/>
      <c r="GB279" s="3"/>
      <c r="GC279" s="3"/>
      <c r="GD279" s="3"/>
      <c r="GE279" s="3"/>
      <c r="GF279" s="3"/>
      <c r="GG279" s="3"/>
      <c r="GH279" s="3"/>
      <c r="GI279" s="3"/>
      <c r="GJ279" s="3"/>
      <c r="GK279" s="3"/>
      <c r="GL279" s="3"/>
      <c r="GM279" s="3"/>
      <c r="GN279" s="3"/>
      <c r="GO279" s="3"/>
      <c r="GP279" s="3"/>
      <c r="GQ279" s="3"/>
      <c r="GR279" s="3"/>
      <c r="GS279" s="3"/>
      <c r="GT279" s="3"/>
      <c r="GU279" s="3"/>
      <c r="GV279" s="3"/>
      <c r="GW279" s="3"/>
      <c r="GX279" s="3"/>
      <c r="GY279" s="3"/>
      <c r="GZ279" s="3"/>
      <c r="HA279" s="3"/>
      <c r="HB279" s="3"/>
      <c r="HC279" s="3"/>
      <c r="HD279" s="3"/>
      <c r="HE279" s="3"/>
      <c r="HF279" s="3"/>
      <c r="HG279" s="3"/>
      <c r="HH279" s="3"/>
      <c r="HI279" s="3"/>
      <c r="HJ279" s="3"/>
      <c r="HK279" s="3"/>
      <c r="HL279" s="3"/>
      <c r="HM279" s="3"/>
      <c r="HN279" s="3"/>
      <c r="HO279" s="3"/>
      <c r="HP279" s="3"/>
      <c r="HQ279" s="3"/>
      <c r="HR279" s="3"/>
      <c r="HS279" s="3"/>
      <c r="HT279" s="3"/>
      <c r="HU279" s="3"/>
      <c r="HV279" s="3"/>
      <c r="HW279" s="3"/>
      <c r="HX279" s="3"/>
      <c r="HY279" s="3"/>
      <c r="HZ279" s="3"/>
      <c r="IA279" s="3"/>
      <c r="IB279" s="3"/>
      <c r="IC279" s="3"/>
      <c r="ID279" s="3"/>
      <c r="IE279" s="3"/>
      <c r="IF279" s="3"/>
      <c r="IG279" s="3"/>
      <c r="IH279" s="3"/>
      <c r="II279" s="3"/>
      <c r="IJ279" s="3"/>
      <c r="IK279" s="3"/>
      <c r="IL279" s="3"/>
      <c r="IM279" s="3"/>
      <c r="IN279" s="3"/>
      <c r="IO279" s="3"/>
      <c r="IP279" s="3"/>
      <c r="IQ279" s="3"/>
      <c r="IR279" s="3"/>
      <c r="IS279" s="3"/>
      <c r="IT279" s="3"/>
      <c r="IU279" s="3"/>
      <c r="IV279" s="3"/>
      <c r="IW279" s="3"/>
      <c r="IX279" s="3"/>
      <c r="IY279" s="3"/>
      <c r="IZ279" s="3"/>
      <c r="JA279" s="3"/>
      <c r="JB279" s="3"/>
      <c r="JC279" s="3"/>
      <c r="JD279" s="3"/>
      <c r="JE279" s="3"/>
      <c r="JF279" s="3"/>
      <c r="JG279" s="3"/>
      <c r="JH279" s="3"/>
      <c r="JI279" s="3"/>
      <c r="JJ279" s="3"/>
      <c r="JK279" s="3"/>
      <c r="JL279" s="3"/>
      <c r="JM279" s="3"/>
      <c r="JN279" s="3"/>
      <c r="JO279" s="3"/>
      <c r="JP279" s="3"/>
      <c r="JQ279" s="3"/>
      <c r="JR279" s="3"/>
      <c r="JS279" s="3"/>
      <c r="JT279" s="3"/>
      <c r="JU279" s="3"/>
      <c r="JV279" s="3"/>
      <c r="JW279" s="3"/>
      <c r="JX279" s="3"/>
      <c r="JY279" s="3"/>
      <c r="JZ279" s="3"/>
      <c r="KA279" s="3"/>
      <c r="KB279" s="3"/>
      <c r="KC279" s="3"/>
      <c r="KD279" s="3"/>
      <c r="KE279" s="3"/>
      <c r="KF279" s="3"/>
      <c r="KG279" s="3"/>
      <c r="KH279" s="3"/>
      <c r="KI279" s="3"/>
      <c r="KJ279" s="3"/>
      <c r="KK279" s="3"/>
      <c r="KL279" s="3"/>
      <c r="KM279" s="3"/>
      <c r="KN279" s="3"/>
      <c r="KO279" s="3"/>
      <c r="KP279" s="3"/>
      <c r="KQ279" s="3"/>
      <c r="KR279" s="3"/>
      <c r="KS279" s="3"/>
      <c r="KT279" s="3"/>
      <c r="KU279" s="3"/>
      <c r="KV279" s="3"/>
      <c r="KW279" s="3"/>
      <c r="KX279" s="3"/>
      <c r="KY279" s="3"/>
      <c r="KZ279" s="3"/>
      <c r="LA279" s="3"/>
      <c r="LB279" s="3"/>
      <c r="LC279" s="3"/>
      <c r="LD279" s="3"/>
      <c r="LE279" s="3"/>
      <c r="LF279" s="3"/>
      <c r="LG279" s="3"/>
      <c r="LH279" s="3"/>
      <c r="LI279" s="3"/>
      <c r="LJ279" s="3"/>
      <c r="LK279" s="3"/>
      <c r="LL279" s="3"/>
      <c r="LM279" s="3"/>
      <c r="LN279" s="3"/>
      <c r="LO279" s="3"/>
      <c r="LP279" s="3"/>
      <c r="LQ279" s="3"/>
      <c r="LR279" s="3"/>
      <c r="LS279" s="3"/>
      <c r="LT279" s="3"/>
      <c r="LU279" s="3"/>
      <c r="LV279" s="3"/>
      <c r="LW279" s="3"/>
      <c r="LX279" s="3"/>
      <c r="LY279" s="3"/>
      <c r="LZ279" s="3"/>
      <c r="MA279" s="3"/>
      <c r="MB279" s="3"/>
      <c r="MC279" s="3"/>
      <c r="MD279" s="3"/>
      <c r="ME279" s="3"/>
      <c r="MF279" s="3"/>
      <c r="MG279" s="3"/>
      <c r="MH279" s="3"/>
      <c r="MI279" s="3"/>
      <c r="MJ279" s="3"/>
      <c r="MK279" s="3"/>
      <c r="ML279" s="3"/>
      <c r="MM279" s="3"/>
      <c r="MN279" s="3"/>
      <c r="MO279" s="3"/>
      <c r="MP279" s="3"/>
      <c r="MQ279" s="3"/>
      <c r="MR279" s="3"/>
      <c r="MS279" s="3"/>
      <c r="MT279" s="3"/>
      <c r="MU279" s="3"/>
      <c r="MV279" s="3"/>
      <c r="MW279" s="3"/>
      <c r="MX279" s="3"/>
      <c r="MY279" s="3"/>
      <c r="MZ279" s="3"/>
      <c r="NA279" s="3"/>
      <c r="NB279" s="3"/>
      <c r="NC279" s="3"/>
      <c r="ND279" s="3"/>
      <c r="NE279" s="3"/>
      <c r="NF279" s="3"/>
      <c r="NG279" s="3"/>
      <c r="NH279" s="3"/>
      <c r="NI279" s="3"/>
      <c r="NJ279" s="3"/>
      <c r="NK279" s="3"/>
      <c r="NL279" s="3"/>
      <c r="NM279" s="3"/>
      <c r="NN279" s="3"/>
      <c r="NO279" s="3"/>
      <c r="NP279" s="3"/>
      <c r="NQ279" s="3"/>
      <c r="NR279" s="3"/>
      <c r="NS279" s="3"/>
      <c r="NT279" s="3"/>
      <c r="NU279" s="3"/>
      <c r="NV279" s="3"/>
      <c r="NW279" s="3"/>
      <c r="NX279" s="3"/>
      <c r="NY279" s="3"/>
      <c r="NZ279" s="3"/>
      <c r="OA279" s="3"/>
      <c r="OB279" s="3"/>
      <c r="OC279" s="3"/>
      <c r="OD279" s="3"/>
      <c r="OE279" s="3"/>
      <c r="OF279" s="3"/>
      <c r="OG279" s="3"/>
      <c r="OH279" s="3"/>
      <c r="OI279" s="3"/>
      <c r="OJ279" s="3"/>
      <c r="OK279" s="3"/>
      <c r="OL279" s="3"/>
      <c r="OM279" s="3"/>
      <c r="ON279" s="3"/>
      <c r="OO279" s="3"/>
      <c r="OP279" s="3"/>
      <c r="OQ279" s="3"/>
      <c r="OR279" s="3"/>
      <c r="OS279" s="3"/>
      <c r="OT279" s="3"/>
      <c r="OU279" s="3"/>
      <c r="OV279" s="3"/>
      <c r="OW279" s="3"/>
      <c r="OX279" s="3"/>
      <c r="OY279" s="3"/>
      <c r="OZ279" s="3"/>
      <c r="PA279" s="3"/>
      <c r="PB279" s="3"/>
      <c r="PC279" s="3"/>
      <c r="PD279" s="3"/>
      <c r="PE279" s="3"/>
      <c r="PF279" s="3"/>
      <c r="PG279" s="3"/>
      <c r="PH279" s="3"/>
      <c r="PI279" s="3"/>
      <c r="PJ279" s="3"/>
      <c r="PK279" s="3"/>
      <c r="PL279" s="3"/>
      <c r="PM279" s="3"/>
      <c r="PN279" s="3"/>
      <c r="PO279" s="3"/>
      <c r="PP279" s="3"/>
      <c r="PQ279" s="3"/>
      <c r="PR279" s="3"/>
      <c r="PS279" s="3"/>
      <c r="PT279" s="3"/>
      <c r="PU279" s="3"/>
      <c r="PV279" s="3"/>
      <c r="PW279" s="3"/>
      <c r="PX279" s="3"/>
      <c r="PY279" s="3"/>
      <c r="PZ279" s="3"/>
      <c r="QA279" s="3"/>
      <c r="QB279" s="3"/>
      <c r="QC279" s="3"/>
      <c r="QD279" s="3"/>
      <c r="QE279" s="3"/>
      <c r="QF279" s="3"/>
      <c r="QG279" s="3"/>
      <c r="QH279" s="3"/>
      <c r="QI279" s="3"/>
      <c r="QJ279" s="3"/>
      <c r="QK279" s="3"/>
      <c r="QL279" s="3"/>
      <c r="QM279" s="3"/>
      <c r="QN279" s="3"/>
      <c r="QO279" s="3"/>
      <c r="QP279" s="3"/>
      <c r="QQ279" s="3"/>
      <c r="QR279" s="3"/>
      <c r="QS279" s="3"/>
      <c r="QT279" s="3"/>
      <c r="QU279" s="3"/>
      <c r="QV279" s="3"/>
      <c r="QW279" s="3"/>
      <c r="QX279" s="3"/>
      <c r="QY279" s="3"/>
      <c r="QZ279" s="3"/>
      <c r="RA279" s="3"/>
      <c r="RB279" s="3"/>
      <c r="RC279" s="3"/>
      <c r="RD279" s="3"/>
      <c r="RE279" s="3"/>
      <c r="RF279" s="3"/>
      <c r="RG279" s="3"/>
      <c r="RH279" s="3"/>
      <c r="RI279" s="3"/>
      <c r="RJ279" s="3"/>
      <c r="RK279" s="3"/>
      <c r="RL279" s="3"/>
      <c r="RM279" s="3"/>
      <c r="RN279" s="3"/>
      <c r="RO279" s="3"/>
      <c r="RP279" s="3"/>
      <c r="RQ279" s="3"/>
      <c r="RR279" s="3"/>
      <c r="RS279" s="3"/>
      <c r="RT279" s="3"/>
      <c r="RU279" s="3"/>
      <c r="RV279" s="3"/>
      <c r="RW279" s="3"/>
      <c r="RX279" s="3"/>
      <c r="RY279" s="3"/>
      <c r="RZ279" s="3"/>
      <c r="SA279" s="3"/>
      <c r="SB279" s="3"/>
      <c r="SC279" s="3"/>
      <c r="SD279" s="3"/>
      <c r="SE279" s="3"/>
      <c r="SF279" s="3"/>
      <c r="SG279" s="3"/>
      <c r="SH279" s="3"/>
      <c r="SI279" s="3"/>
      <c r="SJ279" s="3"/>
      <c r="SK279" s="3"/>
      <c r="SL279" s="3"/>
      <c r="SM279" s="3"/>
      <c r="SN279" s="3"/>
      <c r="SO279" s="3"/>
      <c r="SP279" s="3"/>
      <c r="SQ279" s="3"/>
      <c r="SR279" s="3"/>
      <c r="SS279" s="3"/>
      <c r="ST279" s="3"/>
      <c r="SU279" s="3"/>
      <c r="SV279" s="3"/>
      <c r="SW279" s="3"/>
      <c r="SX279" s="3"/>
      <c r="SY279" s="3"/>
      <c r="SZ279" s="3"/>
      <c r="TA279" s="3"/>
      <c r="TB279" s="3"/>
      <c r="TC279" s="3"/>
      <c r="TD279" s="3"/>
      <c r="TE279" s="3"/>
      <c r="TF279" s="3"/>
      <c r="TG279" s="3"/>
      <c r="TH279" s="3"/>
      <c r="TI279" s="3"/>
      <c r="TJ279" s="3"/>
      <c r="TK279" s="3"/>
      <c r="TL279" s="3"/>
      <c r="TM279" s="3"/>
      <c r="TN279" s="3"/>
      <c r="TO279" s="3"/>
      <c r="TP279" s="3"/>
      <c r="TQ279" s="3"/>
      <c r="TR279" s="3"/>
      <c r="TS279" s="3"/>
      <c r="TT279" s="3"/>
      <c r="TU279" s="3"/>
      <c r="TV279" s="3"/>
      <c r="TW279" s="3"/>
      <c r="TX279" s="3"/>
      <c r="TY279" s="3"/>
      <c r="TZ279" s="3"/>
      <c r="UA279" s="3"/>
      <c r="UB279" s="3"/>
      <c r="UC279" s="3"/>
      <c r="UD279" s="3"/>
      <c r="UE279" s="3"/>
      <c r="UF279" s="3"/>
      <c r="UG279" s="3"/>
      <c r="UH279" s="3"/>
      <c r="UI279" s="3"/>
      <c r="UJ279" s="3"/>
      <c r="UK279" s="3"/>
      <c r="UL279" s="3"/>
      <c r="UM279" s="3"/>
      <c r="UN279" s="3"/>
      <c r="UO279" s="3"/>
      <c r="UP279" s="3"/>
      <c r="UQ279" s="3"/>
      <c r="UR279" s="3"/>
      <c r="US279" s="3"/>
      <c r="UT279" s="3"/>
      <c r="UU279" s="3"/>
      <c r="UV279" s="3"/>
      <c r="UW279" s="3"/>
      <c r="UX279" s="3"/>
      <c r="UY279" s="3"/>
      <c r="UZ279" s="3"/>
      <c r="VA279" s="3"/>
      <c r="VB279" s="3"/>
      <c r="VC279" s="3"/>
      <c r="VD279" s="3"/>
      <c r="VE279" s="3"/>
      <c r="VF279" s="3"/>
      <c r="VG279" s="3"/>
      <c r="VH279" s="3"/>
      <c r="VI279" s="3"/>
      <c r="VJ279" s="3"/>
      <c r="VK279" s="3"/>
      <c r="VL279" s="3"/>
      <c r="VM279" s="3"/>
      <c r="VN279" s="3"/>
      <c r="VO279" s="3"/>
      <c r="VP279" s="3"/>
      <c r="VQ279" s="3"/>
      <c r="VR279" s="3"/>
      <c r="VS279" s="3"/>
      <c r="VT279" s="3"/>
      <c r="VU279" s="3"/>
      <c r="VV279" s="3"/>
      <c r="VW279" s="3"/>
      <c r="VX279" s="3"/>
      <c r="VY279" s="3"/>
      <c r="VZ279" s="3"/>
      <c r="WA279" s="3"/>
      <c r="WB279" s="3"/>
      <c r="WC279" s="3"/>
      <c r="WD279" s="3"/>
      <c r="WE279" s="3"/>
      <c r="WF279" s="3"/>
      <c r="WG279" s="3"/>
      <c r="WH279" s="3"/>
      <c r="WI279" s="3"/>
      <c r="WJ279" s="3"/>
      <c r="WK279" s="3"/>
      <c r="WL279" s="3"/>
      <c r="WM279" s="3"/>
      <c r="WN279" s="3"/>
      <c r="WO279" s="3"/>
      <c r="WP279" s="3"/>
      <c r="WQ279" s="3"/>
      <c r="WR279" s="3"/>
      <c r="WS279" s="3"/>
      <c r="WT279" s="3"/>
      <c r="WU279" s="3"/>
      <c r="WV279" s="3"/>
      <c r="WW279" s="3"/>
      <c r="WX279" s="3"/>
      <c r="WY279" s="3"/>
      <c r="WZ279" s="3"/>
      <c r="XA279" s="3"/>
      <c r="XB279" s="3"/>
      <c r="XC279" s="3"/>
      <c r="XD279" s="3"/>
      <c r="XE279" s="3"/>
      <c r="XF279" s="3"/>
      <c r="XG279" s="3"/>
      <c r="XH279" s="3"/>
      <c r="XI279" s="3"/>
      <c r="XJ279" s="3"/>
      <c r="XK279" s="3"/>
      <c r="XL279" s="3"/>
      <c r="XM279" s="3"/>
      <c r="XN279" s="3"/>
      <c r="XO279" s="3"/>
      <c r="XP279" s="3"/>
      <c r="XQ279" s="3"/>
      <c r="XR279" s="3"/>
      <c r="XS279" s="3"/>
      <c r="XT279" s="3"/>
      <c r="XU279" s="3"/>
      <c r="XV279" s="3"/>
      <c r="XW279" s="3"/>
      <c r="XX279" s="3"/>
      <c r="XY279" s="3"/>
      <c r="XZ279" s="3"/>
      <c r="YA279" s="3"/>
      <c r="YB279" s="3"/>
      <c r="YC279" s="3"/>
      <c r="YD279" s="3"/>
      <c r="YE279" s="3"/>
      <c r="YF279" s="3"/>
      <c r="YG279" s="3"/>
      <c r="YH279" s="3"/>
      <c r="YI279" s="3"/>
      <c r="YJ279" s="3"/>
      <c r="YK279" s="3"/>
      <c r="YL279" s="3"/>
      <c r="YM279" s="3"/>
      <c r="YN279" s="3"/>
      <c r="YO279" s="3"/>
      <c r="YP279" s="3"/>
      <c r="YQ279" s="3"/>
      <c r="YR279" s="3"/>
      <c r="YS279" s="3"/>
      <c r="YT279" s="3"/>
      <c r="YU279" s="3"/>
      <c r="YV279" s="3"/>
      <c r="YW279" s="3"/>
      <c r="YX279" s="3"/>
      <c r="YY279" s="3"/>
      <c r="YZ279" s="3"/>
      <c r="ZA279" s="3"/>
      <c r="ZB279" s="3"/>
      <c r="ZC279" s="3"/>
    </row>
    <row r="280" spans="1:679" s="2" customFormat="1" x14ac:dyDescent="0.45">
      <c r="A280" s="3" t="s">
        <v>11</v>
      </c>
      <c r="B280" s="4">
        <v>38085</v>
      </c>
      <c r="C280" s="7" t="s">
        <v>25</v>
      </c>
      <c r="D280" s="6" t="s">
        <v>299</v>
      </c>
      <c r="E280" s="3"/>
      <c r="F280" s="3">
        <v>19</v>
      </c>
      <c r="L280" s="3"/>
      <c r="M280" s="3"/>
      <c r="N280" s="48"/>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c r="CO280" s="3"/>
      <c r="CP280" s="3"/>
      <c r="CQ280" s="3"/>
      <c r="CR280" s="3"/>
      <c r="CS280" s="3"/>
      <c r="CT280" s="3"/>
      <c r="CU280" s="3"/>
      <c r="CV280" s="3"/>
      <c r="CW280" s="3"/>
      <c r="CX280" s="3"/>
      <c r="CY280" s="3"/>
      <c r="CZ280" s="3"/>
      <c r="DA280" s="3"/>
      <c r="DB280" s="3"/>
      <c r="DC280" s="3"/>
      <c r="DD280" s="3"/>
      <c r="DE280" s="3"/>
      <c r="DF280" s="3"/>
      <c r="DG280" s="3"/>
      <c r="DH280" s="3"/>
      <c r="DI280" s="3"/>
      <c r="DJ280" s="3"/>
      <c r="DK280" s="3"/>
      <c r="DL280" s="3"/>
      <c r="DM280" s="3"/>
      <c r="DN280" s="3"/>
      <c r="DO280" s="3"/>
      <c r="DP280" s="3"/>
      <c r="DQ280" s="3"/>
      <c r="DR280" s="3"/>
      <c r="DS280" s="3"/>
      <c r="DT280" s="3"/>
      <c r="DU280" s="3"/>
      <c r="DV280" s="3"/>
      <c r="DW280" s="3"/>
      <c r="DX280" s="3"/>
      <c r="DY280" s="3"/>
      <c r="DZ280" s="3"/>
      <c r="EA280" s="3"/>
      <c r="EB280" s="3"/>
      <c r="EC280" s="3"/>
      <c r="ED280" s="3"/>
      <c r="EE280" s="3"/>
      <c r="EF280" s="3"/>
      <c r="EG280" s="3"/>
      <c r="EH280" s="3"/>
      <c r="EI280" s="3"/>
      <c r="EJ280" s="3"/>
      <c r="EK280" s="3"/>
      <c r="EL280" s="3"/>
      <c r="EM280" s="3"/>
      <c r="EN280" s="3"/>
      <c r="EO280" s="3"/>
      <c r="EP280" s="3"/>
      <c r="EQ280" s="3"/>
      <c r="ER280" s="3"/>
      <c r="ES280" s="3"/>
      <c r="ET280" s="3"/>
      <c r="EU280" s="3"/>
      <c r="EV280" s="3"/>
      <c r="EW280" s="3"/>
      <c r="EX280" s="3"/>
      <c r="EY280" s="3"/>
      <c r="EZ280" s="3"/>
      <c r="FA280" s="3"/>
      <c r="FB280" s="3"/>
      <c r="FC280" s="3"/>
      <c r="FD280" s="3"/>
      <c r="FE280" s="3"/>
      <c r="FF280" s="3"/>
      <c r="FG280" s="3"/>
      <c r="FH280" s="3"/>
      <c r="FI280" s="3"/>
      <c r="FJ280" s="3"/>
      <c r="FK280" s="3"/>
      <c r="FL280" s="3"/>
      <c r="FM280" s="3"/>
      <c r="FN280" s="3"/>
      <c r="FO280" s="3"/>
      <c r="FP280" s="3"/>
      <c r="FQ280" s="3"/>
      <c r="FR280" s="3"/>
      <c r="FS280" s="3"/>
      <c r="FT280" s="3"/>
      <c r="FU280" s="3"/>
      <c r="FV280" s="3"/>
      <c r="FW280" s="3"/>
      <c r="FX280" s="3"/>
      <c r="FY280" s="3"/>
      <c r="FZ280" s="3"/>
      <c r="GA280" s="3"/>
      <c r="GB280" s="3"/>
      <c r="GC280" s="3"/>
      <c r="GD280" s="3"/>
      <c r="GE280" s="3"/>
      <c r="GF280" s="3"/>
      <c r="GG280" s="3"/>
      <c r="GH280" s="3"/>
      <c r="GI280" s="3"/>
      <c r="GJ280" s="3"/>
      <c r="GK280" s="3"/>
      <c r="GL280" s="3"/>
      <c r="GM280" s="3"/>
      <c r="GN280" s="3"/>
      <c r="GO280" s="3"/>
      <c r="GP280" s="3"/>
      <c r="GQ280" s="3"/>
      <c r="GR280" s="3"/>
      <c r="GS280" s="3"/>
      <c r="GT280" s="3"/>
      <c r="GU280" s="3"/>
      <c r="GV280" s="3"/>
      <c r="GW280" s="3"/>
      <c r="GX280" s="3"/>
      <c r="GY280" s="3"/>
      <c r="GZ280" s="3"/>
      <c r="HA280" s="3"/>
      <c r="HB280" s="3"/>
      <c r="HC280" s="3"/>
      <c r="HD280" s="3"/>
      <c r="HE280" s="3"/>
      <c r="HF280" s="3"/>
      <c r="HG280" s="3"/>
      <c r="HH280" s="3"/>
      <c r="HI280" s="3"/>
      <c r="HJ280" s="3"/>
      <c r="HK280" s="3"/>
      <c r="HL280" s="3"/>
      <c r="HM280" s="3"/>
      <c r="HN280" s="3"/>
      <c r="HO280" s="3"/>
      <c r="HP280" s="3"/>
      <c r="HQ280" s="3"/>
      <c r="HR280" s="3"/>
      <c r="HS280" s="3"/>
      <c r="HT280" s="3"/>
      <c r="HU280" s="3"/>
      <c r="HV280" s="3"/>
      <c r="HW280" s="3"/>
      <c r="HX280" s="3"/>
      <c r="HY280" s="3"/>
      <c r="HZ280" s="3"/>
      <c r="IA280" s="3"/>
      <c r="IB280" s="3"/>
      <c r="IC280" s="3"/>
      <c r="ID280" s="3"/>
      <c r="IE280" s="3"/>
      <c r="IF280" s="3"/>
      <c r="IG280" s="3"/>
      <c r="IH280" s="3"/>
      <c r="II280" s="3"/>
      <c r="IJ280" s="3"/>
      <c r="IK280" s="3"/>
      <c r="IL280" s="3"/>
      <c r="IM280" s="3"/>
      <c r="IN280" s="3"/>
      <c r="IO280" s="3"/>
      <c r="IP280" s="3"/>
      <c r="IQ280" s="3"/>
      <c r="IR280" s="3"/>
      <c r="IS280" s="3"/>
      <c r="IT280" s="3"/>
      <c r="IU280" s="3"/>
      <c r="IV280" s="3"/>
      <c r="IW280" s="3"/>
      <c r="IX280" s="3"/>
      <c r="IY280" s="3"/>
      <c r="IZ280" s="3"/>
      <c r="JA280" s="3"/>
      <c r="JB280" s="3"/>
      <c r="JC280" s="3"/>
      <c r="JD280" s="3"/>
      <c r="JE280" s="3"/>
      <c r="JF280" s="3"/>
      <c r="JG280" s="3"/>
      <c r="JH280" s="3"/>
      <c r="JI280" s="3"/>
      <c r="JJ280" s="3"/>
      <c r="JK280" s="3"/>
      <c r="JL280" s="3"/>
      <c r="JM280" s="3"/>
      <c r="JN280" s="3"/>
      <c r="JO280" s="3"/>
      <c r="JP280" s="3"/>
      <c r="JQ280" s="3"/>
      <c r="JR280" s="3"/>
      <c r="JS280" s="3"/>
      <c r="JT280" s="3"/>
      <c r="JU280" s="3"/>
      <c r="JV280" s="3"/>
      <c r="JW280" s="3"/>
      <c r="JX280" s="3"/>
      <c r="JY280" s="3"/>
      <c r="JZ280" s="3"/>
      <c r="KA280" s="3"/>
      <c r="KB280" s="3"/>
      <c r="KC280" s="3"/>
      <c r="KD280" s="3"/>
      <c r="KE280" s="3"/>
      <c r="KF280" s="3"/>
      <c r="KG280" s="3"/>
      <c r="KH280" s="3"/>
      <c r="KI280" s="3"/>
      <c r="KJ280" s="3"/>
      <c r="KK280" s="3"/>
      <c r="KL280" s="3"/>
      <c r="KM280" s="3"/>
      <c r="KN280" s="3"/>
      <c r="KO280" s="3"/>
      <c r="KP280" s="3"/>
      <c r="KQ280" s="3"/>
      <c r="KR280" s="3"/>
      <c r="KS280" s="3"/>
      <c r="KT280" s="3"/>
      <c r="KU280" s="3"/>
      <c r="KV280" s="3"/>
      <c r="KW280" s="3"/>
      <c r="KX280" s="3"/>
      <c r="KY280" s="3"/>
      <c r="KZ280" s="3"/>
      <c r="LA280" s="3"/>
      <c r="LB280" s="3"/>
      <c r="LC280" s="3"/>
      <c r="LD280" s="3"/>
      <c r="LE280" s="3"/>
      <c r="LF280" s="3"/>
      <c r="LG280" s="3"/>
      <c r="LH280" s="3"/>
      <c r="LI280" s="3"/>
      <c r="LJ280" s="3"/>
      <c r="LK280" s="3"/>
      <c r="LL280" s="3"/>
      <c r="LM280" s="3"/>
      <c r="LN280" s="3"/>
      <c r="LO280" s="3"/>
      <c r="LP280" s="3"/>
      <c r="LQ280" s="3"/>
      <c r="LR280" s="3"/>
      <c r="LS280" s="3"/>
      <c r="LT280" s="3"/>
      <c r="LU280" s="3"/>
      <c r="LV280" s="3"/>
      <c r="LW280" s="3"/>
      <c r="LX280" s="3"/>
      <c r="LY280" s="3"/>
      <c r="LZ280" s="3"/>
      <c r="MA280" s="3"/>
      <c r="MB280" s="3"/>
      <c r="MC280" s="3"/>
      <c r="MD280" s="3"/>
      <c r="ME280" s="3"/>
      <c r="MF280" s="3"/>
      <c r="MG280" s="3"/>
      <c r="MH280" s="3"/>
      <c r="MI280" s="3"/>
      <c r="MJ280" s="3"/>
      <c r="MK280" s="3"/>
      <c r="ML280" s="3"/>
      <c r="MM280" s="3"/>
      <c r="MN280" s="3"/>
      <c r="MO280" s="3"/>
      <c r="MP280" s="3"/>
      <c r="MQ280" s="3"/>
      <c r="MR280" s="3"/>
      <c r="MS280" s="3"/>
      <c r="MT280" s="3"/>
      <c r="MU280" s="3"/>
      <c r="MV280" s="3"/>
      <c r="MW280" s="3"/>
      <c r="MX280" s="3"/>
      <c r="MY280" s="3"/>
      <c r="MZ280" s="3"/>
      <c r="NA280" s="3"/>
      <c r="NB280" s="3"/>
      <c r="NC280" s="3"/>
      <c r="ND280" s="3"/>
      <c r="NE280" s="3"/>
      <c r="NF280" s="3"/>
      <c r="NG280" s="3"/>
      <c r="NH280" s="3"/>
      <c r="NI280" s="3"/>
      <c r="NJ280" s="3"/>
      <c r="NK280" s="3"/>
      <c r="NL280" s="3"/>
      <c r="NM280" s="3"/>
      <c r="NN280" s="3"/>
      <c r="NO280" s="3"/>
      <c r="NP280" s="3"/>
      <c r="NQ280" s="3"/>
      <c r="NR280" s="3"/>
      <c r="NS280" s="3"/>
      <c r="NT280" s="3"/>
      <c r="NU280" s="3"/>
      <c r="NV280" s="3"/>
      <c r="NW280" s="3"/>
      <c r="NX280" s="3"/>
      <c r="NY280" s="3"/>
      <c r="NZ280" s="3"/>
      <c r="OA280" s="3"/>
      <c r="OB280" s="3"/>
      <c r="OC280" s="3"/>
      <c r="OD280" s="3"/>
      <c r="OE280" s="3"/>
      <c r="OF280" s="3"/>
      <c r="OG280" s="3"/>
      <c r="OH280" s="3"/>
      <c r="OI280" s="3"/>
      <c r="OJ280" s="3"/>
      <c r="OK280" s="3"/>
      <c r="OL280" s="3"/>
      <c r="OM280" s="3"/>
      <c r="ON280" s="3"/>
      <c r="OO280" s="3"/>
      <c r="OP280" s="3"/>
      <c r="OQ280" s="3"/>
      <c r="OR280" s="3"/>
      <c r="OS280" s="3"/>
      <c r="OT280" s="3"/>
      <c r="OU280" s="3"/>
      <c r="OV280" s="3"/>
      <c r="OW280" s="3"/>
      <c r="OX280" s="3"/>
      <c r="OY280" s="3"/>
      <c r="OZ280" s="3"/>
      <c r="PA280" s="3"/>
      <c r="PB280" s="3"/>
      <c r="PC280" s="3"/>
      <c r="PD280" s="3"/>
      <c r="PE280" s="3"/>
      <c r="PF280" s="3"/>
      <c r="PG280" s="3"/>
      <c r="PH280" s="3"/>
      <c r="PI280" s="3"/>
      <c r="PJ280" s="3"/>
      <c r="PK280" s="3"/>
      <c r="PL280" s="3"/>
      <c r="PM280" s="3"/>
      <c r="PN280" s="3"/>
      <c r="PO280" s="3"/>
      <c r="PP280" s="3"/>
      <c r="PQ280" s="3"/>
      <c r="PR280" s="3"/>
      <c r="PS280" s="3"/>
      <c r="PT280" s="3"/>
      <c r="PU280" s="3"/>
      <c r="PV280" s="3"/>
      <c r="PW280" s="3"/>
      <c r="PX280" s="3"/>
      <c r="PY280" s="3"/>
      <c r="PZ280" s="3"/>
      <c r="QA280" s="3"/>
      <c r="QB280" s="3"/>
      <c r="QC280" s="3"/>
      <c r="QD280" s="3"/>
      <c r="QE280" s="3"/>
      <c r="QF280" s="3"/>
      <c r="QG280" s="3"/>
      <c r="QH280" s="3"/>
      <c r="QI280" s="3"/>
      <c r="QJ280" s="3"/>
      <c r="QK280" s="3"/>
      <c r="QL280" s="3"/>
      <c r="QM280" s="3"/>
      <c r="QN280" s="3"/>
      <c r="QO280" s="3"/>
      <c r="QP280" s="3"/>
      <c r="QQ280" s="3"/>
      <c r="QR280" s="3"/>
      <c r="QS280" s="3"/>
      <c r="QT280" s="3"/>
      <c r="QU280" s="3"/>
      <c r="QV280" s="3"/>
      <c r="QW280" s="3"/>
      <c r="QX280" s="3"/>
      <c r="QY280" s="3"/>
      <c r="QZ280" s="3"/>
      <c r="RA280" s="3"/>
      <c r="RB280" s="3"/>
      <c r="RC280" s="3"/>
      <c r="RD280" s="3"/>
      <c r="RE280" s="3"/>
      <c r="RF280" s="3"/>
      <c r="RG280" s="3"/>
      <c r="RH280" s="3"/>
      <c r="RI280" s="3"/>
      <c r="RJ280" s="3"/>
      <c r="RK280" s="3"/>
      <c r="RL280" s="3"/>
      <c r="RM280" s="3"/>
      <c r="RN280" s="3"/>
      <c r="RO280" s="3"/>
      <c r="RP280" s="3"/>
      <c r="RQ280" s="3"/>
      <c r="RR280" s="3"/>
      <c r="RS280" s="3"/>
      <c r="RT280" s="3"/>
      <c r="RU280" s="3"/>
      <c r="RV280" s="3"/>
      <c r="RW280" s="3"/>
      <c r="RX280" s="3"/>
      <c r="RY280" s="3"/>
      <c r="RZ280" s="3"/>
      <c r="SA280" s="3"/>
      <c r="SB280" s="3"/>
      <c r="SC280" s="3"/>
      <c r="SD280" s="3"/>
      <c r="SE280" s="3"/>
      <c r="SF280" s="3"/>
      <c r="SG280" s="3"/>
      <c r="SH280" s="3"/>
      <c r="SI280" s="3"/>
      <c r="SJ280" s="3"/>
      <c r="SK280" s="3"/>
      <c r="SL280" s="3"/>
      <c r="SM280" s="3"/>
      <c r="SN280" s="3"/>
      <c r="SO280" s="3"/>
      <c r="SP280" s="3"/>
      <c r="SQ280" s="3"/>
      <c r="SR280" s="3"/>
      <c r="SS280" s="3"/>
      <c r="ST280" s="3"/>
      <c r="SU280" s="3"/>
      <c r="SV280" s="3"/>
      <c r="SW280" s="3"/>
      <c r="SX280" s="3"/>
      <c r="SY280" s="3"/>
      <c r="SZ280" s="3"/>
      <c r="TA280" s="3"/>
      <c r="TB280" s="3"/>
      <c r="TC280" s="3"/>
      <c r="TD280" s="3"/>
      <c r="TE280" s="3"/>
      <c r="TF280" s="3"/>
      <c r="TG280" s="3"/>
      <c r="TH280" s="3"/>
      <c r="TI280" s="3"/>
      <c r="TJ280" s="3"/>
      <c r="TK280" s="3"/>
      <c r="TL280" s="3"/>
      <c r="TM280" s="3"/>
      <c r="TN280" s="3"/>
      <c r="TO280" s="3"/>
      <c r="TP280" s="3"/>
      <c r="TQ280" s="3"/>
      <c r="TR280" s="3"/>
      <c r="TS280" s="3"/>
      <c r="TT280" s="3"/>
      <c r="TU280" s="3"/>
      <c r="TV280" s="3"/>
      <c r="TW280" s="3"/>
      <c r="TX280" s="3"/>
      <c r="TY280" s="3"/>
      <c r="TZ280" s="3"/>
      <c r="UA280" s="3"/>
      <c r="UB280" s="3"/>
      <c r="UC280" s="3"/>
      <c r="UD280" s="3"/>
      <c r="UE280" s="3"/>
      <c r="UF280" s="3"/>
      <c r="UG280" s="3"/>
      <c r="UH280" s="3"/>
      <c r="UI280" s="3"/>
      <c r="UJ280" s="3"/>
      <c r="UK280" s="3"/>
      <c r="UL280" s="3"/>
      <c r="UM280" s="3"/>
      <c r="UN280" s="3"/>
      <c r="UO280" s="3"/>
      <c r="UP280" s="3"/>
      <c r="UQ280" s="3"/>
      <c r="UR280" s="3"/>
      <c r="US280" s="3"/>
      <c r="UT280" s="3"/>
      <c r="UU280" s="3"/>
      <c r="UV280" s="3"/>
      <c r="UW280" s="3"/>
      <c r="UX280" s="3"/>
      <c r="UY280" s="3"/>
      <c r="UZ280" s="3"/>
      <c r="VA280" s="3"/>
      <c r="VB280" s="3"/>
      <c r="VC280" s="3"/>
      <c r="VD280" s="3"/>
      <c r="VE280" s="3"/>
      <c r="VF280" s="3"/>
      <c r="VG280" s="3"/>
      <c r="VH280" s="3"/>
      <c r="VI280" s="3"/>
      <c r="VJ280" s="3"/>
      <c r="VK280" s="3"/>
      <c r="VL280" s="3"/>
      <c r="VM280" s="3"/>
      <c r="VN280" s="3"/>
      <c r="VO280" s="3"/>
      <c r="VP280" s="3"/>
      <c r="VQ280" s="3"/>
      <c r="VR280" s="3"/>
      <c r="VS280" s="3"/>
      <c r="VT280" s="3"/>
      <c r="VU280" s="3"/>
      <c r="VV280" s="3"/>
      <c r="VW280" s="3"/>
      <c r="VX280" s="3"/>
      <c r="VY280" s="3"/>
      <c r="VZ280" s="3"/>
      <c r="WA280" s="3"/>
      <c r="WB280" s="3"/>
      <c r="WC280" s="3"/>
      <c r="WD280" s="3"/>
      <c r="WE280" s="3"/>
      <c r="WF280" s="3"/>
      <c r="WG280" s="3"/>
      <c r="WH280" s="3"/>
      <c r="WI280" s="3"/>
      <c r="WJ280" s="3"/>
      <c r="WK280" s="3"/>
      <c r="WL280" s="3"/>
      <c r="WM280" s="3"/>
      <c r="WN280" s="3"/>
      <c r="WO280" s="3"/>
      <c r="WP280" s="3"/>
      <c r="WQ280" s="3"/>
      <c r="WR280" s="3"/>
      <c r="WS280" s="3"/>
      <c r="WT280" s="3"/>
      <c r="WU280" s="3"/>
      <c r="WV280" s="3"/>
      <c r="WW280" s="3"/>
      <c r="WX280" s="3"/>
      <c r="WY280" s="3"/>
      <c r="WZ280" s="3"/>
      <c r="XA280" s="3"/>
      <c r="XB280" s="3"/>
      <c r="XC280" s="3"/>
      <c r="XD280" s="3"/>
      <c r="XE280" s="3"/>
      <c r="XF280" s="3"/>
      <c r="XG280" s="3"/>
      <c r="XH280" s="3"/>
      <c r="XI280" s="3"/>
      <c r="XJ280" s="3"/>
      <c r="XK280" s="3"/>
      <c r="XL280" s="3"/>
      <c r="XM280" s="3"/>
      <c r="XN280" s="3"/>
      <c r="XO280" s="3"/>
      <c r="XP280" s="3"/>
      <c r="XQ280" s="3"/>
      <c r="XR280" s="3"/>
      <c r="XS280" s="3"/>
      <c r="XT280" s="3"/>
      <c r="XU280" s="3"/>
      <c r="XV280" s="3"/>
      <c r="XW280" s="3"/>
      <c r="XX280" s="3"/>
      <c r="XY280" s="3"/>
      <c r="XZ280" s="3"/>
      <c r="YA280" s="3"/>
      <c r="YB280" s="3"/>
      <c r="YC280" s="3"/>
      <c r="YD280" s="3"/>
      <c r="YE280" s="3"/>
      <c r="YF280" s="3"/>
      <c r="YG280" s="3"/>
      <c r="YH280" s="3"/>
      <c r="YI280" s="3"/>
      <c r="YJ280" s="3"/>
      <c r="YK280" s="3"/>
      <c r="YL280" s="3"/>
      <c r="YM280" s="3"/>
      <c r="YN280" s="3"/>
      <c r="YO280" s="3"/>
      <c r="YP280" s="3"/>
      <c r="YQ280" s="3"/>
      <c r="YR280" s="3"/>
      <c r="YS280" s="3"/>
      <c r="YT280" s="3"/>
      <c r="YU280" s="3"/>
      <c r="YV280" s="3"/>
      <c r="YW280" s="3"/>
      <c r="YX280" s="3"/>
      <c r="YY280" s="3"/>
      <c r="YZ280" s="3"/>
      <c r="ZA280" s="3"/>
      <c r="ZB280" s="3"/>
      <c r="ZC280" s="3"/>
    </row>
    <row r="281" spans="1:679" s="2" customFormat="1" x14ac:dyDescent="0.45">
      <c r="A281" s="3" t="s">
        <v>11</v>
      </c>
      <c r="B281" s="4">
        <v>38170</v>
      </c>
      <c r="C281" s="7" t="s">
        <v>25</v>
      </c>
      <c r="D281" s="6" t="s">
        <v>300</v>
      </c>
      <c r="E281" s="3"/>
      <c r="F281" s="3">
        <v>2</v>
      </c>
      <c r="L281" s="3"/>
      <c r="M281" s="3"/>
      <c r="N281" s="48"/>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c r="CO281" s="3"/>
      <c r="CP281" s="3"/>
      <c r="CQ281" s="3"/>
      <c r="CR281" s="3"/>
      <c r="CS281" s="3"/>
      <c r="CT281" s="3"/>
      <c r="CU281" s="3"/>
      <c r="CV281" s="3"/>
      <c r="CW281" s="3"/>
      <c r="CX281" s="3"/>
      <c r="CY281" s="3"/>
      <c r="CZ281" s="3"/>
      <c r="DA281" s="3"/>
      <c r="DB281" s="3"/>
      <c r="DC281" s="3"/>
      <c r="DD281" s="3"/>
      <c r="DE281" s="3"/>
      <c r="DF281" s="3"/>
      <c r="DG281" s="3"/>
      <c r="DH281" s="3"/>
      <c r="DI281" s="3"/>
      <c r="DJ281" s="3"/>
      <c r="DK281" s="3"/>
      <c r="DL281" s="3"/>
      <c r="DM281" s="3"/>
      <c r="DN281" s="3"/>
      <c r="DO281" s="3"/>
      <c r="DP281" s="3"/>
      <c r="DQ281" s="3"/>
      <c r="DR281" s="3"/>
      <c r="DS281" s="3"/>
      <c r="DT281" s="3"/>
      <c r="DU281" s="3"/>
      <c r="DV281" s="3"/>
      <c r="DW281" s="3"/>
      <c r="DX281" s="3"/>
      <c r="DY281" s="3"/>
      <c r="DZ281" s="3"/>
      <c r="EA281" s="3"/>
      <c r="EB281" s="3"/>
      <c r="EC281" s="3"/>
      <c r="ED281" s="3"/>
      <c r="EE281" s="3"/>
      <c r="EF281" s="3"/>
      <c r="EG281" s="3"/>
      <c r="EH281" s="3"/>
      <c r="EI281" s="3"/>
      <c r="EJ281" s="3"/>
      <c r="EK281" s="3"/>
      <c r="EL281" s="3"/>
      <c r="EM281" s="3"/>
      <c r="EN281" s="3"/>
      <c r="EO281" s="3"/>
      <c r="EP281" s="3"/>
      <c r="EQ281" s="3"/>
      <c r="ER281" s="3"/>
      <c r="ES281" s="3"/>
      <c r="ET281" s="3"/>
      <c r="EU281" s="3"/>
      <c r="EV281" s="3"/>
      <c r="EW281" s="3"/>
      <c r="EX281" s="3"/>
      <c r="EY281" s="3"/>
      <c r="EZ281" s="3"/>
      <c r="FA281" s="3"/>
      <c r="FB281" s="3"/>
      <c r="FC281" s="3"/>
      <c r="FD281" s="3"/>
      <c r="FE281" s="3"/>
      <c r="FF281" s="3"/>
      <c r="FG281" s="3"/>
      <c r="FH281" s="3"/>
      <c r="FI281" s="3"/>
      <c r="FJ281" s="3"/>
      <c r="FK281" s="3"/>
      <c r="FL281" s="3"/>
      <c r="FM281" s="3"/>
      <c r="FN281" s="3"/>
      <c r="FO281" s="3"/>
      <c r="FP281" s="3"/>
      <c r="FQ281" s="3"/>
      <c r="FR281" s="3"/>
      <c r="FS281" s="3"/>
      <c r="FT281" s="3"/>
      <c r="FU281" s="3"/>
      <c r="FV281" s="3"/>
      <c r="FW281" s="3"/>
      <c r="FX281" s="3"/>
      <c r="FY281" s="3"/>
      <c r="FZ281" s="3"/>
      <c r="GA281" s="3"/>
      <c r="GB281" s="3"/>
      <c r="GC281" s="3"/>
      <c r="GD281" s="3"/>
      <c r="GE281" s="3"/>
      <c r="GF281" s="3"/>
      <c r="GG281" s="3"/>
      <c r="GH281" s="3"/>
      <c r="GI281" s="3"/>
      <c r="GJ281" s="3"/>
      <c r="GK281" s="3"/>
      <c r="GL281" s="3"/>
      <c r="GM281" s="3"/>
      <c r="GN281" s="3"/>
      <c r="GO281" s="3"/>
      <c r="GP281" s="3"/>
      <c r="GQ281" s="3"/>
      <c r="GR281" s="3"/>
      <c r="GS281" s="3"/>
      <c r="GT281" s="3"/>
      <c r="GU281" s="3"/>
      <c r="GV281" s="3"/>
      <c r="GW281" s="3"/>
      <c r="GX281" s="3"/>
      <c r="GY281" s="3"/>
      <c r="GZ281" s="3"/>
      <c r="HA281" s="3"/>
      <c r="HB281" s="3"/>
      <c r="HC281" s="3"/>
      <c r="HD281" s="3"/>
      <c r="HE281" s="3"/>
      <c r="HF281" s="3"/>
      <c r="HG281" s="3"/>
      <c r="HH281" s="3"/>
      <c r="HI281" s="3"/>
      <c r="HJ281" s="3"/>
      <c r="HK281" s="3"/>
      <c r="HL281" s="3"/>
      <c r="HM281" s="3"/>
      <c r="HN281" s="3"/>
      <c r="HO281" s="3"/>
      <c r="HP281" s="3"/>
      <c r="HQ281" s="3"/>
      <c r="HR281" s="3"/>
      <c r="HS281" s="3"/>
      <c r="HT281" s="3"/>
      <c r="HU281" s="3"/>
      <c r="HV281" s="3"/>
      <c r="HW281" s="3"/>
      <c r="HX281" s="3"/>
      <c r="HY281" s="3"/>
      <c r="HZ281" s="3"/>
      <c r="IA281" s="3"/>
      <c r="IB281" s="3"/>
      <c r="IC281" s="3"/>
      <c r="ID281" s="3"/>
      <c r="IE281" s="3"/>
      <c r="IF281" s="3"/>
      <c r="IG281" s="3"/>
      <c r="IH281" s="3"/>
      <c r="II281" s="3"/>
      <c r="IJ281" s="3"/>
      <c r="IK281" s="3"/>
      <c r="IL281" s="3"/>
      <c r="IM281" s="3"/>
      <c r="IN281" s="3"/>
      <c r="IO281" s="3"/>
      <c r="IP281" s="3"/>
      <c r="IQ281" s="3"/>
      <c r="IR281" s="3"/>
      <c r="IS281" s="3"/>
      <c r="IT281" s="3"/>
      <c r="IU281" s="3"/>
      <c r="IV281" s="3"/>
      <c r="IW281" s="3"/>
      <c r="IX281" s="3"/>
      <c r="IY281" s="3"/>
      <c r="IZ281" s="3"/>
      <c r="JA281" s="3"/>
      <c r="JB281" s="3"/>
      <c r="JC281" s="3"/>
      <c r="JD281" s="3"/>
      <c r="JE281" s="3"/>
      <c r="JF281" s="3"/>
      <c r="JG281" s="3"/>
      <c r="JH281" s="3"/>
      <c r="JI281" s="3"/>
      <c r="JJ281" s="3"/>
      <c r="JK281" s="3"/>
      <c r="JL281" s="3"/>
      <c r="JM281" s="3"/>
      <c r="JN281" s="3"/>
      <c r="JO281" s="3"/>
      <c r="JP281" s="3"/>
      <c r="JQ281" s="3"/>
      <c r="JR281" s="3"/>
      <c r="JS281" s="3"/>
      <c r="JT281" s="3"/>
      <c r="JU281" s="3"/>
      <c r="JV281" s="3"/>
      <c r="JW281" s="3"/>
      <c r="JX281" s="3"/>
      <c r="JY281" s="3"/>
      <c r="JZ281" s="3"/>
      <c r="KA281" s="3"/>
      <c r="KB281" s="3"/>
      <c r="KC281" s="3"/>
      <c r="KD281" s="3"/>
      <c r="KE281" s="3"/>
      <c r="KF281" s="3"/>
      <c r="KG281" s="3"/>
      <c r="KH281" s="3"/>
      <c r="KI281" s="3"/>
      <c r="KJ281" s="3"/>
      <c r="KK281" s="3"/>
      <c r="KL281" s="3"/>
      <c r="KM281" s="3"/>
      <c r="KN281" s="3"/>
      <c r="KO281" s="3"/>
      <c r="KP281" s="3"/>
      <c r="KQ281" s="3"/>
      <c r="KR281" s="3"/>
      <c r="KS281" s="3"/>
      <c r="KT281" s="3"/>
      <c r="KU281" s="3"/>
      <c r="KV281" s="3"/>
      <c r="KW281" s="3"/>
      <c r="KX281" s="3"/>
      <c r="KY281" s="3"/>
      <c r="KZ281" s="3"/>
      <c r="LA281" s="3"/>
      <c r="LB281" s="3"/>
      <c r="LC281" s="3"/>
      <c r="LD281" s="3"/>
      <c r="LE281" s="3"/>
      <c r="LF281" s="3"/>
      <c r="LG281" s="3"/>
      <c r="LH281" s="3"/>
      <c r="LI281" s="3"/>
      <c r="LJ281" s="3"/>
      <c r="LK281" s="3"/>
      <c r="LL281" s="3"/>
      <c r="LM281" s="3"/>
      <c r="LN281" s="3"/>
      <c r="LO281" s="3"/>
      <c r="LP281" s="3"/>
      <c r="LQ281" s="3"/>
      <c r="LR281" s="3"/>
      <c r="LS281" s="3"/>
      <c r="LT281" s="3"/>
      <c r="LU281" s="3"/>
      <c r="LV281" s="3"/>
      <c r="LW281" s="3"/>
      <c r="LX281" s="3"/>
      <c r="LY281" s="3"/>
      <c r="LZ281" s="3"/>
      <c r="MA281" s="3"/>
      <c r="MB281" s="3"/>
      <c r="MC281" s="3"/>
      <c r="MD281" s="3"/>
      <c r="ME281" s="3"/>
      <c r="MF281" s="3"/>
      <c r="MG281" s="3"/>
      <c r="MH281" s="3"/>
      <c r="MI281" s="3"/>
      <c r="MJ281" s="3"/>
      <c r="MK281" s="3"/>
      <c r="ML281" s="3"/>
      <c r="MM281" s="3"/>
      <c r="MN281" s="3"/>
      <c r="MO281" s="3"/>
      <c r="MP281" s="3"/>
      <c r="MQ281" s="3"/>
      <c r="MR281" s="3"/>
      <c r="MS281" s="3"/>
      <c r="MT281" s="3"/>
      <c r="MU281" s="3"/>
      <c r="MV281" s="3"/>
      <c r="MW281" s="3"/>
      <c r="MX281" s="3"/>
      <c r="MY281" s="3"/>
      <c r="MZ281" s="3"/>
      <c r="NA281" s="3"/>
      <c r="NB281" s="3"/>
      <c r="NC281" s="3"/>
      <c r="ND281" s="3"/>
      <c r="NE281" s="3"/>
      <c r="NF281" s="3"/>
      <c r="NG281" s="3"/>
      <c r="NH281" s="3"/>
      <c r="NI281" s="3"/>
      <c r="NJ281" s="3"/>
      <c r="NK281" s="3"/>
      <c r="NL281" s="3"/>
      <c r="NM281" s="3"/>
      <c r="NN281" s="3"/>
      <c r="NO281" s="3"/>
      <c r="NP281" s="3"/>
      <c r="NQ281" s="3"/>
      <c r="NR281" s="3"/>
      <c r="NS281" s="3"/>
      <c r="NT281" s="3"/>
      <c r="NU281" s="3"/>
      <c r="NV281" s="3"/>
      <c r="NW281" s="3"/>
      <c r="NX281" s="3"/>
      <c r="NY281" s="3"/>
      <c r="NZ281" s="3"/>
      <c r="OA281" s="3"/>
      <c r="OB281" s="3"/>
      <c r="OC281" s="3"/>
      <c r="OD281" s="3"/>
      <c r="OE281" s="3"/>
      <c r="OF281" s="3"/>
      <c r="OG281" s="3"/>
      <c r="OH281" s="3"/>
      <c r="OI281" s="3"/>
      <c r="OJ281" s="3"/>
      <c r="OK281" s="3"/>
      <c r="OL281" s="3"/>
      <c r="OM281" s="3"/>
      <c r="ON281" s="3"/>
      <c r="OO281" s="3"/>
      <c r="OP281" s="3"/>
      <c r="OQ281" s="3"/>
      <c r="OR281" s="3"/>
      <c r="OS281" s="3"/>
      <c r="OT281" s="3"/>
      <c r="OU281" s="3"/>
      <c r="OV281" s="3"/>
      <c r="OW281" s="3"/>
      <c r="OX281" s="3"/>
      <c r="OY281" s="3"/>
      <c r="OZ281" s="3"/>
      <c r="PA281" s="3"/>
      <c r="PB281" s="3"/>
      <c r="PC281" s="3"/>
      <c r="PD281" s="3"/>
      <c r="PE281" s="3"/>
      <c r="PF281" s="3"/>
      <c r="PG281" s="3"/>
      <c r="PH281" s="3"/>
      <c r="PI281" s="3"/>
      <c r="PJ281" s="3"/>
      <c r="PK281" s="3"/>
      <c r="PL281" s="3"/>
      <c r="PM281" s="3"/>
      <c r="PN281" s="3"/>
      <c r="PO281" s="3"/>
      <c r="PP281" s="3"/>
      <c r="PQ281" s="3"/>
      <c r="PR281" s="3"/>
      <c r="PS281" s="3"/>
      <c r="PT281" s="3"/>
      <c r="PU281" s="3"/>
      <c r="PV281" s="3"/>
      <c r="PW281" s="3"/>
      <c r="PX281" s="3"/>
      <c r="PY281" s="3"/>
      <c r="PZ281" s="3"/>
      <c r="QA281" s="3"/>
      <c r="QB281" s="3"/>
      <c r="QC281" s="3"/>
      <c r="QD281" s="3"/>
      <c r="QE281" s="3"/>
      <c r="QF281" s="3"/>
      <c r="QG281" s="3"/>
      <c r="QH281" s="3"/>
      <c r="QI281" s="3"/>
      <c r="QJ281" s="3"/>
      <c r="QK281" s="3"/>
      <c r="QL281" s="3"/>
      <c r="QM281" s="3"/>
      <c r="QN281" s="3"/>
      <c r="QO281" s="3"/>
      <c r="QP281" s="3"/>
      <c r="QQ281" s="3"/>
      <c r="QR281" s="3"/>
      <c r="QS281" s="3"/>
      <c r="QT281" s="3"/>
      <c r="QU281" s="3"/>
      <c r="QV281" s="3"/>
      <c r="QW281" s="3"/>
      <c r="QX281" s="3"/>
      <c r="QY281" s="3"/>
      <c r="QZ281" s="3"/>
      <c r="RA281" s="3"/>
      <c r="RB281" s="3"/>
      <c r="RC281" s="3"/>
      <c r="RD281" s="3"/>
      <c r="RE281" s="3"/>
      <c r="RF281" s="3"/>
      <c r="RG281" s="3"/>
      <c r="RH281" s="3"/>
      <c r="RI281" s="3"/>
      <c r="RJ281" s="3"/>
      <c r="RK281" s="3"/>
      <c r="RL281" s="3"/>
      <c r="RM281" s="3"/>
      <c r="RN281" s="3"/>
      <c r="RO281" s="3"/>
      <c r="RP281" s="3"/>
      <c r="RQ281" s="3"/>
      <c r="RR281" s="3"/>
      <c r="RS281" s="3"/>
      <c r="RT281" s="3"/>
      <c r="RU281" s="3"/>
      <c r="RV281" s="3"/>
      <c r="RW281" s="3"/>
      <c r="RX281" s="3"/>
      <c r="RY281" s="3"/>
      <c r="RZ281" s="3"/>
      <c r="SA281" s="3"/>
      <c r="SB281" s="3"/>
      <c r="SC281" s="3"/>
      <c r="SD281" s="3"/>
      <c r="SE281" s="3"/>
      <c r="SF281" s="3"/>
      <c r="SG281" s="3"/>
      <c r="SH281" s="3"/>
      <c r="SI281" s="3"/>
      <c r="SJ281" s="3"/>
      <c r="SK281" s="3"/>
      <c r="SL281" s="3"/>
      <c r="SM281" s="3"/>
      <c r="SN281" s="3"/>
      <c r="SO281" s="3"/>
      <c r="SP281" s="3"/>
      <c r="SQ281" s="3"/>
      <c r="SR281" s="3"/>
      <c r="SS281" s="3"/>
      <c r="ST281" s="3"/>
      <c r="SU281" s="3"/>
      <c r="SV281" s="3"/>
      <c r="SW281" s="3"/>
      <c r="SX281" s="3"/>
      <c r="SY281" s="3"/>
      <c r="SZ281" s="3"/>
      <c r="TA281" s="3"/>
      <c r="TB281" s="3"/>
      <c r="TC281" s="3"/>
      <c r="TD281" s="3"/>
      <c r="TE281" s="3"/>
      <c r="TF281" s="3"/>
      <c r="TG281" s="3"/>
      <c r="TH281" s="3"/>
      <c r="TI281" s="3"/>
      <c r="TJ281" s="3"/>
      <c r="TK281" s="3"/>
      <c r="TL281" s="3"/>
      <c r="TM281" s="3"/>
      <c r="TN281" s="3"/>
      <c r="TO281" s="3"/>
      <c r="TP281" s="3"/>
      <c r="TQ281" s="3"/>
      <c r="TR281" s="3"/>
      <c r="TS281" s="3"/>
      <c r="TT281" s="3"/>
      <c r="TU281" s="3"/>
      <c r="TV281" s="3"/>
      <c r="TW281" s="3"/>
      <c r="TX281" s="3"/>
      <c r="TY281" s="3"/>
      <c r="TZ281" s="3"/>
      <c r="UA281" s="3"/>
      <c r="UB281" s="3"/>
      <c r="UC281" s="3"/>
      <c r="UD281" s="3"/>
      <c r="UE281" s="3"/>
      <c r="UF281" s="3"/>
      <c r="UG281" s="3"/>
      <c r="UH281" s="3"/>
      <c r="UI281" s="3"/>
      <c r="UJ281" s="3"/>
      <c r="UK281" s="3"/>
      <c r="UL281" s="3"/>
      <c r="UM281" s="3"/>
      <c r="UN281" s="3"/>
      <c r="UO281" s="3"/>
      <c r="UP281" s="3"/>
      <c r="UQ281" s="3"/>
      <c r="UR281" s="3"/>
      <c r="US281" s="3"/>
      <c r="UT281" s="3"/>
      <c r="UU281" s="3"/>
      <c r="UV281" s="3"/>
      <c r="UW281" s="3"/>
      <c r="UX281" s="3"/>
      <c r="UY281" s="3"/>
      <c r="UZ281" s="3"/>
      <c r="VA281" s="3"/>
      <c r="VB281" s="3"/>
      <c r="VC281" s="3"/>
      <c r="VD281" s="3"/>
      <c r="VE281" s="3"/>
      <c r="VF281" s="3"/>
      <c r="VG281" s="3"/>
      <c r="VH281" s="3"/>
      <c r="VI281" s="3"/>
      <c r="VJ281" s="3"/>
      <c r="VK281" s="3"/>
      <c r="VL281" s="3"/>
      <c r="VM281" s="3"/>
      <c r="VN281" s="3"/>
      <c r="VO281" s="3"/>
      <c r="VP281" s="3"/>
      <c r="VQ281" s="3"/>
      <c r="VR281" s="3"/>
      <c r="VS281" s="3"/>
      <c r="VT281" s="3"/>
      <c r="VU281" s="3"/>
      <c r="VV281" s="3"/>
      <c r="VW281" s="3"/>
      <c r="VX281" s="3"/>
      <c r="VY281" s="3"/>
      <c r="VZ281" s="3"/>
      <c r="WA281" s="3"/>
      <c r="WB281" s="3"/>
      <c r="WC281" s="3"/>
      <c r="WD281" s="3"/>
      <c r="WE281" s="3"/>
      <c r="WF281" s="3"/>
      <c r="WG281" s="3"/>
      <c r="WH281" s="3"/>
      <c r="WI281" s="3"/>
      <c r="WJ281" s="3"/>
      <c r="WK281" s="3"/>
      <c r="WL281" s="3"/>
      <c r="WM281" s="3"/>
      <c r="WN281" s="3"/>
      <c r="WO281" s="3"/>
      <c r="WP281" s="3"/>
      <c r="WQ281" s="3"/>
      <c r="WR281" s="3"/>
      <c r="WS281" s="3"/>
      <c r="WT281" s="3"/>
      <c r="WU281" s="3"/>
      <c r="WV281" s="3"/>
      <c r="WW281" s="3"/>
      <c r="WX281" s="3"/>
      <c r="WY281" s="3"/>
      <c r="WZ281" s="3"/>
      <c r="XA281" s="3"/>
      <c r="XB281" s="3"/>
      <c r="XC281" s="3"/>
      <c r="XD281" s="3"/>
      <c r="XE281" s="3"/>
      <c r="XF281" s="3"/>
      <c r="XG281" s="3"/>
      <c r="XH281" s="3"/>
      <c r="XI281" s="3"/>
      <c r="XJ281" s="3"/>
      <c r="XK281" s="3"/>
      <c r="XL281" s="3"/>
      <c r="XM281" s="3"/>
      <c r="XN281" s="3"/>
      <c r="XO281" s="3"/>
      <c r="XP281" s="3"/>
      <c r="XQ281" s="3"/>
      <c r="XR281" s="3"/>
      <c r="XS281" s="3"/>
      <c r="XT281" s="3"/>
      <c r="XU281" s="3"/>
      <c r="XV281" s="3"/>
      <c r="XW281" s="3"/>
      <c r="XX281" s="3"/>
      <c r="XY281" s="3"/>
      <c r="XZ281" s="3"/>
      <c r="YA281" s="3"/>
      <c r="YB281" s="3"/>
      <c r="YC281" s="3"/>
      <c r="YD281" s="3"/>
      <c r="YE281" s="3"/>
      <c r="YF281" s="3"/>
      <c r="YG281" s="3"/>
      <c r="YH281" s="3"/>
      <c r="YI281" s="3"/>
      <c r="YJ281" s="3"/>
      <c r="YK281" s="3"/>
      <c r="YL281" s="3"/>
      <c r="YM281" s="3"/>
      <c r="YN281" s="3"/>
      <c r="YO281" s="3"/>
      <c r="YP281" s="3"/>
      <c r="YQ281" s="3"/>
      <c r="YR281" s="3"/>
      <c r="YS281" s="3"/>
      <c r="YT281" s="3"/>
      <c r="YU281" s="3"/>
      <c r="YV281" s="3"/>
      <c r="YW281" s="3"/>
      <c r="YX281" s="3"/>
      <c r="YY281" s="3"/>
      <c r="YZ281" s="3"/>
      <c r="ZA281" s="3"/>
      <c r="ZB281" s="3"/>
      <c r="ZC281" s="3"/>
    </row>
    <row r="282" spans="1:679" s="2" customFormat="1" x14ac:dyDescent="0.45">
      <c r="A282" s="3" t="s">
        <v>11</v>
      </c>
      <c r="B282" s="4">
        <v>38194</v>
      </c>
      <c r="C282" s="7" t="s">
        <v>25</v>
      </c>
      <c r="D282" s="6" t="s">
        <v>301</v>
      </c>
      <c r="E282" s="3"/>
      <c r="F282" s="3">
        <v>3</v>
      </c>
      <c r="L282" s="3"/>
      <c r="M282" s="3"/>
      <c r="N282" s="48"/>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c r="CO282" s="3"/>
      <c r="CP282" s="3"/>
      <c r="CQ282" s="3"/>
      <c r="CR282" s="3"/>
      <c r="CS282" s="3"/>
      <c r="CT282" s="3"/>
      <c r="CU282" s="3"/>
      <c r="CV282" s="3"/>
      <c r="CW282" s="3"/>
      <c r="CX282" s="3"/>
      <c r="CY282" s="3"/>
      <c r="CZ282" s="3"/>
      <c r="DA282" s="3"/>
      <c r="DB282" s="3"/>
      <c r="DC282" s="3"/>
      <c r="DD282" s="3"/>
      <c r="DE282" s="3"/>
      <c r="DF282" s="3"/>
      <c r="DG282" s="3"/>
      <c r="DH282" s="3"/>
      <c r="DI282" s="3"/>
      <c r="DJ282" s="3"/>
      <c r="DK282" s="3"/>
      <c r="DL282" s="3"/>
      <c r="DM282" s="3"/>
      <c r="DN282" s="3"/>
      <c r="DO282" s="3"/>
      <c r="DP282" s="3"/>
      <c r="DQ282" s="3"/>
      <c r="DR282" s="3"/>
      <c r="DS282" s="3"/>
      <c r="DT282" s="3"/>
      <c r="DU282" s="3"/>
      <c r="DV282" s="3"/>
      <c r="DW282" s="3"/>
      <c r="DX282" s="3"/>
      <c r="DY282" s="3"/>
      <c r="DZ282" s="3"/>
      <c r="EA282" s="3"/>
      <c r="EB282" s="3"/>
      <c r="EC282" s="3"/>
      <c r="ED282" s="3"/>
      <c r="EE282" s="3"/>
      <c r="EF282" s="3"/>
      <c r="EG282" s="3"/>
      <c r="EH282" s="3"/>
      <c r="EI282" s="3"/>
      <c r="EJ282" s="3"/>
      <c r="EK282" s="3"/>
      <c r="EL282" s="3"/>
      <c r="EM282" s="3"/>
      <c r="EN282" s="3"/>
      <c r="EO282" s="3"/>
      <c r="EP282" s="3"/>
      <c r="EQ282" s="3"/>
      <c r="ER282" s="3"/>
      <c r="ES282" s="3"/>
      <c r="ET282" s="3"/>
      <c r="EU282" s="3"/>
      <c r="EV282" s="3"/>
      <c r="EW282" s="3"/>
      <c r="EX282" s="3"/>
      <c r="EY282" s="3"/>
      <c r="EZ282" s="3"/>
      <c r="FA282" s="3"/>
      <c r="FB282" s="3"/>
      <c r="FC282" s="3"/>
      <c r="FD282" s="3"/>
      <c r="FE282" s="3"/>
      <c r="FF282" s="3"/>
      <c r="FG282" s="3"/>
      <c r="FH282" s="3"/>
      <c r="FI282" s="3"/>
      <c r="FJ282" s="3"/>
      <c r="FK282" s="3"/>
      <c r="FL282" s="3"/>
      <c r="FM282" s="3"/>
      <c r="FN282" s="3"/>
      <c r="FO282" s="3"/>
      <c r="FP282" s="3"/>
      <c r="FQ282" s="3"/>
      <c r="FR282" s="3"/>
      <c r="FS282" s="3"/>
      <c r="FT282" s="3"/>
      <c r="FU282" s="3"/>
      <c r="FV282" s="3"/>
      <c r="FW282" s="3"/>
      <c r="FX282" s="3"/>
      <c r="FY282" s="3"/>
      <c r="FZ282" s="3"/>
      <c r="GA282" s="3"/>
      <c r="GB282" s="3"/>
      <c r="GC282" s="3"/>
      <c r="GD282" s="3"/>
      <c r="GE282" s="3"/>
      <c r="GF282" s="3"/>
      <c r="GG282" s="3"/>
      <c r="GH282" s="3"/>
      <c r="GI282" s="3"/>
      <c r="GJ282" s="3"/>
      <c r="GK282" s="3"/>
      <c r="GL282" s="3"/>
      <c r="GM282" s="3"/>
      <c r="GN282" s="3"/>
      <c r="GO282" s="3"/>
      <c r="GP282" s="3"/>
      <c r="GQ282" s="3"/>
      <c r="GR282" s="3"/>
      <c r="GS282" s="3"/>
      <c r="GT282" s="3"/>
      <c r="GU282" s="3"/>
      <c r="GV282" s="3"/>
      <c r="GW282" s="3"/>
      <c r="GX282" s="3"/>
      <c r="GY282" s="3"/>
      <c r="GZ282" s="3"/>
      <c r="HA282" s="3"/>
      <c r="HB282" s="3"/>
      <c r="HC282" s="3"/>
      <c r="HD282" s="3"/>
      <c r="HE282" s="3"/>
      <c r="HF282" s="3"/>
      <c r="HG282" s="3"/>
      <c r="HH282" s="3"/>
      <c r="HI282" s="3"/>
      <c r="HJ282" s="3"/>
      <c r="HK282" s="3"/>
      <c r="HL282" s="3"/>
      <c r="HM282" s="3"/>
      <c r="HN282" s="3"/>
      <c r="HO282" s="3"/>
      <c r="HP282" s="3"/>
      <c r="HQ282" s="3"/>
      <c r="HR282" s="3"/>
      <c r="HS282" s="3"/>
      <c r="HT282" s="3"/>
      <c r="HU282" s="3"/>
      <c r="HV282" s="3"/>
      <c r="HW282" s="3"/>
      <c r="HX282" s="3"/>
      <c r="HY282" s="3"/>
      <c r="HZ282" s="3"/>
      <c r="IA282" s="3"/>
      <c r="IB282" s="3"/>
      <c r="IC282" s="3"/>
      <c r="ID282" s="3"/>
      <c r="IE282" s="3"/>
      <c r="IF282" s="3"/>
      <c r="IG282" s="3"/>
      <c r="IH282" s="3"/>
      <c r="II282" s="3"/>
      <c r="IJ282" s="3"/>
      <c r="IK282" s="3"/>
      <c r="IL282" s="3"/>
      <c r="IM282" s="3"/>
      <c r="IN282" s="3"/>
      <c r="IO282" s="3"/>
      <c r="IP282" s="3"/>
      <c r="IQ282" s="3"/>
      <c r="IR282" s="3"/>
      <c r="IS282" s="3"/>
      <c r="IT282" s="3"/>
      <c r="IU282" s="3"/>
      <c r="IV282" s="3"/>
      <c r="IW282" s="3"/>
      <c r="IX282" s="3"/>
      <c r="IY282" s="3"/>
      <c r="IZ282" s="3"/>
      <c r="JA282" s="3"/>
      <c r="JB282" s="3"/>
      <c r="JC282" s="3"/>
      <c r="JD282" s="3"/>
      <c r="JE282" s="3"/>
      <c r="JF282" s="3"/>
      <c r="JG282" s="3"/>
      <c r="JH282" s="3"/>
      <c r="JI282" s="3"/>
      <c r="JJ282" s="3"/>
      <c r="JK282" s="3"/>
      <c r="JL282" s="3"/>
      <c r="JM282" s="3"/>
      <c r="JN282" s="3"/>
      <c r="JO282" s="3"/>
      <c r="JP282" s="3"/>
      <c r="JQ282" s="3"/>
      <c r="JR282" s="3"/>
      <c r="JS282" s="3"/>
      <c r="JT282" s="3"/>
      <c r="JU282" s="3"/>
      <c r="JV282" s="3"/>
      <c r="JW282" s="3"/>
      <c r="JX282" s="3"/>
      <c r="JY282" s="3"/>
      <c r="JZ282" s="3"/>
      <c r="KA282" s="3"/>
      <c r="KB282" s="3"/>
      <c r="KC282" s="3"/>
      <c r="KD282" s="3"/>
      <c r="KE282" s="3"/>
      <c r="KF282" s="3"/>
      <c r="KG282" s="3"/>
      <c r="KH282" s="3"/>
      <c r="KI282" s="3"/>
      <c r="KJ282" s="3"/>
      <c r="KK282" s="3"/>
      <c r="KL282" s="3"/>
      <c r="KM282" s="3"/>
      <c r="KN282" s="3"/>
      <c r="KO282" s="3"/>
      <c r="KP282" s="3"/>
      <c r="KQ282" s="3"/>
      <c r="KR282" s="3"/>
      <c r="KS282" s="3"/>
      <c r="KT282" s="3"/>
      <c r="KU282" s="3"/>
      <c r="KV282" s="3"/>
      <c r="KW282" s="3"/>
      <c r="KX282" s="3"/>
      <c r="KY282" s="3"/>
      <c r="KZ282" s="3"/>
      <c r="LA282" s="3"/>
      <c r="LB282" s="3"/>
      <c r="LC282" s="3"/>
      <c r="LD282" s="3"/>
      <c r="LE282" s="3"/>
      <c r="LF282" s="3"/>
      <c r="LG282" s="3"/>
      <c r="LH282" s="3"/>
      <c r="LI282" s="3"/>
      <c r="LJ282" s="3"/>
      <c r="LK282" s="3"/>
      <c r="LL282" s="3"/>
      <c r="LM282" s="3"/>
      <c r="LN282" s="3"/>
      <c r="LO282" s="3"/>
      <c r="LP282" s="3"/>
      <c r="LQ282" s="3"/>
      <c r="LR282" s="3"/>
      <c r="LS282" s="3"/>
      <c r="LT282" s="3"/>
      <c r="LU282" s="3"/>
      <c r="LV282" s="3"/>
      <c r="LW282" s="3"/>
      <c r="LX282" s="3"/>
      <c r="LY282" s="3"/>
      <c r="LZ282" s="3"/>
      <c r="MA282" s="3"/>
      <c r="MB282" s="3"/>
      <c r="MC282" s="3"/>
      <c r="MD282" s="3"/>
      <c r="ME282" s="3"/>
      <c r="MF282" s="3"/>
      <c r="MG282" s="3"/>
      <c r="MH282" s="3"/>
      <c r="MI282" s="3"/>
      <c r="MJ282" s="3"/>
      <c r="MK282" s="3"/>
      <c r="ML282" s="3"/>
      <c r="MM282" s="3"/>
      <c r="MN282" s="3"/>
      <c r="MO282" s="3"/>
      <c r="MP282" s="3"/>
      <c r="MQ282" s="3"/>
      <c r="MR282" s="3"/>
      <c r="MS282" s="3"/>
      <c r="MT282" s="3"/>
      <c r="MU282" s="3"/>
      <c r="MV282" s="3"/>
      <c r="MW282" s="3"/>
      <c r="MX282" s="3"/>
      <c r="MY282" s="3"/>
      <c r="MZ282" s="3"/>
      <c r="NA282" s="3"/>
      <c r="NB282" s="3"/>
      <c r="NC282" s="3"/>
      <c r="ND282" s="3"/>
      <c r="NE282" s="3"/>
      <c r="NF282" s="3"/>
      <c r="NG282" s="3"/>
      <c r="NH282" s="3"/>
      <c r="NI282" s="3"/>
      <c r="NJ282" s="3"/>
      <c r="NK282" s="3"/>
      <c r="NL282" s="3"/>
      <c r="NM282" s="3"/>
      <c r="NN282" s="3"/>
      <c r="NO282" s="3"/>
      <c r="NP282" s="3"/>
      <c r="NQ282" s="3"/>
      <c r="NR282" s="3"/>
      <c r="NS282" s="3"/>
      <c r="NT282" s="3"/>
      <c r="NU282" s="3"/>
      <c r="NV282" s="3"/>
      <c r="NW282" s="3"/>
      <c r="NX282" s="3"/>
      <c r="NY282" s="3"/>
      <c r="NZ282" s="3"/>
      <c r="OA282" s="3"/>
      <c r="OB282" s="3"/>
      <c r="OC282" s="3"/>
      <c r="OD282" s="3"/>
      <c r="OE282" s="3"/>
      <c r="OF282" s="3"/>
      <c r="OG282" s="3"/>
      <c r="OH282" s="3"/>
      <c r="OI282" s="3"/>
      <c r="OJ282" s="3"/>
      <c r="OK282" s="3"/>
      <c r="OL282" s="3"/>
      <c r="OM282" s="3"/>
      <c r="ON282" s="3"/>
      <c r="OO282" s="3"/>
      <c r="OP282" s="3"/>
      <c r="OQ282" s="3"/>
      <c r="OR282" s="3"/>
      <c r="OS282" s="3"/>
      <c r="OT282" s="3"/>
      <c r="OU282" s="3"/>
      <c r="OV282" s="3"/>
      <c r="OW282" s="3"/>
      <c r="OX282" s="3"/>
      <c r="OY282" s="3"/>
      <c r="OZ282" s="3"/>
      <c r="PA282" s="3"/>
      <c r="PB282" s="3"/>
      <c r="PC282" s="3"/>
      <c r="PD282" s="3"/>
      <c r="PE282" s="3"/>
      <c r="PF282" s="3"/>
      <c r="PG282" s="3"/>
      <c r="PH282" s="3"/>
      <c r="PI282" s="3"/>
      <c r="PJ282" s="3"/>
      <c r="PK282" s="3"/>
      <c r="PL282" s="3"/>
      <c r="PM282" s="3"/>
      <c r="PN282" s="3"/>
      <c r="PO282" s="3"/>
      <c r="PP282" s="3"/>
      <c r="PQ282" s="3"/>
      <c r="PR282" s="3"/>
      <c r="PS282" s="3"/>
      <c r="PT282" s="3"/>
      <c r="PU282" s="3"/>
      <c r="PV282" s="3"/>
      <c r="PW282" s="3"/>
      <c r="PX282" s="3"/>
      <c r="PY282" s="3"/>
      <c r="PZ282" s="3"/>
      <c r="QA282" s="3"/>
      <c r="QB282" s="3"/>
      <c r="QC282" s="3"/>
      <c r="QD282" s="3"/>
      <c r="QE282" s="3"/>
      <c r="QF282" s="3"/>
      <c r="QG282" s="3"/>
      <c r="QH282" s="3"/>
      <c r="QI282" s="3"/>
      <c r="QJ282" s="3"/>
      <c r="QK282" s="3"/>
      <c r="QL282" s="3"/>
      <c r="QM282" s="3"/>
      <c r="QN282" s="3"/>
      <c r="QO282" s="3"/>
      <c r="QP282" s="3"/>
      <c r="QQ282" s="3"/>
      <c r="QR282" s="3"/>
      <c r="QS282" s="3"/>
      <c r="QT282" s="3"/>
      <c r="QU282" s="3"/>
      <c r="QV282" s="3"/>
      <c r="QW282" s="3"/>
      <c r="QX282" s="3"/>
      <c r="QY282" s="3"/>
      <c r="QZ282" s="3"/>
      <c r="RA282" s="3"/>
      <c r="RB282" s="3"/>
      <c r="RC282" s="3"/>
      <c r="RD282" s="3"/>
      <c r="RE282" s="3"/>
      <c r="RF282" s="3"/>
      <c r="RG282" s="3"/>
      <c r="RH282" s="3"/>
      <c r="RI282" s="3"/>
      <c r="RJ282" s="3"/>
      <c r="RK282" s="3"/>
      <c r="RL282" s="3"/>
      <c r="RM282" s="3"/>
      <c r="RN282" s="3"/>
      <c r="RO282" s="3"/>
      <c r="RP282" s="3"/>
      <c r="RQ282" s="3"/>
      <c r="RR282" s="3"/>
      <c r="RS282" s="3"/>
      <c r="RT282" s="3"/>
      <c r="RU282" s="3"/>
      <c r="RV282" s="3"/>
      <c r="RW282" s="3"/>
      <c r="RX282" s="3"/>
      <c r="RY282" s="3"/>
      <c r="RZ282" s="3"/>
      <c r="SA282" s="3"/>
      <c r="SB282" s="3"/>
      <c r="SC282" s="3"/>
      <c r="SD282" s="3"/>
      <c r="SE282" s="3"/>
      <c r="SF282" s="3"/>
      <c r="SG282" s="3"/>
      <c r="SH282" s="3"/>
      <c r="SI282" s="3"/>
      <c r="SJ282" s="3"/>
      <c r="SK282" s="3"/>
      <c r="SL282" s="3"/>
      <c r="SM282" s="3"/>
      <c r="SN282" s="3"/>
      <c r="SO282" s="3"/>
      <c r="SP282" s="3"/>
      <c r="SQ282" s="3"/>
      <c r="SR282" s="3"/>
      <c r="SS282" s="3"/>
      <c r="ST282" s="3"/>
      <c r="SU282" s="3"/>
      <c r="SV282" s="3"/>
      <c r="SW282" s="3"/>
      <c r="SX282" s="3"/>
      <c r="SY282" s="3"/>
      <c r="SZ282" s="3"/>
      <c r="TA282" s="3"/>
      <c r="TB282" s="3"/>
      <c r="TC282" s="3"/>
      <c r="TD282" s="3"/>
      <c r="TE282" s="3"/>
      <c r="TF282" s="3"/>
      <c r="TG282" s="3"/>
      <c r="TH282" s="3"/>
      <c r="TI282" s="3"/>
      <c r="TJ282" s="3"/>
      <c r="TK282" s="3"/>
      <c r="TL282" s="3"/>
      <c r="TM282" s="3"/>
      <c r="TN282" s="3"/>
      <c r="TO282" s="3"/>
      <c r="TP282" s="3"/>
      <c r="TQ282" s="3"/>
      <c r="TR282" s="3"/>
      <c r="TS282" s="3"/>
      <c r="TT282" s="3"/>
      <c r="TU282" s="3"/>
      <c r="TV282" s="3"/>
      <c r="TW282" s="3"/>
      <c r="TX282" s="3"/>
      <c r="TY282" s="3"/>
      <c r="TZ282" s="3"/>
      <c r="UA282" s="3"/>
      <c r="UB282" s="3"/>
      <c r="UC282" s="3"/>
      <c r="UD282" s="3"/>
      <c r="UE282" s="3"/>
      <c r="UF282" s="3"/>
      <c r="UG282" s="3"/>
      <c r="UH282" s="3"/>
      <c r="UI282" s="3"/>
      <c r="UJ282" s="3"/>
      <c r="UK282" s="3"/>
      <c r="UL282" s="3"/>
      <c r="UM282" s="3"/>
      <c r="UN282" s="3"/>
      <c r="UO282" s="3"/>
      <c r="UP282" s="3"/>
      <c r="UQ282" s="3"/>
      <c r="UR282" s="3"/>
      <c r="US282" s="3"/>
      <c r="UT282" s="3"/>
      <c r="UU282" s="3"/>
      <c r="UV282" s="3"/>
      <c r="UW282" s="3"/>
      <c r="UX282" s="3"/>
      <c r="UY282" s="3"/>
      <c r="UZ282" s="3"/>
      <c r="VA282" s="3"/>
      <c r="VB282" s="3"/>
      <c r="VC282" s="3"/>
      <c r="VD282" s="3"/>
      <c r="VE282" s="3"/>
      <c r="VF282" s="3"/>
      <c r="VG282" s="3"/>
      <c r="VH282" s="3"/>
      <c r="VI282" s="3"/>
      <c r="VJ282" s="3"/>
      <c r="VK282" s="3"/>
      <c r="VL282" s="3"/>
      <c r="VM282" s="3"/>
      <c r="VN282" s="3"/>
      <c r="VO282" s="3"/>
      <c r="VP282" s="3"/>
      <c r="VQ282" s="3"/>
      <c r="VR282" s="3"/>
      <c r="VS282" s="3"/>
      <c r="VT282" s="3"/>
      <c r="VU282" s="3"/>
      <c r="VV282" s="3"/>
      <c r="VW282" s="3"/>
      <c r="VX282" s="3"/>
      <c r="VY282" s="3"/>
      <c r="VZ282" s="3"/>
      <c r="WA282" s="3"/>
      <c r="WB282" s="3"/>
      <c r="WC282" s="3"/>
      <c r="WD282" s="3"/>
      <c r="WE282" s="3"/>
      <c r="WF282" s="3"/>
      <c r="WG282" s="3"/>
      <c r="WH282" s="3"/>
      <c r="WI282" s="3"/>
      <c r="WJ282" s="3"/>
      <c r="WK282" s="3"/>
      <c r="WL282" s="3"/>
      <c r="WM282" s="3"/>
      <c r="WN282" s="3"/>
      <c r="WO282" s="3"/>
      <c r="WP282" s="3"/>
      <c r="WQ282" s="3"/>
      <c r="WR282" s="3"/>
      <c r="WS282" s="3"/>
      <c r="WT282" s="3"/>
      <c r="WU282" s="3"/>
      <c r="WV282" s="3"/>
      <c r="WW282" s="3"/>
      <c r="WX282" s="3"/>
      <c r="WY282" s="3"/>
      <c r="WZ282" s="3"/>
      <c r="XA282" s="3"/>
      <c r="XB282" s="3"/>
      <c r="XC282" s="3"/>
      <c r="XD282" s="3"/>
      <c r="XE282" s="3"/>
      <c r="XF282" s="3"/>
      <c r="XG282" s="3"/>
      <c r="XH282" s="3"/>
      <c r="XI282" s="3"/>
      <c r="XJ282" s="3"/>
      <c r="XK282" s="3"/>
      <c r="XL282" s="3"/>
      <c r="XM282" s="3"/>
      <c r="XN282" s="3"/>
      <c r="XO282" s="3"/>
      <c r="XP282" s="3"/>
      <c r="XQ282" s="3"/>
      <c r="XR282" s="3"/>
      <c r="XS282" s="3"/>
      <c r="XT282" s="3"/>
      <c r="XU282" s="3"/>
      <c r="XV282" s="3"/>
      <c r="XW282" s="3"/>
      <c r="XX282" s="3"/>
      <c r="XY282" s="3"/>
      <c r="XZ282" s="3"/>
      <c r="YA282" s="3"/>
      <c r="YB282" s="3"/>
      <c r="YC282" s="3"/>
      <c r="YD282" s="3"/>
      <c r="YE282" s="3"/>
      <c r="YF282" s="3"/>
      <c r="YG282" s="3"/>
      <c r="YH282" s="3"/>
      <c r="YI282" s="3"/>
      <c r="YJ282" s="3"/>
      <c r="YK282" s="3"/>
      <c r="YL282" s="3"/>
      <c r="YM282" s="3"/>
      <c r="YN282" s="3"/>
      <c r="YO282" s="3"/>
      <c r="YP282" s="3"/>
      <c r="YQ282" s="3"/>
      <c r="YR282" s="3"/>
      <c r="YS282" s="3"/>
      <c r="YT282" s="3"/>
      <c r="YU282" s="3"/>
      <c r="YV282" s="3"/>
      <c r="YW282" s="3"/>
      <c r="YX282" s="3"/>
      <c r="YY282" s="3"/>
      <c r="YZ282" s="3"/>
      <c r="ZA282" s="3"/>
      <c r="ZB282" s="3"/>
      <c r="ZC282" s="3"/>
    </row>
    <row r="283" spans="1:679" s="2" customFormat="1" x14ac:dyDescent="0.45">
      <c r="A283" s="3" t="s">
        <v>11</v>
      </c>
      <c r="B283" s="4">
        <v>38383</v>
      </c>
      <c r="C283" s="7" t="s">
        <v>302</v>
      </c>
      <c r="D283" s="6" t="s">
        <v>303</v>
      </c>
      <c r="E283" s="3" t="s">
        <v>303</v>
      </c>
      <c r="F283" s="3">
        <v>9</v>
      </c>
      <c r="L283" s="3"/>
      <c r="M283" s="3"/>
      <c r="N283" s="48"/>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c r="CO283" s="3"/>
      <c r="CP283" s="3"/>
      <c r="CQ283" s="3"/>
      <c r="CR283" s="3"/>
      <c r="CS283" s="3"/>
      <c r="CT283" s="3"/>
      <c r="CU283" s="3"/>
      <c r="CV283" s="3"/>
      <c r="CW283" s="3"/>
      <c r="CX283" s="3"/>
      <c r="CY283" s="3"/>
      <c r="CZ283" s="3"/>
      <c r="DA283" s="3"/>
      <c r="DB283" s="3"/>
      <c r="DC283" s="3"/>
      <c r="DD283" s="3"/>
      <c r="DE283" s="3"/>
      <c r="DF283" s="3"/>
      <c r="DG283" s="3"/>
      <c r="DH283" s="3"/>
      <c r="DI283" s="3"/>
      <c r="DJ283" s="3"/>
      <c r="DK283" s="3"/>
      <c r="DL283" s="3"/>
      <c r="DM283" s="3"/>
      <c r="DN283" s="3"/>
      <c r="DO283" s="3"/>
      <c r="DP283" s="3"/>
      <c r="DQ283" s="3"/>
      <c r="DR283" s="3"/>
      <c r="DS283" s="3"/>
      <c r="DT283" s="3"/>
      <c r="DU283" s="3"/>
      <c r="DV283" s="3"/>
      <c r="DW283" s="3"/>
      <c r="DX283" s="3"/>
      <c r="DY283" s="3"/>
      <c r="DZ283" s="3"/>
      <c r="EA283" s="3"/>
      <c r="EB283" s="3"/>
      <c r="EC283" s="3"/>
      <c r="ED283" s="3"/>
      <c r="EE283" s="3"/>
      <c r="EF283" s="3"/>
      <c r="EG283" s="3"/>
      <c r="EH283" s="3"/>
      <c r="EI283" s="3"/>
      <c r="EJ283" s="3"/>
      <c r="EK283" s="3"/>
      <c r="EL283" s="3"/>
      <c r="EM283" s="3"/>
      <c r="EN283" s="3"/>
      <c r="EO283" s="3"/>
      <c r="EP283" s="3"/>
      <c r="EQ283" s="3"/>
      <c r="ER283" s="3"/>
      <c r="ES283" s="3"/>
      <c r="ET283" s="3"/>
      <c r="EU283" s="3"/>
      <c r="EV283" s="3"/>
      <c r="EW283" s="3"/>
      <c r="EX283" s="3"/>
      <c r="EY283" s="3"/>
      <c r="EZ283" s="3"/>
      <c r="FA283" s="3"/>
      <c r="FB283" s="3"/>
      <c r="FC283" s="3"/>
      <c r="FD283" s="3"/>
      <c r="FE283" s="3"/>
      <c r="FF283" s="3"/>
      <c r="FG283" s="3"/>
      <c r="FH283" s="3"/>
      <c r="FI283" s="3"/>
      <c r="FJ283" s="3"/>
      <c r="FK283" s="3"/>
      <c r="FL283" s="3"/>
      <c r="FM283" s="3"/>
      <c r="FN283" s="3"/>
      <c r="FO283" s="3"/>
      <c r="FP283" s="3"/>
      <c r="FQ283" s="3"/>
      <c r="FR283" s="3"/>
      <c r="FS283" s="3"/>
      <c r="FT283" s="3"/>
      <c r="FU283" s="3"/>
      <c r="FV283" s="3"/>
      <c r="FW283" s="3"/>
      <c r="FX283" s="3"/>
      <c r="FY283" s="3"/>
      <c r="FZ283" s="3"/>
      <c r="GA283" s="3"/>
      <c r="GB283" s="3"/>
      <c r="GC283" s="3"/>
      <c r="GD283" s="3"/>
      <c r="GE283" s="3"/>
      <c r="GF283" s="3"/>
      <c r="GG283" s="3"/>
      <c r="GH283" s="3"/>
      <c r="GI283" s="3"/>
      <c r="GJ283" s="3"/>
      <c r="GK283" s="3"/>
      <c r="GL283" s="3"/>
      <c r="GM283" s="3"/>
      <c r="GN283" s="3"/>
      <c r="GO283" s="3"/>
      <c r="GP283" s="3"/>
      <c r="GQ283" s="3"/>
      <c r="GR283" s="3"/>
      <c r="GS283" s="3"/>
      <c r="GT283" s="3"/>
      <c r="GU283" s="3"/>
      <c r="GV283" s="3"/>
      <c r="GW283" s="3"/>
      <c r="GX283" s="3"/>
      <c r="GY283" s="3"/>
      <c r="GZ283" s="3"/>
      <c r="HA283" s="3"/>
      <c r="HB283" s="3"/>
      <c r="HC283" s="3"/>
      <c r="HD283" s="3"/>
      <c r="HE283" s="3"/>
      <c r="HF283" s="3"/>
      <c r="HG283" s="3"/>
      <c r="HH283" s="3"/>
      <c r="HI283" s="3"/>
      <c r="HJ283" s="3"/>
      <c r="HK283" s="3"/>
      <c r="HL283" s="3"/>
      <c r="HM283" s="3"/>
      <c r="HN283" s="3"/>
      <c r="HO283" s="3"/>
      <c r="HP283" s="3"/>
      <c r="HQ283" s="3"/>
      <c r="HR283" s="3"/>
      <c r="HS283" s="3"/>
      <c r="HT283" s="3"/>
      <c r="HU283" s="3"/>
      <c r="HV283" s="3"/>
      <c r="HW283" s="3"/>
      <c r="HX283" s="3"/>
      <c r="HY283" s="3"/>
      <c r="HZ283" s="3"/>
      <c r="IA283" s="3"/>
      <c r="IB283" s="3"/>
      <c r="IC283" s="3"/>
      <c r="ID283" s="3"/>
      <c r="IE283" s="3"/>
      <c r="IF283" s="3"/>
      <c r="IG283" s="3"/>
      <c r="IH283" s="3"/>
      <c r="II283" s="3"/>
      <c r="IJ283" s="3"/>
      <c r="IK283" s="3"/>
      <c r="IL283" s="3"/>
      <c r="IM283" s="3"/>
      <c r="IN283" s="3"/>
      <c r="IO283" s="3"/>
      <c r="IP283" s="3"/>
      <c r="IQ283" s="3"/>
      <c r="IR283" s="3"/>
      <c r="IS283" s="3"/>
      <c r="IT283" s="3"/>
      <c r="IU283" s="3"/>
      <c r="IV283" s="3"/>
      <c r="IW283" s="3"/>
      <c r="IX283" s="3"/>
      <c r="IY283" s="3"/>
      <c r="IZ283" s="3"/>
      <c r="JA283" s="3"/>
      <c r="JB283" s="3"/>
      <c r="JC283" s="3"/>
      <c r="JD283" s="3"/>
      <c r="JE283" s="3"/>
      <c r="JF283" s="3"/>
      <c r="JG283" s="3"/>
      <c r="JH283" s="3"/>
      <c r="JI283" s="3"/>
      <c r="JJ283" s="3"/>
      <c r="JK283" s="3"/>
      <c r="JL283" s="3"/>
      <c r="JM283" s="3"/>
      <c r="JN283" s="3"/>
      <c r="JO283" s="3"/>
      <c r="JP283" s="3"/>
      <c r="JQ283" s="3"/>
      <c r="JR283" s="3"/>
      <c r="JS283" s="3"/>
      <c r="JT283" s="3"/>
      <c r="JU283" s="3"/>
      <c r="JV283" s="3"/>
      <c r="JW283" s="3"/>
      <c r="JX283" s="3"/>
      <c r="JY283" s="3"/>
      <c r="JZ283" s="3"/>
      <c r="KA283" s="3"/>
      <c r="KB283" s="3"/>
      <c r="KC283" s="3"/>
      <c r="KD283" s="3"/>
      <c r="KE283" s="3"/>
      <c r="KF283" s="3"/>
      <c r="KG283" s="3"/>
      <c r="KH283" s="3"/>
      <c r="KI283" s="3"/>
      <c r="KJ283" s="3"/>
      <c r="KK283" s="3"/>
      <c r="KL283" s="3"/>
      <c r="KM283" s="3"/>
      <c r="KN283" s="3"/>
      <c r="KO283" s="3"/>
      <c r="KP283" s="3"/>
      <c r="KQ283" s="3"/>
      <c r="KR283" s="3"/>
      <c r="KS283" s="3"/>
      <c r="KT283" s="3"/>
      <c r="KU283" s="3"/>
      <c r="KV283" s="3"/>
      <c r="KW283" s="3"/>
      <c r="KX283" s="3"/>
      <c r="KY283" s="3"/>
      <c r="KZ283" s="3"/>
      <c r="LA283" s="3"/>
      <c r="LB283" s="3"/>
      <c r="LC283" s="3"/>
      <c r="LD283" s="3"/>
      <c r="LE283" s="3"/>
      <c r="LF283" s="3"/>
      <c r="LG283" s="3"/>
      <c r="LH283" s="3"/>
      <c r="LI283" s="3"/>
      <c r="LJ283" s="3"/>
      <c r="LK283" s="3"/>
      <c r="LL283" s="3"/>
      <c r="LM283" s="3"/>
      <c r="LN283" s="3"/>
      <c r="LO283" s="3"/>
      <c r="LP283" s="3"/>
      <c r="LQ283" s="3"/>
      <c r="LR283" s="3"/>
      <c r="LS283" s="3"/>
      <c r="LT283" s="3"/>
      <c r="LU283" s="3"/>
      <c r="LV283" s="3"/>
      <c r="LW283" s="3"/>
      <c r="LX283" s="3"/>
      <c r="LY283" s="3"/>
      <c r="LZ283" s="3"/>
      <c r="MA283" s="3"/>
      <c r="MB283" s="3"/>
      <c r="MC283" s="3"/>
      <c r="MD283" s="3"/>
      <c r="ME283" s="3"/>
      <c r="MF283" s="3"/>
      <c r="MG283" s="3"/>
      <c r="MH283" s="3"/>
      <c r="MI283" s="3"/>
      <c r="MJ283" s="3"/>
      <c r="MK283" s="3"/>
      <c r="ML283" s="3"/>
      <c r="MM283" s="3"/>
      <c r="MN283" s="3"/>
      <c r="MO283" s="3"/>
      <c r="MP283" s="3"/>
      <c r="MQ283" s="3"/>
      <c r="MR283" s="3"/>
      <c r="MS283" s="3"/>
      <c r="MT283" s="3"/>
      <c r="MU283" s="3"/>
      <c r="MV283" s="3"/>
      <c r="MW283" s="3"/>
      <c r="MX283" s="3"/>
      <c r="MY283" s="3"/>
      <c r="MZ283" s="3"/>
      <c r="NA283" s="3"/>
      <c r="NB283" s="3"/>
      <c r="NC283" s="3"/>
      <c r="ND283" s="3"/>
      <c r="NE283" s="3"/>
      <c r="NF283" s="3"/>
      <c r="NG283" s="3"/>
      <c r="NH283" s="3"/>
      <c r="NI283" s="3"/>
      <c r="NJ283" s="3"/>
      <c r="NK283" s="3"/>
      <c r="NL283" s="3"/>
      <c r="NM283" s="3"/>
      <c r="NN283" s="3"/>
      <c r="NO283" s="3"/>
      <c r="NP283" s="3"/>
      <c r="NQ283" s="3"/>
      <c r="NR283" s="3"/>
      <c r="NS283" s="3"/>
      <c r="NT283" s="3"/>
      <c r="NU283" s="3"/>
      <c r="NV283" s="3"/>
      <c r="NW283" s="3"/>
      <c r="NX283" s="3"/>
      <c r="NY283" s="3"/>
      <c r="NZ283" s="3"/>
      <c r="OA283" s="3"/>
      <c r="OB283" s="3"/>
      <c r="OC283" s="3"/>
      <c r="OD283" s="3"/>
      <c r="OE283" s="3"/>
      <c r="OF283" s="3"/>
      <c r="OG283" s="3"/>
      <c r="OH283" s="3"/>
      <c r="OI283" s="3"/>
      <c r="OJ283" s="3"/>
      <c r="OK283" s="3"/>
      <c r="OL283" s="3"/>
      <c r="OM283" s="3"/>
      <c r="ON283" s="3"/>
      <c r="OO283" s="3"/>
      <c r="OP283" s="3"/>
      <c r="OQ283" s="3"/>
      <c r="OR283" s="3"/>
      <c r="OS283" s="3"/>
      <c r="OT283" s="3"/>
      <c r="OU283" s="3"/>
      <c r="OV283" s="3"/>
      <c r="OW283" s="3"/>
      <c r="OX283" s="3"/>
      <c r="OY283" s="3"/>
      <c r="OZ283" s="3"/>
      <c r="PA283" s="3"/>
      <c r="PB283" s="3"/>
      <c r="PC283" s="3"/>
      <c r="PD283" s="3"/>
      <c r="PE283" s="3"/>
      <c r="PF283" s="3"/>
      <c r="PG283" s="3"/>
      <c r="PH283" s="3"/>
      <c r="PI283" s="3"/>
      <c r="PJ283" s="3"/>
      <c r="PK283" s="3"/>
      <c r="PL283" s="3"/>
      <c r="PM283" s="3"/>
      <c r="PN283" s="3"/>
      <c r="PO283" s="3"/>
      <c r="PP283" s="3"/>
      <c r="PQ283" s="3"/>
      <c r="PR283" s="3"/>
      <c r="PS283" s="3"/>
      <c r="PT283" s="3"/>
      <c r="PU283" s="3"/>
      <c r="PV283" s="3"/>
      <c r="PW283" s="3"/>
      <c r="PX283" s="3"/>
      <c r="PY283" s="3"/>
      <c r="PZ283" s="3"/>
      <c r="QA283" s="3"/>
      <c r="QB283" s="3"/>
      <c r="QC283" s="3"/>
      <c r="QD283" s="3"/>
      <c r="QE283" s="3"/>
      <c r="QF283" s="3"/>
      <c r="QG283" s="3"/>
      <c r="QH283" s="3"/>
      <c r="QI283" s="3"/>
      <c r="QJ283" s="3"/>
      <c r="QK283" s="3"/>
      <c r="QL283" s="3"/>
      <c r="QM283" s="3"/>
      <c r="QN283" s="3"/>
      <c r="QO283" s="3"/>
      <c r="QP283" s="3"/>
      <c r="QQ283" s="3"/>
      <c r="QR283" s="3"/>
      <c r="QS283" s="3"/>
      <c r="QT283" s="3"/>
      <c r="QU283" s="3"/>
      <c r="QV283" s="3"/>
      <c r="QW283" s="3"/>
      <c r="QX283" s="3"/>
      <c r="QY283" s="3"/>
      <c r="QZ283" s="3"/>
      <c r="RA283" s="3"/>
      <c r="RB283" s="3"/>
      <c r="RC283" s="3"/>
      <c r="RD283" s="3"/>
      <c r="RE283" s="3"/>
      <c r="RF283" s="3"/>
      <c r="RG283" s="3"/>
      <c r="RH283" s="3"/>
      <c r="RI283" s="3"/>
      <c r="RJ283" s="3"/>
      <c r="RK283" s="3"/>
      <c r="RL283" s="3"/>
      <c r="RM283" s="3"/>
      <c r="RN283" s="3"/>
      <c r="RO283" s="3"/>
      <c r="RP283" s="3"/>
      <c r="RQ283" s="3"/>
      <c r="RR283" s="3"/>
      <c r="RS283" s="3"/>
      <c r="RT283" s="3"/>
      <c r="RU283" s="3"/>
      <c r="RV283" s="3"/>
      <c r="RW283" s="3"/>
      <c r="RX283" s="3"/>
      <c r="RY283" s="3"/>
      <c r="RZ283" s="3"/>
      <c r="SA283" s="3"/>
      <c r="SB283" s="3"/>
      <c r="SC283" s="3"/>
      <c r="SD283" s="3"/>
      <c r="SE283" s="3"/>
      <c r="SF283" s="3"/>
      <c r="SG283" s="3"/>
      <c r="SH283" s="3"/>
      <c r="SI283" s="3"/>
      <c r="SJ283" s="3"/>
      <c r="SK283" s="3"/>
      <c r="SL283" s="3"/>
      <c r="SM283" s="3"/>
      <c r="SN283" s="3"/>
      <c r="SO283" s="3"/>
      <c r="SP283" s="3"/>
      <c r="SQ283" s="3"/>
      <c r="SR283" s="3"/>
      <c r="SS283" s="3"/>
      <c r="ST283" s="3"/>
      <c r="SU283" s="3"/>
      <c r="SV283" s="3"/>
      <c r="SW283" s="3"/>
      <c r="SX283" s="3"/>
      <c r="SY283" s="3"/>
      <c r="SZ283" s="3"/>
      <c r="TA283" s="3"/>
      <c r="TB283" s="3"/>
      <c r="TC283" s="3"/>
      <c r="TD283" s="3"/>
      <c r="TE283" s="3"/>
      <c r="TF283" s="3"/>
      <c r="TG283" s="3"/>
      <c r="TH283" s="3"/>
      <c r="TI283" s="3"/>
      <c r="TJ283" s="3"/>
      <c r="TK283" s="3"/>
      <c r="TL283" s="3"/>
      <c r="TM283" s="3"/>
      <c r="TN283" s="3"/>
      <c r="TO283" s="3"/>
      <c r="TP283" s="3"/>
      <c r="TQ283" s="3"/>
      <c r="TR283" s="3"/>
      <c r="TS283" s="3"/>
      <c r="TT283" s="3"/>
      <c r="TU283" s="3"/>
      <c r="TV283" s="3"/>
      <c r="TW283" s="3"/>
      <c r="TX283" s="3"/>
      <c r="TY283" s="3"/>
      <c r="TZ283" s="3"/>
      <c r="UA283" s="3"/>
      <c r="UB283" s="3"/>
      <c r="UC283" s="3"/>
      <c r="UD283" s="3"/>
      <c r="UE283" s="3"/>
      <c r="UF283" s="3"/>
      <c r="UG283" s="3"/>
      <c r="UH283" s="3"/>
      <c r="UI283" s="3"/>
      <c r="UJ283" s="3"/>
      <c r="UK283" s="3"/>
      <c r="UL283" s="3"/>
      <c r="UM283" s="3"/>
      <c r="UN283" s="3"/>
      <c r="UO283" s="3"/>
      <c r="UP283" s="3"/>
      <c r="UQ283" s="3"/>
      <c r="UR283" s="3"/>
      <c r="US283" s="3"/>
      <c r="UT283" s="3"/>
      <c r="UU283" s="3"/>
      <c r="UV283" s="3"/>
      <c r="UW283" s="3"/>
      <c r="UX283" s="3"/>
      <c r="UY283" s="3"/>
      <c r="UZ283" s="3"/>
      <c r="VA283" s="3"/>
      <c r="VB283" s="3"/>
      <c r="VC283" s="3"/>
      <c r="VD283" s="3"/>
      <c r="VE283" s="3"/>
      <c r="VF283" s="3"/>
      <c r="VG283" s="3"/>
      <c r="VH283" s="3"/>
      <c r="VI283" s="3"/>
      <c r="VJ283" s="3"/>
      <c r="VK283" s="3"/>
      <c r="VL283" s="3"/>
      <c r="VM283" s="3"/>
      <c r="VN283" s="3"/>
      <c r="VO283" s="3"/>
      <c r="VP283" s="3"/>
      <c r="VQ283" s="3"/>
      <c r="VR283" s="3"/>
      <c r="VS283" s="3"/>
      <c r="VT283" s="3"/>
      <c r="VU283" s="3"/>
      <c r="VV283" s="3"/>
      <c r="VW283" s="3"/>
      <c r="VX283" s="3"/>
      <c r="VY283" s="3"/>
      <c r="VZ283" s="3"/>
      <c r="WA283" s="3"/>
      <c r="WB283" s="3"/>
      <c r="WC283" s="3"/>
      <c r="WD283" s="3"/>
      <c r="WE283" s="3"/>
      <c r="WF283" s="3"/>
      <c r="WG283" s="3"/>
      <c r="WH283" s="3"/>
      <c r="WI283" s="3"/>
      <c r="WJ283" s="3"/>
      <c r="WK283" s="3"/>
      <c r="WL283" s="3"/>
      <c r="WM283" s="3"/>
      <c r="WN283" s="3"/>
      <c r="WO283" s="3"/>
      <c r="WP283" s="3"/>
      <c r="WQ283" s="3"/>
      <c r="WR283" s="3"/>
      <c r="WS283" s="3"/>
      <c r="WT283" s="3"/>
      <c r="WU283" s="3"/>
      <c r="WV283" s="3"/>
      <c r="WW283" s="3"/>
      <c r="WX283" s="3"/>
      <c r="WY283" s="3"/>
      <c r="WZ283" s="3"/>
      <c r="XA283" s="3"/>
      <c r="XB283" s="3"/>
      <c r="XC283" s="3"/>
      <c r="XD283" s="3"/>
      <c r="XE283" s="3"/>
      <c r="XF283" s="3"/>
      <c r="XG283" s="3"/>
      <c r="XH283" s="3"/>
      <c r="XI283" s="3"/>
      <c r="XJ283" s="3"/>
      <c r="XK283" s="3"/>
      <c r="XL283" s="3"/>
      <c r="XM283" s="3"/>
      <c r="XN283" s="3"/>
      <c r="XO283" s="3"/>
      <c r="XP283" s="3"/>
      <c r="XQ283" s="3"/>
      <c r="XR283" s="3"/>
      <c r="XS283" s="3"/>
      <c r="XT283" s="3"/>
      <c r="XU283" s="3"/>
      <c r="XV283" s="3"/>
      <c r="XW283" s="3"/>
      <c r="XX283" s="3"/>
      <c r="XY283" s="3"/>
      <c r="XZ283" s="3"/>
      <c r="YA283" s="3"/>
      <c r="YB283" s="3"/>
      <c r="YC283" s="3"/>
      <c r="YD283" s="3"/>
      <c r="YE283" s="3"/>
      <c r="YF283" s="3"/>
      <c r="YG283" s="3"/>
      <c r="YH283" s="3"/>
      <c r="YI283" s="3"/>
      <c r="YJ283" s="3"/>
      <c r="YK283" s="3"/>
      <c r="YL283" s="3"/>
      <c r="YM283" s="3"/>
      <c r="YN283" s="3"/>
      <c r="YO283" s="3"/>
      <c r="YP283" s="3"/>
      <c r="YQ283" s="3"/>
      <c r="YR283" s="3"/>
      <c r="YS283" s="3"/>
      <c r="YT283" s="3"/>
      <c r="YU283" s="3"/>
      <c r="YV283" s="3"/>
      <c r="YW283" s="3"/>
      <c r="YX283" s="3"/>
      <c r="YY283" s="3"/>
      <c r="YZ283" s="3"/>
      <c r="ZA283" s="3"/>
      <c r="ZB283" s="3"/>
      <c r="ZC283" s="3"/>
    </row>
    <row r="284" spans="1:679" s="2" customFormat="1" x14ac:dyDescent="0.45">
      <c r="A284" s="3" t="s">
        <v>11</v>
      </c>
      <c r="B284" s="4">
        <v>38385</v>
      </c>
      <c r="C284" s="7" t="s">
        <v>25</v>
      </c>
      <c r="D284" s="6" t="s">
        <v>304</v>
      </c>
      <c r="E284" s="3"/>
      <c r="F284" s="3">
        <v>4</v>
      </c>
      <c r="L284" s="3"/>
      <c r="M284" s="3"/>
      <c r="N284" s="48"/>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c r="CO284" s="3"/>
      <c r="CP284" s="3"/>
      <c r="CQ284" s="3"/>
      <c r="CR284" s="3"/>
      <c r="CS284" s="3"/>
      <c r="CT284" s="3"/>
      <c r="CU284" s="3"/>
      <c r="CV284" s="3"/>
      <c r="CW284" s="3"/>
      <c r="CX284" s="3"/>
      <c r="CY284" s="3"/>
      <c r="CZ284" s="3"/>
      <c r="DA284" s="3"/>
      <c r="DB284" s="3"/>
      <c r="DC284" s="3"/>
      <c r="DD284" s="3"/>
      <c r="DE284" s="3"/>
      <c r="DF284" s="3"/>
      <c r="DG284" s="3"/>
      <c r="DH284" s="3"/>
      <c r="DI284" s="3"/>
      <c r="DJ284" s="3"/>
      <c r="DK284" s="3"/>
      <c r="DL284" s="3"/>
      <c r="DM284" s="3"/>
      <c r="DN284" s="3"/>
      <c r="DO284" s="3"/>
      <c r="DP284" s="3"/>
      <c r="DQ284" s="3"/>
      <c r="DR284" s="3"/>
      <c r="DS284" s="3"/>
      <c r="DT284" s="3"/>
      <c r="DU284" s="3"/>
      <c r="DV284" s="3"/>
      <c r="DW284" s="3"/>
      <c r="DX284" s="3"/>
      <c r="DY284" s="3"/>
      <c r="DZ284" s="3"/>
      <c r="EA284" s="3"/>
      <c r="EB284" s="3"/>
      <c r="EC284" s="3"/>
      <c r="ED284" s="3"/>
      <c r="EE284" s="3"/>
      <c r="EF284" s="3"/>
      <c r="EG284" s="3"/>
      <c r="EH284" s="3"/>
      <c r="EI284" s="3"/>
      <c r="EJ284" s="3"/>
      <c r="EK284" s="3"/>
      <c r="EL284" s="3"/>
      <c r="EM284" s="3"/>
      <c r="EN284" s="3"/>
      <c r="EO284" s="3"/>
      <c r="EP284" s="3"/>
      <c r="EQ284" s="3"/>
      <c r="ER284" s="3"/>
      <c r="ES284" s="3"/>
      <c r="ET284" s="3"/>
      <c r="EU284" s="3"/>
      <c r="EV284" s="3"/>
      <c r="EW284" s="3"/>
      <c r="EX284" s="3"/>
      <c r="EY284" s="3"/>
      <c r="EZ284" s="3"/>
      <c r="FA284" s="3"/>
      <c r="FB284" s="3"/>
      <c r="FC284" s="3"/>
      <c r="FD284" s="3"/>
      <c r="FE284" s="3"/>
      <c r="FF284" s="3"/>
      <c r="FG284" s="3"/>
      <c r="FH284" s="3"/>
      <c r="FI284" s="3"/>
      <c r="FJ284" s="3"/>
      <c r="FK284" s="3"/>
      <c r="FL284" s="3"/>
      <c r="FM284" s="3"/>
      <c r="FN284" s="3"/>
      <c r="FO284" s="3"/>
      <c r="FP284" s="3"/>
      <c r="FQ284" s="3"/>
      <c r="FR284" s="3"/>
      <c r="FS284" s="3"/>
      <c r="FT284" s="3"/>
      <c r="FU284" s="3"/>
      <c r="FV284" s="3"/>
      <c r="FW284" s="3"/>
      <c r="FX284" s="3"/>
      <c r="FY284" s="3"/>
      <c r="FZ284" s="3"/>
      <c r="GA284" s="3"/>
      <c r="GB284" s="3"/>
      <c r="GC284" s="3"/>
      <c r="GD284" s="3"/>
      <c r="GE284" s="3"/>
      <c r="GF284" s="3"/>
      <c r="GG284" s="3"/>
      <c r="GH284" s="3"/>
      <c r="GI284" s="3"/>
      <c r="GJ284" s="3"/>
      <c r="GK284" s="3"/>
      <c r="GL284" s="3"/>
      <c r="GM284" s="3"/>
      <c r="GN284" s="3"/>
      <c r="GO284" s="3"/>
      <c r="GP284" s="3"/>
      <c r="GQ284" s="3"/>
      <c r="GR284" s="3"/>
      <c r="GS284" s="3"/>
      <c r="GT284" s="3"/>
      <c r="GU284" s="3"/>
      <c r="GV284" s="3"/>
      <c r="GW284" s="3"/>
      <c r="GX284" s="3"/>
      <c r="GY284" s="3"/>
      <c r="GZ284" s="3"/>
      <c r="HA284" s="3"/>
      <c r="HB284" s="3"/>
      <c r="HC284" s="3"/>
      <c r="HD284" s="3"/>
      <c r="HE284" s="3"/>
      <c r="HF284" s="3"/>
      <c r="HG284" s="3"/>
      <c r="HH284" s="3"/>
      <c r="HI284" s="3"/>
      <c r="HJ284" s="3"/>
      <c r="HK284" s="3"/>
      <c r="HL284" s="3"/>
      <c r="HM284" s="3"/>
      <c r="HN284" s="3"/>
      <c r="HO284" s="3"/>
      <c r="HP284" s="3"/>
      <c r="HQ284" s="3"/>
      <c r="HR284" s="3"/>
      <c r="HS284" s="3"/>
      <c r="HT284" s="3"/>
      <c r="HU284" s="3"/>
      <c r="HV284" s="3"/>
      <c r="HW284" s="3"/>
      <c r="HX284" s="3"/>
      <c r="HY284" s="3"/>
      <c r="HZ284" s="3"/>
      <c r="IA284" s="3"/>
      <c r="IB284" s="3"/>
      <c r="IC284" s="3"/>
      <c r="ID284" s="3"/>
      <c r="IE284" s="3"/>
      <c r="IF284" s="3"/>
      <c r="IG284" s="3"/>
      <c r="IH284" s="3"/>
      <c r="II284" s="3"/>
      <c r="IJ284" s="3"/>
      <c r="IK284" s="3"/>
      <c r="IL284" s="3"/>
      <c r="IM284" s="3"/>
      <c r="IN284" s="3"/>
      <c r="IO284" s="3"/>
      <c r="IP284" s="3"/>
      <c r="IQ284" s="3"/>
      <c r="IR284" s="3"/>
      <c r="IS284" s="3"/>
      <c r="IT284" s="3"/>
      <c r="IU284" s="3"/>
      <c r="IV284" s="3"/>
      <c r="IW284" s="3"/>
      <c r="IX284" s="3"/>
      <c r="IY284" s="3"/>
      <c r="IZ284" s="3"/>
      <c r="JA284" s="3"/>
      <c r="JB284" s="3"/>
      <c r="JC284" s="3"/>
      <c r="JD284" s="3"/>
      <c r="JE284" s="3"/>
      <c r="JF284" s="3"/>
      <c r="JG284" s="3"/>
      <c r="JH284" s="3"/>
      <c r="JI284" s="3"/>
      <c r="JJ284" s="3"/>
      <c r="JK284" s="3"/>
      <c r="JL284" s="3"/>
      <c r="JM284" s="3"/>
      <c r="JN284" s="3"/>
      <c r="JO284" s="3"/>
      <c r="JP284" s="3"/>
      <c r="JQ284" s="3"/>
      <c r="JR284" s="3"/>
      <c r="JS284" s="3"/>
      <c r="JT284" s="3"/>
      <c r="JU284" s="3"/>
      <c r="JV284" s="3"/>
      <c r="JW284" s="3"/>
      <c r="JX284" s="3"/>
      <c r="JY284" s="3"/>
      <c r="JZ284" s="3"/>
      <c r="KA284" s="3"/>
      <c r="KB284" s="3"/>
      <c r="KC284" s="3"/>
      <c r="KD284" s="3"/>
      <c r="KE284" s="3"/>
      <c r="KF284" s="3"/>
      <c r="KG284" s="3"/>
      <c r="KH284" s="3"/>
      <c r="KI284" s="3"/>
      <c r="KJ284" s="3"/>
      <c r="KK284" s="3"/>
      <c r="KL284" s="3"/>
      <c r="KM284" s="3"/>
      <c r="KN284" s="3"/>
      <c r="KO284" s="3"/>
      <c r="KP284" s="3"/>
      <c r="KQ284" s="3"/>
      <c r="KR284" s="3"/>
      <c r="KS284" s="3"/>
      <c r="KT284" s="3"/>
      <c r="KU284" s="3"/>
      <c r="KV284" s="3"/>
      <c r="KW284" s="3"/>
      <c r="KX284" s="3"/>
      <c r="KY284" s="3"/>
      <c r="KZ284" s="3"/>
      <c r="LA284" s="3"/>
      <c r="LB284" s="3"/>
      <c r="LC284" s="3"/>
      <c r="LD284" s="3"/>
      <c r="LE284" s="3"/>
      <c r="LF284" s="3"/>
      <c r="LG284" s="3"/>
      <c r="LH284" s="3"/>
      <c r="LI284" s="3"/>
      <c r="LJ284" s="3"/>
      <c r="LK284" s="3"/>
      <c r="LL284" s="3"/>
      <c r="LM284" s="3"/>
      <c r="LN284" s="3"/>
      <c r="LO284" s="3"/>
      <c r="LP284" s="3"/>
      <c r="LQ284" s="3"/>
      <c r="LR284" s="3"/>
      <c r="LS284" s="3"/>
      <c r="LT284" s="3"/>
      <c r="LU284" s="3"/>
      <c r="LV284" s="3"/>
      <c r="LW284" s="3"/>
      <c r="LX284" s="3"/>
      <c r="LY284" s="3"/>
      <c r="LZ284" s="3"/>
      <c r="MA284" s="3"/>
      <c r="MB284" s="3"/>
      <c r="MC284" s="3"/>
      <c r="MD284" s="3"/>
      <c r="ME284" s="3"/>
      <c r="MF284" s="3"/>
      <c r="MG284" s="3"/>
      <c r="MH284" s="3"/>
      <c r="MI284" s="3"/>
      <c r="MJ284" s="3"/>
      <c r="MK284" s="3"/>
      <c r="ML284" s="3"/>
      <c r="MM284" s="3"/>
      <c r="MN284" s="3"/>
      <c r="MO284" s="3"/>
      <c r="MP284" s="3"/>
      <c r="MQ284" s="3"/>
      <c r="MR284" s="3"/>
      <c r="MS284" s="3"/>
      <c r="MT284" s="3"/>
      <c r="MU284" s="3"/>
      <c r="MV284" s="3"/>
      <c r="MW284" s="3"/>
      <c r="MX284" s="3"/>
      <c r="MY284" s="3"/>
      <c r="MZ284" s="3"/>
      <c r="NA284" s="3"/>
      <c r="NB284" s="3"/>
      <c r="NC284" s="3"/>
      <c r="ND284" s="3"/>
      <c r="NE284" s="3"/>
      <c r="NF284" s="3"/>
      <c r="NG284" s="3"/>
      <c r="NH284" s="3"/>
      <c r="NI284" s="3"/>
      <c r="NJ284" s="3"/>
      <c r="NK284" s="3"/>
      <c r="NL284" s="3"/>
      <c r="NM284" s="3"/>
      <c r="NN284" s="3"/>
      <c r="NO284" s="3"/>
      <c r="NP284" s="3"/>
      <c r="NQ284" s="3"/>
      <c r="NR284" s="3"/>
      <c r="NS284" s="3"/>
      <c r="NT284" s="3"/>
      <c r="NU284" s="3"/>
      <c r="NV284" s="3"/>
      <c r="NW284" s="3"/>
      <c r="NX284" s="3"/>
      <c r="NY284" s="3"/>
      <c r="NZ284" s="3"/>
      <c r="OA284" s="3"/>
      <c r="OB284" s="3"/>
      <c r="OC284" s="3"/>
      <c r="OD284" s="3"/>
      <c r="OE284" s="3"/>
      <c r="OF284" s="3"/>
      <c r="OG284" s="3"/>
      <c r="OH284" s="3"/>
      <c r="OI284" s="3"/>
      <c r="OJ284" s="3"/>
      <c r="OK284" s="3"/>
      <c r="OL284" s="3"/>
      <c r="OM284" s="3"/>
      <c r="ON284" s="3"/>
      <c r="OO284" s="3"/>
      <c r="OP284" s="3"/>
      <c r="OQ284" s="3"/>
      <c r="OR284" s="3"/>
      <c r="OS284" s="3"/>
      <c r="OT284" s="3"/>
      <c r="OU284" s="3"/>
      <c r="OV284" s="3"/>
      <c r="OW284" s="3"/>
      <c r="OX284" s="3"/>
      <c r="OY284" s="3"/>
      <c r="OZ284" s="3"/>
      <c r="PA284" s="3"/>
      <c r="PB284" s="3"/>
      <c r="PC284" s="3"/>
      <c r="PD284" s="3"/>
      <c r="PE284" s="3"/>
      <c r="PF284" s="3"/>
      <c r="PG284" s="3"/>
      <c r="PH284" s="3"/>
      <c r="PI284" s="3"/>
      <c r="PJ284" s="3"/>
      <c r="PK284" s="3"/>
      <c r="PL284" s="3"/>
      <c r="PM284" s="3"/>
      <c r="PN284" s="3"/>
      <c r="PO284" s="3"/>
      <c r="PP284" s="3"/>
      <c r="PQ284" s="3"/>
      <c r="PR284" s="3"/>
      <c r="PS284" s="3"/>
      <c r="PT284" s="3"/>
      <c r="PU284" s="3"/>
      <c r="PV284" s="3"/>
      <c r="PW284" s="3"/>
      <c r="PX284" s="3"/>
      <c r="PY284" s="3"/>
      <c r="PZ284" s="3"/>
      <c r="QA284" s="3"/>
      <c r="QB284" s="3"/>
      <c r="QC284" s="3"/>
      <c r="QD284" s="3"/>
      <c r="QE284" s="3"/>
      <c r="QF284" s="3"/>
      <c r="QG284" s="3"/>
      <c r="QH284" s="3"/>
      <c r="QI284" s="3"/>
      <c r="QJ284" s="3"/>
      <c r="QK284" s="3"/>
      <c r="QL284" s="3"/>
      <c r="QM284" s="3"/>
      <c r="QN284" s="3"/>
      <c r="QO284" s="3"/>
      <c r="QP284" s="3"/>
      <c r="QQ284" s="3"/>
      <c r="QR284" s="3"/>
      <c r="QS284" s="3"/>
      <c r="QT284" s="3"/>
      <c r="QU284" s="3"/>
      <c r="QV284" s="3"/>
      <c r="QW284" s="3"/>
      <c r="QX284" s="3"/>
      <c r="QY284" s="3"/>
      <c r="QZ284" s="3"/>
      <c r="RA284" s="3"/>
      <c r="RB284" s="3"/>
      <c r="RC284" s="3"/>
      <c r="RD284" s="3"/>
      <c r="RE284" s="3"/>
      <c r="RF284" s="3"/>
      <c r="RG284" s="3"/>
      <c r="RH284" s="3"/>
      <c r="RI284" s="3"/>
      <c r="RJ284" s="3"/>
      <c r="RK284" s="3"/>
      <c r="RL284" s="3"/>
      <c r="RM284" s="3"/>
      <c r="RN284" s="3"/>
      <c r="RO284" s="3"/>
      <c r="RP284" s="3"/>
      <c r="RQ284" s="3"/>
      <c r="RR284" s="3"/>
      <c r="RS284" s="3"/>
      <c r="RT284" s="3"/>
      <c r="RU284" s="3"/>
      <c r="RV284" s="3"/>
      <c r="RW284" s="3"/>
      <c r="RX284" s="3"/>
      <c r="RY284" s="3"/>
      <c r="RZ284" s="3"/>
      <c r="SA284" s="3"/>
      <c r="SB284" s="3"/>
      <c r="SC284" s="3"/>
      <c r="SD284" s="3"/>
      <c r="SE284" s="3"/>
      <c r="SF284" s="3"/>
      <c r="SG284" s="3"/>
      <c r="SH284" s="3"/>
      <c r="SI284" s="3"/>
      <c r="SJ284" s="3"/>
      <c r="SK284" s="3"/>
      <c r="SL284" s="3"/>
      <c r="SM284" s="3"/>
      <c r="SN284" s="3"/>
      <c r="SO284" s="3"/>
      <c r="SP284" s="3"/>
      <c r="SQ284" s="3"/>
      <c r="SR284" s="3"/>
      <c r="SS284" s="3"/>
      <c r="ST284" s="3"/>
      <c r="SU284" s="3"/>
      <c r="SV284" s="3"/>
      <c r="SW284" s="3"/>
      <c r="SX284" s="3"/>
      <c r="SY284" s="3"/>
      <c r="SZ284" s="3"/>
      <c r="TA284" s="3"/>
      <c r="TB284" s="3"/>
      <c r="TC284" s="3"/>
      <c r="TD284" s="3"/>
      <c r="TE284" s="3"/>
      <c r="TF284" s="3"/>
      <c r="TG284" s="3"/>
      <c r="TH284" s="3"/>
      <c r="TI284" s="3"/>
      <c r="TJ284" s="3"/>
      <c r="TK284" s="3"/>
      <c r="TL284" s="3"/>
      <c r="TM284" s="3"/>
      <c r="TN284" s="3"/>
      <c r="TO284" s="3"/>
      <c r="TP284" s="3"/>
      <c r="TQ284" s="3"/>
      <c r="TR284" s="3"/>
      <c r="TS284" s="3"/>
      <c r="TT284" s="3"/>
      <c r="TU284" s="3"/>
      <c r="TV284" s="3"/>
      <c r="TW284" s="3"/>
      <c r="TX284" s="3"/>
      <c r="TY284" s="3"/>
      <c r="TZ284" s="3"/>
      <c r="UA284" s="3"/>
      <c r="UB284" s="3"/>
      <c r="UC284" s="3"/>
      <c r="UD284" s="3"/>
      <c r="UE284" s="3"/>
      <c r="UF284" s="3"/>
      <c r="UG284" s="3"/>
      <c r="UH284" s="3"/>
      <c r="UI284" s="3"/>
      <c r="UJ284" s="3"/>
      <c r="UK284" s="3"/>
      <c r="UL284" s="3"/>
      <c r="UM284" s="3"/>
      <c r="UN284" s="3"/>
      <c r="UO284" s="3"/>
      <c r="UP284" s="3"/>
      <c r="UQ284" s="3"/>
      <c r="UR284" s="3"/>
      <c r="US284" s="3"/>
      <c r="UT284" s="3"/>
      <c r="UU284" s="3"/>
      <c r="UV284" s="3"/>
      <c r="UW284" s="3"/>
      <c r="UX284" s="3"/>
      <c r="UY284" s="3"/>
      <c r="UZ284" s="3"/>
      <c r="VA284" s="3"/>
      <c r="VB284" s="3"/>
      <c r="VC284" s="3"/>
      <c r="VD284" s="3"/>
      <c r="VE284" s="3"/>
      <c r="VF284" s="3"/>
      <c r="VG284" s="3"/>
      <c r="VH284" s="3"/>
      <c r="VI284" s="3"/>
      <c r="VJ284" s="3"/>
      <c r="VK284" s="3"/>
      <c r="VL284" s="3"/>
      <c r="VM284" s="3"/>
      <c r="VN284" s="3"/>
      <c r="VO284" s="3"/>
      <c r="VP284" s="3"/>
      <c r="VQ284" s="3"/>
      <c r="VR284" s="3"/>
      <c r="VS284" s="3"/>
      <c r="VT284" s="3"/>
      <c r="VU284" s="3"/>
      <c r="VV284" s="3"/>
      <c r="VW284" s="3"/>
      <c r="VX284" s="3"/>
      <c r="VY284" s="3"/>
      <c r="VZ284" s="3"/>
      <c r="WA284" s="3"/>
      <c r="WB284" s="3"/>
      <c r="WC284" s="3"/>
      <c r="WD284" s="3"/>
      <c r="WE284" s="3"/>
      <c r="WF284" s="3"/>
      <c r="WG284" s="3"/>
      <c r="WH284" s="3"/>
      <c r="WI284" s="3"/>
      <c r="WJ284" s="3"/>
      <c r="WK284" s="3"/>
      <c r="WL284" s="3"/>
      <c r="WM284" s="3"/>
      <c r="WN284" s="3"/>
      <c r="WO284" s="3"/>
      <c r="WP284" s="3"/>
      <c r="WQ284" s="3"/>
      <c r="WR284" s="3"/>
      <c r="WS284" s="3"/>
      <c r="WT284" s="3"/>
      <c r="WU284" s="3"/>
      <c r="WV284" s="3"/>
      <c r="WW284" s="3"/>
      <c r="WX284" s="3"/>
      <c r="WY284" s="3"/>
      <c r="WZ284" s="3"/>
      <c r="XA284" s="3"/>
      <c r="XB284" s="3"/>
      <c r="XC284" s="3"/>
      <c r="XD284" s="3"/>
      <c r="XE284" s="3"/>
      <c r="XF284" s="3"/>
      <c r="XG284" s="3"/>
      <c r="XH284" s="3"/>
      <c r="XI284" s="3"/>
      <c r="XJ284" s="3"/>
      <c r="XK284" s="3"/>
      <c r="XL284" s="3"/>
      <c r="XM284" s="3"/>
      <c r="XN284" s="3"/>
      <c r="XO284" s="3"/>
      <c r="XP284" s="3"/>
      <c r="XQ284" s="3"/>
      <c r="XR284" s="3"/>
      <c r="XS284" s="3"/>
      <c r="XT284" s="3"/>
      <c r="XU284" s="3"/>
      <c r="XV284" s="3"/>
      <c r="XW284" s="3"/>
      <c r="XX284" s="3"/>
      <c r="XY284" s="3"/>
      <c r="XZ284" s="3"/>
      <c r="YA284" s="3"/>
      <c r="YB284" s="3"/>
      <c r="YC284" s="3"/>
      <c r="YD284" s="3"/>
      <c r="YE284" s="3"/>
      <c r="YF284" s="3"/>
      <c r="YG284" s="3"/>
      <c r="YH284" s="3"/>
      <c r="YI284" s="3"/>
      <c r="YJ284" s="3"/>
      <c r="YK284" s="3"/>
      <c r="YL284" s="3"/>
      <c r="YM284" s="3"/>
      <c r="YN284" s="3"/>
      <c r="YO284" s="3"/>
      <c r="YP284" s="3"/>
      <c r="YQ284" s="3"/>
      <c r="YR284" s="3"/>
      <c r="YS284" s="3"/>
      <c r="YT284" s="3"/>
      <c r="YU284" s="3"/>
      <c r="YV284" s="3"/>
      <c r="YW284" s="3"/>
      <c r="YX284" s="3"/>
      <c r="YY284" s="3"/>
      <c r="YZ284" s="3"/>
      <c r="ZA284" s="3"/>
      <c r="ZB284" s="3"/>
      <c r="ZC284" s="3"/>
    </row>
    <row r="285" spans="1:679" s="2" customFormat="1" x14ac:dyDescent="0.45">
      <c r="A285" s="3" t="s">
        <v>11</v>
      </c>
      <c r="B285" s="4">
        <v>38457</v>
      </c>
      <c r="C285" s="7" t="s">
        <v>21</v>
      </c>
      <c r="D285" s="6" t="s">
        <v>305</v>
      </c>
      <c r="E285" s="3"/>
      <c r="F285" s="3">
        <v>54</v>
      </c>
      <c r="L285" s="3"/>
      <c r="M285" s="3"/>
      <c r="N285" s="48"/>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c r="CO285" s="3"/>
      <c r="CP285" s="3"/>
      <c r="CQ285" s="3"/>
      <c r="CR285" s="3"/>
      <c r="CS285" s="3"/>
      <c r="CT285" s="3"/>
      <c r="CU285" s="3"/>
      <c r="CV285" s="3"/>
      <c r="CW285" s="3"/>
      <c r="CX285" s="3"/>
      <c r="CY285" s="3"/>
      <c r="CZ285" s="3"/>
      <c r="DA285" s="3"/>
      <c r="DB285" s="3"/>
      <c r="DC285" s="3"/>
      <c r="DD285" s="3"/>
      <c r="DE285" s="3"/>
      <c r="DF285" s="3"/>
      <c r="DG285" s="3"/>
      <c r="DH285" s="3"/>
      <c r="DI285" s="3"/>
      <c r="DJ285" s="3"/>
      <c r="DK285" s="3"/>
      <c r="DL285" s="3"/>
      <c r="DM285" s="3"/>
      <c r="DN285" s="3"/>
      <c r="DO285" s="3"/>
      <c r="DP285" s="3"/>
      <c r="DQ285" s="3"/>
      <c r="DR285" s="3"/>
      <c r="DS285" s="3"/>
      <c r="DT285" s="3"/>
      <c r="DU285" s="3"/>
      <c r="DV285" s="3"/>
      <c r="DW285" s="3"/>
      <c r="DX285" s="3"/>
      <c r="DY285" s="3"/>
      <c r="DZ285" s="3"/>
      <c r="EA285" s="3"/>
      <c r="EB285" s="3"/>
      <c r="EC285" s="3"/>
      <c r="ED285" s="3"/>
      <c r="EE285" s="3"/>
      <c r="EF285" s="3"/>
      <c r="EG285" s="3"/>
      <c r="EH285" s="3"/>
      <c r="EI285" s="3"/>
      <c r="EJ285" s="3"/>
      <c r="EK285" s="3"/>
      <c r="EL285" s="3"/>
      <c r="EM285" s="3"/>
      <c r="EN285" s="3"/>
      <c r="EO285" s="3"/>
      <c r="EP285" s="3"/>
      <c r="EQ285" s="3"/>
      <c r="ER285" s="3"/>
      <c r="ES285" s="3"/>
      <c r="ET285" s="3"/>
      <c r="EU285" s="3"/>
      <c r="EV285" s="3"/>
      <c r="EW285" s="3"/>
      <c r="EX285" s="3"/>
      <c r="EY285" s="3"/>
      <c r="EZ285" s="3"/>
      <c r="FA285" s="3"/>
      <c r="FB285" s="3"/>
      <c r="FC285" s="3"/>
      <c r="FD285" s="3"/>
      <c r="FE285" s="3"/>
      <c r="FF285" s="3"/>
      <c r="FG285" s="3"/>
      <c r="FH285" s="3"/>
      <c r="FI285" s="3"/>
      <c r="FJ285" s="3"/>
      <c r="FK285" s="3"/>
      <c r="FL285" s="3"/>
      <c r="FM285" s="3"/>
      <c r="FN285" s="3"/>
      <c r="FO285" s="3"/>
      <c r="FP285" s="3"/>
      <c r="FQ285" s="3"/>
      <c r="FR285" s="3"/>
      <c r="FS285" s="3"/>
      <c r="FT285" s="3"/>
      <c r="FU285" s="3"/>
      <c r="FV285" s="3"/>
      <c r="FW285" s="3"/>
      <c r="FX285" s="3"/>
      <c r="FY285" s="3"/>
      <c r="FZ285" s="3"/>
      <c r="GA285" s="3"/>
      <c r="GB285" s="3"/>
      <c r="GC285" s="3"/>
      <c r="GD285" s="3"/>
      <c r="GE285" s="3"/>
      <c r="GF285" s="3"/>
      <c r="GG285" s="3"/>
      <c r="GH285" s="3"/>
      <c r="GI285" s="3"/>
      <c r="GJ285" s="3"/>
      <c r="GK285" s="3"/>
      <c r="GL285" s="3"/>
      <c r="GM285" s="3"/>
      <c r="GN285" s="3"/>
      <c r="GO285" s="3"/>
      <c r="GP285" s="3"/>
      <c r="GQ285" s="3"/>
      <c r="GR285" s="3"/>
      <c r="GS285" s="3"/>
      <c r="GT285" s="3"/>
      <c r="GU285" s="3"/>
      <c r="GV285" s="3"/>
      <c r="GW285" s="3"/>
      <c r="GX285" s="3"/>
      <c r="GY285" s="3"/>
      <c r="GZ285" s="3"/>
      <c r="HA285" s="3"/>
      <c r="HB285" s="3"/>
      <c r="HC285" s="3"/>
      <c r="HD285" s="3"/>
      <c r="HE285" s="3"/>
      <c r="HF285" s="3"/>
      <c r="HG285" s="3"/>
      <c r="HH285" s="3"/>
      <c r="HI285" s="3"/>
      <c r="HJ285" s="3"/>
      <c r="HK285" s="3"/>
      <c r="HL285" s="3"/>
      <c r="HM285" s="3"/>
      <c r="HN285" s="3"/>
      <c r="HO285" s="3"/>
      <c r="HP285" s="3"/>
      <c r="HQ285" s="3"/>
      <c r="HR285" s="3"/>
      <c r="HS285" s="3"/>
      <c r="HT285" s="3"/>
      <c r="HU285" s="3"/>
      <c r="HV285" s="3"/>
      <c r="HW285" s="3"/>
      <c r="HX285" s="3"/>
      <c r="HY285" s="3"/>
      <c r="HZ285" s="3"/>
      <c r="IA285" s="3"/>
      <c r="IB285" s="3"/>
      <c r="IC285" s="3"/>
      <c r="ID285" s="3"/>
      <c r="IE285" s="3"/>
      <c r="IF285" s="3"/>
      <c r="IG285" s="3"/>
      <c r="IH285" s="3"/>
      <c r="II285" s="3"/>
      <c r="IJ285" s="3"/>
      <c r="IK285" s="3"/>
      <c r="IL285" s="3"/>
      <c r="IM285" s="3"/>
      <c r="IN285" s="3"/>
      <c r="IO285" s="3"/>
      <c r="IP285" s="3"/>
      <c r="IQ285" s="3"/>
      <c r="IR285" s="3"/>
      <c r="IS285" s="3"/>
      <c r="IT285" s="3"/>
      <c r="IU285" s="3"/>
      <c r="IV285" s="3"/>
      <c r="IW285" s="3"/>
      <c r="IX285" s="3"/>
      <c r="IY285" s="3"/>
      <c r="IZ285" s="3"/>
      <c r="JA285" s="3"/>
      <c r="JB285" s="3"/>
      <c r="JC285" s="3"/>
      <c r="JD285" s="3"/>
      <c r="JE285" s="3"/>
      <c r="JF285" s="3"/>
      <c r="JG285" s="3"/>
      <c r="JH285" s="3"/>
      <c r="JI285" s="3"/>
      <c r="JJ285" s="3"/>
      <c r="JK285" s="3"/>
      <c r="JL285" s="3"/>
      <c r="JM285" s="3"/>
      <c r="JN285" s="3"/>
      <c r="JO285" s="3"/>
      <c r="JP285" s="3"/>
      <c r="JQ285" s="3"/>
      <c r="JR285" s="3"/>
      <c r="JS285" s="3"/>
      <c r="JT285" s="3"/>
      <c r="JU285" s="3"/>
      <c r="JV285" s="3"/>
      <c r="JW285" s="3"/>
      <c r="JX285" s="3"/>
      <c r="JY285" s="3"/>
      <c r="JZ285" s="3"/>
      <c r="KA285" s="3"/>
      <c r="KB285" s="3"/>
      <c r="KC285" s="3"/>
      <c r="KD285" s="3"/>
      <c r="KE285" s="3"/>
      <c r="KF285" s="3"/>
      <c r="KG285" s="3"/>
      <c r="KH285" s="3"/>
      <c r="KI285" s="3"/>
      <c r="KJ285" s="3"/>
      <c r="KK285" s="3"/>
      <c r="KL285" s="3"/>
      <c r="KM285" s="3"/>
      <c r="KN285" s="3"/>
      <c r="KO285" s="3"/>
      <c r="KP285" s="3"/>
      <c r="KQ285" s="3"/>
      <c r="KR285" s="3"/>
      <c r="KS285" s="3"/>
      <c r="KT285" s="3"/>
      <c r="KU285" s="3"/>
      <c r="KV285" s="3"/>
      <c r="KW285" s="3"/>
      <c r="KX285" s="3"/>
      <c r="KY285" s="3"/>
      <c r="KZ285" s="3"/>
      <c r="LA285" s="3"/>
      <c r="LB285" s="3"/>
      <c r="LC285" s="3"/>
      <c r="LD285" s="3"/>
      <c r="LE285" s="3"/>
      <c r="LF285" s="3"/>
      <c r="LG285" s="3"/>
      <c r="LH285" s="3"/>
      <c r="LI285" s="3"/>
      <c r="LJ285" s="3"/>
      <c r="LK285" s="3"/>
      <c r="LL285" s="3"/>
      <c r="LM285" s="3"/>
      <c r="LN285" s="3"/>
      <c r="LO285" s="3"/>
      <c r="LP285" s="3"/>
      <c r="LQ285" s="3"/>
      <c r="LR285" s="3"/>
      <c r="LS285" s="3"/>
      <c r="LT285" s="3"/>
      <c r="LU285" s="3"/>
      <c r="LV285" s="3"/>
      <c r="LW285" s="3"/>
      <c r="LX285" s="3"/>
      <c r="LY285" s="3"/>
      <c r="LZ285" s="3"/>
      <c r="MA285" s="3"/>
      <c r="MB285" s="3"/>
      <c r="MC285" s="3"/>
      <c r="MD285" s="3"/>
      <c r="ME285" s="3"/>
      <c r="MF285" s="3"/>
      <c r="MG285" s="3"/>
      <c r="MH285" s="3"/>
      <c r="MI285" s="3"/>
      <c r="MJ285" s="3"/>
      <c r="MK285" s="3"/>
      <c r="ML285" s="3"/>
      <c r="MM285" s="3"/>
      <c r="MN285" s="3"/>
      <c r="MO285" s="3"/>
      <c r="MP285" s="3"/>
      <c r="MQ285" s="3"/>
      <c r="MR285" s="3"/>
      <c r="MS285" s="3"/>
      <c r="MT285" s="3"/>
      <c r="MU285" s="3"/>
      <c r="MV285" s="3"/>
      <c r="MW285" s="3"/>
      <c r="MX285" s="3"/>
      <c r="MY285" s="3"/>
      <c r="MZ285" s="3"/>
      <c r="NA285" s="3"/>
      <c r="NB285" s="3"/>
      <c r="NC285" s="3"/>
      <c r="ND285" s="3"/>
      <c r="NE285" s="3"/>
      <c r="NF285" s="3"/>
      <c r="NG285" s="3"/>
      <c r="NH285" s="3"/>
      <c r="NI285" s="3"/>
      <c r="NJ285" s="3"/>
      <c r="NK285" s="3"/>
      <c r="NL285" s="3"/>
      <c r="NM285" s="3"/>
      <c r="NN285" s="3"/>
      <c r="NO285" s="3"/>
      <c r="NP285" s="3"/>
      <c r="NQ285" s="3"/>
      <c r="NR285" s="3"/>
      <c r="NS285" s="3"/>
      <c r="NT285" s="3"/>
      <c r="NU285" s="3"/>
      <c r="NV285" s="3"/>
      <c r="NW285" s="3"/>
      <c r="NX285" s="3"/>
      <c r="NY285" s="3"/>
      <c r="NZ285" s="3"/>
      <c r="OA285" s="3"/>
      <c r="OB285" s="3"/>
      <c r="OC285" s="3"/>
      <c r="OD285" s="3"/>
      <c r="OE285" s="3"/>
      <c r="OF285" s="3"/>
      <c r="OG285" s="3"/>
      <c r="OH285" s="3"/>
      <c r="OI285" s="3"/>
      <c r="OJ285" s="3"/>
      <c r="OK285" s="3"/>
      <c r="OL285" s="3"/>
      <c r="OM285" s="3"/>
      <c r="ON285" s="3"/>
      <c r="OO285" s="3"/>
      <c r="OP285" s="3"/>
      <c r="OQ285" s="3"/>
      <c r="OR285" s="3"/>
      <c r="OS285" s="3"/>
      <c r="OT285" s="3"/>
      <c r="OU285" s="3"/>
      <c r="OV285" s="3"/>
      <c r="OW285" s="3"/>
      <c r="OX285" s="3"/>
      <c r="OY285" s="3"/>
      <c r="OZ285" s="3"/>
      <c r="PA285" s="3"/>
      <c r="PB285" s="3"/>
      <c r="PC285" s="3"/>
      <c r="PD285" s="3"/>
      <c r="PE285" s="3"/>
      <c r="PF285" s="3"/>
      <c r="PG285" s="3"/>
      <c r="PH285" s="3"/>
      <c r="PI285" s="3"/>
      <c r="PJ285" s="3"/>
      <c r="PK285" s="3"/>
      <c r="PL285" s="3"/>
      <c r="PM285" s="3"/>
      <c r="PN285" s="3"/>
      <c r="PO285" s="3"/>
      <c r="PP285" s="3"/>
      <c r="PQ285" s="3"/>
      <c r="PR285" s="3"/>
      <c r="PS285" s="3"/>
      <c r="PT285" s="3"/>
      <c r="PU285" s="3"/>
      <c r="PV285" s="3"/>
      <c r="PW285" s="3"/>
      <c r="PX285" s="3"/>
      <c r="PY285" s="3"/>
      <c r="PZ285" s="3"/>
      <c r="QA285" s="3"/>
      <c r="QB285" s="3"/>
      <c r="QC285" s="3"/>
      <c r="QD285" s="3"/>
      <c r="QE285" s="3"/>
      <c r="QF285" s="3"/>
      <c r="QG285" s="3"/>
      <c r="QH285" s="3"/>
      <c r="QI285" s="3"/>
      <c r="QJ285" s="3"/>
      <c r="QK285" s="3"/>
      <c r="QL285" s="3"/>
      <c r="QM285" s="3"/>
      <c r="QN285" s="3"/>
      <c r="QO285" s="3"/>
      <c r="QP285" s="3"/>
      <c r="QQ285" s="3"/>
      <c r="QR285" s="3"/>
      <c r="QS285" s="3"/>
      <c r="QT285" s="3"/>
      <c r="QU285" s="3"/>
      <c r="QV285" s="3"/>
      <c r="QW285" s="3"/>
      <c r="QX285" s="3"/>
      <c r="QY285" s="3"/>
      <c r="QZ285" s="3"/>
      <c r="RA285" s="3"/>
      <c r="RB285" s="3"/>
      <c r="RC285" s="3"/>
      <c r="RD285" s="3"/>
      <c r="RE285" s="3"/>
      <c r="RF285" s="3"/>
      <c r="RG285" s="3"/>
      <c r="RH285" s="3"/>
      <c r="RI285" s="3"/>
      <c r="RJ285" s="3"/>
      <c r="RK285" s="3"/>
      <c r="RL285" s="3"/>
      <c r="RM285" s="3"/>
      <c r="RN285" s="3"/>
      <c r="RO285" s="3"/>
      <c r="RP285" s="3"/>
      <c r="RQ285" s="3"/>
      <c r="RR285" s="3"/>
      <c r="RS285" s="3"/>
      <c r="RT285" s="3"/>
      <c r="RU285" s="3"/>
      <c r="RV285" s="3"/>
      <c r="RW285" s="3"/>
      <c r="RX285" s="3"/>
      <c r="RY285" s="3"/>
      <c r="RZ285" s="3"/>
      <c r="SA285" s="3"/>
      <c r="SB285" s="3"/>
      <c r="SC285" s="3"/>
      <c r="SD285" s="3"/>
      <c r="SE285" s="3"/>
      <c r="SF285" s="3"/>
      <c r="SG285" s="3"/>
      <c r="SH285" s="3"/>
      <c r="SI285" s="3"/>
      <c r="SJ285" s="3"/>
      <c r="SK285" s="3"/>
      <c r="SL285" s="3"/>
      <c r="SM285" s="3"/>
      <c r="SN285" s="3"/>
      <c r="SO285" s="3"/>
      <c r="SP285" s="3"/>
      <c r="SQ285" s="3"/>
      <c r="SR285" s="3"/>
      <c r="SS285" s="3"/>
      <c r="ST285" s="3"/>
      <c r="SU285" s="3"/>
      <c r="SV285" s="3"/>
      <c r="SW285" s="3"/>
      <c r="SX285" s="3"/>
      <c r="SY285" s="3"/>
      <c r="SZ285" s="3"/>
      <c r="TA285" s="3"/>
      <c r="TB285" s="3"/>
      <c r="TC285" s="3"/>
      <c r="TD285" s="3"/>
      <c r="TE285" s="3"/>
      <c r="TF285" s="3"/>
      <c r="TG285" s="3"/>
      <c r="TH285" s="3"/>
      <c r="TI285" s="3"/>
      <c r="TJ285" s="3"/>
      <c r="TK285" s="3"/>
      <c r="TL285" s="3"/>
      <c r="TM285" s="3"/>
      <c r="TN285" s="3"/>
      <c r="TO285" s="3"/>
      <c r="TP285" s="3"/>
      <c r="TQ285" s="3"/>
      <c r="TR285" s="3"/>
      <c r="TS285" s="3"/>
      <c r="TT285" s="3"/>
      <c r="TU285" s="3"/>
      <c r="TV285" s="3"/>
      <c r="TW285" s="3"/>
      <c r="TX285" s="3"/>
      <c r="TY285" s="3"/>
      <c r="TZ285" s="3"/>
      <c r="UA285" s="3"/>
      <c r="UB285" s="3"/>
      <c r="UC285" s="3"/>
      <c r="UD285" s="3"/>
      <c r="UE285" s="3"/>
      <c r="UF285" s="3"/>
      <c r="UG285" s="3"/>
      <c r="UH285" s="3"/>
      <c r="UI285" s="3"/>
      <c r="UJ285" s="3"/>
      <c r="UK285" s="3"/>
      <c r="UL285" s="3"/>
      <c r="UM285" s="3"/>
      <c r="UN285" s="3"/>
      <c r="UO285" s="3"/>
      <c r="UP285" s="3"/>
      <c r="UQ285" s="3"/>
      <c r="UR285" s="3"/>
      <c r="US285" s="3"/>
      <c r="UT285" s="3"/>
      <c r="UU285" s="3"/>
      <c r="UV285" s="3"/>
      <c r="UW285" s="3"/>
      <c r="UX285" s="3"/>
      <c r="UY285" s="3"/>
      <c r="UZ285" s="3"/>
      <c r="VA285" s="3"/>
      <c r="VB285" s="3"/>
      <c r="VC285" s="3"/>
      <c r="VD285" s="3"/>
      <c r="VE285" s="3"/>
      <c r="VF285" s="3"/>
      <c r="VG285" s="3"/>
      <c r="VH285" s="3"/>
      <c r="VI285" s="3"/>
      <c r="VJ285" s="3"/>
      <c r="VK285" s="3"/>
      <c r="VL285" s="3"/>
      <c r="VM285" s="3"/>
      <c r="VN285" s="3"/>
      <c r="VO285" s="3"/>
      <c r="VP285" s="3"/>
      <c r="VQ285" s="3"/>
      <c r="VR285" s="3"/>
      <c r="VS285" s="3"/>
      <c r="VT285" s="3"/>
      <c r="VU285" s="3"/>
      <c r="VV285" s="3"/>
      <c r="VW285" s="3"/>
      <c r="VX285" s="3"/>
      <c r="VY285" s="3"/>
      <c r="VZ285" s="3"/>
      <c r="WA285" s="3"/>
      <c r="WB285" s="3"/>
      <c r="WC285" s="3"/>
      <c r="WD285" s="3"/>
      <c r="WE285" s="3"/>
      <c r="WF285" s="3"/>
      <c r="WG285" s="3"/>
      <c r="WH285" s="3"/>
      <c r="WI285" s="3"/>
      <c r="WJ285" s="3"/>
      <c r="WK285" s="3"/>
      <c r="WL285" s="3"/>
      <c r="WM285" s="3"/>
      <c r="WN285" s="3"/>
      <c r="WO285" s="3"/>
      <c r="WP285" s="3"/>
      <c r="WQ285" s="3"/>
      <c r="WR285" s="3"/>
      <c r="WS285" s="3"/>
      <c r="WT285" s="3"/>
      <c r="WU285" s="3"/>
      <c r="WV285" s="3"/>
      <c r="WW285" s="3"/>
      <c r="WX285" s="3"/>
      <c r="WY285" s="3"/>
      <c r="WZ285" s="3"/>
      <c r="XA285" s="3"/>
      <c r="XB285" s="3"/>
      <c r="XC285" s="3"/>
      <c r="XD285" s="3"/>
      <c r="XE285" s="3"/>
      <c r="XF285" s="3"/>
      <c r="XG285" s="3"/>
      <c r="XH285" s="3"/>
      <c r="XI285" s="3"/>
      <c r="XJ285" s="3"/>
      <c r="XK285" s="3"/>
      <c r="XL285" s="3"/>
      <c r="XM285" s="3"/>
      <c r="XN285" s="3"/>
      <c r="XO285" s="3"/>
      <c r="XP285" s="3"/>
      <c r="XQ285" s="3"/>
      <c r="XR285" s="3"/>
      <c r="XS285" s="3"/>
      <c r="XT285" s="3"/>
      <c r="XU285" s="3"/>
      <c r="XV285" s="3"/>
      <c r="XW285" s="3"/>
      <c r="XX285" s="3"/>
      <c r="XY285" s="3"/>
      <c r="XZ285" s="3"/>
      <c r="YA285" s="3"/>
      <c r="YB285" s="3"/>
      <c r="YC285" s="3"/>
      <c r="YD285" s="3"/>
      <c r="YE285" s="3"/>
      <c r="YF285" s="3"/>
      <c r="YG285" s="3"/>
      <c r="YH285" s="3"/>
      <c r="YI285" s="3"/>
      <c r="YJ285" s="3"/>
      <c r="YK285" s="3"/>
      <c r="YL285" s="3"/>
      <c r="YM285" s="3"/>
      <c r="YN285" s="3"/>
      <c r="YO285" s="3"/>
      <c r="YP285" s="3"/>
      <c r="YQ285" s="3"/>
      <c r="YR285" s="3"/>
      <c r="YS285" s="3"/>
      <c r="YT285" s="3"/>
      <c r="YU285" s="3"/>
      <c r="YV285" s="3"/>
      <c r="YW285" s="3"/>
      <c r="YX285" s="3"/>
      <c r="YY285" s="3"/>
      <c r="YZ285" s="3"/>
      <c r="ZA285" s="3"/>
      <c r="ZB285" s="3"/>
      <c r="ZC285" s="3"/>
    </row>
    <row r="286" spans="1:679" s="2" customFormat="1" x14ac:dyDescent="0.45">
      <c r="A286" s="3" t="s">
        <v>11</v>
      </c>
      <c r="B286" s="4">
        <v>38464</v>
      </c>
      <c r="C286" s="7" t="s">
        <v>21</v>
      </c>
      <c r="D286" s="6" t="s">
        <v>306</v>
      </c>
      <c r="E286" s="3"/>
      <c r="F286" s="3">
        <v>3</v>
      </c>
      <c r="L286" s="3"/>
      <c r="M286" s="3"/>
      <c r="N286" s="48"/>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c r="CO286" s="3"/>
      <c r="CP286" s="3"/>
      <c r="CQ286" s="3"/>
      <c r="CR286" s="3"/>
      <c r="CS286" s="3"/>
      <c r="CT286" s="3"/>
      <c r="CU286" s="3"/>
      <c r="CV286" s="3"/>
      <c r="CW286" s="3"/>
      <c r="CX286" s="3"/>
      <c r="CY286" s="3"/>
      <c r="CZ286" s="3"/>
      <c r="DA286" s="3"/>
      <c r="DB286" s="3"/>
      <c r="DC286" s="3"/>
      <c r="DD286" s="3"/>
      <c r="DE286" s="3"/>
      <c r="DF286" s="3"/>
      <c r="DG286" s="3"/>
      <c r="DH286" s="3"/>
      <c r="DI286" s="3"/>
      <c r="DJ286" s="3"/>
      <c r="DK286" s="3"/>
      <c r="DL286" s="3"/>
      <c r="DM286" s="3"/>
      <c r="DN286" s="3"/>
      <c r="DO286" s="3"/>
      <c r="DP286" s="3"/>
      <c r="DQ286" s="3"/>
      <c r="DR286" s="3"/>
      <c r="DS286" s="3"/>
      <c r="DT286" s="3"/>
      <c r="DU286" s="3"/>
      <c r="DV286" s="3"/>
      <c r="DW286" s="3"/>
      <c r="DX286" s="3"/>
      <c r="DY286" s="3"/>
      <c r="DZ286" s="3"/>
      <c r="EA286" s="3"/>
      <c r="EB286" s="3"/>
      <c r="EC286" s="3"/>
      <c r="ED286" s="3"/>
      <c r="EE286" s="3"/>
      <c r="EF286" s="3"/>
      <c r="EG286" s="3"/>
      <c r="EH286" s="3"/>
      <c r="EI286" s="3"/>
      <c r="EJ286" s="3"/>
      <c r="EK286" s="3"/>
      <c r="EL286" s="3"/>
      <c r="EM286" s="3"/>
      <c r="EN286" s="3"/>
      <c r="EO286" s="3"/>
      <c r="EP286" s="3"/>
      <c r="EQ286" s="3"/>
      <c r="ER286" s="3"/>
      <c r="ES286" s="3"/>
      <c r="ET286" s="3"/>
      <c r="EU286" s="3"/>
      <c r="EV286" s="3"/>
      <c r="EW286" s="3"/>
      <c r="EX286" s="3"/>
      <c r="EY286" s="3"/>
      <c r="EZ286" s="3"/>
      <c r="FA286" s="3"/>
      <c r="FB286" s="3"/>
      <c r="FC286" s="3"/>
      <c r="FD286" s="3"/>
      <c r="FE286" s="3"/>
      <c r="FF286" s="3"/>
      <c r="FG286" s="3"/>
      <c r="FH286" s="3"/>
      <c r="FI286" s="3"/>
      <c r="FJ286" s="3"/>
      <c r="FK286" s="3"/>
      <c r="FL286" s="3"/>
      <c r="FM286" s="3"/>
      <c r="FN286" s="3"/>
      <c r="FO286" s="3"/>
      <c r="FP286" s="3"/>
      <c r="FQ286" s="3"/>
      <c r="FR286" s="3"/>
      <c r="FS286" s="3"/>
      <c r="FT286" s="3"/>
      <c r="FU286" s="3"/>
      <c r="FV286" s="3"/>
      <c r="FW286" s="3"/>
      <c r="FX286" s="3"/>
      <c r="FY286" s="3"/>
      <c r="FZ286" s="3"/>
      <c r="GA286" s="3"/>
      <c r="GB286" s="3"/>
      <c r="GC286" s="3"/>
      <c r="GD286" s="3"/>
      <c r="GE286" s="3"/>
      <c r="GF286" s="3"/>
      <c r="GG286" s="3"/>
      <c r="GH286" s="3"/>
      <c r="GI286" s="3"/>
      <c r="GJ286" s="3"/>
      <c r="GK286" s="3"/>
      <c r="GL286" s="3"/>
      <c r="GM286" s="3"/>
      <c r="GN286" s="3"/>
      <c r="GO286" s="3"/>
      <c r="GP286" s="3"/>
      <c r="GQ286" s="3"/>
      <c r="GR286" s="3"/>
      <c r="GS286" s="3"/>
      <c r="GT286" s="3"/>
      <c r="GU286" s="3"/>
      <c r="GV286" s="3"/>
      <c r="GW286" s="3"/>
      <c r="GX286" s="3"/>
      <c r="GY286" s="3"/>
      <c r="GZ286" s="3"/>
      <c r="HA286" s="3"/>
      <c r="HB286" s="3"/>
      <c r="HC286" s="3"/>
      <c r="HD286" s="3"/>
      <c r="HE286" s="3"/>
      <c r="HF286" s="3"/>
      <c r="HG286" s="3"/>
      <c r="HH286" s="3"/>
      <c r="HI286" s="3"/>
      <c r="HJ286" s="3"/>
      <c r="HK286" s="3"/>
      <c r="HL286" s="3"/>
      <c r="HM286" s="3"/>
      <c r="HN286" s="3"/>
      <c r="HO286" s="3"/>
      <c r="HP286" s="3"/>
      <c r="HQ286" s="3"/>
      <c r="HR286" s="3"/>
      <c r="HS286" s="3"/>
      <c r="HT286" s="3"/>
      <c r="HU286" s="3"/>
      <c r="HV286" s="3"/>
      <c r="HW286" s="3"/>
      <c r="HX286" s="3"/>
      <c r="HY286" s="3"/>
      <c r="HZ286" s="3"/>
      <c r="IA286" s="3"/>
      <c r="IB286" s="3"/>
      <c r="IC286" s="3"/>
      <c r="ID286" s="3"/>
      <c r="IE286" s="3"/>
      <c r="IF286" s="3"/>
      <c r="IG286" s="3"/>
      <c r="IH286" s="3"/>
      <c r="II286" s="3"/>
      <c r="IJ286" s="3"/>
      <c r="IK286" s="3"/>
      <c r="IL286" s="3"/>
      <c r="IM286" s="3"/>
      <c r="IN286" s="3"/>
      <c r="IO286" s="3"/>
      <c r="IP286" s="3"/>
      <c r="IQ286" s="3"/>
      <c r="IR286" s="3"/>
      <c r="IS286" s="3"/>
      <c r="IT286" s="3"/>
      <c r="IU286" s="3"/>
      <c r="IV286" s="3"/>
      <c r="IW286" s="3"/>
      <c r="IX286" s="3"/>
      <c r="IY286" s="3"/>
      <c r="IZ286" s="3"/>
      <c r="JA286" s="3"/>
      <c r="JB286" s="3"/>
      <c r="JC286" s="3"/>
      <c r="JD286" s="3"/>
      <c r="JE286" s="3"/>
      <c r="JF286" s="3"/>
      <c r="JG286" s="3"/>
      <c r="JH286" s="3"/>
      <c r="JI286" s="3"/>
      <c r="JJ286" s="3"/>
      <c r="JK286" s="3"/>
      <c r="JL286" s="3"/>
      <c r="JM286" s="3"/>
      <c r="JN286" s="3"/>
      <c r="JO286" s="3"/>
      <c r="JP286" s="3"/>
      <c r="JQ286" s="3"/>
      <c r="JR286" s="3"/>
      <c r="JS286" s="3"/>
      <c r="JT286" s="3"/>
      <c r="JU286" s="3"/>
      <c r="JV286" s="3"/>
      <c r="JW286" s="3"/>
      <c r="JX286" s="3"/>
      <c r="JY286" s="3"/>
      <c r="JZ286" s="3"/>
      <c r="KA286" s="3"/>
      <c r="KB286" s="3"/>
      <c r="KC286" s="3"/>
      <c r="KD286" s="3"/>
      <c r="KE286" s="3"/>
      <c r="KF286" s="3"/>
      <c r="KG286" s="3"/>
      <c r="KH286" s="3"/>
      <c r="KI286" s="3"/>
      <c r="KJ286" s="3"/>
      <c r="KK286" s="3"/>
      <c r="KL286" s="3"/>
      <c r="KM286" s="3"/>
      <c r="KN286" s="3"/>
      <c r="KO286" s="3"/>
      <c r="KP286" s="3"/>
      <c r="KQ286" s="3"/>
      <c r="KR286" s="3"/>
      <c r="KS286" s="3"/>
      <c r="KT286" s="3"/>
      <c r="KU286" s="3"/>
      <c r="KV286" s="3"/>
      <c r="KW286" s="3"/>
      <c r="KX286" s="3"/>
      <c r="KY286" s="3"/>
      <c r="KZ286" s="3"/>
      <c r="LA286" s="3"/>
      <c r="LB286" s="3"/>
      <c r="LC286" s="3"/>
      <c r="LD286" s="3"/>
      <c r="LE286" s="3"/>
      <c r="LF286" s="3"/>
      <c r="LG286" s="3"/>
      <c r="LH286" s="3"/>
      <c r="LI286" s="3"/>
      <c r="LJ286" s="3"/>
      <c r="LK286" s="3"/>
      <c r="LL286" s="3"/>
      <c r="LM286" s="3"/>
      <c r="LN286" s="3"/>
      <c r="LO286" s="3"/>
      <c r="LP286" s="3"/>
      <c r="LQ286" s="3"/>
      <c r="LR286" s="3"/>
      <c r="LS286" s="3"/>
      <c r="LT286" s="3"/>
      <c r="LU286" s="3"/>
      <c r="LV286" s="3"/>
      <c r="LW286" s="3"/>
      <c r="LX286" s="3"/>
      <c r="LY286" s="3"/>
      <c r="LZ286" s="3"/>
      <c r="MA286" s="3"/>
      <c r="MB286" s="3"/>
      <c r="MC286" s="3"/>
      <c r="MD286" s="3"/>
      <c r="ME286" s="3"/>
      <c r="MF286" s="3"/>
      <c r="MG286" s="3"/>
      <c r="MH286" s="3"/>
      <c r="MI286" s="3"/>
      <c r="MJ286" s="3"/>
      <c r="MK286" s="3"/>
      <c r="ML286" s="3"/>
      <c r="MM286" s="3"/>
      <c r="MN286" s="3"/>
      <c r="MO286" s="3"/>
      <c r="MP286" s="3"/>
      <c r="MQ286" s="3"/>
      <c r="MR286" s="3"/>
      <c r="MS286" s="3"/>
      <c r="MT286" s="3"/>
      <c r="MU286" s="3"/>
      <c r="MV286" s="3"/>
      <c r="MW286" s="3"/>
      <c r="MX286" s="3"/>
      <c r="MY286" s="3"/>
      <c r="MZ286" s="3"/>
      <c r="NA286" s="3"/>
      <c r="NB286" s="3"/>
      <c r="NC286" s="3"/>
      <c r="ND286" s="3"/>
      <c r="NE286" s="3"/>
      <c r="NF286" s="3"/>
      <c r="NG286" s="3"/>
      <c r="NH286" s="3"/>
      <c r="NI286" s="3"/>
      <c r="NJ286" s="3"/>
      <c r="NK286" s="3"/>
      <c r="NL286" s="3"/>
      <c r="NM286" s="3"/>
      <c r="NN286" s="3"/>
      <c r="NO286" s="3"/>
      <c r="NP286" s="3"/>
      <c r="NQ286" s="3"/>
      <c r="NR286" s="3"/>
      <c r="NS286" s="3"/>
      <c r="NT286" s="3"/>
      <c r="NU286" s="3"/>
      <c r="NV286" s="3"/>
      <c r="NW286" s="3"/>
      <c r="NX286" s="3"/>
      <c r="NY286" s="3"/>
      <c r="NZ286" s="3"/>
      <c r="OA286" s="3"/>
      <c r="OB286" s="3"/>
      <c r="OC286" s="3"/>
      <c r="OD286" s="3"/>
      <c r="OE286" s="3"/>
      <c r="OF286" s="3"/>
      <c r="OG286" s="3"/>
      <c r="OH286" s="3"/>
      <c r="OI286" s="3"/>
      <c r="OJ286" s="3"/>
      <c r="OK286" s="3"/>
      <c r="OL286" s="3"/>
      <c r="OM286" s="3"/>
      <c r="ON286" s="3"/>
      <c r="OO286" s="3"/>
      <c r="OP286" s="3"/>
      <c r="OQ286" s="3"/>
      <c r="OR286" s="3"/>
      <c r="OS286" s="3"/>
      <c r="OT286" s="3"/>
      <c r="OU286" s="3"/>
      <c r="OV286" s="3"/>
      <c r="OW286" s="3"/>
      <c r="OX286" s="3"/>
      <c r="OY286" s="3"/>
      <c r="OZ286" s="3"/>
      <c r="PA286" s="3"/>
      <c r="PB286" s="3"/>
      <c r="PC286" s="3"/>
      <c r="PD286" s="3"/>
      <c r="PE286" s="3"/>
      <c r="PF286" s="3"/>
      <c r="PG286" s="3"/>
      <c r="PH286" s="3"/>
      <c r="PI286" s="3"/>
      <c r="PJ286" s="3"/>
      <c r="PK286" s="3"/>
      <c r="PL286" s="3"/>
      <c r="PM286" s="3"/>
      <c r="PN286" s="3"/>
      <c r="PO286" s="3"/>
      <c r="PP286" s="3"/>
      <c r="PQ286" s="3"/>
      <c r="PR286" s="3"/>
      <c r="PS286" s="3"/>
      <c r="PT286" s="3"/>
      <c r="PU286" s="3"/>
      <c r="PV286" s="3"/>
      <c r="PW286" s="3"/>
      <c r="PX286" s="3"/>
      <c r="PY286" s="3"/>
      <c r="PZ286" s="3"/>
      <c r="QA286" s="3"/>
      <c r="QB286" s="3"/>
      <c r="QC286" s="3"/>
      <c r="QD286" s="3"/>
      <c r="QE286" s="3"/>
      <c r="QF286" s="3"/>
      <c r="QG286" s="3"/>
      <c r="QH286" s="3"/>
      <c r="QI286" s="3"/>
      <c r="QJ286" s="3"/>
      <c r="QK286" s="3"/>
      <c r="QL286" s="3"/>
      <c r="QM286" s="3"/>
      <c r="QN286" s="3"/>
      <c r="QO286" s="3"/>
      <c r="QP286" s="3"/>
      <c r="QQ286" s="3"/>
      <c r="QR286" s="3"/>
      <c r="QS286" s="3"/>
      <c r="QT286" s="3"/>
      <c r="QU286" s="3"/>
      <c r="QV286" s="3"/>
      <c r="QW286" s="3"/>
      <c r="QX286" s="3"/>
      <c r="QY286" s="3"/>
      <c r="QZ286" s="3"/>
      <c r="RA286" s="3"/>
      <c r="RB286" s="3"/>
      <c r="RC286" s="3"/>
      <c r="RD286" s="3"/>
      <c r="RE286" s="3"/>
      <c r="RF286" s="3"/>
      <c r="RG286" s="3"/>
      <c r="RH286" s="3"/>
      <c r="RI286" s="3"/>
      <c r="RJ286" s="3"/>
      <c r="RK286" s="3"/>
      <c r="RL286" s="3"/>
      <c r="RM286" s="3"/>
      <c r="RN286" s="3"/>
      <c r="RO286" s="3"/>
      <c r="RP286" s="3"/>
      <c r="RQ286" s="3"/>
      <c r="RR286" s="3"/>
      <c r="RS286" s="3"/>
      <c r="RT286" s="3"/>
      <c r="RU286" s="3"/>
      <c r="RV286" s="3"/>
      <c r="RW286" s="3"/>
      <c r="RX286" s="3"/>
      <c r="RY286" s="3"/>
      <c r="RZ286" s="3"/>
      <c r="SA286" s="3"/>
      <c r="SB286" s="3"/>
      <c r="SC286" s="3"/>
      <c r="SD286" s="3"/>
      <c r="SE286" s="3"/>
      <c r="SF286" s="3"/>
      <c r="SG286" s="3"/>
      <c r="SH286" s="3"/>
      <c r="SI286" s="3"/>
      <c r="SJ286" s="3"/>
      <c r="SK286" s="3"/>
      <c r="SL286" s="3"/>
      <c r="SM286" s="3"/>
      <c r="SN286" s="3"/>
      <c r="SO286" s="3"/>
      <c r="SP286" s="3"/>
      <c r="SQ286" s="3"/>
      <c r="SR286" s="3"/>
      <c r="SS286" s="3"/>
      <c r="ST286" s="3"/>
      <c r="SU286" s="3"/>
      <c r="SV286" s="3"/>
      <c r="SW286" s="3"/>
      <c r="SX286" s="3"/>
      <c r="SY286" s="3"/>
      <c r="SZ286" s="3"/>
      <c r="TA286" s="3"/>
      <c r="TB286" s="3"/>
      <c r="TC286" s="3"/>
      <c r="TD286" s="3"/>
      <c r="TE286" s="3"/>
      <c r="TF286" s="3"/>
      <c r="TG286" s="3"/>
      <c r="TH286" s="3"/>
      <c r="TI286" s="3"/>
      <c r="TJ286" s="3"/>
      <c r="TK286" s="3"/>
      <c r="TL286" s="3"/>
      <c r="TM286" s="3"/>
      <c r="TN286" s="3"/>
      <c r="TO286" s="3"/>
      <c r="TP286" s="3"/>
      <c r="TQ286" s="3"/>
      <c r="TR286" s="3"/>
      <c r="TS286" s="3"/>
      <c r="TT286" s="3"/>
      <c r="TU286" s="3"/>
      <c r="TV286" s="3"/>
      <c r="TW286" s="3"/>
      <c r="TX286" s="3"/>
      <c r="TY286" s="3"/>
      <c r="TZ286" s="3"/>
      <c r="UA286" s="3"/>
      <c r="UB286" s="3"/>
      <c r="UC286" s="3"/>
      <c r="UD286" s="3"/>
      <c r="UE286" s="3"/>
      <c r="UF286" s="3"/>
      <c r="UG286" s="3"/>
      <c r="UH286" s="3"/>
      <c r="UI286" s="3"/>
      <c r="UJ286" s="3"/>
      <c r="UK286" s="3"/>
      <c r="UL286" s="3"/>
      <c r="UM286" s="3"/>
      <c r="UN286" s="3"/>
      <c r="UO286" s="3"/>
      <c r="UP286" s="3"/>
      <c r="UQ286" s="3"/>
      <c r="UR286" s="3"/>
      <c r="US286" s="3"/>
      <c r="UT286" s="3"/>
      <c r="UU286" s="3"/>
      <c r="UV286" s="3"/>
      <c r="UW286" s="3"/>
      <c r="UX286" s="3"/>
      <c r="UY286" s="3"/>
      <c r="UZ286" s="3"/>
      <c r="VA286" s="3"/>
      <c r="VB286" s="3"/>
      <c r="VC286" s="3"/>
      <c r="VD286" s="3"/>
      <c r="VE286" s="3"/>
      <c r="VF286" s="3"/>
      <c r="VG286" s="3"/>
      <c r="VH286" s="3"/>
      <c r="VI286" s="3"/>
      <c r="VJ286" s="3"/>
      <c r="VK286" s="3"/>
      <c r="VL286" s="3"/>
      <c r="VM286" s="3"/>
      <c r="VN286" s="3"/>
      <c r="VO286" s="3"/>
      <c r="VP286" s="3"/>
      <c r="VQ286" s="3"/>
      <c r="VR286" s="3"/>
      <c r="VS286" s="3"/>
      <c r="VT286" s="3"/>
      <c r="VU286" s="3"/>
      <c r="VV286" s="3"/>
      <c r="VW286" s="3"/>
      <c r="VX286" s="3"/>
      <c r="VY286" s="3"/>
      <c r="VZ286" s="3"/>
      <c r="WA286" s="3"/>
      <c r="WB286" s="3"/>
      <c r="WC286" s="3"/>
      <c r="WD286" s="3"/>
      <c r="WE286" s="3"/>
      <c r="WF286" s="3"/>
      <c r="WG286" s="3"/>
      <c r="WH286" s="3"/>
      <c r="WI286" s="3"/>
      <c r="WJ286" s="3"/>
      <c r="WK286" s="3"/>
      <c r="WL286" s="3"/>
      <c r="WM286" s="3"/>
      <c r="WN286" s="3"/>
      <c r="WO286" s="3"/>
      <c r="WP286" s="3"/>
      <c r="WQ286" s="3"/>
      <c r="WR286" s="3"/>
      <c r="WS286" s="3"/>
      <c r="WT286" s="3"/>
      <c r="WU286" s="3"/>
      <c r="WV286" s="3"/>
      <c r="WW286" s="3"/>
      <c r="WX286" s="3"/>
      <c r="WY286" s="3"/>
      <c r="WZ286" s="3"/>
      <c r="XA286" s="3"/>
      <c r="XB286" s="3"/>
      <c r="XC286" s="3"/>
      <c r="XD286" s="3"/>
      <c r="XE286" s="3"/>
      <c r="XF286" s="3"/>
      <c r="XG286" s="3"/>
      <c r="XH286" s="3"/>
      <c r="XI286" s="3"/>
      <c r="XJ286" s="3"/>
      <c r="XK286" s="3"/>
      <c r="XL286" s="3"/>
      <c r="XM286" s="3"/>
      <c r="XN286" s="3"/>
      <c r="XO286" s="3"/>
      <c r="XP286" s="3"/>
      <c r="XQ286" s="3"/>
      <c r="XR286" s="3"/>
      <c r="XS286" s="3"/>
      <c r="XT286" s="3"/>
      <c r="XU286" s="3"/>
      <c r="XV286" s="3"/>
      <c r="XW286" s="3"/>
      <c r="XX286" s="3"/>
      <c r="XY286" s="3"/>
      <c r="XZ286" s="3"/>
      <c r="YA286" s="3"/>
      <c r="YB286" s="3"/>
      <c r="YC286" s="3"/>
      <c r="YD286" s="3"/>
      <c r="YE286" s="3"/>
      <c r="YF286" s="3"/>
      <c r="YG286" s="3"/>
      <c r="YH286" s="3"/>
      <c r="YI286" s="3"/>
      <c r="YJ286" s="3"/>
      <c r="YK286" s="3"/>
      <c r="YL286" s="3"/>
      <c r="YM286" s="3"/>
      <c r="YN286" s="3"/>
      <c r="YO286" s="3"/>
      <c r="YP286" s="3"/>
      <c r="YQ286" s="3"/>
      <c r="YR286" s="3"/>
      <c r="YS286" s="3"/>
      <c r="YT286" s="3"/>
      <c r="YU286" s="3"/>
      <c r="YV286" s="3"/>
      <c r="YW286" s="3"/>
      <c r="YX286" s="3"/>
      <c r="YY286" s="3"/>
      <c r="YZ286" s="3"/>
      <c r="ZA286" s="3"/>
      <c r="ZB286" s="3"/>
      <c r="ZC286" s="3"/>
    </row>
    <row r="287" spans="1:679" s="2" customFormat="1" x14ac:dyDescent="0.45">
      <c r="A287" s="3" t="s">
        <v>11</v>
      </c>
      <c r="B287" s="4">
        <v>38471</v>
      </c>
      <c r="C287" s="7" t="s">
        <v>21</v>
      </c>
      <c r="D287" s="6" t="s">
        <v>307</v>
      </c>
      <c r="E287" s="3"/>
      <c r="F287" s="3">
        <v>32</v>
      </c>
      <c r="L287" s="3"/>
      <c r="M287" s="3"/>
      <c r="N287" s="48"/>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c r="CO287" s="3"/>
      <c r="CP287" s="3"/>
      <c r="CQ287" s="3"/>
      <c r="CR287" s="3"/>
      <c r="CS287" s="3"/>
      <c r="CT287" s="3"/>
      <c r="CU287" s="3"/>
      <c r="CV287" s="3"/>
      <c r="CW287" s="3"/>
      <c r="CX287" s="3"/>
      <c r="CY287" s="3"/>
      <c r="CZ287" s="3"/>
      <c r="DA287" s="3"/>
      <c r="DB287" s="3"/>
      <c r="DC287" s="3"/>
      <c r="DD287" s="3"/>
      <c r="DE287" s="3"/>
      <c r="DF287" s="3"/>
      <c r="DG287" s="3"/>
      <c r="DH287" s="3"/>
      <c r="DI287" s="3"/>
      <c r="DJ287" s="3"/>
      <c r="DK287" s="3"/>
      <c r="DL287" s="3"/>
      <c r="DM287" s="3"/>
      <c r="DN287" s="3"/>
      <c r="DO287" s="3"/>
      <c r="DP287" s="3"/>
      <c r="DQ287" s="3"/>
      <c r="DR287" s="3"/>
      <c r="DS287" s="3"/>
      <c r="DT287" s="3"/>
      <c r="DU287" s="3"/>
      <c r="DV287" s="3"/>
      <c r="DW287" s="3"/>
      <c r="DX287" s="3"/>
      <c r="DY287" s="3"/>
      <c r="DZ287" s="3"/>
      <c r="EA287" s="3"/>
      <c r="EB287" s="3"/>
      <c r="EC287" s="3"/>
      <c r="ED287" s="3"/>
      <c r="EE287" s="3"/>
      <c r="EF287" s="3"/>
      <c r="EG287" s="3"/>
      <c r="EH287" s="3"/>
      <c r="EI287" s="3"/>
      <c r="EJ287" s="3"/>
      <c r="EK287" s="3"/>
      <c r="EL287" s="3"/>
      <c r="EM287" s="3"/>
      <c r="EN287" s="3"/>
      <c r="EO287" s="3"/>
      <c r="EP287" s="3"/>
      <c r="EQ287" s="3"/>
      <c r="ER287" s="3"/>
      <c r="ES287" s="3"/>
      <c r="ET287" s="3"/>
      <c r="EU287" s="3"/>
      <c r="EV287" s="3"/>
      <c r="EW287" s="3"/>
      <c r="EX287" s="3"/>
      <c r="EY287" s="3"/>
      <c r="EZ287" s="3"/>
      <c r="FA287" s="3"/>
      <c r="FB287" s="3"/>
      <c r="FC287" s="3"/>
      <c r="FD287" s="3"/>
      <c r="FE287" s="3"/>
      <c r="FF287" s="3"/>
      <c r="FG287" s="3"/>
      <c r="FH287" s="3"/>
      <c r="FI287" s="3"/>
      <c r="FJ287" s="3"/>
      <c r="FK287" s="3"/>
      <c r="FL287" s="3"/>
      <c r="FM287" s="3"/>
      <c r="FN287" s="3"/>
      <c r="FO287" s="3"/>
      <c r="FP287" s="3"/>
      <c r="FQ287" s="3"/>
      <c r="FR287" s="3"/>
      <c r="FS287" s="3"/>
      <c r="FT287" s="3"/>
      <c r="FU287" s="3"/>
      <c r="FV287" s="3"/>
      <c r="FW287" s="3"/>
      <c r="FX287" s="3"/>
      <c r="FY287" s="3"/>
      <c r="FZ287" s="3"/>
      <c r="GA287" s="3"/>
      <c r="GB287" s="3"/>
      <c r="GC287" s="3"/>
      <c r="GD287" s="3"/>
      <c r="GE287" s="3"/>
      <c r="GF287" s="3"/>
      <c r="GG287" s="3"/>
      <c r="GH287" s="3"/>
      <c r="GI287" s="3"/>
      <c r="GJ287" s="3"/>
      <c r="GK287" s="3"/>
      <c r="GL287" s="3"/>
      <c r="GM287" s="3"/>
      <c r="GN287" s="3"/>
      <c r="GO287" s="3"/>
      <c r="GP287" s="3"/>
      <c r="GQ287" s="3"/>
      <c r="GR287" s="3"/>
      <c r="GS287" s="3"/>
      <c r="GT287" s="3"/>
      <c r="GU287" s="3"/>
      <c r="GV287" s="3"/>
      <c r="GW287" s="3"/>
      <c r="GX287" s="3"/>
      <c r="GY287" s="3"/>
      <c r="GZ287" s="3"/>
      <c r="HA287" s="3"/>
      <c r="HB287" s="3"/>
      <c r="HC287" s="3"/>
      <c r="HD287" s="3"/>
      <c r="HE287" s="3"/>
      <c r="HF287" s="3"/>
      <c r="HG287" s="3"/>
      <c r="HH287" s="3"/>
      <c r="HI287" s="3"/>
      <c r="HJ287" s="3"/>
      <c r="HK287" s="3"/>
      <c r="HL287" s="3"/>
      <c r="HM287" s="3"/>
      <c r="HN287" s="3"/>
      <c r="HO287" s="3"/>
      <c r="HP287" s="3"/>
      <c r="HQ287" s="3"/>
      <c r="HR287" s="3"/>
      <c r="HS287" s="3"/>
      <c r="HT287" s="3"/>
      <c r="HU287" s="3"/>
      <c r="HV287" s="3"/>
      <c r="HW287" s="3"/>
      <c r="HX287" s="3"/>
      <c r="HY287" s="3"/>
      <c r="HZ287" s="3"/>
      <c r="IA287" s="3"/>
      <c r="IB287" s="3"/>
      <c r="IC287" s="3"/>
      <c r="ID287" s="3"/>
      <c r="IE287" s="3"/>
      <c r="IF287" s="3"/>
      <c r="IG287" s="3"/>
      <c r="IH287" s="3"/>
      <c r="II287" s="3"/>
      <c r="IJ287" s="3"/>
      <c r="IK287" s="3"/>
      <c r="IL287" s="3"/>
      <c r="IM287" s="3"/>
      <c r="IN287" s="3"/>
      <c r="IO287" s="3"/>
      <c r="IP287" s="3"/>
      <c r="IQ287" s="3"/>
      <c r="IR287" s="3"/>
      <c r="IS287" s="3"/>
      <c r="IT287" s="3"/>
      <c r="IU287" s="3"/>
      <c r="IV287" s="3"/>
      <c r="IW287" s="3"/>
      <c r="IX287" s="3"/>
      <c r="IY287" s="3"/>
      <c r="IZ287" s="3"/>
      <c r="JA287" s="3"/>
      <c r="JB287" s="3"/>
      <c r="JC287" s="3"/>
      <c r="JD287" s="3"/>
      <c r="JE287" s="3"/>
      <c r="JF287" s="3"/>
      <c r="JG287" s="3"/>
      <c r="JH287" s="3"/>
      <c r="JI287" s="3"/>
      <c r="JJ287" s="3"/>
      <c r="JK287" s="3"/>
      <c r="JL287" s="3"/>
      <c r="JM287" s="3"/>
      <c r="JN287" s="3"/>
      <c r="JO287" s="3"/>
      <c r="JP287" s="3"/>
      <c r="JQ287" s="3"/>
      <c r="JR287" s="3"/>
      <c r="JS287" s="3"/>
      <c r="JT287" s="3"/>
      <c r="JU287" s="3"/>
      <c r="JV287" s="3"/>
      <c r="JW287" s="3"/>
      <c r="JX287" s="3"/>
      <c r="JY287" s="3"/>
      <c r="JZ287" s="3"/>
      <c r="KA287" s="3"/>
      <c r="KB287" s="3"/>
      <c r="KC287" s="3"/>
      <c r="KD287" s="3"/>
      <c r="KE287" s="3"/>
      <c r="KF287" s="3"/>
      <c r="KG287" s="3"/>
      <c r="KH287" s="3"/>
      <c r="KI287" s="3"/>
      <c r="KJ287" s="3"/>
      <c r="KK287" s="3"/>
      <c r="KL287" s="3"/>
      <c r="KM287" s="3"/>
      <c r="KN287" s="3"/>
      <c r="KO287" s="3"/>
      <c r="KP287" s="3"/>
      <c r="KQ287" s="3"/>
      <c r="KR287" s="3"/>
      <c r="KS287" s="3"/>
      <c r="KT287" s="3"/>
      <c r="KU287" s="3"/>
      <c r="KV287" s="3"/>
      <c r="KW287" s="3"/>
      <c r="KX287" s="3"/>
      <c r="KY287" s="3"/>
      <c r="KZ287" s="3"/>
      <c r="LA287" s="3"/>
      <c r="LB287" s="3"/>
      <c r="LC287" s="3"/>
      <c r="LD287" s="3"/>
      <c r="LE287" s="3"/>
      <c r="LF287" s="3"/>
      <c r="LG287" s="3"/>
      <c r="LH287" s="3"/>
      <c r="LI287" s="3"/>
      <c r="LJ287" s="3"/>
      <c r="LK287" s="3"/>
      <c r="LL287" s="3"/>
      <c r="LM287" s="3"/>
      <c r="LN287" s="3"/>
      <c r="LO287" s="3"/>
      <c r="LP287" s="3"/>
      <c r="LQ287" s="3"/>
      <c r="LR287" s="3"/>
      <c r="LS287" s="3"/>
      <c r="LT287" s="3"/>
      <c r="LU287" s="3"/>
      <c r="LV287" s="3"/>
      <c r="LW287" s="3"/>
      <c r="LX287" s="3"/>
      <c r="LY287" s="3"/>
      <c r="LZ287" s="3"/>
      <c r="MA287" s="3"/>
      <c r="MB287" s="3"/>
      <c r="MC287" s="3"/>
      <c r="MD287" s="3"/>
      <c r="ME287" s="3"/>
      <c r="MF287" s="3"/>
      <c r="MG287" s="3"/>
      <c r="MH287" s="3"/>
      <c r="MI287" s="3"/>
      <c r="MJ287" s="3"/>
      <c r="MK287" s="3"/>
      <c r="ML287" s="3"/>
      <c r="MM287" s="3"/>
      <c r="MN287" s="3"/>
      <c r="MO287" s="3"/>
      <c r="MP287" s="3"/>
      <c r="MQ287" s="3"/>
      <c r="MR287" s="3"/>
      <c r="MS287" s="3"/>
      <c r="MT287" s="3"/>
      <c r="MU287" s="3"/>
      <c r="MV287" s="3"/>
      <c r="MW287" s="3"/>
      <c r="MX287" s="3"/>
      <c r="MY287" s="3"/>
      <c r="MZ287" s="3"/>
      <c r="NA287" s="3"/>
      <c r="NB287" s="3"/>
      <c r="NC287" s="3"/>
      <c r="ND287" s="3"/>
      <c r="NE287" s="3"/>
      <c r="NF287" s="3"/>
      <c r="NG287" s="3"/>
      <c r="NH287" s="3"/>
      <c r="NI287" s="3"/>
      <c r="NJ287" s="3"/>
      <c r="NK287" s="3"/>
      <c r="NL287" s="3"/>
      <c r="NM287" s="3"/>
      <c r="NN287" s="3"/>
      <c r="NO287" s="3"/>
      <c r="NP287" s="3"/>
      <c r="NQ287" s="3"/>
      <c r="NR287" s="3"/>
      <c r="NS287" s="3"/>
      <c r="NT287" s="3"/>
      <c r="NU287" s="3"/>
      <c r="NV287" s="3"/>
      <c r="NW287" s="3"/>
      <c r="NX287" s="3"/>
      <c r="NY287" s="3"/>
      <c r="NZ287" s="3"/>
      <c r="OA287" s="3"/>
      <c r="OB287" s="3"/>
      <c r="OC287" s="3"/>
      <c r="OD287" s="3"/>
      <c r="OE287" s="3"/>
      <c r="OF287" s="3"/>
      <c r="OG287" s="3"/>
      <c r="OH287" s="3"/>
      <c r="OI287" s="3"/>
      <c r="OJ287" s="3"/>
      <c r="OK287" s="3"/>
      <c r="OL287" s="3"/>
      <c r="OM287" s="3"/>
      <c r="ON287" s="3"/>
      <c r="OO287" s="3"/>
      <c r="OP287" s="3"/>
      <c r="OQ287" s="3"/>
      <c r="OR287" s="3"/>
      <c r="OS287" s="3"/>
      <c r="OT287" s="3"/>
      <c r="OU287" s="3"/>
      <c r="OV287" s="3"/>
      <c r="OW287" s="3"/>
      <c r="OX287" s="3"/>
      <c r="OY287" s="3"/>
      <c r="OZ287" s="3"/>
      <c r="PA287" s="3"/>
      <c r="PB287" s="3"/>
      <c r="PC287" s="3"/>
      <c r="PD287" s="3"/>
      <c r="PE287" s="3"/>
      <c r="PF287" s="3"/>
      <c r="PG287" s="3"/>
      <c r="PH287" s="3"/>
      <c r="PI287" s="3"/>
      <c r="PJ287" s="3"/>
      <c r="PK287" s="3"/>
      <c r="PL287" s="3"/>
      <c r="PM287" s="3"/>
      <c r="PN287" s="3"/>
      <c r="PO287" s="3"/>
      <c r="PP287" s="3"/>
      <c r="PQ287" s="3"/>
      <c r="PR287" s="3"/>
      <c r="PS287" s="3"/>
      <c r="PT287" s="3"/>
      <c r="PU287" s="3"/>
      <c r="PV287" s="3"/>
      <c r="PW287" s="3"/>
      <c r="PX287" s="3"/>
      <c r="PY287" s="3"/>
      <c r="PZ287" s="3"/>
      <c r="QA287" s="3"/>
      <c r="QB287" s="3"/>
      <c r="QC287" s="3"/>
      <c r="QD287" s="3"/>
      <c r="QE287" s="3"/>
      <c r="QF287" s="3"/>
      <c r="QG287" s="3"/>
      <c r="QH287" s="3"/>
      <c r="QI287" s="3"/>
      <c r="QJ287" s="3"/>
      <c r="QK287" s="3"/>
      <c r="QL287" s="3"/>
      <c r="QM287" s="3"/>
      <c r="QN287" s="3"/>
      <c r="QO287" s="3"/>
      <c r="QP287" s="3"/>
      <c r="QQ287" s="3"/>
      <c r="QR287" s="3"/>
      <c r="QS287" s="3"/>
      <c r="QT287" s="3"/>
      <c r="QU287" s="3"/>
      <c r="QV287" s="3"/>
      <c r="QW287" s="3"/>
      <c r="QX287" s="3"/>
      <c r="QY287" s="3"/>
      <c r="QZ287" s="3"/>
      <c r="RA287" s="3"/>
      <c r="RB287" s="3"/>
      <c r="RC287" s="3"/>
      <c r="RD287" s="3"/>
      <c r="RE287" s="3"/>
      <c r="RF287" s="3"/>
      <c r="RG287" s="3"/>
      <c r="RH287" s="3"/>
      <c r="RI287" s="3"/>
      <c r="RJ287" s="3"/>
      <c r="RK287" s="3"/>
      <c r="RL287" s="3"/>
      <c r="RM287" s="3"/>
      <c r="RN287" s="3"/>
      <c r="RO287" s="3"/>
      <c r="RP287" s="3"/>
      <c r="RQ287" s="3"/>
      <c r="RR287" s="3"/>
      <c r="RS287" s="3"/>
      <c r="RT287" s="3"/>
      <c r="RU287" s="3"/>
      <c r="RV287" s="3"/>
      <c r="RW287" s="3"/>
      <c r="RX287" s="3"/>
      <c r="RY287" s="3"/>
      <c r="RZ287" s="3"/>
      <c r="SA287" s="3"/>
      <c r="SB287" s="3"/>
      <c r="SC287" s="3"/>
      <c r="SD287" s="3"/>
      <c r="SE287" s="3"/>
      <c r="SF287" s="3"/>
      <c r="SG287" s="3"/>
      <c r="SH287" s="3"/>
      <c r="SI287" s="3"/>
      <c r="SJ287" s="3"/>
      <c r="SK287" s="3"/>
      <c r="SL287" s="3"/>
      <c r="SM287" s="3"/>
      <c r="SN287" s="3"/>
      <c r="SO287" s="3"/>
      <c r="SP287" s="3"/>
      <c r="SQ287" s="3"/>
      <c r="SR287" s="3"/>
      <c r="SS287" s="3"/>
      <c r="ST287" s="3"/>
      <c r="SU287" s="3"/>
      <c r="SV287" s="3"/>
      <c r="SW287" s="3"/>
      <c r="SX287" s="3"/>
      <c r="SY287" s="3"/>
      <c r="SZ287" s="3"/>
      <c r="TA287" s="3"/>
      <c r="TB287" s="3"/>
      <c r="TC287" s="3"/>
      <c r="TD287" s="3"/>
      <c r="TE287" s="3"/>
      <c r="TF287" s="3"/>
      <c r="TG287" s="3"/>
      <c r="TH287" s="3"/>
      <c r="TI287" s="3"/>
      <c r="TJ287" s="3"/>
      <c r="TK287" s="3"/>
      <c r="TL287" s="3"/>
      <c r="TM287" s="3"/>
      <c r="TN287" s="3"/>
      <c r="TO287" s="3"/>
      <c r="TP287" s="3"/>
      <c r="TQ287" s="3"/>
      <c r="TR287" s="3"/>
      <c r="TS287" s="3"/>
      <c r="TT287" s="3"/>
      <c r="TU287" s="3"/>
      <c r="TV287" s="3"/>
      <c r="TW287" s="3"/>
      <c r="TX287" s="3"/>
      <c r="TY287" s="3"/>
      <c r="TZ287" s="3"/>
      <c r="UA287" s="3"/>
      <c r="UB287" s="3"/>
      <c r="UC287" s="3"/>
      <c r="UD287" s="3"/>
      <c r="UE287" s="3"/>
      <c r="UF287" s="3"/>
      <c r="UG287" s="3"/>
      <c r="UH287" s="3"/>
      <c r="UI287" s="3"/>
      <c r="UJ287" s="3"/>
      <c r="UK287" s="3"/>
      <c r="UL287" s="3"/>
      <c r="UM287" s="3"/>
      <c r="UN287" s="3"/>
      <c r="UO287" s="3"/>
      <c r="UP287" s="3"/>
      <c r="UQ287" s="3"/>
      <c r="UR287" s="3"/>
      <c r="US287" s="3"/>
      <c r="UT287" s="3"/>
      <c r="UU287" s="3"/>
      <c r="UV287" s="3"/>
      <c r="UW287" s="3"/>
      <c r="UX287" s="3"/>
      <c r="UY287" s="3"/>
      <c r="UZ287" s="3"/>
      <c r="VA287" s="3"/>
      <c r="VB287" s="3"/>
      <c r="VC287" s="3"/>
      <c r="VD287" s="3"/>
      <c r="VE287" s="3"/>
      <c r="VF287" s="3"/>
      <c r="VG287" s="3"/>
      <c r="VH287" s="3"/>
      <c r="VI287" s="3"/>
      <c r="VJ287" s="3"/>
      <c r="VK287" s="3"/>
      <c r="VL287" s="3"/>
      <c r="VM287" s="3"/>
      <c r="VN287" s="3"/>
      <c r="VO287" s="3"/>
      <c r="VP287" s="3"/>
      <c r="VQ287" s="3"/>
      <c r="VR287" s="3"/>
      <c r="VS287" s="3"/>
      <c r="VT287" s="3"/>
      <c r="VU287" s="3"/>
      <c r="VV287" s="3"/>
      <c r="VW287" s="3"/>
      <c r="VX287" s="3"/>
      <c r="VY287" s="3"/>
      <c r="VZ287" s="3"/>
      <c r="WA287" s="3"/>
      <c r="WB287" s="3"/>
      <c r="WC287" s="3"/>
      <c r="WD287" s="3"/>
      <c r="WE287" s="3"/>
      <c r="WF287" s="3"/>
      <c r="WG287" s="3"/>
      <c r="WH287" s="3"/>
      <c r="WI287" s="3"/>
      <c r="WJ287" s="3"/>
      <c r="WK287" s="3"/>
      <c r="WL287" s="3"/>
      <c r="WM287" s="3"/>
      <c r="WN287" s="3"/>
      <c r="WO287" s="3"/>
      <c r="WP287" s="3"/>
      <c r="WQ287" s="3"/>
      <c r="WR287" s="3"/>
      <c r="WS287" s="3"/>
      <c r="WT287" s="3"/>
      <c r="WU287" s="3"/>
      <c r="WV287" s="3"/>
      <c r="WW287" s="3"/>
      <c r="WX287" s="3"/>
      <c r="WY287" s="3"/>
      <c r="WZ287" s="3"/>
      <c r="XA287" s="3"/>
      <c r="XB287" s="3"/>
      <c r="XC287" s="3"/>
      <c r="XD287" s="3"/>
      <c r="XE287" s="3"/>
      <c r="XF287" s="3"/>
      <c r="XG287" s="3"/>
      <c r="XH287" s="3"/>
      <c r="XI287" s="3"/>
      <c r="XJ287" s="3"/>
      <c r="XK287" s="3"/>
      <c r="XL287" s="3"/>
      <c r="XM287" s="3"/>
      <c r="XN287" s="3"/>
      <c r="XO287" s="3"/>
      <c r="XP287" s="3"/>
      <c r="XQ287" s="3"/>
      <c r="XR287" s="3"/>
      <c r="XS287" s="3"/>
      <c r="XT287" s="3"/>
      <c r="XU287" s="3"/>
      <c r="XV287" s="3"/>
      <c r="XW287" s="3"/>
      <c r="XX287" s="3"/>
      <c r="XY287" s="3"/>
      <c r="XZ287" s="3"/>
      <c r="YA287" s="3"/>
      <c r="YB287" s="3"/>
      <c r="YC287" s="3"/>
      <c r="YD287" s="3"/>
      <c r="YE287" s="3"/>
      <c r="YF287" s="3"/>
      <c r="YG287" s="3"/>
      <c r="YH287" s="3"/>
      <c r="YI287" s="3"/>
      <c r="YJ287" s="3"/>
      <c r="YK287" s="3"/>
      <c r="YL287" s="3"/>
      <c r="YM287" s="3"/>
      <c r="YN287" s="3"/>
      <c r="YO287" s="3"/>
      <c r="YP287" s="3"/>
      <c r="YQ287" s="3"/>
      <c r="YR287" s="3"/>
      <c r="YS287" s="3"/>
      <c r="YT287" s="3"/>
      <c r="YU287" s="3"/>
      <c r="YV287" s="3"/>
      <c r="YW287" s="3"/>
      <c r="YX287" s="3"/>
      <c r="YY287" s="3"/>
      <c r="YZ287" s="3"/>
      <c r="ZA287" s="3"/>
      <c r="ZB287" s="3"/>
      <c r="ZC287" s="3"/>
    </row>
    <row r="288" spans="1:679" s="2" customFormat="1" x14ac:dyDescent="0.45">
      <c r="A288" s="3" t="s">
        <v>11</v>
      </c>
      <c r="B288" s="4">
        <v>38471</v>
      </c>
      <c r="C288" s="7" t="s">
        <v>21</v>
      </c>
      <c r="D288" s="6" t="s">
        <v>308</v>
      </c>
      <c r="E288" s="3"/>
      <c r="F288" s="3">
        <v>51</v>
      </c>
      <c r="L288" s="3"/>
      <c r="M288" s="3"/>
      <c r="N288" s="48"/>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c r="CO288" s="3"/>
      <c r="CP288" s="3"/>
      <c r="CQ288" s="3"/>
      <c r="CR288" s="3"/>
      <c r="CS288" s="3"/>
      <c r="CT288" s="3"/>
      <c r="CU288" s="3"/>
      <c r="CV288" s="3"/>
      <c r="CW288" s="3"/>
      <c r="CX288" s="3"/>
      <c r="CY288" s="3"/>
      <c r="CZ288" s="3"/>
      <c r="DA288" s="3"/>
      <c r="DB288" s="3"/>
      <c r="DC288" s="3"/>
      <c r="DD288" s="3"/>
      <c r="DE288" s="3"/>
      <c r="DF288" s="3"/>
      <c r="DG288" s="3"/>
      <c r="DH288" s="3"/>
      <c r="DI288" s="3"/>
      <c r="DJ288" s="3"/>
      <c r="DK288" s="3"/>
      <c r="DL288" s="3"/>
      <c r="DM288" s="3"/>
      <c r="DN288" s="3"/>
      <c r="DO288" s="3"/>
      <c r="DP288" s="3"/>
      <c r="DQ288" s="3"/>
      <c r="DR288" s="3"/>
      <c r="DS288" s="3"/>
      <c r="DT288" s="3"/>
      <c r="DU288" s="3"/>
      <c r="DV288" s="3"/>
      <c r="DW288" s="3"/>
      <c r="DX288" s="3"/>
      <c r="DY288" s="3"/>
      <c r="DZ288" s="3"/>
      <c r="EA288" s="3"/>
      <c r="EB288" s="3"/>
      <c r="EC288" s="3"/>
      <c r="ED288" s="3"/>
      <c r="EE288" s="3"/>
      <c r="EF288" s="3"/>
      <c r="EG288" s="3"/>
      <c r="EH288" s="3"/>
      <c r="EI288" s="3"/>
      <c r="EJ288" s="3"/>
      <c r="EK288" s="3"/>
      <c r="EL288" s="3"/>
      <c r="EM288" s="3"/>
      <c r="EN288" s="3"/>
      <c r="EO288" s="3"/>
      <c r="EP288" s="3"/>
      <c r="EQ288" s="3"/>
      <c r="ER288" s="3"/>
      <c r="ES288" s="3"/>
      <c r="ET288" s="3"/>
      <c r="EU288" s="3"/>
      <c r="EV288" s="3"/>
      <c r="EW288" s="3"/>
      <c r="EX288" s="3"/>
      <c r="EY288" s="3"/>
      <c r="EZ288" s="3"/>
      <c r="FA288" s="3"/>
      <c r="FB288" s="3"/>
      <c r="FC288" s="3"/>
      <c r="FD288" s="3"/>
      <c r="FE288" s="3"/>
      <c r="FF288" s="3"/>
      <c r="FG288" s="3"/>
      <c r="FH288" s="3"/>
      <c r="FI288" s="3"/>
      <c r="FJ288" s="3"/>
      <c r="FK288" s="3"/>
      <c r="FL288" s="3"/>
      <c r="FM288" s="3"/>
      <c r="FN288" s="3"/>
      <c r="FO288" s="3"/>
      <c r="FP288" s="3"/>
      <c r="FQ288" s="3"/>
      <c r="FR288" s="3"/>
      <c r="FS288" s="3"/>
      <c r="FT288" s="3"/>
      <c r="FU288" s="3"/>
      <c r="FV288" s="3"/>
      <c r="FW288" s="3"/>
      <c r="FX288" s="3"/>
      <c r="FY288" s="3"/>
      <c r="FZ288" s="3"/>
      <c r="GA288" s="3"/>
      <c r="GB288" s="3"/>
      <c r="GC288" s="3"/>
      <c r="GD288" s="3"/>
      <c r="GE288" s="3"/>
      <c r="GF288" s="3"/>
      <c r="GG288" s="3"/>
      <c r="GH288" s="3"/>
      <c r="GI288" s="3"/>
      <c r="GJ288" s="3"/>
      <c r="GK288" s="3"/>
      <c r="GL288" s="3"/>
      <c r="GM288" s="3"/>
      <c r="GN288" s="3"/>
      <c r="GO288" s="3"/>
      <c r="GP288" s="3"/>
      <c r="GQ288" s="3"/>
      <c r="GR288" s="3"/>
      <c r="GS288" s="3"/>
      <c r="GT288" s="3"/>
      <c r="GU288" s="3"/>
      <c r="GV288" s="3"/>
      <c r="GW288" s="3"/>
      <c r="GX288" s="3"/>
      <c r="GY288" s="3"/>
      <c r="GZ288" s="3"/>
      <c r="HA288" s="3"/>
      <c r="HB288" s="3"/>
      <c r="HC288" s="3"/>
      <c r="HD288" s="3"/>
      <c r="HE288" s="3"/>
      <c r="HF288" s="3"/>
      <c r="HG288" s="3"/>
      <c r="HH288" s="3"/>
      <c r="HI288" s="3"/>
      <c r="HJ288" s="3"/>
      <c r="HK288" s="3"/>
      <c r="HL288" s="3"/>
      <c r="HM288" s="3"/>
      <c r="HN288" s="3"/>
      <c r="HO288" s="3"/>
      <c r="HP288" s="3"/>
      <c r="HQ288" s="3"/>
      <c r="HR288" s="3"/>
      <c r="HS288" s="3"/>
      <c r="HT288" s="3"/>
      <c r="HU288" s="3"/>
      <c r="HV288" s="3"/>
      <c r="HW288" s="3"/>
      <c r="HX288" s="3"/>
      <c r="HY288" s="3"/>
      <c r="HZ288" s="3"/>
      <c r="IA288" s="3"/>
      <c r="IB288" s="3"/>
      <c r="IC288" s="3"/>
      <c r="ID288" s="3"/>
      <c r="IE288" s="3"/>
      <c r="IF288" s="3"/>
      <c r="IG288" s="3"/>
      <c r="IH288" s="3"/>
      <c r="II288" s="3"/>
      <c r="IJ288" s="3"/>
      <c r="IK288" s="3"/>
      <c r="IL288" s="3"/>
      <c r="IM288" s="3"/>
      <c r="IN288" s="3"/>
      <c r="IO288" s="3"/>
      <c r="IP288" s="3"/>
      <c r="IQ288" s="3"/>
      <c r="IR288" s="3"/>
      <c r="IS288" s="3"/>
      <c r="IT288" s="3"/>
      <c r="IU288" s="3"/>
      <c r="IV288" s="3"/>
      <c r="IW288" s="3"/>
      <c r="IX288" s="3"/>
      <c r="IY288" s="3"/>
      <c r="IZ288" s="3"/>
      <c r="JA288" s="3"/>
      <c r="JB288" s="3"/>
      <c r="JC288" s="3"/>
      <c r="JD288" s="3"/>
      <c r="JE288" s="3"/>
      <c r="JF288" s="3"/>
      <c r="JG288" s="3"/>
      <c r="JH288" s="3"/>
      <c r="JI288" s="3"/>
      <c r="JJ288" s="3"/>
      <c r="JK288" s="3"/>
      <c r="JL288" s="3"/>
      <c r="JM288" s="3"/>
      <c r="JN288" s="3"/>
      <c r="JO288" s="3"/>
      <c r="JP288" s="3"/>
      <c r="JQ288" s="3"/>
      <c r="JR288" s="3"/>
      <c r="JS288" s="3"/>
      <c r="JT288" s="3"/>
      <c r="JU288" s="3"/>
      <c r="JV288" s="3"/>
      <c r="JW288" s="3"/>
      <c r="JX288" s="3"/>
      <c r="JY288" s="3"/>
      <c r="JZ288" s="3"/>
      <c r="KA288" s="3"/>
      <c r="KB288" s="3"/>
      <c r="KC288" s="3"/>
      <c r="KD288" s="3"/>
      <c r="KE288" s="3"/>
      <c r="KF288" s="3"/>
      <c r="KG288" s="3"/>
      <c r="KH288" s="3"/>
      <c r="KI288" s="3"/>
      <c r="KJ288" s="3"/>
      <c r="KK288" s="3"/>
      <c r="KL288" s="3"/>
      <c r="KM288" s="3"/>
      <c r="KN288" s="3"/>
      <c r="KO288" s="3"/>
      <c r="KP288" s="3"/>
      <c r="KQ288" s="3"/>
      <c r="KR288" s="3"/>
      <c r="KS288" s="3"/>
      <c r="KT288" s="3"/>
      <c r="KU288" s="3"/>
      <c r="KV288" s="3"/>
      <c r="KW288" s="3"/>
      <c r="KX288" s="3"/>
      <c r="KY288" s="3"/>
      <c r="KZ288" s="3"/>
      <c r="LA288" s="3"/>
      <c r="LB288" s="3"/>
      <c r="LC288" s="3"/>
      <c r="LD288" s="3"/>
      <c r="LE288" s="3"/>
      <c r="LF288" s="3"/>
      <c r="LG288" s="3"/>
      <c r="LH288" s="3"/>
      <c r="LI288" s="3"/>
      <c r="LJ288" s="3"/>
      <c r="LK288" s="3"/>
      <c r="LL288" s="3"/>
      <c r="LM288" s="3"/>
      <c r="LN288" s="3"/>
      <c r="LO288" s="3"/>
      <c r="LP288" s="3"/>
      <c r="LQ288" s="3"/>
      <c r="LR288" s="3"/>
      <c r="LS288" s="3"/>
      <c r="LT288" s="3"/>
      <c r="LU288" s="3"/>
      <c r="LV288" s="3"/>
      <c r="LW288" s="3"/>
      <c r="LX288" s="3"/>
      <c r="LY288" s="3"/>
      <c r="LZ288" s="3"/>
      <c r="MA288" s="3"/>
      <c r="MB288" s="3"/>
      <c r="MC288" s="3"/>
      <c r="MD288" s="3"/>
      <c r="ME288" s="3"/>
      <c r="MF288" s="3"/>
      <c r="MG288" s="3"/>
      <c r="MH288" s="3"/>
      <c r="MI288" s="3"/>
      <c r="MJ288" s="3"/>
      <c r="MK288" s="3"/>
      <c r="ML288" s="3"/>
      <c r="MM288" s="3"/>
      <c r="MN288" s="3"/>
      <c r="MO288" s="3"/>
      <c r="MP288" s="3"/>
      <c r="MQ288" s="3"/>
      <c r="MR288" s="3"/>
      <c r="MS288" s="3"/>
      <c r="MT288" s="3"/>
      <c r="MU288" s="3"/>
      <c r="MV288" s="3"/>
      <c r="MW288" s="3"/>
      <c r="MX288" s="3"/>
      <c r="MY288" s="3"/>
      <c r="MZ288" s="3"/>
      <c r="NA288" s="3"/>
      <c r="NB288" s="3"/>
      <c r="NC288" s="3"/>
      <c r="ND288" s="3"/>
      <c r="NE288" s="3"/>
      <c r="NF288" s="3"/>
      <c r="NG288" s="3"/>
      <c r="NH288" s="3"/>
      <c r="NI288" s="3"/>
      <c r="NJ288" s="3"/>
      <c r="NK288" s="3"/>
      <c r="NL288" s="3"/>
      <c r="NM288" s="3"/>
      <c r="NN288" s="3"/>
      <c r="NO288" s="3"/>
      <c r="NP288" s="3"/>
      <c r="NQ288" s="3"/>
      <c r="NR288" s="3"/>
      <c r="NS288" s="3"/>
      <c r="NT288" s="3"/>
      <c r="NU288" s="3"/>
      <c r="NV288" s="3"/>
      <c r="NW288" s="3"/>
      <c r="NX288" s="3"/>
      <c r="NY288" s="3"/>
      <c r="NZ288" s="3"/>
      <c r="OA288" s="3"/>
      <c r="OB288" s="3"/>
      <c r="OC288" s="3"/>
      <c r="OD288" s="3"/>
      <c r="OE288" s="3"/>
      <c r="OF288" s="3"/>
      <c r="OG288" s="3"/>
      <c r="OH288" s="3"/>
      <c r="OI288" s="3"/>
      <c r="OJ288" s="3"/>
      <c r="OK288" s="3"/>
      <c r="OL288" s="3"/>
      <c r="OM288" s="3"/>
      <c r="ON288" s="3"/>
      <c r="OO288" s="3"/>
      <c r="OP288" s="3"/>
      <c r="OQ288" s="3"/>
      <c r="OR288" s="3"/>
      <c r="OS288" s="3"/>
      <c r="OT288" s="3"/>
      <c r="OU288" s="3"/>
      <c r="OV288" s="3"/>
      <c r="OW288" s="3"/>
      <c r="OX288" s="3"/>
      <c r="OY288" s="3"/>
      <c r="OZ288" s="3"/>
      <c r="PA288" s="3"/>
      <c r="PB288" s="3"/>
      <c r="PC288" s="3"/>
      <c r="PD288" s="3"/>
      <c r="PE288" s="3"/>
      <c r="PF288" s="3"/>
      <c r="PG288" s="3"/>
      <c r="PH288" s="3"/>
      <c r="PI288" s="3"/>
      <c r="PJ288" s="3"/>
      <c r="PK288" s="3"/>
      <c r="PL288" s="3"/>
      <c r="PM288" s="3"/>
      <c r="PN288" s="3"/>
      <c r="PO288" s="3"/>
      <c r="PP288" s="3"/>
      <c r="PQ288" s="3"/>
      <c r="PR288" s="3"/>
      <c r="PS288" s="3"/>
      <c r="PT288" s="3"/>
      <c r="PU288" s="3"/>
      <c r="PV288" s="3"/>
      <c r="PW288" s="3"/>
      <c r="PX288" s="3"/>
      <c r="PY288" s="3"/>
      <c r="PZ288" s="3"/>
      <c r="QA288" s="3"/>
      <c r="QB288" s="3"/>
      <c r="QC288" s="3"/>
      <c r="QD288" s="3"/>
      <c r="QE288" s="3"/>
      <c r="QF288" s="3"/>
      <c r="QG288" s="3"/>
      <c r="QH288" s="3"/>
      <c r="QI288" s="3"/>
      <c r="QJ288" s="3"/>
      <c r="QK288" s="3"/>
      <c r="QL288" s="3"/>
      <c r="QM288" s="3"/>
      <c r="QN288" s="3"/>
      <c r="QO288" s="3"/>
      <c r="QP288" s="3"/>
      <c r="QQ288" s="3"/>
      <c r="QR288" s="3"/>
      <c r="QS288" s="3"/>
      <c r="QT288" s="3"/>
      <c r="QU288" s="3"/>
      <c r="QV288" s="3"/>
      <c r="QW288" s="3"/>
      <c r="QX288" s="3"/>
      <c r="QY288" s="3"/>
      <c r="QZ288" s="3"/>
      <c r="RA288" s="3"/>
      <c r="RB288" s="3"/>
      <c r="RC288" s="3"/>
      <c r="RD288" s="3"/>
      <c r="RE288" s="3"/>
      <c r="RF288" s="3"/>
      <c r="RG288" s="3"/>
      <c r="RH288" s="3"/>
      <c r="RI288" s="3"/>
      <c r="RJ288" s="3"/>
      <c r="RK288" s="3"/>
      <c r="RL288" s="3"/>
      <c r="RM288" s="3"/>
      <c r="RN288" s="3"/>
      <c r="RO288" s="3"/>
      <c r="RP288" s="3"/>
      <c r="RQ288" s="3"/>
      <c r="RR288" s="3"/>
      <c r="RS288" s="3"/>
      <c r="RT288" s="3"/>
      <c r="RU288" s="3"/>
      <c r="RV288" s="3"/>
      <c r="RW288" s="3"/>
      <c r="RX288" s="3"/>
      <c r="RY288" s="3"/>
      <c r="RZ288" s="3"/>
      <c r="SA288" s="3"/>
      <c r="SB288" s="3"/>
      <c r="SC288" s="3"/>
      <c r="SD288" s="3"/>
      <c r="SE288" s="3"/>
      <c r="SF288" s="3"/>
      <c r="SG288" s="3"/>
      <c r="SH288" s="3"/>
      <c r="SI288" s="3"/>
      <c r="SJ288" s="3"/>
      <c r="SK288" s="3"/>
      <c r="SL288" s="3"/>
      <c r="SM288" s="3"/>
      <c r="SN288" s="3"/>
      <c r="SO288" s="3"/>
      <c r="SP288" s="3"/>
      <c r="SQ288" s="3"/>
      <c r="SR288" s="3"/>
      <c r="SS288" s="3"/>
      <c r="ST288" s="3"/>
      <c r="SU288" s="3"/>
      <c r="SV288" s="3"/>
      <c r="SW288" s="3"/>
      <c r="SX288" s="3"/>
      <c r="SY288" s="3"/>
      <c r="SZ288" s="3"/>
      <c r="TA288" s="3"/>
      <c r="TB288" s="3"/>
      <c r="TC288" s="3"/>
      <c r="TD288" s="3"/>
      <c r="TE288" s="3"/>
      <c r="TF288" s="3"/>
      <c r="TG288" s="3"/>
      <c r="TH288" s="3"/>
      <c r="TI288" s="3"/>
      <c r="TJ288" s="3"/>
      <c r="TK288" s="3"/>
      <c r="TL288" s="3"/>
      <c r="TM288" s="3"/>
      <c r="TN288" s="3"/>
      <c r="TO288" s="3"/>
      <c r="TP288" s="3"/>
      <c r="TQ288" s="3"/>
      <c r="TR288" s="3"/>
      <c r="TS288" s="3"/>
      <c r="TT288" s="3"/>
      <c r="TU288" s="3"/>
      <c r="TV288" s="3"/>
      <c r="TW288" s="3"/>
      <c r="TX288" s="3"/>
      <c r="TY288" s="3"/>
      <c r="TZ288" s="3"/>
      <c r="UA288" s="3"/>
      <c r="UB288" s="3"/>
      <c r="UC288" s="3"/>
      <c r="UD288" s="3"/>
      <c r="UE288" s="3"/>
      <c r="UF288" s="3"/>
      <c r="UG288" s="3"/>
      <c r="UH288" s="3"/>
      <c r="UI288" s="3"/>
      <c r="UJ288" s="3"/>
      <c r="UK288" s="3"/>
      <c r="UL288" s="3"/>
      <c r="UM288" s="3"/>
      <c r="UN288" s="3"/>
      <c r="UO288" s="3"/>
      <c r="UP288" s="3"/>
      <c r="UQ288" s="3"/>
      <c r="UR288" s="3"/>
      <c r="US288" s="3"/>
      <c r="UT288" s="3"/>
      <c r="UU288" s="3"/>
      <c r="UV288" s="3"/>
      <c r="UW288" s="3"/>
      <c r="UX288" s="3"/>
      <c r="UY288" s="3"/>
      <c r="UZ288" s="3"/>
      <c r="VA288" s="3"/>
      <c r="VB288" s="3"/>
      <c r="VC288" s="3"/>
      <c r="VD288" s="3"/>
      <c r="VE288" s="3"/>
      <c r="VF288" s="3"/>
      <c r="VG288" s="3"/>
      <c r="VH288" s="3"/>
      <c r="VI288" s="3"/>
      <c r="VJ288" s="3"/>
      <c r="VK288" s="3"/>
      <c r="VL288" s="3"/>
      <c r="VM288" s="3"/>
      <c r="VN288" s="3"/>
      <c r="VO288" s="3"/>
      <c r="VP288" s="3"/>
      <c r="VQ288" s="3"/>
      <c r="VR288" s="3"/>
      <c r="VS288" s="3"/>
      <c r="VT288" s="3"/>
      <c r="VU288" s="3"/>
      <c r="VV288" s="3"/>
      <c r="VW288" s="3"/>
      <c r="VX288" s="3"/>
      <c r="VY288" s="3"/>
      <c r="VZ288" s="3"/>
      <c r="WA288" s="3"/>
      <c r="WB288" s="3"/>
      <c r="WC288" s="3"/>
      <c r="WD288" s="3"/>
      <c r="WE288" s="3"/>
      <c r="WF288" s="3"/>
      <c r="WG288" s="3"/>
      <c r="WH288" s="3"/>
      <c r="WI288" s="3"/>
      <c r="WJ288" s="3"/>
      <c r="WK288" s="3"/>
      <c r="WL288" s="3"/>
      <c r="WM288" s="3"/>
      <c r="WN288" s="3"/>
      <c r="WO288" s="3"/>
      <c r="WP288" s="3"/>
      <c r="WQ288" s="3"/>
      <c r="WR288" s="3"/>
      <c r="WS288" s="3"/>
      <c r="WT288" s="3"/>
      <c r="WU288" s="3"/>
      <c r="WV288" s="3"/>
      <c r="WW288" s="3"/>
      <c r="WX288" s="3"/>
      <c r="WY288" s="3"/>
      <c r="WZ288" s="3"/>
      <c r="XA288" s="3"/>
      <c r="XB288" s="3"/>
      <c r="XC288" s="3"/>
      <c r="XD288" s="3"/>
      <c r="XE288" s="3"/>
      <c r="XF288" s="3"/>
      <c r="XG288" s="3"/>
      <c r="XH288" s="3"/>
      <c r="XI288" s="3"/>
      <c r="XJ288" s="3"/>
      <c r="XK288" s="3"/>
      <c r="XL288" s="3"/>
      <c r="XM288" s="3"/>
      <c r="XN288" s="3"/>
      <c r="XO288" s="3"/>
      <c r="XP288" s="3"/>
      <c r="XQ288" s="3"/>
      <c r="XR288" s="3"/>
      <c r="XS288" s="3"/>
      <c r="XT288" s="3"/>
      <c r="XU288" s="3"/>
      <c r="XV288" s="3"/>
      <c r="XW288" s="3"/>
      <c r="XX288" s="3"/>
      <c r="XY288" s="3"/>
      <c r="XZ288" s="3"/>
      <c r="YA288" s="3"/>
      <c r="YB288" s="3"/>
      <c r="YC288" s="3"/>
      <c r="YD288" s="3"/>
      <c r="YE288" s="3"/>
      <c r="YF288" s="3"/>
      <c r="YG288" s="3"/>
      <c r="YH288" s="3"/>
      <c r="YI288" s="3"/>
      <c r="YJ288" s="3"/>
      <c r="YK288" s="3"/>
      <c r="YL288" s="3"/>
      <c r="YM288" s="3"/>
      <c r="YN288" s="3"/>
      <c r="YO288" s="3"/>
      <c r="YP288" s="3"/>
      <c r="YQ288" s="3"/>
      <c r="YR288" s="3"/>
      <c r="YS288" s="3"/>
      <c r="YT288" s="3"/>
      <c r="YU288" s="3"/>
      <c r="YV288" s="3"/>
      <c r="YW288" s="3"/>
      <c r="YX288" s="3"/>
      <c r="YY288" s="3"/>
      <c r="YZ288" s="3"/>
      <c r="ZA288" s="3"/>
      <c r="ZB288" s="3"/>
      <c r="ZC288" s="3"/>
    </row>
    <row r="289" spans="1:679" s="2" customFormat="1" x14ac:dyDescent="0.45">
      <c r="A289" s="3" t="s">
        <v>11</v>
      </c>
      <c r="B289" s="4">
        <v>38474</v>
      </c>
      <c r="C289" s="7" t="s">
        <v>25</v>
      </c>
      <c r="D289" s="6" t="s">
        <v>309</v>
      </c>
      <c r="E289" s="3"/>
      <c r="F289" s="3">
        <v>5</v>
      </c>
      <c r="L289" s="3"/>
      <c r="M289" s="3"/>
      <c r="N289" s="48"/>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c r="CO289" s="3"/>
      <c r="CP289" s="3"/>
      <c r="CQ289" s="3"/>
      <c r="CR289" s="3"/>
      <c r="CS289" s="3"/>
      <c r="CT289" s="3"/>
      <c r="CU289" s="3"/>
      <c r="CV289" s="3"/>
      <c r="CW289" s="3"/>
      <c r="CX289" s="3"/>
      <c r="CY289" s="3"/>
      <c r="CZ289" s="3"/>
      <c r="DA289" s="3"/>
      <c r="DB289" s="3"/>
      <c r="DC289" s="3"/>
      <c r="DD289" s="3"/>
      <c r="DE289" s="3"/>
      <c r="DF289" s="3"/>
      <c r="DG289" s="3"/>
      <c r="DH289" s="3"/>
      <c r="DI289" s="3"/>
      <c r="DJ289" s="3"/>
      <c r="DK289" s="3"/>
      <c r="DL289" s="3"/>
      <c r="DM289" s="3"/>
      <c r="DN289" s="3"/>
      <c r="DO289" s="3"/>
      <c r="DP289" s="3"/>
      <c r="DQ289" s="3"/>
      <c r="DR289" s="3"/>
      <c r="DS289" s="3"/>
      <c r="DT289" s="3"/>
      <c r="DU289" s="3"/>
      <c r="DV289" s="3"/>
      <c r="DW289" s="3"/>
      <c r="DX289" s="3"/>
      <c r="DY289" s="3"/>
      <c r="DZ289" s="3"/>
      <c r="EA289" s="3"/>
      <c r="EB289" s="3"/>
      <c r="EC289" s="3"/>
      <c r="ED289" s="3"/>
      <c r="EE289" s="3"/>
      <c r="EF289" s="3"/>
      <c r="EG289" s="3"/>
      <c r="EH289" s="3"/>
      <c r="EI289" s="3"/>
      <c r="EJ289" s="3"/>
      <c r="EK289" s="3"/>
      <c r="EL289" s="3"/>
      <c r="EM289" s="3"/>
      <c r="EN289" s="3"/>
      <c r="EO289" s="3"/>
      <c r="EP289" s="3"/>
      <c r="EQ289" s="3"/>
      <c r="ER289" s="3"/>
      <c r="ES289" s="3"/>
      <c r="ET289" s="3"/>
      <c r="EU289" s="3"/>
      <c r="EV289" s="3"/>
      <c r="EW289" s="3"/>
      <c r="EX289" s="3"/>
      <c r="EY289" s="3"/>
      <c r="EZ289" s="3"/>
      <c r="FA289" s="3"/>
      <c r="FB289" s="3"/>
      <c r="FC289" s="3"/>
      <c r="FD289" s="3"/>
      <c r="FE289" s="3"/>
      <c r="FF289" s="3"/>
      <c r="FG289" s="3"/>
      <c r="FH289" s="3"/>
      <c r="FI289" s="3"/>
      <c r="FJ289" s="3"/>
      <c r="FK289" s="3"/>
      <c r="FL289" s="3"/>
      <c r="FM289" s="3"/>
      <c r="FN289" s="3"/>
      <c r="FO289" s="3"/>
      <c r="FP289" s="3"/>
      <c r="FQ289" s="3"/>
      <c r="FR289" s="3"/>
      <c r="FS289" s="3"/>
      <c r="FT289" s="3"/>
      <c r="FU289" s="3"/>
      <c r="FV289" s="3"/>
      <c r="FW289" s="3"/>
      <c r="FX289" s="3"/>
      <c r="FY289" s="3"/>
      <c r="FZ289" s="3"/>
      <c r="GA289" s="3"/>
      <c r="GB289" s="3"/>
      <c r="GC289" s="3"/>
      <c r="GD289" s="3"/>
      <c r="GE289" s="3"/>
      <c r="GF289" s="3"/>
      <c r="GG289" s="3"/>
      <c r="GH289" s="3"/>
      <c r="GI289" s="3"/>
      <c r="GJ289" s="3"/>
      <c r="GK289" s="3"/>
      <c r="GL289" s="3"/>
      <c r="GM289" s="3"/>
      <c r="GN289" s="3"/>
      <c r="GO289" s="3"/>
      <c r="GP289" s="3"/>
      <c r="GQ289" s="3"/>
      <c r="GR289" s="3"/>
      <c r="GS289" s="3"/>
      <c r="GT289" s="3"/>
      <c r="GU289" s="3"/>
      <c r="GV289" s="3"/>
      <c r="GW289" s="3"/>
      <c r="GX289" s="3"/>
      <c r="GY289" s="3"/>
      <c r="GZ289" s="3"/>
      <c r="HA289" s="3"/>
      <c r="HB289" s="3"/>
      <c r="HC289" s="3"/>
      <c r="HD289" s="3"/>
      <c r="HE289" s="3"/>
      <c r="HF289" s="3"/>
      <c r="HG289" s="3"/>
      <c r="HH289" s="3"/>
      <c r="HI289" s="3"/>
      <c r="HJ289" s="3"/>
      <c r="HK289" s="3"/>
      <c r="HL289" s="3"/>
      <c r="HM289" s="3"/>
      <c r="HN289" s="3"/>
      <c r="HO289" s="3"/>
      <c r="HP289" s="3"/>
      <c r="HQ289" s="3"/>
      <c r="HR289" s="3"/>
      <c r="HS289" s="3"/>
      <c r="HT289" s="3"/>
      <c r="HU289" s="3"/>
      <c r="HV289" s="3"/>
      <c r="HW289" s="3"/>
      <c r="HX289" s="3"/>
      <c r="HY289" s="3"/>
      <c r="HZ289" s="3"/>
      <c r="IA289" s="3"/>
      <c r="IB289" s="3"/>
      <c r="IC289" s="3"/>
      <c r="ID289" s="3"/>
      <c r="IE289" s="3"/>
      <c r="IF289" s="3"/>
      <c r="IG289" s="3"/>
      <c r="IH289" s="3"/>
      <c r="II289" s="3"/>
      <c r="IJ289" s="3"/>
      <c r="IK289" s="3"/>
      <c r="IL289" s="3"/>
      <c r="IM289" s="3"/>
      <c r="IN289" s="3"/>
      <c r="IO289" s="3"/>
      <c r="IP289" s="3"/>
      <c r="IQ289" s="3"/>
      <c r="IR289" s="3"/>
      <c r="IS289" s="3"/>
      <c r="IT289" s="3"/>
      <c r="IU289" s="3"/>
      <c r="IV289" s="3"/>
      <c r="IW289" s="3"/>
      <c r="IX289" s="3"/>
      <c r="IY289" s="3"/>
      <c r="IZ289" s="3"/>
      <c r="JA289" s="3"/>
      <c r="JB289" s="3"/>
      <c r="JC289" s="3"/>
      <c r="JD289" s="3"/>
      <c r="JE289" s="3"/>
      <c r="JF289" s="3"/>
      <c r="JG289" s="3"/>
      <c r="JH289" s="3"/>
      <c r="JI289" s="3"/>
      <c r="JJ289" s="3"/>
      <c r="JK289" s="3"/>
      <c r="JL289" s="3"/>
      <c r="JM289" s="3"/>
      <c r="JN289" s="3"/>
      <c r="JO289" s="3"/>
      <c r="JP289" s="3"/>
      <c r="JQ289" s="3"/>
      <c r="JR289" s="3"/>
      <c r="JS289" s="3"/>
      <c r="JT289" s="3"/>
      <c r="JU289" s="3"/>
      <c r="JV289" s="3"/>
      <c r="JW289" s="3"/>
      <c r="JX289" s="3"/>
      <c r="JY289" s="3"/>
      <c r="JZ289" s="3"/>
      <c r="KA289" s="3"/>
      <c r="KB289" s="3"/>
      <c r="KC289" s="3"/>
      <c r="KD289" s="3"/>
      <c r="KE289" s="3"/>
      <c r="KF289" s="3"/>
      <c r="KG289" s="3"/>
      <c r="KH289" s="3"/>
      <c r="KI289" s="3"/>
      <c r="KJ289" s="3"/>
      <c r="KK289" s="3"/>
      <c r="KL289" s="3"/>
      <c r="KM289" s="3"/>
      <c r="KN289" s="3"/>
      <c r="KO289" s="3"/>
      <c r="KP289" s="3"/>
      <c r="KQ289" s="3"/>
      <c r="KR289" s="3"/>
      <c r="KS289" s="3"/>
      <c r="KT289" s="3"/>
      <c r="KU289" s="3"/>
      <c r="KV289" s="3"/>
      <c r="KW289" s="3"/>
      <c r="KX289" s="3"/>
      <c r="KY289" s="3"/>
      <c r="KZ289" s="3"/>
      <c r="LA289" s="3"/>
      <c r="LB289" s="3"/>
      <c r="LC289" s="3"/>
      <c r="LD289" s="3"/>
      <c r="LE289" s="3"/>
      <c r="LF289" s="3"/>
      <c r="LG289" s="3"/>
      <c r="LH289" s="3"/>
      <c r="LI289" s="3"/>
      <c r="LJ289" s="3"/>
      <c r="LK289" s="3"/>
      <c r="LL289" s="3"/>
      <c r="LM289" s="3"/>
      <c r="LN289" s="3"/>
      <c r="LO289" s="3"/>
      <c r="LP289" s="3"/>
      <c r="LQ289" s="3"/>
      <c r="LR289" s="3"/>
      <c r="LS289" s="3"/>
      <c r="LT289" s="3"/>
      <c r="LU289" s="3"/>
      <c r="LV289" s="3"/>
      <c r="LW289" s="3"/>
      <c r="LX289" s="3"/>
      <c r="LY289" s="3"/>
      <c r="LZ289" s="3"/>
      <c r="MA289" s="3"/>
      <c r="MB289" s="3"/>
      <c r="MC289" s="3"/>
      <c r="MD289" s="3"/>
      <c r="ME289" s="3"/>
      <c r="MF289" s="3"/>
      <c r="MG289" s="3"/>
      <c r="MH289" s="3"/>
      <c r="MI289" s="3"/>
      <c r="MJ289" s="3"/>
      <c r="MK289" s="3"/>
      <c r="ML289" s="3"/>
      <c r="MM289" s="3"/>
      <c r="MN289" s="3"/>
      <c r="MO289" s="3"/>
      <c r="MP289" s="3"/>
      <c r="MQ289" s="3"/>
      <c r="MR289" s="3"/>
      <c r="MS289" s="3"/>
      <c r="MT289" s="3"/>
      <c r="MU289" s="3"/>
      <c r="MV289" s="3"/>
      <c r="MW289" s="3"/>
      <c r="MX289" s="3"/>
      <c r="MY289" s="3"/>
      <c r="MZ289" s="3"/>
      <c r="NA289" s="3"/>
      <c r="NB289" s="3"/>
      <c r="NC289" s="3"/>
      <c r="ND289" s="3"/>
      <c r="NE289" s="3"/>
      <c r="NF289" s="3"/>
      <c r="NG289" s="3"/>
      <c r="NH289" s="3"/>
      <c r="NI289" s="3"/>
      <c r="NJ289" s="3"/>
      <c r="NK289" s="3"/>
      <c r="NL289" s="3"/>
      <c r="NM289" s="3"/>
      <c r="NN289" s="3"/>
      <c r="NO289" s="3"/>
      <c r="NP289" s="3"/>
      <c r="NQ289" s="3"/>
      <c r="NR289" s="3"/>
      <c r="NS289" s="3"/>
      <c r="NT289" s="3"/>
      <c r="NU289" s="3"/>
      <c r="NV289" s="3"/>
      <c r="NW289" s="3"/>
      <c r="NX289" s="3"/>
      <c r="NY289" s="3"/>
      <c r="NZ289" s="3"/>
      <c r="OA289" s="3"/>
      <c r="OB289" s="3"/>
      <c r="OC289" s="3"/>
      <c r="OD289" s="3"/>
      <c r="OE289" s="3"/>
      <c r="OF289" s="3"/>
      <c r="OG289" s="3"/>
      <c r="OH289" s="3"/>
      <c r="OI289" s="3"/>
      <c r="OJ289" s="3"/>
      <c r="OK289" s="3"/>
      <c r="OL289" s="3"/>
      <c r="OM289" s="3"/>
      <c r="ON289" s="3"/>
      <c r="OO289" s="3"/>
      <c r="OP289" s="3"/>
      <c r="OQ289" s="3"/>
      <c r="OR289" s="3"/>
      <c r="OS289" s="3"/>
      <c r="OT289" s="3"/>
      <c r="OU289" s="3"/>
      <c r="OV289" s="3"/>
      <c r="OW289" s="3"/>
      <c r="OX289" s="3"/>
      <c r="OY289" s="3"/>
      <c r="OZ289" s="3"/>
      <c r="PA289" s="3"/>
      <c r="PB289" s="3"/>
      <c r="PC289" s="3"/>
      <c r="PD289" s="3"/>
      <c r="PE289" s="3"/>
      <c r="PF289" s="3"/>
      <c r="PG289" s="3"/>
      <c r="PH289" s="3"/>
      <c r="PI289" s="3"/>
      <c r="PJ289" s="3"/>
      <c r="PK289" s="3"/>
      <c r="PL289" s="3"/>
      <c r="PM289" s="3"/>
      <c r="PN289" s="3"/>
      <c r="PO289" s="3"/>
      <c r="PP289" s="3"/>
      <c r="PQ289" s="3"/>
      <c r="PR289" s="3"/>
      <c r="PS289" s="3"/>
      <c r="PT289" s="3"/>
      <c r="PU289" s="3"/>
      <c r="PV289" s="3"/>
      <c r="PW289" s="3"/>
      <c r="PX289" s="3"/>
      <c r="PY289" s="3"/>
      <c r="PZ289" s="3"/>
      <c r="QA289" s="3"/>
      <c r="QB289" s="3"/>
      <c r="QC289" s="3"/>
      <c r="QD289" s="3"/>
      <c r="QE289" s="3"/>
      <c r="QF289" s="3"/>
      <c r="QG289" s="3"/>
      <c r="QH289" s="3"/>
      <c r="QI289" s="3"/>
      <c r="QJ289" s="3"/>
      <c r="QK289" s="3"/>
      <c r="QL289" s="3"/>
      <c r="QM289" s="3"/>
      <c r="QN289" s="3"/>
      <c r="QO289" s="3"/>
      <c r="QP289" s="3"/>
      <c r="QQ289" s="3"/>
      <c r="QR289" s="3"/>
      <c r="QS289" s="3"/>
      <c r="QT289" s="3"/>
      <c r="QU289" s="3"/>
      <c r="QV289" s="3"/>
      <c r="QW289" s="3"/>
      <c r="QX289" s="3"/>
      <c r="QY289" s="3"/>
      <c r="QZ289" s="3"/>
      <c r="RA289" s="3"/>
      <c r="RB289" s="3"/>
      <c r="RC289" s="3"/>
      <c r="RD289" s="3"/>
      <c r="RE289" s="3"/>
      <c r="RF289" s="3"/>
      <c r="RG289" s="3"/>
      <c r="RH289" s="3"/>
      <c r="RI289" s="3"/>
      <c r="RJ289" s="3"/>
      <c r="RK289" s="3"/>
      <c r="RL289" s="3"/>
      <c r="RM289" s="3"/>
      <c r="RN289" s="3"/>
      <c r="RO289" s="3"/>
      <c r="RP289" s="3"/>
      <c r="RQ289" s="3"/>
      <c r="RR289" s="3"/>
      <c r="RS289" s="3"/>
      <c r="RT289" s="3"/>
      <c r="RU289" s="3"/>
      <c r="RV289" s="3"/>
      <c r="RW289" s="3"/>
      <c r="RX289" s="3"/>
      <c r="RY289" s="3"/>
      <c r="RZ289" s="3"/>
      <c r="SA289" s="3"/>
      <c r="SB289" s="3"/>
      <c r="SC289" s="3"/>
      <c r="SD289" s="3"/>
      <c r="SE289" s="3"/>
      <c r="SF289" s="3"/>
      <c r="SG289" s="3"/>
      <c r="SH289" s="3"/>
      <c r="SI289" s="3"/>
      <c r="SJ289" s="3"/>
      <c r="SK289" s="3"/>
      <c r="SL289" s="3"/>
      <c r="SM289" s="3"/>
      <c r="SN289" s="3"/>
      <c r="SO289" s="3"/>
      <c r="SP289" s="3"/>
      <c r="SQ289" s="3"/>
      <c r="SR289" s="3"/>
      <c r="SS289" s="3"/>
      <c r="ST289" s="3"/>
      <c r="SU289" s="3"/>
      <c r="SV289" s="3"/>
      <c r="SW289" s="3"/>
      <c r="SX289" s="3"/>
      <c r="SY289" s="3"/>
      <c r="SZ289" s="3"/>
      <c r="TA289" s="3"/>
      <c r="TB289" s="3"/>
      <c r="TC289" s="3"/>
      <c r="TD289" s="3"/>
      <c r="TE289" s="3"/>
      <c r="TF289" s="3"/>
      <c r="TG289" s="3"/>
      <c r="TH289" s="3"/>
      <c r="TI289" s="3"/>
      <c r="TJ289" s="3"/>
      <c r="TK289" s="3"/>
      <c r="TL289" s="3"/>
      <c r="TM289" s="3"/>
      <c r="TN289" s="3"/>
      <c r="TO289" s="3"/>
      <c r="TP289" s="3"/>
      <c r="TQ289" s="3"/>
      <c r="TR289" s="3"/>
      <c r="TS289" s="3"/>
      <c r="TT289" s="3"/>
      <c r="TU289" s="3"/>
      <c r="TV289" s="3"/>
      <c r="TW289" s="3"/>
      <c r="TX289" s="3"/>
      <c r="TY289" s="3"/>
      <c r="TZ289" s="3"/>
      <c r="UA289" s="3"/>
      <c r="UB289" s="3"/>
      <c r="UC289" s="3"/>
      <c r="UD289" s="3"/>
      <c r="UE289" s="3"/>
      <c r="UF289" s="3"/>
      <c r="UG289" s="3"/>
      <c r="UH289" s="3"/>
      <c r="UI289" s="3"/>
      <c r="UJ289" s="3"/>
      <c r="UK289" s="3"/>
      <c r="UL289" s="3"/>
      <c r="UM289" s="3"/>
      <c r="UN289" s="3"/>
      <c r="UO289" s="3"/>
      <c r="UP289" s="3"/>
      <c r="UQ289" s="3"/>
      <c r="UR289" s="3"/>
      <c r="US289" s="3"/>
      <c r="UT289" s="3"/>
      <c r="UU289" s="3"/>
      <c r="UV289" s="3"/>
      <c r="UW289" s="3"/>
      <c r="UX289" s="3"/>
      <c r="UY289" s="3"/>
      <c r="UZ289" s="3"/>
      <c r="VA289" s="3"/>
      <c r="VB289" s="3"/>
      <c r="VC289" s="3"/>
      <c r="VD289" s="3"/>
      <c r="VE289" s="3"/>
      <c r="VF289" s="3"/>
      <c r="VG289" s="3"/>
      <c r="VH289" s="3"/>
      <c r="VI289" s="3"/>
      <c r="VJ289" s="3"/>
      <c r="VK289" s="3"/>
      <c r="VL289" s="3"/>
      <c r="VM289" s="3"/>
      <c r="VN289" s="3"/>
      <c r="VO289" s="3"/>
      <c r="VP289" s="3"/>
      <c r="VQ289" s="3"/>
      <c r="VR289" s="3"/>
      <c r="VS289" s="3"/>
      <c r="VT289" s="3"/>
      <c r="VU289" s="3"/>
      <c r="VV289" s="3"/>
      <c r="VW289" s="3"/>
      <c r="VX289" s="3"/>
      <c r="VY289" s="3"/>
      <c r="VZ289" s="3"/>
      <c r="WA289" s="3"/>
      <c r="WB289" s="3"/>
      <c r="WC289" s="3"/>
      <c r="WD289" s="3"/>
      <c r="WE289" s="3"/>
      <c r="WF289" s="3"/>
      <c r="WG289" s="3"/>
      <c r="WH289" s="3"/>
      <c r="WI289" s="3"/>
      <c r="WJ289" s="3"/>
      <c r="WK289" s="3"/>
      <c r="WL289" s="3"/>
      <c r="WM289" s="3"/>
      <c r="WN289" s="3"/>
      <c r="WO289" s="3"/>
      <c r="WP289" s="3"/>
      <c r="WQ289" s="3"/>
      <c r="WR289" s="3"/>
      <c r="WS289" s="3"/>
      <c r="WT289" s="3"/>
      <c r="WU289" s="3"/>
      <c r="WV289" s="3"/>
      <c r="WW289" s="3"/>
      <c r="WX289" s="3"/>
      <c r="WY289" s="3"/>
      <c r="WZ289" s="3"/>
      <c r="XA289" s="3"/>
      <c r="XB289" s="3"/>
      <c r="XC289" s="3"/>
      <c r="XD289" s="3"/>
      <c r="XE289" s="3"/>
      <c r="XF289" s="3"/>
      <c r="XG289" s="3"/>
      <c r="XH289" s="3"/>
      <c r="XI289" s="3"/>
      <c r="XJ289" s="3"/>
      <c r="XK289" s="3"/>
      <c r="XL289" s="3"/>
      <c r="XM289" s="3"/>
      <c r="XN289" s="3"/>
      <c r="XO289" s="3"/>
      <c r="XP289" s="3"/>
      <c r="XQ289" s="3"/>
      <c r="XR289" s="3"/>
      <c r="XS289" s="3"/>
      <c r="XT289" s="3"/>
      <c r="XU289" s="3"/>
      <c r="XV289" s="3"/>
      <c r="XW289" s="3"/>
      <c r="XX289" s="3"/>
      <c r="XY289" s="3"/>
      <c r="XZ289" s="3"/>
      <c r="YA289" s="3"/>
      <c r="YB289" s="3"/>
      <c r="YC289" s="3"/>
      <c r="YD289" s="3"/>
      <c r="YE289" s="3"/>
      <c r="YF289" s="3"/>
      <c r="YG289" s="3"/>
      <c r="YH289" s="3"/>
      <c r="YI289" s="3"/>
      <c r="YJ289" s="3"/>
      <c r="YK289" s="3"/>
      <c r="YL289" s="3"/>
      <c r="YM289" s="3"/>
      <c r="YN289" s="3"/>
      <c r="YO289" s="3"/>
      <c r="YP289" s="3"/>
      <c r="YQ289" s="3"/>
      <c r="YR289" s="3"/>
      <c r="YS289" s="3"/>
      <c r="YT289" s="3"/>
      <c r="YU289" s="3"/>
      <c r="YV289" s="3"/>
      <c r="YW289" s="3"/>
      <c r="YX289" s="3"/>
      <c r="YY289" s="3"/>
      <c r="YZ289" s="3"/>
      <c r="ZA289" s="3"/>
      <c r="ZB289" s="3"/>
      <c r="ZC289" s="3"/>
    </row>
    <row r="290" spans="1:679" s="2" customFormat="1" x14ac:dyDescent="0.45">
      <c r="A290" s="3" t="s">
        <v>11</v>
      </c>
      <c r="B290" s="4">
        <v>38475</v>
      </c>
      <c r="C290" s="7" t="s">
        <v>25</v>
      </c>
      <c r="D290" s="6" t="s">
        <v>310</v>
      </c>
      <c r="E290" s="3"/>
      <c r="F290" s="3">
        <v>5</v>
      </c>
      <c r="L290" s="3"/>
      <c r="M290" s="3"/>
      <c r="N290" s="48"/>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c r="CO290" s="3"/>
      <c r="CP290" s="3"/>
      <c r="CQ290" s="3"/>
      <c r="CR290" s="3"/>
      <c r="CS290" s="3"/>
      <c r="CT290" s="3"/>
      <c r="CU290" s="3"/>
      <c r="CV290" s="3"/>
      <c r="CW290" s="3"/>
      <c r="CX290" s="3"/>
      <c r="CY290" s="3"/>
      <c r="CZ290" s="3"/>
      <c r="DA290" s="3"/>
      <c r="DB290" s="3"/>
      <c r="DC290" s="3"/>
      <c r="DD290" s="3"/>
      <c r="DE290" s="3"/>
      <c r="DF290" s="3"/>
      <c r="DG290" s="3"/>
      <c r="DH290" s="3"/>
      <c r="DI290" s="3"/>
      <c r="DJ290" s="3"/>
      <c r="DK290" s="3"/>
      <c r="DL290" s="3"/>
      <c r="DM290" s="3"/>
      <c r="DN290" s="3"/>
      <c r="DO290" s="3"/>
      <c r="DP290" s="3"/>
      <c r="DQ290" s="3"/>
      <c r="DR290" s="3"/>
      <c r="DS290" s="3"/>
      <c r="DT290" s="3"/>
      <c r="DU290" s="3"/>
      <c r="DV290" s="3"/>
      <c r="DW290" s="3"/>
      <c r="DX290" s="3"/>
      <c r="DY290" s="3"/>
      <c r="DZ290" s="3"/>
      <c r="EA290" s="3"/>
      <c r="EB290" s="3"/>
      <c r="EC290" s="3"/>
      <c r="ED290" s="3"/>
      <c r="EE290" s="3"/>
      <c r="EF290" s="3"/>
      <c r="EG290" s="3"/>
      <c r="EH290" s="3"/>
      <c r="EI290" s="3"/>
      <c r="EJ290" s="3"/>
      <c r="EK290" s="3"/>
      <c r="EL290" s="3"/>
      <c r="EM290" s="3"/>
      <c r="EN290" s="3"/>
      <c r="EO290" s="3"/>
      <c r="EP290" s="3"/>
      <c r="EQ290" s="3"/>
      <c r="ER290" s="3"/>
      <c r="ES290" s="3"/>
      <c r="ET290" s="3"/>
      <c r="EU290" s="3"/>
      <c r="EV290" s="3"/>
      <c r="EW290" s="3"/>
      <c r="EX290" s="3"/>
      <c r="EY290" s="3"/>
      <c r="EZ290" s="3"/>
      <c r="FA290" s="3"/>
      <c r="FB290" s="3"/>
      <c r="FC290" s="3"/>
      <c r="FD290" s="3"/>
      <c r="FE290" s="3"/>
      <c r="FF290" s="3"/>
      <c r="FG290" s="3"/>
      <c r="FH290" s="3"/>
      <c r="FI290" s="3"/>
      <c r="FJ290" s="3"/>
      <c r="FK290" s="3"/>
      <c r="FL290" s="3"/>
      <c r="FM290" s="3"/>
      <c r="FN290" s="3"/>
      <c r="FO290" s="3"/>
      <c r="FP290" s="3"/>
      <c r="FQ290" s="3"/>
      <c r="FR290" s="3"/>
      <c r="FS290" s="3"/>
      <c r="FT290" s="3"/>
      <c r="FU290" s="3"/>
      <c r="FV290" s="3"/>
      <c r="FW290" s="3"/>
      <c r="FX290" s="3"/>
      <c r="FY290" s="3"/>
      <c r="FZ290" s="3"/>
      <c r="GA290" s="3"/>
      <c r="GB290" s="3"/>
      <c r="GC290" s="3"/>
      <c r="GD290" s="3"/>
      <c r="GE290" s="3"/>
      <c r="GF290" s="3"/>
      <c r="GG290" s="3"/>
      <c r="GH290" s="3"/>
      <c r="GI290" s="3"/>
      <c r="GJ290" s="3"/>
      <c r="GK290" s="3"/>
      <c r="GL290" s="3"/>
      <c r="GM290" s="3"/>
      <c r="GN290" s="3"/>
      <c r="GO290" s="3"/>
      <c r="GP290" s="3"/>
      <c r="GQ290" s="3"/>
      <c r="GR290" s="3"/>
      <c r="GS290" s="3"/>
      <c r="GT290" s="3"/>
      <c r="GU290" s="3"/>
      <c r="GV290" s="3"/>
      <c r="GW290" s="3"/>
      <c r="GX290" s="3"/>
      <c r="GY290" s="3"/>
      <c r="GZ290" s="3"/>
      <c r="HA290" s="3"/>
      <c r="HB290" s="3"/>
      <c r="HC290" s="3"/>
      <c r="HD290" s="3"/>
      <c r="HE290" s="3"/>
      <c r="HF290" s="3"/>
      <c r="HG290" s="3"/>
      <c r="HH290" s="3"/>
      <c r="HI290" s="3"/>
      <c r="HJ290" s="3"/>
      <c r="HK290" s="3"/>
      <c r="HL290" s="3"/>
      <c r="HM290" s="3"/>
      <c r="HN290" s="3"/>
      <c r="HO290" s="3"/>
      <c r="HP290" s="3"/>
      <c r="HQ290" s="3"/>
      <c r="HR290" s="3"/>
      <c r="HS290" s="3"/>
      <c r="HT290" s="3"/>
      <c r="HU290" s="3"/>
      <c r="HV290" s="3"/>
      <c r="HW290" s="3"/>
      <c r="HX290" s="3"/>
      <c r="HY290" s="3"/>
      <c r="HZ290" s="3"/>
      <c r="IA290" s="3"/>
      <c r="IB290" s="3"/>
      <c r="IC290" s="3"/>
      <c r="ID290" s="3"/>
      <c r="IE290" s="3"/>
      <c r="IF290" s="3"/>
      <c r="IG290" s="3"/>
      <c r="IH290" s="3"/>
      <c r="II290" s="3"/>
      <c r="IJ290" s="3"/>
      <c r="IK290" s="3"/>
      <c r="IL290" s="3"/>
      <c r="IM290" s="3"/>
      <c r="IN290" s="3"/>
      <c r="IO290" s="3"/>
      <c r="IP290" s="3"/>
      <c r="IQ290" s="3"/>
      <c r="IR290" s="3"/>
      <c r="IS290" s="3"/>
      <c r="IT290" s="3"/>
      <c r="IU290" s="3"/>
      <c r="IV290" s="3"/>
      <c r="IW290" s="3"/>
      <c r="IX290" s="3"/>
      <c r="IY290" s="3"/>
      <c r="IZ290" s="3"/>
      <c r="JA290" s="3"/>
      <c r="JB290" s="3"/>
      <c r="JC290" s="3"/>
      <c r="JD290" s="3"/>
      <c r="JE290" s="3"/>
      <c r="JF290" s="3"/>
      <c r="JG290" s="3"/>
      <c r="JH290" s="3"/>
      <c r="JI290" s="3"/>
      <c r="JJ290" s="3"/>
      <c r="JK290" s="3"/>
      <c r="JL290" s="3"/>
      <c r="JM290" s="3"/>
      <c r="JN290" s="3"/>
      <c r="JO290" s="3"/>
      <c r="JP290" s="3"/>
      <c r="JQ290" s="3"/>
      <c r="JR290" s="3"/>
      <c r="JS290" s="3"/>
      <c r="JT290" s="3"/>
      <c r="JU290" s="3"/>
      <c r="JV290" s="3"/>
      <c r="JW290" s="3"/>
      <c r="JX290" s="3"/>
      <c r="JY290" s="3"/>
      <c r="JZ290" s="3"/>
      <c r="KA290" s="3"/>
      <c r="KB290" s="3"/>
      <c r="KC290" s="3"/>
      <c r="KD290" s="3"/>
      <c r="KE290" s="3"/>
      <c r="KF290" s="3"/>
      <c r="KG290" s="3"/>
      <c r="KH290" s="3"/>
      <c r="KI290" s="3"/>
      <c r="KJ290" s="3"/>
      <c r="KK290" s="3"/>
      <c r="KL290" s="3"/>
      <c r="KM290" s="3"/>
      <c r="KN290" s="3"/>
      <c r="KO290" s="3"/>
      <c r="KP290" s="3"/>
      <c r="KQ290" s="3"/>
      <c r="KR290" s="3"/>
      <c r="KS290" s="3"/>
      <c r="KT290" s="3"/>
      <c r="KU290" s="3"/>
      <c r="KV290" s="3"/>
      <c r="KW290" s="3"/>
      <c r="KX290" s="3"/>
      <c r="KY290" s="3"/>
      <c r="KZ290" s="3"/>
      <c r="LA290" s="3"/>
      <c r="LB290" s="3"/>
      <c r="LC290" s="3"/>
      <c r="LD290" s="3"/>
      <c r="LE290" s="3"/>
      <c r="LF290" s="3"/>
      <c r="LG290" s="3"/>
      <c r="LH290" s="3"/>
      <c r="LI290" s="3"/>
      <c r="LJ290" s="3"/>
      <c r="LK290" s="3"/>
      <c r="LL290" s="3"/>
      <c r="LM290" s="3"/>
      <c r="LN290" s="3"/>
      <c r="LO290" s="3"/>
      <c r="LP290" s="3"/>
      <c r="LQ290" s="3"/>
      <c r="LR290" s="3"/>
      <c r="LS290" s="3"/>
      <c r="LT290" s="3"/>
      <c r="LU290" s="3"/>
      <c r="LV290" s="3"/>
      <c r="LW290" s="3"/>
      <c r="LX290" s="3"/>
      <c r="LY290" s="3"/>
      <c r="LZ290" s="3"/>
      <c r="MA290" s="3"/>
      <c r="MB290" s="3"/>
      <c r="MC290" s="3"/>
      <c r="MD290" s="3"/>
      <c r="ME290" s="3"/>
      <c r="MF290" s="3"/>
      <c r="MG290" s="3"/>
      <c r="MH290" s="3"/>
      <c r="MI290" s="3"/>
      <c r="MJ290" s="3"/>
      <c r="MK290" s="3"/>
      <c r="ML290" s="3"/>
      <c r="MM290" s="3"/>
      <c r="MN290" s="3"/>
      <c r="MO290" s="3"/>
      <c r="MP290" s="3"/>
      <c r="MQ290" s="3"/>
      <c r="MR290" s="3"/>
      <c r="MS290" s="3"/>
      <c r="MT290" s="3"/>
      <c r="MU290" s="3"/>
      <c r="MV290" s="3"/>
      <c r="MW290" s="3"/>
      <c r="MX290" s="3"/>
      <c r="MY290" s="3"/>
      <c r="MZ290" s="3"/>
      <c r="NA290" s="3"/>
      <c r="NB290" s="3"/>
      <c r="NC290" s="3"/>
      <c r="ND290" s="3"/>
      <c r="NE290" s="3"/>
      <c r="NF290" s="3"/>
      <c r="NG290" s="3"/>
      <c r="NH290" s="3"/>
      <c r="NI290" s="3"/>
      <c r="NJ290" s="3"/>
      <c r="NK290" s="3"/>
      <c r="NL290" s="3"/>
      <c r="NM290" s="3"/>
      <c r="NN290" s="3"/>
      <c r="NO290" s="3"/>
      <c r="NP290" s="3"/>
      <c r="NQ290" s="3"/>
      <c r="NR290" s="3"/>
      <c r="NS290" s="3"/>
      <c r="NT290" s="3"/>
      <c r="NU290" s="3"/>
      <c r="NV290" s="3"/>
      <c r="NW290" s="3"/>
      <c r="NX290" s="3"/>
      <c r="NY290" s="3"/>
      <c r="NZ290" s="3"/>
      <c r="OA290" s="3"/>
      <c r="OB290" s="3"/>
      <c r="OC290" s="3"/>
      <c r="OD290" s="3"/>
      <c r="OE290" s="3"/>
      <c r="OF290" s="3"/>
      <c r="OG290" s="3"/>
      <c r="OH290" s="3"/>
      <c r="OI290" s="3"/>
      <c r="OJ290" s="3"/>
      <c r="OK290" s="3"/>
      <c r="OL290" s="3"/>
      <c r="OM290" s="3"/>
      <c r="ON290" s="3"/>
      <c r="OO290" s="3"/>
      <c r="OP290" s="3"/>
      <c r="OQ290" s="3"/>
      <c r="OR290" s="3"/>
      <c r="OS290" s="3"/>
      <c r="OT290" s="3"/>
      <c r="OU290" s="3"/>
      <c r="OV290" s="3"/>
      <c r="OW290" s="3"/>
      <c r="OX290" s="3"/>
      <c r="OY290" s="3"/>
      <c r="OZ290" s="3"/>
      <c r="PA290" s="3"/>
      <c r="PB290" s="3"/>
      <c r="PC290" s="3"/>
      <c r="PD290" s="3"/>
      <c r="PE290" s="3"/>
      <c r="PF290" s="3"/>
      <c r="PG290" s="3"/>
      <c r="PH290" s="3"/>
      <c r="PI290" s="3"/>
      <c r="PJ290" s="3"/>
      <c r="PK290" s="3"/>
      <c r="PL290" s="3"/>
      <c r="PM290" s="3"/>
      <c r="PN290" s="3"/>
      <c r="PO290" s="3"/>
      <c r="PP290" s="3"/>
      <c r="PQ290" s="3"/>
      <c r="PR290" s="3"/>
      <c r="PS290" s="3"/>
      <c r="PT290" s="3"/>
      <c r="PU290" s="3"/>
      <c r="PV290" s="3"/>
      <c r="PW290" s="3"/>
      <c r="PX290" s="3"/>
      <c r="PY290" s="3"/>
      <c r="PZ290" s="3"/>
      <c r="QA290" s="3"/>
      <c r="QB290" s="3"/>
      <c r="QC290" s="3"/>
      <c r="QD290" s="3"/>
      <c r="QE290" s="3"/>
      <c r="QF290" s="3"/>
      <c r="QG290" s="3"/>
      <c r="QH290" s="3"/>
      <c r="QI290" s="3"/>
      <c r="QJ290" s="3"/>
      <c r="QK290" s="3"/>
      <c r="QL290" s="3"/>
      <c r="QM290" s="3"/>
      <c r="QN290" s="3"/>
      <c r="QO290" s="3"/>
      <c r="QP290" s="3"/>
      <c r="QQ290" s="3"/>
      <c r="QR290" s="3"/>
      <c r="QS290" s="3"/>
      <c r="QT290" s="3"/>
      <c r="QU290" s="3"/>
      <c r="QV290" s="3"/>
      <c r="QW290" s="3"/>
      <c r="QX290" s="3"/>
      <c r="QY290" s="3"/>
      <c r="QZ290" s="3"/>
      <c r="RA290" s="3"/>
      <c r="RB290" s="3"/>
      <c r="RC290" s="3"/>
      <c r="RD290" s="3"/>
      <c r="RE290" s="3"/>
      <c r="RF290" s="3"/>
      <c r="RG290" s="3"/>
      <c r="RH290" s="3"/>
      <c r="RI290" s="3"/>
      <c r="RJ290" s="3"/>
      <c r="RK290" s="3"/>
      <c r="RL290" s="3"/>
      <c r="RM290" s="3"/>
      <c r="RN290" s="3"/>
      <c r="RO290" s="3"/>
      <c r="RP290" s="3"/>
      <c r="RQ290" s="3"/>
      <c r="RR290" s="3"/>
      <c r="RS290" s="3"/>
      <c r="RT290" s="3"/>
      <c r="RU290" s="3"/>
      <c r="RV290" s="3"/>
      <c r="RW290" s="3"/>
      <c r="RX290" s="3"/>
      <c r="RY290" s="3"/>
      <c r="RZ290" s="3"/>
      <c r="SA290" s="3"/>
      <c r="SB290" s="3"/>
      <c r="SC290" s="3"/>
      <c r="SD290" s="3"/>
      <c r="SE290" s="3"/>
      <c r="SF290" s="3"/>
      <c r="SG290" s="3"/>
      <c r="SH290" s="3"/>
      <c r="SI290" s="3"/>
      <c r="SJ290" s="3"/>
      <c r="SK290" s="3"/>
      <c r="SL290" s="3"/>
      <c r="SM290" s="3"/>
      <c r="SN290" s="3"/>
      <c r="SO290" s="3"/>
      <c r="SP290" s="3"/>
      <c r="SQ290" s="3"/>
      <c r="SR290" s="3"/>
      <c r="SS290" s="3"/>
      <c r="ST290" s="3"/>
      <c r="SU290" s="3"/>
      <c r="SV290" s="3"/>
      <c r="SW290" s="3"/>
      <c r="SX290" s="3"/>
      <c r="SY290" s="3"/>
      <c r="SZ290" s="3"/>
      <c r="TA290" s="3"/>
      <c r="TB290" s="3"/>
      <c r="TC290" s="3"/>
      <c r="TD290" s="3"/>
      <c r="TE290" s="3"/>
      <c r="TF290" s="3"/>
      <c r="TG290" s="3"/>
      <c r="TH290" s="3"/>
      <c r="TI290" s="3"/>
      <c r="TJ290" s="3"/>
      <c r="TK290" s="3"/>
      <c r="TL290" s="3"/>
      <c r="TM290" s="3"/>
      <c r="TN290" s="3"/>
      <c r="TO290" s="3"/>
      <c r="TP290" s="3"/>
      <c r="TQ290" s="3"/>
      <c r="TR290" s="3"/>
      <c r="TS290" s="3"/>
      <c r="TT290" s="3"/>
      <c r="TU290" s="3"/>
      <c r="TV290" s="3"/>
      <c r="TW290" s="3"/>
      <c r="TX290" s="3"/>
      <c r="TY290" s="3"/>
      <c r="TZ290" s="3"/>
      <c r="UA290" s="3"/>
      <c r="UB290" s="3"/>
      <c r="UC290" s="3"/>
      <c r="UD290" s="3"/>
      <c r="UE290" s="3"/>
      <c r="UF290" s="3"/>
      <c r="UG290" s="3"/>
      <c r="UH290" s="3"/>
      <c r="UI290" s="3"/>
      <c r="UJ290" s="3"/>
      <c r="UK290" s="3"/>
      <c r="UL290" s="3"/>
      <c r="UM290" s="3"/>
      <c r="UN290" s="3"/>
      <c r="UO290" s="3"/>
      <c r="UP290" s="3"/>
      <c r="UQ290" s="3"/>
      <c r="UR290" s="3"/>
      <c r="US290" s="3"/>
      <c r="UT290" s="3"/>
      <c r="UU290" s="3"/>
      <c r="UV290" s="3"/>
      <c r="UW290" s="3"/>
      <c r="UX290" s="3"/>
      <c r="UY290" s="3"/>
      <c r="UZ290" s="3"/>
      <c r="VA290" s="3"/>
      <c r="VB290" s="3"/>
      <c r="VC290" s="3"/>
      <c r="VD290" s="3"/>
      <c r="VE290" s="3"/>
      <c r="VF290" s="3"/>
      <c r="VG290" s="3"/>
      <c r="VH290" s="3"/>
      <c r="VI290" s="3"/>
      <c r="VJ290" s="3"/>
      <c r="VK290" s="3"/>
      <c r="VL290" s="3"/>
      <c r="VM290" s="3"/>
      <c r="VN290" s="3"/>
      <c r="VO290" s="3"/>
      <c r="VP290" s="3"/>
      <c r="VQ290" s="3"/>
      <c r="VR290" s="3"/>
      <c r="VS290" s="3"/>
      <c r="VT290" s="3"/>
      <c r="VU290" s="3"/>
      <c r="VV290" s="3"/>
      <c r="VW290" s="3"/>
      <c r="VX290" s="3"/>
      <c r="VY290" s="3"/>
      <c r="VZ290" s="3"/>
      <c r="WA290" s="3"/>
      <c r="WB290" s="3"/>
      <c r="WC290" s="3"/>
      <c r="WD290" s="3"/>
      <c r="WE290" s="3"/>
      <c r="WF290" s="3"/>
      <c r="WG290" s="3"/>
      <c r="WH290" s="3"/>
      <c r="WI290" s="3"/>
      <c r="WJ290" s="3"/>
      <c r="WK290" s="3"/>
      <c r="WL290" s="3"/>
      <c r="WM290" s="3"/>
      <c r="WN290" s="3"/>
      <c r="WO290" s="3"/>
      <c r="WP290" s="3"/>
      <c r="WQ290" s="3"/>
      <c r="WR290" s="3"/>
      <c r="WS290" s="3"/>
      <c r="WT290" s="3"/>
      <c r="WU290" s="3"/>
      <c r="WV290" s="3"/>
      <c r="WW290" s="3"/>
      <c r="WX290" s="3"/>
      <c r="WY290" s="3"/>
      <c r="WZ290" s="3"/>
      <c r="XA290" s="3"/>
      <c r="XB290" s="3"/>
      <c r="XC290" s="3"/>
      <c r="XD290" s="3"/>
      <c r="XE290" s="3"/>
      <c r="XF290" s="3"/>
      <c r="XG290" s="3"/>
      <c r="XH290" s="3"/>
      <c r="XI290" s="3"/>
      <c r="XJ290" s="3"/>
      <c r="XK290" s="3"/>
      <c r="XL290" s="3"/>
      <c r="XM290" s="3"/>
      <c r="XN290" s="3"/>
      <c r="XO290" s="3"/>
      <c r="XP290" s="3"/>
      <c r="XQ290" s="3"/>
      <c r="XR290" s="3"/>
      <c r="XS290" s="3"/>
      <c r="XT290" s="3"/>
      <c r="XU290" s="3"/>
      <c r="XV290" s="3"/>
      <c r="XW290" s="3"/>
      <c r="XX290" s="3"/>
      <c r="XY290" s="3"/>
      <c r="XZ290" s="3"/>
      <c r="YA290" s="3"/>
      <c r="YB290" s="3"/>
      <c r="YC290" s="3"/>
      <c r="YD290" s="3"/>
      <c r="YE290" s="3"/>
      <c r="YF290" s="3"/>
      <c r="YG290" s="3"/>
      <c r="YH290" s="3"/>
      <c r="YI290" s="3"/>
      <c r="YJ290" s="3"/>
      <c r="YK290" s="3"/>
      <c r="YL290" s="3"/>
      <c r="YM290" s="3"/>
      <c r="YN290" s="3"/>
      <c r="YO290" s="3"/>
      <c r="YP290" s="3"/>
      <c r="YQ290" s="3"/>
      <c r="YR290" s="3"/>
      <c r="YS290" s="3"/>
      <c r="YT290" s="3"/>
      <c r="YU290" s="3"/>
      <c r="YV290" s="3"/>
      <c r="YW290" s="3"/>
      <c r="YX290" s="3"/>
      <c r="YY290" s="3"/>
      <c r="YZ290" s="3"/>
      <c r="ZA290" s="3"/>
      <c r="ZB290" s="3"/>
      <c r="ZC290" s="3"/>
    </row>
    <row r="291" spans="1:679" s="2" customFormat="1" x14ac:dyDescent="0.45">
      <c r="A291" s="3" t="s">
        <v>11</v>
      </c>
      <c r="B291" s="4">
        <v>38475</v>
      </c>
      <c r="C291" s="7" t="s">
        <v>25</v>
      </c>
      <c r="D291" s="6" t="s">
        <v>311</v>
      </c>
      <c r="E291" s="3"/>
      <c r="F291" s="3">
        <v>3</v>
      </c>
      <c r="L291" s="3"/>
      <c r="M291" s="3"/>
      <c r="N291" s="48"/>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c r="CO291" s="3"/>
      <c r="CP291" s="3"/>
      <c r="CQ291" s="3"/>
      <c r="CR291" s="3"/>
      <c r="CS291" s="3"/>
      <c r="CT291" s="3"/>
      <c r="CU291" s="3"/>
      <c r="CV291" s="3"/>
      <c r="CW291" s="3"/>
      <c r="CX291" s="3"/>
      <c r="CY291" s="3"/>
      <c r="CZ291" s="3"/>
      <c r="DA291" s="3"/>
      <c r="DB291" s="3"/>
      <c r="DC291" s="3"/>
      <c r="DD291" s="3"/>
      <c r="DE291" s="3"/>
      <c r="DF291" s="3"/>
      <c r="DG291" s="3"/>
      <c r="DH291" s="3"/>
      <c r="DI291" s="3"/>
      <c r="DJ291" s="3"/>
      <c r="DK291" s="3"/>
      <c r="DL291" s="3"/>
      <c r="DM291" s="3"/>
      <c r="DN291" s="3"/>
      <c r="DO291" s="3"/>
      <c r="DP291" s="3"/>
      <c r="DQ291" s="3"/>
      <c r="DR291" s="3"/>
      <c r="DS291" s="3"/>
      <c r="DT291" s="3"/>
      <c r="DU291" s="3"/>
      <c r="DV291" s="3"/>
      <c r="DW291" s="3"/>
      <c r="DX291" s="3"/>
      <c r="DY291" s="3"/>
      <c r="DZ291" s="3"/>
      <c r="EA291" s="3"/>
      <c r="EB291" s="3"/>
      <c r="EC291" s="3"/>
      <c r="ED291" s="3"/>
      <c r="EE291" s="3"/>
      <c r="EF291" s="3"/>
      <c r="EG291" s="3"/>
      <c r="EH291" s="3"/>
      <c r="EI291" s="3"/>
      <c r="EJ291" s="3"/>
      <c r="EK291" s="3"/>
      <c r="EL291" s="3"/>
      <c r="EM291" s="3"/>
      <c r="EN291" s="3"/>
      <c r="EO291" s="3"/>
      <c r="EP291" s="3"/>
      <c r="EQ291" s="3"/>
      <c r="ER291" s="3"/>
      <c r="ES291" s="3"/>
      <c r="ET291" s="3"/>
      <c r="EU291" s="3"/>
      <c r="EV291" s="3"/>
      <c r="EW291" s="3"/>
      <c r="EX291" s="3"/>
      <c r="EY291" s="3"/>
      <c r="EZ291" s="3"/>
      <c r="FA291" s="3"/>
      <c r="FB291" s="3"/>
      <c r="FC291" s="3"/>
      <c r="FD291" s="3"/>
      <c r="FE291" s="3"/>
      <c r="FF291" s="3"/>
      <c r="FG291" s="3"/>
      <c r="FH291" s="3"/>
      <c r="FI291" s="3"/>
      <c r="FJ291" s="3"/>
      <c r="FK291" s="3"/>
      <c r="FL291" s="3"/>
      <c r="FM291" s="3"/>
      <c r="FN291" s="3"/>
      <c r="FO291" s="3"/>
      <c r="FP291" s="3"/>
      <c r="FQ291" s="3"/>
      <c r="FR291" s="3"/>
      <c r="FS291" s="3"/>
      <c r="FT291" s="3"/>
      <c r="FU291" s="3"/>
      <c r="FV291" s="3"/>
      <c r="FW291" s="3"/>
      <c r="FX291" s="3"/>
      <c r="FY291" s="3"/>
      <c r="FZ291" s="3"/>
      <c r="GA291" s="3"/>
      <c r="GB291" s="3"/>
      <c r="GC291" s="3"/>
      <c r="GD291" s="3"/>
      <c r="GE291" s="3"/>
      <c r="GF291" s="3"/>
      <c r="GG291" s="3"/>
      <c r="GH291" s="3"/>
      <c r="GI291" s="3"/>
      <c r="GJ291" s="3"/>
      <c r="GK291" s="3"/>
      <c r="GL291" s="3"/>
      <c r="GM291" s="3"/>
      <c r="GN291" s="3"/>
      <c r="GO291" s="3"/>
      <c r="GP291" s="3"/>
      <c r="GQ291" s="3"/>
      <c r="GR291" s="3"/>
      <c r="GS291" s="3"/>
      <c r="GT291" s="3"/>
      <c r="GU291" s="3"/>
      <c r="GV291" s="3"/>
      <c r="GW291" s="3"/>
      <c r="GX291" s="3"/>
      <c r="GY291" s="3"/>
      <c r="GZ291" s="3"/>
      <c r="HA291" s="3"/>
      <c r="HB291" s="3"/>
      <c r="HC291" s="3"/>
      <c r="HD291" s="3"/>
      <c r="HE291" s="3"/>
      <c r="HF291" s="3"/>
      <c r="HG291" s="3"/>
      <c r="HH291" s="3"/>
      <c r="HI291" s="3"/>
      <c r="HJ291" s="3"/>
      <c r="HK291" s="3"/>
      <c r="HL291" s="3"/>
      <c r="HM291" s="3"/>
      <c r="HN291" s="3"/>
      <c r="HO291" s="3"/>
      <c r="HP291" s="3"/>
      <c r="HQ291" s="3"/>
      <c r="HR291" s="3"/>
      <c r="HS291" s="3"/>
      <c r="HT291" s="3"/>
      <c r="HU291" s="3"/>
      <c r="HV291" s="3"/>
      <c r="HW291" s="3"/>
      <c r="HX291" s="3"/>
      <c r="HY291" s="3"/>
      <c r="HZ291" s="3"/>
      <c r="IA291" s="3"/>
      <c r="IB291" s="3"/>
      <c r="IC291" s="3"/>
      <c r="ID291" s="3"/>
      <c r="IE291" s="3"/>
      <c r="IF291" s="3"/>
      <c r="IG291" s="3"/>
      <c r="IH291" s="3"/>
      <c r="II291" s="3"/>
      <c r="IJ291" s="3"/>
      <c r="IK291" s="3"/>
      <c r="IL291" s="3"/>
      <c r="IM291" s="3"/>
      <c r="IN291" s="3"/>
      <c r="IO291" s="3"/>
      <c r="IP291" s="3"/>
      <c r="IQ291" s="3"/>
      <c r="IR291" s="3"/>
      <c r="IS291" s="3"/>
      <c r="IT291" s="3"/>
      <c r="IU291" s="3"/>
      <c r="IV291" s="3"/>
      <c r="IW291" s="3"/>
      <c r="IX291" s="3"/>
      <c r="IY291" s="3"/>
      <c r="IZ291" s="3"/>
      <c r="JA291" s="3"/>
      <c r="JB291" s="3"/>
      <c r="JC291" s="3"/>
      <c r="JD291" s="3"/>
      <c r="JE291" s="3"/>
      <c r="JF291" s="3"/>
      <c r="JG291" s="3"/>
      <c r="JH291" s="3"/>
      <c r="JI291" s="3"/>
      <c r="JJ291" s="3"/>
      <c r="JK291" s="3"/>
      <c r="JL291" s="3"/>
      <c r="JM291" s="3"/>
      <c r="JN291" s="3"/>
      <c r="JO291" s="3"/>
      <c r="JP291" s="3"/>
      <c r="JQ291" s="3"/>
      <c r="JR291" s="3"/>
      <c r="JS291" s="3"/>
      <c r="JT291" s="3"/>
      <c r="JU291" s="3"/>
      <c r="JV291" s="3"/>
      <c r="JW291" s="3"/>
      <c r="JX291" s="3"/>
      <c r="JY291" s="3"/>
      <c r="JZ291" s="3"/>
      <c r="KA291" s="3"/>
      <c r="KB291" s="3"/>
      <c r="KC291" s="3"/>
      <c r="KD291" s="3"/>
      <c r="KE291" s="3"/>
      <c r="KF291" s="3"/>
      <c r="KG291" s="3"/>
      <c r="KH291" s="3"/>
      <c r="KI291" s="3"/>
      <c r="KJ291" s="3"/>
      <c r="KK291" s="3"/>
      <c r="KL291" s="3"/>
      <c r="KM291" s="3"/>
      <c r="KN291" s="3"/>
      <c r="KO291" s="3"/>
      <c r="KP291" s="3"/>
      <c r="KQ291" s="3"/>
      <c r="KR291" s="3"/>
      <c r="KS291" s="3"/>
      <c r="KT291" s="3"/>
      <c r="KU291" s="3"/>
      <c r="KV291" s="3"/>
      <c r="KW291" s="3"/>
      <c r="KX291" s="3"/>
      <c r="KY291" s="3"/>
      <c r="KZ291" s="3"/>
      <c r="LA291" s="3"/>
      <c r="LB291" s="3"/>
      <c r="LC291" s="3"/>
      <c r="LD291" s="3"/>
      <c r="LE291" s="3"/>
      <c r="LF291" s="3"/>
      <c r="LG291" s="3"/>
      <c r="LH291" s="3"/>
      <c r="LI291" s="3"/>
      <c r="LJ291" s="3"/>
      <c r="LK291" s="3"/>
      <c r="LL291" s="3"/>
      <c r="LM291" s="3"/>
      <c r="LN291" s="3"/>
      <c r="LO291" s="3"/>
      <c r="LP291" s="3"/>
      <c r="LQ291" s="3"/>
      <c r="LR291" s="3"/>
      <c r="LS291" s="3"/>
      <c r="LT291" s="3"/>
      <c r="LU291" s="3"/>
      <c r="LV291" s="3"/>
      <c r="LW291" s="3"/>
      <c r="LX291" s="3"/>
      <c r="LY291" s="3"/>
      <c r="LZ291" s="3"/>
      <c r="MA291" s="3"/>
      <c r="MB291" s="3"/>
      <c r="MC291" s="3"/>
      <c r="MD291" s="3"/>
      <c r="ME291" s="3"/>
      <c r="MF291" s="3"/>
      <c r="MG291" s="3"/>
      <c r="MH291" s="3"/>
      <c r="MI291" s="3"/>
      <c r="MJ291" s="3"/>
      <c r="MK291" s="3"/>
      <c r="ML291" s="3"/>
      <c r="MM291" s="3"/>
      <c r="MN291" s="3"/>
      <c r="MO291" s="3"/>
      <c r="MP291" s="3"/>
      <c r="MQ291" s="3"/>
      <c r="MR291" s="3"/>
      <c r="MS291" s="3"/>
      <c r="MT291" s="3"/>
      <c r="MU291" s="3"/>
      <c r="MV291" s="3"/>
      <c r="MW291" s="3"/>
      <c r="MX291" s="3"/>
      <c r="MY291" s="3"/>
      <c r="MZ291" s="3"/>
      <c r="NA291" s="3"/>
      <c r="NB291" s="3"/>
      <c r="NC291" s="3"/>
      <c r="ND291" s="3"/>
      <c r="NE291" s="3"/>
      <c r="NF291" s="3"/>
      <c r="NG291" s="3"/>
      <c r="NH291" s="3"/>
      <c r="NI291" s="3"/>
      <c r="NJ291" s="3"/>
      <c r="NK291" s="3"/>
      <c r="NL291" s="3"/>
      <c r="NM291" s="3"/>
      <c r="NN291" s="3"/>
      <c r="NO291" s="3"/>
      <c r="NP291" s="3"/>
      <c r="NQ291" s="3"/>
      <c r="NR291" s="3"/>
      <c r="NS291" s="3"/>
      <c r="NT291" s="3"/>
      <c r="NU291" s="3"/>
      <c r="NV291" s="3"/>
      <c r="NW291" s="3"/>
      <c r="NX291" s="3"/>
      <c r="NY291" s="3"/>
      <c r="NZ291" s="3"/>
      <c r="OA291" s="3"/>
      <c r="OB291" s="3"/>
      <c r="OC291" s="3"/>
      <c r="OD291" s="3"/>
      <c r="OE291" s="3"/>
      <c r="OF291" s="3"/>
      <c r="OG291" s="3"/>
      <c r="OH291" s="3"/>
      <c r="OI291" s="3"/>
      <c r="OJ291" s="3"/>
      <c r="OK291" s="3"/>
      <c r="OL291" s="3"/>
      <c r="OM291" s="3"/>
      <c r="ON291" s="3"/>
      <c r="OO291" s="3"/>
      <c r="OP291" s="3"/>
      <c r="OQ291" s="3"/>
      <c r="OR291" s="3"/>
      <c r="OS291" s="3"/>
      <c r="OT291" s="3"/>
      <c r="OU291" s="3"/>
      <c r="OV291" s="3"/>
      <c r="OW291" s="3"/>
      <c r="OX291" s="3"/>
      <c r="OY291" s="3"/>
      <c r="OZ291" s="3"/>
      <c r="PA291" s="3"/>
      <c r="PB291" s="3"/>
      <c r="PC291" s="3"/>
      <c r="PD291" s="3"/>
      <c r="PE291" s="3"/>
      <c r="PF291" s="3"/>
      <c r="PG291" s="3"/>
      <c r="PH291" s="3"/>
      <c r="PI291" s="3"/>
      <c r="PJ291" s="3"/>
      <c r="PK291" s="3"/>
      <c r="PL291" s="3"/>
      <c r="PM291" s="3"/>
      <c r="PN291" s="3"/>
      <c r="PO291" s="3"/>
      <c r="PP291" s="3"/>
      <c r="PQ291" s="3"/>
      <c r="PR291" s="3"/>
      <c r="PS291" s="3"/>
      <c r="PT291" s="3"/>
      <c r="PU291" s="3"/>
      <c r="PV291" s="3"/>
      <c r="PW291" s="3"/>
      <c r="PX291" s="3"/>
      <c r="PY291" s="3"/>
      <c r="PZ291" s="3"/>
      <c r="QA291" s="3"/>
      <c r="QB291" s="3"/>
      <c r="QC291" s="3"/>
      <c r="QD291" s="3"/>
      <c r="QE291" s="3"/>
      <c r="QF291" s="3"/>
      <c r="QG291" s="3"/>
      <c r="QH291" s="3"/>
      <c r="QI291" s="3"/>
      <c r="QJ291" s="3"/>
      <c r="QK291" s="3"/>
      <c r="QL291" s="3"/>
      <c r="QM291" s="3"/>
      <c r="QN291" s="3"/>
      <c r="QO291" s="3"/>
      <c r="QP291" s="3"/>
      <c r="QQ291" s="3"/>
      <c r="QR291" s="3"/>
      <c r="QS291" s="3"/>
      <c r="QT291" s="3"/>
      <c r="QU291" s="3"/>
      <c r="QV291" s="3"/>
      <c r="QW291" s="3"/>
      <c r="QX291" s="3"/>
      <c r="QY291" s="3"/>
      <c r="QZ291" s="3"/>
      <c r="RA291" s="3"/>
      <c r="RB291" s="3"/>
      <c r="RC291" s="3"/>
      <c r="RD291" s="3"/>
      <c r="RE291" s="3"/>
      <c r="RF291" s="3"/>
      <c r="RG291" s="3"/>
      <c r="RH291" s="3"/>
      <c r="RI291" s="3"/>
      <c r="RJ291" s="3"/>
      <c r="RK291" s="3"/>
      <c r="RL291" s="3"/>
      <c r="RM291" s="3"/>
      <c r="RN291" s="3"/>
      <c r="RO291" s="3"/>
      <c r="RP291" s="3"/>
      <c r="RQ291" s="3"/>
      <c r="RR291" s="3"/>
      <c r="RS291" s="3"/>
      <c r="RT291" s="3"/>
      <c r="RU291" s="3"/>
      <c r="RV291" s="3"/>
      <c r="RW291" s="3"/>
      <c r="RX291" s="3"/>
      <c r="RY291" s="3"/>
      <c r="RZ291" s="3"/>
      <c r="SA291" s="3"/>
      <c r="SB291" s="3"/>
      <c r="SC291" s="3"/>
      <c r="SD291" s="3"/>
      <c r="SE291" s="3"/>
      <c r="SF291" s="3"/>
      <c r="SG291" s="3"/>
      <c r="SH291" s="3"/>
      <c r="SI291" s="3"/>
      <c r="SJ291" s="3"/>
      <c r="SK291" s="3"/>
      <c r="SL291" s="3"/>
      <c r="SM291" s="3"/>
      <c r="SN291" s="3"/>
      <c r="SO291" s="3"/>
      <c r="SP291" s="3"/>
      <c r="SQ291" s="3"/>
      <c r="SR291" s="3"/>
      <c r="SS291" s="3"/>
      <c r="ST291" s="3"/>
      <c r="SU291" s="3"/>
      <c r="SV291" s="3"/>
      <c r="SW291" s="3"/>
      <c r="SX291" s="3"/>
      <c r="SY291" s="3"/>
      <c r="SZ291" s="3"/>
      <c r="TA291" s="3"/>
      <c r="TB291" s="3"/>
      <c r="TC291" s="3"/>
      <c r="TD291" s="3"/>
      <c r="TE291" s="3"/>
      <c r="TF291" s="3"/>
      <c r="TG291" s="3"/>
      <c r="TH291" s="3"/>
      <c r="TI291" s="3"/>
      <c r="TJ291" s="3"/>
      <c r="TK291" s="3"/>
      <c r="TL291" s="3"/>
      <c r="TM291" s="3"/>
      <c r="TN291" s="3"/>
      <c r="TO291" s="3"/>
      <c r="TP291" s="3"/>
      <c r="TQ291" s="3"/>
      <c r="TR291" s="3"/>
      <c r="TS291" s="3"/>
      <c r="TT291" s="3"/>
      <c r="TU291" s="3"/>
      <c r="TV291" s="3"/>
      <c r="TW291" s="3"/>
      <c r="TX291" s="3"/>
      <c r="TY291" s="3"/>
      <c r="TZ291" s="3"/>
      <c r="UA291" s="3"/>
      <c r="UB291" s="3"/>
      <c r="UC291" s="3"/>
      <c r="UD291" s="3"/>
      <c r="UE291" s="3"/>
      <c r="UF291" s="3"/>
      <c r="UG291" s="3"/>
      <c r="UH291" s="3"/>
      <c r="UI291" s="3"/>
      <c r="UJ291" s="3"/>
      <c r="UK291" s="3"/>
      <c r="UL291" s="3"/>
      <c r="UM291" s="3"/>
      <c r="UN291" s="3"/>
      <c r="UO291" s="3"/>
      <c r="UP291" s="3"/>
      <c r="UQ291" s="3"/>
      <c r="UR291" s="3"/>
      <c r="US291" s="3"/>
      <c r="UT291" s="3"/>
      <c r="UU291" s="3"/>
      <c r="UV291" s="3"/>
      <c r="UW291" s="3"/>
      <c r="UX291" s="3"/>
      <c r="UY291" s="3"/>
      <c r="UZ291" s="3"/>
      <c r="VA291" s="3"/>
      <c r="VB291" s="3"/>
      <c r="VC291" s="3"/>
      <c r="VD291" s="3"/>
      <c r="VE291" s="3"/>
      <c r="VF291" s="3"/>
      <c r="VG291" s="3"/>
      <c r="VH291" s="3"/>
      <c r="VI291" s="3"/>
      <c r="VJ291" s="3"/>
      <c r="VK291" s="3"/>
      <c r="VL291" s="3"/>
      <c r="VM291" s="3"/>
      <c r="VN291" s="3"/>
      <c r="VO291" s="3"/>
      <c r="VP291" s="3"/>
      <c r="VQ291" s="3"/>
      <c r="VR291" s="3"/>
      <c r="VS291" s="3"/>
      <c r="VT291" s="3"/>
      <c r="VU291" s="3"/>
      <c r="VV291" s="3"/>
      <c r="VW291" s="3"/>
      <c r="VX291" s="3"/>
      <c r="VY291" s="3"/>
      <c r="VZ291" s="3"/>
      <c r="WA291" s="3"/>
      <c r="WB291" s="3"/>
      <c r="WC291" s="3"/>
      <c r="WD291" s="3"/>
      <c r="WE291" s="3"/>
      <c r="WF291" s="3"/>
      <c r="WG291" s="3"/>
      <c r="WH291" s="3"/>
      <c r="WI291" s="3"/>
      <c r="WJ291" s="3"/>
      <c r="WK291" s="3"/>
      <c r="WL291" s="3"/>
      <c r="WM291" s="3"/>
      <c r="WN291" s="3"/>
      <c r="WO291" s="3"/>
      <c r="WP291" s="3"/>
      <c r="WQ291" s="3"/>
      <c r="WR291" s="3"/>
      <c r="WS291" s="3"/>
      <c r="WT291" s="3"/>
      <c r="WU291" s="3"/>
      <c r="WV291" s="3"/>
      <c r="WW291" s="3"/>
      <c r="WX291" s="3"/>
      <c r="WY291" s="3"/>
      <c r="WZ291" s="3"/>
      <c r="XA291" s="3"/>
      <c r="XB291" s="3"/>
      <c r="XC291" s="3"/>
      <c r="XD291" s="3"/>
      <c r="XE291" s="3"/>
      <c r="XF291" s="3"/>
      <c r="XG291" s="3"/>
      <c r="XH291" s="3"/>
      <c r="XI291" s="3"/>
      <c r="XJ291" s="3"/>
      <c r="XK291" s="3"/>
      <c r="XL291" s="3"/>
      <c r="XM291" s="3"/>
      <c r="XN291" s="3"/>
      <c r="XO291" s="3"/>
      <c r="XP291" s="3"/>
      <c r="XQ291" s="3"/>
      <c r="XR291" s="3"/>
      <c r="XS291" s="3"/>
      <c r="XT291" s="3"/>
      <c r="XU291" s="3"/>
      <c r="XV291" s="3"/>
      <c r="XW291" s="3"/>
      <c r="XX291" s="3"/>
      <c r="XY291" s="3"/>
      <c r="XZ291" s="3"/>
      <c r="YA291" s="3"/>
      <c r="YB291" s="3"/>
      <c r="YC291" s="3"/>
      <c r="YD291" s="3"/>
      <c r="YE291" s="3"/>
      <c r="YF291" s="3"/>
      <c r="YG291" s="3"/>
      <c r="YH291" s="3"/>
      <c r="YI291" s="3"/>
      <c r="YJ291" s="3"/>
      <c r="YK291" s="3"/>
      <c r="YL291" s="3"/>
      <c r="YM291" s="3"/>
      <c r="YN291" s="3"/>
      <c r="YO291" s="3"/>
      <c r="YP291" s="3"/>
      <c r="YQ291" s="3"/>
      <c r="YR291" s="3"/>
      <c r="YS291" s="3"/>
      <c r="YT291" s="3"/>
      <c r="YU291" s="3"/>
      <c r="YV291" s="3"/>
      <c r="YW291" s="3"/>
      <c r="YX291" s="3"/>
      <c r="YY291" s="3"/>
      <c r="YZ291" s="3"/>
      <c r="ZA291" s="3"/>
      <c r="ZB291" s="3"/>
      <c r="ZC291" s="3"/>
    </row>
    <row r="292" spans="1:679" s="2" customFormat="1" x14ac:dyDescent="0.45">
      <c r="A292" s="3" t="s">
        <v>11</v>
      </c>
      <c r="B292" s="4">
        <v>38527</v>
      </c>
      <c r="C292" s="7" t="s">
        <v>25</v>
      </c>
      <c r="D292" s="6" t="s">
        <v>312</v>
      </c>
      <c r="E292" s="3"/>
      <c r="F292" s="3">
        <v>5</v>
      </c>
      <c r="L292" s="3"/>
      <c r="M292" s="3"/>
      <c r="N292" s="48"/>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c r="CP292" s="3"/>
      <c r="CQ292" s="3"/>
      <c r="CR292" s="3"/>
      <c r="CS292" s="3"/>
      <c r="CT292" s="3"/>
      <c r="CU292" s="3"/>
      <c r="CV292" s="3"/>
      <c r="CW292" s="3"/>
      <c r="CX292" s="3"/>
      <c r="CY292" s="3"/>
      <c r="CZ292" s="3"/>
      <c r="DA292" s="3"/>
      <c r="DB292" s="3"/>
      <c r="DC292" s="3"/>
      <c r="DD292" s="3"/>
      <c r="DE292" s="3"/>
      <c r="DF292" s="3"/>
      <c r="DG292" s="3"/>
      <c r="DH292" s="3"/>
      <c r="DI292" s="3"/>
      <c r="DJ292" s="3"/>
      <c r="DK292" s="3"/>
      <c r="DL292" s="3"/>
      <c r="DM292" s="3"/>
      <c r="DN292" s="3"/>
      <c r="DO292" s="3"/>
      <c r="DP292" s="3"/>
      <c r="DQ292" s="3"/>
      <c r="DR292" s="3"/>
      <c r="DS292" s="3"/>
      <c r="DT292" s="3"/>
      <c r="DU292" s="3"/>
      <c r="DV292" s="3"/>
      <c r="DW292" s="3"/>
      <c r="DX292" s="3"/>
      <c r="DY292" s="3"/>
      <c r="DZ292" s="3"/>
      <c r="EA292" s="3"/>
      <c r="EB292" s="3"/>
      <c r="EC292" s="3"/>
      <c r="ED292" s="3"/>
      <c r="EE292" s="3"/>
      <c r="EF292" s="3"/>
      <c r="EG292" s="3"/>
      <c r="EH292" s="3"/>
      <c r="EI292" s="3"/>
      <c r="EJ292" s="3"/>
      <c r="EK292" s="3"/>
      <c r="EL292" s="3"/>
      <c r="EM292" s="3"/>
      <c r="EN292" s="3"/>
      <c r="EO292" s="3"/>
      <c r="EP292" s="3"/>
      <c r="EQ292" s="3"/>
      <c r="ER292" s="3"/>
      <c r="ES292" s="3"/>
      <c r="ET292" s="3"/>
      <c r="EU292" s="3"/>
      <c r="EV292" s="3"/>
      <c r="EW292" s="3"/>
      <c r="EX292" s="3"/>
      <c r="EY292" s="3"/>
      <c r="EZ292" s="3"/>
      <c r="FA292" s="3"/>
      <c r="FB292" s="3"/>
      <c r="FC292" s="3"/>
      <c r="FD292" s="3"/>
      <c r="FE292" s="3"/>
      <c r="FF292" s="3"/>
      <c r="FG292" s="3"/>
      <c r="FH292" s="3"/>
      <c r="FI292" s="3"/>
      <c r="FJ292" s="3"/>
      <c r="FK292" s="3"/>
      <c r="FL292" s="3"/>
      <c r="FM292" s="3"/>
      <c r="FN292" s="3"/>
      <c r="FO292" s="3"/>
      <c r="FP292" s="3"/>
      <c r="FQ292" s="3"/>
      <c r="FR292" s="3"/>
      <c r="FS292" s="3"/>
      <c r="FT292" s="3"/>
      <c r="FU292" s="3"/>
      <c r="FV292" s="3"/>
      <c r="FW292" s="3"/>
      <c r="FX292" s="3"/>
      <c r="FY292" s="3"/>
      <c r="FZ292" s="3"/>
      <c r="GA292" s="3"/>
      <c r="GB292" s="3"/>
      <c r="GC292" s="3"/>
      <c r="GD292" s="3"/>
      <c r="GE292" s="3"/>
      <c r="GF292" s="3"/>
      <c r="GG292" s="3"/>
      <c r="GH292" s="3"/>
      <c r="GI292" s="3"/>
      <c r="GJ292" s="3"/>
      <c r="GK292" s="3"/>
      <c r="GL292" s="3"/>
      <c r="GM292" s="3"/>
      <c r="GN292" s="3"/>
      <c r="GO292" s="3"/>
      <c r="GP292" s="3"/>
      <c r="GQ292" s="3"/>
      <c r="GR292" s="3"/>
      <c r="GS292" s="3"/>
      <c r="GT292" s="3"/>
      <c r="GU292" s="3"/>
      <c r="GV292" s="3"/>
      <c r="GW292" s="3"/>
      <c r="GX292" s="3"/>
      <c r="GY292" s="3"/>
      <c r="GZ292" s="3"/>
      <c r="HA292" s="3"/>
      <c r="HB292" s="3"/>
      <c r="HC292" s="3"/>
      <c r="HD292" s="3"/>
      <c r="HE292" s="3"/>
      <c r="HF292" s="3"/>
      <c r="HG292" s="3"/>
      <c r="HH292" s="3"/>
      <c r="HI292" s="3"/>
      <c r="HJ292" s="3"/>
      <c r="HK292" s="3"/>
      <c r="HL292" s="3"/>
      <c r="HM292" s="3"/>
      <c r="HN292" s="3"/>
      <c r="HO292" s="3"/>
      <c r="HP292" s="3"/>
      <c r="HQ292" s="3"/>
      <c r="HR292" s="3"/>
      <c r="HS292" s="3"/>
      <c r="HT292" s="3"/>
      <c r="HU292" s="3"/>
      <c r="HV292" s="3"/>
      <c r="HW292" s="3"/>
      <c r="HX292" s="3"/>
      <c r="HY292" s="3"/>
      <c r="HZ292" s="3"/>
      <c r="IA292" s="3"/>
      <c r="IB292" s="3"/>
      <c r="IC292" s="3"/>
      <c r="ID292" s="3"/>
      <c r="IE292" s="3"/>
      <c r="IF292" s="3"/>
      <c r="IG292" s="3"/>
      <c r="IH292" s="3"/>
      <c r="II292" s="3"/>
      <c r="IJ292" s="3"/>
      <c r="IK292" s="3"/>
      <c r="IL292" s="3"/>
      <c r="IM292" s="3"/>
      <c r="IN292" s="3"/>
      <c r="IO292" s="3"/>
      <c r="IP292" s="3"/>
      <c r="IQ292" s="3"/>
      <c r="IR292" s="3"/>
      <c r="IS292" s="3"/>
      <c r="IT292" s="3"/>
      <c r="IU292" s="3"/>
      <c r="IV292" s="3"/>
      <c r="IW292" s="3"/>
      <c r="IX292" s="3"/>
      <c r="IY292" s="3"/>
      <c r="IZ292" s="3"/>
      <c r="JA292" s="3"/>
      <c r="JB292" s="3"/>
      <c r="JC292" s="3"/>
      <c r="JD292" s="3"/>
      <c r="JE292" s="3"/>
      <c r="JF292" s="3"/>
      <c r="JG292" s="3"/>
      <c r="JH292" s="3"/>
      <c r="JI292" s="3"/>
      <c r="JJ292" s="3"/>
      <c r="JK292" s="3"/>
      <c r="JL292" s="3"/>
      <c r="JM292" s="3"/>
      <c r="JN292" s="3"/>
      <c r="JO292" s="3"/>
      <c r="JP292" s="3"/>
      <c r="JQ292" s="3"/>
      <c r="JR292" s="3"/>
      <c r="JS292" s="3"/>
      <c r="JT292" s="3"/>
      <c r="JU292" s="3"/>
      <c r="JV292" s="3"/>
      <c r="JW292" s="3"/>
      <c r="JX292" s="3"/>
      <c r="JY292" s="3"/>
      <c r="JZ292" s="3"/>
      <c r="KA292" s="3"/>
      <c r="KB292" s="3"/>
      <c r="KC292" s="3"/>
      <c r="KD292" s="3"/>
      <c r="KE292" s="3"/>
      <c r="KF292" s="3"/>
      <c r="KG292" s="3"/>
      <c r="KH292" s="3"/>
      <c r="KI292" s="3"/>
      <c r="KJ292" s="3"/>
      <c r="KK292" s="3"/>
      <c r="KL292" s="3"/>
      <c r="KM292" s="3"/>
      <c r="KN292" s="3"/>
      <c r="KO292" s="3"/>
      <c r="KP292" s="3"/>
      <c r="KQ292" s="3"/>
      <c r="KR292" s="3"/>
      <c r="KS292" s="3"/>
      <c r="KT292" s="3"/>
      <c r="KU292" s="3"/>
      <c r="KV292" s="3"/>
      <c r="KW292" s="3"/>
      <c r="KX292" s="3"/>
      <c r="KY292" s="3"/>
      <c r="KZ292" s="3"/>
      <c r="LA292" s="3"/>
      <c r="LB292" s="3"/>
      <c r="LC292" s="3"/>
      <c r="LD292" s="3"/>
      <c r="LE292" s="3"/>
      <c r="LF292" s="3"/>
      <c r="LG292" s="3"/>
      <c r="LH292" s="3"/>
      <c r="LI292" s="3"/>
      <c r="LJ292" s="3"/>
      <c r="LK292" s="3"/>
      <c r="LL292" s="3"/>
      <c r="LM292" s="3"/>
      <c r="LN292" s="3"/>
      <c r="LO292" s="3"/>
      <c r="LP292" s="3"/>
      <c r="LQ292" s="3"/>
      <c r="LR292" s="3"/>
      <c r="LS292" s="3"/>
      <c r="LT292" s="3"/>
      <c r="LU292" s="3"/>
      <c r="LV292" s="3"/>
      <c r="LW292" s="3"/>
      <c r="LX292" s="3"/>
      <c r="LY292" s="3"/>
      <c r="LZ292" s="3"/>
      <c r="MA292" s="3"/>
      <c r="MB292" s="3"/>
      <c r="MC292" s="3"/>
      <c r="MD292" s="3"/>
      <c r="ME292" s="3"/>
      <c r="MF292" s="3"/>
      <c r="MG292" s="3"/>
      <c r="MH292" s="3"/>
      <c r="MI292" s="3"/>
      <c r="MJ292" s="3"/>
      <c r="MK292" s="3"/>
      <c r="ML292" s="3"/>
      <c r="MM292" s="3"/>
      <c r="MN292" s="3"/>
      <c r="MO292" s="3"/>
      <c r="MP292" s="3"/>
      <c r="MQ292" s="3"/>
      <c r="MR292" s="3"/>
      <c r="MS292" s="3"/>
      <c r="MT292" s="3"/>
      <c r="MU292" s="3"/>
      <c r="MV292" s="3"/>
      <c r="MW292" s="3"/>
      <c r="MX292" s="3"/>
      <c r="MY292" s="3"/>
      <c r="MZ292" s="3"/>
      <c r="NA292" s="3"/>
      <c r="NB292" s="3"/>
      <c r="NC292" s="3"/>
      <c r="ND292" s="3"/>
      <c r="NE292" s="3"/>
      <c r="NF292" s="3"/>
      <c r="NG292" s="3"/>
      <c r="NH292" s="3"/>
      <c r="NI292" s="3"/>
      <c r="NJ292" s="3"/>
      <c r="NK292" s="3"/>
      <c r="NL292" s="3"/>
      <c r="NM292" s="3"/>
      <c r="NN292" s="3"/>
      <c r="NO292" s="3"/>
      <c r="NP292" s="3"/>
      <c r="NQ292" s="3"/>
      <c r="NR292" s="3"/>
      <c r="NS292" s="3"/>
      <c r="NT292" s="3"/>
      <c r="NU292" s="3"/>
      <c r="NV292" s="3"/>
      <c r="NW292" s="3"/>
      <c r="NX292" s="3"/>
      <c r="NY292" s="3"/>
      <c r="NZ292" s="3"/>
      <c r="OA292" s="3"/>
      <c r="OB292" s="3"/>
      <c r="OC292" s="3"/>
      <c r="OD292" s="3"/>
      <c r="OE292" s="3"/>
      <c r="OF292" s="3"/>
      <c r="OG292" s="3"/>
      <c r="OH292" s="3"/>
      <c r="OI292" s="3"/>
      <c r="OJ292" s="3"/>
      <c r="OK292" s="3"/>
      <c r="OL292" s="3"/>
      <c r="OM292" s="3"/>
      <c r="ON292" s="3"/>
      <c r="OO292" s="3"/>
      <c r="OP292" s="3"/>
      <c r="OQ292" s="3"/>
      <c r="OR292" s="3"/>
      <c r="OS292" s="3"/>
      <c r="OT292" s="3"/>
      <c r="OU292" s="3"/>
      <c r="OV292" s="3"/>
      <c r="OW292" s="3"/>
      <c r="OX292" s="3"/>
      <c r="OY292" s="3"/>
      <c r="OZ292" s="3"/>
      <c r="PA292" s="3"/>
      <c r="PB292" s="3"/>
      <c r="PC292" s="3"/>
      <c r="PD292" s="3"/>
      <c r="PE292" s="3"/>
      <c r="PF292" s="3"/>
      <c r="PG292" s="3"/>
      <c r="PH292" s="3"/>
      <c r="PI292" s="3"/>
      <c r="PJ292" s="3"/>
      <c r="PK292" s="3"/>
      <c r="PL292" s="3"/>
      <c r="PM292" s="3"/>
      <c r="PN292" s="3"/>
      <c r="PO292" s="3"/>
      <c r="PP292" s="3"/>
      <c r="PQ292" s="3"/>
      <c r="PR292" s="3"/>
      <c r="PS292" s="3"/>
      <c r="PT292" s="3"/>
      <c r="PU292" s="3"/>
      <c r="PV292" s="3"/>
      <c r="PW292" s="3"/>
      <c r="PX292" s="3"/>
      <c r="PY292" s="3"/>
      <c r="PZ292" s="3"/>
      <c r="QA292" s="3"/>
      <c r="QB292" s="3"/>
      <c r="QC292" s="3"/>
      <c r="QD292" s="3"/>
      <c r="QE292" s="3"/>
      <c r="QF292" s="3"/>
      <c r="QG292" s="3"/>
      <c r="QH292" s="3"/>
      <c r="QI292" s="3"/>
      <c r="QJ292" s="3"/>
      <c r="QK292" s="3"/>
      <c r="QL292" s="3"/>
      <c r="QM292" s="3"/>
      <c r="QN292" s="3"/>
      <c r="QO292" s="3"/>
      <c r="QP292" s="3"/>
      <c r="QQ292" s="3"/>
      <c r="QR292" s="3"/>
      <c r="QS292" s="3"/>
      <c r="QT292" s="3"/>
      <c r="QU292" s="3"/>
      <c r="QV292" s="3"/>
      <c r="QW292" s="3"/>
      <c r="QX292" s="3"/>
      <c r="QY292" s="3"/>
      <c r="QZ292" s="3"/>
      <c r="RA292" s="3"/>
      <c r="RB292" s="3"/>
      <c r="RC292" s="3"/>
      <c r="RD292" s="3"/>
      <c r="RE292" s="3"/>
      <c r="RF292" s="3"/>
      <c r="RG292" s="3"/>
      <c r="RH292" s="3"/>
      <c r="RI292" s="3"/>
      <c r="RJ292" s="3"/>
      <c r="RK292" s="3"/>
      <c r="RL292" s="3"/>
      <c r="RM292" s="3"/>
      <c r="RN292" s="3"/>
      <c r="RO292" s="3"/>
      <c r="RP292" s="3"/>
      <c r="RQ292" s="3"/>
      <c r="RR292" s="3"/>
      <c r="RS292" s="3"/>
      <c r="RT292" s="3"/>
      <c r="RU292" s="3"/>
      <c r="RV292" s="3"/>
      <c r="RW292" s="3"/>
      <c r="RX292" s="3"/>
      <c r="RY292" s="3"/>
      <c r="RZ292" s="3"/>
      <c r="SA292" s="3"/>
      <c r="SB292" s="3"/>
      <c r="SC292" s="3"/>
      <c r="SD292" s="3"/>
      <c r="SE292" s="3"/>
      <c r="SF292" s="3"/>
      <c r="SG292" s="3"/>
      <c r="SH292" s="3"/>
      <c r="SI292" s="3"/>
      <c r="SJ292" s="3"/>
      <c r="SK292" s="3"/>
      <c r="SL292" s="3"/>
      <c r="SM292" s="3"/>
      <c r="SN292" s="3"/>
      <c r="SO292" s="3"/>
      <c r="SP292" s="3"/>
      <c r="SQ292" s="3"/>
      <c r="SR292" s="3"/>
      <c r="SS292" s="3"/>
      <c r="ST292" s="3"/>
      <c r="SU292" s="3"/>
      <c r="SV292" s="3"/>
      <c r="SW292" s="3"/>
      <c r="SX292" s="3"/>
      <c r="SY292" s="3"/>
      <c r="SZ292" s="3"/>
      <c r="TA292" s="3"/>
      <c r="TB292" s="3"/>
      <c r="TC292" s="3"/>
      <c r="TD292" s="3"/>
      <c r="TE292" s="3"/>
      <c r="TF292" s="3"/>
      <c r="TG292" s="3"/>
      <c r="TH292" s="3"/>
      <c r="TI292" s="3"/>
      <c r="TJ292" s="3"/>
      <c r="TK292" s="3"/>
      <c r="TL292" s="3"/>
      <c r="TM292" s="3"/>
      <c r="TN292" s="3"/>
      <c r="TO292" s="3"/>
      <c r="TP292" s="3"/>
      <c r="TQ292" s="3"/>
      <c r="TR292" s="3"/>
      <c r="TS292" s="3"/>
      <c r="TT292" s="3"/>
      <c r="TU292" s="3"/>
      <c r="TV292" s="3"/>
      <c r="TW292" s="3"/>
      <c r="TX292" s="3"/>
      <c r="TY292" s="3"/>
      <c r="TZ292" s="3"/>
      <c r="UA292" s="3"/>
      <c r="UB292" s="3"/>
      <c r="UC292" s="3"/>
      <c r="UD292" s="3"/>
      <c r="UE292" s="3"/>
      <c r="UF292" s="3"/>
      <c r="UG292" s="3"/>
      <c r="UH292" s="3"/>
      <c r="UI292" s="3"/>
      <c r="UJ292" s="3"/>
      <c r="UK292" s="3"/>
      <c r="UL292" s="3"/>
      <c r="UM292" s="3"/>
      <c r="UN292" s="3"/>
      <c r="UO292" s="3"/>
      <c r="UP292" s="3"/>
      <c r="UQ292" s="3"/>
      <c r="UR292" s="3"/>
      <c r="US292" s="3"/>
      <c r="UT292" s="3"/>
      <c r="UU292" s="3"/>
      <c r="UV292" s="3"/>
      <c r="UW292" s="3"/>
      <c r="UX292" s="3"/>
      <c r="UY292" s="3"/>
      <c r="UZ292" s="3"/>
      <c r="VA292" s="3"/>
      <c r="VB292" s="3"/>
      <c r="VC292" s="3"/>
      <c r="VD292" s="3"/>
      <c r="VE292" s="3"/>
      <c r="VF292" s="3"/>
      <c r="VG292" s="3"/>
      <c r="VH292" s="3"/>
      <c r="VI292" s="3"/>
      <c r="VJ292" s="3"/>
      <c r="VK292" s="3"/>
      <c r="VL292" s="3"/>
      <c r="VM292" s="3"/>
      <c r="VN292" s="3"/>
      <c r="VO292" s="3"/>
      <c r="VP292" s="3"/>
      <c r="VQ292" s="3"/>
      <c r="VR292" s="3"/>
      <c r="VS292" s="3"/>
      <c r="VT292" s="3"/>
      <c r="VU292" s="3"/>
      <c r="VV292" s="3"/>
      <c r="VW292" s="3"/>
      <c r="VX292" s="3"/>
      <c r="VY292" s="3"/>
      <c r="VZ292" s="3"/>
      <c r="WA292" s="3"/>
      <c r="WB292" s="3"/>
      <c r="WC292" s="3"/>
      <c r="WD292" s="3"/>
      <c r="WE292" s="3"/>
      <c r="WF292" s="3"/>
      <c r="WG292" s="3"/>
      <c r="WH292" s="3"/>
      <c r="WI292" s="3"/>
      <c r="WJ292" s="3"/>
      <c r="WK292" s="3"/>
      <c r="WL292" s="3"/>
      <c r="WM292" s="3"/>
      <c r="WN292" s="3"/>
      <c r="WO292" s="3"/>
      <c r="WP292" s="3"/>
      <c r="WQ292" s="3"/>
      <c r="WR292" s="3"/>
      <c r="WS292" s="3"/>
      <c r="WT292" s="3"/>
      <c r="WU292" s="3"/>
      <c r="WV292" s="3"/>
      <c r="WW292" s="3"/>
      <c r="WX292" s="3"/>
      <c r="WY292" s="3"/>
      <c r="WZ292" s="3"/>
      <c r="XA292" s="3"/>
      <c r="XB292" s="3"/>
      <c r="XC292" s="3"/>
      <c r="XD292" s="3"/>
      <c r="XE292" s="3"/>
      <c r="XF292" s="3"/>
      <c r="XG292" s="3"/>
      <c r="XH292" s="3"/>
      <c r="XI292" s="3"/>
      <c r="XJ292" s="3"/>
      <c r="XK292" s="3"/>
      <c r="XL292" s="3"/>
      <c r="XM292" s="3"/>
      <c r="XN292" s="3"/>
      <c r="XO292" s="3"/>
      <c r="XP292" s="3"/>
      <c r="XQ292" s="3"/>
      <c r="XR292" s="3"/>
      <c r="XS292" s="3"/>
      <c r="XT292" s="3"/>
      <c r="XU292" s="3"/>
      <c r="XV292" s="3"/>
      <c r="XW292" s="3"/>
      <c r="XX292" s="3"/>
      <c r="XY292" s="3"/>
      <c r="XZ292" s="3"/>
      <c r="YA292" s="3"/>
      <c r="YB292" s="3"/>
      <c r="YC292" s="3"/>
      <c r="YD292" s="3"/>
      <c r="YE292" s="3"/>
      <c r="YF292" s="3"/>
      <c r="YG292" s="3"/>
      <c r="YH292" s="3"/>
      <c r="YI292" s="3"/>
      <c r="YJ292" s="3"/>
      <c r="YK292" s="3"/>
      <c r="YL292" s="3"/>
      <c r="YM292" s="3"/>
      <c r="YN292" s="3"/>
      <c r="YO292" s="3"/>
      <c r="YP292" s="3"/>
      <c r="YQ292" s="3"/>
      <c r="YR292" s="3"/>
      <c r="YS292" s="3"/>
      <c r="YT292" s="3"/>
      <c r="YU292" s="3"/>
      <c r="YV292" s="3"/>
      <c r="YW292" s="3"/>
      <c r="YX292" s="3"/>
      <c r="YY292" s="3"/>
      <c r="YZ292" s="3"/>
      <c r="ZA292" s="3"/>
      <c r="ZB292" s="3"/>
      <c r="ZC292" s="3"/>
    </row>
    <row r="293" spans="1:679" s="2" customFormat="1" x14ac:dyDescent="0.45">
      <c r="A293" s="3" t="s">
        <v>11</v>
      </c>
      <c r="B293" s="4">
        <v>38579</v>
      </c>
      <c r="C293" s="7" t="s">
        <v>25</v>
      </c>
      <c r="D293" s="6" t="s">
        <v>313</v>
      </c>
      <c r="E293" s="3"/>
      <c r="F293" s="3">
        <v>3</v>
      </c>
      <c r="L293" s="3"/>
      <c r="M293" s="3"/>
      <c r="N293" s="48"/>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c r="DA293" s="3"/>
      <c r="DB293" s="3"/>
      <c r="DC293" s="3"/>
      <c r="DD293" s="3"/>
      <c r="DE293" s="3"/>
      <c r="DF293" s="3"/>
      <c r="DG293" s="3"/>
      <c r="DH293" s="3"/>
      <c r="DI293" s="3"/>
      <c r="DJ293" s="3"/>
      <c r="DK293" s="3"/>
      <c r="DL293" s="3"/>
      <c r="DM293" s="3"/>
      <c r="DN293" s="3"/>
      <c r="DO293" s="3"/>
      <c r="DP293" s="3"/>
      <c r="DQ293" s="3"/>
      <c r="DR293" s="3"/>
      <c r="DS293" s="3"/>
      <c r="DT293" s="3"/>
      <c r="DU293" s="3"/>
      <c r="DV293" s="3"/>
      <c r="DW293" s="3"/>
      <c r="DX293" s="3"/>
      <c r="DY293" s="3"/>
      <c r="DZ293" s="3"/>
      <c r="EA293" s="3"/>
      <c r="EB293" s="3"/>
      <c r="EC293" s="3"/>
      <c r="ED293" s="3"/>
      <c r="EE293" s="3"/>
      <c r="EF293" s="3"/>
      <c r="EG293" s="3"/>
      <c r="EH293" s="3"/>
      <c r="EI293" s="3"/>
      <c r="EJ293" s="3"/>
      <c r="EK293" s="3"/>
      <c r="EL293" s="3"/>
      <c r="EM293" s="3"/>
      <c r="EN293" s="3"/>
      <c r="EO293" s="3"/>
      <c r="EP293" s="3"/>
      <c r="EQ293" s="3"/>
      <c r="ER293" s="3"/>
      <c r="ES293" s="3"/>
      <c r="ET293" s="3"/>
      <c r="EU293" s="3"/>
      <c r="EV293" s="3"/>
      <c r="EW293" s="3"/>
      <c r="EX293" s="3"/>
      <c r="EY293" s="3"/>
      <c r="EZ293" s="3"/>
      <c r="FA293" s="3"/>
      <c r="FB293" s="3"/>
      <c r="FC293" s="3"/>
      <c r="FD293" s="3"/>
      <c r="FE293" s="3"/>
      <c r="FF293" s="3"/>
      <c r="FG293" s="3"/>
      <c r="FH293" s="3"/>
      <c r="FI293" s="3"/>
      <c r="FJ293" s="3"/>
      <c r="FK293" s="3"/>
      <c r="FL293" s="3"/>
      <c r="FM293" s="3"/>
      <c r="FN293" s="3"/>
      <c r="FO293" s="3"/>
      <c r="FP293" s="3"/>
      <c r="FQ293" s="3"/>
      <c r="FR293" s="3"/>
      <c r="FS293" s="3"/>
      <c r="FT293" s="3"/>
      <c r="FU293" s="3"/>
      <c r="FV293" s="3"/>
      <c r="FW293" s="3"/>
      <c r="FX293" s="3"/>
      <c r="FY293" s="3"/>
      <c r="FZ293" s="3"/>
      <c r="GA293" s="3"/>
      <c r="GB293" s="3"/>
      <c r="GC293" s="3"/>
      <c r="GD293" s="3"/>
      <c r="GE293" s="3"/>
      <c r="GF293" s="3"/>
      <c r="GG293" s="3"/>
      <c r="GH293" s="3"/>
      <c r="GI293" s="3"/>
      <c r="GJ293" s="3"/>
      <c r="GK293" s="3"/>
      <c r="GL293" s="3"/>
      <c r="GM293" s="3"/>
      <c r="GN293" s="3"/>
      <c r="GO293" s="3"/>
      <c r="GP293" s="3"/>
      <c r="GQ293" s="3"/>
      <c r="GR293" s="3"/>
      <c r="GS293" s="3"/>
      <c r="GT293" s="3"/>
      <c r="GU293" s="3"/>
      <c r="GV293" s="3"/>
      <c r="GW293" s="3"/>
      <c r="GX293" s="3"/>
      <c r="GY293" s="3"/>
      <c r="GZ293" s="3"/>
      <c r="HA293" s="3"/>
      <c r="HB293" s="3"/>
      <c r="HC293" s="3"/>
      <c r="HD293" s="3"/>
      <c r="HE293" s="3"/>
      <c r="HF293" s="3"/>
      <c r="HG293" s="3"/>
      <c r="HH293" s="3"/>
      <c r="HI293" s="3"/>
      <c r="HJ293" s="3"/>
      <c r="HK293" s="3"/>
      <c r="HL293" s="3"/>
      <c r="HM293" s="3"/>
      <c r="HN293" s="3"/>
      <c r="HO293" s="3"/>
      <c r="HP293" s="3"/>
      <c r="HQ293" s="3"/>
      <c r="HR293" s="3"/>
      <c r="HS293" s="3"/>
      <c r="HT293" s="3"/>
      <c r="HU293" s="3"/>
      <c r="HV293" s="3"/>
      <c r="HW293" s="3"/>
      <c r="HX293" s="3"/>
      <c r="HY293" s="3"/>
      <c r="HZ293" s="3"/>
      <c r="IA293" s="3"/>
      <c r="IB293" s="3"/>
      <c r="IC293" s="3"/>
      <c r="ID293" s="3"/>
      <c r="IE293" s="3"/>
      <c r="IF293" s="3"/>
      <c r="IG293" s="3"/>
      <c r="IH293" s="3"/>
      <c r="II293" s="3"/>
      <c r="IJ293" s="3"/>
      <c r="IK293" s="3"/>
      <c r="IL293" s="3"/>
      <c r="IM293" s="3"/>
      <c r="IN293" s="3"/>
      <c r="IO293" s="3"/>
      <c r="IP293" s="3"/>
      <c r="IQ293" s="3"/>
      <c r="IR293" s="3"/>
      <c r="IS293" s="3"/>
      <c r="IT293" s="3"/>
      <c r="IU293" s="3"/>
      <c r="IV293" s="3"/>
      <c r="IW293" s="3"/>
      <c r="IX293" s="3"/>
      <c r="IY293" s="3"/>
      <c r="IZ293" s="3"/>
      <c r="JA293" s="3"/>
      <c r="JB293" s="3"/>
      <c r="JC293" s="3"/>
      <c r="JD293" s="3"/>
      <c r="JE293" s="3"/>
      <c r="JF293" s="3"/>
      <c r="JG293" s="3"/>
      <c r="JH293" s="3"/>
      <c r="JI293" s="3"/>
      <c r="JJ293" s="3"/>
      <c r="JK293" s="3"/>
      <c r="JL293" s="3"/>
      <c r="JM293" s="3"/>
      <c r="JN293" s="3"/>
      <c r="JO293" s="3"/>
      <c r="JP293" s="3"/>
      <c r="JQ293" s="3"/>
      <c r="JR293" s="3"/>
      <c r="JS293" s="3"/>
      <c r="JT293" s="3"/>
      <c r="JU293" s="3"/>
      <c r="JV293" s="3"/>
      <c r="JW293" s="3"/>
      <c r="JX293" s="3"/>
      <c r="JY293" s="3"/>
      <c r="JZ293" s="3"/>
      <c r="KA293" s="3"/>
      <c r="KB293" s="3"/>
      <c r="KC293" s="3"/>
      <c r="KD293" s="3"/>
      <c r="KE293" s="3"/>
      <c r="KF293" s="3"/>
      <c r="KG293" s="3"/>
      <c r="KH293" s="3"/>
      <c r="KI293" s="3"/>
      <c r="KJ293" s="3"/>
      <c r="KK293" s="3"/>
      <c r="KL293" s="3"/>
      <c r="KM293" s="3"/>
      <c r="KN293" s="3"/>
      <c r="KO293" s="3"/>
      <c r="KP293" s="3"/>
      <c r="KQ293" s="3"/>
      <c r="KR293" s="3"/>
      <c r="KS293" s="3"/>
      <c r="KT293" s="3"/>
      <c r="KU293" s="3"/>
      <c r="KV293" s="3"/>
      <c r="KW293" s="3"/>
      <c r="KX293" s="3"/>
      <c r="KY293" s="3"/>
      <c r="KZ293" s="3"/>
      <c r="LA293" s="3"/>
      <c r="LB293" s="3"/>
      <c r="LC293" s="3"/>
      <c r="LD293" s="3"/>
      <c r="LE293" s="3"/>
      <c r="LF293" s="3"/>
      <c r="LG293" s="3"/>
      <c r="LH293" s="3"/>
      <c r="LI293" s="3"/>
      <c r="LJ293" s="3"/>
      <c r="LK293" s="3"/>
      <c r="LL293" s="3"/>
      <c r="LM293" s="3"/>
      <c r="LN293" s="3"/>
      <c r="LO293" s="3"/>
      <c r="LP293" s="3"/>
      <c r="LQ293" s="3"/>
      <c r="LR293" s="3"/>
      <c r="LS293" s="3"/>
      <c r="LT293" s="3"/>
      <c r="LU293" s="3"/>
      <c r="LV293" s="3"/>
      <c r="LW293" s="3"/>
      <c r="LX293" s="3"/>
      <c r="LY293" s="3"/>
      <c r="LZ293" s="3"/>
      <c r="MA293" s="3"/>
      <c r="MB293" s="3"/>
      <c r="MC293" s="3"/>
      <c r="MD293" s="3"/>
      <c r="ME293" s="3"/>
      <c r="MF293" s="3"/>
      <c r="MG293" s="3"/>
      <c r="MH293" s="3"/>
      <c r="MI293" s="3"/>
      <c r="MJ293" s="3"/>
      <c r="MK293" s="3"/>
      <c r="ML293" s="3"/>
      <c r="MM293" s="3"/>
      <c r="MN293" s="3"/>
      <c r="MO293" s="3"/>
      <c r="MP293" s="3"/>
      <c r="MQ293" s="3"/>
      <c r="MR293" s="3"/>
      <c r="MS293" s="3"/>
      <c r="MT293" s="3"/>
      <c r="MU293" s="3"/>
      <c r="MV293" s="3"/>
      <c r="MW293" s="3"/>
      <c r="MX293" s="3"/>
      <c r="MY293" s="3"/>
      <c r="MZ293" s="3"/>
      <c r="NA293" s="3"/>
      <c r="NB293" s="3"/>
      <c r="NC293" s="3"/>
      <c r="ND293" s="3"/>
      <c r="NE293" s="3"/>
      <c r="NF293" s="3"/>
      <c r="NG293" s="3"/>
      <c r="NH293" s="3"/>
      <c r="NI293" s="3"/>
      <c r="NJ293" s="3"/>
      <c r="NK293" s="3"/>
      <c r="NL293" s="3"/>
      <c r="NM293" s="3"/>
      <c r="NN293" s="3"/>
      <c r="NO293" s="3"/>
      <c r="NP293" s="3"/>
      <c r="NQ293" s="3"/>
      <c r="NR293" s="3"/>
      <c r="NS293" s="3"/>
      <c r="NT293" s="3"/>
      <c r="NU293" s="3"/>
      <c r="NV293" s="3"/>
      <c r="NW293" s="3"/>
      <c r="NX293" s="3"/>
      <c r="NY293" s="3"/>
      <c r="NZ293" s="3"/>
      <c r="OA293" s="3"/>
      <c r="OB293" s="3"/>
      <c r="OC293" s="3"/>
      <c r="OD293" s="3"/>
      <c r="OE293" s="3"/>
      <c r="OF293" s="3"/>
      <c r="OG293" s="3"/>
      <c r="OH293" s="3"/>
      <c r="OI293" s="3"/>
      <c r="OJ293" s="3"/>
      <c r="OK293" s="3"/>
      <c r="OL293" s="3"/>
      <c r="OM293" s="3"/>
      <c r="ON293" s="3"/>
      <c r="OO293" s="3"/>
      <c r="OP293" s="3"/>
      <c r="OQ293" s="3"/>
      <c r="OR293" s="3"/>
      <c r="OS293" s="3"/>
      <c r="OT293" s="3"/>
      <c r="OU293" s="3"/>
      <c r="OV293" s="3"/>
      <c r="OW293" s="3"/>
      <c r="OX293" s="3"/>
      <c r="OY293" s="3"/>
      <c r="OZ293" s="3"/>
      <c r="PA293" s="3"/>
      <c r="PB293" s="3"/>
      <c r="PC293" s="3"/>
      <c r="PD293" s="3"/>
      <c r="PE293" s="3"/>
      <c r="PF293" s="3"/>
      <c r="PG293" s="3"/>
      <c r="PH293" s="3"/>
      <c r="PI293" s="3"/>
      <c r="PJ293" s="3"/>
      <c r="PK293" s="3"/>
      <c r="PL293" s="3"/>
      <c r="PM293" s="3"/>
      <c r="PN293" s="3"/>
      <c r="PO293" s="3"/>
      <c r="PP293" s="3"/>
      <c r="PQ293" s="3"/>
      <c r="PR293" s="3"/>
      <c r="PS293" s="3"/>
      <c r="PT293" s="3"/>
      <c r="PU293" s="3"/>
      <c r="PV293" s="3"/>
      <c r="PW293" s="3"/>
      <c r="PX293" s="3"/>
      <c r="PY293" s="3"/>
      <c r="PZ293" s="3"/>
      <c r="QA293" s="3"/>
      <c r="QB293" s="3"/>
      <c r="QC293" s="3"/>
      <c r="QD293" s="3"/>
      <c r="QE293" s="3"/>
      <c r="QF293" s="3"/>
      <c r="QG293" s="3"/>
      <c r="QH293" s="3"/>
      <c r="QI293" s="3"/>
      <c r="QJ293" s="3"/>
      <c r="QK293" s="3"/>
      <c r="QL293" s="3"/>
      <c r="QM293" s="3"/>
      <c r="QN293" s="3"/>
      <c r="QO293" s="3"/>
      <c r="QP293" s="3"/>
      <c r="QQ293" s="3"/>
      <c r="QR293" s="3"/>
      <c r="QS293" s="3"/>
      <c r="QT293" s="3"/>
      <c r="QU293" s="3"/>
      <c r="QV293" s="3"/>
      <c r="QW293" s="3"/>
      <c r="QX293" s="3"/>
      <c r="QY293" s="3"/>
      <c r="QZ293" s="3"/>
      <c r="RA293" s="3"/>
      <c r="RB293" s="3"/>
      <c r="RC293" s="3"/>
      <c r="RD293" s="3"/>
      <c r="RE293" s="3"/>
      <c r="RF293" s="3"/>
      <c r="RG293" s="3"/>
      <c r="RH293" s="3"/>
      <c r="RI293" s="3"/>
      <c r="RJ293" s="3"/>
      <c r="RK293" s="3"/>
      <c r="RL293" s="3"/>
      <c r="RM293" s="3"/>
      <c r="RN293" s="3"/>
      <c r="RO293" s="3"/>
      <c r="RP293" s="3"/>
      <c r="RQ293" s="3"/>
      <c r="RR293" s="3"/>
      <c r="RS293" s="3"/>
      <c r="RT293" s="3"/>
      <c r="RU293" s="3"/>
      <c r="RV293" s="3"/>
      <c r="RW293" s="3"/>
      <c r="RX293" s="3"/>
      <c r="RY293" s="3"/>
      <c r="RZ293" s="3"/>
      <c r="SA293" s="3"/>
      <c r="SB293" s="3"/>
      <c r="SC293" s="3"/>
      <c r="SD293" s="3"/>
      <c r="SE293" s="3"/>
      <c r="SF293" s="3"/>
      <c r="SG293" s="3"/>
      <c r="SH293" s="3"/>
      <c r="SI293" s="3"/>
      <c r="SJ293" s="3"/>
      <c r="SK293" s="3"/>
      <c r="SL293" s="3"/>
      <c r="SM293" s="3"/>
      <c r="SN293" s="3"/>
      <c r="SO293" s="3"/>
      <c r="SP293" s="3"/>
      <c r="SQ293" s="3"/>
      <c r="SR293" s="3"/>
      <c r="SS293" s="3"/>
      <c r="ST293" s="3"/>
      <c r="SU293" s="3"/>
      <c r="SV293" s="3"/>
      <c r="SW293" s="3"/>
      <c r="SX293" s="3"/>
      <c r="SY293" s="3"/>
      <c r="SZ293" s="3"/>
      <c r="TA293" s="3"/>
      <c r="TB293" s="3"/>
      <c r="TC293" s="3"/>
      <c r="TD293" s="3"/>
      <c r="TE293" s="3"/>
      <c r="TF293" s="3"/>
      <c r="TG293" s="3"/>
      <c r="TH293" s="3"/>
      <c r="TI293" s="3"/>
      <c r="TJ293" s="3"/>
      <c r="TK293" s="3"/>
      <c r="TL293" s="3"/>
      <c r="TM293" s="3"/>
      <c r="TN293" s="3"/>
      <c r="TO293" s="3"/>
      <c r="TP293" s="3"/>
      <c r="TQ293" s="3"/>
      <c r="TR293" s="3"/>
      <c r="TS293" s="3"/>
      <c r="TT293" s="3"/>
      <c r="TU293" s="3"/>
      <c r="TV293" s="3"/>
      <c r="TW293" s="3"/>
      <c r="TX293" s="3"/>
      <c r="TY293" s="3"/>
      <c r="TZ293" s="3"/>
      <c r="UA293" s="3"/>
      <c r="UB293" s="3"/>
      <c r="UC293" s="3"/>
      <c r="UD293" s="3"/>
      <c r="UE293" s="3"/>
      <c r="UF293" s="3"/>
      <c r="UG293" s="3"/>
      <c r="UH293" s="3"/>
      <c r="UI293" s="3"/>
      <c r="UJ293" s="3"/>
      <c r="UK293" s="3"/>
      <c r="UL293" s="3"/>
      <c r="UM293" s="3"/>
      <c r="UN293" s="3"/>
      <c r="UO293" s="3"/>
      <c r="UP293" s="3"/>
      <c r="UQ293" s="3"/>
      <c r="UR293" s="3"/>
      <c r="US293" s="3"/>
      <c r="UT293" s="3"/>
      <c r="UU293" s="3"/>
      <c r="UV293" s="3"/>
      <c r="UW293" s="3"/>
      <c r="UX293" s="3"/>
      <c r="UY293" s="3"/>
      <c r="UZ293" s="3"/>
      <c r="VA293" s="3"/>
      <c r="VB293" s="3"/>
      <c r="VC293" s="3"/>
      <c r="VD293" s="3"/>
      <c r="VE293" s="3"/>
      <c r="VF293" s="3"/>
      <c r="VG293" s="3"/>
      <c r="VH293" s="3"/>
      <c r="VI293" s="3"/>
      <c r="VJ293" s="3"/>
      <c r="VK293" s="3"/>
      <c r="VL293" s="3"/>
      <c r="VM293" s="3"/>
      <c r="VN293" s="3"/>
      <c r="VO293" s="3"/>
      <c r="VP293" s="3"/>
      <c r="VQ293" s="3"/>
      <c r="VR293" s="3"/>
      <c r="VS293" s="3"/>
      <c r="VT293" s="3"/>
      <c r="VU293" s="3"/>
      <c r="VV293" s="3"/>
      <c r="VW293" s="3"/>
      <c r="VX293" s="3"/>
      <c r="VY293" s="3"/>
      <c r="VZ293" s="3"/>
      <c r="WA293" s="3"/>
      <c r="WB293" s="3"/>
      <c r="WC293" s="3"/>
      <c r="WD293" s="3"/>
      <c r="WE293" s="3"/>
      <c r="WF293" s="3"/>
      <c r="WG293" s="3"/>
      <c r="WH293" s="3"/>
      <c r="WI293" s="3"/>
      <c r="WJ293" s="3"/>
      <c r="WK293" s="3"/>
      <c r="WL293" s="3"/>
      <c r="WM293" s="3"/>
      <c r="WN293" s="3"/>
      <c r="WO293" s="3"/>
      <c r="WP293" s="3"/>
      <c r="WQ293" s="3"/>
      <c r="WR293" s="3"/>
      <c r="WS293" s="3"/>
      <c r="WT293" s="3"/>
      <c r="WU293" s="3"/>
      <c r="WV293" s="3"/>
      <c r="WW293" s="3"/>
      <c r="WX293" s="3"/>
      <c r="WY293" s="3"/>
      <c r="WZ293" s="3"/>
      <c r="XA293" s="3"/>
      <c r="XB293" s="3"/>
      <c r="XC293" s="3"/>
      <c r="XD293" s="3"/>
      <c r="XE293" s="3"/>
      <c r="XF293" s="3"/>
      <c r="XG293" s="3"/>
      <c r="XH293" s="3"/>
      <c r="XI293" s="3"/>
      <c r="XJ293" s="3"/>
      <c r="XK293" s="3"/>
      <c r="XL293" s="3"/>
      <c r="XM293" s="3"/>
      <c r="XN293" s="3"/>
      <c r="XO293" s="3"/>
      <c r="XP293" s="3"/>
      <c r="XQ293" s="3"/>
      <c r="XR293" s="3"/>
      <c r="XS293" s="3"/>
      <c r="XT293" s="3"/>
      <c r="XU293" s="3"/>
      <c r="XV293" s="3"/>
      <c r="XW293" s="3"/>
      <c r="XX293" s="3"/>
      <c r="XY293" s="3"/>
      <c r="XZ293" s="3"/>
      <c r="YA293" s="3"/>
      <c r="YB293" s="3"/>
      <c r="YC293" s="3"/>
      <c r="YD293" s="3"/>
      <c r="YE293" s="3"/>
      <c r="YF293" s="3"/>
      <c r="YG293" s="3"/>
      <c r="YH293" s="3"/>
      <c r="YI293" s="3"/>
      <c r="YJ293" s="3"/>
      <c r="YK293" s="3"/>
      <c r="YL293" s="3"/>
      <c r="YM293" s="3"/>
      <c r="YN293" s="3"/>
      <c r="YO293" s="3"/>
      <c r="YP293" s="3"/>
      <c r="YQ293" s="3"/>
      <c r="YR293" s="3"/>
      <c r="YS293" s="3"/>
      <c r="YT293" s="3"/>
      <c r="YU293" s="3"/>
      <c r="YV293" s="3"/>
      <c r="YW293" s="3"/>
      <c r="YX293" s="3"/>
      <c r="YY293" s="3"/>
      <c r="YZ293" s="3"/>
      <c r="ZA293" s="3"/>
      <c r="ZB293" s="3"/>
      <c r="ZC293" s="3"/>
    </row>
    <row r="294" spans="1:679" s="2" customFormat="1" x14ac:dyDescent="0.45">
      <c r="A294" s="3" t="s">
        <v>11</v>
      </c>
      <c r="B294" s="4">
        <v>38609</v>
      </c>
      <c r="C294" s="7" t="s">
        <v>25</v>
      </c>
      <c r="D294" s="6" t="s">
        <v>314</v>
      </c>
      <c r="E294" s="3"/>
      <c r="F294" s="3">
        <v>3</v>
      </c>
      <c r="L294" s="3"/>
      <c r="M294" s="3"/>
      <c r="N294" s="48"/>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c r="CO294" s="3"/>
      <c r="CP294" s="3"/>
      <c r="CQ294" s="3"/>
      <c r="CR294" s="3"/>
      <c r="CS294" s="3"/>
      <c r="CT294" s="3"/>
      <c r="CU294" s="3"/>
      <c r="CV294" s="3"/>
      <c r="CW294" s="3"/>
      <c r="CX294" s="3"/>
      <c r="CY294" s="3"/>
      <c r="CZ294" s="3"/>
      <c r="DA294" s="3"/>
      <c r="DB294" s="3"/>
      <c r="DC294" s="3"/>
      <c r="DD294" s="3"/>
      <c r="DE294" s="3"/>
      <c r="DF294" s="3"/>
      <c r="DG294" s="3"/>
      <c r="DH294" s="3"/>
      <c r="DI294" s="3"/>
      <c r="DJ294" s="3"/>
      <c r="DK294" s="3"/>
      <c r="DL294" s="3"/>
      <c r="DM294" s="3"/>
      <c r="DN294" s="3"/>
      <c r="DO294" s="3"/>
      <c r="DP294" s="3"/>
      <c r="DQ294" s="3"/>
      <c r="DR294" s="3"/>
      <c r="DS294" s="3"/>
      <c r="DT294" s="3"/>
      <c r="DU294" s="3"/>
      <c r="DV294" s="3"/>
      <c r="DW294" s="3"/>
      <c r="DX294" s="3"/>
      <c r="DY294" s="3"/>
      <c r="DZ294" s="3"/>
      <c r="EA294" s="3"/>
      <c r="EB294" s="3"/>
      <c r="EC294" s="3"/>
      <c r="ED294" s="3"/>
      <c r="EE294" s="3"/>
      <c r="EF294" s="3"/>
      <c r="EG294" s="3"/>
      <c r="EH294" s="3"/>
      <c r="EI294" s="3"/>
      <c r="EJ294" s="3"/>
      <c r="EK294" s="3"/>
      <c r="EL294" s="3"/>
      <c r="EM294" s="3"/>
      <c r="EN294" s="3"/>
      <c r="EO294" s="3"/>
      <c r="EP294" s="3"/>
      <c r="EQ294" s="3"/>
      <c r="ER294" s="3"/>
      <c r="ES294" s="3"/>
      <c r="ET294" s="3"/>
      <c r="EU294" s="3"/>
      <c r="EV294" s="3"/>
      <c r="EW294" s="3"/>
      <c r="EX294" s="3"/>
      <c r="EY294" s="3"/>
      <c r="EZ294" s="3"/>
      <c r="FA294" s="3"/>
      <c r="FB294" s="3"/>
      <c r="FC294" s="3"/>
      <c r="FD294" s="3"/>
      <c r="FE294" s="3"/>
      <c r="FF294" s="3"/>
      <c r="FG294" s="3"/>
      <c r="FH294" s="3"/>
      <c r="FI294" s="3"/>
      <c r="FJ294" s="3"/>
      <c r="FK294" s="3"/>
      <c r="FL294" s="3"/>
      <c r="FM294" s="3"/>
      <c r="FN294" s="3"/>
      <c r="FO294" s="3"/>
      <c r="FP294" s="3"/>
      <c r="FQ294" s="3"/>
      <c r="FR294" s="3"/>
      <c r="FS294" s="3"/>
      <c r="FT294" s="3"/>
      <c r="FU294" s="3"/>
      <c r="FV294" s="3"/>
      <c r="FW294" s="3"/>
      <c r="FX294" s="3"/>
      <c r="FY294" s="3"/>
      <c r="FZ294" s="3"/>
      <c r="GA294" s="3"/>
      <c r="GB294" s="3"/>
      <c r="GC294" s="3"/>
      <c r="GD294" s="3"/>
      <c r="GE294" s="3"/>
      <c r="GF294" s="3"/>
      <c r="GG294" s="3"/>
      <c r="GH294" s="3"/>
      <c r="GI294" s="3"/>
      <c r="GJ294" s="3"/>
      <c r="GK294" s="3"/>
      <c r="GL294" s="3"/>
      <c r="GM294" s="3"/>
      <c r="GN294" s="3"/>
      <c r="GO294" s="3"/>
      <c r="GP294" s="3"/>
      <c r="GQ294" s="3"/>
      <c r="GR294" s="3"/>
      <c r="GS294" s="3"/>
      <c r="GT294" s="3"/>
      <c r="GU294" s="3"/>
      <c r="GV294" s="3"/>
      <c r="GW294" s="3"/>
      <c r="GX294" s="3"/>
      <c r="GY294" s="3"/>
      <c r="GZ294" s="3"/>
      <c r="HA294" s="3"/>
      <c r="HB294" s="3"/>
      <c r="HC294" s="3"/>
      <c r="HD294" s="3"/>
      <c r="HE294" s="3"/>
      <c r="HF294" s="3"/>
      <c r="HG294" s="3"/>
      <c r="HH294" s="3"/>
      <c r="HI294" s="3"/>
      <c r="HJ294" s="3"/>
      <c r="HK294" s="3"/>
      <c r="HL294" s="3"/>
      <c r="HM294" s="3"/>
      <c r="HN294" s="3"/>
      <c r="HO294" s="3"/>
      <c r="HP294" s="3"/>
      <c r="HQ294" s="3"/>
      <c r="HR294" s="3"/>
      <c r="HS294" s="3"/>
      <c r="HT294" s="3"/>
      <c r="HU294" s="3"/>
      <c r="HV294" s="3"/>
      <c r="HW294" s="3"/>
      <c r="HX294" s="3"/>
      <c r="HY294" s="3"/>
      <c r="HZ294" s="3"/>
      <c r="IA294" s="3"/>
      <c r="IB294" s="3"/>
      <c r="IC294" s="3"/>
      <c r="ID294" s="3"/>
      <c r="IE294" s="3"/>
      <c r="IF294" s="3"/>
      <c r="IG294" s="3"/>
      <c r="IH294" s="3"/>
      <c r="II294" s="3"/>
      <c r="IJ294" s="3"/>
      <c r="IK294" s="3"/>
      <c r="IL294" s="3"/>
      <c r="IM294" s="3"/>
      <c r="IN294" s="3"/>
      <c r="IO294" s="3"/>
      <c r="IP294" s="3"/>
      <c r="IQ294" s="3"/>
      <c r="IR294" s="3"/>
      <c r="IS294" s="3"/>
      <c r="IT294" s="3"/>
      <c r="IU294" s="3"/>
      <c r="IV294" s="3"/>
      <c r="IW294" s="3"/>
      <c r="IX294" s="3"/>
      <c r="IY294" s="3"/>
      <c r="IZ294" s="3"/>
      <c r="JA294" s="3"/>
      <c r="JB294" s="3"/>
      <c r="JC294" s="3"/>
      <c r="JD294" s="3"/>
      <c r="JE294" s="3"/>
      <c r="JF294" s="3"/>
      <c r="JG294" s="3"/>
      <c r="JH294" s="3"/>
      <c r="JI294" s="3"/>
      <c r="JJ294" s="3"/>
      <c r="JK294" s="3"/>
      <c r="JL294" s="3"/>
      <c r="JM294" s="3"/>
      <c r="JN294" s="3"/>
      <c r="JO294" s="3"/>
      <c r="JP294" s="3"/>
      <c r="JQ294" s="3"/>
      <c r="JR294" s="3"/>
      <c r="JS294" s="3"/>
      <c r="JT294" s="3"/>
      <c r="JU294" s="3"/>
      <c r="JV294" s="3"/>
      <c r="JW294" s="3"/>
      <c r="JX294" s="3"/>
      <c r="JY294" s="3"/>
      <c r="JZ294" s="3"/>
      <c r="KA294" s="3"/>
      <c r="KB294" s="3"/>
      <c r="KC294" s="3"/>
      <c r="KD294" s="3"/>
      <c r="KE294" s="3"/>
      <c r="KF294" s="3"/>
      <c r="KG294" s="3"/>
      <c r="KH294" s="3"/>
      <c r="KI294" s="3"/>
      <c r="KJ294" s="3"/>
      <c r="KK294" s="3"/>
      <c r="KL294" s="3"/>
      <c r="KM294" s="3"/>
      <c r="KN294" s="3"/>
      <c r="KO294" s="3"/>
      <c r="KP294" s="3"/>
      <c r="KQ294" s="3"/>
      <c r="KR294" s="3"/>
      <c r="KS294" s="3"/>
      <c r="KT294" s="3"/>
      <c r="KU294" s="3"/>
      <c r="KV294" s="3"/>
      <c r="KW294" s="3"/>
      <c r="KX294" s="3"/>
      <c r="KY294" s="3"/>
      <c r="KZ294" s="3"/>
      <c r="LA294" s="3"/>
      <c r="LB294" s="3"/>
      <c r="LC294" s="3"/>
      <c r="LD294" s="3"/>
      <c r="LE294" s="3"/>
      <c r="LF294" s="3"/>
      <c r="LG294" s="3"/>
      <c r="LH294" s="3"/>
      <c r="LI294" s="3"/>
      <c r="LJ294" s="3"/>
      <c r="LK294" s="3"/>
      <c r="LL294" s="3"/>
      <c r="LM294" s="3"/>
      <c r="LN294" s="3"/>
      <c r="LO294" s="3"/>
      <c r="LP294" s="3"/>
      <c r="LQ294" s="3"/>
      <c r="LR294" s="3"/>
      <c r="LS294" s="3"/>
      <c r="LT294" s="3"/>
      <c r="LU294" s="3"/>
      <c r="LV294" s="3"/>
      <c r="LW294" s="3"/>
      <c r="LX294" s="3"/>
      <c r="LY294" s="3"/>
      <c r="LZ294" s="3"/>
      <c r="MA294" s="3"/>
      <c r="MB294" s="3"/>
      <c r="MC294" s="3"/>
      <c r="MD294" s="3"/>
      <c r="ME294" s="3"/>
      <c r="MF294" s="3"/>
      <c r="MG294" s="3"/>
      <c r="MH294" s="3"/>
      <c r="MI294" s="3"/>
      <c r="MJ294" s="3"/>
      <c r="MK294" s="3"/>
      <c r="ML294" s="3"/>
      <c r="MM294" s="3"/>
      <c r="MN294" s="3"/>
      <c r="MO294" s="3"/>
      <c r="MP294" s="3"/>
      <c r="MQ294" s="3"/>
      <c r="MR294" s="3"/>
      <c r="MS294" s="3"/>
      <c r="MT294" s="3"/>
      <c r="MU294" s="3"/>
      <c r="MV294" s="3"/>
      <c r="MW294" s="3"/>
      <c r="MX294" s="3"/>
      <c r="MY294" s="3"/>
      <c r="MZ294" s="3"/>
      <c r="NA294" s="3"/>
      <c r="NB294" s="3"/>
      <c r="NC294" s="3"/>
      <c r="ND294" s="3"/>
      <c r="NE294" s="3"/>
      <c r="NF294" s="3"/>
      <c r="NG294" s="3"/>
      <c r="NH294" s="3"/>
      <c r="NI294" s="3"/>
      <c r="NJ294" s="3"/>
      <c r="NK294" s="3"/>
      <c r="NL294" s="3"/>
      <c r="NM294" s="3"/>
      <c r="NN294" s="3"/>
      <c r="NO294" s="3"/>
      <c r="NP294" s="3"/>
      <c r="NQ294" s="3"/>
      <c r="NR294" s="3"/>
      <c r="NS294" s="3"/>
      <c r="NT294" s="3"/>
      <c r="NU294" s="3"/>
      <c r="NV294" s="3"/>
      <c r="NW294" s="3"/>
      <c r="NX294" s="3"/>
      <c r="NY294" s="3"/>
      <c r="NZ294" s="3"/>
      <c r="OA294" s="3"/>
      <c r="OB294" s="3"/>
      <c r="OC294" s="3"/>
      <c r="OD294" s="3"/>
      <c r="OE294" s="3"/>
      <c r="OF294" s="3"/>
      <c r="OG294" s="3"/>
      <c r="OH294" s="3"/>
      <c r="OI294" s="3"/>
      <c r="OJ294" s="3"/>
      <c r="OK294" s="3"/>
      <c r="OL294" s="3"/>
      <c r="OM294" s="3"/>
      <c r="ON294" s="3"/>
      <c r="OO294" s="3"/>
      <c r="OP294" s="3"/>
      <c r="OQ294" s="3"/>
      <c r="OR294" s="3"/>
      <c r="OS294" s="3"/>
      <c r="OT294" s="3"/>
      <c r="OU294" s="3"/>
      <c r="OV294" s="3"/>
      <c r="OW294" s="3"/>
      <c r="OX294" s="3"/>
      <c r="OY294" s="3"/>
      <c r="OZ294" s="3"/>
      <c r="PA294" s="3"/>
      <c r="PB294" s="3"/>
      <c r="PC294" s="3"/>
      <c r="PD294" s="3"/>
      <c r="PE294" s="3"/>
      <c r="PF294" s="3"/>
      <c r="PG294" s="3"/>
      <c r="PH294" s="3"/>
      <c r="PI294" s="3"/>
      <c r="PJ294" s="3"/>
      <c r="PK294" s="3"/>
      <c r="PL294" s="3"/>
      <c r="PM294" s="3"/>
      <c r="PN294" s="3"/>
      <c r="PO294" s="3"/>
      <c r="PP294" s="3"/>
      <c r="PQ294" s="3"/>
      <c r="PR294" s="3"/>
      <c r="PS294" s="3"/>
      <c r="PT294" s="3"/>
      <c r="PU294" s="3"/>
      <c r="PV294" s="3"/>
      <c r="PW294" s="3"/>
      <c r="PX294" s="3"/>
      <c r="PY294" s="3"/>
      <c r="PZ294" s="3"/>
      <c r="QA294" s="3"/>
      <c r="QB294" s="3"/>
      <c r="QC294" s="3"/>
      <c r="QD294" s="3"/>
      <c r="QE294" s="3"/>
      <c r="QF294" s="3"/>
      <c r="QG294" s="3"/>
      <c r="QH294" s="3"/>
      <c r="QI294" s="3"/>
      <c r="QJ294" s="3"/>
      <c r="QK294" s="3"/>
      <c r="QL294" s="3"/>
      <c r="QM294" s="3"/>
      <c r="QN294" s="3"/>
      <c r="QO294" s="3"/>
      <c r="QP294" s="3"/>
      <c r="QQ294" s="3"/>
      <c r="QR294" s="3"/>
      <c r="QS294" s="3"/>
      <c r="QT294" s="3"/>
      <c r="QU294" s="3"/>
      <c r="QV294" s="3"/>
      <c r="QW294" s="3"/>
      <c r="QX294" s="3"/>
      <c r="QY294" s="3"/>
      <c r="QZ294" s="3"/>
      <c r="RA294" s="3"/>
      <c r="RB294" s="3"/>
      <c r="RC294" s="3"/>
      <c r="RD294" s="3"/>
      <c r="RE294" s="3"/>
      <c r="RF294" s="3"/>
      <c r="RG294" s="3"/>
      <c r="RH294" s="3"/>
      <c r="RI294" s="3"/>
      <c r="RJ294" s="3"/>
      <c r="RK294" s="3"/>
      <c r="RL294" s="3"/>
      <c r="RM294" s="3"/>
      <c r="RN294" s="3"/>
      <c r="RO294" s="3"/>
      <c r="RP294" s="3"/>
      <c r="RQ294" s="3"/>
      <c r="RR294" s="3"/>
      <c r="RS294" s="3"/>
      <c r="RT294" s="3"/>
      <c r="RU294" s="3"/>
      <c r="RV294" s="3"/>
      <c r="RW294" s="3"/>
      <c r="RX294" s="3"/>
      <c r="RY294" s="3"/>
      <c r="RZ294" s="3"/>
      <c r="SA294" s="3"/>
      <c r="SB294" s="3"/>
      <c r="SC294" s="3"/>
      <c r="SD294" s="3"/>
      <c r="SE294" s="3"/>
      <c r="SF294" s="3"/>
      <c r="SG294" s="3"/>
      <c r="SH294" s="3"/>
      <c r="SI294" s="3"/>
      <c r="SJ294" s="3"/>
      <c r="SK294" s="3"/>
      <c r="SL294" s="3"/>
      <c r="SM294" s="3"/>
      <c r="SN294" s="3"/>
      <c r="SO294" s="3"/>
      <c r="SP294" s="3"/>
      <c r="SQ294" s="3"/>
      <c r="SR294" s="3"/>
      <c r="SS294" s="3"/>
      <c r="ST294" s="3"/>
      <c r="SU294" s="3"/>
      <c r="SV294" s="3"/>
      <c r="SW294" s="3"/>
      <c r="SX294" s="3"/>
      <c r="SY294" s="3"/>
      <c r="SZ294" s="3"/>
      <c r="TA294" s="3"/>
      <c r="TB294" s="3"/>
      <c r="TC294" s="3"/>
      <c r="TD294" s="3"/>
      <c r="TE294" s="3"/>
      <c r="TF294" s="3"/>
      <c r="TG294" s="3"/>
      <c r="TH294" s="3"/>
      <c r="TI294" s="3"/>
      <c r="TJ294" s="3"/>
      <c r="TK294" s="3"/>
      <c r="TL294" s="3"/>
      <c r="TM294" s="3"/>
      <c r="TN294" s="3"/>
      <c r="TO294" s="3"/>
      <c r="TP294" s="3"/>
      <c r="TQ294" s="3"/>
      <c r="TR294" s="3"/>
      <c r="TS294" s="3"/>
      <c r="TT294" s="3"/>
      <c r="TU294" s="3"/>
      <c r="TV294" s="3"/>
      <c r="TW294" s="3"/>
      <c r="TX294" s="3"/>
      <c r="TY294" s="3"/>
      <c r="TZ294" s="3"/>
      <c r="UA294" s="3"/>
      <c r="UB294" s="3"/>
      <c r="UC294" s="3"/>
      <c r="UD294" s="3"/>
      <c r="UE294" s="3"/>
      <c r="UF294" s="3"/>
      <c r="UG294" s="3"/>
      <c r="UH294" s="3"/>
      <c r="UI294" s="3"/>
      <c r="UJ294" s="3"/>
      <c r="UK294" s="3"/>
      <c r="UL294" s="3"/>
      <c r="UM294" s="3"/>
      <c r="UN294" s="3"/>
      <c r="UO294" s="3"/>
      <c r="UP294" s="3"/>
      <c r="UQ294" s="3"/>
      <c r="UR294" s="3"/>
      <c r="US294" s="3"/>
      <c r="UT294" s="3"/>
      <c r="UU294" s="3"/>
      <c r="UV294" s="3"/>
      <c r="UW294" s="3"/>
      <c r="UX294" s="3"/>
      <c r="UY294" s="3"/>
      <c r="UZ294" s="3"/>
      <c r="VA294" s="3"/>
      <c r="VB294" s="3"/>
      <c r="VC294" s="3"/>
      <c r="VD294" s="3"/>
      <c r="VE294" s="3"/>
      <c r="VF294" s="3"/>
      <c r="VG294" s="3"/>
      <c r="VH294" s="3"/>
      <c r="VI294" s="3"/>
      <c r="VJ294" s="3"/>
      <c r="VK294" s="3"/>
      <c r="VL294" s="3"/>
      <c r="VM294" s="3"/>
      <c r="VN294" s="3"/>
      <c r="VO294" s="3"/>
      <c r="VP294" s="3"/>
      <c r="VQ294" s="3"/>
      <c r="VR294" s="3"/>
      <c r="VS294" s="3"/>
      <c r="VT294" s="3"/>
      <c r="VU294" s="3"/>
      <c r="VV294" s="3"/>
      <c r="VW294" s="3"/>
      <c r="VX294" s="3"/>
      <c r="VY294" s="3"/>
      <c r="VZ294" s="3"/>
      <c r="WA294" s="3"/>
      <c r="WB294" s="3"/>
      <c r="WC294" s="3"/>
      <c r="WD294" s="3"/>
      <c r="WE294" s="3"/>
      <c r="WF294" s="3"/>
      <c r="WG294" s="3"/>
      <c r="WH294" s="3"/>
      <c r="WI294" s="3"/>
      <c r="WJ294" s="3"/>
      <c r="WK294" s="3"/>
      <c r="WL294" s="3"/>
      <c r="WM294" s="3"/>
      <c r="WN294" s="3"/>
      <c r="WO294" s="3"/>
      <c r="WP294" s="3"/>
      <c r="WQ294" s="3"/>
      <c r="WR294" s="3"/>
      <c r="WS294" s="3"/>
      <c r="WT294" s="3"/>
      <c r="WU294" s="3"/>
      <c r="WV294" s="3"/>
      <c r="WW294" s="3"/>
      <c r="WX294" s="3"/>
      <c r="WY294" s="3"/>
      <c r="WZ294" s="3"/>
      <c r="XA294" s="3"/>
      <c r="XB294" s="3"/>
      <c r="XC294" s="3"/>
      <c r="XD294" s="3"/>
      <c r="XE294" s="3"/>
      <c r="XF294" s="3"/>
      <c r="XG294" s="3"/>
      <c r="XH294" s="3"/>
      <c r="XI294" s="3"/>
      <c r="XJ294" s="3"/>
      <c r="XK294" s="3"/>
      <c r="XL294" s="3"/>
      <c r="XM294" s="3"/>
      <c r="XN294" s="3"/>
      <c r="XO294" s="3"/>
      <c r="XP294" s="3"/>
      <c r="XQ294" s="3"/>
      <c r="XR294" s="3"/>
      <c r="XS294" s="3"/>
      <c r="XT294" s="3"/>
      <c r="XU294" s="3"/>
      <c r="XV294" s="3"/>
      <c r="XW294" s="3"/>
      <c r="XX294" s="3"/>
      <c r="XY294" s="3"/>
      <c r="XZ294" s="3"/>
      <c r="YA294" s="3"/>
      <c r="YB294" s="3"/>
      <c r="YC294" s="3"/>
      <c r="YD294" s="3"/>
      <c r="YE294" s="3"/>
      <c r="YF294" s="3"/>
      <c r="YG294" s="3"/>
      <c r="YH294" s="3"/>
      <c r="YI294" s="3"/>
      <c r="YJ294" s="3"/>
      <c r="YK294" s="3"/>
      <c r="YL294" s="3"/>
      <c r="YM294" s="3"/>
      <c r="YN294" s="3"/>
      <c r="YO294" s="3"/>
      <c r="YP294" s="3"/>
      <c r="YQ294" s="3"/>
      <c r="YR294" s="3"/>
      <c r="YS294" s="3"/>
      <c r="YT294" s="3"/>
      <c r="YU294" s="3"/>
      <c r="YV294" s="3"/>
      <c r="YW294" s="3"/>
      <c r="YX294" s="3"/>
      <c r="YY294" s="3"/>
      <c r="YZ294" s="3"/>
      <c r="ZA294" s="3"/>
      <c r="ZB294" s="3"/>
      <c r="ZC294" s="3"/>
    </row>
    <row r="295" spans="1:679" s="2" customFormat="1" x14ac:dyDescent="0.45">
      <c r="A295" s="3" t="s">
        <v>11</v>
      </c>
      <c r="B295" s="4">
        <v>38610</v>
      </c>
      <c r="C295" s="7" t="s">
        <v>25</v>
      </c>
      <c r="D295" s="6" t="s">
        <v>315</v>
      </c>
      <c r="E295" s="3"/>
      <c r="F295" s="3">
        <v>3</v>
      </c>
      <c r="L295" s="3"/>
      <c r="M295" s="3"/>
      <c r="N295" s="48"/>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c r="CO295" s="3"/>
      <c r="CP295" s="3"/>
      <c r="CQ295" s="3"/>
      <c r="CR295" s="3"/>
      <c r="CS295" s="3"/>
      <c r="CT295" s="3"/>
      <c r="CU295" s="3"/>
      <c r="CV295" s="3"/>
      <c r="CW295" s="3"/>
      <c r="CX295" s="3"/>
      <c r="CY295" s="3"/>
      <c r="CZ295" s="3"/>
      <c r="DA295" s="3"/>
      <c r="DB295" s="3"/>
      <c r="DC295" s="3"/>
      <c r="DD295" s="3"/>
      <c r="DE295" s="3"/>
      <c r="DF295" s="3"/>
      <c r="DG295" s="3"/>
      <c r="DH295" s="3"/>
      <c r="DI295" s="3"/>
      <c r="DJ295" s="3"/>
      <c r="DK295" s="3"/>
      <c r="DL295" s="3"/>
      <c r="DM295" s="3"/>
      <c r="DN295" s="3"/>
      <c r="DO295" s="3"/>
      <c r="DP295" s="3"/>
      <c r="DQ295" s="3"/>
      <c r="DR295" s="3"/>
      <c r="DS295" s="3"/>
      <c r="DT295" s="3"/>
      <c r="DU295" s="3"/>
      <c r="DV295" s="3"/>
      <c r="DW295" s="3"/>
      <c r="DX295" s="3"/>
      <c r="DY295" s="3"/>
      <c r="DZ295" s="3"/>
      <c r="EA295" s="3"/>
      <c r="EB295" s="3"/>
      <c r="EC295" s="3"/>
      <c r="ED295" s="3"/>
      <c r="EE295" s="3"/>
      <c r="EF295" s="3"/>
      <c r="EG295" s="3"/>
      <c r="EH295" s="3"/>
      <c r="EI295" s="3"/>
      <c r="EJ295" s="3"/>
      <c r="EK295" s="3"/>
      <c r="EL295" s="3"/>
      <c r="EM295" s="3"/>
      <c r="EN295" s="3"/>
      <c r="EO295" s="3"/>
      <c r="EP295" s="3"/>
      <c r="EQ295" s="3"/>
      <c r="ER295" s="3"/>
      <c r="ES295" s="3"/>
      <c r="ET295" s="3"/>
      <c r="EU295" s="3"/>
      <c r="EV295" s="3"/>
      <c r="EW295" s="3"/>
      <c r="EX295" s="3"/>
      <c r="EY295" s="3"/>
      <c r="EZ295" s="3"/>
      <c r="FA295" s="3"/>
      <c r="FB295" s="3"/>
      <c r="FC295" s="3"/>
      <c r="FD295" s="3"/>
      <c r="FE295" s="3"/>
      <c r="FF295" s="3"/>
      <c r="FG295" s="3"/>
      <c r="FH295" s="3"/>
      <c r="FI295" s="3"/>
      <c r="FJ295" s="3"/>
      <c r="FK295" s="3"/>
      <c r="FL295" s="3"/>
      <c r="FM295" s="3"/>
      <c r="FN295" s="3"/>
      <c r="FO295" s="3"/>
      <c r="FP295" s="3"/>
      <c r="FQ295" s="3"/>
      <c r="FR295" s="3"/>
      <c r="FS295" s="3"/>
      <c r="FT295" s="3"/>
      <c r="FU295" s="3"/>
      <c r="FV295" s="3"/>
      <c r="FW295" s="3"/>
      <c r="FX295" s="3"/>
      <c r="FY295" s="3"/>
      <c r="FZ295" s="3"/>
      <c r="GA295" s="3"/>
      <c r="GB295" s="3"/>
      <c r="GC295" s="3"/>
      <c r="GD295" s="3"/>
      <c r="GE295" s="3"/>
      <c r="GF295" s="3"/>
      <c r="GG295" s="3"/>
      <c r="GH295" s="3"/>
      <c r="GI295" s="3"/>
      <c r="GJ295" s="3"/>
      <c r="GK295" s="3"/>
      <c r="GL295" s="3"/>
      <c r="GM295" s="3"/>
      <c r="GN295" s="3"/>
      <c r="GO295" s="3"/>
      <c r="GP295" s="3"/>
      <c r="GQ295" s="3"/>
      <c r="GR295" s="3"/>
      <c r="GS295" s="3"/>
      <c r="GT295" s="3"/>
      <c r="GU295" s="3"/>
      <c r="GV295" s="3"/>
      <c r="GW295" s="3"/>
      <c r="GX295" s="3"/>
      <c r="GY295" s="3"/>
      <c r="GZ295" s="3"/>
      <c r="HA295" s="3"/>
      <c r="HB295" s="3"/>
      <c r="HC295" s="3"/>
      <c r="HD295" s="3"/>
      <c r="HE295" s="3"/>
      <c r="HF295" s="3"/>
      <c r="HG295" s="3"/>
      <c r="HH295" s="3"/>
      <c r="HI295" s="3"/>
      <c r="HJ295" s="3"/>
      <c r="HK295" s="3"/>
      <c r="HL295" s="3"/>
      <c r="HM295" s="3"/>
      <c r="HN295" s="3"/>
      <c r="HO295" s="3"/>
      <c r="HP295" s="3"/>
      <c r="HQ295" s="3"/>
      <c r="HR295" s="3"/>
      <c r="HS295" s="3"/>
      <c r="HT295" s="3"/>
      <c r="HU295" s="3"/>
      <c r="HV295" s="3"/>
      <c r="HW295" s="3"/>
      <c r="HX295" s="3"/>
      <c r="HY295" s="3"/>
      <c r="HZ295" s="3"/>
      <c r="IA295" s="3"/>
      <c r="IB295" s="3"/>
      <c r="IC295" s="3"/>
      <c r="ID295" s="3"/>
      <c r="IE295" s="3"/>
      <c r="IF295" s="3"/>
      <c r="IG295" s="3"/>
      <c r="IH295" s="3"/>
      <c r="II295" s="3"/>
      <c r="IJ295" s="3"/>
      <c r="IK295" s="3"/>
      <c r="IL295" s="3"/>
      <c r="IM295" s="3"/>
      <c r="IN295" s="3"/>
      <c r="IO295" s="3"/>
      <c r="IP295" s="3"/>
      <c r="IQ295" s="3"/>
      <c r="IR295" s="3"/>
      <c r="IS295" s="3"/>
      <c r="IT295" s="3"/>
      <c r="IU295" s="3"/>
      <c r="IV295" s="3"/>
      <c r="IW295" s="3"/>
      <c r="IX295" s="3"/>
      <c r="IY295" s="3"/>
      <c r="IZ295" s="3"/>
      <c r="JA295" s="3"/>
      <c r="JB295" s="3"/>
      <c r="JC295" s="3"/>
      <c r="JD295" s="3"/>
      <c r="JE295" s="3"/>
      <c r="JF295" s="3"/>
      <c r="JG295" s="3"/>
      <c r="JH295" s="3"/>
      <c r="JI295" s="3"/>
      <c r="JJ295" s="3"/>
      <c r="JK295" s="3"/>
      <c r="JL295" s="3"/>
      <c r="JM295" s="3"/>
      <c r="JN295" s="3"/>
      <c r="JO295" s="3"/>
      <c r="JP295" s="3"/>
      <c r="JQ295" s="3"/>
      <c r="JR295" s="3"/>
      <c r="JS295" s="3"/>
      <c r="JT295" s="3"/>
      <c r="JU295" s="3"/>
      <c r="JV295" s="3"/>
      <c r="JW295" s="3"/>
      <c r="JX295" s="3"/>
      <c r="JY295" s="3"/>
      <c r="JZ295" s="3"/>
      <c r="KA295" s="3"/>
      <c r="KB295" s="3"/>
      <c r="KC295" s="3"/>
      <c r="KD295" s="3"/>
      <c r="KE295" s="3"/>
      <c r="KF295" s="3"/>
      <c r="KG295" s="3"/>
      <c r="KH295" s="3"/>
      <c r="KI295" s="3"/>
      <c r="KJ295" s="3"/>
      <c r="KK295" s="3"/>
      <c r="KL295" s="3"/>
      <c r="KM295" s="3"/>
      <c r="KN295" s="3"/>
      <c r="KO295" s="3"/>
      <c r="KP295" s="3"/>
      <c r="KQ295" s="3"/>
      <c r="KR295" s="3"/>
      <c r="KS295" s="3"/>
      <c r="KT295" s="3"/>
      <c r="KU295" s="3"/>
      <c r="KV295" s="3"/>
      <c r="KW295" s="3"/>
      <c r="KX295" s="3"/>
      <c r="KY295" s="3"/>
      <c r="KZ295" s="3"/>
      <c r="LA295" s="3"/>
      <c r="LB295" s="3"/>
      <c r="LC295" s="3"/>
      <c r="LD295" s="3"/>
      <c r="LE295" s="3"/>
      <c r="LF295" s="3"/>
      <c r="LG295" s="3"/>
      <c r="LH295" s="3"/>
      <c r="LI295" s="3"/>
      <c r="LJ295" s="3"/>
      <c r="LK295" s="3"/>
      <c r="LL295" s="3"/>
      <c r="LM295" s="3"/>
      <c r="LN295" s="3"/>
      <c r="LO295" s="3"/>
      <c r="LP295" s="3"/>
      <c r="LQ295" s="3"/>
      <c r="LR295" s="3"/>
      <c r="LS295" s="3"/>
      <c r="LT295" s="3"/>
      <c r="LU295" s="3"/>
      <c r="LV295" s="3"/>
      <c r="LW295" s="3"/>
      <c r="LX295" s="3"/>
      <c r="LY295" s="3"/>
      <c r="LZ295" s="3"/>
      <c r="MA295" s="3"/>
      <c r="MB295" s="3"/>
      <c r="MC295" s="3"/>
      <c r="MD295" s="3"/>
      <c r="ME295" s="3"/>
      <c r="MF295" s="3"/>
      <c r="MG295" s="3"/>
      <c r="MH295" s="3"/>
      <c r="MI295" s="3"/>
      <c r="MJ295" s="3"/>
      <c r="MK295" s="3"/>
      <c r="ML295" s="3"/>
      <c r="MM295" s="3"/>
      <c r="MN295" s="3"/>
      <c r="MO295" s="3"/>
      <c r="MP295" s="3"/>
      <c r="MQ295" s="3"/>
      <c r="MR295" s="3"/>
      <c r="MS295" s="3"/>
      <c r="MT295" s="3"/>
      <c r="MU295" s="3"/>
      <c r="MV295" s="3"/>
      <c r="MW295" s="3"/>
      <c r="MX295" s="3"/>
      <c r="MY295" s="3"/>
      <c r="MZ295" s="3"/>
      <c r="NA295" s="3"/>
      <c r="NB295" s="3"/>
      <c r="NC295" s="3"/>
      <c r="ND295" s="3"/>
      <c r="NE295" s="3"/>
      <c r="NF295" s="3"/>
      <c r="NG295" s="3"/>
      <c r="NH295" s="3"/>
      <c r="NI295" s="3"/>
      <c r="NJ295" s="3"/>
      <c r="NK295" s="3"/>
      <c r="NL295" s="3"/>
      <c r="NM295" s="3"/>
      <c r="NN295" s="3"/>
      <c r="NO295" s="3"/>
      <c r="NP295" s="3"/>
      <c r="NQ295" s="3"/>
      <c r="NR295" s="3"/>
      <c r="NS295" s="3"/>
      <c r="NT295" s="3"/>
      <c r="NU295" s="3"/>
      <c r="NV295" s="3"/>
      <c r="NW295" s="3"/>
      <c r="NX295" s="3"/>
      <c r="NY295" s="3"/>
      <c r="NZ295" s="3"/>
      <c r="OA295" s="3"/>
      <c r="OB295" s="3"/>
      <c r="OC295" s="3"/>
      <c r="OD295" s="3"/>
      <c r="OE295" s="3"/>
      <c r="OF295" s="3"/>
      <c r="OG295" s="3"/>
      <c r="OH295" s="3"/>
      <c r="OI295" s="3"/>
      <c r="OJ295" s="3"/>
      <c r="OK295" s="3"/>
      <c r="OL295" s="3"/>
      <c r="OM295" s="3"/>
      <c r="ON295" s="3"/>
      <c r="OO295" s="3"/>
      <c r="OP295" s="3"/>
      <c r="OQ295" s="3"/>
      <c r="OR295" s="3"/>
      <c r="OS295" s="3"/>
      <c r="OT295" s="3"/>
      <c r="OU295" s="3"/>
      <c r="OV295" s="3"/>
      <c r="OW295" s="3"/>
      <c r="OX295" s="3"/>
      <c r="OY295" s="3"/>
      <c r="OZ295" s="3"/>
      <c r="PA295" s="3"/>
      <c r="PB295" s="3"/>
      <c r="PC295" s="3"/>
      <c r="PD295" s="3"/>
      <c r="PE295" s="3"/>
      <c r="PF295" s="3"/>
      <c r="PG295" s="3"/>
      <c r="PH295" s="3"/>
      <c r="PI295" s="3"/>
      <c r="PJ295" s="3"/>
      <c r="PK295" s="3"/>
      <c r="PL295" s="3"/>
      <c r="PM295" s="3"/>
      <c r="PN295" s="3"/>
      <c r="PO295" s="3"/>
      <c r="PP295" s="3"/>
      <c r="PQ295" s="3"/>
      <c r="PR295" s="3"/>
      <c r="PS295" s="3"/>
      <c r="PT295" s="3"/>
      <c r="PU295" s="3"/>
      <c r="PV295" s="3"/>
      <c r="PW295" s="3"/>
      <c r="PX295" s="3"/>
      <c r="PY295" s="3"/>
      <c r="PZ295" s="3"/>
      <c r="QA295" s="3"/>
      <c r="QB295" s="3"/>
      <c r="QC295" s="3"/>
      <c r="QD295" s="3"/>
      <c r="QE295" s="3"/>
      <c r="QF295" s="3"/>
      <c r="QG295" s="3"/>
      <c r="QH295" s="3"/>
      <c r="QI295" s="3"/>
      <c r="QJ295" s="3"/>
      <c r="QK295" s="3"/>
      <c r="QL295" s="3"/>
      <c r="QM295" s="3"/>
      <c r="QN295" s="3"/>
      <c r="QO295" s="3"/>
      <c r="QP295" s="3"/>
      <c r="QQ295" s="3"/>
      <c r="QR295" s="3"/>
      <c r="QS295" s="3"/>
      <c r="QT295" s="3"/>
      <c r="QU295" s="3"/>
      <c r="QV295" s="3"/>
      <c r="QW295" s="3"/>
      <c r="QX295" s="3"/>
      <c r="QY295" s="3"/>
      <c r="QZ295" s="3"/>
      <c r="RA295" s="3"/>
      <c r="RB295" s="3"/>
      <c r="RC295" s="3"/>
      <c r="RD295" s="3"/>
      <c r="RE295" s="3"/>
      <c r="RF295" s="3"/>
      <c r="RG295" s="3"/>
      <c r="RH295" s="3"/>
      <c r="RI295" s="3"/>
      <c r="RJ295" s="3"/>
      <c r="RK295" s="3"/>
      <c r="RL295" s="3"/>
      <c r="RM295" s="3"/>
      <c r="RN295" s="3"/>
      <c r="RO295" s="3"/>
      <c r="RP295" s="3"/>
      <c r="RQ295" s="3"/>
      <c r="RR295" s="3"/>
      <c r="RS295" s="3"/>
      <c r="RT295" s="3"/>
      <c r="RU295" s="3"/>
      <c r="RV295" s="3"/>
      <c r="RW295" s="3"/>
      <c r="RX295" s="3"/>
      <c r="RY295" s="3"/>
      <c r="RZ295" s="3"/>
      <c r="SA295" s="3"/>
      <c r="SB295" s="3"/>
      <c r="SC295" s="3"/>
      <c r="SD295" s="3"/>
      <c r="SE295" s="3"/>
      <c r="SF295" s="3"/>
      <c r="SG295" s="3"/>
      <c r="SH295" s="3"/>
      <c r="SI295" s="3"/>
      <c r="SJ295" s="3"/>
      <c r="SK295" s="3"/>
      <c r="SL295" s="3"/>
      <c r="SM295" s="3"/>
      <c r="SN295" s="3"/>
      <c r="SO295" s="3"/>
      <c r="SP295" s="3"/>
      <c r="SQ295" s="3"/>
      <c r="SR295" s="3"/>
      <c r="SS295" s="3"/>
      <c r="ST295" s="3"/>
      <c r="SU295" s="3"/>
      <c r="SV295" s="3"/>
      <c r="SW295" s="3"/>
      <c r="SX295" s="3"/>
      <c r="SY295" s="3"/>
      <c r="SZ295" s="3"/>
      <c r="TA295" s="3"/>
      <c r="TB295" s="3"/>
      <c r="TC295" s="3"/>
      <c r="TD295" s="3"/>
      <c r="TE295" s="3"/>
      <c r="TF295" s="3"/>
      <c r="TG295" s="3"/>
      <c r="TH295" s="3"/>
      <c r="TI295" s="3"/>
      <c r="TJ295" s="3"/>
      <c r="TK295" s="3"/>
      <c r="TL295" s="3"/>
      <c r="TM295" s="3"/>
      <c r="TN295" s="3"/>
      <c r="TO295" s="3"/>
      <c r="TP295" s="3"/>
      <c r="TQ295" s="3"/>
      <c r="TR295" s="3"/>
      <c r="TS295" s="3"/>
      <c r="TT295" s="3"/>
      <c r="TU295" s="3"/>
      <c r="TV295" s="3"/>
      <c r="TW295" s="3"/>
      <c r="TX295" s="3"/>
      <c r="TY295" s="3"/>
      <c r="TZ295" s="3"/>
      <c r="UA295" s="3"/>
      <c r="UB295" s="3"/>
      <c r="UC295" s="3"/>
      <c r="UD295" s="3"/>
      <c r="UE295" s="3"/>
      <c r="UF295" s="3"/>
      <c r="UG295" s="3"/>
      <c r="UH295" s="3"/>
      <c r="UI295" s="3"/>
      <c r="UJ295" s="3"/>
      <c r="UK295" s="3"/>
      <c r="UL295" s="3"/>
      <c r="UM295" s="3"/>
      <c r="UN295" s="3"/>
      <c r="UO295" s="3"/>
      <c r="UP295" s="3"/>
      <c r="UQ295" s="3"/>
      <c r="UR295" s="3"/>
      <c r="US295" s="3"/>
      <c r="UT295" s="3"/>
      <c r="UU295" s="3"/>
      <c r="UV295" s="3"/>
      <c r="UW295" s="3"/>
      <c r="UX295" s="3"/>
      <c r="UY295" s="3"/>
      <c r="UZ295" s="3"/>
      <c r="VA295" s="3"/>
      <c r="VB295" s="3"/>
      <c r="VC295" s="3"/>
      <c r="VD295" s="3"/>
      <c r="VE295" s="3"/>
      <c r="VF295" s="3"/>
      <c r="VG295" s="3"/>
      <c r="VH295" s="3"/>
      <c r="VI295" s="3"/>
      <c r="VJ295" s="3"/>
      <c r="VK295" s="3"/>
      <c r="VL295" s="3"/>
      <c r="VM295" s="3"/>
      <c r="VN295" s="3"/>
      <c r="VO295" s="3"/>
      <c r="VP295" s="3"/>
      <c r="VQ295" s="3"/>
      <c r="VR295" s="3"/>
      <c r="VS295" s="3"/>
      <c r="VT295" s="3"/>
      <c r="VU295" s="3"/>
      <c r="VV295" s="3"/>
      <c r="VW295" s="3"/>
      <c r="VX295" s="3"/>
      <c r="VY295" s="3"/>
      <c r="VZ295" s="3"/>
      <c r="WA295" s="3"/>
      <c r="WB295" s="3"/>
      <c r="WC295" s="3"/>
      <c r="WD295" s="3"/>
      <c r="WE295" s="3"/>
      <c r="WF295" s="3"/>
      <c r="WG295" s="3"/>
      <c r="WH295" s="3"/>
      <c r="WI295" s="3"/>
      <c r="WJ295" s="3"/>
      <c r="WK295" s="3"/>
      <c r="WL295" s="3"/>
      <c r="WM295" s="3"/>
      <c r="WN295" s="3"/>
      <c r="WO295" s="3"/>
      <c r="WP295" s="3"/>
      <c r="WQ295" s="3"/>
      <c r="WR295" s="3"/>
      <c r="WS295" s="3"/>
      <c r="WT295" s="3"/>
      <c r="WU295" s="3"/>
      <c r="WV295" s="3"/>
      <c r="WW295" s="3"/>
      <c r="WX295" s="3"/>
      <c r="WY295" s="3"/>
      <c r="WZ295" s="3"/>
      <c r="XA295" s="3"/>
      <c r="XB295" s="3"/>
      <c r="XC295" s="3"/>
      <c r="XD295" s="3"/>
      <c r="XE295" s="3"/>
      <c r="XF295" s="3"/>
      <c r="XG295" s="3"/>
      <c r="XH295" s="3"/>
      <c r="XI295" s="3"/>
      <c r="XJ295" s="3"/>
      <c r="XK295" s="3"/>
      <c r="XL295" s="3"/>
      <c r="XM295" s="3"/>
      <c r="XN295" s="3"/>
      <c r="XO295" s="3"/>
      <c r="XP295" s="3"/>
      <c r="XQ295" s="3"/>
      <c r="XR295" s="3"/>
      <c r="XS295" s="3"/>
      <c r="XT295" s="3"/>
      <c r="XU295" s="3"/>
      <c r="XV295" s="3"/>
      <c r="XW295" s="3"/>
      <c r="XX295" s="3"/>
      <c r="XY295" s="3"/>
      <c r="XZ295" s="3"/>
      <c r="YA295" s="3"/>
      <c r="YB295" s="3"/>
      <c r="YC295" s="3"/>
      <c r="YD295" s="3"/>
      <c r="YE295" s="3"/>
      <c r="YF295" s="3"/>
      <c r="YG295" s="3"/>
      <c r="YH295" s="3"/>
      <c r="YI295" s="3"/>
      <c r="YJ295" s="3"/>
      <c r="YK295" s="3"/>
      <c r="YL295" s="3"/>
      <c r="YM295" s="3"/>
      <c r="YN295" s="3"/>
      <c r="YO295" s="3"/>
      <c r="YP295" s="3"/>
      <c r="YQ295" s="3"/>
      <c r="YR295" s="3"/>
      <c r="YS295" s="3"/>
      <c r="YT295" s="3"/>
      <c r="YU295" s="3"/>
      <c r="YV295" s="3"/>
      <c r="YW295" s="3"/>
      <c r="YX295" s="3"/>
      <c r="YY295" s="3"/>
      <c r="YZ295" s="3"/>
      <c r="ZA295" s="3"/>
      <c r="ZB295" s="3"/>
      <c r="ZC295" s="3"/>
    </row>
    <row r="296" spans="1:679" s="2" customFormat="1" x14ac:dyDescent="0.45">
      <c r="A296" s="3" t="s">
        <v>11</v>
      </c>
      <c r="B296" s="4">
        <v>38616</v>
      </c>
      <c r="C296" s="7" t="s">
        <v>25</v>
      </c>
      <c r="D296" s="6" t="s">
        <v>316</v>
      </c>
      <c r="E296" s="3"/>
      <c r="F296" s="3">
        <v>2</v>
      </c>
      <c r="L296" s="3"/>
      <c r="M296" s="3"/>
      <c r="N296" s="48"/>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c r="CO296" s="3"/>
      <c r="CP296" s="3"/>
      <c r="CQ296" s="3"/>
      <c r="CR296" s="3"/>
      <c r="CS296" s="3"/>
      <c r="CT296" s="3"/>
      <c r="CU296" s="3"/>
      <c r="CV296" s="3"/>
      <c r="CW296" s="3"/>
      <c r="CX296" s="3"/>
      <c r="CY296" s="3"/>
      <c r="CZ296" s="3"/>
      <c r="DA296" s="3"/>
      <c r="DB296" s="3"/>
      <c r="DC296" s="3"/>
      <c r="DD296" s="3"/>
      <c r="DE296" s="3"/>
      <c r="DF296" s="3"/>
      <c r="DG296" s="3"/>
      <c r="DH296" s="3"/>
      <c r="DI296" s="3"/>
      <c r="DJ296" s="3"/>
      <c r="DK296" s="3"/>
      <c r="DL296" s="3"/>
      <c r="DM296" s="3"/>
      <c r="DN296" s="3"/>
      <c r="DO296" s="3"/>
      <c r="DP296" s="3"/>
      <c r="DQ296" s="3"/>
      <c r="DR296" s="3"/>
      <c r="DS296" s="3"/>
      <c r="DT296" s="3"/>
      <c r="DU296" s="3"/>
      <c r="DV296" s="3"/>
      <c r="DW296" s="3"/>
      <c r="DX296" s="3"/>
      <c r="DY296" s="3"/>
      <c r="DZ296" s="3"/>
      <c r="EA296" s="3"/>
      <c r="EB296" s="3"/>
      <c r="EC296" s="3"/>
      <c r="ED296" s="3"/>
      <c r="EE296" s="3"/>
      <c r="EF296" s="3"/>
      <c r="EG296" s="3"/>
      <c r="EH296" s="3"/>
      <c r="EI296" s="3"/>
      <c r="EJ296" s="3"/>
      <c r="EK296" s="3"/>
      <c r="EL296" s="3"/>
      <c r="EM296" s="3"/>
      <c r="EN296" s="3"/>
      <c r="EO296" s="3"/>
      <c r="EP296" s="3"/>
      <c r="EQ296" s="3"/>
      <c r="ER296" s="3"/>
      <c r="ES296" s="3"/>
      <c r="ET296" s="3"/>
      <c r="EU296" s="3"/>
      <c r="EV296" s="3"/>
      <c r="EW296" s="3"/>
      <c r="EX296" s="3"/>
      <c r="EY296" s="3"/>
      <c r="EZ296" s="3"/>
      <c r="FA296" s="3"/>
      <c r="FB296" s="3"/>
      <c r="FC296" s="3"/>
      <c r="FD296" s="3"/>
      <c r="FE296" s="3"/>
      <c r="FF296" s="3"/>
      <c r="FG296" s="3"/>
      <c r="FH296" s="3"/>
      <c r="FI296" s="3"/>
      <c r="FJ296" s="3"/>
      <c r="FK296" s="3"/>
      <c r="FL296" s="3"/>
      <c r="FM296" s="3"/>
      <c r="FN296" s="3"/>
      <c r="FO296" s="3"/>
      <c r="FP296" s="3"/>
      <c r="FQ296" s="3"/>
      <c r="FR296" s="3"/>
      <c r="FS296" s="3"/>
      <c r="FT296" s="3"/>
      <c r="FU296" s="3"/>
      <c r="FV296" s="3"/>
      <c r="FW296" s="3"/>
      <c r="FX296" s="3"/>
      <c r="FY296" s="3"/>
      <c r="FZ296" s="3"/>
      <c r="GA296" s="3"/>
      <c r="GB296" s="3"/>
      <c r="GC296" s="3"/>
      <c r="GD296" s="3"/>
      <c r="GE296" s="3"/>
      <c r="GF296" s="3"/>
      <c r="GG296" s="3"/>
      <c r="GH296" s="3"/>
      <c r="GI296" s="3"/>
      <c r="GJ296" s="3"/>
      <c r="GK296" s="3"/>
      <c r="GL296" s="3"/>
      <c r="GM296" s="3"/>
      <c r="GN296" s="3"/>
      <c r="GO296" s="3"/>
      <c r="GP296" s="3"/>
      <c r="GQ296" s="3"/>
      <c r="GR296" s="3"/>
      <c r="GS296" s="3"/>
      <c r="GT296" s="3"/>
      <c r="GU296" s="3"/>
      <c r="GV296" s="3"/>
      <c r="GW296" s="3"/>
      <c r="GX296" s="3"/>
      <c r="GY296" s="3"/>
      <c r="GZ296" s="3"/>
      <c r="HA296" s="3"/>
      <c r="HB296" s="3"/>
      <c r="HC296" s="3"/>
      <c r="HD296" s="3"/>
      <c r="HE296" s="3"/>
      <c r="HF296" s="3"/>
      <c r="HG296" s="3"/>
      <c r="HH296" s="3"/>
      <c r="HI296" s="3"/>
      <c r="HJ296" s="3"/>
      <c r="HK296" s="3"/>
      <c r="HL296" s="3"/>
      <c r="HM296" s="3"/>
      <c r="HN296" s="3"/>
      <c r="HO296" s="3"/>
      <c r="HP296" s="3"/>
      <c r="HQ296" s="3"/>
      <c r="HR296" s="3"/>
      <c r="HS296" s="3"/>
      <c r="HT296" s="3"/>
      <c r="HU296" s="3"/>
      <c r="HV296" s="3"/>
      <c r="HW296" s="3"/>
      <c r="HX296" s="3"/>
      <c r="HY296" s="3"/>
      <c r="HZ296" s="3"/>
      <c r="IA296" s="3"/>
      <c r="IB296" s="3"/>
      <c r="IC296" s="3"/>
      <c r="ID296" s="3"/>
      <c r="IE296" s="3"/>
      <c r="IF296" s="3"/>
      <c r="IG296" s="3"/>
      <c r="IH296" s="3"/>
      <c r="II296" s="3"/>
      <c r="IJ296" s="3"/>
      <c r="IK296" s="3"/>
      <c r="IL296" s="3"/>
      <c r="IM296" s="3"/>
      <c r="IN296" s="3"/>
      <c r="IO296" s="3"/>
      <c r="IP296" s="3"/>
      <c r="IQ296" s="3"/>
      <c r="IR296" s="3"/>
      <c r="IS296" s="3"/>
      <c r="IT296" s="3"/>
      <c r="IU296" s="3"/>
      <c r="IV296" s="3"/>
      <c r="IW296" s="3"/>
      <c r="IX296" s="3"/>
      <c r="IY296" s="3"/>
      <c r="IZ296" s="3"/>
      <c r="JA296" s="3"/>
      <c r="JB296" s="3"/>
      <c r="JC296" s="3"/>
      <c r="JD296" s="3"/>
      <c r="JE296" s="3"/>
      <c r="JF296" s="3"/>
      <c r="JG296" s="3"/>
      <c r="JH296" s="3"/>
      <c r="JI296" s="3"/>
      <c r="JJ296" s="3"/>
      <c r="JK296" s="3"/>
      <c r="JL296" s="3"/>
      <c r="JM296" s="3"/>
      <c r="JN296" s="3"/>
      <c r="JO296" s="3"/>
      <c r="JP296" s="3"/>
      <c r="JQ296" s="3"/>
      <c r="JR296" s="3"/>
      <c r="JS296" s="3"/>
      <c r="JT296" s="3"/>
      <c r="JU296" s="3"/>
      <c r="JV296" s="3"/>
      <c r="JW296" s="3"/>
      <c r="JX296" s="3"/>
      <c r="JY296" s="3"/>
      <c r="JZ296" s="3"/>
      <c r="KA296" s="3"/>
      <c r="KB296" s="3"/>
      <c r="KC296" s="3"/>
      <c r="KD296" s="3"/>
      <c r="KE296" s="3"/>
      <c r="KF296" s="3"/>
      <c r="KG296" s="3"/>
      <c r="KH296" s="3"/>
      <c r="KI296" s="3"/>
      <c r="KJ296" s="3"/>
      <c r="KK296" s="3"/>
      <c r="KL296" s="3"/>
      <c r="KM296" s="3"/>
      <c r="KN296" s="3"/>
      <c r="KO296" s="3"/>
      <c r="KP296" s="3"/>
      <c r="KQ296" s="3"/>
      <c r="KR296" s="3"/>
      <c r="KS296" s="3"/>
      <c r="KT296" s="3"/>
      <c r="KU296" s="3"/>
      <c r="KV296" s="3"/>
      <c r="KW296" s="3"/>
      <c r="KX296" s="3"/>
      <c r="KY296" s="3"/>
      <c r="KZ296" s="3"/>
      <c r="LA296" s="3"/>
      <c r="LB296" s="3"/>
      <c r="LC296" s="3"/>
      <c r="LD296" s="3"/>
      <c r="LE296" s="3"/>
      <c r="LF296" s="3"/>
      <c r="LG296" s="3"/>
      <c r="LH296" s="3"/>
      <c r="LI296" s="3"/>
      <c r="LJ296" s="3"/>
      <c r="LK296" s="3"/>
      <c r="LL296" s="3"/>
      <c r="LM296" s="3"/>
      <c r="LN296" s="3"/>
      <c r="LO296" s="3"/>
      <c r="LP296" s="3"/>
      <c r="LQ296" s="3"/>
      <c r="LR296" s="3"/>
      <c r="LS296" s="3"/>
      <c r="LT296" s="3"/>
      <c r="LU296" s="3"/>
      <c r="LV296" s="3"/>
      <c r="LW296" s="3"/>
      <c r="LX296" s="3"/>
      <c r="LY296" s="3"/>
      <c r="LZ296" s="3"/>
      <c r="MA296" s="3"/>
      <c r="MB296" s="3"/>
      <c r="MC296" s="3"/>
      <c r="MD296" s="3"/>
      <c r="ME296" s="3"/>
      <c r="MF296" s="3"/>
      <c r="MG296" s="3"/>
      <c r="MH296" s="3"/>
      <c r="MI296" s="3"/>
      <c r="MJ296" s="3"/>
      <c r="MK296" s="3"/>
      <c r="ML296" s="3"/>
      <c r="MM296" s="3"/>
      <c r="MN296" s="3"/>
      <c r="MO296" s="3"/>
      <c r="MP296" s="3"/>
      <c r="MQ296" s="3"/>
      <c r="MR296" s="3"/>
      <c r="MS296" s="3"/>
      <c r="MT296" s="3"/>
      <c r="MU296" s="3"/>
      <c r="MV296" s="3"/>
      <c r="MW296" s="3"/>
      <c r="MX296" s="3"/>
      <c r="MY296" s="3"/>
      <c r="MZ296" s="3"/>
      <c r="NA296" s="3"/>
      <c r="NB296" s="3"/>
      <c r="NC296" s="3"/>
      <c r="ND296" s="3"/>
      <c r="NE296" s="3"/>
      <c r="NF296" s="3"/>
      <c r="NG296" s="3"/>
      <c r="NH296" s="3"/>
      <c r="NI296" s="3"/>
      <c r="NJ296" s="3"/>
      <c r="NK296" s="3"/>
      <c r="NL296" s="3"/>
      <c r="NM296" s="3"/>
      <c r="NN296" s="3"/>
      <c r="NO296" s="3"/>
      <c r="NP296" s="3"/>
      <c r="NQ296" s="3"/>
      <c r="NR296" s="3"/>
      <c r="NS296" s="3"/>
      <c r="NT296" s="3"/>
      <c r="NU296" s="3"/>
      <c r="NV296" s="3"/>
      <c r="NW296" s="3"/>
      <c r="NX296" s="3"/>
      <c r="NY296" s="3"/>
      <c r="NZ296" s="3"/>
      <c r="OA296" s="3"/>
      <c r="OB296" s="3"/>
      <c r="OC296" s="3"/>
      <c r="OD296" s="3"/>
      <c r="OE296" s="3"/>
      <c r="OF296" s="3"/>
      <c r="OG296" s="3"/>
      <c r="OH296" s="3"/>
      <c r="OI296" s="3"/>
      <c r="OJ296" s="3"/>
      <c r="OK296" s="3"/>
      <c r="OL296" s="3"/>
      <c r="OM296" s="3"/>
      <c r="ON296" s="3"/>
      <c r="OO296" s="3"/>
      <c r="OP296" s="3"/>
      <c r="OQ296" s="3"/>
      <c r="OR296" s="3"/>
      <c r="OS296" s="3"/>
      <c r="OT296" s="3"/>
      <c r="OU296" s="3"/>
      <c r="OV296" s="3"/>
      <c r="OW296" s="3"/>
      <c r="OX296" s="3"/>
      <c r="OY296" s="3"/>
      <c r="OZ296" s="3"/>
      <c r="PA296" s="3"/>
      <c r="PB296" s="3"/>
      <c r="PC296" s="3"/>
      <c r="PD296" s="3"/>
      <c r="PE296" s="3"/>
      <c r="PF296" s="3"/>
      <c r="PG296" s="3"/>
      <c r="PH296" s="3"/>
      <c r="PI296" s="3"/>
      <c r="PJ296" s="3"/>
      <c r="PK296" s="3"/>
      <c r="PL296" s="3"/>
      <c r="PM296" s="3"/>
      <c r="PN296" s="3"/>
      <c r="PO296" s="3"/>
      <c r="PP296" s="3"/>
      <c r="PQ296" s="3"/>
      <c r="PR296" s="3"/>
      <c r="PS296" s="3"/>
      <c r="PT296" s="3"/>
      <c r="PU296" s="3"/>
      <c r="PV296" s="3"/>
      <c r="PW296" s="3"/>
      <c r="PX296" s="3"/>
      <c r="PY296" s="3"/>
      <c r="PZ296" s="3"/>
      <c r="QA296" s="3"/>
      <c r="QB296" s="3"/>
      <c r="QC296" s="3"/>
      <c r="QD296" s="3"/>
      <c r="QE296" s="3"/>
      <c r="QF296" s="3"/>
      <c r="QG296" s="3"/>
      <c r="QH296" s="3"/>
      <c r="QI296" s="3"/>
      <c r="QJ296" s="3"/>
      <c r="QK296" s="3"/>
      <c r="QL296" s="3"/>
      <c r="QM296" s="3"/>
      <c r="QN296" s="3"/>
      <c r="QO296" s="3"/>
      <c r="QP296" s="3"/>
      <c r="QQ296" s="3"/>
      <c r="QR296" s="3"/>
      <c r="QS296" s="3"/>
      <c r="QT296" s="3"/>
      <c r="QU296" s="3"/>
      <c r="QV296" s="3"/>
      <c r="QW296" s="3"/>
      <c r="QX296" s="3"/>
      <c r="QY296" s="3"/>
      <c r="QZ296" s="3"/>
      <c r="RA296" s="3"/>
      <c r="RB296" s="3"/>
      <c r="RC296" s="3"/>
      <c r="RD296" s="3"/>
      <c r="RE296" s="3"/>
      <c r="RF296" s="3"/>
      <c r="RG296" s="3"/>
      <c r="RH296" s="3"/>
      <c r="RI296" s="3"/>
      <c r="RJ296" s="3"/>
      <c r="RK296" s="3"/>
      <c r="RL296" s="3"/>
      <c r="RM296" s="3"/>
      <c r="RN296" s="3"/>
      <c r="RO296" s="3"/>
      <c r="RP296" s="3"/>
      <c r="RQ296" s="3"/>
      <c r="RR296" s="3"/>
      <c r="RS296" s="3"/>
      <c r="RT296" s="3"/>
      <c r="RU296" s="3"/>
      <c r="RV296" s="3"/>
      <c r="RW296" s="3"/>
      <c r="RX296" s="3"/>
      <c r="RY296" s="3"/>
      <c r="RZ296" s="3"/>
      <c r="SA296" s="3"/>
      <c r="SB296" s="3"/>
      <c r="SC296" s="3"/>
      <c r="SD296" s="3"/>
      <c r="SE296" s="3"/>
      <c r="SF296" s="3"/>
      <c r="SG296" s="3"/>
      <c r="SH296" s="3"/>
      <c r="SI296" s="3"/>
      <c r="SJ296" s="3"/>
      <c r="SK296" s="3"/>
      <c r="SL296" s="3"/>
      <c r="SM296" s="3"/>
      <c r="SN296" s="3"/>
      <c r="SO296" s="3"/>
      <c r="SP296" s="3"/>
      <c r="SQ296" s="3"/>
      <c r="SR296" s="3"/>
      <c r="SS296" s="3"/>
      <c r="ST296" s="3"/>
      <c r="SU296" s="3"/>
      <c r="SV296" s="3"/>
      <c r="SW296" s="3"/>
      <c r="SX296" s="3"/>
      <c r="SY296" s="3"/>
      <c r="SZ296" s="3"/>
      <c r="TA296" s="3"/>
      <c r="TB296" s="3"/>
      <c r="TC296" s="3"/>
      <c r="TD296" s="3"/>
      <c r="TE296" s="3"/>
      <c r="TF296" s="3"/>
      <c r="TG296" s="3"/>
      <c r="TH296" s="3"/>
      <c r="TI296" s="3"/>
      <c r="TJ296" s="3"/>
      <c r="TK296" s="3"/>
      <c r="TL296" s="3"/>
      <c r="TM296" s="3"/>
      <c r="TN296" s="3"/>
      <c r="TO296" s="3"/>
      <c r="TP296" s="3"/>
      <c r="TQ296" s="3"/>
      <c r="TR296" s="3"/>
      <c r="TS296" s="3"/>
      <c r="TT296" s="3"/>
      <c r="TU296" s="3"/>
      <c r="TV296" s="3"/>
      <c r="TW296" s="3"/>
      <c r="TX296" s="3"/>
      <c r="TY296" s="3"/>
      <c r="TZ296" s="3"/>
      <c r="UA296" s="3"/>
      <c r="UB296" s="3"/>
      <c r="UC296" s="3"/>
      <c r="UD296" s="3"/>
      <c r="UE296" s="3"/>
      <c r="UF296" s="3"/>
      <c r="UG296" s="3"/>
      <c r="UH296" s="3"/>
      <c r="UI296" s="3"/>
      <c r="UJ296" s="3"/>
      <c r="UK296" s="3"/>
      <c r="UL296" s="3"/>
      <c r="UM296" s="3"/>
      <c r="UN296" s="3"/>
      <c r="UO296" s="3"/>
      <c r="UP296" s="3"/>
      <c r="UQ296" s="3"/>
      <c r="UR296" s="3"/>
      <c r="US296" s="3"/>
      <c r="UT296" s="3"/>
      <c r="UU296" s="3"/>
      <c r="UV296" s="3"/>
      <c r="UW296" s="3"/>
      <c r="UX296" s="3"/>
      <c r="UY296" s="3"/>
      <c r="UZ296" s="3"/>
      <c r="VA296" s="3"/>
      <c r="VB296" s="3"/>
      <c r="VC296" s="3"/>
      <c r="VD296" s="3"/>
      <c r="VE296" s="3"/>
      <c r="VF296" s="3"/>
      <c r="VG296" s="3"/>
      <c r="VH296" s="3"/>
      <c r="VI296" s="3"/>
      <c r="VJ296" s="3"/>
      <c r="VK296" s="3"/>
      <c r="VL296" s="3"/>
      <c r="VM296" s="3"/>
      <c r="VN296" s="3"/>
      <c r="VO296" s="3"/>
      <c r="VP296" s="3"/>
      <c r="VQ296" s="3"/>
      <c r="VR296" s="3"/>
      <c r="VS296" s="3"/>
      <c r="VT296" s="3"/>
      <c r="VU296" s="3"/>
      <c r="VV296" s="3"/>
      <c r="VW296" s="3"/>
      <c r="VX296" s="3"/>
      <c r="VY296" s="3"/>
      <c r="VZ296" s="3"/>
      <c r="WA296" s="3"/>
      <c r="WB296" s="3"/>
      <c r="WC296" s="3"/>
      <c r="WD296" s="3"/>
      <c r="WE296" s="3"/>
      <c r="WF296" s="3"/>
      <c r="WG296" s="3"/>
      <c r="WH296" s="3"/>
      <c r="WI296" s="3"/>
      <c r="WJ296" s="3"/>
      <c r="WK296" s="3"/>
      <c r="WL296" s="3"/>
      <c r="WM296" s="3"/>
      <c r="WN296" s="3"/>
      <c r="WO296" s="3"/>
      <c r="WP296" s="3"/>
      <c r="WQ296" s="3"/>
      <c r="WR296" s="3"/>
      <c r="WS296" s="3"/>
      <c r="WT296" s="3"/>
      <c r="WU296" s="3"/>
      <c r="WV296" s="3"/>
      <c r="WW296" s="3"/>
      <c r="WX296" s="3"/>
      <c r="WY296" s="3"/>
      <c r="WZ296" s="3"/>
      <c r="XA296" s="3"/>
      <c r="XB296" s="3"/>
      <c r="XC296" s="3"/>
      <c r="XD296" s="3"/>
      <c r="XE296" s="3"/>
      <c r="XF296" s="3"/>
      <c r="XG296" s="3"/>
      <c r="XH296" s="3"/>
      <c r="XI296" s="3"/>
      <c r="XJ296" s="3"/>
      <c r="XK296" s="3"/>
      <c r="XL296" s="3"/>
      <c r="XM296" s="3"/>
      <c r="XN296" s="3"/>
      <c r="XO296" s="3"/>
      <c r="XP296" s="3"/>
      <c r="XQ296" s="3"/>
      <c r="XR296" s="3"/>
      <c r="XS296" s="3"/>
      <c r="XT296" s="3"/>
      <c r="XU296" s="3"/>
      <c r="XV296" s="3"/>
      <c r="XW296" s="3"/>
      <c r="XX296" s="3"/>
      <c r="XY296" s="3"/>
      <c r="XZ296" s="3"/>
      <c r="YA296" s="3"/>
      <c r="YB296" s="3"/>
      <c r="YC296" s="3"/>
      <c r="YD296" s="3"/>
      <c r="YE296" s="3"/>
      <c r="YF296" s="3"/>
      <c r="YG296" s="3"/>
      <c r="YH296" s="3"/>
      <c r="YI296" s="3"/>
      <c r="YJ296" s="3"/>
      <c r="YK296" s="3"/>
      <c r="YL296" s="3"/>
      <c r="YM296" s="3"/>
      <c r="YN296" s="3"/>
      <c r="YO296" s="3"/>
      <c r="YP296" s="3"/>
      <c r="YQ296" s="3"/>
      <c r="YR296" s="3"/>
      <c r="YS296" s="3"/>
      <c r="YT296" s="3"/>
      <c r="YU296" s="3"/>
      <c r="YV296" s="3"/>
      <c r="YW296" s="3"/>
      <c r="YX296" s="3"/>
      <c r="YY296" s="3"/>
      <c r="YZ296" s="3"/>
      <c r="ZA296" s="3"/>
      <c r="ZB296" s="3"/>
      <c r="ZC296" s="3"/>
    </row>
    <row r="297" spans="1:679" s="2" customFormat="1" x14ac:dyDescent="0.45">
      <c r="A297" s="3" t="s">
        <v>11</v>
      </c>
      <c r="B297" s="4">
        <v>38622</v>
      </c>
      <c r="C297" s="7" t="s">
        <v>25</v>
      </c>
      <c r="D297" s="6" t="s">
        <v>317</v>
      </c>
      <c r="E297" s="3"/>
      <c r="F297" s="3">
        <v>2</v>
      </c>
      <c r="L297" s="3"/>
      <c r="M297" s="3"/>
      <c r="N297" s="48"/>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c r="CO297" s="3"/>
      <c r="CP297" s="3"/>
      <c r="CQ297" s="3"/>
      <c r="CR297" s="3"/>
      <c r="CS297" s="3"/>
      <c r="CT297" s="3"/>
      <c r="CU297" s="3"/>
      <c r="CV297" s="3"/>
      <c r="CW297" s="3"/>
      <c r="CX297" s="3"/>
      <c r="CY297" s="3"/>
      <c r="CZ297" s="3"/>
      <c r="DA297" s="3"/>
      <c r="DB297" s="3"/>
      <c r="DC297" s="3"/>
      <c r="DD297" s="3"/>
      <c r="DE297" s="3"/>
      <c r="DF297" s="3"/>
      <c r="DG297" s="3"/>
      <c r="DH297" s="3"/>
      <c r="DI297" s="3"/>
      <c r="DJ297" s="3"/>
      <c r="DK297" s="3"/>
      <c r="DL297" s="3"/>
      <c r="DM297" s="3"/>
      <c r="DN297" s="3"/>
      <c r="DO297" s="3"/>
      <c r="DP297" s="3"/>
      <c r="DQ297" s="3"/>
      <c r="DR297" s="3"/>
      <c r="DS297" s="3"/>
      <c r="DT297" s="3"/>
      <c r="DU297" s="3"/>
      <c r="DV297" s="3"/>
      <c r="DW297" s="3"/>
      <c r="DX297" s="3"/>
      <c r="DY297" s="3"/>
      <c r="DZ297" s="3"/>
      <c r="EA297" s="3"/>
      <c r="EB297" s="3"/>
      <c r="EC297" s="3"/>
      <c r="ED297" s="3"/>
      <c r="EE297" s="3"/>
      <c r="EF297" s="3"/>
      <c r="EG297" s="3"/>
      <c r="EH297" s="3"/>
      <c r="EI297" s="3"/>
      <c r="EJ297" s="3"/>
      <c r="EK297" s="3"/>
      <c r="EL297" s="3"/>
      <c r="EM297" s="3"/>
      <c r="EN297" s="3"/>
      <c r="EO297" s="3"/>
      <c r="EP297" s="3"/>
      <c r="EQ297" s="3"/>
      <c r="ER297" s="3"/>
      <c r="ES297" s="3"/>
      <c r="ET297" s="3"/>
      <c r="EU297" s="3"/>
      <c r="EV297" s="3"/>
      <c r="EW297" s="3"/>
      <c r="EX297" s="3"/>
      <c r="EY297" s="3"/>
      <c r="EZ297" s="3"/>
      <c r="FA297" s="3"/>
      <c r="FB297" s="3"/>
      <c r="FC297" s="3"/>
      <c r="FD297" s="3"/>
      <c r="FE297" s="3"/>
      <c r="FF297" s="3"/>
      <c r="FG297" s="3"/>
      <c r="FH297" s="3"/>
      <c r="FI297" s="3"/>
      <c r="FJ297" s="3"/>
      <c r="FK297" s="3"/>
      <c r="FL297" s="3"/>
      <c r="FM297" s="3"/>
      <c r="FN297" s="3"/>
      <c r="FO297" s="3"/>
      <c r="FP297" s="3"/>
      <c r="FQ297" s="3"/>
      <c r="FR297" s="3"/>
      <c r="FS297" s="3"/>
      <c r="FT297" s="3"/>
      <c r="FU297" s="3"/>
      <c r="FV297" s="3"/>
      <c r="FW297" s="3"/>
      <c r="FX297" s="3"/>
      <c r="FY297" s="3"/>
      <c r="FZ297" s="3"/>
      <c r="GA297" s="3"/>
      <c r="GB297" s="3"/>
      <c r="GC297" s="3"/>
      <c r="GD297" s="3"/>
      <c r="GE297" s="3"/>
      <c r="GF297" s="3"/>
      <c r="GG297" s="3"/>
      <c r="GH297" s="3"/>
      <c r="GI297" s="3"/>
      <c r="GJ297" s="3"/>
      <c r="GK297" s="3"/>
      <c r="GL297" s="3"/>
      <c r="GM297" s="3"/>
      <c r="GN297" s="3"/>
      <c r="GO297" s="3"/>
      <c r="GP297" s="3"/>
      <c r="GQ297" s="3"/>
      <c r="GR297" s="3"/>
      <c r="GS297" s="3"/>
      <c r="GT297" s="3"/>
      <c r="GU297" s="3"/>
      <c r="GV297" s="3"/>
      <c r="GW297" s="3"/>
      <c r="GX297" s="3"/>
      <c r="GY297" s="3"/>
      <c r="GZ297" s="3"/>
      <c r="HA297" s="3"/>
      <c r="HB297" s="3"/>
      <c r="HC297" s="3"/>
      <c r="HD297" s="3"/>
      <c r="HE297" s="3"/>
      <c r="HF297" s="3"/>
      <c r="HG297" s="3"/>
      <c r="HH297" s="3"/>
      <c r="HI297" s="3"/>
      <c r="HJ297" s="3"/>
      <c r="HK297" s="3"/>
      <c r="HL297" s="3"/>
      <c r="HM297" s="3"/>
      <c r="HN297" s="3"/>
      <c r="HO297" s="3"/>
      <c r="HP297" s="3"/>
      <c r="HQ297" s="3"/>
      <c r="HR297" s="3"/>
      <c r="HS297" s="3"/>
      <c r="HT297" s="3"/>
      <c r="HU297" s="3"/>
      <c r="HV297" s="3"/>
      <c r="HW297" s="3"/>
      <c r="HX297" s="3"/>
      <c r="HY297" s="3"/>
      <c r="HZ297" s="3"/>
      <c r="IA297" s="3"/>
      <c r="IB297" s="3"/>
      <c r="IC297" s="3"/>
      <c r="ID297" s="3"/>
      <c r="IE297" s="3"/>
      <c r="IF297" s="3"/>
      <c r="IG297" s="3"/>
      <c r="IH297" s="3"/>
      <c r="II297" s="3"/>
      <c r="IJ297" s="3"/>
      <c r="IK297" s="3"/>
      <c r="IL297" s="3"/>
      <c r="IM297" s="3"/>
      <c r="IN297" s="3"/>
      <c r="IO297" s="3"/>
      <c r="IP297" s="3"/>
      <c r="IQ297" s="3"/>
      <c r="IR297" s="3"/>
      <c r="IS297" s="3"/>
      <c r="IT297" s="3"/>
      <c r="IU297" s="3"/>
      <c r="IV297" s="3"/>
      <c r="IW297" s="3"/>
      <c r="IX297" s="3"/>
      <c r="IY297" s="3"/>
      <c r="IZ297" s="3"/>
      <c r="JA297" s="3"/>
      <c r="JB297" s="3"/>
      <c r="JC297" s="3"/>
      <c r="JD297" s="3"/>
      <c r="JE297" s="3"/>
      <c r="JF297" s="3"/>
      <c r="JG297" s="3"/>
      <c r="JH297" s="3"/>
      <c r="JI297" s="3"/>
      <c r="JJ297" s="3"/>
      <c r="JK297" s="3"/>
      <c r="JL297" s="3"/>
      <c r="JM297" s="3"/>
      <c r="JN297" s="3"/>
      <c r="JO297" s="3"/>
      <c r="JP297" s="3"/>
      <c r="JQ297" s="3"/>
      <c r="JR297" s="3"/>
      <c r="JS297" s="3"/>
      <c r="JT297" s="3"/>
      <c r="JU297" s="3"/>
      <c r="JV297" s="3"/>
      <c r="JW297" s="3"/>
      <c r="JX297" s="3"/>
      <c r="JY297" s="3"/>
      <c r="JZ297" s="3"/>
      <c r="KA297" s="3"/>
      <c r="KB297" s="3"/>
      <c r="KC297" s="3"/>
      <c r="KD297" s="3"/>
      <c r="KE297" s="3"/>
      <c r="KF297" s="3"/>
      <c r="KG297" s="3"/>
      <c r="KH297" s="3"/>
      <c r="KI297" s="3"/>
      <c r="KJ297" s="3"/>
      <c r="KK297" s="3"/>
      <c r="KL297" s="3"/>
      <c r="KM297" s="3"/>
      <c r="KN297" s="3"/>
      <c r="KO297" s="3"/>
      <c r="KP297" s="3"/>
      <c r="KQ297" s="3"/>
      <c r="KR297" s="3"/>
      <c r="KS297" s="3"/>
      <c r="KT297" s="3"/>
      <c r="KU297" s="3"/>
      <c r="KV297" s="3"/>
      <c r="KW297" s="3"/>
      <c r="KX297" s="3"/>
      <c r="KY297" s="3"/>
      <c r="KZ297" s="3"/>
      <c r="LA297" s="3"/>
      <c r="LB297" s="3"/>
      <c r="LC297" s="3"/>
      <c r="LD297" s="3"/>
      <c r="LE297" s="3"/>
      <c r="LF297" s="3"/>
      <c r="LG297" s="3"/>
      <c r="LH297" s="3"/>
      <c r="LI297" s="3"/>
      <c r="LJ297" s="3"/>
      <c r="LK297" s="3"/>
      <c r="LL297" s="3"/>
      <c r="LM297" s="3"/>
      <c r="LN297" s="3"/>
      <c r="LO297" s="3"/>
      <c r="LP297" s="3"/>
      <c r="LQ297" s="3"/>
      <c r="LR297" s="3"/>
      <c r="LS297" s="3"/>
      <c r="LT297" s="3"/>
      <c r="LU297" s="3"/>
      <c r="LV297" s="3"/>
      <c r="LW297" s="3"/>
      <c r="LX297" s="3"/>
      <c r="LY297" s="3"/>
      <c r="LZ297" s="3"/>
      <c r="MA297" s="3"/>
      <c r="MB297" s="3"/>
      <c r="MC297" s="3"/>
      <c r="MD297" s="3"/>
      <c r="ME297" s="3"/>
      <c r="MF297" s="3"/>
      <c r="MG297" s="3"/>
      <c r="MH297" s="3"/>
      <c r="MI297" s="3"/>
      <c r="MJ297" s="3"/>
      <c r="MK297" s="3"/>
      <c r="ML297" s="3"/>
      <c r="MM297" s="3"/>
      <c r="MN297" s="3"/>
      <c r="MO297" s="3"/>
      <c r="MP297" s="3"/>
      <c r="MQ297" s="3"/>
      <c r="MR297" s="3"/>
      <c r="MS297" s="3"/>
      <c r="MT297" s="3"/>
      <c r="MU297" s="3"/>
      <c r="MV297" s="3"/>
      <c r="MW297" s="3"/>
      <c r="MX297" s="3"/>
      <c r="MY297" s="3"/>
      <c r="MZ297" s="3"/>
      <c r="NA297" s="3"/>
      <c r="NB297" s="3"/>
      <c r="NC297" s="3"/>
      <c r="ND297" s="3"/>
      <c r="NE297" s="3"/>
      <c r="NF297" s="3"/>
      <c r="NG297" s="3"/>
      <c r="NH297" s="3"/>
      <c r="NI297" s="3"/>
      <c r="NJ297" s="3"/>
      <c r="NK297" s="3"/>
      <c r="NL297" s="3"/>
      <c r="NM297" s="3"/>
      <c r="NN297" s="3"/>
      <c r="NO297" s="3"/>
      <c r="NP297" s="3"/>
      <c r="NQ297" s="3"/>
      <c r="NR297" s="3"/>
      <c r="NS297" s="3"/>
      <c r="NT297" s="3"/>
      <c r="NU297" s="3"/>
      <c r="NV297" s="3"/>
      <c r="NW297" s="3"/>
      <c r="NX297" s="3"/>
      <c r="NY297" s="3"/>
      <c r="NZ297" s="3"/>
      <c r="OA297" s="3"/>
      <c r="OB297" s="3"/>
      <c r="OC297" s="3"/>
      <c r="OD297" s="3"/>
      <c r="OE297" s="3"/>
      <c r="OF297" s="3"/>
      <c r="OG297" s="3"/>
      <c r="OH297" s="3"/>
      <c r="OI297" s="3"/>
      <c r="OJ297" s="3"/>
      <c r="OK297" s="3"/>
      <c r="OL297" s="3"/>
      <c r="OM297" s="3"/>
      <c r="ON297" s="3"/>
      <c r="OO297" s="3"/>
      <c r="OP297" s="3"/>
      <c r="OQ297" s="3"/>
      <c r="OR297" s="3"/>
      <c r="OS297" s="3"/>
      <c r="OT297" s="3"/>
      <c r="OU297" s="3"/>
      <c r="OV297" s="3"/>
      <c r="OW297" s="3"/>
      <c r="OX297" s="3"/>
      <c r="OY297" s="3"/>
      <c r="OZ297" s="3"/>
      <c r="PA297" s="3"/>
      <c r="PB297" s="3"/>
      <c r="PC297" s="3"/>
      <c r="PD297" s="3"/>
      <c r="PE297" s="3"/>
      <c r="PF297" s="3"/>
      <c r="PG297" s="3"/>
      <c r="PH297" s="3"/>
      <c r="PI297" s="3"/>
      <c r="PJ297" s="3"/>
      <c r="PK297" s="3"/>
      <c r="PL297" s="3"/>
      <c r="PM297" s="3"/>
      <c r="PN297" s="3"/>
      <c r="PO297" s="3"/>
      <c r="PP297" s="3"/>
      <c r="PQ297" s="3"/>
      <c r="PR297" s="3"/>
      <c r="PS297" s="3"/>
      <c r="PT297" s="3"/>
      <c r="PU297" s="3"/>
      <c r="PV297" s="3"/>
      <c r="PW297" s="3"/>
      <c r="PX297" s="3"/>
      <c r="PY297" s="3"/>
      <c r="PZ297" s="3"/>
      <c r="QA297" s="3"/>
      <c r="QB297" s="3"/>
      <c r="QC297" s="3"/>
      <c r="QD297" s="3"/>
      <c r="QE297" s="3"/>
      <c r="QF297" s="3"/>
      <c r="QG297" s="3"/>
      <c r="QH297" s="3"/>
      <c r="QI297" s="3"/>
      <c r="QJ297" s="3"/>
      <c r="QK297" s="3"/>
      <c r="QL297" s="3"/>
      <c r="QM297" s="3"/>
      <c r="QN297" s="3"/>
      <c r="QO297" s="3"/>
      <c r="QP297" s="3"/>
      <c r="QQ297" s="3"/>
      <c r="QR297" s="3"/>
      <c r="QS297" s="3"/>
      <c r="QT297" s="3"/>
      <c r="QU297" s="3"/>
      <c r="QV297" s="3"/>
      <c r="QW297" s="3"/>
      <c r="QX297" s="3"/>
      <c r="QY297" s="3"/>
      <c r="QZ297" s="3"/>
      <c r="RA297" s="3"/>
      <c r="RB297" s="3"/>
      <c r="RC297" s="3"/>
      <c r="RD297" s="3"/>
      <c r="RE297" s="3"/>
      <c r="RF297" s="3"/>
      <c r="RG297" s="3"/>
      <c r="RH297" s="3"/>
      <c r="RI297" s="3"/>
      <c r="RJ297" s="3"/>
      <c r="RK297" s="3"/>
      <c r="RL297" s="3"/>
      <c r="RM297" s="3"/>
      <c r="RN297" s="3"/>
      <c r="RO297" s="3"/>
      <c r="RP297" s="3"/>
      <c r="RQ297" s="3"/>
      <c r="RR297" s="3"/>
      <c r="RS297" s="3"/>
      <c r="RT297" s="3"/>
      <c r="RU297" s="3"/>
      <c r="RV297" s="3"/>
      <c r="RW297" s="3"/>
      <c r="RX297" s="3"/>
      <c r="RY297" s="3"/>
      <c r="RZ297" s="3"/>
      <c r="SA297" s="3"/>
      <c r="SB297" s="3"/>
      <c r="SC297" s="3"/>
      <c r="SD297" s="3"/>
      <c r="SE297" s="3"/>
      <c r="SF297" s="3"/>
      <c r="SG297" s="3"/>
      <c r="SH297" s="3"/>
      <c r="SI297" s="3"/>
      <c r="SJ297" s="3"/>
      <c r="SK297" s="3"/>
      <c r="SL297" s="3"/>
      <c r="SM297" s="3"/>
      <c r="SN297" s="3"/>
      <c r="SO297" s="3"/>
      <c r="SP297" s="3"/>
      <c r="SQ297" s="3"/>
      <c r="SR297" s="3"/>
      <c r="SS297" s="3"/>
      <c r="ST297" s="3"/>
      <c r="SU297" s="3"/>
      <c r="SV297" s="3"/>
      <c r="SW297" s="3"/>
      <c r="SX297" s="3"/>
      <c r="SY297" s="3"/>
      <c r="SZ297" s="3"/>
      <c r="TA297" s="3"/>
      <c r="TB297" s="3"/>
      <c r="TC297" s="3"/>
      <c r="TD297" s="3"/>
      <c r="TE297" s="3"/>
      <c r="TF297" s="3"/>
      <c r="TG297" s="3"/>
      <c r="TH297" s="3"/>
      <c r="TI297" s="3"/>
      <c r="TJ297" s="3"/>
      <c r="TK297" s="3"/>
      <c r="TL297" s="3"/>
      <c r="TM297" s="3"/>
      <c r="TN297" s="3"/>
      <c r="TO297" s="3"/>
      <c r="TP297" s="3"/>
      <c r="TQ297" s="3"/>
      <c r="TR297" s="3"/>
      <c r="TS297" s="3"/>
      <c r="TT297" s="3"/>
      <c r="TU297" s="3"/>
      <c r="TV297" s="3"/>
      <c r="TW297" s="3"/>
      <c r="TX297" s="3"/>
      <c r="TY297" s="3"/>
      <c r="TZ297" s="3"/>
      <c r="UA297" s="3"/>
      <c r="UB297" s="3"/>
      <c r="UC297" s="3"/>
      <c r="UD297" s="3"/>
      <c r="UE297" s="3"/>
      <c r="UF297" s="3"/>
      <c r="UG297" s="3"/>
      <c r="UH297" s="3"/>
      <c r="UI297" s="3"/>
      <c r="UJ297" s="3"/>
      <c r="UK297" s="3"/>
      <c r="UL297" s="3"/>
      <c r="UM297" s="3"/>
      <c r="UN297" s="3"/>
      <c r="UO297" s="3"/>
      <c r="UP297" s="3"/>
      <c r="UQ297" s="3"/>
      <c r="UR297" s="3"/>
      <c r="US297" s="3"/>
      <c r="UT297" s="3"/>
      <c r="UU297" s="3"/>
      <c r="UV297" s="3"/>
      <c r="UW297" s="3"/>
      <c r="UX297" s="3"/>
      <c r="UY297" s="3"/>
      <c r="UZ297" s="3"/>
      <c r="VA297" s="3"/>
      <c r="VB297" s="3"/>
      <c r="VC297" s="3"/>
      <c r="VD297" s="3"/>
      <c r="VE297" s="3"/>
      <c r="VF297" s="3"/>
      <c r="VG297" s="3"/>
      <c r="VH297" s="3"/>
      <c r="VI297" s="3"/>
      <c r="VJ297" s="3"/>
      <c r="VK297" s="3"/>
      <c r="VL297" s="3"/>
      <c r="VM297" s="3"/>
      <c r="VN297" s="3"/>
      <c r="VO297" s="3"/>
      <c r="VP297" s="3"/>
      <c r="VQ297" s="3"/>
      <c r="VR297" s="3"/>
      <c r="VS297" s="3"/>
      <c r="VT297" s="3"/>
      <c r="VU297" s="3"/>
      <c r="VV297" s="3"/>
      <c r="VW297" s="3"/>
      <c r="VX297" s="3"/>
      <c r="VY297" s="3"/>
      <c r="VZ297" s="3"/>
      <c r="WA297" s="3"/>
      <c r="WB297" s="3"/>
      <c r="WC297" s="3"/>
      <c r="WD297" s="3"/>
      <c r="WE297" s="3"/>
      <c r="WF297" s="3"/>
      <c r="WG297" s="3"/>
      <c r="WH297" s="3"/>
      <c r="WI297" s="3"/>
      <c r="WJ297" s="3"/>
      <c r="WK297" s="3"/>
      <c r="WL297" s="3"/>
      <c r="WM297" s="3"/>
      <c r="WN297" s="3"/>
      <c r="WO297" s="3"/>
      <c r="WP297" s="3"/>
      <c r="WQ297" s="3"/>
      <c r="WR297" s="3"/>
      <c r="WS297" s="3"/>
      <c r="WT297" s="3"/>
      <c r="WU297" s="3"/>
      <c r="WV297" s="3"/>
      <c r="WW297" s="3"/>
      <c r="WX297" s="3"/>
      <c r="WY297" s="3"/>
      <c r="WZ297" s="3"/>
      <c r="XA297" s="3"/>
      <c r="XB297" s="3"/>
      <c r="XC297" s="3"/>
      <c r="XD297" s="3"/>
      <c r="XE297" s="3"/>
      <c r="XF297" s="3"/>
      <c r="XG297" s="3"/>
      <c r="XH297" s="3"/>
      <c r="XI297" s="3"/>
      <c r="XJ297" s="3"/>
      <c r="XK297" s="3"/>
      <c r="XL297" s="3"/>
      <c r="XM297" s="3"/>
      <c r="XN297" s="3"/>
      <c r="XO297" s="3"/>
      <c r="XP297" s="3"/>
      <c r="XQ297" s="3"/>
      <c r="XR297" s="3"/>
      <c r="XS297" s="3"/>
      <c r="XT297" s="3"/>
      <c r="XU297" s="3"/>
      <c r="XV297" s="3"/>
      <c r="XW297" s="3"/>
      <c r="XX297" s="3"/>
      <c r="XY297" s="3"/>
      <c r="XZ297" s="3"/>
      <c r="YA297" s="3"/>
      <c r="YB297" s="3"/>
      <c r="YC297" s="3"/>
      <c r="YD297" s="3"/>
      <c r="YE297" s="3"/>
      <c r="YF297" s="3"/>
      <c r="YG297" s="3"/>
      <c r="YH297" s="3"/>
      <c r="YI297" s="3"/>
      <c r="YJ297" s="3"/>
      <c r="YK297" s="3"/>
      <c r="YL297" s="3"/>
      <c r="YM297" s="3"/>
      <c r="YN297" s="3"/>
      <c r="YO297" s="3"/>
      <c r="YP297" s="3"/>
      <c r="YQ297" s="3"/>
      <c r="YR297" s="3"/>
      <c r="YS297" s="3"/>
      <c r="YT297" s="3"/>
      <c r="YU297" s="3"/>
      <c r="YV297" s="3"/>
      <c r="YW297" s="3"/>
      <c r="YX297" s="3"/>
      <c r="YY297" s="3"/>
      <c r="YZ297" s="3"/>
      <c r="ZA297" s="3"/>
      <c r="ZB297" s="3"/>
      <c r="ZC297" s="3"/>
    </row>
    <row r="298" spans="1:679" s="2" customFormat="1" x14ac:dyDescent="0.45">
      <c r="A298" s="3" t="s">
        <v>11</v>
      </c>
      <c r="B298" s="4">
        <v>38637</v>
      </c>
      <c r="C298" s="7" t="s">
        <v>21</v>
      </c>
      <c r="D298" s="6" t="s">
        <v>318</v>
      </c>
      <c r="E298" s="3"/>
      <c r="F298" s="3">
        <v>6</v>
      </c>
      <c r="L298" s="3"/>
      <c r="M298" s="3"/>
      <c r="N298" s="48"/>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c r="CO298" s="3"/>
      <c r="CP298" s="3"/>
      <c r="CQ298" s="3"/>
      <c r="CR298" s="3"/>
      <c r="CS298" s="3"/>
      <c r="CT298" s="3"/>
      <c r="CU298" s="3"/>
      <c r="CV298" s="3"/>
      <c r="CW298" s="3"/>
      <c r="CX298" s="3"/>
      <c r="CY298" s="3"/>
      <c r="CZ298" s="3"/>
      <c r="DA298" s="3"/>
      <c r="DB298" s="3"/>
      <c r="DC298" s="3"/>
      <c r="DD298" s="3"/>
      <c r="DE298" s="3"/>
      <c r="DF298" s="3"/>
      <c r="DG298" s="3"/>
      <c r="DH298" s="3"/>
      <c r="DI298" s="3"/>
      <c r="DJ298" s="3"/>
      <c r="DK298" s="3"/>
      <c r="DL298" s="3"/>
      <c r="DM298" s="3"/>
      <c r="DN298" s="3"/>
      <c r="DO298" s="3"/>
      <c r="DP298" s="3"/>
      <c r="DQ298" s="3"/>
      <c r="DR298" s="3"/>
      <c r="DS298" s="3"/>
      <c r="DT298" s="3"/>
      <c r="DU298" s="3"/>
      <c r="DV298" s="3"/>
      <c r="DW298" s="3"/>
      <c r="DX298" s="3"/>
      <c r="DY298" s="3"/>
      <c r="DZ298" s="3"/>
      <c r="EA298" s="3"/>
      <c r="EB298" s="3"/>
      <c r="EC298" s="3"/>
      <c r="ED298" s="3"/>
      <c r="EE298" s="3"/>
      <c r="EF298" s="3"/>
      <c r="EG298" s="3"/>
      <c r="EH298" s="3"/>
      <c r="EI298" s="3"/>
      <c r="EJ298" s="3"/>
      <c r="EK298" s="3"/>
      <c r="EL298" s="3"/>
      <c r="EM298" s="3"/>
      <c r="EN298" s="3"/>
      <c r="EO298" s="3"/>
      <c r="EP298" s="3"/>
      <c r="EQ298" s="3"/>
      <c r="ER298" s="3"/>
      <c r="ES298" s="3"/>
      <c r="ET298" s="3"/>
      <c r="EU298" s="3"/>
      <c r="EV298" s="3"/>
      <c r="EW298" s="3"/>
      <c r="EX298" s="3"/>
      <c r="EY298" s="3"/>
      <c r="EZ298" s="3"/>
      <c r="FA298" s="3"/>
      <c r="FB298" s="3"/>
      <c r="FC298" s="3"/>
      <c r="FD298" s="3"/>
      <c r="FE298" s="3"/>
      <c r="FF298" s="3"/>
      <c r="FG298" s="3"/>
      <c r="FH298" s="3"/>
      <c r="FI298" s="3"/>
      <c r="FJ298" s="3"/>
      <c r="FK298" s="3"/>
      <c r="FL298" s="3"/>
      <c r="FM298" s="3"/>
      <c r="FN298" s="3"/>
      <c r="FO298" s="3"/>
      <c r="FP298" s="3"/>
      <c r="FQ298" s="3"/>
      <c r="FR298" s="3"/>
      <c r="FS298" s="3"/>
      <c r="FT298" s="3"/>
      <c r="FU298" s="3"/>
      <c r="FV298" s="3"/>
      <c r="FW298" s="3"/>
      <c r="FX298" s="3"/>
      <c r="FY298" s="3"/>
      <c r="FZ298" s="3"/>
      <c r="GA298" s="3"/>
      <c r="GB298" s="3"/>
      <c r="GC298" s="3"/>
      <c r="GD298" s="3"/>
      <c r="GE298" s="3"/>
      <c r="GF298" s="3"/>
      <c r="GG298" s="3"/>
      <c r="GH298" s="3"/>
      <c r="GI298" s="3"/>
      <c r="GJ298" s="3"/>
      <c r="GK298" s="3"/>
      <c r="GL298" s="3"/>
      <c r="GM298" s="3"/>
      <c r="GN298" s="3"/>
      <c r="GO298" s="3"/>
      <c r="GP298" s="3"/>
      <c r="GQ298" s="3"/>
      <c r="GR298" s="3"/>
      <c r="GS298" s="3"/>
      <c r="GT298" s="3"/>
      <c r="GU298" s="3"/>
      <c r="GV298" s="3"/>
      <c r="GW298" s="3"/>
      <c r="GX298" s="3"/>
      <c r="GY298" s="3"/>
      <c r="GZ298" s="3"/>
      <c r="HA298" s="3"/>
      <c r="HB298" s="3"/>
      <c r="HC298" s="3"/>
      <c r="HD298" s="3"/>
      <c r="HE298" s="3"/>
      <c r="HF298" s="3"/>
      <c r="HG298" s="3"/>
      <c r="HH298" s="3"/>
      <c r="HI298" s="3"/>
      <c r="HJ298" s="3"/>
      <c r="HK298" s="3"/>
      <c r="HL298" s="3"/>
      <c r="HM298" s="3"/>
      <c r="HN298" s="3"/>
      <c r="HO298" s="3"/>
      <c r="HP298" s="3"/>
      <c r="HQ298" s="3"/>
      <c r="HR298" s="3"/>
      <c r="HS298" s="3"/>
      <c r="HT298" s="3"/>
      <c r="HU298" s="3"/>
      <c r="HV298" s="3"/>
      <c r="HW298" s="3"/>
      <c r="HX298" s="3"/>
      <c r="HY298" s="3"/>
      <c r="HZ298" s="3"/>
      <c r="IA298" s="3"/>
      <c r="IB298" s="3"/>
      <c r="IC298" s="3"/>
      <c r="ID298" s="3"/>
      <c r="IE298" s="3"/>
      <c r="IF298" s="3"/>
      <c r="IG298" s="3"/>
      <c r="IH298" s="3"/>
      <c r="II298" s="3"/>
      <c r="IJ298" s="3"/>
      <c r="IK298" s="3"/>
      <c r="IL298" s="3"/>
      <c r="IM298" s="3"/>
      <c r="IN298" s="3"/>
      <c r="IO298" s="3"/>
      <c r="IP298" s="3"/>
      <c r="IQ298" s="3"/>
      <c r="IR298" s="3"/>
      <c r="IS298" s="3"/>
      <c r="IT298" s="3"/>
      <c r="IU298" s="3"/>
      <c r="IV298" s="3"/>
      <c r="IW298" s="3"/>
      <c r="IX298" s="3"/>
      <c r="IY298" s="3"/>
      <c r="IZ298" s="3"/>
      <c r="JA298" s="3"/>
      <c r="JB298" s="3"/>
      <c r="JC298" s="3"/>
      <c r="JD298" s="3"/>
      <c r="JE298" s="3"/>
      <c r="JF298" s="3"/>
      <c r="JG298" s="3"/>
      <c r="JH298" s="3"/>
      <c r="JI298" s="3"/>
      <c r="JJ298" s="3"/>
      <c r="JK298" s="3"/>
      <c r="JL298" s="3"/>
      <c r="JM298" s="3"/>
      <c r="JN298" s="3"/>
      <c r="JO298" s="3"/>
      <c r="JP298" s="3"/>
      <c r="JQ298" s="3"/>
      <c r="JR298" s="3"/>
      <c r="JS298" s="3"/>
      <c r="JT298" s="3"/>
      <c r="JU298" s="3"/>
      <c r="JV298" s="3"/>
      <c r="JW298" s="3"/>
      <c r="JX298" s="3"/>
      <c r="JY298" s="3"/>
      <c r="JZ298" s="3"/>
      <c r="KA298" s="3"/>
      <c r="KB298" s="3"/>
      <c r="KC298" s="3"/>
      <c r="KD298" s="3"/>
      <c r="KE298" s="3"/>
      <c r="KF298" s="3"/>
      <c r="KG298" s="3"/>
      <c r="KH298" s="3"/>
      <c r="KI298" s="3"/>
      <c r="KJ298" s="3"/>
      <c r="KK298" s="3"/>
      <c r="KL298" s="3"/>
      <c r="KM298" s="3"/>
      <c r="KN298" s="3"/>
      <c r="KO298" s="3"/>
      <c r="KP298" s="3"/>
      <c r="KQ298" s="3"/>
      <c r="KR298" s="3"/>
      <c r="KS298" s="3"/>
      <c r="KT298" s="3"/>
      <c r="KU298" s="3"/>
      <c r="KV298" s="3"/>
      <c r="KW298" s="3"/>
      <c r="KX298" s="3"/>
      <c r="KY298" s="3"/>
      <c r="KZ298" s="3"/>
      <c r="LA298" s="3"/>
      <c r="LB298" s="3"/>
      <c r="LC298" s="3"/>
      <c r="LD298" s="3"/>
      <c r="LE298" s="3"/>
      <c r="LF298" s="3"/>
      <c r="LG298" s="3"/>
      <c r="LH298" s="3"/>
      <c r="LI298" s="3"/>
      <c r="LJ298" s="3"/>
      <c r="LK298" s="3"/>
      <c r="LL298" s="3"/>
      <c r="LM298" s="3"/>
      <c r="LN298" s="3"/>
      <c r="LO298" s="3"/>
      <c r="LP298" s="3"/>
      <c r="LQ298" s="3"/>
      <c r="LR298" s="3"/>
      <c r="LS298" s="3"/>
      <c r="LT298" s="3"/>
      <c r="LU298" s="3"/>
      <c r="LV298" s="3"/>
      <c r="LW298" s="3"/>
      <c r="LX298" s="3"/>
      <c r="LY298" s="3"/>
      <c r="LZ298" s="3"/>
      <c r="MA298" s="3"/>
      <c r="MB298" s="3"/>
      <c r="MC298" s="3"/>
      <c r="MD298" s="3"/>
      <c r="ME298" s="3"/>
      <c r="MF298" s="3"/>
      <c r="MG298" s="3"/>
      <c r="MH298" s="3"/>
      <c r="MI298" s="3"/>
      <c r="MJ298" s="3"/>
      <c r="MK298" s="3"/>
      <c r="ML298" s="3"/>
      <c r="MM298" s="3"/>
      <c r="MN298" s="3"/>
      <c r="MO298" s="3"/>
      <c r="MP298" s="3"/>
      <c r="MQ298" s="3"/>
      <c r="MR298" s="3"/>
      <c r="MS298" s="3"/>
      <c r="MT298" s="3"/>
      <c r="MU298" s="3"/>
      <c r="MV298" s="3"/>
      <c r="MW298" s="3"/>
      <c r="MX298" s="3"/>
      <c r="MY298" s="3"/>
      <c r="MZ298" s="3"/>
      <c r="NA298" s="3"/>
      <c r="NB298" s="3"/>
      <c r="NC298" s="3"/>
      <c r="ND298" s="3"/>
      <c r="NE298" s="3"/>
      <c r="NF298" s="3"/>
      <c r="NG298" s="3"/>
      <c r="NH298" s="3"/>
      <c r="NI298" s="3"/>
      <c r="NJ298" s="3"/>
      <c r="NK298" s="3"/>
      <c r="NL298" s="3"/>
      <c r="NM298" s="3"/>
      <c r="NN298" s="3"/>
      <c r="NO298" s="3"/>
      <c r="NP298" s="3"/>
      <c r="NQ298" s="3"/>
      <c r="NR298" s="3"/>
      <c r="NS298" s="3"/>
      <c r="NT298" s="3"/>
      <c r="NU298" s="3"/>
      <c r="NV298" s="3"/>
      <c r="NW298" s="3"/>
      <c r="NX298" s="3"/>
      <c r="NY298" s="3"/>
      <c r="NZ298" s="3"/>
      <c r="OA298" s="3"/>
      <c r="OB298" s="3"/>
      <c r="OC298" s="3"/>
      <c r="OD298" s="3"/>
      <c r="OE298" s="3"/>
      <c r="OF298" s="3"/>
      <c r="OG298" s="3"/>
      <c r="OH298" s="3"/>
      <c r="OI298" s="3"/>
      <c r="OJ298" s="3"/>
      <c r="OK298" s="3"/>
      <c r="OL298" s="3"/>
      <c r="OM298" s="3"/>
      <c r="ON298" s="3"/>
      <c r="OO298" s="3"/>
      <c r="OP298" s="3"/>
      <c r="OQ298" s="3"/>
      <c r="OR298" s="3"/>
      <c r="OS298" s="3"/>
      <c r="OT298" s="3"/>
      <c r="OU298" s="3"/>
      <c r="OV298" s="3"/>
      <c r="OW298" s="3"/>
      <c r="OX298" s="3"/>
      <c r="OY298" s="3"/>
      <c r="OZ298" s="3"/>
      <c r="PA298" s="3"/>
      <c r="PB298" s="3"/>
      <c r="PC298" s="3"/>
      <c r="PD298" s="3"/>
      <c r="PE298" s="3"/>
      <c r="PF298" s="3"/>
      <c r="PG298" s="3"/>
      <c r="PH298" s="3"/>
      <c r="PI298" s="3"/>
      <c r="PJ298" s="3"/>
      <c r="PK298" s="3"/>
      <c r="PL298" s="3"/>
      <c r="PM298" s="3"/>
      <c r="PN298" s="3"/>
      <c r="PO298" s="3"/>
      <c r="PP298" s="3"/>
      <c r="PQ298" s="3"/>
      <c r="PR298" s="3"/>
      <c r="PS298" s="3"/>
      <c r="PT298" s="3"/>
      <c r="PU298" s="3"/>
      <c r="PV298" s="3"/>
      <c r="PW298" s="3"/>
      <c r="PX298" s="3"/>
      <c r="PY298" s="3"/>
      <c r="PZ298" s="3"/>
      <c r="QA298" s="3"/>
      <c r="QB298" s="3"/>
      <c r="QC298" s="3"/>
      <c r="QD298" s="3"/>
      <c r="QE298" s="3"/>
      <c r="QF298" s="3"/>
      <c r="QG298" s="3"/>
      <c r="QH298" s="3"/>
      <c r="QI298" s="3"/>
      <c r="QJ298" s="3"/>
      <c r="QK298" s="3"/>
      <c r="QL298" s="3"/>
      <c r="QM298" s="3"/>
      <c r="QN298" s="3"/>
      <c r="QO298" s="3"/>
      <c r="QP298" s="3"/>
      <c r="QQ298" s="3"/>
      <c r="QR298" s="3"/>
      <c r="QS298" s="3"/>
      <c r="QT298" s="3"/>
      <c r="QU298" s="3"/>
      <c r="QV298" s="3"/>
      <c r="QW298" s="3"/>
      <c r="QX298" s="3"/>
      <c r="QY298" s="3"/>
      <c r="QZ298" s="3"/>
      <c r="RA298" s="3"/>
      <c r="RB298" s="3"/>
      <c r="RC298" s="3"/>
      <c r="RD298" s="3"/>
      <c r="RE298" s="3"/>
      <c r="RF298" s="3"/>
      <c r="RG298" s="3"/>
      <c r="RH298" s="3"/>
      <c r="RI298" s="3"/>
      <c r="RJ298" s="3"/>
      <c r="RK298" s="3"/>
      <c r="RL298" s="3"/>
      <c r="RM298" s="3"/>
      <c r="RN298" s="3"/>
      <c r="RO298" s="3"/>
      <c r="RP298" s="3"/>
      <c r="RQ298" s="3"/>
      <c r="RR298" s="3"/>
      <c r="RS298" s="3"/>
      <c r="RT298" s="3"/>
      <c r="RU298" s="3"/>
      <c r="RV298" s="3"/>
      <c r="RW298" s="3"/>
      <c r="RX298" s="3"/>
      <c r="RY298" s="3"/>
      <c r="RZ298" s="3"/>
      <c r="SA298" s="3"/>
      <c r="SB298" s="3"/>
      <c r="SC298" s="3"/>
      <c r="SD298" s="3"/>
      <c r="SE298" s="3"/>
      <c r="SF298" s="3"/>
      <c r="SG298" s="3"/>
      <c r="SH298" s="3"/>
      <c r="SI298" s="3"/>
      <c r="SJ298" s="3"/>
      <c r="SK298" s="3"/>
      <c r="SL298" s="3"/>
      <c r="SM298" s="3"/>
      <c r="SN298" s="3"/>
      <c r="SO298" s="3"/>
      <c r="SP298" s="3"/>
      <c r="SQ298" s="3"/>
      <c r="SR298" s="3"/>
      <c r="SS298" s="3"/>
      <c r="ST298" s="3"/>
      <c r="SU298" s="3"/>
      <c r="SV298" s="3"/>
      <c r="SW298" s="3"/>
      <c r="SX298" s="3"/>
      <c r="SY298" s="3"/>
      <c r="SZ298" s="3"/>
      <c r="TA298" s="3"/>
      <c r="TB298" s="3"/>
      <c r="TC298" s="3"/>
      <c r="TD298" s="3"/>
      <c r="TE298" s="3"/>
      <c r="TF298" s="3"/>
      <c r="TG298" s="3"/>
      <c r="TH298" s="3"/>
      <c r="TI298" s="3"/>
      <c r="TJ298" s="3"/>
      <c r="TK298" s="3"/>
      <c r="TL298" s="3"/>
      <c r="TM298" s="3"/>
      <c r="TN298" s="3"/>
      <c r="TO298" s="3"/>
      <c r="TP298" s="3"/>
      <c r="TQ298" s="3"/>
      <c r="TR298" s="3"/>
      <c r="TS298" s="3"/>
      <c r="TT298" s="3"/>
      <c r="TU298" s="3"/>
      <c r="TV298" s="3"/>
      <c r="TW298" s="3"/>
      <c r="TX298" s="3"/>
      <c r="TY298" s="3"/>
      <c r="TZ298" s="3"/>
      <c r="UA298" s="3"/>
      <c r="UB298" s="3"/>
      <c r="UC298" s="3"/>
      <c r="UD298" s="3"/>
      <c r="UE298" s="3"/>
      <c r="UF298" s="3"/>
      <c r="UG298" s="3"/>
      <c r="UH298" s="3"/>
      <c r="UI298" s="3"/>
      <c r="UJ298" s="3"/>
      <c r="UK298" s="3"/>
      <c r="UL298" s="3"/>
      <c r="UM298" s="3"/>
      <c r="UN298" s="3"/>
      <c r="UO298" s="3"/>
      <c r="UP298" s="3"/>
      <c r="UQ298" s="3"/>
      <c r="UR298" s="3"/>
      <c r="US298" s="3"/>
      <c r="UT298" s="3"/>
      <c r="UU298" s="3"/>
      <c r="UV298" s="3"/>
      <c r="UW298" s="3"/>
      <c r="UX298" s="3"/>
      <c r="UY298" s="3"/>
      <c r="UZ298" s="3"/>
      <c r="VA298" s="3"/>
      <c r="VB298" s="3"/>
      <c r="VC298" s="3"/>
      <c r="VD298" s="3"/>
      <c r="VE298" s="3"/>
      <c r="VF298" s="3"/>
      <c r="VG298" s="3"/>
      <c r="VH298" s="3"/>
      <c r="VI298" s="3"/>
      <c r="VJ298" s="3"/>
      <c r="VK298" s="3"/>
      <c r="VL298" s="3"/>
      <c r="VM298" s="3"/>
      <c r="VN298" s="3"/>
      <c r="VO298" s="3"/>
      <c r="VP298" s="3"/>
      <c r="VQ298" s="3"/>
      <c r="VR298" s="3"/>
      <c r="VS298" s="3"/>
      <c r="VT298" s="3"/>
      <c r="VU298" s="3"/>
      <c r="VV298" s="3"/>
      <c r="VW298" s="3"/>
      <c r="VX298" s="3"/>
      <c r="VY298" s="3"/>
      <c r="VZ298" s="3"/>
      <c r="WA298" s="3"/>
      <c r="WB298" s="3"/>
      <c r="WC298" s="3"/>
      <c r="WD298" s="3"/>
      <c r="WE298" s="3"/>
      <c r="WF298" s="3"/>
      <c r="WG298" s="3"/>
      <c r="WH298" s="3"/>
      <c r="WI298" s="3"/>
      <c r="WJ298" s="3"/>
      <c r="WK298" s="3"/>
      <c r="WL298" s="3"/>
      <c r="WM298" s="3"/>
      <c r="WN298" s="3"/>
      <c r="WO298" s="3"/>
      <c r="WP298" s="3"/>
      <c r="WQ298" s="3"/>
      <c r="WR298" s="3"/>
      <c r="WS298" s="3"/>
      <c r="WT298" s="3"/>
      <c r="WU298" s="3"/>
      <c r="WV298" s="3"/>
      <c r="WW298" s="3"/>
      <c r="WX298" s="3"/>
      <c r="WY298" s="3"/>
      <c r="WZ298" s="3"/>
      <c r="XA298" s="3"/>
      <c r="XB298" s="3"/>
      <c r="XC298" s="3"/>
      <c r="XD298" s="3"/>
      <c r="XE298" s="3"/>
      <c r="XF298" s="3"/>
      <c r="XG298" s="3"/>
      <c r="XH298" s="3"/>
      <c r="XI298" s="3"/>
      <c r="XJ298" s="3"/>
      <c r="XK298" s="3"/>
      <c r="XL298" s="3"/>
      <c r="XM298" s="3"/>
      <c r="XN298" s="3"/>
      <c r="XO298" s="3"/>
      <c r="XP298" s="3"/>
      <c r="XQ298" s="3"/>
      <c r="XR298" s="3"/>
      <c r="XS298" s="3"/>
      <c r="XT298" s="3"/>
      <c r="XU298" s="3"/>
      <c r="XV298" s="3"/>
      <c r="XW298" s="3"/>
      <c r="XX298" s="3"/>
      <c r="XY298" s="3"/>
      <c r="XZ298" s="3"/>
      <c r="YA298" s="3"/>
      <c r="YB298" s="3"/>
      <c r="YC298" s="3"/>
      <c r="YD298" s="3"/>
      <c r="YE298" s="3"/>
      <c r="YF298" s="3"/>
      <c r="YG298" s="3"/>
      <c r="YH298" s="3"/>
      <c r="YI298" s="3"/>
      <c r="YJ298" s="3"/>
      <c r="YK298" s="3"/>
      <c r="YL298" s="3"/>
      <c r="YM298" s="3"/>
      <c r="YN298" s="3"/>
      <c r="YO298" s="3"/>
      <c r="YP298" s="3"/>
      <c r="YQ298" s="3"/>
      <c r="YR298" s="3"/>
      <c r="YS298" s="3"/>
      <c r="YT298" s="3"/>
      <c r="YU298" s="3"/>
      <c r="YV298" s="3"/>
      <c r="YW298" s="3"/>
      <c r="YX298" s="3"/>
      <c r="YY298" s="3"/>
      <c r="YZ298" s="3"/>
      <c r="ZA298" s="3"/>
      <c r="ZB298" s="3"/>
      <c r="ZC298" s="3"/>
    </row>
    <row r="299" spans="1:679" s="2" customFormat="1" x14ac:dyDescent="0.45">
      <c r="A299" s="3" t="s">
        <v>11</v>
      </c>
      <c r="B299" s="4">
        <v>38734</v>
      </c>
      <c r="C299" s="7" t="s">
        <v>25</v>
      </c>
      <c r="D299" s="6" t="s">
        <v>319</v>
      </c>
      <c r="E299" s="3"/>
      <c r="F299" s="3">
        <v>2</v>
      </c>
      <c r="L299" s="3"/>
      <c r="M299" s="3"/>
      <c r="N299" s="48"/>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c r="CO299" s="3"/>
      <c r="CP299" s="3"/>
      <c r="CQ299" s="3"/>
      <c r="CR299" s="3"/>
      <c r="CS299" s="3"/>
      <c r="CT299" s="3"/>
      <c r="CU299" s="3"/>
      <c r="CV299" s="3"/>
      <c r="CW299" s="3"/>
      <c r="CX299" s="3"/>
      <c r="CY299" s="3"/>
      <c r="CZ299" s="3"/>
      <c r="DA299" s="3"/>
      <c r="DB299" s="3"/>
      <c r="DC299" s="3"/>
      <c r="DD299" s="3"/>
      <c r="DE299" s="3"/>
      <c r="DF299" s="3"/>
      <c r="DG299" s="3"/>
      <c r="DH299" s="3"/>
      <c r="DI299" s="3"/>
      <c r="DJ299" s="3"/>
      <c r="DK299" s="3"/>
      <c r="DL299" s="3"/>
      <c r="DM299" s="3"/>
      <c r="DN299" s="3"/>
      <c r="DO299" s="3"/>
      <c r="DP299" s="3"/>
      <c r="DQ299" s="3"/>
      <c r="DR299" s="3"/>
      <c r="DS299" s="3"/>
      <c r="DT299" s="3"/>
      <c r="DU299" s="3"/>
      <c r="DV299" s="3"/>
      <c r="DW299" s="3"/>
      <c r="DX299" s="3"/>
      <c r="DY299" s="3"/>
      <c r="DZ299" s="3"/>
      <c r="EA299" s="3"/>
      <c r="EB299" s="3"/>
      <c r="EC299" s="3"/>
      <c r="ED299" s="3"/>
      <c r="EE299" s="3"/>
      <c r="EF299" s="3"/>
      <c r="EG299" s="3"/>
      <c r="EH299" s="3"/>
      <c r="EI299" s="3"/>
      <c r="EJ299" s="3"/>
      <c r="EK299" s="3"/>
      <c r="EL299" s="3"/>
      <c r="EM299" s="3"/>
      <c r="EN299" s="3"/>
      <c r="EO299" s="3"/>
      <c r="EP299" s="3"/>
      <c r="EQ299" s="3"/>
      <c r="ER299" s="3"/>
      <c r="ES299" s="3"/>
      <c r="ET299" s="3"/>
      <c r="EU299" s="3"/>
      <c r="EV299" s="3"/>
      <c r="EW299" s="3"/>
      <c r="EX299" s="3"/>
      <c r="EY299" s="3"/>
      <c r="EZ299" s="3"/>
      <c r="FA299" s="3"/>
      <c r="FB299" s="3"/>
      <c r="FC299" s="3"/>
      <c r="FD299" s="3"/>
      <c r="FE299" s="3"/>
      <c r="FF299" s="3"/>
      <c r="FG299" s="3"/>
      <c r="FH299" s="3"/>
      <c r="FI299" s="3"/>
      <c r="FJ299" s="3"/>
      <c r="FK299" s="3"/>
      <c r="FL299" s="3"/>
      <c r="FM299" s="3"/>
      <c r="FN299" s="3"/>
      <c r="FO299" s="3"/>
      <c r="FP299" s="3"/>
      <c r="FQ299" s="3"/>
      <c r="FR299" s="3"/>
      <c r="FS299" s="3"/>
      <c r="FT299" s="3"/>
      <c r="FU299" s="3"/>
      <c r="FV299" s="3"/>
      <c r="FW299" s="3"/>
      <c r="FX299" s="3"/>
      <c r="FY299" s="3"/>
      <c r="FZ299" s="3"/>
      <c r="GA299" s="3"/>
      <c r="GB299" s="3"/>
      <c r="GC299" s="3"/>
      <c r="GD299" s="3"/>
      <c r="GE299" s="3"/>
      <c r="GF299" s="3"/>
      <c r="GG299" s="3"/>
      <c r="GH299" s="3"/>
      <c r="GI299" s="3"/>
      <c r="GJ299" s="3"/>
      <c r="GK299" s="3"/>
      <c r="GL299" s="3"/>
      <c r="GM299" s="3"/>
      <c r="GN299" s="3"/>
      <c r="GO299" s="3"/>
      <c r="GP299" s="3"/>
      <c r="GQ299" s="3"/>
      <c r="GR299" s="3"/>
      <c r="GS299" s="3"/>
      <c r="GT299" s="3"/>
      <c r="GU299" s="3"/>
      <c r="GV299" s="3"/>
      <c r="GW299" s="3"/>
      <c r="GX299" s="3"/>
      <c r="GY299" s="3"/>
      <c r="GZ299" s="3"/>
      <c r="HA299" s="3"/>
      <c r="HB299" s="3"/>
      <c r="HC299" s="3"/>
      <c r="HD299" s="3"/>
      <c r="HE299" s="3"/>
      <c r="HF299" s="3"/>
      <c r="HG299" s="3"/>
      <c r="HH299" s="3"/>
      <c r="HI299" s="3"/>
      <c r="HJ299" s="3"/>
      <c r="HK299" s="3"/>
      <c r="HL299" s="3"/>
      <c r="HM299" s="3"/>
      <c r="HN299" s="3"/>
      <c r="HO299" s="3"/>
      <c r="HP299" s="3"/>
      <c r="HQ299" s="3"/>
      <c r="HR299" s="3"/>
      <c r="HS299" s="3"/>
      <c r="HT299" s="3"/>
      <c r="HU299" s="3"/>
      <c r="HV299" s="3"/>
      <c r="HW299" s="3"/>
      <c r="HX299" s="3"/>
      <c r="HY299" s="3"/>
      <c r="HZ299" s="3"/>
      <c r="IA299" s="3"/>
      <c r="IB299" s="3"/>
      <c r="IC299" s="3"/>
      <c r="ID299" s="3"/>
      <c r="IE299" s="3"/>
      <c r="IF299" s="3"/>
      <c r="IG299" s="3"/>
      <c r="IH299" s="3"/>
      <c r="II299" s="3"/>
      <c r="IJ299" s="3"/>
      <c r="IK299" s="3"/>
      <c r="IL299" s="3"/>
      <c r="IM299" s="3"/>
      <c r="IN299" s="3"/>
      <c r="IO299" s="3"/>
      <c r="IP299" s="3"/>
      <c r="IQ299" s="3"/>
      <c r="IR299" s="3"/>
      <c r="IS299" s="3"/>
      <c r="IT299" s="3"/>
      <c r="IU299" s="3"/>
      <c r="IV299" s="3"/>
      <c r="IW299" s="3"/>
      <c r="IX299" s="3"/>
      <c r="IY299" s="3"/>
      <c r="IZ299" s="3"/>
      <c r="JA299" s="3"/>
      <c r="JB299" s="3"/>
      <c r="JC299" s="3"/>
      <c r="JD299" s="3"/>
      <c r="JE299" s="3"/>
      <c r="JF299" s="3"/>
      <c r="JG299" s="3"/>
      <c r="JH299" s="3"/>
      <c r="JI299" s="3"/>
      <c r="JJ299" s="3"/>
      <c r="JK299" s="3"/>
      <c r="JL299" s="3"/>
      <c r="JM299" s="3"/>
      <c r="JN299" s="3"/>
      <c r="JO299" s="3"/>
      <c r="JP299" s="3"/>
      <c r="JQ299" s="3"/>
      <c r="JR299" s="3"/>
      <c r="JS299" s="3"/>
      <c r="JT299" s="3"/>
      <c r="JU299" s="3"/>
      <c r="JV299" s="3"/>
      <c r="JW299" s="3"/>
      <c r="JX299" s="3"/>
      <c r="JY299" s="3"/>
      <c r="JZ299" s="3"/>
      <c r="KA299" s="3"/>
      <c r="KB299" s="3"/>
      <c r="KC299" s="3"/>
      <c r="KD299" s="3"/>
      <c r="KE299" s="3"/>
      <c r="KF299" s="3"/>
      <c r="KG299" s="3"/>
      <c r="KH299" s="3"/>
      <c r="KI299" s="3"/>
      <c r="KJ299" s="3"/>
      <c r="KK299" s="3"/>
      <c r="KL299" s="3"/>
      <c r="KM299" s="3"/>
      <c r="KN299" s="3"/>
      <c r="KO299" s="3"/>
      <c r="KP299" s="3"/>
      <c r="KQ299" s="3"/>
      <c r="KR299" s="3"/>
      <c r="KS299" s="3"/>
      <c r="KT299" s="3"/>
      <c r="KU299" s="3"/>
      <c r="KV299" s="3"/>
      <c r="KW299" s="3"/>
      <c r="KX299" s="3"/>
      <c r="KY299" s="3"/>
      <c r="KZ299" s="3"/>
      <c r="LA299" s="3"/>
      <c r="LB299" s="3"/>
      <c r="LC299" s="3"/>
      <c r="LD299" s="3"/>
      <c r="LE299" s="3"/>
      <c r="LF299" s="3"/>
      <c r="LG299" s="3"/>
      <c r="LH299" s="3"/>
      <c r="LI299" s="3"/>
      <c r="LJ299" s="3"/>
      <c r="LK299" s="3"/>
      <c r="LL299" s="3"/>
      <c r="LM299" s="3"/>
      <c r="LN299" s="3"/>
      <c r="LO299" s="3"/>
      <c r="LP299" s="3"/>
      <c r="LQ299" s="3"/>
      <c r="LR299" s="3"/>
      <c r="LS299" s="3"/>
      <c r="LT299" s="3"/>
      <c r="LU299" s="3"/>
      <c r="LV299" s="3"/>
      <c r="LW299" s="3"/>
      <c r="LX299" s="3"/>
      <c r="LY299" s="3"/>
      <c r="LZ299" s="3"/>
      <c r="MA299" s="3"/>
      <c r="MB299" s="3"/>
      <c r="MC299" s="3"/>
      <c r="MD299" s="3"/>
      <c r="ME299" s="3"/>
      <c r="MF299" s="3"/>
      <c r="MG299" s="3"/>
      <c r="MH299" s="3"/>
      <c r="MI299" s="3"/>
      <c r="MJ299" s="3"/>
      <c r="MK299" s="3"/>
      <c r="ML299" s="3"/>
      <c r="MM299" s="3"/>
      <c r="MN299" s="3"/>
      <c r="MO299" s="3"/>
      <c r="MP299" s="3"/>
      <c r="MQ299" s="3"/>
      <c r="MR299" s="3"/>
      <c r="MS299" s="3"/>
      <c r="MT299" s="3"/>
      <c r="MU299" s="3"/>
      <c r="MV299" s="3"/>
      <c r="MW299" s="3"/>
      <c r="MX299" s="3"/>
      <c r="MY299" s="3"/>
      <c r="MZ299" s="3"/>
      <c r="NA299" s="3"/>
      <c r="NB299" s="3"/>
      <c r="NC299" s="3"/>
      <c r="ND299" s="3"/>
      <c r="NE299" s="3"/>
      <c r="NF299" s="3"/>
      <c r="NG299" s="3"/>
      <c r="NH299" s="3"/>
      <c r="NI299" s="3"/>
      <c r="NJ299" s="3"/>
      <c r="NK299" s="3"/>
      <c r="NL299" s="3"/>
      <c r="NM299" s="3"/>
      <c r="NN299" s="3"/>
      <c r="NO299" s="3"/>
      <c r="NP299" s="3"/>
      <c r="NQ299" s="3"/>
      <c r="NR299" s="3"/>
      <c r="NS299" s="3"/>
      <c r="NT299" s="3"/>
      <c r="NU299" s="3"/>
      <c r="NV299" s="3"/>
      <c r="NW299" s="3"/>
      <c r="NX299" s="3"/>
      <c r="NY299" s="3"/>
      <c r="NZ299" s="3"/>
      <c r="OA299" s="3"/>
      <c r="OB299" s="3"/>
      <c r="OC299" s="3"/>
      <c r="OD299" s="3"/>
      <c r="OE299" s="3"/>
      <c r="OF299" s="3"/>
      <c r="OG299" s="3"/>
      <c r="OH299" s="3"/>
      <c r="OI299" s="3"/>
      <c r="OJ299" s="3"/>
      <c r="OK299" s="3"/>
      <c r="OL299" s="3"/>
      <c r="OM299" s="3"/>
      <c r="ON299" s="3"/>
      <c r="OO299" s="3"/>
      <c r="OP299" s="3"/>
      <c r="OQ299" s="3"/>
      <c r="OR299" s="3"/>
      <c r="OS299" s="3"/>
      <c r="OT299" s="3"/>
      <c r="OU299" s="3"/>
      <c r="OV299" s="3"/>
      <c r="OW299" s="3"/>
      <c r="OX299" s="3"/>
      <c r="OY299" s="3"/>
      <c r="OZ299" s="3"/>
      <c r="PA299" s="3"/>
      <c r="PB299" s="3"/>
      <c r="PC299" s="3"/>
      <c r="PD299" s="3"/>
      <c r="PE299" s="3"/>
      <c r="PF299" s="3"/>
      <c r="PG299" s="3"/>
      <c r="PH299" s="3"/>
      <c r="PI299" s="3"/>
      <c r="PJ299" s="3"/>
      <c r="PK299" s="3"/>
      <c r="PL299" s="3"/>
      <c r="PM299" s="3"/>
      <c r="PN299" s="3"/>
      <c r="PO299" s="3"/>
      <c r="PP299" s="3"/>
      <c r="PQ299" s="3"/>
      <c r="PR299" s="3"/>
      <c r="PS299" s="3"/>
      <c r="PT299" s="3"/>
      <c r="PU299" s="3"/>
      <c r="PV299" s="3"/>
      <c r="PW299" s="3"/>
      <c r="PX299" s="3"/>
      <c r="PY299" s="3"/>
      <c r="PZ299" s="3"/>
      <c r="QA299" s="3"/>
      <c r="QB299" s="3"/>
      <c r="QC299" s="3"/>
      <c r="QD299" s="3"/>
      <c r="QE299" s="3"/>
      <c r="QF299" s="3"/>
      <c r="QG299" s="3"/>
      <c r="QH299" s="3"/>
      <c r="QI299" s="3"/>
      <c r="QJ299" s="3"/>
      <c r="QK299" s="3"/>
      <c r="QL299" s="3"/>
      <c r="QM299" s="3"/>
      <c r="QN299" s="3"/>
      <c r="QO299" s="3"/>
      <c r="QP299" s="3"/>
      <c r="QQ299" s="3"/>
      <c r="QR299" s="3"/>
      <c r="QS299" s="3"/>
      <c r="QT299" s="3"/>
      <c r="QU299" s="3"/>
      <c r="QV299" s="3"/>
      <c r="QW299" s="3"/>
      <c r="QX299" s="3"/>
      <c r="QY299" s="3"/>
      <c r="QZ299" s="3"/>
      <c r="RA299" s="3"/>
      <c r="RB299" s="3"/>
      <c r="RC299" s="3"/>
      <c r="RD299" s="3"/>
      <c r="RE299" s="3"/>
      <c r="RF299" s="3"/>
      <c r="RG299" s="3"/>
      <c r="RH299" s="3"/>
      <c r="RI299" s="3"/>
      <c r="RJ299" s="3"/>
      <c r="RK299" s="3"/>
      <c r="RL299" s="3"/>
      <c r="RM299" s="3"/>
      <c r="RN299" s="3"/>
      <c r="RO299" s="3"/>
      <c r="RP299" s="3"/>
      <c r="RQ299" s="3"/>
      <c r="RR299" s="3"/>
      <c r="RS299" s="3"/>
      <c r="RT299" s="3"/>
      <c r="RU299" s="3"/>
      <c r="RV299" s="3"/>
      <c r="RW299" s="3"/>
      <c r="RX299" s="3"/>
      <c r="RY299" s="3"/>
      <c r="RZ299" s="3"/>
      <c r="SA299" s="3"/>
      <c r="SB299" s="3"/>
      <c r="SC299" s="3"/>
      <c r="SD299" s="3"/>
      <c r="SE299" s="3"/>
      <c r="SF299" s="3"/>
      <c r="SG299" s="3"/>
      <c r="SH299" s="3"/>
      <c r="SI299" s="3"/>
      <c r="SJ299" s="3"/>
      <c r="SK299" s="3"/>
      <c r="SL299" s="3"/>
      <c r="SM299" s="3"/>
      <c r="SN299" s="3"/>
      <c r="SO299" s="3"/>
      <c r="SP299" s="3"/>
      <c r="SQ299" s="3"/>
      <c r="SR299" s="3"/>
      <c r="SS299" s="3"/>
      <c r="ST299" s="3"/>
      <c r="SU299" s="3"/>
      <c r="SV299" s="3"/>
      <c r="SW299" s="3"/>
      <c r="SX299" s="3"/>
      <c r="SY299" s="3"/>
      <c r="SZ299" s="3"/>
      <c r="TA299" s="3"/>
      <c r="TB299" s="3"/>
      <c r="TC299" s="3"/>
      <c r="TD299" s="3"/>
      <c r="TE299" s="3"/>
      <c r="TF299" s="3"/>
      <c r="TG299" s="3"/>
      <c r="TH299" s="3"/>
      <c r="TI299" s="3"/>
      <c r="TJ299" s="3"/>
      <c r="TK299" s="3"/>
      <c r="TL299" s="3"/>
      <c r="TM299" s="3"/>
      <c r="TN299" s="3"/>
      <c r="TO299" s="3"/>
      <c r="TP299" s="3"/>
      <c r="TQ299" s="3"/>
      <c r="TR299" s="3"/>
      <c r="TS299" s="3"/>
      <c r="TT299" s="3"/>
      <c r="TU299" s="3"/>
      <c r="TV299" s="3"/>
      <c r="TW299" s="3"/>
      <c r="TX299" s="3"/>
      <c r="TY299" s="3"/>
      <c r="TZ299" s="3"/>
      <c r="UA299" s="3"/>
      <c r="UB299" s="3"/>
      <c r="UC299" s="3"/>
      <c r="UD299" s="3"/>
      <c r="UE299" s="3"/>
      <c r="UF299" s="3"/>
      <c r="UG299" s="3"/>
      <c r="UH299" s="3"/>
      <c r="UI299" s="3"/>
      <c r="UJ299" s="3"/>
      <c r="UK299" s="3"/>
      <c r="UL299" s="3"/>
      <c r="UM299" s="3"/>
      <c r="UN299" s="3"/>
      <c r="UO299" s="3"/>
      <c r="UP299" s="3"/>
      <c r="UQ299" s="3"/>
      <c r="UR299" s="3"/>
      <c r="US299" s="3"/>
      <c r="UT299" s="3"/>
      <c r="UU299" s="3"/>
      <c r="UV299" s="3"/>
      <c r="UW299" s="3"/>
      <c r="UX299" s="3"/>
      <c r="UY299" s="3"/>
      <c r="UZ299" s="3"/>
      <c r="VA299" s="3"/>
      <c r="VB299" s="3"/>
      <c r="VC299" s="3"/>
      <c r="VD299" s="3"/>
      <c r="VE299" s="3"/>
      <c r="VF299" s="3"/>
      <c r="VG299" s="3"/>
      <c r="VH299" s="3"/>
      <c r="VI299" s="3"/>
      <c r="VJ299" s="3"/>
      <c r="VK299" s="3"/>
      <c r="VL299" s="3"/>
      <c r="VM299" s="3"/>
      <c r="VN299" s="3"/>
      <c r="VO299" s="3"/>
      <c r="VP299" s="3"/>
      <c r="VQ299" s="3"/>
      <c r="VR299" s="3"/>
      <c r="VS299" s="3"/>
      <c r="VT299" s="3"/>
      <c r="VU299" s="3"/>
      <c r="VV299" s="3"/>
      <c r="VW299" s="3"/>
      <c r="VX299" s="3"/>
      <c r="VY299" s="3"/>
      <c r="VZ299" s="3"/>
      <c r="WA299" s="3"/>
      <c r="WB299" s="3"/>
      <c r="WC299" s="3"/>
      <c r="WD299" s="3"/>
      <c r="WE299" s="3"/>
      <c r="WF299" s="3"/>
      <c r="WG299" s="3"/>
      <c r="WH299" s="3"/>
      <c r="WI299" s="3"/>
      <c r="WJ299" s="3"/>
      <c r="WK299" s="3"/>
      <c r="WL299" s="3"/>
      <c r="WM299" s="3"/>
      <c r="WN299" s="3"/>
      <c r="WO299" s="3"/>
      <c r="WP299" s="3"/>
      <c r="WQ299" s="3"/>
      <c r="WR299" s="3"/>
      <c r="WS299" s="3"/>
      <c r="WT299" s="3"/>
      <c r="WU299" s="3"/>
      <c r="WV299" s="3"/>
      <c r="WW299" s="3"/>
      <c r="WX299" s="3"/>
      <c r="WY299" s="3"/>
      <c r="WZ299" s="3"/>
      <c r="XA299" s="3"/>
      <c r="XB299" s="3"/>
      <c r="XC299" s="3"/>
      <c r="XD299" s="3"/>
      <c r="XE299" s="3"/>
      <c r="XF299" s="3"/>
      <c r="XG299" s="3"/>
      <c r="XH299" s="3"/>
      <c r="XI299" s="3"/>
      <c r="XJ299" s="3"/>
      <c r="XK299" s="3"/>
      <c r="XL299" s="3"/>
      <c r="XM299" s="3"/>
      <c r="XN299" s="3"/>
      <c r="XO299" s="3"/>
      <c r="XP299" s="3"/>
      <c r="XQ299" s="3"/>
      <c r="XR299" s="3"/>
      <c r="XS299" s="3"/>
      <c r="XT299" s="3"/>
      <c r="XU299" s="3"/>
      <c r="XV299" s="3"/>
      <c r="XW299" s="3"/>
      <c r="XX299" s="3"/>
      <c r="XY299" s="3"/>
      <c r="XZ299" s="3"/>
      <c r="YA299" s="3"/>
      <c r="YB299" s="3"/>
      <c r="YC299" s="3"/>
      <c r="YD299" s="3"/>
      <c r="YE299" s="3"/>
      <c r="YF299" s="3"/>
      <c r="YG299" s="3"/>
      <c r="YH299" s="3"/>
      <c r="YI299" s="3"/>
      <c r="YJ299" s="3"/>
      <c r="YK299" s="3"/>
      <c r="YL299" s="3"/>
      <c r="YM299" s="3"/>
      <c r="YN299" s="3"/>
      <c r="YO299" s="3"/>
      <c r="YP299" s="3"/>
      <c r="YQ299" s="3"/>
      <c r="YR299" s="3"/>
      <c r="YS299" s="3"/>
      <c r="YT299" s="3"/>
      <c r="YU299" s="3"/>
      <c r="YV299" s="3"/>
      <c r="YW299" s="3"/>
      <c r="YX299" s="3"/>
      <c r="YY299" s="3"/>
      <c r="YZ299" s="3"/>
      <c r="ZA299" s="3"/>
      <c r="ZB299" s="3"/>
      <c r="ZC299" s="3"/>
    </row>
    <row r="300" spans="1:679" s="2" customFormat="1" x14ac:dyDescent="0.45">
      <c r="A300" s="3" t="s">
        <v>11</v>
      </c>
      <c r="B300" s="4">
        <v>38764</v>
      </c>
      <c r="C300" s="7" t="s">
        <v>21</v>
      </c>
      <c r="D300" s="6" t="s">
        <v>320</v>
      </c>
      <c r="E300" s="3"/>
      <c r="F300" s="3">
        <v>10</v>
      </c>
      <c r="L300" s="3"/>
      <c r="M300" s="3"/>
      <c r="N300" s="48"/>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c r="CP300" s="3"/>
      <c r="CQ300" s="3"/>
      <c r="CR300" s="3"/>
      <c r="CS300" s="3"/>
      <c r="CT300" s="3"/>
      <c r="CU300" s="3"/>
      <c r="CV300" s="3"/>
      <c r="CW300" s="3"/>
      <c r="CX300" s="3"/>
      <c r="CY300" s="3"/>
      <c r="CZ300" s="3"/>
      <c r="DA300" s="3"/>
      <c r="DB300" s="3"/>
      <c r="DC300" s="3"/>
      <c r="DD300" s="3"/>
      <c r="DE300" s="3"/>
      <c r="DF300" s="3"/>
      <c r="DG300" s="3"/>
      <c r="DH300" s="3"/>
      <c r="DI300" s="3"/>
      <c r="DJ300" s="3"/>
      <c r="DK300" s="3"/>
      <c r="DL300" s="3"/>
      <c r="DM300" s="3"/>
      <c r="DN300" s="3"/>
      <c r="DO300" s="3"/>
      <c r="DP300" s="3"/>
      <c r="DQ300" s="3"/>
      <c r="DR300" s="3"/>
      <c r="DS300" s="3"/>
      <c r="DT300" s="3"/>
      <c r="DU300" s="3"/>
      <c r="DV300" s="3"/>
      <c r="DW300" s="3"/>
      <c r="DX300" s="3"/>
      <c r="DY300" s="3"/>
      <c r="DZ300" s="3"/>
      <c r="EA300" s="3"/>
      <c r="EB300" s="3"/>
      <c r="EC300" s="3"/>
      <c r="ED300" s="3"/>
      <c r="EE300" s="3"/>
      <c r="EF300" s="3"/>
      <c r="EG300" s="3"/>
      <c r="EH300" s="3"/>
      <c r="EI300" s="3"/>
      <c r="EJ300" s="3"/>
      <c r="EK300" s="3"/>
      <c r="EL300" s="3"/>
      <c r="EM300" s="3"/>
      <c r="EN300" s="3"/>
      <c r="EO300" s="3"/>
      <c r="EP300" s="3"/>
      <c r="EQ300" s="3"/>
      <c r="ER300" s="3"/>
      <c r="ES300" s="3"/>
      <c r="ET300" s="3"/>
      <c r="EU300" s="3"/>
      <c r="EV300" s="3"/>
      <c r="EW300" s="3"/>
      <c r="EX300" s="3"/>
      <c r="EY300" s="3"/>
      <c r="EZ300" s="3"/>
      <c r="FA300" s="3"/>
      <c r="FB300" s="3"/>
      <c r="FC300" s="3"/>
      <c r="FD300" s="3"/>
      <c r="FE300" s="3"/>
      <c r="FF300" s="3"/>
      <c r="FG300" s="3"/>
      <c r="FH300" s="3"/>
      <c r="FI300" s="3"/>
      <c r="FJ300" s="3"/>
      <c r="FK300" s="3"/>
      <c r="FL300" s="3"/>
      <c r="FM300" s="3"/>
      <c r="FN300" s="3"/>
      <c r="FO300" s="3"/>
      <c r="FP300" s="3"/>
      <c r="FQ300" s="3"/>
      <c r="FR300" s="3"/>
      <c r="FS300" s="3"/>
      <c r="FT300" s="3"/>
      <c r="FU300" s="3"/>
      <c r="FV300" s="3"/>
      <c r="FW300" s="3"/>
      <c r="FX300" s="3"/>
      <c r="FY300" s="3"/>
      <c r="FZ300" s="3"/>
      <c r="GA300" s="3"/>
      <c r="GB300" s="3"/>
      <c r="GC300" s="3"/>
      <c r="GD300" s="3"/>
      <c r="GE300" s="3"/>
      <c r="GF300" s="3"/>
      <c r="GG300" s="3"/>
      <c r="GH300" s="3"/>
      <c r="GI300" s="3"/>
      <c r="GJ300" s="3"/>
      <c r="GK300" s="3"/>
      <c r="GL300" s="3"/>
      <c r="GM300" s="3"/>
      <c r="GN300" s="3"/>
      <c r="GO300" s="3"/>
      <c r="GP300" s="3"/>
      <c r="GQ300" s="3"/>
      <c r="GR300" s="3"/>
      <c r="GS300" s="3"/>
      <c r="GT300" s="3"/>
      <c r="GU300" s="3"/>
      <c r="GV300" s="3"/>
      <c r="GW300" s="3"/>
      <c r="GX300" s="3"/>
      <c r="GY300" s="3"/>
      <c r="GZ300" s="3"/>
      <c r="HA300" s="3"/>
      <c r="HB300" s="3"/>
      <c r="HC300" s="3"/>
      <c r="HD300" s="3"/>
      <c r="HE300" s="3"/>
      <c r="HF300" s="3"/>
      <c r="HG300" s="3"/>
      <c r="HH300" s="3"/>
      <c r="HI300" s="3"/>
      <c r="HJ300" s="3"/>
      <c r="HK300" s="3"/>
      <c r="HL300" s="3"/>
      <c r="HM300" s="3"/>
      <c r="HN300" s="3"/>
      <c r="HO300" s="3"/>
      <c r="HP300" s="3"/>
      <c r="HQ300" s="3"/>
      <c r="HR300" s="3"/>
      <c r="HS300" s="3"/>
      <c r="HT300" s="3"/>
      <c r="HU300" s="3"/>
      <c r="HV300" s="3"/>
      <c r="HW300" s="3"/>
      <c r="HX300" s="3"/>
      <c r="HY300" s="3"/>
      <c r="HZ300" s="3"/>
      <c r="IA300" s="3"/>
      <c r="IB300" s="3"/>
      <c r="IC300" s="3"/>
      <c r="ID300" s="3"/>
      <c r="IE300" s="3"/>
      <c r="IF300" s="3"/>
      <c r="IG300" s="3"/>
      <c r="IH300" s="3"/>
      <c r="II300" s="3"/>
      <c r="IJ300" s="3"/>
      <c r="IK300" s="3"/>
      <c r="IL300" s="3"/>
      <c r="IM300" s="3"/>
      <c r="IN300" s="3"/>
      <c r="IO300" s="3"/>
      <c r="IP300" s="3"/>
      <c r="IQ300" s="3"/>
      <c r="IR300" s="3"/>
      <c r="IS300" s="3"/>
      <c r="IT300" s="3"/>
      <c r="IU300" s="3"/>
      <c r="IV300" s="3"/>
      <c r="IW300" s="3"/>
      <c r="IX300" s="3"/>
      <c r="IY300" s="3"/>
      <c r="IZ300" s="3"/>
      <c r="JA300" s="3"/>
      <c r="JB300" s="3"/>
      <c r="JC300" s="3"/>
      <c r="JD300" s="3"/>
      <c r="JE300" s="3"/>
      <c r="JF300" s="3"/>
      <c r="JG300" s="3"/>
      <c r="JH300" s="3"/>
      <c r="JI300" s="3"/>
      <c r="JJ300" s="3"/>
      <c r="JK300" s="3"/>
      <c r="JL300" s="3"/>
      <c r="JM300" s="3"/>
      <c r="JN300" s="3"/>
      <c r="JO300" s="3"/>
      <c r="JP300" s="3"/>
      <c r="JQ300" s="3"/>
      <c r="JR300" s="3"/>
      <c r="JS300" s="3"/>
      <c r="JT300" s="3"/>
      <c r="JU300" s="3"/>
      <c r="JV300" s="3"/>
      <c r="JW300" s="3"/>
      <c r="JX300" s="3"/>
      <c r="JY300" s="3"/>
      <c r="JZ300" s="3"/>
      <c r="KA300" s="3"/>
      <c r="KB300" s="3"/>
      <c r="KC300" s="3"/>
      <c r="KD300" s="3"/>
      <c r="KE300" s="3"/>
      <c r="KF300" s="3"/>
      <c r="KG300" s="3"/>
      <c r="KH300" s="3"/>
      <c r="KI300" s="3"/>
      <c r="KJ300" s="3"/>
      <c r="KK300" s="3"/>
      <c r="KL300" s="3"/>
      <c r="KM300" s="3"/>
      <c r="KN300" s="3"/>
      <c r="KO300" s="3"/>
      <c r="KP300" s="3"/>
      <c r="KQ300" s="3"/>
      <c r="KR300" s="3"/>
      <c r="KS300" s="3"/>
      <c r="KT300" s="3"/>
      <c r="KU300" s="3"/>
      <c r="KV300" s="3"/>
      <c r="KW300" s="3"/>
      <c r="KX300" s="3"/>
      <c r="KY300" s="3"/>
      <c r="KZ300" s="3"/>
      <c r="LA300" s="3"/>
      <c r="LB300" s="3"/>
      <c r="LC300" s="3"/>
      <c r="LD300" s="3"/>
      <c r="LE300" s="3"/>
      <c r="LF300" s="3"/>
      <c r="LG300" s="3"/>
      <c r="LH300" s="3"/>
      <c r="LI300" s="3"/>
      <c r="LJ300" s="3"/>
      <c r="LK300" s="3"/>
      <c r="LL300" s="3"/>
      <c r="LM300" s="3"/>
      <c r="LN300" s="3"/>
      <c r="LO300" s="3"/>
      <c r="LP300" s="3"/>
      <c r="LQ300" s="3"/>
      <c r="LR300" s="3"/>
      <c r="LS300" s="3"/>
      <c r="LT300" s="3"/>
      <c r="LU300" s="3"/>
      <c r="LV300" s="3"/>
      <c r="LW300" s="3"/>
      <c r="LX300" s="3"/>
      <c r="LY300" s="3"/>
      <c r="LZ300" s="3"/>
      <c r="MA300" s="3"/>
      <c r="MB300" s="3"/>
      <c r="MC300" s="3"/>
      <c r="MD300" s="3"/>
      <c r="ME300" s="3"/>
      <c r="MF300" s="3"/>
      <c r="MG300" s="3"/>
      <c r="MH300" s="3"/>
      <c r="MI300" s="3"/>
      <c r="MJ300" s="3"/>
      <c r="MK300" s="3"/>
      <c r="ML300" s="3"/>
      <c r="MM300" s="3"/>
      <c r="MN300" s="3"/>
      <c r="MO300" s="3"/>
      <c r="MP300" s="3"/>
      <c r="MQ300" s="3"/>
      <c r="MR300" s="3"/>
      <c r="MS300" s="3"/>
      <c r="MT300" s="3"/>
      <c r="MU300" s="3"/>
      <c r="MV300" s="3"/>
      <c r="MW300" s="3"/>
      <c r="MX300" s="3"/>
      <c r="MY300" s="3"/>
      <c r="MZ300" s="3"/>
      <c r="NA300" s="3"/>
      <c r="NB300" s="3"/>
      <c r="NC300" s="3"/>
      <c r="ND300" s="3"/>
      <c r="NE300" s="3"/>
      <c r="NF300" s="3"/>
      <c r="NG300" s="3"/>
      <c r="NH300" s="3"/>
      <c r="NI300" s="3"/>
      <c r="NJ300" s="3"/>
      <c r="NK300" s="3"/>
      <c r="NL300" s="3"/>
      <c r="NM300" s="3"/>
      <c r="NN300" s="3"/>
      <c r="NO300" s="3"/>
      <c r="NP300" s="3"/>
      <c r="NQ300" s="3"/>
      <c r="NR300" s="3"/>
      <c r="NS300" s="3"/>
      <c r="NT300" s="3"/>
      <c r="NU300" s="3"/>
      <c r="NV300" s="3"/>
      <c r="NW300" s="3"/>
      <c r="NX300" s="3"/>
      <c r="NY300" s="3"/>
      <c r="NZ300" s="3"/>
      <c r="OA300" s="3"/>
      <c r="OB300" s="3"/>
      <c r="OC300" s="3"/>
      <c r="OD300" s="3"/>
      <c r="OE300" s="3"/>
      <c r="OF300" s="3"/>
      <c r="OG300" s="3"/>
      <c r="OH300" s="3"/>
      <c r="OI300" s="3"/>
      <c r="OJ300" s="3"/>
      <c r="OK300" s="3"/>
      <c r="OL300" s="3"/>
      <c r="OM300" s="3"/>
      <c r="ON300" s="3"/>
      <c r="OO300" s="3"/>
      <c r="OP300" s="3"/>
      <c r="OQ300" s="3"/>
      <c r="OR300" s="3"/>
      <c r="OS300" s="3"/>
      <c r="OT300" s="3"/>
      <c r="OU300" s="3"/>
      <c r="OV300" s="3"/>
      <c r="OW300" s="3"/>
      <c r="OX300" s="3"/>
      <c r="OY300" s="3"/>
      <c r="OZ300" s="3"/>
      <c r="PA300" s="3"/>
      <c r="PB300" s="3"/>
      <c r="PC300" s="3"/>
      <c r="PD300" s="3"/>
      <c r="PE300" s="3"/>
      <c r="PF300" s="3"/>
      <c r="PG300" s="3"/>
      <c r="PH300" s="3"/>
      <c r="PI300" s="3"/>
      <c r="PJ300" s="3"/>
      <c r="PK300" s="3"/>
      <c r="PL300" s="3"/>
      <c r="PM300" s="3"/>
      <c r="PN300" s="3"/>
      <c r="PO300" s="3"/>
      <c r="PP300" s="3"/>
      <c r="PQ300" s="3"/>
      <c r="PR300" s="3"/>
      <c r="PS300" s="3"/>
      <c r="PT300" s="3"/>
      <c r="PU300" s="3"/>
      <c r="PV300" s="3"/>
      <c r="PW300" s="3"/>
      <c r="PX300" s="3"/>
      <c r="PY300" s="3"/>
      <c r="PZ300" s="3"/>
      <c r="QA300" s="3"/>
      <c r="QB300" s="3"/>
      <c r="QC300" s="3"/>
      <c r="QD300" s="3"/>
      <c r="QE300" s="3"/>
      <c r="QF300" s="3"/>
      <c r="QG300" s="3"/>
      <c r="QH300" s="3"/>
      <c r="QI300" s="3"/>
      <c r="QJ300" s="3"/>
      <c r="QK300" s="3"/>
      <c r="QL300" s="3"/>
      <c r="QM300" s="3"/>
      <c r="QN300" s="3"/>
      <c r="QO300" s="3"/>
      <c r="QP300" s="3"/>
      <c r="QQ300" s="3"/>
      <c r="QR300" s="3"/>
      <c r="QS300" s="3"/>
      <c r="QT300" s="3"/>
      <c r="QU300" s="3"/>
      <c r="QV300" s="3"/>
      <c r="QW300" s="3"/>
      <c r="QX300" s="3"/>
      <c r="QY300" s="3"/>
      <c r="QZ300" s="3"/>
      <c r="RA300" s="3"/>
      <c r="RB300" s="3"/>
      <c r="RC300" s="3"/>
      <c r="RD300" s="3"/>
      <c r="RE300" s="3"/>
      <c r="RF300" s="3"/>
      <c r="RG300" s="3"/>
      <c r="RH300" s="3"/>
      <c r="RI300" s="3"/>
      <c r="RJ300" s="3"/>
      <c r="RK300" s="3"/>
      <c r="RL300" s="3"/>
      <c r="RM300" s="3"/>
      <c r="RN300" s="3"/>
      <c r="RO300" s="3"/>
      <c r="RP300" s="3"/>
      <c r="RQ300" s="3"/>
      <c r="RR300" s="3"/>
      <c r="RS300" s="3"/>
      <c r="RT300" s="3"/>
      <c r="RU300" s="3"/>
      <c r="RV300" s="3"/>
      <c r="RW300" s="3"/>
      <c r="RX300" s="3"/>
      <c r="RY300" s="3"/>
      <c r="RZ300" s="3"/>
      <c r="SA300" s="3"/>
      <c r="SB300" s="3"/>
      <c r="SC300" s="3"/>
      <c r="SD300" s="3"/>
      <c r="SE300" s="3"/>
      <c r="SF300" s="3"/>
      <c r="SG300" s="3"/>
      <c r="SH300" s="3"/>
      <c r="SI300" s="3"/>
      <c r="SJ300" s="3"/>
      <c r="SK300" s="3"/>
      <c r="SL300" s="3"/>
      <c r="SM300" s="3"/>
      <c r="SN300" s="3"/>
      <c r="SO300" s="3"/>
      <c r="SP300" s="3"/>
      <c r="SQ300" s="3"/>
      <c r="SR300" s="3"/>
      <c r="SS300" s="3"/>
      <c r="ST300" s="3"/>
      <c r="SU300" s="3"/>
      <c r="SV300" s="3"/>
      <c r="SW300" s="3"/>
      <c r="SX300" s="3"/>
      <c r="SY300" s="3"/>
      <c r="SZ300" s="3"/>
      <c r="TA300" s="3"/>
      <c r="TB300" s="3"/>
      <c r="TC300" s="3"/>
      <c r="TD300" s="3"/>
      <c r="TE300" s="3"/>
      <c r="TF300" s="3"/>
      <c r="TG300" s="3"/>
      <c r="TH300" s="3"/>
      <c r="TI300" s="3"/>
      <c r="TJ300" s="3"/>
      <c r="TK300" s="3"/>
      <c r="TL300" s="3"/>
      <c r="TM300" s="3"/>
      <c r="TN300" s="3"/>
      <c r="TO300" s="3"/>
      <c r="TP300" s="3"/>
      <c r="TQ300" s="3"/>
      <c r="TR300" s="3"/>
      <c r="TS300" s="3"/>
      <c r="TT300" s="3"/>
      <c r="TU300" s="3"/>
      <c r="TV300" s="3"/>
      <c r="TW300" s="3"/>
      <c r="TX300" s="3"/>
      <c r="TY300" s="3"/>
      <c r="TZ300" s="3"/>
      <c r="UA300" s="3"/>
      <c r="UB300" s="3"/>
      <c r="UC300" s="3"/>
      <c r="UD300" s="3"/>
      <c r="UE300" s="3"/>
      <c r="UF300" s="3"/>
      <c r="UG300" s="3"/>
      <c r="UH300" s="3"/>
      <c r="UI300" s="3"/>
      <c r="UJ300" s="3"/>
      <c r="UK300" s="3"/>
      <c r="UL300" s="3"/>
      <c r="UM300" s="3"/>
      <c r="UN300" s="3"/>
      <c r="UO300" s="3"/>
      <c r="UP300" s="3"/>
      <c r="UQ300" s="3"/>
      <c r="UR300" s="3"/>
      <c r="US300" s="3"/>
      <c r="UT300" s="3"/>
      <c r="UU300" s="3"/>
      <c r="UV300" s="3"/>
      <c r="UW300" s="3"/>
      <c r="UX300" s="3"/>
      <c r="UY300" s="3"/>
      <c r="UZ300" s="3"/>
      <c r="VA300" s="3"/>
      <c r="VB300" s="3"/>
      <c r="VC300" s="3"/>
      <c r="VD300" s="3"/>
      <c r="VE300" s="3"/>
      <c r="VF300" s="3"/>
      <c r="VG300" s="3"/>
      <c r="VH300" s="3"/>
      <c r="VI300" s="3"/>
      <c r="VJ300" s="3"/>
      <c r="VK300" s="3"/>
      <c r="VL300" s="3"/>
      <c r="VM300" s="3"/>
      <c r="VN300" s="3"/>
      <c r="VO300" s="3"/>
      <c r="VP300" s="3"/>
      <c r="VQ300" s="3"/>
      <c r="VR300" s="3"/>
      <c r="VS300" s="3"/>
      <c r="VT300" s="3"/>
      <c r="VU300" s="3"/>
      <c r="VV300" s="3"/>
      <c r="VW300" s="3"/>
      <c r="VX300" s="3"/>
      <c r="VY300" s="3"/>
      <c r="VZ300" s="3"/>
      <c r="WA300" s="3"/>
      <c r="WB300" s="3"/>
      <c r="WC300" s="3"/>
      <c r="WD300" s="3"/>
      <c r="WE300" s="3"/>
      <c r="WF300" s="3"/>
      <c r="WG300" s="3"/>
      <c r="WH300" s="3"/>
      <c r="WI300" s="3"/>
      <c r="WJ300" s="3"/>
      <c r="WK300" s="3"/>
      <c r="WL300" s="3"/>
      <c r="WM300" s="3"/>
      <c r="WN300" s="3"/>
      <c r="WO300" s="3"/>
      <c r="WP300" s="3"/>
      <c r="WQ300" s="3"/>
      <c r="WR300" s="3"/>
      <c r="WS300" s="3"/>
      <c r="WT300" s="3"/>
      <c r="WU300" s="3"/>
      <c r="WV300" s="3"/>
      <c r="WW300" s="3"/>
      <c r="WX300" s="3"/>
      <c r="WY300" s="3"/>
      <c r="WZ300" s="3"/>
      <c r="XA300" s="3"/>
      <c r="XB300" s="3"/>
      <c r="XC300" s="3"/>
      <c r="XD300" s="3"/>
      <c r="XE300" s="3"/>
      <c r="XF300" s="3"/>
      <c r="XG300" s="3"/>
      <c r="XH300" s="3"/>
      <c r="XI300" s="3"/>
      <c r="XJ300" s="3"/>
      <c r="XK300" s="3"/>
      <c r="XL300" s="3"/>
      <c r="XM300" s="3"/>
      <c r="XN300" s="3"/>
      <c r="XO300" s="3"/>
      <c r="XP300" s="3"/>
      <c r="XQ300" s="3"/>
      <c r="XR300" s="3"/>
      <c r="XS300" s="3"/>
      <c r="XT300" s="3"/>
      <c r="XU300" s="3"/>
      <c r="XV300" s="3"/>
      <c r="XW300" s="3"/>
      <c r="XX300" s="3"/>
      <c r="XY300" s="3"/>
      <c r="XZ300" s="3"/>
      <c r="YA300" s="3"/>
      <c r="YB300" s="3"/>
      <c r="YC300" s="3"/>
      <c r="YD300" s="3"/>
      <c r="YE300" s="3"/>
      <c r="YF300" s="3"/>
      <c r="YG300" s="3"/>
      <c r="YH300" s="3"/>
      <c r="YI300" s="3"/>
      <c r="YJ300" s="3"/>
      <c r="YK300" s="3"/>
      <c r="YL300" s="3"/>
      <c r="YM300" s="3"/>
      <c r="YN300" s="3"/>
      <c r="YO300" s="3"/>
      <c r="YP300" s="3"/>
      <c r="YQ300" s="3"/>
      <c r="YR300" s="3"/>
      <c r="YS300" s="3"/>
      <c r="YT300" s="3"/>
      <c r="YU300" s="3"/>
      <c r="YV300" s="3"/>
      <c r="YW300" s="3"/>
      <c r="YX300" s="3"/>
      <c r="YY300" s="3"/>
      <c r="YZ300" s="3"/>
      <c r="ZA300" s="3"/>
      <c r="ZB300" s="3"/>
      <c r="ZC300" s="3"/>
    </row>
    <row r="301" spans="1:679" s="2" customFormat="1" x14ac:dyDescent="0.45">
      <c r="A301" s="3" t="s">
        <v>11</v>
      </c>
      <c r="B301" s="4">
        <v>38805</v>
      </c>
      <c r="C301" s="7" t="s">
        <v>21</v>
      </c>
      <c r="D301" s="6" t="s">
        <v>321</v>
      </c>
      <c r="E301" s="3"/>
      <c r="F301" s="3">
        <v>54</v>
      </c>
      <c r="L301" s="3"/>
      <c r="M301" s="3"/>
      <c r="N301" s="48"/>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c r="CO301" s="3"/>
      <c r="CP301" s="3"/>
      <c r="CQ301" s="3"/>
      <c r="CR301" s="3"/>
      <c r="CS301" s="3"/>
      <c r="CT301" s="3"/>
      <c r="CU301" s="3"/>
      <c r="CV301" s="3"/>
      <c r="CW301" s="3"/>
      <c r="CX301" s="3"/>
      <c r="CY301" s="3"/>
      <c r="CZ301" s="3"/>
      <c r="DA301" s="3"/>
      <c r="DB301" s="3"/>
      <c r="DC301" s="3"/>
      <c r="DD301" s="3"/>
      <c r="DE301" s="3"/>
      <c r="DF301" s="3"/>
      <c r="DG301" s="3"/>
      <c r="DH301" s="3"/>
      <c r="DI301" s="3"/>
      <c r="DJ301" s="3"/>
      <c r="DK301" s="3"/>
      <c r="DL301" s="3"/>
      <c r="DM301" s="3"/>
      <c r="DN301" s="3"/>
      <c r="DO301" s="3"/>
      <c r="DP301" s="3"/>
      <c r="DQ301" s="3"/>
      <c r="DR301" s="3"/>
      <c r="DS301" s="3"/>
      <c r="DT301" s="3"/>
      <c r="DU301" s="3"/>
      <c r="DV301" s="3"/>
      <c r="DW301" s="3"/>
      <c r="DX301" s="3"/>
      <c r="DY301" s="3"/>
      <c r="DZ301" s="3"/>
      <c r="EA301" s="3"/>
      <c r="EB301" s="3"/>
      <c r="EC301" s="3"/>
      <c r="ED301" s="3"/>
      <c r="EE301" s="3"/>
      <c r="EF301" s="3"/>
      <c r="EG301" s="3"/>
      <c r="EH301" s="3"/>
      <c r="EI301" s="3"/>
      <c r="EJ301" s="3"/>
      <c r="EK301" s="3"/>
      <c r="EL301" s="3"/>
      <c r="EM301" s="3"/>
      <c r="EN301" s="3"/>
      <c r="EO301" s="3"/>
      <c r="EP301" s="3"/>
      <c r="EQ301" s="3"/>
      <c r="ER301" s="3"/>
      <c r="ES301" s="3"/>
      <c r="ET301" s="3"/>
      <c r="EU301" s="3"/>
      <c r="EV301" s="3"/>
      <c r="EW301" s="3"/>
      <c r="EX301" s="3"/>
      <c r="EY301" s="3"/>
      <c r="EZ301" s="3"/>
      <c r="FA301" s="3"/>
      <c r="FB301" s="3"/>
      <c r="FC301" s="3"/>
      <c r="FD301" s="3"/>
      <c r="FE301" s="3"/>
      <c r="FF301" s="3"/>
      <c r="FG301" s="3"/>
      <c r="FH301" s="3"/>
      <c r="FI301" s="3"/>
      <c r="FJ301" s="3"/>
      <c r="FK301" s="3"/>
      <c r="FL301" s="3"/>
      <c r="FM301" s="3"/>
      <c r="FN301" s="3"/>
      <c r="FO301" s="3"/>
      <c r="FP301" s="3"/>
      <c r="FQ301" s="3"/>
      <c r="FR301" s="3"/>
      <c r="FS301" s="3"/>
      <c r="FT301" s="3"/>
      <c r="FU301" s="3"/>
      <c r="FV301" s="3"/>
      <c r="FW301" s="3"/>
      <c r="FX301" s="3"/>
      <c r="FY301" s="3"/>
      <c r="FZ301" s="3"/>
      <c r="GA301" s="3"/>
      <c r="GB301" s="3"/>
      <c r="GC301" s="3"/>
      <c r="GD301" s="3"/>
      <c r="GE301" s="3"/>
      <c r="GF301" s="3"/>
      <c r="GG301" s="3"/>
      <c r="GH301" s="3"/>
      <c r="GI301" s="3"/>
      <c r="GJ301" s="3"/>
      <c r="GK301" s="3"/>
      <c r="GL301" s="3"/>
      <c r="GM301" s="3"/>
      <c r="GN301" s="3"/>
      <c r="GO301" s="3"/>
      <c r="GP301" s="3"/>
      <c r="GQ301" s="3"/>
      <c r="GR301" s="3"/>
      <c r="GS301" s="3"/>
      <c r="GT301" s="3"/>
      <c r="GU301" s="3"/>
      <c r="GV301" s="3"/>
      <c r="GW301" s="3"/>
      <c r="GX301" s="3"/>
      <c r="GY301" s="3"/>
      <c r="GZ301" s="3"/>
      <c r="HA301" s="3"/>
      <c r="HB301" s="3"/>
      <c r="HC301" s="3"/>
      <c r="HD301" s="3"/>
      <c r="HE301" s="3"/>
      <c r="HF301" s="3"/>
      <c r="HG301" s="3"/>
      <c r="HH301" s="3"/>
      <c r="HI301" s="3"/>
      <c r="HJ301" s="3"/>
      <c r="HK301" s="3"/>
      <c r="HL301" s="3"/>
      <c r="HM301" s="3"/>
      <c r="HN301" s="3"/>
      <c r="HO301" s="3"/>
      <c r="HP301" s="3"/>
      <c r="HQ301" s="3"/>
      <c r="HR301" s="3"/>
      <c r="HS301" s="3"/>
      <c r="HT301" s="3"/>
      <c r="HU301" s="3"/>
      <c r="HV301" s="3"/>
      <c r="HW301" s="3"/>
      <c r="HX301" s="3"/>
      <c r="HY301" s="3"/>
      <c r="HZ301" s="3"/>
      <c r="IA301" s="3"/>
      <c r="IB301" s="3"/>
      <c r="IC301" s="3"/>
      <c r="ID301" s="3"/>
      <c r="IE301" s="3"/>
      <c r="IF301" s="3"/>
      <c r="IG301" s="3"/>
      <c r="IH301" s="3"/>
      <c r="II301" s="3"/>
      <c r="IJ301" s="3"/>
      <c r="IK301" s="3"/>
      <c r="IL301" s="3"/>
      <c r="IM301" s="3"/>
      <c r="IN301" s="3"/>
      <c r="IO301" s="3"/>
      <c r="IP301" s="3"/>
      <c r="IQ301" s="3"/>
      <c r="IR301" s="3"/>
      <c r="IS301" s="3"/>
      <c r="IT301" s="3"/>
      <c r="IU301" s="3"/>
      <c r="IV301" s="3"/>
      <c r="IW301" s="3"/>
      <c r="IX301" s="3"/>
      <c r="IY301" s="3"/>
      <c r="IZ301" s="3"/>
      <c r="JA301" s="3"/>
      <c r="JB301" s="3"/>
      <c r="JC301" s="3"/>
      <c r="JD301" s="3"/>
      <c r="JE301" s="3"/>
      <c r="JF301" s="3"/>
      <c r="JG301" s="3"/>
      <c r="JH301" s="3"/>
      <c r="JI301" s="3"/>
      <c r="JJ301" s="3"/>
      <c r="JK301" s="3"/>
      <c r="JL301" s="3"/>
      <c r="JM301" s="3"/>
      <c r="JN301" s="3"/>
      <c r="JO301" s="3"/>
      <c r="JP301" s="3"/>
      <c r="JQ301" s="3"/>
      <c r="JR301" s="3"/>
      <c r="JS301" s="3"/>
      <c r="JT301" s="3"/>
      <c r="JU301" s="3"/>
      <c r="JV301" s="3"/>
      <c r="JW301" s="3"/>
      <c r="JX301" s="3"/>
      <c r="JY301" s="3"/>
      <c r="JZ301" s="3"/>
      <c r="KA301" s="3"/>
      <c r="KB301" s="3"/>
      <c r="KC301" s="3"/>
      <c r="KD301" s="3"/>
      <c r="KE301" s="3"/>
      <c r="KF301" s="3"/>
      <c r="KG301" s="3"/>
      <c r="KH301" s="3"/>
      <c r="KI301" s="3"/>
      <c r="KJ301" s="3"/>
      <c r="KK301" s="3"/>
      <c r="KL301" s="3"/>
      <c r="KM301" s="3"/>
      <c r="KN301" s="3"/>
      <c r="KO301" s="3"/>
      <c r="KP301" s="3"/>
      <c r="KQ301" s="3"/>
      <c r="KR301" s="3"/>
      <c r="KS301" s="3"/>
      <c r="KT301" s="3"/>
      <c r="KU301" s="3"/>
      <c r="KV301" s="3"/>
      <c r="KW301" s="3"/>
      <c r="KX301" s="3"/>
      <c r="KY301" s="3"/>
      <c r="KZ301" s="3"/>
      <c r="LA301" s="3"/>
      <c r="LB301" s="3"/>
      <c r="LC301" s="3"/>
      <c r="LD301" s="3"/>
      <c r="LE301" s="3"/>
      <c r="LF301" s="3"/>
      <c r="LG301" s="3"/>
      <c r="LH301" s="3"/>
      <c r="LI301" s="3"/>
      <c r="LJ301" s="3"/>
      <c r="LK301" s="3"/>
      <c r="LL301" s="3"/>
      <c r="LM301" s="3"/>
      <c r="LN301" s="3"/>
      <c r="LO301" s="3"/>
      <c r="LP301" s="3"/>
      <c r="LQ301" s="3"/>
      <c r="LR301" s="3"/>
      <c r="LS301" s="3"/>
      <c r="LT301" s="3"/>
      <c r="LU301" s="3"/>
      <c r="LV301" s="3"/>
      <c r="LW301" s="3"/>
      <c r="LX301" s="3"/>
      <c r="LY301" s="3"/>
      <c r="LZ301" s="3"/>
      <c r="MA301" s="3"/>
      <c r="MB301" s="3"/>
      <c r="MC301" s="3"/>
      <c r="MD301" s="3"/>
      <c r="ME301" s="3"/>
      <c r="MF301" s="3"/>
      <c r="MG301" s="3"/>
      <c r="MH301" s="3"/>
      <c r="MI301" s="3"/>
      <c r="MJ301" s="3"/>
      <c r="MK301" s="3"/>
      <c r="ML301" s="3"/>
      <c r="MM301" s="3"/>
      <c r="MN301" s="3"/>
      <c r="MO301" s="3"/>
      <c r="MP301" s="3"/>
      <c r="MQ301" s="3"/>
      <c r="MR301" s="3"/>
      <c r="MS301" s="3"/>
      <c r="MT301" s="3"/>
      <c r="MU301" s="3"/>
      <c r="MV301" s="3"/>
      <c r="MW301" s="3"/>
      <c r="MX301" s="3"/>
      <c r="MY301" s="3"/>
      <c r="MZ301" s="3"/>
      <c r="NA301" s="3"/>
      <c r="NB301" s="3"/>
      <c r="NC301" s="3"/>
      <c r="ND301" s="3"/>
      <c r="NE301" s="3"/>
      <c r="NF301" s="3"/>
      <c r="NG301" s="3"/>
      <c r="NH301" s="3"/>
      <c r="NI301" s="3"/>
      <c r="NJ301" s="3"/>
      <c r="NK301" s="3"/>
      <c r="NL301" s="3"/>
      <c r="NM301" s="3"/>
      <c r="NN301" s="3"/>
      <c r="NO301" s="3"/>
      <c r="NP301" s="3"/>
      <c r="NQ301" s="3"/>
      <c r="NR301" s="3"/>
      <c r="NS301" s="3"/>
      <c r="NT301" s="3"/>
      <c r="NU301" s="3"/>
      <c r="NV301" s="3"/>
      <c r="NW301" s="3"/>
      <c r="NX301" s="3"/>
      <c r="NY301" s="3"/>
      <c r="NZ301" s="3"/>
      <c r="OA301" s="3"/>
      <c r="OB301" s="3"/>
      <c r="OC301" s="3"/>
      <c r="OD301" s="3"/>
      <c r="OE301" s="3"/>
      <c r="OF301" s="3"/>
      <c r="OG301" s="3"/>
      <c r="OH301" s="3"/>
      <c r="OI301" s="3"/>
      <c r="OJ301" s="3"/>
      <c r="OK301" s="3"/>
      <c r="OL301" s="3"/>
      <c r="OM301" s="3"/>
      <c r="ON301" s="3"/>
      <c r="OO301" s="3"/>
      <c r="OP301" s="3"/>
      <c r="OQ301" s="3"/>
      <c r="OR301" s="3"/>
      <c r="OS301" s="3"/>
      <c r="OT301" s="3"/>
      <c r="OU301" s="3"/>
      <c r="OV301" s="3"/>
      <c r="OW301" s="3"/>
      <c r="OX301" s="3"/>
      <c r="OY301" s="3"/>
      <c r="OZ301" s="3"/>
      <c r="PA301" s="3"/>
      <c r="PB301" s="3"/>
      <c r="PC301" s="3"/>
      <c r="PD301" s="3"/>
      <c r="PE301" s="3"/>
      <c r="PF301" s="3"/>
      <c r="PG301" s="3"/>
      <c r="PH301" s="3"/>
      <c r="PI301" s="3"/>
      <c r="PJ301" s="3"/>
      <c r="PK301" s="3"/>
      <c r="PL301" s="3"/>
      <c r="PM301" s="3"/>
      <c r="PN301" s="3"/>
      <c r="PO301" s="3"/>
      <c r="PP301" s="3"/>
      <c r="PQ301" s="3"/>
      <c r="PR301" s="3"/>
      <c r="PS301" s="3"/>
      <c r="PT301" s="3"/>
      <c r="PU301" s="3"/>
      <c r="PV301" s="3"/>
      <c r="PW301" s="3"/>
      <c r="PX301" s="3"/>
      <c r="PY301" s="3"/>
      <c r="PZ301" s="3"/>
      <c r="QA301" s="3"/>
      <c r="QB301" s="3"/>
      <c r="QC301" s="3"/>
      <c r="QD301" s="3"/>
      <c r="QE301" s="3"/>
      <c r="QF301" s="3"/>
      <c r="QG301" s="3"/>
      <c r="QH301" s="3"/>
      <c r="QI301" s="3"/>
      <c r="QJ301" s="3"/>
      <c r="QK301" s="3"/>
      <c r="QL301" s="3"/>
      <c r="QM301" s="3"/>
      <c r="QN301" s="3"/>
      <c r="QO301" s="3"/>
      <c r="QP301" s="3"/>
      <c r="QQ301" s="3"/>
      <c r="QR301" s="3"/>
      <c r="QS301" s="3"/>
      <c r="QT301" s="3"/>
      <c r="QU301" s="3"/>
      <c r="QV301" s="3"/>
      <c r="QW301" s="3"/>
      <c r="QX301" s="3"/>
      <c r="QY301" s="3"/>
      <c r="QZ301" s="3"/>
      <c r="RA301" s="3"/>
      <c r="RB301" s="3"/>
      <c r="RC301" s="3"/>
      <c r="RD301" s="3"/>
      <c r="RE301" s="3"/>
      <c r="RF301" s="3"/>
      <c r="RG301" s="3"/>
      <c r="RH301" s="3"/>
      <c r="RI301" s="3"/>
      <c r="RJ301" s="3"/>
      <c r="RK301" s="3"/>
      <c r="RL301" s="3"/>
      <c r="RM301" s="3"/>
      <c r="RN301" s="3"/>
      <c r="RO301" s="3"/>
      <c r="RP301" s="3"/>
      <c r="RQ301" s="3"/>
      <c r="RR301" s="3"/>
      <c r="RS301" s="3"/>
      <c r="RT301" s="3"/>
      <c r="RU301" s="3"/>
      <c r="RV301" s="3"/>
      <c r="RW301" s="3"/>
      <c r="RX301" s="3"/>
      <c r="RY301" s="3"/>
      <c r="RZ301" s="3"/>
      <c r="SA301" s="3"/>
      <c r="SB301" s="3"/>
      <c r="SC301" s="3"/>
      <c r="SD301" s="3"/>
      <c r="SE301" s="3"/>
      <c r="SF301" s="3"/>
      <c r="SG301" s="3"/>
      <c r="SH301" s="3"/>
      <c r="SI301" s="3"/>
      <c r="SJ301" s="3"/>
      <c r="SK301" s="3"/>
      <c r="SL301" s="3"/>
      <c r="SM301" s="3"/>
      <c r="SN301" s="3"/>
      <c r="SO301" s="3"/>
      <c r="SP301" s="3"/>
      <c r="SQ301" s="3"/>
      <c r="SR301" s="3"/>
      <c r="SS301" s="3"/>
      <c r="ST301" s="3"/>
      <c r="SU301" s="3"/>
      <c r="SV301" s="3"/>
      <c r="SW301" s="3"/>
      <c r="SX301" s="3"/>
      <c r="SY301" s="3"/>
      <c r="SZ301" s="3"/>
      <c r="TA301" s="3"/>
      <c r="TB301" s="3"/>
      <c r="TC301" s="3"/>
      <c r="TD301" s="3"/>
      <c r="TE301" s="3"/>
      <c r="TF301" s="3"/>
      <c r="TG301" s="3"/>
      <c r="TH301" s="3"/>
      <c r="TI301" s="3"/>
      <c r="TJ301" s="3"/>
      <c r="TK301" s="3"/>
      <c r="TL301" s="3"/>
      <c r="TM301" s="3"/>
      <c r="TN301" s="3"/>
      <c r="TO301" s="3"/>
      <c r="TP301" s="3"/>
      <c r="TQ301" s="3"/>
      <c r="TR301" s="3"/>
      <c r="TS301" s="3"/>
      <c r="TT301" s="3"/>
      <c r="TU301" s="3"/>
      <c r="TV301" s="3"/>
      <c r="TW301" s="3"/>
      <c r="TX301" s="3"/>
      <c r="TY301" s="3"/>
      <c r="TZ301" s="3"/>
      <c r="UA301" s="3"/>
      <c r="UB301" s="3"/>
      <c r="UC301" s="3"/>
      <c r="UD301" s="3"/>
      <c r="UE301" s="3"/>
      <c r="UF301" s="3"/>
      <c r="UG301" s="3"/>
      <c r="UH301" s="3"/>
      <c r="UI301" s="3"/>
      <c r="UJ301" s="3"/>
      <c r="UK301" s="3"/>
      <c r="UL301" s="3"/>
      <c r="UM301" s="3"/>
      <c r="UN301" s="3"/>
      <c r="UO301" s="3"/>
      <c r="UP301" s="3"/>
      <c r="UQ301" s="3"/>
      <c r="UR301" s="3"/>
      <c r="US301" s="3"/>
      <c r="UT301" s="3"/>
      <c r="UU301" s="3"/>
      <c r="UV301" s="3"/>
      <c r="UW301" s="3"/>
      <c r="UX301" s="3"/>
      <c r="UY301" s="3"/>
      <c r="UZ301" s="3"/>
      <c r="VA301" s="3"/>
      <c r="VB301" s="3"/>
      <c r="VC301" s="3"/>
      <c r="VD301" s="3"/>
      <c r="VE301" s="3"/>
      <c r="VF301" s="3"/>
      <c r="VG301" s="3"/>
      <c r="VH301" s="3"/>
      <c r="VI301" s="3"/>
      <c r="VJ301" s="3"/>
      <c r="VK301" s="3"/>
      <c r="VL301" s="3"/>
      <c r="VM301" s="3"/>
      <c r="VN301" s="3"/>
      <c r="VO301" s="3"/>
      <c r="VP301" s="3"/>
      <c r="VQ301" s="3"/>
      <c r="VR301" s="3"/>
      <c r="VS301" s="3"/>
      <c r="VT301" s="3"/>
      <c r="VU301" s="3"/>
      <c r="VV301" s="3"/>
      <c r="VW301" s="3"/>
      <c r="VX301" s="3"/>
      <c r="VY301" s="3"/>
      <c r="VZ301" s="3"/>
      <c r="WA301" s="3"/>
      <c r="WB301" s="3"/>
      <c r="WC301" s="3"/>
      <c r="WD301" s="3"/>
      <c r="WE301" s="3"/>
      <c r="WF301" s="3"/>
      <c r="WG301" s="3"/>
      <c r="WH301" s="3"/>
      <c r="WI301" s="3"/>
      <c r="WJ301" s="3"/>
      <c r="WK301" s="3"/>
      <c r="WL301" s="3"/>
      <c r="WM301" s="3"/>
      <c r="WN301" s="3"/>
      <c r="WO301" s="3"/>
      <c r="WP301" s="3"/>
      <c r="WQ301" s="3"/>
      <c r="WR301" s="3"/>
      <c r="WS301" s="3"/>
      <c r="WT301" s="3"/>
      <c r="WU301" s="3"/>
      <c r="WV301" s="3"/>
      <c r="WW301" s="3"/>
      <c r="WX301" s="3"/>
      <c r="WY301" s="3"/>
      <c r="WZ301" s="3"/>
      <c r="XA301" s="3"/>
      <c r="XB301" s="3"/>
      <c r="XC301" s="3"/>
      <c r="XD301" s="3"/>
      <c r="XE301" s="3"/>
      <c r="XF301" s="3"/>
      <c r="XG301" s="3"/>
      <c r="XH301" s="3"/>
      <c r="XI301" s="3"/>
      <c r="XJ301" s="3"/>
      <c r="XK301" s="3"/>
      <c r="XL301" s="3"/>
      <c r="XM301" s="3"/>
      <c r="XN301" s="3"/>
      <c r="XO301" s="3"/>
      <c r="XP301" s="3"/>
      <c r="XQ301" s="3"/>
      <c r="XR301" s="3"/>
      <c r="XS301" s="3"/>
      <c r="XT301" s="3"/>
      <c r="XU301" s="3"/>
      <c r="XV301" s="3"/>
      <c r="XW301" s="3"/>
      <c r="XX301" s="3"/>
      <c r="XY301" s="3"/>
      <c r="XZ301" s="3"/>
      <c r="YA301" s="3"/>
      <c r="YB301" s="3"/>
      <c r="YC301" s="3"/>
      <c r="YD301" s="3"/>
      <c r="YE301" s="3"/>
      <c r="YF301" s="3"/>
      <c r="YG301" s="3"/>
      <c r="YH301" s="3"/>
      <c r="YI301" s="3"/>
      <c r="YJ301" s="3"/>
      <c r="YK301" s="3"/>
      <c r="YL301" s="3"/>
      <c r="YM301" s="3"/>
      <c r="YN301" s="3"/>
      <c r="YO301" s="3"/>
      <c r="YP301" s="3"/>
      <c r="YQ301" s="3"/>
      <c r="YR301" s="3"/>
      <c r="YS301" s="3"/>
      <c r="YT301" s="3"/>
      <c r="YU301" s="3"/>
      <c r="YV301" s="3"/>
      <c r="YW301" s="3"/>
      <c r="YX301" s="3"/>
      <c r="YY301" s="3"/>
      <c r="YZ301" s="3"/>
      <c r="ZA301" s="3"/>
      <c r="ZB301" s="3"/>
      <c r="ZC301" s="3"/>
    </row>
    <row r="302" spans="1:679" s="2" customFormat="1" x14ac:dyDescent="0.45">
      <c r="A302" s="3" t="s">
        <v>11</v>
      </c>
      <c r="B302" s="4">
        <v>38853</v>
      </c>
      <c r="C302" s="7" t="s">
        <v>21</v>
      </c>
      <c r="D302" s="6" t="s">
        <v>322</v>
      </c>
      <c r="E302" s="3"/>
      <c r="F302" s="3">
        <v>34</v>
      </c>
      <c r="L302" s="3"/>
      <c r="M302" s="3"/>
      <c r="N302" s="48"/>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c r="CO302" s="3"/>
      <c r="CP302" s="3"/>
      <c r="CQ302" s="3"/>
      <c r="CR302" s="3"/>
      <c r="CS302" s="3"/>
      <c r="CT302" s="3"/>
      <c r="CU302" s="3"/>
      <c r="CV302" s="3"/>
      <c r="CW302" s="3"/>
      <c r="CX302" s="3"/>
      <c r="CY302" s="3"/>
      <c r="CZ302" s="3"/>
      <c r="DA302" s="3"/>
      <c r="DB302" s="3"/>
      <c r="DC302" s="3"/>
      <c r="DD302" s="3"/>
      <c r="DE302" s="3"/>
      <c r="DF302" s="3"/>
      <c r="DG302" s="3"/>
      <c r="DH302" s="3"/>
      <c r="DI302" s="3"/>
      <c r="DJ302" s="3"/>
      <c r="DK302" s="3"/>
      <c r="DL302" s="3"/>
      <c r="DM302" s="3"/>
      <c r="DN302" s="3"/>
      <c r="DO302" s="3"/>
      <c r="DP302" s="3"/>
      <c r="DQ302" s="3"/>
      <c r="DR302" s="3"/>
      <c r="DS302" s="3"/>
      <c r="DT302" s="3"/>
      <c r="DU302" s="3"/>
      <c r="DV302" s="3"/>
      <c r="DW302" s="3"/>
      <c r="DX302" s="3"/>
      <c r="DY302" s="3"/>
      <c r="DZ302" s="3"/>
      <c r="EA302" s="3"/>
      <c r="EB302" s="3"/>
      <c r="EC302" s="3"/>
      <c r="ED302" s="3"/>
      <c r="EE302" s="3"/>
      <c r="EF302" s="3"/>
      <c r="EG302" s="3"/>
      <c r="EH302" s="3"/>
      <c r="EI302" s="3"/>
      <c r="EJ302" s="3"/>
      <c r="EK302" s="3"/>
      <c r="EL302" s="3"/>
      <c r="EM302" s="3"/>
      <c r="EN302" s="3"/>
      <c r="EO302" s="3"/>
      <c r="EP302" s="3"/>
      <c r="EQ302" s="3"/>
      <c r="ER302" s="3"/>
      <c r="ES302" s="3"/>
      <c r="ET302" s="3"/>
      <c r="EU302" s="3"/>
      <c r="EV302" s="3"/>
      <c r="EW302" s="3"/>
      <c r="EX302" s="3"/>
      <c r="EY302" s="3"/>
      <c r="EZ302" s="3"/>
      <c r="FA302" s="3"/>
      <c r="FB302" s="3"/>
      <c r="FC302" s="3"/>
      <c r="FD302" s="3"/>
      <c r="FE302" s="3"/>
      <c r="FF302" s="3"/>
      <c r="FG302" s="3"/>
      <c r="FH302" s="3"/>
      <c r="FI302" s="3"/>
      <c r="FJ302" s="3"/>
      <c r="FK302" s="3"/>
      <c r="FL302" s="3"/>
      <c r="FM302" s="3"/>
      <c r="FN302" s="3"/>
      <c r="FO302" s="3"/>
      <c r="FP302" s="3"/>
      <c r="FQ302" s="3"/>
      <c r="FR302" s="3"/>
      <c r="FS302" s="3"/>
      <c r="FT302" s="3"/>
      <c r="FU302" s="3"/>
      <c r="FV302" s="3"/>
      <c r="FW302" s="3"/>
      <c r="FX302" s="3"/>
      <c r="FY302" s="3"/>
      <c r="FZ302" s="3"/>
      <c r="GA302" s="3"/>
      <c r="GB302" s="3"/>
      <c r="GC302" s="3"/>
      <c r="GD302" s="3"/>
      <c r="GE302" s="3"/>
      <c r="GF302" s="3"/>
      <c r="GG302" s="3"/>
      <c r="GH302" s="3"/>
      <c r="GI302" s="3"/>
      <c r="GJ302" s="3"/>
      <c r="GK302" s="3"/>
      <c r="GL302" s="3"/>
      <c r="GM302" s="3"/>
      <c r="GN302" s="3"/>
      <c r="GO302" s="3"/>
      <c r="GP302" s="3"/>
      <c r="GQ302" s="3"/>
      <c r="GR302" s="3"/>
      <c r="GS302" s="3"/>
      <c r="GT302" s="3"/>
      <c r="GU302" s="3"/>
      <c r="GV302" s="3"/>
      <c r="GW302" s="3"/>
      <c r="GX302" s="3"/>
      <c r="GY302" s="3"/>
      <c r="GZ302" s="3"/>
      <c r="HA302" s="3"/>
      <c r="HB302" s="3"/>
      <c r="HC302" s="3"/>
      <c r="HD302" s="3"/>
      <c r="HE302" s="3"/>
      <c r="HF302" s="3"/>
      <c r="HG302" s="3"/>
      <c r="HH302" s="3"/>
      <c r="HI302" s="3"/>
      <c r="HJ302" s="3"/>
      <c r="HK302" s="3"/>
      <c r="HL302" s="3"/>
      <c r="HM302" s="3"/>
      <c r="HN302" s="3"/>
      <c r="HO302" s="3"/>
      <c r="HP302" s="3"/>
      <c r="HQ302" s="3"/>
      <c r="HR302" s="3"/>
      <c r="HS302" s="3"/>
      <c r="HT302" s="3"/>
      <c r="HU302" s="3"/>
      <c r="HV302" s="3"/>
      <c r="HW302" s="3"/>
      <c r="HX302" s="3"/>
      <c r="HY302" s="3"/>
      <c r="HZ302" s="3"/>
      <c r="IA302" s="3"/>
      <c r="IB302" s="3"/>
      <c r="IC302" s="3"/>
      <c r="ID302" s="3"/>
      <c r="IE302" s="3"/>
      <c r="IF302" s="3"/>
      <c r="IG302" s="3"/>
      <c r="IH302" s="3"/>
      <c r="II302" s="3"/>
      <c r="IJ302" s="3"/>
      <c r="IK302" s="3"/>
      <c r="IL302" s="3"/>
      <c r="IM302" s="3"/>
      <c r="IN302" s="3"/>
      <c r="IO302" s="3"/>
      <c r="IP302" s="3"/>
      <c r="IQ302" s="3"/>
      <c r="IR302" s="3"/>
      <c r="IS302" s="3"/>
      <c r="IT302" s="3"/>
      <c r="IU302" s="3"/>
      <c r="IV302" s="3"/>
      <c r="IW302" s="3"/>
      <c r="IX302" s="3"/>
      <c r="IY302" s="3"/>
      <c r="IZ302" s="3"/>
      <c r="JA302" s="3"/>
      <c r="JB302" s="3"/>
      <c r="JC302" s="3"/>
      <c r="JD302" s="3"/>
      <c r="JE302" s="3"/>
      <c r="JF302" s="3"/>
      <c r="JG302" s="3"/>
      <c r="JH302" s="3"/>
      <c r="JI302" s="3"/>
      <c r="JJ302" s="3"/>
      <c r="JK302" s="3"/>
      <c r="JL302" s="3"/>
      <c r="JM302" s="3"/>
      <c r="JN302" s="3"/>
      <c r="JO302" s="3"/>
      <c r="JP302" s="3"/>
      <c r="JQ302" s="3"/>
      <c r="JR302" s="3"/>
      <c r="JS302" s="3"/>
      <c r="JT302" s="3"/>
      <c r="JU302" s="3"/>
      <c r="JV302" s="3"/>
      <c r="JW302" s="3"/>
      <c r="JX302" s="3"/>
      <c r="JY302" s="3"/>
      <c r="JZ302" s="3"/>
      <c r="KA302" s="3"/>
      <c r="KB302" s="3"/>
      <c r="KC302" s="3"/>
      <c r="KD302" s="3"/>
      <c r="KE302" s="3"/>
      <c r="KF302" s="3"/>
      <c r="KG302" s="3"/>
      <c r="KH302" s="3"/>
      <c r="KI302" s="3"/>
      <c r="KJ302" s="3"/>
      <c r="KK302" s="3"/>
      <c r="KL302" s="3"/>
      <c r="KM302" s="3"/>
      <c r="KN302" s="3"/>
      <c r="KO302" s="3"/>
      <c r="KP302" s="3"/>
      <c r="KQ302" s="3"/>
      <c r="KR302" s="3"/>
      <c r="KS302" s="3"/>
      <c r="KT302" s="3"/>
      <c r="KU302" s="3"/>
      <c r="KV302" s="3"/>
      <c r="KW302" s="3"/>
      <c r="KX302" s="3"/>
      <c r="KY302" s="3"/>
      <c r="KZ302" s="3"/>
      <c r="LA302" s="3"/>
      <c r="LB302" s="3"/>
      <c r="LC302" s="3"/>
      <c r="LD302" s="3"/>
      <c r="LE302" s="3"/>
      <c r="LF302" s="3"/>
      <c r="LG302" s="3"/>
      <c r="LH302" s="3"/>
      <c r="LI302" s="3"/>
      <c r="LJ302" s="3"/>
      <c r="LK302" s="3"/>
      <c r="LL302" s="3"/>
      <c r="LM302" s="3"/>
      <c r="LN302" s="3"/>
      <c r="LO302" s="3"/>
      <c r="LP302" s="3"/>
      <c r="LQ302" s="3"/>
      <c r="LR302" s="3"/>
      <c r="LS302" s="3"/>
      <c r="LT302" s="3"/>
      <c r="LU302" s="3"/>
      <c r="LV302" s="3"/>
      <c r="LW302" s="3"/>
      <c r="LX302" s="3"/>
      <c r="LY302" s="3"/>
      <c r="LZ302" s="3"/>
      <c r="MA302" s="3"/>
      <c r="MB302" s="3"/>
      <c r="MC302" s="3"/>
      <c r="MD302" s="3"/>
      <c r="ME302" s="3"/>
      <c r="MF302" s="3"/>
      <c r="MG302" s="3"/>
      <c r="MH302" s="3"/>
      <c r="MI302" s="3"/>
      <c r="MJ302" s="3"/>
      <c r="MK302" s="3"/>
      <c r="ML302" s="3"/>
      <c r="MM302" s="3"/>
      <c r="MN302" s="3"/>
      <c r="MO302" s="3"/>
      <c r="MP302" s="3"/>
      <c r="MQ302" s="3"/>
      <c r="MR302" s="3"/>
      <c r="MS302" s="3"/>
      <c r="MT302" s="3"/>
      <c r="MU302" s="3"/>
      <c r="MV302" s="3"/>
      <c r="MW302" s="3"/>
      <c r="MX302" s="3"/>
      <c r="MY302" s="3"/>
      <c r="MZ302" s="3"/>
      <c r="NA302" s="3"/>
      <c r="NB302" s="3"/>
      <c r="NC302" s="3"/>
      <c r="ND302" s="3"/>
      <c r="NE302" s="3"/>
      <c r="NF302" s="3"/>
      <c r="NG302" s="3"/>
      <c r="NH302" s="3"/>
      <c r="NI302" s="3"/>
      <c r="NJ302" s="3"/>
      <c r="NK302" s="3"/>
      <c r="NL302" s="3"/>
      <c r="NM302" s="3"/>
      <c r="NN302" s="3"/>
      <c r="NO302" s="3"/>
      <c r="NP302" s="3"/>
      <c r="NQ302" s="3"/>
      <c r="NR302" s="3"/>
      <c r="NS302" s="3"/>
      <c r="NT302" s="3"/>
      <c r="NU302" s="3"/>
      <c r="NV302" s="3"/>
      <c r="NW302" s="3"/>
      <c r="NX302" s="3"/>
      <c r="NY302" s="3"/>
      <c r="NZ302" s="3"/>
      <c r="OA302" s="3"/>
      <c r="OB302" s="3"/>
      <c r="OC302" s="3"/>
      <c r="OD302" s="3"/>
      <c r="OE302" s="3"/>
      <c r="OF302" s="3"/>
      <c r="OG302" s="3"/>
      <c r="OH302" s="3"/>
      <c r="OI302" s="3"/>
      <c r="OJ302" s="3"/>
      <c r="OK302" s="3"/>
      <c r="OL302" s="3"/>
      <c r="OM302" s="3"/>
      <c r="ON302" s="3"/>
      <c r="OO302" s="3"/>
      <c r="OP302" s="3"/>
      <c r="OQ302" s="3"/>
      <c r="OR302" s="3"/>
      <c r="OS302" s="3"/>
      <c r="OT302" s="3"/>
      <c r="OU302" s="3"/>
      <c r="OV302" s="3"/>
      <c r="OW302" s="3"/>
      <c r="OX302" s="3"/>
      <c r="OY302" s="3"/>
      <c r="OZ302" s="3"/>
      <c r="PA302" s="3"/>
      <c r="PB302" s="3"/>
      <c r="PC302" s="3"/>
      <c r="PD302" s="3"/>
      <c r="PE302" s="3"/>
      <c r="PF302" s="3"/>
      <c r="PG302" s="3"/>
      <c r="PH302" s="3"/>
      <c r="PI302" s="3"/>
      <c r="PJ302" s="3"/>
      <c r="PK302" s="3"/>
      <c r="PL302" s="3"/>
      <c r="PM302" s="3"/>
      <c r="PN302" s="3"/>
      <c r="PO302" s="3"/>
      <c r="PP302" s="3"/>
      <c r="PQ302" s="3"/>
      <c r="PR302" s="3"/>
      <c r="PS302" s="3"/>
      <c r="PT302" s="3"/>
      <c r="PU302" s="3"/>
      <c r="PV302" s="3"/>
      <c r="PW302" s="3"/>
      <c r="PX302" s="3"/>
      <c r="PY302" s="3"/>
      <c r="PZ302" s="3"/>
      <c r="QA302" s="3"/>
      <c r="QB302" s="3"/>
      <c r="QC302" s="3"/>
      <c r="QD302" s="3"/>
      <c r="QE302" s="3"/>
      <c r="QF302" s="3"/>
      <c r="QG302" s="3"/>
      <c r="QH302" s="3"/>
      <c r="QI302" s="3"/>
      <c r="QJ302" s="3"/>
      <c r="QK302" s="3"/>
      <c r="QL302" s="3"/>
      <c r="QM302" s="3"/>
      <c r="QN302" s="3"/>
      <c r="QO302" s="3"/>
      <c r="QP302" s="3"/>
      <c r="QQ302" s="3"/>
      <c r="QR302" s="3"/>
      <c r="QS302" s="3"/>
      <c r="QT302" s="3"/>
      <c r="QU302" s="3"/>
      <c r="QV302" s="3"/>
      <c r="QW302" s="3"/>
      <c r="QX302" s="3"/>
      <c r="QY302" s="3"/>
      <c r="QZ302" s="3"/>
      <c r="RA302" s="3"/>
      <c r="RB302" s="3"/>
      <c r="RC302" s="3"/>
      <c r="RD302" s="3"/>
      <c r="RE302" s="3"/>
      <c r="RF302" s="3"/>
      <c r="RG302" s="3"/>
      <c r="RH302" s="3"/>
      <c r="RI302" s="3"/>
      <c r="RJ302" s="3"/>
      <c r="RK302" s="3"/>
      <c r="RL302" s="3"/>
      <c r="RM302" s="3"/>
      <c r="RN302" s="3"/>
      <c r="RO302" s="3"/>
      <c r="RP302" s="3"/>
      <c r="RQ302" s="3"/>
      <c r="RR302" s="3"/>
      <c r="RS302" s="3"/>
      <c r="RT302" s="3"/>
      <c r="RU302" s="3"/>
      <c r="RV302" s="3"/>
      <c r="RW302" s="3"/>
      <c r="RX302" s="3"/>
      <c r="RY302" s="3"/>
      <c r="RZ302" s="3"/>
      <c r="SA302" s="3"/>
      <c r="SB302" s="3"/>
      <c r="SC302" s="3"/>
      <c r="SD302" s="3"/>
      <c r="SE302" s="3"/>
      <c r="SF302" s="3"/>
      <c r="SG302" s="3"/>
      <c r="SH302" s="3"/>
      <c r="SI302" s="3"/>
      <c r="SJ302" s="3"/>
      <c r="SK302" s="3"/>
      <c r="SL302" s="3"/>
      <c r="SM302" s="3"/>
      <c r="SN302" s="3"/>
      <c r="SO302" s="3"/>
      <c r="SP302" s="3"/>
      <c r="SQ302" s="3"/>
      <c r="SR302" s="3"/>
      <c r="SS302" s="3"/>
      <c r="ST302" s="3"/>
      <c r="SU302" s="3"/>
      <c r="SV302" s="3"/>
      <c r="SW302" s="3"/>
      <c r="SX302" s="3"/>
      <c r="SY302" s="3"/>
      <c r="SZ302" s="3"/>
      <c r="TA302" s="3"/>
      <c r="TB302" s="3"/>
      <c r="TC302" s="3"/>
      <c r="TD302" s="3"/>
      <c r="TE302" s="3"/>
      <c r="TF302" s="3"/>
      <c r="TG302" s="3"/>
      <c r="TH302" s="3"/>
      <c r="TI302" s="3"/>
      <c r="TJ302" s="3"/>
      <c r="TK302" s="3"/>
      <c r="TL302" s="3"/>
      <c r="TM302" s="3"/>
      <c r="TN302" s="3"/>
      <c r="TO302" s="3"/>
      <c r="TP302" s="3"/>
      <c r="TQ302" s="3"/>
      <c r="TR302" s="3"/>
      <c r="TS302" s="3"/>
      <c r="TT302" s="3"/>
      <c r="TU302" s="3"/>
      <c r="TV302" s="3"/>
      <c r="TW302" s="3"/>
      <c r="TX302" s="3"/>
      <c r="TY302" s="3"/>
      <c r="TZ302" s="3"/>
      <c r="UA302" s="3"/>
      <c r="UB302" s="3"/>
      <c r="UC302" s="3"/>
      <c r="UD302" s="3"/>
      <c r="UE302" s="3"/>
      <c r="UF302" s="3"/>
      <c r="UG302" s="3"/>
      <c r="UH302" s="3"/>
      <c r="UI302" s="3"/>
      <c r="UJ302" s="3"/>
      <c r="UK302" s="3"/>
      <c r="UL302" s="3"/>
      <c r="UM302" s="3"/>
      <c r="UN302" s="3"/>
      <c r="UO302" s="3"/>
      <c r="UP302" s="3"/>
      <c r="UQ302" s="3"/>
      <c r="UR302" s="3"/>
      <c r="US302" s="3"/>
      <c r="UT302" s="3"/>
      <c r="UU302" s="3"/>
      <c r="UV302" s="3"/>
      <c r="UW302" s="3"/>
      <c r="UX302" s="3"/>
      <c r="UY302" s="3"/>
      <c r="UZ302" s="3"/>
      <c r="VA302" s="3"/>
      <c r="VB302" s="3"/>
      <c r="VC302" s="3"/>
      <c r="VD302" s="3"/>
      <c r="VE302" s="3"/>
      <c r="VF302" s="3"/>
      <c r="VG302" s="3"/>
      <c r="VH302" s="3"/>
      <c r="VI302" s="3"/>
      <c r="VJ302" s="3"/>
      <c r="VK302" s="3"/>
      <c r="VL302" s="3"/>
      <c r="VM302" s="3"/>
      <c r="VN302" s="3"/>
      <c r="VO302" s="3"/>
      <c r="VP302" s="3"/>
      <c r="VQ302" s="3"/>
      <c r="VR302" s="3"/>
      <c r="VS302" s="3"/>
      <c r="VT302" s="3"/>
      <c r="VU302" s="3"/>
      <c r="VV302" s="3"/>
      <c r="VW302" s="3"/>
      <c r="VX302" s="3"/>
      <c r="VY302" s="3"/>
      <c r="VZ302" s="3"/>
      <c r="WA302" s="3"/>
      <c r="WB302" s="3"/>
      <c r="WC302" s="3"/>
      <c r="WD302" s="3"/>
      <c r="WE302" s="3"/>
      <c r="WF302" s="3"/>
      <c r="WG302" s="3"/>
      <c r="WH302" s="3"/>
      <c r="WI302" s="3"/>
      <c r="WJ302" s="3"/>
      <c r="WK302" s="3"/>
      <c r="WL302" s="3"/>
      <c r="WM302" s="3"/>
      <c r="WN302" s="3"/>
      <c r="WO302" s="3"/>
      <c r="WP302" s="3"/>
      <c r="WQ302" s="3"/>
      <c r="WR302" s="3"/>
      <c r="WS302" s="3"/>
      <c r="WT302" s="3"/>
      <c r="WU302" s="3"/>
      <c r="WV302" s="3"/>
      <c r="WW302" s="3"/>
      <c r="WX302" s="3"/>
      <c r="WY302" s="3"/>
      <c r="WZ302" s="3"/>
      <c r="XA302" s="3"/>
      <c r="XB302" s="3"/>
      <c r="XC302" s="3"/>
      <c r="XD302" s="3"/>
      <c r="XE302" s="3"/>
      <c r="XF302" s="3"/>
      <c r="XG302" s="3"/>
      <c r="XH302" s="3"/>
      <c r="XI302" s="3"/>
      <c r="XJ302" s="3"/>
      <c r="XK302" s="3"/>
      <c r="XL302" s="3"/>
      <c r="XM302" s="3"/>
      <c r="XN302" s="3"/>
      <c r="XO302" s="3"/>
      <c r="XP302" s="3"/>
      <c r="XQ302" s="3"/>
      <c r="XR302" s="3"/>
      <c r="XS302" s="3"/>
      <c r="XT302" s="3"/>
      <c r="XU302" s="3"/>
      <c r="XV302" s="3"/>
      <c r="XW302" s="3"/>
      <c r="XX302" s="3"/>
      <c r="XY302" s="3"/>
      <c r="XZ302" s="3"/>
      <c r="YA302" s="3"/>
      <c r="YB302" s="3"/>
      <c r="YC302" s="3"/>
      <c r="YD302" s="3"/>
      <c r="YE302" s="3"/>
      <c r="YF302" s="3"/>
      <c r="YG302" s="3"/>
      <c r="YH302" s="3"/>
      <c r="YI302" s="3"/>
      <c r="YJ302" s="3"/>
      <c r="YK302" s="3"/>
      <c r="YL302" s="3"/>
      <c r="YM302" s="3"/>
      <c r="YN302" s="3"/>
      <c r="YO302" s="3"/>
      <c r="YP302" s="3"/>
      <c r="YQ302" s="3"/>
      <c r="YR302" s="3"/>
      <c r="YS302" s="3"/>
      <c r="YT302" s="3"/>
      <c r="YU302" s="3"/>
      <c r="YV302" s="3"/>
      <c r="YW302" s="3"/>
      <c r="YX302" s="3"/>
      <c r="YY302" s="3"/>
      <c r="YZ302" s="3"/>
      <c r="ZA302" s="3"/>
      <c r="ZB302" s="3"/>
      <c r="ZC302" s="3"/>
    </row>
    <row r="303" spans="1:679" s="2" customFormat="1" x14ac:dyDescent="0.45">
      <c r="A303" s="3" t="s">
        <v>11</v>
      </c>
      <c r="B303" s="4">
        <v>38853</v>
      </c>
      <c r="C303" s="7" t="s">
        <v>21</v>
      </c>
      <c r="D303" s="6" t="s">
        <v>323</v>
      </c>
      <c r="E303" s="3"/>
      <c r="F303" s="3">
        <v>47</v>
      </c>
      <c r="L303" s="3"/>
      <c r="M303" s="3"/>
      <c r="N303" s="48"/>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c r="CO303" s="3"/>
      <c r="CP303" s="3"/>
      <c r="CQ303" s="3"/>
      <c r="CR303" s="3"/>
      <c r="CS303" s="3"/>
      <c r="CT303" s="3"/>
      <c r="CU303" s="3"/>
      <c r="CV303" s="3"/>
      <c r="CW303" s="3"/>
      <c r="CX303" s="3"/>
      <c r="CY303" s="3"/>
      <c r="CZ303" s="3"/>
      <c r="DA303" s="3"/>
      <c r="DB303" s="3"/>
      <c r="DC303" s="3"/>
      <c r="DD303" s="3"/>
      <c r="DE303" s="3"/>
      <c r="DF303" s="3"/>
      <c r="DG303" s="3"/>
      <c r="DH303" s="3"/>
      <c r="DI303" s="3"/>
      <c r="DJ303" s="3"/>
      <c r="DK303" s="3"/>
      <c r="DL303" s="3"/>
      <c r="DM303" s="3"/>
      <c r="DN303" s="3"/>
      <c r="DO303" s="3"/>
      <c r="DP303" s="3"/>
      <c r="DQ303" s="3"/>
      <c r="DR303" s="3"/>
      <c r="DS303" s="3"/>
      <c r="DT303" s="3"/>
      <c r="DU303" s="3"/>
      <c r="DV303" s="3"/>
      <c r="DW303" s="3"/>
      <c r="DX303" s="3"/>
      <c r="DY303" s="3"/>
      <c r="DZ303" s="3"/>
      <c r="EA303" s="3"/>
      <c r="EB303" s="3"/>
      <c r="EC303" s="3"/>
      <c r="ED303" s="3"/>
      <c r="EE303" s="3"/>
      <c r="EF303" s="3"/>
      <c r="EG303" s="3"/>
      <c r="EH303" s="3"/>
      <c r="EI303" s="3"/>
      <c r="EJ303" s="3"/>
      <c r="EK303" s="3"/>
      <c r="EL303" s="3"/>
      <c r="EM303" s="3"/>
      <c r="EN303" s="3"/>
      <c r="EO303" s="3"/>
      <c r="EP303" s="3"/>
      <c r="EQ303" s="3"/>
      <c r="ER303" s="3"/>
      <c r="ES303" s="3"/>
      <c r="ET303" s="3"/>
      <c r="EU303" s="3"/>
      <c r="EV303" s="3"/>
      <c r="EW303" s="3"/>
      <c r="EX303" s="3"/>
      <c r="EY303" s="3"/>
      <c r="EZ303" s="3"/>
      <c r="FA303" s="3"/>
      <c r="FB303" s="3"/>
      <c r="FC303" s="3"/>
      <c r="FD303" s="3"/>
      <c r="FE303" s="3"/>
      <c r="FF303" s="3"/>
      <c r="FG303" s="3"/>
      <c r="FH303" s="3"/>
      <c r="FI303" s="3"/>
      <c r="FJ303" s="3"/>
      <c r="FK303" s="3"/>
      <c r="FL303" s="3"/>
      <c r="FM303" s="3"/>
      <c r="FN303" s="3"/>
      <c r="FO303" s="3"/>
      <c r="FP303" s="3"/>
      <c r="FQ303" s="3"/>
      <c r="FR303" s="3"/>
      <c r="FS303" s="3"/>
      <c r="FT303" s="3"/>
      <c r="FU303" s="3"/>
      <c r="FV303" s="3"/>
      <c r="FW303" s="3"/>
      <c r="FX303" s="3"/>
      <c r="FY303" s="3"/>
      <c r="FZ303" s="3"/>
      <c r="GA303" s="3"/>
      <c r="GB303" s="3"/>
      <c r="GC303" s="3"/>
      <c r="GD303" s="3"/>
      <c r="GE303" s="3"/>
      <c r="GF303" s="3"/>
      <c r="GG303" s="3"/>
      <c r="GH303" s="3"/>
      <c r="GI303" s="3"/>
      <c r="GJ303" s="3"/>
      <c r="GK303" s="3"/>
      <c r="GL303" s="3"/>
      <c r="GM303" s="3"/>
      <c r="GN303" s="3"/>
      <c r="GO303" s="3"/>
      <c r="GP303" s="3"/>
      <c r="GQ303" s="3"/>
      <c r="GR303" s="3"/>
      <c r="GS303" s="3"/>
      <c r="GT303" s="3"/>
      <c r="GU303" s="3"/>
      <c r="GV303" s="3"/>
      <c r="GW303" s="3"/>
      <c r="GX303" s="3"/>
      <c r="GY303" s="3"/>
      <c r="GZ303" s="3"/>
      <c r="HA303" s="3"/>
      <c r="HB303" s="3"/>
      <c r="HC303" s="3"/>
      <c r="HD303" s="3"/>
      <c r="HE303" s="3"/>
      <c r="HF303" s="3"/>
      <c r="HG303" s="3"/>
      <c r="HH303" s="3"/>
      <c r="HI303" s="3"/>
      <c r="HJ303" s="3"/>
      <c r="HK303" s="3"/>
      <c r="HL303" s="3"/>
      <c r="HM303" s="3"/>
      <c r="HN303" s="3"/>
      <c r="HO303" s="3"/>
      <c r="HP303" s="3"/>
      <c r="HQ303" s="3"/>
      <c r="HR303" s="3"/>
      <c r="HS303" s="3"/>
      <c r="HT303" s="3"/>
      <c r="HU303" s="3"/>
      <c r="HV303" s="3"/>
      <c r="HW303" s="3"/>
      <c r="HX303" s="3"/>
      <c r="HY303" s="3"/>
      <c r="HZ303" s="3"/>
      <c r="IA303" s="3"/>
      <c r="IB303" s="3"/>
      <c r="IC303" s="3"/>
      <c r="ID303" s="3"/>
      <c r="IE303" s="3"/>
      <c r="IF303" s="3"/>
      <c r="IG303" s="3"/>
      <c r="IH303" s="3"/>
      <c r="II303" s="3"/>
      <c r="IJ303" s="3"/>
      <c r="IK303" s="3"/>
      <c r="IL303" s="3"/>
      <c r="IM303" s="3"/>
      <c r="IN303" s="3"/>
      <c r="IO303" s="3"/>
      <c r="IP303" s="3"/>
      <c r="IQ303" s="3"/>
      <c r="IR303" s="3"/>
      <c r="IS303" s="3"/>
      <c r="IT303" s="3"/>
      <c r="IU303" s="3"/>
      <c r="IV303" s="3"/>
      <c r="IW303" s="3"/>
      <c r="IX303" s="3"/>
      <c r="IY303" s="3"/>
      <c r="IZ303" s="3"/>
      <c r="JA303" s="3"/>
      <c r="JB303" s="3"/>
      <c r="JC303" s="3"/>
      <c r="JD303" s="3"/>
      <c r="JE303" s="3"/>
      <c r="JF303" s="3"/>
      <c r="JG303" s="3"/>
      <c r="JH303" s="3"/>
      <c r="JI303" s="3"/>
      <c r="JJ303" s="3"/>
      <c r="JK303" s="3"/>
      <c r="JL303" s="3"/>
      <c r="JM303" s="3"/>
      <c r="JN303" s="3"/>
      <c r="JO303" s="3"/>
      <c r="JP303" s="3"/>
      <c r="JQ303" s="3"/>
      <c r="JR303" s="3"/>
      <c r="JS303" s="3"/>
      <c r="JT303" s="3"/>
      <c r="JU303" s="3"/>
      <c r="JV303" s="3"/>
      <c r="JW303" s="3"/>
      <c r="JX303" s="3"/>
      <c r="JY303" s="3"/>
      <c r="JZ303" s="3"/>
      <c r="KA303" s="3"/>
      <c r="KB303" s="3"/>
      <c r="KC303" s="3"/>
      <c r="KD303" s="3"/>
      <c r="KE303" s="3"/>
      <c r="KF303" s="3"/>
      <c r="KG303" s="3"/>
      <c r="KH303" s="3"/>
      <c r="KI303" s="3"/>
      <c r="KJ303" s="3"/>
      <c r="KK303" s="3"/>
      <c r="KL303" s="3"/>
      <c r="KM303" s="3"/>
      <c r="KN303" s="3"/>
      <c r="KO303" s="3"/>
      <c r="KP303" s="3"/>
      <c r="KQ303" s="3"/>
      <c r="KR303" s="3"/>
      <c r="KS303" s="3"/>
      <c r="KT303" s="3"/>
      <c r="KU303" s="3"/>
      <c r="KV303" s="3"/>
      <c r="KW303" s="3"/>
      <c r="KX303" s="3"/>
      <c r="KY303" s="3"/>
      <c r="KZ303" s="3"/>
      <c r="LA303" s="3"/>
      <c r="LB303" s="3"/>
      <c r="LC303" s="3"/>
      <c r="LD303" s="3"/>
      <c r="LE303" s="3"/>
      <c r="LF303" s="3"/>
      <c r="LG303" s="3"/>
      <c r="LH303" s="3"/>
      <c r="LI303" s="3"/>
      <c r="LJ303" s="3"/>
      <c r="LK303" s="3"/>
      <c r="LL303" s="3"/>
      <c r="LM303" s="3"/>
      <c r="LN303" s="3"/>
      <c r="LO303" s="3"/>
      <c r="LP303" s="3"/>
      <c r="LQ303" s="3"/>
      <c r="LR303" s="3"/>
      <c r="LS303" s="3"/>
      <c r="LT303" s="3"/>
      <c r="LU303" s="3"/>
      <c r="LV303" s="3"/>
      <c r="LW303" s="3"/>
      <c r="LX303" s="3"/>
      <c r="LY303" s="3"/>
      <c r="LZ303" s="3"/>
      <c r="MA303" s="3"/>
      <c r="MB303" s="3"/>
      <c r="MC303" s="3"/>
      <c r="MD303" s="3"/>
      <c r="ME303" s="3"/>
      <c r="MF303" s="3"/>
      <c r="MG303" s="3"/>
      <c r="MH303" s="3"/>
      <c r="MI303" s="3"/>
      <c r="MJ303" s="3"/>
      <c r="MK303" s="3"/>
      <c r="ML303" s="3"/>
      <c r="MM303" s="3"/>
      <c r="MN303" s="3"/>
      <c r="MO303" s="3"/>
      <c r="MP303" s="3"/>
      <c r="MQ303" s="3"/>
      <c r="MR303" s="3"/>
      <c r="MS303" s="3"/>
      <c r="MT303" s="3"/>
      <c r="MU303" s="3"/>
      <c r="MV303" s="3"/>
      <c r="MW303" s="3"/>
      <c r="MX303" s="3"/>
      <c r="MY303" s="3"/>
      <c r="MZ303" s="3"/>
      <c r="NA303" s="3"/>
      <c r="NB303" s="3"/>
      <c r="NC303" s="3"/>
      <c r="ND303" s="3"/>
      <c r="NE303" s="3"/>
      <c r="NF303" s="3"/>
      <c r="NG303" s="3"/>
      <c r="NH303" s="3"/>
      <c r="NI303" s="3"/>
      <c r="NJ303" s="3"/>
      <c r="NK303" s="3"/>
      <c r="NL303" s="3"/>
      <c r="NM303" s="3"/>
      <c r="NN303" s="3"/>
      <c r="NO303" s="3"/>
      <c r="NP303" s="3"/>
      <c r="NQ303" s="3"/>
      <c r="NR303" s="3"/>
      <c r="NS303" s="3"/>
      <c r="NT303" s="3"/>
      <c r="NU303" s="3"/>
      <c r="NV303" s="3"/>
      <c r="NW303" s="3"/>
      <c r="NX303" s="3"/>
      <c r="NY303" s="3"/>
      <c r="NZ303" s="3"/>
      <c r="OA303" s="3"/>
      <c r="OB303" s="3"/>
      <c r="OC303" s="3"/>
      <c r="OD303" s="3"/>
      <c r="OE303" s="3"/>
      <c r="OF303" s="3"/>
      <c r="OG303" s="3"/>
      <c r="OH303" s="3"/>
      <c r="OI303" s="3"/>
      <c r="OJ303" s="3"/>
      <c r="OK303" s="3"/>
      <c r="OL303" s="3"/>
      <c r="OM303" s="3"/>
      <c r="ON303" s="3"/>
      <c r="OO303" s="3"/>
      <c r="OP303" s="3"/>
      <c r="OQ303" s="3"/>
      <c r="OR303" s="3"/>
      <c r="OS303" s="3"/>
      <c r="OT303" s="3"/>
      <c r="OU303" s="3"/>
      <c r="OV303" s="3"/>
      <c r="OW303" s="3"/>
      <c r="OX303" s="3"/>
      <c r="OY303" s="3"/>
      <c r="OZ303" s="3"/>
      <c r="PA303" s="3"/>
      <c r="PB303" s="3"/>
      <c r="PC303" s="3"/>
      <c r="PD303" s="3"/>
      <c r="PE303" s="3"/>
      <c r="PF303" s="3"/>
      <c r="PG303" s="3"/>
      <c r="PH303" s="3"/>
      <c r="PI303" s="3"/>
      <c r="PJ303" s="3"/>
      <c r="PK303" s="3"/>
      <c r="PL303" s="3"/>
      <c r="PM303" s="3"/>
      <c r="PN303" s="3"/>
      <c r="PO303" s="3"/>
      <c r="PP303" s="3"/>
      <c r="PQ303" s="3"/>
      <c r="PR303" s="3"/>
      <c r="PS303" s="3"/>
      <c r="PT303" s="3"/>
      <c r="PU303" s="3"/>
      <c r="PV303" s="3"/>
      <c r="PW303" s="3"/>
      <c r="PX303" s="3"/>
      <c r="PY303" s="3"/>
      <c r="PZ303" s="3"/>
      <c r="QA303" s="3"/>
      <c r="QB303" s="3"/>
      <c r="QC303" s="3"/>
      <c r="QD303" s="3"/>
      <c r="QE303" s="3"/>
      <c r="QF303" s="3"/>
      <c r="QG303" s="3"/>
      <c r="QH303" s="3"/>
      <c r="QI303" s="3"/>
      <c r="QJ303" s="3"/>
      <c r="QK303" s="3"/>
      <c r="QL303" s="3"/>
      <c r="QM303" s="3"/>
      <c r="QN303" s="3"/>
      <c r="QO303" s="3"/>
      <c r="QP303" s="3"/>
      <c r="QQ303" s="3"/>
      <c r="QR303" s="3"/>
      <c r="QS303" s="3"/>
      <c r="QT303" s="3"/>
      <c r="QU303" s="3"/>
      <c r="QV303" s="3"/>
      <c r="QW303" s="3"/>
      <c r="QX303" s="3"/>
      <c r="QY303" s="3"/>
      <c r="QZ303" s="3"/>
      <c r="RA303" s="3"/>
      <c r="RB303" s="3"/>
      <c r="RC303" s="3"/>
      <c r="RD303" s="3"/>
      <c r="RE303" s="3"/>
      <c r="RF303" s="3"/>
      <c r="RG303" s="3"/>
      <c r="RH303" s="3"/>
      <c r="RI303" s="3"/>
      <c r="RJ303" s="3"/>
      <c r="RK303" s="3"/>
      <c r="RL303" s="3"/>
      <c r="RM303" s="3"/>
      <c r="RN303" s="3"/>
      <c r="RO303" s="3"/>
      <c r="RP303" s="3"/>
      <c r="RQ303" s="3"/>
      <c r="RR303" s="3"/>
      <c r="RS303" s="3"/>
      <c r="RT303" s="3"/>
      <c r="RU303" s="3"/>
      <c r="RV303" s="3"/>
      <c r="RW303" s="3"/>
      <c r="RX303" s="3"/>
      <c r="RY303" s="3"/>
      <c r="RZ303" s="3"/>
      <c r="SA303" s="3"/>
      <c r="SB303" s="3"/>
      <c r="SC303" s="3"/>
      <c r="SD303" s="3"/>
      <c r="SE303" s="3"/>
      <c r="SF303" s="3"/>
      <c r="SG303" s="3"/>
      <c r="SH303" s="3"/>
      <c r="SI303" s="3"/>
      <c r="SJ303" s="3"/>
      <c r="SK303" s="3"/>
      <c r="SL303" s="3"/>
      <c r="SM303" s="3"/>
      <c r="SN303" s="3"/>
      <c r="SO303" s="3"/>
      <c r="SP303" s="3"/>
      <c r="SQ303" s="3"/>
      <c r="SR303" s="3"/>
      <c r="SS303" s="3"/>
      <c r="ST303" s="3"/>
      <c r="SU303" s="3"/>
      <c r="SV303" s="3"/>
      <c r="SW303" s="3"/>
      <c r="SX303" s="3"/>
      <c r="SY303" s="3"/>
      <c r="SZ303" s="3"/>
      <c r="TA303" s="3"/>
      <c r="TB303" s="3"/>
      <c r="TC303" s="3"/>
      <c r="TD303" s="3"/>
      <c r="TE303" s="3"/>
      <c r="TF303" s="3"/>
      <c r="TG303" s="3"/>
      <c r="TH303" s="3"/>
      <c r="TI303" s="3"/>
      <c r="TJ303" s="3"/>
      <c r="TK303" s="3"/>
      <c r="TL303" s="3"/>
      <c r="TM303" s="3"/>
      <c r="TN303" s="3"/>
      <c r="TO303" s="3"/>
      <c r="TP303" s="3"/>
      <c r="TQ303" s="3"/>
      <c r="TR303" s="3"/>
      <c r="TS303" s="3"/>
      <c r="TT303" s="3"/>
      <c r="TU303" s="3"/>
      <c r="TV303" s="3"/>
      <c r="TW303" s="3"/>
      <c r="TX303" s="3"/>
      <c r="TY303" s="3"/>
      <c r="TZ303" s="3"/>
      <c r="UA303" s="3"/>
      <c r="UB303" s="3"/>
      <c r="UC303" s="3"/>
      <c r="UD303" s="3"/>
      <c r="UE303" s="3"/>
      <c r="UF303" s="3"/>
      <c r="UG303" s="3"/>
      <c r="UH303" s="3"/>
      <c r="UI303" s="3"/>
      <c r="UJ303" s="3"/>
      <c r="UK303" s="3"/>
      <c r="UL303" s="3"/>
      <c r="UM303" s="3"/>
      <c r="UN303" s="3"/>
      <c r="UO303" s="3"/>
      <c r="UP303" s="3"/>
      <c r="UQ303" s="3"/>
      <c r="UR303" s="3"/>
      <c r="US303" s="3"/>
      <c r="UT303" s="3"/>
      <c r="UU303" s="3"/>
      <c r="UV303" s="3"/>
      <c r="UW303" s="3"/>
      <c r="UX303" s="3"/>
      <c r="UY303" s="3"/>
      <c r="UZ303" s="3"/>
      <c r="VA303" s="3"/>
      <c r="VB303" s="3"/>
      <c r="VC303" s="3"/>
      <c r="VD303" s="3"/>
      <c r="VE303" s="3"/>
      <c r="VF303" s="3"/>
      <c r="VG303" s="3"/>
      <c r="VH303" s="3"/>
      <c r="VI303" s="3"/>
      <c r="VJ303" s="3"/>
      <c r="VK303" s="3"/>
      <c r="VL303" s="3"/>
      <c r="VM303" s="3"/>
      <c r="VN303" s="3"/>
      <c r="VO303" s="3"/>
      <c r="VP303" s="3"/>
      <c r="VQ303" s="3"/>
      <c r="VR303" s="3"/>
      <c r="VS303" s="3"/>
      <c r="VT303" s="3"/>
      <c r="VU303" s="3"/>
      <c r="VV303" s="3"/>
      <c r="VW303" s="3"/>
      <c r="VX303" s="3"/>
      <c r="VY303" s="3"/>
      <c r="VZ303" s="3"/>
      <c r="WA303" s="3"/>
      <c r="WB303" s="3"/>
      <c r="WC303" s="3"/>
      <c r="WD303" s="3"/>
      <c r="WE303" s="3"/>
      <c r="WF303" s="3"/>
      <c r="WG303" s="3"/>
      <c r="WH303" s="3"/>
      <c r="WI303" s="3"/>
      <c r="WJ303" s="3"/>
      <c r="WK303" s="3"/>
      <c r="WL303" s="3"/>
      <c r="WM303" s="3"/>
      <c r="WN303" s="3"/>
      <c r="WO303" s="3"/>
      <c r="WP303" s="3"/>
      <c r="WQ303" s="3"/>
      <c r="WR303" s="3"/>
      <c r="WS303" s="3"/>
      <c r="WT303" s="3"/>
      <c r="WU303" s="3"/>
      <c r="WV303" s="3"/>
      <c r="WW303" s="3"/>
      <c r="WX303" s="3"/>
      <c r="WY303" s="3"/>
      <c r="WZ303" s="3"/>
      <c r="XA303" s="3"/>
      <c r="XB303" s="3"/>
      <c r="XC303" s="3"/>
      <c r="XD303" s="3"/>
      <c r="XE303" s="3"/>
      <c r="XF303" s="3"/>
      <c r="XG303" s="3"/>
      <c r="XH303" s="3"/>
      <c r="XI303" s="3"/>
      <c r="XJ303" s="3"/>
      <c r="XK303" s="3"/>
      <c r="XL303" s="3"/>
      <c r="XM303" s="3"/>
      <c r="XN303" s="3"/>
      <c r="XO303" s="3"/>
      <c r="XP303" s="3"/>
      <c r="XQ303" s="3"/>
      <c r="XR303" s="3"/>
      <c r="XS303" s="3"/>
      <c r="XT303" s="3"/>
      <c r="XU303" s="3"/>
      <c r="XV303" s="3"/>
      <c r="XW303" s="3"/>
      <c r="XX303" s="3"/>
      <c r="XY303" s="3"/>
      <c r="XZ303" s="3"/>
      <c r="YA303" s="3"/>
      <c r="YB303" s="3"/>
      <c r="YC303" s="3"/>
      <c r="YD303" s="3"/>
      <c r="YE303" s="3"/>
      <c r="YF303" s="3"/>
      <c r="YG303" s="3"/>
      <c r="YH303" s="3"/>
      <c r="YI303" s="3"/>
      <c r="YJ303" s="3"/>
      <c r="YK303" s="3"/>
      <c r="YL303" s="3"/>
      <c r="YM303" s="3"/>
      <c r="YN303" s="3"/>
      <c r="YO303" s="3"/>
      <c r="YP303" s="3"/>
      <c r="YQ303" s="3"/>
      <c r="YR303" s="3"/>
      <c r="YS303" s="3"/>
      <c r="YT303" s="3"/>
      <c r="YU303" s="3"/>
      <c r="YV303" s="3"/>
      <c r="YW303" s="3"/>
      <c r="YX303" s="3"/>
      <c r="YY303" s="3"/>
      <c r="YZ303" s="3"/>
      <c r="ZA303" s="3"/>
      <c r="ZB303" s="3"/>
      <c r="ZC303" s="3"/>
    </row>
    <row r="304" spans="1:679" s="2" customFormat="1" x14ac:dyDescent="0.45">
      <c r="A304" s="3" t="s">
        <v>11</v>
      </c>
      <c r="B304" s="4">
        <v>38877</v>
      </c>
      <c r="C304" s="7" t="s">
        <v>25</v>
      </c>
      <c r="D304" s="6" t="s">
        <v>324</v>
      </c>
      <c r="E304" s="3"/>
      <c r="F304" s="3">
        <v>4</v>
      </c>
      <c r="L304" s="3"/>
      <c r="M304" s="3"/>
      <c r="N304" s="48"/>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c r="DF304" s="3"/>
      <c r="DG304" s="3"/>
      <c r="DH304" s="3"/>
      <c r="DI304" s="3"/>
      <c r="DJ304" s="3"/>
      <c r="DK304" s="3"/>
      <c r="DL304" s="3"/>
      <c r="DM304" s="3"/>
      <c r="DN304" s="3"/>
      <c r="DO304" s="3"/>
      <c r="DP304" s="3"/>
      <c r="DQ304" s="3"/>
      <c r="DR304" s="3"/>
      <c r="DS304" s="3"/>
      <c r="DT304" s="3"/>
      <c r="DU304" s="3"/>
      <c r="DV304" s="3"/>
      <c r="DW304" s="3"/>
      <c r="DX304" s="3"/>
      <c r="DY304" s="3"/>
      <c r="DZ304" s="3"/>
      <c r="EA304" s="3"/>
      <c r="EB304" s="3"/>
      <c r="EC304" s="3"/>
      <c r="ED304" s="3"/>
      <c r="EE304" s="3"/>
      <c r="EF304" s="3"/>
      <c r="EG304" s="3"/>
      <c r="EH304" s="3"/>
      <c r="EI304" s="3"/>
      <c r="EJ304" s="3"/>
      <c r="EK304" s="3"/>
      <c r="EL304" s="3"/>
      <c r="EM304" s="3"/>
      <c r="EN304" s="3"/>
      <c r="EO304" s="3"/>
      <c r="EP304" s="3"/>
      <c r="EQ304" s="3"/>
      <c r="ER304" s="3"/>
      <c r="ES304" s="3"/>
      <c r="ET304" s="3"/>
      <c r="EU304" s="3"/>
      <c r="EV304" s="3"/>
      <c r="EW304" s="3"/>
      <c r="EX304" s="3"/>
      <c r="EY304" s="3"/>
      <c r="EZ304" s="3"/>
      <c r="FA304" s="3"/>
      <c r="FB304" s="3"/>
      <c r="FC304" s="3"/>
      <c r="FD304" s="3"/>
      <c r="FE304" s="3"/>
      <c r="FF304" s="3"/>
      <c r="FG304" s="3"/>
      <c r="FH304" s="3"/>
      <c r="FI304" s="3"/>
      <c r="FJ304" s="3"/>
      <c r="FK304" s="3"/>
      <c r="FL304" s="3"/>
      <c r="FM304" s="3"/>
      <c r="FN304" s="3"/>
      <c r="FO304" s="3"/>
      <c r="FP304" s="3"/>
      <c r="FQ304" s="3"/>
      <c r="FR304" s="3"/>
      <c r="FS304" s="3"/>
      <c r="FT304" s="3"/>
      <c r="FU304" s="3"/>
      <c r="FV304" s="3"/>
      <c r="FW304" s="3"/>
      <c r="FX304" s="3"/>
      <c r="FY304" s="3"/>
      <c r="FZ304" s="3"/>
      <c r="GA304" s="3"/>
      <c r="GB304" s="3"/>
      <c r="GC304" s="3"/>
      <c r="GD304" s="3"/>
      <c r="GE304" s="3"/>
      <c r="GF304" s="3"/>
      <c r="GG304" s="3"/>
      <c r="GH304" s="3"/>
      <c r="GI304" s="3"/>
      <c r="GJ304" s="3"/>
      <c r="GK304" s="3"/>
      <c r="GL304" s="3"/>
      <c r="GM304" s="3"/>
      <c r="GN304" s="3"/>
      <c r="GO304" s="3"/>
      <c r="GP304" s="3"/>
      <c r="GQ304" s="3"/>
      <c r="GR304" s="3"/>
      <c r="GS304" s="3"/>
      <c r="GT304" s="3"/>
      <c r="GU304" s="3"/>
      <c r="GV304" s="3"/>
      <c r="GW304" s="3"/>
      <c r="GX304" s="3"/>
      <c r="GY304" s="3"/>
      <c r="GZ304" s="3"/>
      <c r="HA304" s="3"/>
      <c r="HB304" s="3"/>
      <c r="HC304" s="3"/>
      <c r="HD304" s="3"/>
      <c r="HE304" s="3"/>
      <c r="HF304" s="3"/>
      <c r="HG304" s="3"/>
      <c r="HH304" s="3"/>
      <c r="HI304" s="3"/>
      <c r="HJ304" s="3"/>
      <c r="HK304" s="3"/>
      <c r="HL304" s="3"/>
      <c r="HM304" s="3"/>
      <c r="HN304" s="3"/>
      <c r="HO304" s="3"/>
      <c r="HP304" s="3"/>
      <c r="HQ304" s="3"/>
      <c r="HR304" s="3"/>
      <c r="HS304" s="3"/>
      <c r="HT304" s="3"/>
      <c r="HU304" s="3"/>
      <c r="HV304" s="3"/>
      <c r="HW304" s="3"/>
      <c r="HX304" s="3"/>
      <c r="HY304" s="3"/>
      <c r="HZ304" s="3"/>
      <c r="IA304" s="3"/>
      <c r="IB304" s="3"/>
      <c r="IC304" s="3"/>
      <c r="ID304" s="3"/>
      <c r="IE304" s="3"/>
      <c r="IF304" s="3"/>
      <c r="IG304" s="3"/>
      <c r="IH304" s="3"/>
      <c r="II304" s="3"/>
      <c r="IJ304" s="3"/>
      <c r="IK304" s="3"/>
      <c r="IL304" s="3"/>
      <c r="IM304" s="3"/>
      <c r="IN304" s="3"/>
      <c r="IO304" s="3"/>
      <c r="IP304" s="3"/>
      <c r="IQ304" s="3"/>
      <c r="IR304" s="3"/>
      <c r="IS304" s="3"/>
      <c r="IT304" s="3"/>
      <c r="IU304" s="3"/>
      <c r="IV304" s="3"/>
      <c r="IW304" s="3"/>
      <c r="IX304" s="3"/>
      <c r="IY304" s="3"/>
      <c r="IZ304" s="3"/>
      <c r="JA304" s="3"/>
      <c r="JB304" s="3"/>
      <c r="JC304" s="3"/>
      <c r="JD304" s="3"/>
      <c r="JE304" s="3"/>
      <c r="JF304" s="3"/>
      <c r="JG304" s="3"/>
      <c r="JH304" s="3"/>
      <c r="JI304" s="3"/>
      <c r="JJ304" s="3"/>
      <c r="JK304" s="3"/>
      <c r="JL304" s="3"/>
      <c r="JM304" s="3"/>
      <c r="JN304" s="3"/>
      <c r="JO304" s="3"/>
      <c r="JP304" s="3"/>
      <c r="JQ304" s="3"/>
      <c r="JR304" s="3"/>
      <c r="JS304" s="3"/>
      <c r="JT304" s="3"/>
      <c r="JU304" s="3"/>
      <c r="JV304" s="3"/>
      <c r="JW304" s="3"/>
      <c r="JX304" s="3"/>
      <c r="JY304" s="3"/>
      <c r="JZ304" s="3"/>
      <c r="KA304" s="3"/>
      <c r="KB304" s="3"/>
      <c r="KC304" s="3"/>
      <c r="KD304" s="3"/>
      <c r="KE304" s="3"/>
      <c r="KF304" s="3"/>
      <c r="KG304" s="3"/>
      <c r="KH304" s="3"/>
      <c r="KI304" s="3"/>
      <c r="KJ304" s="3"/>
      <c r="KK304" s="3"/>
      <c r="KL304" s="3"/>
      <c r="KM304" s="3"/>
      <c r="KN304" s="3"/>
      <c r="KO304" s="3"/>
      <c r="KP304" s="3"/>
      <c r="KQ304" s="3"/>
      <c r="KR304" s="3"/>
      <c r="KS304" s="3"/>
      <c r="KT304" s="3"/>
      <c r="KU304" s="3"/>
      <c r="KV304" s="3"/>
      <c r="KW304" s="3"/>
      <c r="KX304" s="3"/>
      <c r="KY304" s="3"/>
      <c r="KZ304" s="3"/>
      <c r="LA304" s="3"/>
      <c r="LB304" s="3"/>
      <c r="LC304" s="3"/>
      <c r="LD304" s="3"/>
      <c r="LE304" s="3"/>
      <c r="LF304" s="3"/>
      <c r="LG304" s="3"/>
      <c r="LH304" s="3"/>
      <c r="LI304" s="3"/>
      <c r="LJ304" s="3"/>
      <c r="LK304" s="3"/>
      <c r="LL304" s="3"/>
      <c r="LM304" s="3"/>
      <c r="LN304" s="3"/>
      <c r="LO304" s="3"/>
      <c r="LP304" s="3"/>
      <c r="LQ304" s="3"/>
      <c r="LR304" s="3"/>
      <c r="LS304" s="3"/>
      <c r="LT304" s="3"/>
      <c r="LU304" s="3"/>
      <c r="LV304" s="3"/>
      <c r="LW304" s="3"/>
      <c r="LX304" s="3"/>
      <c r="LY304" s="3"/>
      <c r="LZ304" s="3"/>
      <c r="MA304" s="3"/>
      <c r="MB304" s="3"/>
      <c r="MC304" s="3"/>
      <c r="MD304" s="3"/>
      <c r="ME304" s="3"/>
      <c r="MF304" s="3"/>
      <c r="MG304" s="3"/>
      <c r="MH304" s="3"/>
      <c r="MI304" s="3"/>
      <c r="MJ304" s="3"/>
      <c r="MK304" s="3"/>
      <c r="ML304" s="3"/>
      <c r="MM304" s="3"/>
      <c r="MN304" s="3"/>
      <c r="MO304" s="3"/>
      <c r="MP304" s="3"/>
      <c r="MQ304" s="3"/>
      <c r="MR304" s="3"/>
      <c r="MS304" s="3"/>
      <c r="MT304" s="3"/>
      <c r="MU304" s="3"/>
      <c r="MV304" s="3"/>
      <c r="MW304" s="3"/>
      <c r="MX304" s="3"/>
      <c r="MY304" s="3"/>
      <c r="MZ304" s="3"/>
      <c r="NA304" s="3"/>
      <c r="NB304" s="3"/>
      <c r="NC304" s="3"/>
      <c r="ND304" s="3"/>
      <c r="NE304" s="3"/>
      <c r="NF304" s="3"/>
      <c r="NG304" s="3"/>
      <c r="NH304" s="3"/>
      <c r="NI304" s="3"/>
      <c r="NJ304" s="3"/>
      <c r="NK304" s="3"/>
      <c r="NL304" s="3"/>
      <c r="NM304" s="3"/>
      <c r="NN304" s="3"/>
      <c r="NO304" s="3"/>
      <c r="NP304" s="3"/>
      <c r="NQ304" s="3"/>
      <c r="NR304" s="3"/>
      <c r="NS304" s="3"/>
      <c r="NT304" s="3"/>
      <c r="NU304" s="3"/>
      <c r="NV304" s="3"/>
      <c r="NW304" s="3"/>
      <c r="NX304" s="3"/>
      <c r="NY304" s="3"/>
      <c r="NZ304" s="3"/>
      <c r="OA304" s="3"/>
      <c r="OB304" s="3"/>
      <c r="OC304" s="3"/>
      <c r="OD304" s="3"/>
      <c r="OE304" s="3"/>
      <c r="OF304" s="3"/>
      <c r="OG304" s="3"/>
      <c r="OH304" s="3"/>
      <c r="OI304" s="3"/>
      <c r="OJ304" s="3"/>
      <c r="OK304" s="3"/>
      <c r="OL304" s="3"/>
      <c r="OM304" s="3"/>
      <c r="ON304" s="3"/>
      <c r="OO304" s="3"/>
      <c r="OP304" s="3"/>
      <c r="OQ304" s="3"/>
      <c r="OR304" s="3"/>
      <c r="OS304" s="3"/>
      <c r="OT304" s="3"/>
      <c r="OU304" s="3"/>
      <c r="OV304" s="3"/>
      <c r="OW304" s="3"/>
      <c r="OX304" s="3"/>
      <c r="OY304" s="3"/>
      <c r="OZ304" s="3"/>
      <c r="PA304" s="3"/>
      <c r="PB304" s="3"/>
      <c r="PC304" s="3"/>
      <c r="PD304" s="3"/>
      <c r="PE304" s="3"/>
      <c r="PF304" s="3"/>
      <c r="PG304" s="3"/>
      <c r="PH304" s="3"/>
      <c r="PI304" s="3"/>
      <c r="PJ304" s="3"/>
      <c r="PK304" s="3"/>
      <c r="PL304" s="3"/>
      <c r="PM304" s="3"/>
      <c r="PN304" s="3"/>
      <c r="PO304" s="3"/>
      <c r="PP304" s="3"/>
      <c r="PQ304" s="3"/>
      <c r="PR304" s="3"/>
      <c r="PS304" s="3"/>
      <c r="PT304" s="3"/>
      <c r="PU304" s="3"/>
      <c r="PV304" s="3"/>
      <c r="PW304" s="3"/>
      <c r="PX304" s="3"/>
      <c r="PY304" s="3"/>
      <c r="PZ304" s="3"/>
      <c r="QA304" s="3"/>
      <c r="QB304" s="3"/>
      <c r="QC304" s="3"/>
      <c r="QD304" s="3"/>
      <c r="QE304" s="3"/>
      <c r="QF304" s="3"/>
      <c r="QG304" s="3"/>
      <c r="QH304" s="3"/>
      <c r="QI304" s="3"/>
      <c r="QJ304" s="3"/>
      <c r="QK304" s="3"/>
      <c r="QL304" s="3"/>
      <c r="QM304" s="3"/>
      <c r="QN304" s="3"/>
      <c r="QO304" s="3"/>
      <c r="QP304" s="3"/>
      <c r="QQ304" s="3"/>
      <c r="QR304" s="3"/>
      <c r="QS304" s="3"/>
      <c r="QT304" s="3"/>
      <c r="QU304" s="3"/>
      <c r="QV304" s="3"/>
      <c r="QW304" s="3"/>
      <c r="QX304" s="3"/>
      <c r="QY304" s="3"/>
      <c r="QZ304" s="3"/>
      <c r="RA304" s="3"/>
      <c r="RB304" s="3"/>
      <c r="RC304" s="3"/>
      <c r="RD304" s="3"/>
      <c r="RE304" s="3"/>
      <c r="RF304" s="3"/>
      <c r="RG304" s="3"/>
      <c r="RH304" s="3"/>
      <c r="RI304" s="3"/>
      <c r="RJ304" s="3"/>
      <c r="RK304" s="3"/>
      <c r="RL304" s="3"/>
      <c r="RM304" s="3"/>
      <c r="RN304" s="3"/>
      <c r="RO304" s="3"/>
      <c r="RP304" s="3"/>
      <c r="RQ304" s="3"/>
      <c r="RR304" s="3"/>
      <c r="RS304" s="3"/>
      <c r="RT304" s="3"/>
      <c r="RU304" s="3"/>
      <c r="RV304" s="3"/>
      <c r="RW304" s="3"/>
      <c r="RX304" s="3"/>
      <c r="RY304" s="3"/>
      <c r="RZ304" s="3"/>
      <c r="SA304" s="3"/>
      <c r="SB304" s="3"/>
      <c r="SC304" s="3"/>
      <c r="SD304" s="3"/>
      <c r="SE304" s="3"/>
      <c r="SF304" s="3"/>
      <c r="SG304" s="3"/>
      <c r="SH304" s="3"/>
      <c r="SI304" s="3"/>
      <c r="SJ304" s="3"/>
      <c r="SK304" s="3"/>
      <c r="SL304" s="3"/>
      <c r="SM304" s="3"/>
      <c r="SN304" s="3"/>
      <c r="SO304" s="3"/>
      <c r="SP304" s="3"/>
      <c r="SQ304" s="3"/>
      <c r="SR304" s="3"/>
      <c r="SS304" s="3"/>
      <c r="ST304" s="3"/>
      <c r="SU304" s="3"/>
      <c r="SV304" s="3"/>
      <c r="SW304" s="3"/>
      <c r="SX304" s="3"/>
      <c r="SY304" s="3"/>
      <c r="SZ304" s="3"/>
      <c r="TA304" s="3"/>
      <c r="TB304" s="3"/>
      <c r="TC304" s="3"/>
      <c r="TD304" s="3"/>
      <c r="TE304" s="3"/>
      <c r="TF304" s="3"/>
      <c r="TG304" s="3"/>
      <c r="TH304" s="3"/>
      <c r="TI304" s="3"/>
      <c r="TJ304" s="3"/>
      <c r="TK304" s="3"/>
      <c r="TL304" s="3"/>
      <c r="TM304" s="3"/>
      <c r="TN304" s="3"/>
      <c r="TO304" s="3"/>
      <c r="TP304" s="3"/>
      <c r="TQ304" s="3"/>
      <c r="TR304" s="3"/>
      <c r="TS304" s="3"/>
      <c r="TT304" s="3"/>
      <c r="TU304" s="3"/>
      <c r="TV304" s="3"/>
      <c r="TW304" s="3"/>
      <c r="TX304" s="3"/>
      <c r="TY304" s="3"/>
      <c r="TZ304" s="3"/>
      <c r="UA304" s="3"/>
      <c r="UB304" s="3"/>
      <c r="UC304" s="3"/>
      <c r="UD304" s="3"/>
      <c r="UE304" s="3"/>
      <c r="UF304" s="3"/>
      <c r="UG304" s="3"/>
      <c r="UH304" s="3"/>
      <c r="UI304" s="3"/>
      <c r="UJ304" s="3"/>
      <c r="UK304" s="3"/>
      <c r="UL304" s="3"/>
      <c r="UM304" s="3"/>
      <c r="UN304" s="3"/>
      <c r="UO304" s="3"/>
      <c r="UP304" s="3"/>
      <c r="UQ304" s="3"/>
      <c r="UR304" s="3"/>
      <c r="US304" s="3"/>
      <c r="UT304" s="3"/>
      <c r="UU304" s="3"/>
      <c r="UV304" s="3"/>
      <c r="UW304" s="3"/>
      <c r="UX304" s="3"/>
      <c r="UY304" s="3"/>
      <c r="UZ304" s="3"/>
      <c r="VA304" s="3"/>
      <c r="VB304" s="3"/>
      <c r="VC304" s="3"/>
      <c r="VD304" s="3"/>
      <c r="VE304" s="3"/>
      <c r="VF304" s="3"/>
      <c r="VG304" s="3"/>
      <c r="VH304" s="3"/>
      <c r="VI304" s="3"/>
      <c r="VJ304" s="3"/>
      <c r="VK304" s="3"/>
      <c r="VL304" s="3"/>
      <c r="VM304" s="3"/>
      <c r="VN304" s="3"/>
      <c r="VO304" s="3"/>
      <c r="VP304" s="3"/>
      <c r="VQ304" s="3"/>
      <c r="VR304" s="3"/>
      <c r="VS304" s="3"/>
      <c r="VT304" s="3"/>
      <c r="VU304" s="3"/>
      <c r="VV304" s="3"/>
      <c r="VW304" s="3"/>
      <c r="VX304" s="3"/>
      <c r="VY304" s="3"/>
      <c r="VZ304" s="3"/>
      <c r="WA304" s="3"/>
      <c r="WB304" s="3"/>
      <c r="WC304" s="3"/>
      <c r="WD304" s="3"/>
      <c r="WE304" s="3"/>
      <c r="WF304" s="3"/>
      <c r="WG304" s="3"/>
      <c r="WH304" s="3"/>
      <c r="WI304" s="3"/>
      <c r="WJ304" s="3"/>
      <c r="WK304" s="3"/>
      <c r="WL304" s="3"/>
      <c r="WM304" s="3"/>
      <c r="WN304" s="3"/>
      <c r="WO304" s="3"/>
      <c r="WP304" s="3"/>
      <c r="WQ304" s="3"/>
      <c r="WR304" s="3"/>
      <c r="WS304" s="3"/>
      <c r="WT304" s="3"/>
      <c r="WU304" s="3"/>
      <c r="WV304" s="3"/>
      <c r="WW304" s="3"/>
      <c r="WX304" s="3"/>
      <c r="WY304" s="3"/>
      <c r="WZ304" s="3"/>
      <c r="XA304" s="3"/>
      <c r="XB304" s="3"/>
      <c r="XC304" s="3"/>
      <c r="XD304" s="3"/>
      <c r="XE304" s="3"/>
      <c r="XF304" s="3"/>
      <c r="XG304" s="3"/>
      <c r="XH304" s="3"/>
      <c r="XI304" s="3"/>
      <c r="XJ304" s="3"/>
      <c r="XK304" s="3"/>
      <c r="XL304" s="3"/>
      <c r="XM304" s="3"/>
      <c r="XN304" s="3"/>
      <c r="XO304" s="3"/>
      <c r="XP304" s="3"/>
      <c r="XQ304" s="3"/>
      <c r="XR304" s="3"/>
      <c r="XS304" s="3"/>
      <c r="XT304" s="3"/>
      <c r="XU304" s="3"/>
      <c r="XV304" s="3"/>
      <c r="XW304" s="3"/>
      <c r="XX304" s="3"/>
      <c r="XY304" s="3"/>
      <c r="XZ304" s="3"/>
      <c r="YA304" s="3"/>
      <c r="YB304" s="3"/>
      <c r="YC304" s="3"/>
      <c r="YD304" s="3"/>
      <c r="YE304" s="3"/>
      <c r="YF304" s="3"/>
      <c r="YG304" s="3"/>
      <c r="YH304" s="3"/>
      <c r="YI304" s="3"/>
      <c r="YJ304" s="3"/>
      <c r="YK304" s="3"/>
      <c r="YL304" s="3"/>
      <c r="YM304" s="3"/>
      <c r="YN304" s="3"/>
      <c r="YO304" s="3"/>
      <c r="YP304" s="3"/>
      <c r="YQ304" s="3"/>
      <c r="YR304" s="3"/>
      <c r="YS304" s="3"/>
      <c r="YT304" s="3"/>
      <c r="YU304" s="3"/>
      <c r="YV304" s="3"/>
      <c r="YW304" s="3"/>
      <c r="YX304" s="3"/>
      <c r="YY304" s="3"/>
      <c r="YZ304" s="3"/>
      <c r="ZA304" s="3"/>
      <c r="ZB304" s="3"/>
      <c r="ZC304" s="3"/>
    </row>
    <row r="305" spans="1:14" x14ac:dyDescent="0.45">
      <c r="A305" s="3" t="s">
        <v>11</v>
      </c>
      <c r="B305" s="4">
        <v>38883</v>
      </c>
      <c r="C305" s="7" t="s">
        <v>21</v>
      </c>
      <c r="D305" s="6" t="s">
        <v>325</v>
      </c>
      <c r="F305" s="3">
        <v>22</v>
      </c>
      <c r="N305" s="48"/>
    </row>
    <row r="306" spans="1:14" x14ac:dyDescent="0.45">
      <c r="A306" s="3" t="s">
        <v>11</v>
      </c>
      <c r="B306" s="4">
        <v>38940</v>
      </c>
      <c r="C306" s="7" t="s">
        <v>25</v>
      </c>
      <c r="D306" s="6" t="s">
        <v>326</v>
      </c>
      <c r="F306" s="3">
        <v>13</v>
      </c>
      <c r="N306" s="48"/>
    </row>
    <row r="307" spans="1:14" x14ac:dyDescent="0.45">
      <c r="A307" s="3" t="s">
        <v>11</v>
      </c>
      <c r="B307" s="4">
        <v>38952</v>
      </c>
      <c r="C307" s="7" t="s">
        <v>21</v>
      </c>
      <c r="D307" s="6" t="s">
        <v>327</v>
      </c>
      <c r="F307" s="3">
        <v>40</v>
      </c>
      <c r="N307" s="48"/>
    </row>
    <row r="308" spans="1:14" x14ac:dyDescent="0.45">
      <c r="A308" s="3" t="s">
        <v>11</v>
      </c>
      <c r="B308" s="4">
        <v>38961</v>
      </c>
      <c r="C308" s="7" t="s">
        <v>25</v>
      </c>
      <c r="D308" s="6" t="s">
        <v>328</v>
      </c>
      <c r="F308" s="3">
        <v>18</v>
      </c>
      <c r="N308" s="48"/>
    </row>
    <row r="309" spans="1:14" x14ac:dyDescent="0.45">
      <c r="A309" s="3" t="s">
        <v>11</v>
      </c>
      <c r="B309" s="4">
        <v>39058</v>
      </c>
      <c r="C309" s="7" t="s">
        <v>25</v>
      </c>
      <c r="D309" s="6" t="s">
        <v>329</v>
      </c>
      <c r="F309" s="3">
        <v>32</v>
      </c>
      <c r="N309" s="48"/>
    </row>
    <row r="310" spans="1:14" x14ac:dyDescent="0.45">
      <c r="A310" s="3" t="s">
        <v>11</v>
      </c>
      <c r="B310" s="4">
        <v>39059</v>
      </c>
      <c r="C310" s="7" t="s">
        <v>21</v>
      </c>
      <c r="D310" s="6" t="s">
        <v>330</v>
      </c>
      <c r="F310" s="3">
        <v>18</v>
      </c>
      <c r="N310" s="48"/>
    </row>
    <row r="311" spans="1:14" x14ac:dyDescent="0.45">
      <c r="A311" s="3" t="s">
        <v>11</v>
      </c>
      <c r="B311" s="4">
        <v>39085</v>
      </c>
      <c r="C311" s="7" t="s">
        <v>25</v>
      </c>
      <c r="D311" s="6" t="s">
        <v>331</v>
      </c>
      <c r="F311" s="3">
        <v>2</v>
      </c>
      <c r="N311" s="48"/>
    </row>
    <row r="312" spans="1:14" x14ac:dyDescent="0.45">
      <c r="A312" s="3" t="s">
        <v>11</v>
      </c>
      <c r="B312" s="4">
        <v>39105</v>
      </c>
      <c r="C312" s="7" t="s">
        <v>21</v>
      </c>
      <c r="D312" s="6" t="s">
        <v>332</v>
      </c>
      <c r="F312" s="3">
        <v>60</v>
      </c>
      <c r="N312" s="48"/>
    </row>
    <row r="313" spans="1:14" x14ac:dyDescent="0.45">
      <c r="A313" s="3" t="s">
        <v>11</v>
      </c>
      <c r="B313" s="4">
        <v>39118</v>
      </c>
      <c r="C313" s="7" t="s">
        <v>25</v>
      </c>
      <c r="D313" s="6" t="s">
        <v>333</v>
      </c>
      <c r="F313" s="3">
        <v>2</v>
      </c>
      <c r="N313" s="48"/>
    </row>
    <row r="314" spans="1:14" x14ac:dyDescent="0.45">
      <c r="A314" s="3" t="s">
        <v>11</v>
      </c>
      <c r="B314" s="4">
        <v>39134</v>
      </c>
      <c r="C314" s="7" t="s">
        <v>21</v>
      </c>
      <c r="D314" s="6" t="s">
        <v>334</v>
      </c>
      <c r="F314" s="3">
        <v>9</v>
      </c>
      <c r="N314" s="48"/>
    </row>
    <row r="315" spans="1:14" x14ac:dyDescent="0.45">
      <c r="A315" s="3" t="s">
        <v>11</v>
      </c>
      <c r="B315" s="4">
        <v>39135</v>
      </c>
      <c r="C315" s="7" t="s">
        <v>21</v>
      </c>
      <c r="D315" s="6" t="s">
        <v>335</v>
      </c>
      <c r="F315" s="3">
        <v>3</v>
      </c>
      <c r="N315" s="48"/>
    </row>
    <row r="316" spans="1:14" x14ac:dyDescent="0.45">
      <c r="A316" s="3" t="s">
        <v>11</v>
      </c>
      <c r="B316" s="4">
        <v>39141</v>
      </c>
      <c r="C316" s="7" t="s">
        <v>21</v>
      </c>
      <c r="D316" s="6" t="s">
        <v>336</v>
      </c>
      <c r="F316" s="3">
        <v>48</v>
      </c>
      <c r="N316" s="48"/>
    </row>
    <row r="317" spans="1:14" x14ac:dyDescent="0.45">
      <c r="A317" s="3" t="s">
        <v>11</v>
      </c>
      <c r="B317" s="4">
        <v>39146</v>
      </c>
      <c r="C317" s="7" t="s">
        <v>21</v>
      </c>
      <c r="D317" s="6" t="s">
        <v>337</v>
      </c>
      <c r="F317" s="3">
        <v>55</v>
      </c>
      <c r="N317" s="48"/>
    </row>
    <row r="318" spans="1:14" x14ac:dyDescent="0.45">
      <c r="A318" s="3" t="s">
        <v>11</v>
      </c>
      <c r="B318" s="4">
        <v>39157</v>
      </c>
      <c r="C318" s="7" t="s">
        <v>21</v>
      </c>
      <c r="D318" s="6" t="s">
        <v>338</v>
      </c>
      <c r="F318" s="3">
        <v>37</v>
      </c>
      <c r="N318" s="48"/>
    </row>
    <row r="319" spans="1:14" x14ac:dyDescent="0.45">
      <c r="A319" s="3" t="s">
        <v>11</v>
      </c>
      <c r="B319" s="4">
        <v>39210</v>
      </c>
      <c r="C319" s="7" t="s">
        <v>25</v>
      </c>
      <c r="D319" s="6" t="s">
        <v>339</v>
      </c>
      <c r="F319" s="3">
        <v>3</v>
      </c>
      <c r="N319" s="48"/>
    </row>
    <row r="320" spans="1:14" x14ac:dyDescent="0.45">
      <c r="A320" s="3" t="s">
        <v>11</v>
      </c>
      <c r="B320" s="4">
        <v>39219</v>
      </c>
      <c r="C320" s="7" t="s">
        <v>25</v>
      </c>
      <c r="D320" s="8" t="s">
        <v>340</v>
      </c>
      <c r="F320" s="3">
        <v>1</v>
      </c>
      <c r="L320" s="3" t="s">
        <v>120</v>
      </c>
      <c r="N320" s="48"/>
    </row>
    <row r="321" spans="1:14" x14ac:dyDescent="0.45">
      <c r="A321" s="3" t="s">
        <v>11</v>
      </c>
      <c r="B321" s="4">
        <v>39226</v>
      </c>
      <c r="C321" s="7" t="s">
        <v>21</v>
      </c>
      <c r="D321" s="6" t="s">
        <v>341</v>
      </c>
      <c r="F321" s="3">
        <v>10</v>
      </c>
      <c r="N321" s="48"/>
    </row>
    <row r="322" spans="1:14" x14ac:dyDescent="0.45">
      <c r="A322" s="3" t="s">
        <v>11</v>
      </c>
      <c r="B322" s="4">
        <v>39232</v>
      </c>
      <c r="C322" s="7" t="s">
        <v>21</v>
      </c>
      <c r="D322" s="6" t="s">
        <v>342</v>
      </c>
      <c r="F322" s="3">
        <v>5</v>
      </c>
      <c r="N322" s="48"/>
    </row>
    <row r="323" spans="1:14" x14ac:dyDescent="0.45">
      <c r="A323" s="3" t="s">
        <v>11</v>
      </c>
      <c r="B323" s="4">
        <v>39237</v>
      </c>
      <c r="C323" s="7" t="s">
        <v>21</v>
      </c>
      <c r="D323" s="6" t="s">
        <v>343</v>
      </c>
      <c r="F323" s="3">
        <v>20</v>
      </c>
      <c r="N323" s="48"/>
    </row>
    <row r="324" spans="1:14" x14ac:dyDescent="0.45">
      <c r="A324" s="3" t="s">
        <v>11</v>
      </c>
      <c r="B324" s="4">
        <v>39262</v>
      </c>
      <c r="C324" s="7" t="s">
        <v>25</v>
      </c>
      <c r="D324" s="6" t="s">
        <v>344</v>
      </c>
      <c r="F324" s="3">
        <v>5</v>
      </c>
      <c r="N324" s="48"/>
    </row>
    <row r="325" spans="1:14" x14ac:dyDescent="0.45">
      <c r="A325" s="3" t="s">
        <v>11</v>
      </c>
      <c r="B325" s="4">
        <v>39331</v>
      </c>
      <c r="C325" s="7" t="s">
        <v>25</v>
      </c>
      <c r="D325" s="8" t="s">
        <v>345</v>
      </c>
      <c r="F325" s="3">
        <v>14</v>
      </c>
      <c r="L325" s="3" t="s">
        <v>120</v>
      </c>
      <c r="N325" s="48"/>
    </row>
    <row r="326" spans="1:14" x14ac:dyDescent="0.45">
      <c r="A326" s="3" t="s">
        <v>11</v>
      </c>
      <c r="B326" s="4">
        <v>39363</v>
      </c>
      <c r="C326" s="7" t="s">
        <v>25</v>
      </c>
      <c r="D326" s="6" t="s">
        <v>346</v>
      </c>
      <c r="F326" s="3">
        <v>18</v>
      </c>
      <c r="N326" s="48"/>
    </row>
    <row r="327" spans="1:14" x14ac:dyDescent="0.45">
      <c r="A327" s="3" t="s">
        <v>11</v>
      </c>
      <c r="B327" s="4">
        <v>39399</v>
      </c>
      <c r="C327" s="7" t="s">
        <v>25</v>
      </c>
      <c r="D327" s="6" t="s">
        <v>347</v>
      </c>
      <c r="F327" s="3">
        <v>48</v>
      </c>
      <c r="N327" s="48"/>
    </row>
    <row r="328" spans="1:14" x14ac:dyDescent="0.45">
      <c r="A328" s="3" t="s">
        <v>11</v>
      </c>
      <c r="B328" s="4">
        <v>39498</v>
      </c>
      <c r="C328" s="7" t="s">
        <v>21</v>
      </c>
      <c r="D328" s="6" t="s">
        <v>348</v>
      </c>
      <c r="F328" s="3">
        <v>60</v>
      </c>
      <c r="N328" s="48"/>
    </row>
    <row r="329" spans="1:14" x14ac:dyDescent="0.45">
      <c r="A329" s="3" t="s">
        <v>11</v>
      </c>
      <c r="B329" s="4">
        <v>39504</v>
      </c>
      <c r="C329" s="7" t="s">
        <v>25</v>
      </c>
      <c r="D329" s="6" t="s">
        <v>349</v>
      </c>
      <c r="F329" s="3">
        <v>43</v>
      </c>
      <c r="N329" s="48"/>
    </row>
    <row r="330" spans="1:14" x14ac:dyDescent="0.45">
      <c r="A330" s="3" t="s">
        <v>11</v>
      </c>
      <c r="B330" s="4">
        <v>39517</v>
      </c>
      <c r="C330" s="7" t="s">
        <v>21</v>
      </c>
      <c r="D330" s="6" t="s">
        <v>350</v>
      </c>
      <c r="F330" s="3">
        <v>19</v>
      </c>
      <c r="N330" s="48"/>
    </row>
    <row r="331" spans="1:14" x14ac:dyDescent="0.45">
      <c r="A331" s="3" t="s">
        <v>11</v>
      </c>
      <c r="B331" s="4">
        <v>39556</v>
      </c>
      <c r="C331" s="7" t="s">
        <v>21</v>
      </c>
      <c r="D331" s="6" t="s">
        <v>351</v>
      </c>
      <c r="F331" s="3">
        <v>51</v>
      </c>
      <c r="N331" s="48"/>
    </row>
    <row r="332" spans="1:14" x14ac:dyDescent="0.45">
      <c r="A332" s="3" t="s">
        <v>11</v>
      </c>
      <c r="B332" s="4">
        <v>39570</v>
      </c>
      <c r="C332" s="7" t="s">
        <v>21</v>
      </c>
      <c r="D332" s="6" t="s">
        <v>352</v>
      </c>
      <c r="F332" s="3">
        <v>31</v>
      </c>
      <c r="N332" s="48"/>
    </row>
    <row r="333" spans="1:14" x14ac:dyDescent="0.45">
      <c r="A333" s="3" t="s">
        <v>11</v>
      </c>
      <c r="B333" s="4">
        <v>39597</v>
      </c>
      <c r="C333" s="7" t="s">
        <v>25</v>
      </c>
      <c r="D333" s="6" t="s">
        <v>353</v>
      </c>
      <c r="F333" s="3">
        <v>12</v>
      </c>
      <c r="N333" s="48"/>
    </row>
    <row r="334" spans="1:14" x14ac:dyDescent="0.45">
      <c r="A334" s="3" t="s">
        <v>11</v>
      </c>
      <c r="B334" s="4">
        <v>39744</v>
      </c>
      <c r="C334" s="7" t="s">
        <v>21</v>
      </c>
      <c r="D334" s="6" t="s">
        <v>354</v>
      </c>
      <c r="F334" s="3">
        <v>105</v>
      </c>
      <c r="N334" s="48"/>
    </row>
    <row r="335" spans="1:14" x14ac:dyDescent="0.45">
      <c r="A335" s="3" t="s">
        <v>11</v>
      </c>
      <c r="B335" s="4">
        <v>39745</v>
      </c>
      <c r="C335" s="7" t="s">
        <v>25</v>
      </c>
      <c r="D335" s="6" t="s">
        <v>355</v>
      </c>
      <c r="F335" s="3">
        <v>13</v>
      </c>
      <c r="N335" s="48"/>
    </row>
    <row r="336" spans="1:14" x14ac:dyDescent="0.45">
      <c r="A336" s="3" t="s">
        <v>11</v>
      </c>
      <c r="B336" s="4">
        <v>39787</v>
      </c>
      <c r="C336" s="7" t="s">
        <v>21</v>
      </c>
      <c r="D336" s="6" t="s">
        <v>356</v>
      </c>
      <c r="F336" s="3">
        <v>6</v>
      </c>
      <c r="N336" s="48"/>
    </row>
    <row r="337" spans="1:14" x14ac:dyDescent="0.45">
      <c r="A337" s="3" t="s">
        <v>11</v>
      </c>
      <c r="B337" s="4">
        <v>39797</v>
      </c>
      <c r="C337" s="7" t="s">
        <v>25</v>
      </c>
      <c r="D337" s="6" t="s">
        <v>357</v>
      </c>
      <c r="F337" s="3">
        <v>10</v>
      </c>
      <c r="N337" s="48"/>
    </row>
    <row r="338" spans="1:14" x14ac:dyDescent="0.45">
      <c r="A338" s="3" t="s">
        <v>11</v>
      </c>
      <c r="B338" s="4">
        <v>39806</v>
      </c>
      <c r="C338" s="7" t="s">
        <v>21</v>
      </c>
      <c r="D338" s="6" t="s">
        <v>358</v>
      </c>
      <c r="F338" s="3">
        <v>22</v>
      </c>
      <c r="N338" s="48"/>
    </row>
    <row r="339" spans="1:14" x14ac:dyDescent="0.45">
      <c r="A339" s="3" t="s">
        <v>11</v>
      </c>
      <c r="B339" s="4">
        <v>39822</v>
      </c>
      <c r="C339" s="7" t="s">
        <v>21</v>
      </c>
      <c r="D339" s="6" t="s">
        <v>359</v>
      </c>
      <c r="F339" s="3">
        <v>12</v>
      </c>
      <c r="N339" s="48"/>
    </row>
    <row r="340" spans="1:14" x14ac:dyDescent="0.45">
      <c r="A340" s="3" t="s">
        <v>11</v>
      </c>
      <c r="B340" s="4">
        <v>39862</v>
      </c>
      <c r="C340" s="7" t="s">
        <v>21</v>
      </c>
      <c r="D340" s="6" t="s">
        <v>360</v>
      </c>
      <c r="F340" s="3">
        <v>18</v>
      </c>
      <c r="N340" s="48"/>
    </row>
    <row r="341" spans="1:14" x14ac:dyDescent="0.45">
      <c r="A341" s="3" t="s">
        <v>11</v>
      </c>
      <c r="B341" s="4">
        <v>39871</v>
      </c>
      <c r="C341" s="7" t="s">
        <v>25</v>
      </c>
      <c r="D341" s="6" t="s">
        <v>361</v>
      </c>
      <c r="F341" s="3">
        <v>7</v>
      </c>
      <c r="N341" s="48"/>
    </row>
    <row r="342" spans="1:14" x14ac:dyDescent="0.45">
      <c r="A342" s="3" t="s">
        <v>11</v>
      </c>
      <c r="B342" s="4">
        <v>39888</v>
      </c>
      <c r="C342" s="7" t="s">
        <v>21</v>
      </c>
      <c r="D342" s="6" t="s">
        <v>362</v>
      </c>
      <c r="F342" s="3">
        <v>3</v>
      </c>
      <c r="N342" s="48"/>
    </row>
    <row r="343" spans="1:14" x14ac:dyDescent="0.45">
      <c r="A343" s="3" t="s">
        <v>11</v>
      </c>
      <c r="B343" s="4">
        <v>39896</v>
      </c>
      <c r="C343" s="7" t="s">
        <v>21</v>
      </c>
      <c r="D343" s="6" t="s">
        <v>363</v>
      </c>
      <c r="F343" s="3">
        <v>9</v>
      </c>
      <c r="N343" s="48"/>
    </row>
    <row r="344" spans="1:14" x14ac:dyDescent="0.45">
      <c r="A344" s="3" t="s">
        <v>11</v>
      </c>
      <c r="B344" s="4">
        <v>39905</v>
      </c>
      <c r="C344" s="7" t="s">
        <v>21</v>
      </c>
      <c r="D344" s="6" t="s">
        <v>364</v>
      </c>
      <c r="F344" s="3">
        <v>58</v>
      </c>
      <c r="N344" s="48"/>
    </row>
    <row r="345" spans="1:14" x14ac:dyDescent="0.45">
      <c r="A345" s="3" t="s">
        <v>11</v>
      </c>
      <c r="B345" s="4">
        <v>39967</v>
      </c>
      <c r="C345" s="7" t="s">
        <v>21</v>
      </c>
      <c r="D345" s="6" t="s">
        <v>365</v>
      </c>
      <c r="F345" s="3">
        <v>65</v>
      </c>
      <c r="N345" s="48"/>
    </row>
    <row r="346" spans="1:14" x14ac:dyDescent="0.45">
      <c r="A346" s="3" t="s">
        <v>11</v>
      </c>
      <c r="B346" s="4">
        <v>39967</v>
      </c>
      <c r="C346" s="7" t="s">
        <v>21</v>
      </c>
      <c r="D346" s="6" t="s">
        <v>366</v>
      </c>
      <c r="F346" s="3">
        <v>75</v>
      </c>
      <c r="N346" s="48"/>
    </row>
    <row r="347" spans="1:14" x14ac:dyDescent="0.45">
      <c r="A347" s="3" t="s">
        <v>11</v>
      </c>
      <c r="B347" s="4">
        <v>40004</v>
      </c>
      <c r="C347" s="7" t="s">
        <v>25</v>
      </c>
      <c r="D347" s="6" t="s">
        <v>367</v>
      </c>
      <c r="F347" s="3">
        <v>5</v>
      </c>
      <c r="N347" s="48"/>
    </row>
    <row r="348" spans="1:14" x14ac:dyDescent="0.45">
      <c r="A348" s="3" t="s">
        <v>11</v>
      </c>
      <c r="B348" s="4">
        <v>40045</v>
      </c>
      <c r="C348" s="7" t="s">
        <v>21</v>
      </c>
      <c r="D348" s="6" t="s">
        <v>368</v>
      </c>
      <c r="F348" s="3">
        <v>6</v>
      </c>
      <c r="N348" s="48"/>
    </row>
    <row r="349" spans="1:14" x14ac:dyDescent="0.45">
      <c r="A349" s="3" t="s">
        <v>11</v>
      </c>
      <c r="B349" s="4">
        <v>40051</v>
      </c>
      <c r="C349" s="7" t="s">
        <v>21</v>
      </c>
      <c r="D349" s="6" t="s">
        <v>369</v>
      </c>
      <c r="F349" s="3">
        <v>9</v>
      </c>
      <c r="N349" s="48"/>
    </row>
    <row r="350" spans="1:14" x14ac:dyDescent="0.45">
      <c r="A350" s="3" t="s">
        <v>11</v>
      </c>
      <c r="B350" s="4">
        <v>40057</v>
      </c>
      <c r="C350" s="7" t="s">
        <v>25</v>
      </c>
      <c r="D350" s="6" t="s">
        <v>370</v>
      </c>
      <c r="F350" s="3">
        <v>11</v>
      </c>
      <c r="N350" s="48"/>
    </row>
    <row r="351" spans="1:14" x14ac:dyDescent="0.45">
      <c r="A351" s="3" t="s">
        <v>11</v>
      </c>
      <c r="B351" s="4">
        <v>40073</v>
      </c>
      <c r="C351" s="7" t="s">
        <v>21</v>
      </c>
      <c r="D351" s="6" t="s">
        <v>371</v>
      </c>
      <c r="F351" s="3">
        <v>8</v>
      </c>
      <c r="N351" s="48"/>
    </row>
    <row r="352" spans="1:14" x14ac:dyDescent="0.45">
      <c r="A352" s="3" t="s">
        <v>11</v>
      </c>
      <c r="B352" s="4">
        <v>40100</v>
      </c>
      <c r="C352" s="7" t="s">
        <v>21</v>
      </c>
      <c r="D352" s="6" t="s">
        <v>372</v>
      </c>
      <c r="F352" s="3">
        <v>85</v>
      </c>
      <c r="L352" s="3" t="s">
        <v>373</v>
      </c>
      <c r="N352" s="48"/>
    </row>
    <row r="353" spans="1:14" x14ac:dyDescent="0.45">
      <c r="A353" s="3" t="s">
        <v>11</v>
      </c>
      <c r="B353" s="4">
        <v>40227</v>
      </c>
      <c r="C353" s="7" t="s">
        <v>21</v>
      </c>
      <c r="D353" s="6" t="s">
        <v>374</v>
      </c>
      <c r="F353" s="3">
        <v>10</v>
      </c>
      <c r="N353" s="48"/>
    </row>
    <row r="354" spans="1:14" x14ac:dyDescent="0.45">
      <c r="A354" s="3" t="s">
        <v>11</v>
      </c>
      <c r="B354" s="4">
        <v>40233</v>
      </c>
      <c r="C354" s="7" t="s">
        <v>25</v>
      </c>
      <c r="D354" s="6" t="s">
        <v>375</v>
      </c>
      <c r="F354" s="3">
        <v>4</v>
      </c>
      <c r="N354" s="48"/>
    </row>
    <row r="355" spans="1:14" x14ac:dyDescent="0.45">
      <c r="A355" s="3" t="s">
        <v>11</v>
      </c>
      <c r="B355" s="4">
        <v>40263</v>
      </c>
      <c r="C355" s="7" t="s">
        <v>21</v>
      </c>
      <c r="D355" s="6" t="s">
        <v>376</v>
      </c>
      <c r="F355" s="3">
        <v>9</v>
      </c>
      <c r="N355" s="48"/>
    </row>
    <row r="356" spans="1:14" x14ac:dyDescent="0.45">
      <c r="A356" s="3" t="s">
        <v>11</v>
      </c>
      <c r="B356" s="4">
        <v>40267</v>
      </c>
      <c r="C356" s="7" t="s">
        <v>21</v>
      </c>
      <c r="D356" s="6" t="s">
        <v>377</v>
      </c>
      <c r="F356" s="3">
        <v>18</v>
      </c>
      <c r="N356" s="48"/>
    </row>
    <row r="357" spans="1:14" x14ac:dyDescent="0.45">
      <c r="A357" s="3" t="s">
        <v>11</v>
      </c>
      <c r="B357" s="4">
        <v>40270</v>
      </c>
      <c r="C357" s="7" t="s">
        <v>21</v>
      </c>
      <c r="D357" s="6" t="s">
        <v>378</v>
      </c>
      <c r="F357" s="3">
        <v>6</v>
      </c>
      <c r="N357" s="48"/>
    </row>
    <row r="358" spans="1:14" x14ac:dyDescent="0.45">
      <c r="A358" s="3" t="s">
        <v>11</v>
      </c>
      <c r="B358" s="4">
        <v>40276</v>
      </c>
      <c r="C358" s="7" t="s">
        <v>21</v>
      </c>
      <c r="D358" s="6" t="s">
        <v>379</v>
      </c>
      <c r="F358" s="3">
        <v>7</v>
      </c>
      <c r="N358" s="48"/>
    </row>
    <row r="359" spans="1:14" x14ac:dyDescent="0.45">
      <c r="A359" s="3" t="s">
        <v>11</v>
      </c>
      <c r="B359" s="4">
        <v>40281</v>
      </c>
      <c r="C359" s="7" t="s">
        <v>21</v>
      </c>
      <c r="D359" s="6" t="s">
        <v>380</v>
      </c>
      <c r="F359" s="3">
        <v>60</v>
      </c>
      <c r="N359" s="48"/>
    </row>
    <row r="360" spans="1:14" x14ac:dyDescent="0.45">
      <c r="A360" s="3" t="s">
        <v>11</v>
      </c>
      <c r="B360" s="4">
        <v>40282</v>
      </c>
      <c r="C360" s="7" t="s">
        <v>21</v>
      </c>
      <c r="D360" s="6" t="s">
        <v>381</v>
      </c>
      <c r="F360" s="3">
        <v>11</v>
      </c>
      <c r="N360" s="48"/>
    </row>
    <row r="361" spans="1:14" x14ac:dyDescent="0.45">
      <c r="A361" s="3" t="s">
        <v>11</v>
      </c>
      <c r="B361" s="4">
        <v>40288</v>
      </c>
      <c r="C361" s="7" t="s">
        <v>21</v>
      </c>
      <c r="D361" s="6" t="s">
        <v>382</v>
      </c>
      <c r="F361" s="3">
        <v>41</v>
      </c>
      <c r="N361" s="48"/>
    </row>
    <row r="362" spans="1:14" x14ac:dyDescent="0.45">
      <c r="A362" s="3" t="s">
        <v>11</v>
      </c>
      <c r="B362" s="4">
        <v>40288</v>
      </c>
      <c r="C362" s="7" t="s">
        <v>21</v>
      </c>
      <c r="D362" s="6" t="s">
        <v>383</v>
      </c>
      <c r="F362" s="3">
        <v>49</v>
      </c>
      <c r="N362" s="48"/>
    </row>
    <row r="363" spans="1:14" x14ac:dyDescent="0.45">
      <c r="A363" s="3" t="s">
        <v>11</v>
      </c>
      <c r="B363" s="4">
        <v>40336</v>
      </c>
      <c r="C363" s="7" t="s">
        <v>21</v>
      </c>
      <c r="D363" s="6" t="s">
        <v>384</v>
      </c>
      <c r="F363" s="3">
        <v>7</v>
      </c>
      <c r="N363" s="48"/>
    </row>
    <row r="364" spans="1:14" x14ac:dyDescent="0.45">
      <c r="A364" s="3" t="s">
        <v>11</v>
      </c>
      <c r="B364" s="4">
        <v>40368</v>
      </c>
      <c r="C364" s="7" t="s">
        <v>21</v>
      </c>
      <c r="D364" s="6" t="s">
        <v>385</v>
      </c>
      <c r="F364" s="3">
        <v>55</v>
      </c>
      <c r="L364" s="3" t="s">
        <v>373</v>
      </c>
      <c r="N364" s="48"/>
    </row>
    <row r="365" spans="1:14" x14ac:dyDescent="0.45">
      <c r="A365" s="3" t="s">
        <v>11</v>
      </c>
      <c r="B365" s="4">
        <v>40438</v>
      </c>
      <c r="C365" s="7" t="s">
        <v>21</v>
      </c>
      <c r="D365" s="6" t="s">
        <v>386</v>
      </c>
      <c r="F365" s="3">
        <v>9</v>
      </c>
      <c r="N365" s="48"/>
    </row>
    <row r="366" spans="1:14" x14ac:dyDescent="0.45">
      <c r="A366" s="3" t="s">
        <v>11</v>
      </c>
      <c r="B366" s="4">
        <v>40450</v>
      </c>
      <c r="C366" s="7" t="s">
        <v>25</v>
      </c>
      <c r="D366" s="6" t="s">
        <v>387</v>
      </c>
      <c r="F366" s="3">
        <v>4</v>
      </c>
      <c r="N366" s="48"/>
    </row>
    <row r="367" spans="1:14" x14ac:dyDescent="0.45">
      <c r="A367" s="3" t="s">
        <v>11</v>
      </c>
      <c r="B367" s="4">
        <v>40500</v>
      </c>
      <c r="C367" s="7" t="s">
        <v>25</v>
      </c>
      <c r="D367" s="6" t="s">
        <v>388</v>
      </c>
      <c r="F367" s="3">
        <v>2</v>
      </c>
      <c r="N367" s="48"/>
    </row>
    <row r="368" spans="1:14" x14ac:dyDescent="0.45">
      <c r="A368" s="3" t="s">
        <v>11</v>
      </c>
      <c r="B368" s="4">
        <v>40505</v>
      </c>
      <c r="C368" s="7" t="s">
        <v>21</v>
      </c>
      <c r="D368" s="6" t="s">
        <v>389</v>
      </c>
      <c r="F368" s="3">
        <v>12</v>
      </c>
      <c r="N368" s="48"/>
    </row>
    <row r="369" spans="1:14" x14ac:dyDescent="0.45">
      <c r="A369" s="3" t="s">
        <v>11</v>
      </c>
      <c r="B369" s="4">
        <v>40505</v>
      </c>
      <c r="C369" s="7" t="s">
        <v>21</v>
      </c>
      <c r="D369" s="6" t="s">
        <v>390</v>
      </c>
      <c r="F369" s="3">
        <v>39</v>
      </c>
      <c r="N369" s="48"/>
    </row>
    <row r="370" spans="1:14" x14ac:dyDescent="0.45">
      <c r="A370" s="3" t="s">
        <v>11</v>
      </c>
      <c r="B370" s="4">
        <v>40550</v>
      </c>
      <c r="C370" s="7" t="s">
        <v>21</v>
      </c>
      <c r="D370" s="6" t="s">
        <v>391</v>
      </c>
      <c r="F370" s="3">
        <v>4</v>
      </c>
      <c r="N370" s="48"/>
    </row>
    <row r="371" spans="1:14" x14ac:dyDescent="0.45">
      <c r="A371" s="3" t="s">
        <v>11</v>
      </c>
      <c r="B371" s="4">
        <v>40574</v>
      </c>
      <c r="C371" s="7" t="s">
        <v>25</v>
      </c>
      <c r="D371" s="6" t="s">
        <v>392</v>
      </c>
      <c r="F371" s="3">
        <v>5</v>
      </c>
      <c r="N371" s="48"/>
    </row>
    <row r="372" spans="1:14" x14ac:dyDescent="0.45">
      <c r="A372" s="3" t="s">
        <v>11</v>
      </c>
      <c r="B372" s="4">
        <v>40575</v>
      </c>
      <c r="C372" s="7" t="s">
        <v>21</v>
      </c>
      <c r="D372" s="6" t="s">
        <v>393</v>
      </c>
      <c r="F372" s="3">
        <v>3</v>
      </c>
      <c r="N372" s="48"/>
    </row>
    <row r="373" spans="1:14" x14ac:dyDescent="0.45">
      <c r="A373" s="3" t="s">
        <v>11</v>
      </c>
      <c r="B373" s="4">
        <v>40589</v>
      </c>
      <c r="C373" s="7" t="s">
        <v>25</v>
      </c>
      <c r="D373" s="6" t="s">
        <v>394</v>
      </c>
      <c r="F373" s="3">
        <v>7</v>
      </c>
      <c r="N373" s="48"/>
    </row>
    <row r="374" spans="1:14" x14ac:dyDescent="0.45">
      <c r="A374" s="3" t="s">
        <v>11</v>
      </c>
      <c r="B374" s="4">
        <v>40603</v>
      </c>
      <c r="C374" s="7" t="s">
        <v>21</v>
      </c>
      <c r="D374" s="6" t="s">
        <v>395</v>
      </c>
      <c r="F374" s="3">
        <v>19</v>
      </c>
      <c r="N374" s="48"/>
    </row>
    <row r="375" spans="1:14" x14ac:dyDescent="0.45">
      <c r="A375" s="3" t="s">
        <v>11</v>
      </c>
      <c r="B375" s="4">
        <v>40625</v>
      </c>
      <c r="C375" s="7" t="s">
        <v>21</v>
      </c>
      <c r="D375" s="6" t="s">
        <v>396</v>
      </c>
      <c r="F375" s="3">
        <v>49</v>
      </c>
      <c r="N375" s="48"/>
    </row>
    <row r="376" spans="1:14" x14ac:dyDescent="0.45">
      <c r="A376" s="3" t="s">
        <v>11</v>
      </c>
      <c r="B376" s="4">
        <v>40639</v>
      </c>
      <c r="C376" s="7" t="s">
        <v>21</v>
      </c>
      <c r="D376" s="6" t="s">
        <v>397</v>
      </c>
      <c r="F376" s="3">
        <v>61</v>
      </c>
      <c r="N376" s="48"/>
    </row>
    <row r="377" spans="1:14" x14ac:dyDescent="0.45">
      <c r="A377" s="3" t="s">
        <v>11</v>
      </c>
      <c r="B377" s="4">
        <v>40661</v>
      </c>
      <c r="C377" s="7" t="s">
        <v>21</v>
      </c>
      <c r="D377" s="6" t="s">
        <v>398</v>
      </c>
      <c r="F377" s="3">
        <v>65</v>
      </c>
      <c r="N377" s="48"/>
    </row>
    <row r="378" spans="1:14" x14ac:dyDescent="0.45">
      <c r="A378" s="3" t="s">
        <v>11</v>
      </c>
      <c r="B378" s="4">
        <v>40729</v>
      </c>
      <c r="C378" s="7" t="s">
        <v>21</v>
      </c>
      <c r="D378" s="6" t="s">
        <v>399</v>
      </c>
      <c r="F378" s="3">
        <v>20</v>
      </c>
      <c r="N378" s="48"/>
    </row>
    <row r="379" spans="1:14" x14ac:dyDescent="0.45">
      <c r="A379" s="3" t="s">
        <v>11</v>
      </c>
      <c r="B379" s="4">
        <v>40730</v>
      </c>
      <c r="C379" s="7" t="s">
        <v>25</v>
      </c>
      <c r="D379" s="6" t="s">
        <v>400</v>
      </c>
      <c r="F379" s="3">
        <v>10</v>
      </c>
      <c r="N379" s="48"/>
    </row>
    <row r="380" spans="1:14" x14ac:dyDescent="0.45">
      <c r="A380" s="3" t="s">
        <v>11</v>
      </c>
      <c r="B380" s="4">
        <v>40731</v>
      </c>
      <c r="C380" s="7" t="s">
        <v>21</v>
      </c>
      <c r="D380" s="6" t="s">
        <v>401</v>
      </c>
      <c r="F380" s="3">
        <v>4</v>
      </c>
      <c r="N380" s="48"/>
    </row>
    <row r="381" spans="1:14" x14ac:dyDescent="0.45">
      <c r="A381" s="3" t="s">
        <v>11</v>
      </c>
      <c r="B381" s="4">
        <v>40816</v>
      </c>
      <c r="C381" s="7" t="s">
        <v>25</v>
      </c>
      <c r="D381" s="6" t="s">
        <v>402</v>
      </c>
      <c r="F381" s="3">
        <v>21</v>
      </c>
      <c r="N381" s="48"/>
    </row>
    <row r="382" spans="1:14" x14ac:dyDescent="0.45">
      <c r="A382" s="3" t="s">
        <v>11</v>
      </c>
      <c r="B382" s="4">
        <v>40822</v>
      </c>
      <c r="C382" s="7" t="s">
        <v>25</v>
      </c>
      <c r="D382" s="6" t="s">
        <v>403</v>
      </c>
      <c r="F382" s="3">
        <v>24</v>
      </c>
      <c r="N382" s="48"/>
    </row>
    <row r="383" spans="1:14" x14ac:dyDescent="0.45">
      <c r="A383" s="3" t="s">
        <v>11</v>
      </c>
      <c r="B383" s="4">
        <v>40886</v>
      </c>
      <c r="C383" s="7" t="s">
        <v>21</v>
      </c>
      <c r="D383" s="6" t="s">
        <v>404</v>
      </c>
      <c r="F383" s="3">
        <v>11</v>
      </c>
      <c r="L383" s="3" t="s">
        <v>373</v>
      </c>
      <c r="N383" s="48"/>
    </row>
    <row r="384" spans="1:14" x14ac:dyDescent="0.45">
      <c r="A384" s="3" t="s">
        <v>11</v>
      </c>
      <c r="B384" s="4">
        <v>40914</v>
      </c>
      <c r="C384" s="7" t="s">
        <v>25</v>
      </c>
      <c r="D384" s="6" t="s">
        <v>405</v>
      </c>
      <c r="F384" s="3">
        <v>107</v>
      </c>
      <c r="N384" s="48"/>
    </row>
    <row r="385" spans="1:679" s="2" customFormat="1" x14ac:dyDescent="0.45">
      <c r="A385" s="3" t="s">
        <v>11</v>
      </c>
      <c r="B385" s="4">
        <v>40914</v>
      </c>
      <c r="C385" s="7" t="s">
        <v>21</v>
      </c>
      <c r="D385" s="6" t="s">
        <v>406</v>
      </c>
      <c r="E385" s="3"/>
      <c r="F385" s="3">
        <v>7</v>
      </c>
      <c r="L385" s="3"/>
      <c r="M385" s="3"/>
      <c r="N385" s="48"/>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c r="CO385" s="3"/>
      <c r="CP385" s="3"/>
      <c r="CQ385" s="3"/>
      <c r="CR385" s="3"/>
      <c r="CS385" s="3"/>
      <c r="CT385" s="3"/>
      <c r="CU385" s="3"/>
      <c r="CV385" s="3"/>
      <c r="CW385" s="3"/>
      <c r="CX385" s="3"/>
      <c r="CY385" s="3"/>
      <c r="CZ385" s="3"/>
      <c r="DA385" s="3"/>
      <c r="DB385" s="3"/>
      <c r="DC385" s="3"/>
      <c r="DD385" s="3"/>
      <c r="DE385" s="3"/>
      <c r="DF385" s="3"/>
      <c r="DG385" s="3"/>
      <c r="DH385" s="3"/>
      <c r="DI385" s="3"/>
      <c r="DJ385" s="3"/>
      <c r="DK385" s="3"/>
      <c r="DL385" s="3"/>
      <c r="DM385" s="3"/>
      <c r="DN385" s="3"/>
      <c r="DO385" s="3"/>
      <c r="DP385" s="3"/>
      <c r="DQ385" s="3"/>
      <c r="DR385" s="3"/>
      <c r="DS385" s="3"/>
      <c r="DT385" s="3"/>
      <c r="DU385" s="3"/>
      <c r="DV385" s="3"/>
      <c r="DW385" s="3"/>
      <c r="DX385" s="3"/>
      <c r="DY385" s="3"/>
      <c r="DZ385" s="3"/>
      <c r="EA385" s="3"/>
      <c r="EB385" s="3"/>
      <c r="EC385" s="3"/>
      <c r="ED385" s="3"/>
      <c r="EE385" s="3"/>
      <c r="EF385" s="3"/>
      <c r="EG385" s="3"/>
      <c r="EH385" s="3"/>
      <c r="EI385" s="3"/>
      <c r="EJ385" s="3"/>
      <c r="EK385" s="3"/>
      <c r="EL385" s="3"/>
      <c r="EM385" s="3"/>
      <c r="EN385" s="3"/>
      <c r="EO385" s="3"/>
      <c r="EP385" s="3"/>
      <c r="EQ385" s="3"/>
      <c r="ER385" s="3"/>
      <c r="ES385" s="3"/>
      <c r="ET385" s="3"/>
      <c r="EU385" s="3"/>
      <c r="EV385" s="3"/>
      <c r="EW385" s="3"/>
      <c r="EX385" s="3"/>
      <c r="EY385" s="3"/>
      <c r="EZ385" s="3"/>
      <c r="FA385" s="3"/>
      <c r="FB385" s="3"/>
      <c r="FC385" s="3"/>
      <c r="FD385" s="3"/>
      <c r="FE385" s="3"/>
      <c r="FF385" s="3"/>
      <c r="FG385" s="3"/>
      <c r="FH385" s="3"/>
      <c r="FI385" s="3"/>
      <c r="FJ385" s="3"/>
      <c r="FK385" s="3"/>
      <c r="FL385" s="3"/>
      <c r="FM385" s="3"/>
      <c r="FN385" s="3"/>
      <c r="FO385" s="3"/>
      <c r="FP385" s="3"/>
      <c r="FQ385" s="3"/>
      <c r="FR385" s="3"/>
      <c r="FS385" s="3"/>
      <c r="FT385" s="3"/>
      <c r="FU385" s="3"/>
      <c r="FV385" s="3"/>
      <c r="FW385" s="3"/>
      <c r="FX385" s="3"/>
      <c r="FY385" s="3"/>
      <c r="FZ385" s="3"/>
      <c r="GA385" s="3"/>
      <c r="GB385" s="3"/>
      <c r="GC385" s="3"/>
      <c r="GD385" s="3"/>
      <c r="GE385" s="3"/>
      <c r="GF385" s="3"/>
      <c r="GG385" s="3"/>
      <c r="GH385" s="3"/>
      <c r="GI385" s="3"/>
      <c r="GJ385" s="3"/>
      <c r="GK385" s="3"/>
      <c r="GL385" s="3"/>
      <c r="GM385" s="3"/>
      <c r="GN385" s="3"/>
      <c r="GO385" s="3"/>
      <c r="GP385" s="3"/>
      <c r="GQ385" s="3"/>
      <c r="GR385" s="3"/>
      <c r="GS385" s="3"/>
      <c r="GT385" s="3"/>
      <c r="GU385" s="3"/>
      <c r="GV385" s="3"/>
      <c r="GW385" s="3"/>
      <c r="GX385" s="3"/>
      <c r="GY385" s="3"/>
      <c r="GZ385" s="3"/>
      <c r="HA385" s="3"/>
      <c r="HB385" s="3"/>
      <c r="HC385" s="3"/>
      <c r="HD385" s="3"/>
      <c r="HE385" s="3"/>
      <c r="HF385" s="3"/>
      <c r="HG385" s="3"/>
      <c r="HH385" s="3"/>
      <c r="HI385" s="3"/>
      <c r="HJ385" s="3"/>
      <c r="HK385" s="3"/>
      <c r="HL385" s="3"/>
      <c r="HM385" s="3"/>
      <c r="HN385" s="3"/>
      <c r="HO385" s="3"/>
      <c r="HP385" s="3"/>
      <c r="HQ385" s="3"/>
      <c r="HR385" s="3"/>
      <c r="HS385" s="3"/>
      <c r="HT385" s="3"/>
      <c r="HU385" s="3"/>
      <c r="HV385" s="3"/>
      <c r="HW385" s="3"/>
      <c r="HX385" s="3"/>
      <c r="HY385" s="3"/>
      <c r="HZ385" s="3"/>
      <c r="IA385" s="3"/>
      <c r="IB385" s="3"/>
      <c r="IC385" s="3"/>
      <c r="ID385" s="3"/>
      <c r="IE385" s="3"/>
      <c r="IF385" s="3"/>
      <c r="IG385" s="3"/>
      <c r="IH385" s="3"/>
      <c r="II385" s="3"/>
      <c r="IJ385" s="3"/>
      <c r="IK385" s="3"/>
      <c r="IL385" s="3"/>
      <c r="IM385" s="3"/>
      <c r="IN385" s="3"/>
      <c r="IO385" s="3"/>
      <c r="IP385" s="3"/>
      <c r="IQ385" s="3"/>
      <c r="IR385" s="3"/>
      <c r="IS385" s="3"/>
      <c r="IT385" s="3"/>
      <c r="IU385" s="3"/>
      <c r="IV385" s="3"/>
      <c r="IW385" s="3"/>
      <c r="IX385" s="3"/>
      <c r="IY385" s="3"/>
      <c r="IZ385" s="3"/>
      <c r="JA385" s="3"/>
      <c r="JB385" s="3"/>
      <c r="JC385" s="3"/>
      <c r="JD385" s="3"/>
      <c r="JE385" s="3"/>
      <c r="JF385" s="3"/>
      <c r="JG385" s="3"/>
      <c r="JH385" s="3"/>
      <c r="JI385" s="3"/>
      <c r="JJ385" s="3"/>
      <c r="JK385" s="3"/>
      <c r="JL385" s="3"/>
      <c r="JM385" s="3"/>
      <c r="JN385" s="3"/>
      <c r="JO385" s="3"/>
      <c r="JP385" s="3"/>
      <c r="JQ385" s="3"/>
      <c r="JR385" s="3"/>
      <c r="JS385" s="3"/>
      <c r="JT385" s="3"/>
      <c r="JU385" s="3"/>
      <c r="JV385" s="3"/>
      <c r="JW385" s="3"/>
      <c r="JX385" s="3"/>
      <c r="JY385" s="3"/>
      <c r="JZ385" s="3"/>
      <c r="KA385" s="3"/>
      <c r="KB385" s="3"/>
      <c r="KC385" s="3"/>
      <c r="KD385" s="3"/>
      <c r="KE385" s="3"/>
      <c r="KF385" s="3"/>
      <c r="KG385" s="3"/>
      <c r="KH385" s="3"/>
      <c r="KI385" s="3"/>
      <c r="KJ385" s="3"/>
      <c r="KK385" s="3"/>
      <c r="KL385" s="3"/>
      <c r="KM385" s="3"/>
      <c r="KN385" s="3"/>
      <c r="KO385" s="3"/>
      <c r="KP385" s="3"/>
      <c r="KQ385" s="3"/>
      <c r="KR385" s="3"/>
      <c r="KS385" s="3"/>
      <c r="KT385" s="3"/>
      <c r="KU385" s="3"/>
      <c r="KV385" s="3"/>
      <c r="KW385" s="3"/>
      <c r="KX385" s="3"/>
      <c r="KY385" s="3"/>
      <c r="KZ385" s="3"/>
      <c r="LA385" s="3"/>
      <c r="LB385" s="3"/>
      <c r="LC385" s="3"/>
      <c r="LD385" s="3"/>
      <c r="LE385" s="3"/>
      <c r="LF385" s="3"/>
      <c r="LG385" s="3"/>
      <c r="LH385" s="3"/>
      <c r="LI385" s="3"/>
      <c r="LJ385" s="3"/>
      <c r="LK385" s="3"/>
      <c r="LL385" s="3"/>
      <c r="LM385" s="3"/>
      <c r="LN385" s="3"/>
      <c r="LO385" s="3"/>
      <c r="LP385" s="3"/>
      <c r="LQ385" s="3"/>
      <c r="LR385" s="3"/>
      <c r="LS385" s="3"/>
      <c r="LT385" s="3"/>
      <c r="LU385" s="3"/>
      <c r="LV385" s="3"/>
      <c r="LW385" s="3"/>
      <c r="LX385" s="3"/>
      <c r="LY385" s="3"/>
      <c r="LZ385" s="3"/>
      <c r="MA385" s="3"/>
      <c r="MB385" s="3"/>
      <c r="MC385" s="3"/>
      <c r="MD385" s="3"/>
      <c r="ME385" s="3"/>
      <c r="MF385" s="3"/>
      <c r="MG385" s="3"/>
      <c r="MH385" s="3"/>
      <c r="MI385" s="3"/>
      <c r="MJ385" s="3"/>
      <c r="MK385" s="3"/>
      <c r="ML385" s="3"/>
      <c r="MM385" s="3"/>
      <c r="MN385" s="3"/>
      <c r="MO385" s="3"/>
      <c r="MP385" s="3"/>
      <c r="MQ385" s="3"/>
      <c r="MR385" s="3"/>
      <c r="MS385" s="3"/>
      <c r="MT385" s="3"/>
      <c r="MU385" s="3"/>
      <c r="MV385" s="3"/>
      <c r="MW385" s="3"/>
      <c r="MX385" s="3"/>
      <c r="MY385" s="3"/>
      <c r="MZ385" s="3"/>
      <c r="NA385" s="3"/>
      <c r="NB385" s="3"/>
      <c r="NC385" s="3"/>
      <c r="ND385" s="3"/>
      <c r="NE385" s="3"/>
      <c r="NF385" s="3"/>
      <c r="NG385" s="3"/>
      <c r="NH385" s="3"/>
      <c r="NI385" s="3"/>
      <c r="NJ385" s="3"/>
      <c r="NK385" s="3"/>
      <c r="NL385" s="3"/>
      <c r="NM385" s="3"/>
      <c r="NN385" s="3"/>
      <c r="NO385" s="3"/>
      <c r="NP385" s="3"/>
      <c r="NQ385" s="3"/>
      <c r="NR385" s="3"/>
      <c r="NS385" s="3"/>
      <c r="NT385" s="3"/>
      <c r="NU385" s="3"/>
      <c r="NV385" s="3"/>
      <c r="NW385" s="3"/>
      <c r="NX385" s="3"/>
      <c r="NY385" s="3"/>
      <c r="NZ385" s="3"/>
      <c r="OA385" s="3"/>
      <c r="OB385" s="3"/>
      <c r="OC385" s="3"/>
      <c r="OD385" s="3"/>
      <c r="OE385" s="3"/>
      <c r="OF385" s="3"/>
      <c r="OG385" s="3"/>
      <c r="OH385" s="3"/>
      <c r="OI385" s="3"/>
      <c r="OJ385" s="3"/>
      <c r="OK385" s="3"/>
      <c r="OL385" s="3"/>
      <c r="OM385" s="3"/>
      <c r="ON385" s="3"/>
      <c r="OO385" s="3"/>
      <c r="OP385" s="3"/>
      <c r="OQ385" s="3"/>
      <c r="OR385" s="3"/>
      <c r="OS385" s="3"/>
      <c r="OT385" s="3"/>
      <c r="OU385" s="3"/>
      <c r="OV385" s="3"/>
      <c r="OW385" s="3"/>
      <c r="OX385" s="3"/>
      <c r="OY385" s="3"/>
      <c r="OZ385" s="3"/>
      <c r="PA385" s="3"/>
      <c r="PB385" s="3"/>
      <c r="PC385" s="3"/>
      <c r="PD385" s="3"/>
      <c r="PE385" s="3"/>
      <c r="PF385" s="3"/>
      <c r="PG385" s="3"/>
      <c r="PH385" s="3"/>
      <c r="PI385" s="3"/>
      <c r="PJ385" s="3"/>
      <c r="PK385" s="3"/>
      <c r="PL385" s="3"/>
      <c r="PM385" s="3"/>
      <c r="PN385" s="3"/>
      <c r="PO385" s="3"/>
      <c r="PP385" s="3"/>
      <c r="PQ385" s="3"/>
      <c r="PR385" s="3"/>
      <c r="PS385" s="3"/>
      <c r="PT385" s="3"/>
      <c r="PU385" s="3"/>
      <c r="PV385" s="3"/>
      <c r="PW385" s="3"/>
      <c r="PX385" s="3"/>
      <c r="PY385" s="3"/>
      <c r="PZ385" s="3"/>
      <c r="QA385" s="3"/>
      <c r="QB385" s="3"/>
      <c r="QC385" s="3"/>
      <c r="QD385" s="3"/>
      <c r="QE385" s="3"/>
      <c r="QF385" s="3"/>
      <c r="QG385" s="3"/>
      <c r="QH385" s="3"/>
      <c r="QI385" s="3"/>
      <c r="QJ385" s="3"/>
      <c r="QK385" s="3"/>
      <c r="QL385" s="3"/>
      <c r="QM385" s="3"/>
      <c r="QN385" s="3"/>
      <c r="QO385" s="3"/>
      <c r="QP385" s="3"/>
      <c r="QQ385" s="3"/>
      <c r="QR385" s="3"/>
      <c r="QS385" s="3"/>
      <c r="QT385" s="3"/>
      <c r="QU385" s="3"/>
      <c r="QV385" s="3"/>
      <c r="QW385" s="3"/>
      <c r="QX385" s="3"/>
      <c r="QY385" s="3"/>
      <c r="QZ385" s="3"/>
      <c r="RA385" s="3"/>
      <c r="RB385" s="3"/>
      <c r="RC385" s="3"/>
      <c r="RD385" s="3"/>
      <c r="RE385" s="3"/>
      <c r="RF385" s="3"/>
      <c r="RG385" s="3"/>
      <c r="RH385" s="3"/>
      <c r="RI385" s="3"/>
      <c r="RJ385" s="3"/>
      <c r="RK385" s="3"/>
      <c r="RL385" s="3"/>
      <c r="RM385" s="3"/>
      <c r="RN385" s="3"/>
      <c r="RO385" s="3"/>
      <c r="RP385" s="3"/>
      <c r="RQ385" s="3"/>
      <c r="RR385" s="3"/>
      <c r="RS385" s="3"/>
      <c r="RT385" s="3"/>
      <c r="RU385" s="3"/>
      <c r="RV385" s="3"/>
      <c r="RW385" s="3"/>
      <c r="RX385" s="3"/>
      <c r="RY385" s="3"/>
      <c r="RZ385" s="3"/>
      <c r="SA385" s="3"/>
      <c r="SB385" s="3"/>
      <c r="SC385" s="3"/>
      <c r="SD385" s="3"/>
      <c r="SE385" s="3"/>
      <c r="SF385" s="3"/>
      <c r="SG385" s="3"/>
      <c r="SH385" s="3"/>
      <c r="SI385" s="3"/>
      <c r="SJ385" s="3"/>
      <c r="SK385" s="3"/>
      <c r="SL385" s="3"/>
      <c r="SM385" s="3"/>
      <c r="SN385" s="3"/>
      <c r="SO385" s="3"/>
      <c r="SP385" s="3"/>
      <c r="SQ385" s="3"/>
      <c r="SR385" s="3"/>
      <c r="SS385" s="3"/>
      <c r="ST385" s="3"/>
      <c r="SU385" s="3"/>
      <c r="SV385" s="3"/>
      <c r="SW385" s="3"/>
      <c r="SX385" s="3"/>
      <c r="SY385" s="3"/>
      <c r="SZ385" s="3"/>
      <c r="TA385" s="3"/>
      <c r="TB385" s="3"/>
      <c r="TC385" s="3"/>
      <c r="TD385" s="3"/>
      <c r="TE385" s="3"/>
      <c r="TF385" s="3"/>
      <c r="TG385" s="3"/>
      <c r="TH385" s="3"/>
      <c r="TI385" s="3"/>
      <c r="TJ385" s="3"/>
      <c r="TK385" s="3"/>
      <c r="TL385" s="3"/>
      <c r="TM385" s="3"/>
      <c r="TN385" s="3"/>
      <c r="TO385" s="3"/>
      <c r="TP385" s="3"/>
      <c r="TQ385" s="3"/>
      <c r="TR385" s="3"/>
      <c r="TS385" s="3"/>
      <c r="TT385" s="3"/>
      <c r="TU385" s="3"/>
      <c r="TV385" s="3"/>
      <c r="TW385" s="3"/>
      <c r="TX385" s="3"/>
      <c r="TY385" s="3"/>
      <c r="TZ385" s="3"/>
      <c r="UA385" s="3"/>
      <c r="UB385" s="3"/>
      <c r="UC385" s="3"/>
      <c r="UD385" s="3"/>
      <c r="UE385" s="3"/>
      <c r="UF385" s="3"/>
      <c r="UG385" s="3"/>
      <c r="UH385" s="3"/>
      <c r="UI385" s="3"/>
      <c r="UJ385" s="3"/>
      <c r="UK385" s="3"/>
      <c r="UL385" s="3"/>
      <c r="UM385" s="3"/>
      <c r="UN385" s="3"/>
      <c r="UO385" s="3"/>
      <c r="UP385" s="3"/>
      <c r="UQ385" s="3"/>
      <c r="UR385" s="3"/>
      <c r="US385" s="3"/>
      <c r="UT385" s="3"/>
      <c r="UU385" s="3"/>
      <c r="UV385" s="3"/>
      <c r="UW385" s="3"/>
      <c r="UX385" s="3"/>
      <c r="UY385" s="3"/>
      <c r="UZ385" s="3"/>
      <c r="VA385" s="3"/>
      <c r="VB385" s="3"/>
      <c r="VC385" s="3"/>
      <c r="VD385" s="3"/>
      <c r="VE385" s="3"/>
      <c r="VF385" s="3"/>
      <c r="VG385" s="3"/>
      <c r="VH385" s="3"/>
      <c r="VI385" s="3"/>
      <c r="VJ385" s="3"/>
      <c r="VK385" s="3"/>
      <c r="VL385" s="3"/>
      <c r="VM385" s="3"/>
      <c r="VN385" s="3"/>
      <c r="VO385" s="3"/>
      <c r="VP385" s="3"/>
      <c r="VQ385" s="3"/>
      <c r="VR385" s="3"/>
      <c r="VS385" s="3"/>
      <c r="VT385" s="3"/>
      <c r="VU385" s="3"/>
      <c r="VV385" s="3"/>
      <c r="VW385" s="3"/>
      <c r="VX385" s="3"/>
      <c r="VY385" s="3"/>
      <c r="VZ385" s="3"/>
      <c r="WA385" s="3"/>
      <c r="WB385" s="3"/>
      <c r="WC385" s="3"/>
      <c r="WD385" s="3"/>
      <c r="WE385" s="3"/>
      <c r="WF385" s="3"/>
      <c r="WG385" s="3"/>
      <c r="WH385" s="3"/>
      <c r="WI385" s="3"/>
      <c r="WJ385" s="3"/>
      <c r="WK385" s="3"/>
      <c r="WL385" s="3"/>
      <c r="WM385" s="3"/>
      <c r="WN385" s="3"/>
      <c r="WO385" s="3"/>
      <c r="WP385" s="3"/>
      <c r="WQ385" s="3"/>
      <c r="WR385" s="3"/>
      <c r="WS385" s="3"/>
      <c r="WT385" s="3"/>
      <c r="WU385" s="3"/>
      <c r="WV385" s="3"/>
      <c r="WW385" s="3"/>
      <c r="WX385" s="3"/>
      <c r="WY385" s="3"/>
      <c r="WZ385" s="3"/>
      <c r="XA385" s="3"/>
      <c r="XB385" s="3"/>
      <c r="XC385" s="3"/>
      <c r="XD385" s="3"/>
      <c r="XE385" s="3"/>
      <c r="XF385" s="3"/>
      <c r="XG385" s="3"/>
      <c r="XH385" s="3"/>
      <c r="XI385" s="3"/>
      <c r="XJ385" s="3"/>
      <c r="XK385" s="3"/>
      <c r="XL385" s="3"/>
      <c r="XM385" s="3"/>
      <c r="XN385" s="3"/>
      <c r="XO385" s="3"/>
      <c r="XP385" s="3"/>
      <c r="XQ385" s="3"/>
      <c r="XR385" s="3"/>
      <c r="XS385" s="3"/>
      <c r="XT385" s="3"/>
      <c r="XU385" s="3"/>
      <c r="XV385" s="3"/>
      <c r="XW385" s="3"/>
      <c r="XX385" s="3"/>
      <c r="XY385" s="3"/>
      <c r="XZ385" s="3"/>
      <c r="YA385" s="3"/>
      <c r="YB385" s="3"/>
      <c r="YC385" s="3"/>
      <c r="YD385" s="3"/>
      <c r="YE385" s="3"/>
      <c r="YF385" s="3"/>
      <c r="YG385" s="3"/>
      <c r="YH385" s="3"/>
      <c r="YI385" s="3"/>
      <c r="YJ385" s="3"/>
      <c r="YK385" s="3"/>
      <c r="YL385" s="3"/>
      <c r="YM385" s="3"/>
      <c r="YN385" s="3"/>
      <c r="YO385" s="3"/>
      <c r="YP385" s="3"/>
      <c r="YQ385" s="3"/>
      <c r="YR385" s="3"/>
      <c r="YS385" s="3"/>
      <c r="YT385" s="3"/>
      <c r="YU385" s="3"/>
      <c r="YV385" s="3"/>
      <c r="YW385" s="3"/>
      <c r="YX385" s="3"/>
      <c r="YY385" s="3"/>
      <c r="YZ385" s="3"/>
      <c r="ZA385" s="3"/>
      <c r="ZB385" s="3"/>
      <c r="ZC385" s="3"/>
    </row>
    <row r="386" spans="1:679" s="2" customFormat="1" x14ac:dyDescent="0.45">
      <c r="A386" s="3" t="s">
        <v>11</v>
      </c>
      <c r="B386" s="4">
        <v>40919</v>
      </c>
      <c r="C386" s="7" t="s">
        <v>21</v>
      </c>
      <c r="D386" s="6" t="s">
        <v>407</v>
      </c>
      <c r="E386" s="3"/>
      <c r="F386" s="3">
        <v>34</v>
      </c>
      <c r="L386" s="3"/>
      <c r="M386" s="3"/>
      <c r="N386" s="48"/>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c r="CO386" s="3"/>
      <c r="CP386" s="3"/>
      <c r="CQ386" s="3"/>
      <c r="CR386" s="3"/>
      <c r="CS386" s="3"/>
      <c r="CT386" s="3"/>
      <c r="CU386" s="3"/>
      <c r="CV386" s="3"/>
      <c r="CW386" s="3"/>
      <c r="CX386" s="3"/>
      <c r="CY386" s="3"/>
      <c r="CZ386" s="3"/>
      <c r="DA386" s="3"/>
      <c r="DB386" s="3"/>
      <c r="DC386" s="3"/>
      <c r="DD386" s="3"/>
      <c r="DE386" s="3"/>
      <c r="DF386" s="3"/>
      <c r="DG386" s="3"/>
      <c r="DH386" s="3"/>
      <c r="DI386" s="3"/>
      <c r="DJ386" s="3"/>
      <c r="DK386" s="3"/>
      <c r="DL386" s="3"/>
      <c r="DM386" s="3"/>
      <c r="DN386" s="3"/>
      <c r="DO386" s="3"/>
      <c r="DP386" s="3"/>
      <c r="DQ386" s="3"/>
      <c r="DR386" s="3"/>
      <c r="DS386" s="3"/>
      <c r="DT386" s="3"/>
      <c r="DU386" s="3"/>
      <c r="DV386" s="3"/>
      <c r="DW386" s="3"/>
      <c r="DX386" s="3"/>
      <c r="DY386" s="3"/>
      <c r="DZ386" s="3"/>
      <c r="EA386" s="3"/>
      <c r="EB386" s="3"/>
      <c r="EC386" s="3"/>
      <c r="ED386" s="3"/>
      <c r="EE386" s="3"/>
      <c r="EF386" s="3"/>
      <c r="EG386" s="3"/>
      <c r="EH386" s="3"/>
      <c r="EI386" s="3"/>
      <c r="EJ386" s="3"/>
      <c r="EK386" s="3"/>
      <c r="EL386" s="3"/>
      <c r="EM386" s="3"/>
      <c r="EN386" s="3"/>
      <c r="EO386" s="3"/>
      <c r="EP386" s="3"/>
      <c r="EQ386" s="3"/>
      <c r="ER386" s="3"/>
      <c r="ES386" s="3"/>
      <c r="ET386" s="3"/>
      <c r="EU386" s="3"/>
      <c r="EV386" s="3"/>
      <c r="EW386" s="3"/>
      <c r="EX386" s="3"/>
      <c r="EY386" s="3"/>
      <c r="EZ386" s="3"/>
      <c r="FA386" s="3"/>
      <c r="FB386" s="3"/>
      <c r="FC386" s="3"/>
      <c r="FD386" s="3"/>
      <c r="FE386" s="3"/>
      <c r="FF386" s="3"/>
      <c r="FG386" s="3"/>
      <c r="FH386" s="3"/>
      <c r="FI386" s="3"/>
      <c r="FJ386" s="3"/>
      <c r="FK386" s="3"/>
      <c r="FL386" s="3"/>
      <c r="FM386" s="3"/>
      <c r="FN386" s="3"/>
      <c r="FO386" s="3"/>
      <c r="FP386" s="3"/>
      <c r="FQ386" s="3"/>
      <c r="FR386" s="3"/>
      <c r="FS386" s="3"/>
      <c r="FT386" s="3"/>
      <c r="FU386" s="3"/>
      <c r="FV386" s="3"/>
      <c r="FW386" s="3"/>
      <c r="FX386" s="3"/>
      <c r="FY386" s="3"/>
      <c r="FZ386" s="3"/>
      <c r="GA386" s="3"/>
      <c r="GB386" s="3"/>
      <c r="GC386" s="3"/>
      <c r="GD386" s="3"/>
      <c r="GE386" s="3"/>
      <c r="GF386" s="3"/>
      <c r="GG386" s="3"/>
      <c r="GH386" s="3"/>
      <c r="GI386" s="3"/>
      <c r="GJ386" s="3"/>
      <c r="GK386" s="3"/>
      <c r="GL386" s="3"/>
      <c r="GM386" s="3"/>
      <c r="GN386" s="3"/>
      <c r="GO386" s="3"/>
      <c r="GP386" s="3"/>
      <c r="GQ386" s="3"/>
      <c r="GR386" s="3"/>
      <c r="GS386" s="3"/>
      <c r="GT386" s="3"/>
      <c r="GU386" s="3"/>
      <c r="GV386" s="3"/>
      <c r="GW386" s="3"/>
      <c r="GX386" s="3"/>
      <c r="GY386" s="3"/>
      <c r="GZ386" s="3"/>
      <c r="HA386" s="3"/>
      <c r="HB386" s="3"/>
      <c r="HC386" s="3"/>
      <c r="HD386" s="3"/>
      <c r="HE386" s="3"/>
      <c r="HF386" s="3"/>
      <c r="HG386" s="3"/>
      <c r="HH386" s="3"/>
      <c r="HI386" s="3"/>
      <c r="HJ386" s="3"/>
      <c r="HK386" s="3"/>
      <c r="HL386" s="3"/>
      <c r="HM386" s="3"/>
      <c r="HN386" s="3"/>
      <c r="HO386" s="3"/>
      <c r="HP386" s="3"/>
      <c r="HQ386" s="3"/>
      <c r="HR386" s="3"/>
      <c r="HS386" s="3"/>
      <c r="HT386" s="3"/>
      <c r="HU386" s="3"/>
      <c r="HV386" s="3"/>
      <c r="HW386" s="3"/>
      <c r="HX386" s="3"/>
      <c r="HY386" s="3"/>
      <c r="HZ386" s="3"/>
      <c r="IA386" s="3"/>
      <c r="IB386" s="3"/>
      <c r="IC386" s="3"/>
      <c r="ID386" s="3"/>
      <c r="IE386" s="3"/>
      <c r="IF386" s="3"/>
      <c r="IG386" s="3"/>
      <c r="IH386" s="3"/>
      <c r="II386" s="3"/>
      <c r="IJ386" s="3"/>
      <c r="IK386" s="3"/>
      <c r="IL386" s="3"/>
      <c r="IM386" s="3"/>
      <c r="IN386" s="3"/>
      <c r="IO386" s="3"/>
      <c r="IP386" s="3"/>
      <c r="IQ386" s="3"/>
      <c r="IR386" s="3"/>
      <c r="IS386" s="3"/>
      <c r="IT386" s="3"/>
      <c r="IU386" s="3"/>
      <c r="IV386" s="3"/>
      <c r="IW386" s="3"/>
      <c r="IX386" s="3"/>
      <c r="IY386" s="3"/>
      <c r="IZ386" s="3"/>
      <c r="JA386" s="3"/>
      <c r="JB386" s="3"/>
      <c r="JC386" s="3"/>
      <c r="JD386" s="3"/>
      <c r="JE386" s="3"/>
      <c r="JF386" s="3"/>
      <c r="JG386" s="3"/>
      <c r="JH386" s="3"/>
      <c r="JI386" s="3"/>
      <c r="JJ386" s="3"/>
      <c r="JK386" s="3"/>
      <c r="JL386" s="3"/>
      <c r="JM386" s="3"/>
      <c r="JN386" s="3"/>
      <c r="JO386" s="3"/>
      <c r="JP386" s="3"/>
      <c r="JQ386" s="3"/>
      <c r="JR386" s="3"/>
      <c r="JS386" s="3"/>
      <c r="JT386" s="3"/>
      <c r="JU386" s="3"/>
      <c r="JV386" s="3"/>
      <c r="JW386" s="3"/>
      <c r="JX386" s="3"/>
      <c r="JY386" s="3"/>
      <c r="JZ386" s="3"/>
      <c r="KA386" s="3"/>
      <c r="KB386" s="3"/>
      <c r="KC386" s="3"/>
      <c r="KD386" s="3"/>
      <c r="KE386" s="3"/>
      <c r="KF386" s="3"/>
      <c r="KG386" s="3"/>
      <c r="KH386" s="3"/>
      <c r="KI386" s="3"/>
      <c r="KJ386" s="3"/>
      <c r="KK386" s="3"/>
      <c r="KL386" s="3"/>
      <c r="KM386" s="3"/>
      <c r="KN386" s="3"/>
      <c r="KO386" s="3"/>
      <c r="KP386" s="3"/>
      <c r="KQ386" s="3"/>
      <c r="KR386" s="3"/>
      <c r="KS386" s="3"/>
      <c r="KT386" s="3"/>
      <c r="KU386" s="3"/>
      <c r="KV386" s="3"/>
      <c r="KW386" s="3"/>
      <c r="KX386" s="3"/>
      <c r="KY386" s="3"/>
      <c r="KZ386" s="3"/>
      <c r="LA386" s="3"/>
      <c r="LB386" s="3"/>
      <c r="LC386" s="3"/>
      <c r="LD386" s="3"/>
      <c r="LE386" s="3"/>
      <c r="LF386" s="3"/>
      <c r="LG386" s="3"/>
      <c r="LH386" s="3"/>
      <c r="LI386" s="3"/>
      <c r="LJ386" s="3"/>
      <c r="LK386" s="3"/>
      <c r="LL386" s="3"/>
      <c r="LM386" s="3"/>
      <c r="LN386" s="3"/>
      <c r="LO386" s="3"/>
      <c r="LP386" s="3"/>
      <c r="LQ386" s="3"/>
      <c r="LR386" s="3"/>
      <c r="LS386" s="3"/>
      <c r="LT386" s="3"/>
      <c r="LU386" s="3"/>
      <c r="LV386" s="3"/>
      <c r="LW386" s="3"/>
      <c r="LX386" s="3"/>
      <c r="LY386" s="3"/>
      <c r="LZ386" s="3"/>
      <c r="MA386" s="3"/>
      <c r="MB386" s="3"/>
      <c r="MC386" s="3"/>
      <c r="MD386" s="3"/>
      <c r="ME386" s="3"/>
      <c r="MF386" s="3"/>
      <c r="MG386" s="3"/>
      <c r="MH386" s="3"/>
      <c r="MI386" s="3"/>
      <c r="MJ386" s="3"/>
      <c r="MK386" s="3"/>
      <c r="ML386" s="3"/>
      <c r="MM386" s="3"/>
      <c r="MN386" s="3"/>
      <c r="MO386" s="3"/>
      <c r="MP386" s="3"/>
      <c r="MQ386" s="3"/>
      <c r="MR386" s="3"/>
      <c r="MS386" s="3"/>
      <c r="MT386" s="3"/>
      <c r="MU386" s="3"/>
      <c r="MV386" s="3"/>
      <c r="MW386" s="3"/>
      <c r="MX386" s="3"/>
      <c r="MY386" s="3"/>
      <c r="MZ386" s="3"/>
      <c r="NA386" s="3"/>
      <c r="NB386" s="3"/>
      <c r="NC386" s="3"/>
      <c r="ND386" s="3"/>
      <c r="NE386" s="3"/>
      <c r="NF386" s="3"/>
      <c r="NG386" s="3"/>
      <c r="NH386" s="3"/>
      <c r="NI386" s="3"/>
      <c r="NJ386" s="3"/>
      <c r="NK386" s="3"/>
      <c r="NL386" s="3"/>
      <c r="NM386" s="3"/>
      <c r="NN386" s="3"/>
      <c r="NO386" s="3"/>
      <c r="NP386" s="3"/>
      <c r="NQ386" s="3"/>
      <c r="NR386" s="3"/>
      <c r="NS386" s="3"/>
      <c r="NT386" s="3"/>
      <c r="NU386" s="3"/>
      <c r="NV386" s="3"/>
      <c r="NW386" s="3"/>
      <c r="NX386" s="3"/>
      <c r="NY386" s="3"/>
      <c r="NZ386" s="3"/>
      <c r="OA386" s="3"/>
      <c r="OB386" s="3"/>
      <c r="OC386" s="3"/>
      <c r="OD386" s="3"/>
      <c r="OE386" s="3"/>
      <c r="OF386" s="3"/>
      <c r="OG386" s="3"/>
      <c r="OH386" s="3"/>
      <c r="OI386" s="3"/>
      <c r="OJ386" s="3"/>
      <c r="OK386" s="3"/>
      <c r="OL386" s="3"/>
      <c r="OM386" s="3"/>
      <c r="ON386" s="3"/>
      <c r="OO386" s="3"/>
      <c r="OP386" s="3"/>
      <c r="OQ386" s="3"/>
      <c r="OR386" s="3"/>
      <c r="OS386" s="3"/>
      <c r="OT386" s="3"/>
      <c r="OU386" s="3"/>
      <c r="OV386" s="3"/>
      <c r="OW386" s="3"/>
      <c r="OX386" s="3"/>
      <c r="OY386" s="3"/>
      <c r="OZ386" s="3"/>
      <c r="PA386" s="3"/>
      <c r="PB386" s="3"/>
      <c r="PC386" s="3"/>
      <c r="PD386" s="3"/>
      <c r="PE386" s="3"/>
      <c r="PF386" s="3"/>
      <c r="PG386" s="3"/>
      <c r="PH386" s="3"/>
      <c r="PI386" s="3"/>
      <c r="PJ386" s="3"/>
      <c r="PK386" s="3"/>
      <c r="PL386" s="3"/>
      <c r="PM386" s="3"/>
      <c r="PN386" s="3"/>
      <c r="PO386" s="3"/>
      <c r="PP386" s="3"/>
      <c r="PQ386" s="3"/>
      <c r="PR386" s="3"/>
      <c r="PS386" s="3"/>
      <c r="PT386" s="3"/>
      <c r="PU386" s="3"/>
      <c r="PV386" s="3"/>
      <c r="PW386" s="3"/>
      <c r="PX386" s="3"/>
      <c r="PY386" s="3"/>
      <c r="PZ386" s="3"/>
      <c r="QA386" s="3"/>
      <c r="QB386" s="3"/>
      <c r="QC386" s="3"/>
      <c r="QD386" s="3"/>
      <c r="QE386" s="3"/>
      <c r="QF386" s="3"/>
      <c r="QG386" s="3"/>
      <c r="QH386" s="3"/>
      <c r="QI386" s="3"/>
      <c r="QJ386" s="3"/>
      <c r="QK386" s="3"/>
      <c r="QL386" s="3"/>
      <c r="QM386" s="3"/>
      <c r="QN386" s="3"/>
      <c r="QO386" s="3"/>
      <c r="QP386" s="3"/>
      <c r="QQ386" s="3"/>
      <c r="QR386" s="3"/>
      <c r="QS386" s="3"/>
      <c r="QT386" s="3"/>
      <c r="QU386" s="3"/>
      <c r="QV386" s="3"/>
      <c r="QW386" s="3"/>
      <c r="QX386" s="3"/>
      <c r="QY386" s="3"/>
      <c r="QZ386" s="3"/>
      <c r="RA386" s="3"/>
      <c r="RB386" s="3"/>
      <c r="RC386" s="3"/>
      <c r="RD386" s="3"/>
      <c r="RE386" s="3"/>
      <c r="RF386" s="3"/>
      <c r="RG386" s="3"/>
      <c r="RH386" s="3"/>
      <c r="RI386" s="3"/>
      <c r="RJ386" s="3"/>
      <c r="RK386" s="3"/>
      <c r="RL386" s="3"/>
      <c r="RM386" s="3"/>
      <c r="RN386" s="3"/>
      <c r="RO386" s="3"/>
      <c r="RP386" s="3"/>
      <c r="RQ386" s="3"/>
      <c r="RR386" s="3"/>
      <c r="RS386" s="3"/>
      <c r="RT386" s="3"/>
      <c r="RU386" s="3"/>
      <c r="RV386" s="3"/>
      <c r="RW386" s="3"/>
      <c r="RX386" s="3"/>
      <c r="RY386" s="3"/>
      <c r="RZ386" s="3"/>
      <c r="SA386" s="3"/>
      <c r="SB386" s="3"/>
      <c r="SC386" s="3"/>
      <c r="SD386" s="3"/>
      <c r="SE386" s="3"/>
      <c r="SF386" s="3"/>
      <c r="SG386" s="3"/>
      <c r="SH386" s="3"/>
      <c r="SI386" s="3"/>
      <c r="SJ386" s="3"/>
      <c r="SK386" s="3"/>
      <c r="SL386" s="3"/>
      <c r="SM386" s="3"/>
      <c r="SN386" s="3"/>
      <c r="SO386" s="3"/>
      <c r="SP386" s="3"/>
      <c r="SQ386" s="3"/>
      <c r="SR386" s="3"/>
      <c r="SS386" s="3"/>
      <c r="ST386" s="3"/>
      <c r="SU386" s="3"/>
      <c r="SV386" s="3"/>
      <c r="SW386" s="3"/>
      <c r="SX386" s="3"/>
      <c r="SY386" s="3"/>
      <c r="SZ386" s="3"/>
      <c r="TA386" s="3"/>
      <c r="TB386" s="3"/>
      <c r="TC386" s="3"/>
      <c r="TD386" s="3"/>
      <c r="TE386" s="3"/>
      <c r="TF386" s="3"/>
      <c r="TG386" s="3"/>
      <c r="TH386" s="3"/>
      <c r="TI386" s="3"/>
      <c r="TJ386" s="3"/>
      <c r="TK386" s="3"/>
      <c r="TL386" s="3"/>
      <c r="TM386" s="3"/>
      <c r="TN386" s="3"/>
      <c r="TO386" s="3"/>
      <c r="TP386" s="3"/>
      <c r="TQ386" s="3"/>
      <c r="TR386" s="3"/>
      <c r="TS386" s="3"/>
      <c r="TT386" s="3"/>
      <c r="TU386" s="3"/>
      <c r="TV386" s="3"/>
      <c r="TW386" s="3"/>
      <c r="TX386" s="3"/>
      <c r="TY386" s="3"/>
      <c r="TZ386" s="3"/>
      <c r="UA386" s="3"/>
      <c r="UB386" s="3"/>
      <c r="UC386" s="3"/>
      <c r="UD386" s="3"/>
      <c r="UE386" s="3"/>
      <c r="UF386" s="3"/>
      <c r="UG386" s="3"/>
      <c r="UH386" s="3"/>
      <c r="UI386" s="3"/>
      <c r="UJ386" s="3"/>
      <c r="UK386" s="3"/>
      <c r="UL386" s="3"/>
      <c r="UM386" s="3"/>
      <c r="UN386" s="3"/>
      <c r="UO386" s="3"/>
      <c r="UP386" s="3"/>
      <c r="UQ386" s="3"/>
      <c r="UR386" s="3"/>
      <c r="US386" s="3"/>
      <c r="UT386" s="3"/>
      <c r="UU386" s="3"/>
      <c r="UV386" s="3"/>
      <c r="UW386" s="3"/>
      <c r="UX386" s="3"/>
      <c r="UY386" s="3"/>
      <c r="UZ386" s="3"/>
      <c r="VA386" s="3"/>
      <c r="VB386" s="3"/>
      <c r="VC386" s="3"/>
      <c r="VD386" s="3"/>
      <c r="VE386" s="3"/>
      <c r="VF386" s="3"/>
      <c r="VG386" s="3"/>
      <c r="VH386" s="3"/>
      <c r="VI386" s="3"/>
      <c r="VJ386" s="3"/>
      <c r="VK386" s="3"/>
      <c r="VL386" s="3"/>
      <c r="VM386" s="3"/>
      <c r="VN386" s="3"/>
      <c r="VO386" s="3"/>
      <c r="VP386" s="3"/>
      <c r="VQ386" s="3"/>
      <c r="VR386" s="3"/>
      <c r="VS386" s="3"/>
      <c r="VT386" s="3"/>
      <c r="VU386" s="3"/>
      <c r="VV386" s="3"/>
      <c r="VW386" s="3"/>
      <c r="VX386" s="3"/>
      <c r="VY386" s="3"/>
      <c r="VZ386" s="3"/>
      <c r="WA386" s="3"/>
      <c r="WB386" s="3"/>
      <c r="WC386" s="3"/>
      <c r="WD386" s="3"/>
      <c r="WE386" s="3"/>
      <c r="WF386" s="3"/>
      <c r="WG386" s="3"/>
      <c r="WH386" s="3"/>
      <c r="WI386" s="3"/>
      <c r="WJ386" s="3"/>
      <c r="WK386" s="3"/>
      <c r="WL386" s="3"/>
      <c r="WM386" s="3"/>
      <c r="WN386" s="3"/>
      <c r="WO386" s="3"/>
      <c r="WP386" s="3"/>
      <c r="WQ386" s="3"/>
      <c r="WR386" s="3"/>
      <c r="WS386" s="3"/>
      <c r="WT386" s="3"/>
      <c r="WU386" s="3"/>
      <c r="WV386" s="3"/>
      <c r="WW386" s="3"/>
      <c r="WX386" s="3"/>
      <c r="WY386" s="3"/>
      <c r="WZ386" s="3"/>
      <c r="XA386" s="3"/>
      <c r="XB386" s="3"/>
      <c r="XC386" s="3"/>
      <c r="XD386" s="3"/>
      <c r="XE386" s="3"/>
      <c r="XF386" s="3"/>
      <c r="XG386" s="3"/>
      <c r="XH386" s="3"/>
      <c r="XI386" s="3"/>
      <c r="XJ386" s="3"/>
      <c r="XK386" s="3"/>
      <c r="XL386" s="3"/>
      <c r="XM386" s="3"/>
      <c r="XN386" s="3"/>
      <c r="XO386" s="3"/>
      <c r="XP386" s="3"/>
      <c r="XQ386" s="3"/>
      <c r="XR386" s="3"/>
      <c r="XS386" s="3"/>
      <c r="XT386" s="3"/>
      <c r="XU386" s="3"/>
      <c r="XV386" s="3"/>
      <c r="XW386" s="3"/>
      <c r="XX386" s="3"/>
      <c r="XY386" s="3"/>
      <c r="XZ386" s="3"/>
      <c r="YA386" s="3"/>
      <c r="YB386" s="3"/>
      <c r="YC386" s="3"/>
      <c r="YD386" s="3"/>
      <c r="YE386" s="3"/>
      <c r="YF386" s="3"/>
      <c r="YG386" s="3"/>
      <c r="YH386" s="3"/>
      <c r="YI386" s="3"/>
      <c r="YJ386" s="3"/>
      <c r="YK386" s="3"/>
      <c r="YL386" s="3"/>
      <c r="YM386" s="3"/>
      <c r="YN386" s="3"/>
      <c r="YO386" s="3"/>
      <c r="YP386" s="3"/>
      <c r="YQ386" s="3"/>
      <c r="YR386" s="3"/>
      <c r="YS386" s="3"/>
      <c r="YT386" s="3"/>
      <c r="YU386" s="3"/>
      <c r="YV386" s="3"/>
      <c r="YW386" s="3"/>
      <c r="YX386" s="3"/>
      <c r="YY386" s="3"/>
      <c r="YZ386" s="3"/>
      <c r="ZA386" s="3"/>
      <c r="ZB386" s="3"/>
      <c r="ZC386" s="3"/>
    </row>
    <row r="387" spans="1:679" s="2" customFormat="1" x14ac:dyDescent="0.45">
      <c r="A387" s="3" t="s">
        <v>11</v>
      </c>
      <c r="B387" s="4">
        <v>40952</v>
      </c>
      <c r="C387" s="7" t="s">
        <v>25</v>
      </c>
      <c r="D387" s="6" t="s">
        <v>408</v>
      </c>
      <c r="E387" s="3"/>
      <c r="F387" s="3">
        <v>3</v>
      </c>
      <c r="L387" s="3"/>
      <c r="M387" s="3"/>
      <c r="N387" s="48"/>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c r="CO387" s="3"/>
      <c r="CP387" s="3"/>
      <c r="CQ387" s="3"/>
      <c r="CR387" s="3"/>
      <c r="CS387" s="3"/>
      <c r="CT387" s="3"/>
      <c r="CU387" s="3"/>
      <c r="CV387" s="3"/>
      <c r="CW387" s="3"/>
      <c r="CX387" s="3"/>
      <c r="CY387" s="3"/>
      <c r="CZ387" s="3"/>
      <c r="DA387" s="3"/>
      <c r="DB387" s="3"/>
      <c r="DC387" s="3"/>
      <c r="DD387" s="3"/>
      <c r="DE387" s="3"/>
      <c r="DF387" s="3"/>
      <c r="DG387" s="3"/>
      <c r="DH387" s="3"/>
      <c r="DI387" s="3"/>
      <c r="DJ387" s="3"/>
      <c r="DK387" s="3"/>
      <c r="DL387" s="3"/>
      <c r="DM387" s="3"/>
      <c r="DN387" s="3"/>
      <c r="DO387" s="3"/>
      <c r="DP387" s="3"/>
      <c r="DQ387" s="3"/>
      <c r="DR387" s="3"/>
      <c r="DS387" s="3"/>
      <c r="DT387" s="3"/>
      <c r="DU387" s="3"/>
      <c r="DV387" s="3"/>
      <c r="DW387" s="3"/>
      <c r="DX387" s="3"/>
      <c r="DY387" s="3"/>
      <c r="DZ387" s="3"/>
      <c r="EA387" s="3"/>
      <c r="EB387" s="3"/>
      <c r="EC387" s="3"/>
      <c r="ED387" s="3"/>
      <c r="EE387" s="3"/>
      <c r="EF387" s="3"/>
      <c r="EG387" s="3"/>
      <c r="EH387" s="3"/>
      <c r="EI387" s="3"/>
      <c r="EJ387" s="3"/>
      <c r="EK387" s="3"/>
      <c r="EL387" s="3"/>
      <c r="EM387" s="3"/>
      <c r="EN387" s="3"/>
      <c r="EO387" s="3"/>
      <c r="EP387" s="3"/>
      <c r="EQ387" s="3"/>
      <c r="ER387" s="3"/>
      <c r="ES387" s="3"/>
      <c r="ET387" s="3"/>
      <c r="EU387" s="3"/>
      <c r="EV387" s="3"/>
      <c r="EW387" s="3"/>
      <c r="EX387" s="3"/>
      <c r="EY387" s="3"/>
      <c r="EZ387" s="3"/>
      <c r="FA387" s="3"/>
      <c r="FB387" s="3"/>
      <c r="FC387" s="3"/>
      <c r="FD387" s="3"/>
      <c r="FE387" s="3"/>
      <c r="FF387" s="3"/>
      <c r="FG387" s="3"/>
      <c r="FH387" s="3"/>
      <c r="FI387" s="3"/>
      <c r="FJ387" s="3"/>
      <c r="FK387" s="3"/>
      <c r="FL387" s="3"/>
      <c r="FM387" s="3"/>
      <c r="FN387" s="3"/>
      <c r="FO387" s="3"/>
      <c r="FP387" s="3"/>
      <c r="FQ387" s="3"/>
      <c r="FR387" s="3"/>
      <c r="FS387" s="3"/>
      <c r="FT387" s="3"/>
      <c r="FU387" s="3"/>
      <c r="FV387" s="3"/>
      <c r="FW387" s="3"/>
      <c r="FX387" s="3"/>
      <c r="FY387" s="3"/>
      <c r="FZ387" s="3"/>
      <c r="GA387" s="3"/>
      <c r="GB387" s="3"/>
      <c r="GC387" s="3"/>
      <c r="GD387" s="3"/>
      <c r="GE387" s="3"/>
      <c r="GF387" s="3"/>
      <c r="GG387" s="3"/>
      <c r="GH387" s="3"/>
      <c r="GI387" s="3"/>
      <c r="GJ387" s="3"/>
      <c r="GK387" s="3"/>
      <c r="GL387" s="3"/>
      <c r="GM387" s="3"/>
      <c r="GN387" s="3"/>
      <c r="GO387" s="3"/>
      <c r="GP387" s="3"/>
      <c r="GQ387" s="3"/>
      <c r="GR387" s="3"/>
      <c r="GS387" s="3"/>
      <c r="GT387" s="3"/>
      <c r="GU387" s="3"/>
      <c r="GV387" s="3"/>
      <c r="GW387" s="3"/>
      <c r="GX387" s="3"/>
      <c r="GY387" s="3"/>
      <c r="GZ387" s="3"/>
      <c r="HA387" s="3"/>
      <c r="HB387" s="3"/>
      <c r="HC387" s="3"/>
      <c r="HD387" s="3"/>
      <c r="HE387" s="3"/>
      <c r="HF387" s="3"/>
      <c r="HG387" s="3"/>
      <c r="HH387" s="3"/>
      <c r="HI387" s="3"/>
      <c r="HJ387" s="3"/>
      <c r="HK387" s="3"/>
      <c r="HL387" s="3"/>
      <c r="HM387" s="3"/>
      <c r="HN387" s="3"/>
      <c r="HO387" s="3"/>
      <c r="HP387" s="3"/>
      <c r="HQ387" s="3"/>
      <c r="HR387" s="3"/>
      <c r="HS387" s="3"/>
      <c r="HT387" s="3"/>
      <c r="HU387" s="3"/>
      <c r="HV387" s="3"/>
      <c r="HW387" s="3"/>
      <c r="HX387" s="3"/>
      <c r="HY387" s="3"/>
      <c r="HZ387" s="3"/>
      <c r="IA387" s="3"/>
      <c r="IB387" s="3"/>
      <c r="IC387" s="3"/>
      <c r="ID387" s="3"/>
      <c r="IE387" s="3"/>
      <c r="IF387" s="3"/>
      <c r="IG387" s="3"/>
      <c r="IH387" s="3"/>
      <c r="II387" s="3"/>
      <c r="IJ387" s="3"/>
      <c r="IK387" s="3"/>
      <c r="IL387" s="3"/>
      <c r="IM387" s="3"/>
      <c r="IN387" s="3"/>
      <c r="IO387" s="3"/>
      <c r="IP387" s="3"/>
      <c r="IQ387" s="3"/>
      <c r="IR387" s="3"/>
      <c r="IS387" s="3"/>
      <c r="IT387" s="3"/>
      <c r="IU387" s="3"/>
      <c r="IV387" s="3"/>
      <c r="IW387" s="3"/>
      <c r="IX387" s="3"/>
      <c r="IY387" s="3"/>
      <c r="IZ387" s="3"/>
      <c r="JA387" s="3"/>
      <c r="JB387" s="3"/>
      <c r="JC387" s="3"/>
      <c r="JD387" s="3"/>
      <c r="JE387" s="3"/>
      <c r="JF387" s="3"/>
      <c r="JG387" s="3"/>
      <c r="JH387" s="3"/>
      <c r="JI387" s="3"/>
      <c r="JJ387" s="3"/>
      <c r="JK387" s="3"/>
      <c r="JL387" s="3"/>
      <c r="JM387" s="3"/>
      <c r="JN387" s="3"/>
      <c r="JO387" s="3"/>
      <c r="JP387" s="3"/>
      <c r="JQ387" s="3"/>
      <c r="JR387" s="3"/>
      <c r="JS387" s="3"/>
      <c r="JT387" s="3"/>
      <c r="JU387" s="3"/>
      <c r="JV387" s="3"/>
      <c r="JW387" s="3"/>
      <c r="JX387" s="3"/>
      <c r="JY387" s="3"/>
      <c r="JZ387" s="3"/>
      <c r="KA387" s="3"/>
      <c r="KB387" s="3"/>
      <c r="KC387" s="3"/>
      <c r="KD387" s="3"/>
      <c r="KE387" s="3"/>
      <c r="KF387" s="3"/>
      <c r="KG387" s="3"/>
      <c r="KH387" s="3"/>
      <c r="KI387" s="3"/>
      <c r="KJ387" s="3"/>
      <c r="KK387" s="3"/>
      <c r="KL387" s="3"/>
      <c r="KM387" s="3"/>
      <c r="KN387" s="3"/>
      <c r="KO387" s="3"/>
      <c r="KP387" s="3"/>
      <c r="KQ387" s="3"/>
      <c r="KR387" s="3"/>
      <c r="KS387" s="3"/>
      <c r="KT387" s="3"/>
      <c r="KU387" s="3"/>
      <c r="KV387" s="3"/>
      <c r="KW387" s="3"/>
      <c r="KX387" s="3"/>
      <c r="KY387" s="3"/>
      <c r="KZ387" s="3"/>
      <c r="LA387" s="3"/>
      <c r="LB387" s="3"/>
      <c r="LC387" s="3"/>
      <c r="LD387" s="3"/>
      <c r="LE387" s="3"/>
      <c r="LF387" s="3"/>
      <c r="LG387" s="3"/>
      <c r="LH387" s="3"/>
      <c r="LI387" s="3"/>
      <c r="LJ387" s="3"/>
      <c r="LK387" s="3"/>
      <c r="LL387" s="3"/>
      <c r="LM387" s="3"/>
      <c r="LN387" s="3"/>
      <c r="LO387" s="3"/>
      <c r="LP387" s="3"/>
      <c r="LQ387" s="3"/>
      <c r="LR387" s="3"/>
      <c r="LS387" s="3"/>
      <c r="LT387" s="3"/>
      <c r="LU387" s="3"/>
      <c r="LV387" s="3"/>
      <c r="LW387" s="3"/>
      <c r="LX387" s="3"/>
      <c r="LY387" s="3"/>
      <c r="LZ387" s="3"/>
      <c r="MA387" s="3"/>
      <c r="MB387" s="3"/>
      <c r="MC387" s="3"/>
      <c r="MD387" s="3"/>
      <c r="ME387" s="3"/>
      <c r="MF387" s="3"/>
      <c r="MG387" s="3"/>
      <c r="MH387" s="3"/>
      <c r="MI387" s="3"/>
      <c r="MJ387" s="3"/>
      <c r="MK387" s="3"/>
      <c r="ML387" s="3"/>
      <c r="MM387" s="3"/>
      <c r="MN387" s="3"/>
      <c r="MO387" s="3"/>
      <c r="MP387" s="3"/>
      <c r="MQ387" s="3"/>
      <c r="MR387" s="3"/>
      <c r="MS387" s="3"/>
      <c r="MT387" s="3"/>
      <c r="MU387" s="3"/>
      <c r="MV387" s="3"/>
      <c r="MW387" s="3"/>
      <c r="MX387" s="3"/>
      <c r="MY387" s="3"/>
      <c r="MZ387" s="3"/>
      <c r="NA387" s="3"/>
      <c r="NB387" s="3"/>
      <c r="NC387" s="3"/>
      <c r="ND387" s="3"/>
      <c r="NE387" s="3"/>
      <c r="NF387" s="3"/>
      <c r="NG387" s="3"/>
      <c r="NH387" s="3"/>
      <c r="NI387" s="3"/>
      <c r="NJ387" s="3"/>
      <c r="NK387" s="3"/>
      <c r="NL387" s="3"/>
      <c r="NM387" s="3"/>
      <c r="NN387" s="3"/>
      <c r="NO387" s="3"/>
      <c r="NP387" s="3"/>
      <c r="NQ387" s="3"/>
      <c r="NR387" s="3"/>
      <c r="NS387" s="3"/>
      <c r="NT387" s="3"/>
      <c r="NU387" s="3"/>
      <c r="NV387" s="3"/>
      <c r="NW387" s="3"/>
      <c r="NX387" s="3"/>
      <c r="NY387" s="3"/>
      <c r="NZ387" s="3"/>
      <c r="OA387" s="3"/>
      <c r="OB387" s="3"/>
      <c r="OC387" s="3"/>
      <c r="OD387" s="3"/>
      <c r="OE387" s="3"/>
      <c r="OF387" s="3"/>
      <c r="OG387" s="3"/>
      <c r="OH387" s="3"/>
      <c r="OI387" s="3"/>
      <c r="OJ387" s="3"/>
      <c r="OK387" s="3"/>
      <c r="OL387" s="3"/>
      <c r="OM387" s="3"/>
      <c r="ON387" s="3"/>
      <c r="OO387" s="3"/>
      <c r="OP387" s="3"/>
      <c r="OQ387" s="3"/>
      <c r="OR387" s="3"/>
      <c r="OS387" s="3"/>
      <c r="OT387" s="3"/>
      <c r="OU387" s="3"/>
      <c r="OV387" s="3"/>
      <c r="OW387" s="3"/>
      <c r="OX387" s="3"/>
      <c r="OY387" s="3"/>
      <c r="OZ387" s="3"/>
      <c r="PA387" s="3"/>
      <c r="PB387" s="3"/>
      <c r="PC387" s="3"/>
      <c r="PD387" s="3"/>
      <c r="PE387" s="3"/>
      <c r="PF387" s="3"/>
      <c r="PG387" s="3"/>
      <c r="PH387" s="3"/>
      <c r="PI387" s="3"/>
      <c r="PJ387" s="3"/>
      <c r="PK387" s="3"/>
      <c r="PL387" s="3"/>
      <c r="PM387" s="3"/>
      <c r="PN387" s="3"/>
      <c r="PO387" s="3"/>
      <c r="PP387" s="3"/>
      <c r="PQ387" s="3"/>
      <c r="PR387" s="3"/>
      <c r="PS387" s="3"/>
      <c r="PT387" s="3"/>
      <c r="PU387" s="3"/>
      <c r="PV387" s="3"/>
      <c r="PW387" s="3"/>
      <c r="PX387" s="3"/>
      <c r="PY387" s="3"/>
      <c r="PZ387" s="3"/>
      <c r="QA387" s="3"/>
      <c r="QB387" s="3"/>
      <c r="QC387" s="3"/>
      <c r="QD387" s="3"/>
      <c r="QE387" s="3"/>
      <c r="QF387" s="3"/>
      <c r="QG387" s="3"/>
      <c r="QH387" s="3"/>
      <c r="QI387" s="3"/>
      <c r="QJ387" s="3"/>
      <c r="QK387" s="3"/>
      <c r="QL387" s="3"/>
      <c r="QM387" s="3"/>
      <c r="QN387" s="3"/>
      <c r="QO387" s="3"/>
      <c r="QP387" s="3"/>
      <c r="QQ387" s="3"/>
      <c r="QR387" s="3"/>
      <c r="QS387" s="3"/>
      <c r="QT387" s="3"/>
      <c r="QU387" s="3"/>
      <c r="QV387" s="3"/>
      <c r="QW387" s="3"/>
      <c r="QX387" s="3"/>
      <c r="QY387" s="3"/>
      <c r="QZ387" s="3"/>
      <c r="RA387" s="3"/>
      <c r="RB387" s="3"/>
      <c r="RC387" s="3"/>
      <c r="RD387" s="3"/>
      <c r="RE387" s="3"/>
      <c r="RF387" s="3"/>
      <c r="RG387" s="3"/>
      <c r="RH387" s="3"/>
      <c r="RI387" s="3"/>
      <c r="RJ387" s="3"/>
      <c r="RK387" s="3"/>
      <c r="RL387" s="3"/>
      <c r="RM387" s="3"/>
      <c r="RN387" s="3"/>
      <c r="RO387" s="3"/>
      <c r="RP387" s="3"/>
      <c r="RQ387" s="3"/>
      <c r="RR387" s="3"/>
      <c r="RS387" s="3"/>
      <c r="RT387" s="3"/>
      <c r="RU387" s="3"/>
      <c r="RV387" s="3"/>
      <c r="RW387" s="3"/>
      <c r="RX387" s="3"/>
      <c r="RY387" s="3"/>
      <c r="RZ387" s="3"/>
      <c r="SA387" s="3"/>
      <c r="SB387" s="3"/>
      <c r="SC387" s="3"/>
      <c r="SD387" s="3"/>
      <c r="SE387" s="3"/>
      <c r="SF387" s="3"/>
      <c r="SG387" s="3"/>
      <c r="SH387" s="3"/>
      <c r="SI387" s="3"/>
      <c r="SJ387" s="3"/>
      <c r="SK387" s="3"/>
      <c r="SL387" s="3"/>
      <c r="SM387" s="3"/>
      <c r="SN387" s="3"/>
      <c r="SO387" s="3"/>
      <c r="SP387" s="3"/>
      <c r="SQ387" s="3"/>
      <c r="SR387" s="3"/>
      <c r="SS387" s="3"/>
      <c r="ST387" s="3"/>
      <c r="SU387" s="3"/>
      <c r="SV387" s="3"/>
      <c r="SW387" s="3"/>
      <c r="SX387" s="3"/>
      <c r="SY387" s="3"/>
      <c r="SZ387" s="3"/>
      <c r="TA387" s="3"/>
      <c r="TB387" s="3"/>
      <c r="TC387" s="3"/>
      <c r="TD387" s="3"/>
      <c r="TE387" s="3"/>
      <c r="TF387" s="3"/>
      <c r="TG387" s="3"/>
      <c r="TH387" s="3"/>
      <c r="TI387" s="3"/>
      <c r="TJ387" s="3"/>
      <c r="TK387" s="3"/>
      <c r="TL387" s="3"/>
      <c r="TM387" s="3"/>
      <c r="TN387" s="3"/>
      <c r="TO387" s="3"/>
      <c r="TP387" s="3"/>
      <c r="TQ387" s="3"/>
      <c r="TR387" s="3"/>
      <c r="TS387" s="3"/>
      <c r="TT387" s="3"/>
      <c r="TU387" s="3"/>
      <c r="TV387" s="3"/>
      <c r="TW387" s="3"/>
      <c r="TX387" s="3"/>
      <c r="TY387" s="3"/>
      <c r="TZ387" s="3"/>
      <c r="UA387" s="3"/>
      <c r="UB387" s="3"/>
      <c r="UC387" s="3"/>
      <c r="UD387" s="3"/>
      <c r="UE387" s="3"/>
      <c r="UF387" s="3"/>
      <c r="UG387" s="3"/>
      <c r="UH387" s="3"/>
      <c r="UI387" s="3"/>
      <c r="UJ387" s="3"/>
      <c r="UK387" s="3"/>
      <c r="UL387" s="3"/>
      <c r="UM387" s="3"/>
      <c r="UN387" s="3"/>
      <c r="UO387" s="3"/>
      <c r="UP387" s="3"/>
      <c r="UQ387" s="3"/>
      <c r="UR387" s="3"/>
      <c r="US387" s="3"/>
      <c r="UT387" s="3"/>
      <c r="UU387" s="3"/>
      <c r="UV387" s="3"/>
      <c r="UW387" s="3"/>
      <c r="UX387" s="3"/>
      <c r="UY387" s="3"/>
      <c r="UZ387" s="3"/>
      <c r="VA387" s="3"/>
      <c r="VB387" s="3"/>
      <c r="VC387" s="3"/>
      <c r="VD387" s="3"/>
      <c r="VE387" s="3"/>
      <c r="VF387" s="3"/>
      <c r="VG387" s="3"/>
      <c r="VH387" s="3"/>
      <c r="VI387" s="3"/>
      <c r="VJ387" s="3"/>
      <c r="VK387" s="3"/>
      <c r="VL387" s="3"/>
      <c r="VM387" s="3"/>
      <c r="VN387" s="3"/>
      <c r="VO387" s="3"/>
      <c r="VP387" s="3"/>
      <c r="VQ387" s="3"/>
      <c r="VR387" s="3"/>
      <c r="VS387" s="3"/>
      <c r="VT387" s="3"/>
      <c r="VU387" s="3"/>
      <c r="VV387" s="3"/>
      <c r="VW387" s="3"/>
      <c r="VX387" s="3"/>
      <c r="VY387" s="3"/>
      <c r="VZ387" s="3"/>
      <c r="WA387" s="3"/>
      <c r="WB387" s="3"/>
      <c r="WC387" s="3"/>
      <c r="WD387" s="3"/>
      <c r="WE387" s="3"/>
      <c r="WF387" s="3"/>
      <c r="WG387" s="3"/>
      <c r="WH387" s="3"/>
      <c r="WI387" s="3"/>
      <c r="WJ387" s="3"/>
      <c r="WK387" s="3"/>
      <c r="WL387" s="3"/>
      <c r="WM387" s="3"/>
      <c r="WN387" s="3"/>
      <c r="WO387" s="3"/>
      <c r="WP387" s="3"/>
      <c r="WQ387" s="3"/>
      <c r="WR387" s="3"/>
      <c r="WS387" s="3"/>
      <c r="WT387" s="3"/>
      <c r="WU387" s="3"/>
      <c r="WV387" s="3"/>
      <c r="WW387" s="3"/>
      <c r="WX387" s="3"/>
      <c r="WY387" s="3"/>
      <c r="WZ387" s="3"/>
      <c r="XA387" s="3"/>
      <c r="XB387" s="3"/>
      <c r="XC387" s="3"/>
      <c r="XD387" s="3"/>
      <c r="XE387" s="3"/>
      <c r="XF387" s="3"/>
      <c r="XG387" s="3"/>
      <c r="XH387" s="3"/>
      <c r="XI387" s="3"/>
      <c r="XJ387" s="3"/>
      <c r="XK387" s="3"/>
      <c r="XL387" s="3"/>
      <c r="XM387" s="3"/>
      <c r="XN387" s="3"/>
      <c r="XO387" s="3"/>
      <c r="XP387" s="3"/>
      <c r="XQ387" s="3"/>
      <c r="XR387" s="3"/>
      <c r="XS387" s="3"/>
      <c r="XT387" s="3"/>
      <c r="XU387" s="3"/>
      <c r="XV387" s="3"/>
      <c r="XW387" s="3"/>
      <c r="XX387" s="3"/>
      <c r="XY387" s="3"/>
      <c r="XZ387" s="3"/>
      <c r="YA387" s="3"/>
      <c r="YB387" s="3"/>
      <c r="YC387" s="3"/>
      <c r="YD387" s="3"/>
      <c r="YE387" s="3"/>
      <c r="YF387" s="3"/>
      <c r="YG387" s="3"/>
      <c r="YH387" s="3"/>
      <c r="YI387" s="3"/>
      <c r="YJ387" s="3"/>
      <c r="YK387" s="3"/>
      <c r="YL387" s="3"/>
      <c r="YM387" s="3"/>
      <c r="YN387" s="3"/>
      <c r="YO387" s="3"/>
      <c r="YP387" s="3"/>
      <c r="YQ387" s="3"/>
      <c r="YR387" s="3"/>
      <c r="YS387" s="3"/>
      <c r="YT387" s="3"/>
      <c r="YU387" s="3"/>
      <c r="YV387" s="3"/>
      <c r="YW387" s="3"/>
      <c r="YX387" s="3"/>
      <c r="YY387" s="3"/>
      <c r="YZ387" s="3"/>
      <c r="ZA387" s="3"/>
      <c r="ZB387" s="3"/>
      <c r="ZC387" s="3"/>
    </row>
    <row r="388" spans="1:679" s="2" customFormat="1" x14ac:dyDescent="0.45">
      <c r="A388" s="3" t="s">
        <v>11</v>
      </c>
      <c r="B388" s="4">
        <v>40986</v>
      </c>
      <c r="C388" s="7" t="s">
        <v>21</v>
      </c>
      <c r="D388" s="6" t="s">
        <v>409</v>
      </c>
      <c r="E388" s="3"/>
      <c r="F388" s="3">
        <v>19</v>
      </c>
      <c r="L388" s="3"/>
      <c r="M388" s="3"/>
      <c r="N388" s="48"/>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c r="CO388" s="3"/>
      <c r="CP388" s="3"/>
      <c r="CQ388" s="3"/>
      <c r="CR388" s="3"/>
      <c r="CS388" s="3"/>
      <c r="CT388" s="3"/>
      <c r="CU388" s="3"/>
      <c r="CV388" s="3"/>
      <c r="CW388" s="3"/>
      <c r="CX388" s="3"/>
      <c r="CY388" s="3"/>
      <c r="CZ388" s="3"/>
      <c r="DA388" s="3"/>
      <c r="DB388" s="3"/>
      <c r="DC388" s="3"/>
      <c r="DD388" s="3"/>
      <c r="DE388" s="3"/>
      <c r="DF388" s="3"/>
      <c r="DG388" s="3"/>
      <c r="DH388" s="3"/>
      <c r="DI388" s="3"/>
      <c r="DJ388" s="3"/>
      <c r="DK388" s="3"/>
      <c r="DL388" s="3"/>
      <c r="DM388" s="3"/>
      <c r="DN388" s="3"/>
      <c r="DO388" s="3"/>
      <c r="DP388" s="3"/>
      <c r="DQ388" s="3"/>
      <c r="DR388" s="3"/>
      <c r="DS388" s="3"/>
      <c r="DT388" s="3"/>
      <c r="DU388" s="3"/>
      <c r="DV388" s="3"/>
      <c r="DW388" s="3"/>
      <c r="DX388" s="3"/>
      <c r="DY388" s="3"/>
      <c r="DZ388" s="3"/>
      <c r="EA388" s="3"/>
      <c r="EB388" s="3"/>
      <c r="EC388" s="3"/>
      <c r="ED388" s="3"/>
      <c r="EE388" s="3"/>
      <c r="EF388" s="3"/>
      <c r="EG388" s="3"/>
      <c r="EH388" s="3"/>
      <c r="EI388" s="3"/>
      <c r="EJ388" s="3"/>
      <c r="EK388" s="3"/>
      <c r="EL388" s="3"/>
      <c r="EM388" s="3"/>
      <c r="EN388" s="3"/>
      <c r="EO388" s="3"/>
      <c r="EP388" s="3"/>
      <c r="EQ388" s="3"/>
      <c r="ER388" s="3"/>
      <c r="ES388" s="3"/>
      <c r="ET388" s="3"/>
      <c r="EU388" s="3"/>
      <c r="EV388" s="3"/>
      <c r="EW388" s="3"/>
      <c r="EX388" s="3"/>
      <c r="EY388" s="3"/>
      <c r="EZ388" s="3"/>
      <c r="FA388" s="3"/>
      <c r="FB388" s="3"/>
      <c r="FC388" s="3"/>
      <c r="FD388" s="3"/>
      <c r="FE388" s="3"/>
      <c r="FF388" s="3"/>
      <c r="FG388" s="3"/>
      <c r="FH388" s="3"/>
      <c r="FI388" s="3"/>
      <c r="FJ388" s="3"/>
      <c r="FK388" s="3"/>
      <c r="FL388" s="3"/>
      <c r="FM388" s="3"/>
      <c r="FN388" s="3"/>
      <c r="FO388" s="3"/>
      <c r="FP388" s="3"/>
      <c r="FQ388" s="3"/>
      <c r="FR388" s="3"/>
      <c r="FS388" s="3"/>
      <c r="FT388" s="3"/>
      <c r="FU388" s="3"/>
      <c r="FV388" s="3"/>
      <c r="FW388" s="3"/>
      <c r="FX388" s="3"/>
      <c r="FY388" s="3"/>
      <c r="FZ388" s="3"/>
      <c r="GA388" s="3"/>
      <c r="GB388" s="3"/>
      <c r="GC388" s="3"/>
      <c r="GD388" s="3"/>
      <c r="GE388" s="3"/>
      <c r="GF388" s="3"/>
      <c r="GG388" s="3"/>
      <c r="GH388" s="3"/>
      <c r="GI388" s="3"/>
      <c r="GJ388" s="3"/>
      <c r="GK388" s="3"/>
      <c r="GL388" s="3"/>
      <c r="GM388" s="3"/>
      <c r="GN388" s="3"/>
      <c r="GO388" s="3"/>
      <c r="GP388" s="3"/>
      <c r="GQ388" s="3"/>
      <c r="GR388" s="3"/>
      <c r="GS388" s="3"/>
      <c r="GT388" s="3"/>
      <c r="GU388" s="3"/>
      <c r="GV388" s="3"/>
      <c r="GW388" s="3"/>
      <c r="GX388" s="3"/>
      <c r="GY388" s="3"/>
      <c r="GZ388" s="3"/>
      <c r="HA388" s="3"/>
      <c r="HB388" s="3"/>
      <c r="HC388" s="3"/>
      <c r="HD388" s="3"/>
      <c r="HE388" s="3"/>
      <c r="HF388" s="3"/>
      <c r="HG388" s="3"/>
      <c r="HH388" s="3"/>
      <c r="HI388" s="3"/>
      <c r="HJ388" s="3"/>
      <c r="HK388" s="3"/>
      <c r="HL388" s="3"/>
      <c r="HM388" s="3"/>
      <c r="HN388" s="3"/>
      <c r="HO388" s="3"/>
      <c r="HP388" s="3"/>
      <c r="HQ388" s="3"/>
      <c r="HR388" s="3"/>
      <c r="HS388" s="3"/>
      <c r="HT388" s="3"/>
      <c r="HU388" s="3"/>
      <c r="HV388" s="3"/>
      <c r="HW388" s="3"/>
      <c r="HX388" s="3"/>
      <c r="HY388" s="3"/>
      <c r="HZ388" s="3"/>
      <c r="IA388" s="3"/>
      <c r="IB388" s="3"/>
      <c r="IC388" s="3"/>
      <c r="ID388" s="3"/>
      <c r="IE388" s="3"/>
      <c r="IF388" s="3"/>
      <c r="IG388" s="3"/>
      <c r="IH388" s="3"/>
      <c r="II388" s="3"/>
      <c r="IJ388" s="3"/>
      <c r="IK388" s="3"/>
      <c r="IL388" s="3"/>
      <c r="IM388" s="3"/>
      <c r="IN388" s="3"/>
      <c r="IO388" s="3"/>
      <c r="IP388" s="3"/>
      <c r="IQ388" s="3"/>
      <c r="IR388" s="3"/>
      <c r="IS388" s="3"/>
      <c r="IT388" s="3"/>
      <c r="IU388" s="3"/>
      <c r="IV388" s="3"/>
      <c r="IW388" s="3"/>
      <c r="IX388" s="3"/>
      <c r="IY388" s="3"/>
      <c r="IZ388" s="3"/>
      <c r="JA388" s="3"/>
      <c r="JB388" s="3"/>
      <c r="JC388" s="3"/>
      <c r="JD388" s="3"/>
      <c r="JE388" s="3"/>
      <c r="JF388" s="3"/>
      <c r="JG388" s="3"/>
      <c r="JH388" s="3"/>
      <c r="JI388" s="3"/>
      <c r="JJ388" s="3"/>
      <c r="JK388" s="3"/>
      <c r="JL388" s="3"/>
      <c r="JM388" s="3"/>
      <c r="JN388" s="3"/>
      <c r="JO388" s="3"/>
      <c r="JP388" s="3"/>
      <c r="JQ388" s="3"/>
      <c r="JR388" s="3"/>
      <c r="JS388" s="3"/>
      <c r="JT388" s="3"/>
      <c r="JU388" s="3"/>
      <c r="JV388" s="3"/>
      <c r="JW388" s="3"/>
      <c r="JX388" s="3"/>
      <c r="JY388" s="3"/>
      <c r="JZ388" s="3"/>
      <c r="KA388" s="3"/>
      <c r="KB388" s="3"/>
      <c r="KC388" s="3"/>
      <c r="KD388" s="3"/>
      <c r="KE388" s="3"/>
      <c r="KF388" s="3"/>
      <c r="KG388" s="3"/>
      <c r="KH388" s="3"/>
      <c r="KI388" s="3"/>
      <c r="KJ388" s="3"/>
      <c r="KK388" s="3"/>
      <c r="KL388" s="3"/>
      <c r="KM388" s="3"/>
      <c r="KN388" s="3"/>
      <c r="KO388" s="3"/>
      <c r="KP388" s="3"/>
      <c r="KQ388" s="3"/>
      <c r="KR388" s="3"/>
      <c r="KS388" s="3"/>
      <c r="KT388" s="3"/>
      <c r="KU388" s="3"/>
      <c r="KV388" s="3"/>
      <c r="KW388" s="3"/>
      <c r="KX388" s="3"/>
      <c r="KY388" s="3"/>
      <c r="KZ388" s="3"/>
      <c r="LA388" s="3"/>
      <c r="LB388" s="3"/>
      <c r="LC388" s="3"/>
      <c r="LD388" s="3"/>
      <c r="LE388" s="3"/>
      <c r="LF388" s="3"/>
      <c r="LG388" s="3"/>
      <c r="LH388" s="3"/>
      <c r="LI388" s="3"/>
      <c r="LJ388" s="3"/>
      <c r="LK388" s="3"/>
      <c r="LL388" s="3"/>
      <c r="LM388" s="3"/>
      <c r="LN388" s="3"/>
      <c r="LO388" s="3"/>
      <c r="LP388" s="3"/>
      <c r="LQ388" s="3"/>
      <c r="LR388" s="3"/>
      <c r="LS388" s="3"/>
      <c r="LT388" s="3"/>
      <c r="LU388" s="3"/>
      <c r="LV388" s="3"/>
      <c r="LW388" s="3"/>
      <c r="LX388" s="3"/>
      <c r="LY388" s="3"/>
      <c r="LZ388" s="3"/>
      <c r="MA388" s="3"/>
      <c r="MB388" s="3"/>
      <c r="MC388" s="3"/>
      <c r="MD388" s="3"/>
      <c r="ME388" s="3"/>
      <c r="MF388" s="3"/>
      <c r="MG388" s="3"/>
      <c r="MH388" s="3"/>
      <c r="MI388" s="3"/>
      <c r="MJ388" s="3"/>
      <c r="MK388" s="3"/>
      <c r="ML388" s="3"/>
      <c r="MM388" s="3"/>
      <c r="MN388" s="3"/>
      <c r="MO388" s="3"/>
      <c r="MP388" s="3"/>
      <c r="MQ388" s="3"/>
      <c r="MR388" s="3"/>
      <c r="MS388" s="3"/>
      <c r="MT388" s="3"/>
      <c r="MU388" s="3"/>
      <c r="MV388" s="3"/>
      <c r="MW388" s="3"/>
      <c r="MX388" s="3"/>
      <c r="MY388" s="3"/>
      <c r="MZ388" s="3"/>
      <c r="NA388" s="3"/>
      <c r="NB388" s="3"/>
      <c r="NC388" s="3"/>
      <c r="ND388" s="3"/>
      <c r="NE388" s="3"/>
      <c r="NF388" s="3"/>
      <c r="NG388" s="3"/>
      <c r="NH388" s="3"/>
      <c r="NI388" s="3"/>
      <c r="NJ388" s="3"/>
      <c r="NK388" s="3"/>
      <c r="NL388" s="3"/>
      <c r="NM388" s="3"/>
      <c r="NN388" s="3"/>
      <c r="NO388" s="3"/>
      <c r="NP388" s="3"/>
      <c r="NQ388" s="3"/>
      <c r="NR388" s="3"/>
      <c r="NS388" s="3"/>
      <c r="NT388" s="3"/>
      <c r="NU388" s="3"/>
      <c r="NV388" s="3"/>
      <c r="NW388" s="3"/>
      <c r="NX388" s="3"/>
      <c r="NY388" s="3"/>
      <c r="NZ388" s="3"/>
      <c r="OA388" s="3"/>
      <c r="OB388" s="3"/>
      <c r="OC388" s="3"/>
      <c r="OD388" s="3"/>
      <c r="OE388" s="3"/>
      <c r="OF388" s="3"/>
      <c r="OG388" s="3"/>
      <c r="OH388" s="3"/>
      <c r="OI388" s="3"/>
      <c r="OJ388" s="3"/>
      <c r="OK388" s="3"/>
      <c r="OL388" s="3"/>
      <c r="OM388" s="3"/>
      <c r="ON388" s="3"/>
      <c r="OO388" s="3"/>
      <c r="OP388" s="3"/>
      <c r="OQ388" s="3"/>
      <c r="OR388" s="3"/>
      <c r="OS388" s="3"/>
      <c r="OT388" s="3"/>
      <c r="OU388" s="3"/>
      <c r="OV388" s="3"/>
      <c r="OW388" s="3"/>
      <c r="OX388" s="3"/>
      <c r="OY388" s="3"/>
      <c r="OZ388" s="3"/>
      <c r="PA388" s="3"/>
      <c r="PB388" s="3"/>
      <c r="PC388" s="3"/>
      <c r="PD388" s="3"/>
      <c r="PE388" s="3"/>
      <c r="PF388" s="3"/>
      <c r="PG388" s="3"/>
      <c r="PH388" s="3"/>
      <c r="PI388" s="3"/>
      <c r="PJ388" s="3"/>
      <c r="PK388" s="3"/>
      <c r="PL388" s="3"/>
      <c r="PM388" s="3"/>
      <c r="PN388" s="3"/>
      <c r="PO388" s="3"/>
      <c r="PP388" s="3"/>
      <c r="PQ388" s="3"/>
      <c r="PR388" s="3"/>
      <c r="PS388" s="3"/>
      <c r="PT388" s="3"/>
      <c r="PU388" s="3"/>
      <c r="PV388" s="3"/>
      <c r="PW388" s="3"/>
      <c r="PX388" s="3"/>
      <c r="PY388" s="3"/>
      <c r="PZ388" s="3"/>
      <c r="QA388" s="3"/>
      <c r="QB388" s="3"/>
      <c r="QC388" s="3"/>
      <c r="QD388" s="3"/>
      <c r="QE388" s="3"/>
      <c r="QF388" s="3"/>
      <c r="QG388" s="3"/>
      <c r="QH388" s="3"/>
      <c r="QI388" s="3"/>
      <c r="QJ388" s="3"/>
      <c r="QK388" s="3"/>
      <c r="QL388" s="3"/>
      <c r="QM388" s="3"/>
      <c r="QN388" s="3"/>
      <c r="QO388" s="3"/>
      <c r="QP388" s="3"/>
      <c r="QQ388" s="3"/>
      <c r="QR388" s="3"/>
      <c r="QS388" s="3"/>
      <c r="QT388" s="3"/>
      <c r="QU388" s="3"/>
      <c r="QV388" s="3"/>
      <c r="QW388" s="3"/>
      <c r="QX388" s="3"/>
      <c r="QY388" s="3"/>
      <c r="QZ388" s="3"/>
      <c r="RA388" s="3"/>
      <c r="RB388" s="3"/>
      <c r="RC388" s="3"/>
      <c r="RD388" s="3"/>
      <c r="RE388" s="3"/>
      <c r="RF388" s="3"/>
      <c r="RG388" s="3"/>
      <c r="RH388" s="3"/>
      <c r="RI388" s="3"/>
      <c r="RJ388" s="3"/>
      <c r="RK388" s="3"/>
      <c r="RL388" s="3"/>
      <c r="RM388" s="3"/>
      <c r="RN388" s="3"/>
      <c r="RO388" s="3"/>
      <c r="RP388" s="3"/>
      <c r="RQ388" s="3"/>
      <c r="RR388" s="3"/>
      <c r="RS388" s="3"/>
      <c r="RT388" s="3"/>
      <c r="RU388" s="3"/>
      <c r="RV388" s="3"/>
      <c r="RW388" s="3"/>
      <c r="RX388" s="3"/>
      <c r="RY388" s="3"/>
      <c r="RZ388" s="3"/>
      <c r="SA388" s="3"/>
      <c r="SB388" s="3"/>
      <c r="SC388" s="3"/>
      <c r="SD388" s="3"/>
      <c r="SE388" s="3"/>
      <c r="SF388" s="3"/>
      <c r="SG388" s="3"/>
      <c r="SH388" s="3"/>
      <c r="SI388" s="3"/>
      <c r="SJ388" s="3"/>
      <c r="SK388" s="3"/>
      <c r="SL388" s="3"/>
      <c r="SM388" s="3"/>
      <c r="SN388" s="3"/>
      <c r="SO388" s="3"/>
      <c r="SP388" s="3"/>
      <c r="SQ388" s="3"/>
      <c r="SR388" s="3"/>
      <c r="SS388" s="3"/>
      <c r="ST388" s="3"/>
      <c r="SU388" s="3"/>
      <c r="SV388" s="3"/>
      <c r="SW388" s="3"/>
      <c r="SX388" s="3"/>
      <c r="SY388" s="3"/>
      <c r="SZ388" s="3"/>
      <c r="TA388" s="3"/>
      <c r="TB388" s="3"/>
      <c r="TC388" s="3"/>
      <c r="TD388" s="3"/>
      <c r="TE388" s="3"/>
      <c r="TF388" s="3"/>
      <c r="TG388" s="3"/>
      <c r="TH388" s="3"/>
      <c r="TI388" s="3"/>
      <c r="TJ388" s="3"/>
      <c r="TK388" s="3"/>
      <c r="TL388" s="3"/>
      <c r="TM388" s="3"/>
      <c r="TN388" s="3"/>
      <c r="TO388" s="3"/>
      <c r="TP388" s="3"/>
      <c r="TQ388" s="3"/>
      <c r="TR388" s="3"/>
      <c r="TS388" s="3"/>
      <c r="TT388" s="3"/>
      <c r="TU388" s="3"/>
      <c r="TV388" s="3"/>
      <c r="TW388" s="3"/>
      <c r="TX388" s="3"/>
      <c r="TY388" s="3"/>
      <c r="TZ388" s="3"/>
      <c r="UA388" s="3"/>
      <c r="UB388" s="3"/>
      <c r="UC388" s="3"/>
      <c r="UD388" s="3"/>
      <c r="UE388" s="3"/>
      <c r="UF388" s="3"/>
      <c r="UG388" s="3"/>
      <c r="UH388" s="3"/>
      <c r="UI388" s="3"/>
      <c r="UJ388" s="3"/>
      <c r="UK388" s="3"/>
      <c r="UL388" s="3"/>
      <c r="UM388" s="3"/>
      <c r="UN388" s="3"/>
      <c r="UO388" s="3"/>
      <c r="UP388" s="3"/>
      <c r="UQ388" s="3"/>
      <c r="UR388" s="3"/>
      <c r="US388" s="3"/>
      <c r="UT388" s="3"/>
      <c r="UU388" s="3"/>
      <c r="UV388" s="3"/>
      <c r="UW388" s="3"/>
      <c r="UX388" s="3"/>
      <c r="UY388" s="3"/>
      <c r="UZ388" s="3"/>
      <c r="VA388" s="3"/>
      <c r="VB388" s="3"/>
      <c r="VC388" s="3"/>
      <c r="VD388" s="3"/>
      <c r="VE388" s="3"/>
      <c r="VF388" s="3"/>
      <c r="VG388" s="3"/>
      <c r="VH388" s="3"/>
      <c r="VI388" s="3"/>
      <c r="VJ388" s="3"/>
      <c r="VK388" s="3"/>
      <c r="VL388" s="3"/>
      <c r="VM388" s="3"/>
      <c r="VN388" s="3"/>
      <c r="VO388" s="3"/>
      <c r="VP388" s="3"/>
      <c r="VQ388" s="3"/>
      <c r="VR388" s="3"/>
      <c r="VS388" s="3"/>
      <c r="VT388" s="3"/>
      <c r="VU388" s="3"/>
      <c r="VV388" s="3"/>
      <c r="VW388" s="3"/>
      <c r="VX388" s="3"/>
      <c r="VY388" s="3"/>
      <c r="VZ388" s="3"/>
      <c r="WA388" s="3"/>
      <c r="WB388" s="3"/>
      <c r="WC388" s="3"/>
      <c r="WD388" s="3"/>
      <c r="WE388" s="3"/>
      <c r="WF388" s="3"/>
      <c r="WG388" s="3"/>
      <c r="WH388" s="3"/>
      <c r="WI388" s="3"/>
      <c r="WJ388" s="3"/>
      <c r="WK388" s="3"/>
      <c r="WL388" s="3"/>
      <c r="WM388" s="3"/>
      <c r="WN388" s="3"/>
      <c r="WO388" s="3"/>
      <c r="WP388" s="3"/>
      <c r="WQ388" s="3"/>
      <c r="WR388" s="3"/>
      <c r="WS388" s="3"/>
      <c r="WT388" s="3"/>
      <c r="WU388" s="3"/>
      <c r="WV388" s="3"/>
      <c r="WW388" s="3"/>
      <c r="WX388" s="3"/>
      <c r="WY388" s="3"/>
      <c r="WZ388" s="3"/>
      <c r="XA388" s="3"/>
      <c r="XB388" s="3"/>
      <c r="XC388" s="3"/>
      <c r="XD388" s="3"/>
      <c r="XE388" s="3"/>
      <c r="XF388" s="3"/>
      <c r="XG388" s="3"/>
      <c r="XH388" s="3"/>
      <c r="XI388" s="3"/>
      <c r="XJ388" s="3"/>
      <c r="XK388" s="3"/>
      <c r="XL388" s="3"/>
      <c r="XM388" s="3"/>
      <c r="XN388" s="3"/>
      <c r="XO388" s="3"/>
      <c r="XP388" s="3"/>
      <c r="XQ388" s="3"/>
      <c r="XR388" s="3"/>
      <c r="XS388" s="3"/>
      <c r="XT388" s="3"/>
      <c r="XU388" s="3"/>
      <c r="XV388" s="3"/>
      <c r="XW388" s="3"/>
      <c r="XX388" s="3"/>
      <c r="XY388" s="3"/>
      <c r="XZ388" s="3"/>
      <c r="YA388" s="3"/>
      <c r="YB388" s="3"/>
      <c r="YC388" s="3"/>
      <c r="YD388" s="3"/>
      <c r="YE388" s="3"/>
      <c r="YF388" s="3"/>
      <c r="YG388" s="3"/>
      <c r="YH388" s="3"/>
      <c r="YI388" s="3"/>
      <c r="YJ388" s="3"/>
      <c r="YK388" s="3"/>
      <c r="YL388" s="3"/>
      <c r="YM388" s="3"/>
      <c r="YN388" s="3"/>
      <c r="YO388" s="3"/>
      <c r="YP388" s="3"/>
      <c r="YQ388" s="3"/>
      <c r="YR388" s="3"/>
      <c r="YS388" s="3"/>
      <c r="YT388" s="3"/>
      <c r="YU388" s="3"/>
      <c r="YV388" s="3"/>
      <c r="YW388" s="3"/>
      <c r="YX388" s="3"/>
      <c r="YY388" s="3"/>
      <c r="YZ388" s="3"/>
      <c r="ZA388" s="3"/>
      <c r="ZB388" s="3"/>
      <c r="ZC388" s="3"/>
    </row>
    <row r="389" spans="1:679" s="2" customFormat="1" x14ac:dyDescent="0.45">
      <c r="A389" s="3" t="s">
        <v>11</v>
      </c>
      <c r="B389" s="4">
        <v>40989</v>
      </c>
      <c r="C389" s="7" t="s">
        <v>21</v>
      </c>
      <c r="D389" s="6" t="s">
        <v>410</v>
      </c>
      <c r="E389" s="3"/>
      <c r="F389" s="3">
        <v>61</v>
      </c>
      <c r="L389" s="3"/>
      <c r="M389" s="3"/>
      <c r="N389" s="48"/>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c r="CO389" s="3"/>
      <c r="CP389" s="3"/>
      <c r="CQ389" s="3"/>
      <c r="CR389" s="3"/>
      <c r="CS389" s="3"/>
      <c r="CT389" s="3"/>
      <c r="CU389" s="3"/>
      <c r="CV389" s="3"/>
      <c r="CW389" s="3"/>
      <c r="CX389" s="3"/>
      <c r="CY389" s="3"/>
      <c r="CZ389" s="3"/>
      <c r="DA389" s="3"/>
      <c r="DB389" s="3"/>
      <c r="DC389" s="3"/>
      <c r="DD389" s="3"/>
      <c r="DE389" s="3"/>
      <c r="DF389" s="3"/>
      <c r="DG389" s="3"/>
      <c r="DH389" s="3"/>
      <c r="DI389" s="3"/>
      <c r="DJ389" s="3"/>
      <c r="DK389" s="3"/>
      <c r="DL389" s="3"/>
      <c r="DM389" s="3"/>
      <c r="DN389" s="3"/>
      <c r="DO389" s="3"/>
      <c r="DP389" s="3"/>
      <c r="DQ389" s="3"/>
      <c r="DR389" s="3"/>
      <c r="DS389" s="3"/>
      <c r="DT389" s="3"/>
      <c r="DU389" s="3"/>
      <c r="DV389" s="3"/>
      <c r="DW389" s="3"/>
      <c r="DX389" s="3"/>
      <c r="DY389" s="3"/>
      <c r="DZ389" s="3"/>
      <c r="EA389" s="3"/>
      <c r="EB389" s="3"/>
      <c r="EC389" s="3"/>
      <c r="ED389" s="3"/>
      <c r="EE389" s="3"/>
      <c r="EF389" s="3"/>
      <c r="EG389" s="3"/>
      <c r="EH389" s="3"/>
      <c r="EI389" s="3"/>
      <c r="EJ389" s="3"/>
      <c r="EK389" s="3"/>
      <c r="EL389" s="3"/>
      <c r="EM389" s="3"/>
      <c r="EN389" s="3"/>
      <c r="EO389" s="3"/>
      <c r="EP389" s="3"/>
      <c r="EQ389" s="3"/>
      <c r="ER389" s="3"/>
      <c r="ES389" s="3"/>
      <c r="ET389" s="3"/>
      <c r="EU389" s="3"/>
      <c r="EV389" s="3"/>
      <c r="EW389" s="3"/>
      <c r="EX389" s="3"/>
      <c r="EY389" s="3"/>
      <c r="EZ389" s="3"/>
      <c r="FA389" s="3"/>
      <c r="FB389" s="3"/>
      <c r="FC389" s="3"/>
      <c r="FD389" s="3"/>
      <c r="FE389" s="3"/>
      <c r="FF389" s="3"/>
      <c r="FG389" s="3"/>
      <c r="FH389" s="3"/>
      <c r="FI389" s="3"/>
      <c r="FJ389" s="3"/>
      <c r="FK389" s="3"/>
      <c r="FL389" s="3"/>
      <c r="FM389" s="3"/>
      <c r="FN389" s="3"/>
      <c r="FO389" s="3"/>
      <c r="FP389" s="3"/>
      <c r="FQ389" s="3"/>
      <c r="FR389" s="3"/>
      <c r="FS389" s="3"/>
      <c r="FT389" s="3"/>
      <c r="FU389" s="3"/>
      <c r="FV389" s="3"/>
      <c r="FW389" s="3"/>
      <c r="FX389" s="3"/>
      <c r="FY389" s="3"/>
      <c r="FZ389" s="3"/>
      <c r="GA389" s="3"/>
      <c r="GB389" s="3"/>
      <c r="GC389" s="3"/>
      <c r="GD389" s="3"/>
      <c r="GE389" s="3"/>
      <c r="GF389" s="3"/>
      <c r="GG389" s="3"/>
      <c r="GH389" s="3"/>
      <c r="GI389" s="3"/>
      <c r="GJ389" s="3"/>
      <c r="GK389" s="3"/>
      <c r="GL389" s="3"/>
      <c r="GM389" s="3"/>
      <c r="GN389" s="3"/>
      <c r="GO389" s="3"/>
      <c r="GP389" s="3"/>
      <c r="GQ389" s="3"/>
      <c r="GR389" s="3"/>
      <c r="GS389" s="3"/>
      <c r="GT389" s="3"/>
      <c r="GU389" s="3"/>
      <c r="GV389" s="3"/>
      <c r="GW389" s="3"/>
      <c r="GX389" s="3"/>
      <c r="GY389" s="3"/>
      <c r="GZ389" s="3"/>
      <c r="HA389" s="3"/>
      <c r="HB389" s="3"/>
      <c r="HC389" s="3"/>
      <c r="HD389" s="3"/>
      <c r="HE389" s="3"/>
      <c r="HF389" s="3"/>
      <c r="HG389" s="3"/>
      <c r="HH389" s="3"/>
      <c r="HI389" s="3"/>
      <c r="HJ389" s="3"/>
      <c r="HK389" s="3"/>
      <c r="HL389" s="3"/>
      <c r="HM389" s="3"/>
      <c r="HN389" s="3"/>
      <c r="HO389" s="3"/>
      <c r="HP389" s="3"/>
      <c r="HQ389" s="3"/>
      <c r="HR389" s="3"/>
      <c r="HS389" s="3"/>
      <c r="HT389" s="3"/>
      <c r="HU389" s="3"/>
      <c r="HV389" s="3"/>
      <c r="HW389" s="3"/>
      <c r="HX389" s="3"/>
      <c r="HY389" s="3"/>
      <c r="HZ389" s="3"/>
      <c r="IA389" s="3"/>
      <c r="IB389" s="3"/>
      <c r="IC389" s="3"/>
      <c r="ID389" s="3"/>
      <c r="IE389" s="3"/>
      <c r="IF389" s="3"/>
      <c r="IG389" s="3"/>
      <c r="IH389" s="3"/>
      <c r="II389" s="3"/>
      <c r="IJ389" s="3"/>
      <c r="IK389" s="3"/>
      <c r="IL389" s="3"/>
      <c r="IM389" s="3"/>
      <c r="IN389" s="3"/>
      <c r="IO389" s="3"/>
      <c r="IP389" s="3"/>
      <c r="IQ389" s="3"/>
      <c r="IR389" s="3"/>
      <c r="IS389" s="3"/>
      <c r="IT389" s="3"/>
      <c r="IU389" s="3"/>
      <c r="IV389" s="3"/>
      <c r="IW389" s="3"/>
      <c r="IX389" s="3"/>
      <c r="IY389" s="3"/>
      <c r="IZ389" s="3"/>
      <c r="JA389" s="3"/>
      <c r="JB389" s="3"/>
      <c r="JC389" s="3"/>
      <c r="JD389" s="3"/>
      <c r="JE389" s="3"/>
      <c r="JF389" s="3"/>
      <c r="JG389" s="3"/>
      <c r="JH389" s="3"/>
      <c r="JI389" s="3"/>
      <c r="JJ389" s="3"/>
      <c r="JK389" s="3"/>
      <c r="JL389" s="3"/>
      <c r="JM389" s="3"/>
      <c r="JN389" s="3"/>
      <c r="JO389" s="3"/>
      <c r="JP389" s="3"/>
      <c r="JQ389" s="3"/>
      <c r="JR389" s="3"/>
      <c r="JS389" s="3"/>
      <c r="JT389" s="3"/>
      <c r="JU389" s="3"/>
      <c r="JV389" s="3"/>
      <c r="JW389" s="3"/>
      <c r="JX389" s="3"/>
      <c r="JY389" s="3"/>
      <c r="JZ389" s="3"/>
      <c r="KA389" s="3"/>
      <c r="KB389" s="3"/>
      <c r="KC389" s="3"/>
      <c r="KD389" s="3"/>
      <c r="KE389" s="3"/>
      <c r="KF389" s="3"/>
      <c r="KG389" s="3"/>
      <c r="KH389" s="3"/>
      <c r="KI389" s="3"/>
      <c r="KJ389" s="3"/>
      <c r="KK389" s="3"/>
      <c r="KL389" s="3"/>
      <c r="KM389" s="3"/>
      <c r="KN389" s="3"/>
      <c r="KO389" s="3"/>
      <c r="KP389" s="3"/>
      <c r="KQ389" s="3"/>
      <c r="KR389" s="3"/>
      <c r="KS389" s="3"/>
      <c r="KT389" s="3"/>
      <c r="KU389" s="3"/>
      <c r="KV389" s="3"/>
      <c r="KW389" s="3"/>
      <c r="KX389" s="3"/>
      <c r="KY389" s="3"/>
      <c r="KZ389" s="3"/>
      <c r="LA389" s="3"/>
      <c r="LB389" s="3"/>
      <c r="LC389" s="3"/>
      <c r="LD389" s="3"/>
      <c r="LE389" s="3"/>
      <c r="LF389" s="3"/>
      <c r="LG389" s="3"/>
      <c r="LH389" s="3"/>
      <c r="LI389" s="3"/>
      <c r="LJ389" s="3"/>
      <c r="LK389" s="3"/>
      <c r="LL389" s="3"/>
      <c r="LM389" s="3"/>
      <c r="LN389" s="3"/>
      <c r="LO389" s="3"/>
      <c r="LP389" s="3"/>
      <c r="LQ389" s="3"/>
      <c r="LR389" s="3"/>
      <c r="LS389" s="3"/>
      <c r="LT389" s="3"/>
      <c r="LU389" s="3"/>
      <c r="LV389" s="3"/>
      <c r="LW389" s="3"/>
      <c r="LX389" s="3"/>
      <c r="LY389" s="3"/>
      <c r="LZ389" s="3"/>
      <c r="MA389" s="3"/>
      <c r="MB389" s="3"/>
      <c r="MC389" s="3"/>
      <c r="MD389" s="3"/>
      <c r="ME389" s="3"/>
      <c r="MF389" s="3"/>
      <c r="MG389" s="3"/>
      <c r="MH389" s="3"/>
      <c r="MI389" s="3"/>
      <c r="MJ389" s="3"/>
      <c r="MK389" s="3"/>
      <c r="ML389" s="3"/>
      <c r="MM389" s="3"/>
      <c r="MN389" s="3"/>
      <c r="MO389" s="3"/>
      <c r="MP389" s="3"/>
      <c r="MQ389" s="3"/>
      <c r="MR389" s="3"/>
      <c r="MS389" s="3"/>
      <c r="MT389" s="3"/>
      <c r="MU389" s="3"/>
      <c r="MV389" s="3"/>
      <c r="MW389" s="3"/>
      <c r="MX389" s="3"/>
      <c r="MY389" s="3"/>
      <c r="MZ389" s="3"/>
      <c r="NA389" s="3"/>
      <c r="NB389" s="3"/>
      <c r="NC389" s="3"/>
      <c r="ND389" s="3"/>
      <c r="NE389" s="3"/>
      <c r="NF389" s="3"/>
      <c r="NG389" s="3"/>
      <c r="NH389" s="3"/>
      <c r="NI389" s="3"/>
      <c r="NJ389" s="3"/>
      <c r="NK389" s="3"/>
      <c r="NL389" s="3"/>
      <c r="NM389" s="3"/>
      <c r="NN389" s="3"/>
      <c r="NO389" s="3"/>
      <c r="NP389" s="3"/>
      <c r="NQ389" s="3"/>
      <c r="NR389" s="3"/>
      <c r="NS389" s="3"/>
      <c r="NT389" s="3"/>
      <c r="NU389" s="3"/>
      <c r="NV389" s="3"/>
      <c r="NW389" s="3"/>
      <c r="NX389" s="3"/>
      <c r="NY389" s="3"/>
      <c r="NZ389" s="3"/>
      <c r="OA389" s="3"/>
      <c r="OB389" s="3"/>
      <c r="OC389" s="3"/>
      <c r="OD389" s="3"/>
      <c r="OE389" s="3"/>
      <c r="OF389" s="3"/>
      <c r="OG389" s="3"/>
      <c r="OH389" s="3"/>
      <c r="OI389" s="3"/>
      <c r="OJ389" s="3"/>
      <c r="OK389" s="3"/>
      <c r="OL389" s="3"/>
      <c r="OM389" s="3"/>
      <c r="ON389" s="3"/>
      <c r="OO389" s="3"/>
      <c r="OP389" s="3"/>
      <c r="OQ389" s="3"/>
      <c r="OR389" s="3"/>
      <c r="OS389" s="3"/>
      <c r="OT389" s="3"/>
      <c r="OU389" s="3"/>
      <c r="OV389" s="3"/>
      <c r="OW389" s="3"/>
      <c r="OX389" s="3"/>
      <c r="OY389" s="3"/>
      <c r="OZ389" s="3"/>
      <c r="PA389" s="3"/>
      <c r="PB389" s="3"/>
      <c r="PC389" s="3"/>
      <c r="PD389" s="3"/>
      <c r="PE389" s="3"/>
      <c r="PF389" s="3"/>
      <c r="PG389" s="3"/>
      <c r="PH389" s="3"/>
      <c r="PI389" s="3"/>
      <c r="PJ389" s="3"/>
      <c r="PK389" s="3"/>
      <c r="PL389" s="3"/>
      <c r="PM389" s="3"/>
      <c r="PN389" s="3"/>
      <c r="PO389" s="3"/>
      <c r="PP389" s="3"/>
      <c r="PQ389" s="3"/>
      <c r="PR389" s="3"/>
      <c r="PS389" s="3"/>
      <c r="PT389" s="3"/>
      <c r="PU389" s="3"/>
      <c r="PV389" s="3"/>
      <c r="PW389" s="3"/>
      <c r="PX389" s="3"/>
      <c r="PY389" s="3"/>
      <c r="PZ389" s="3"/>
      <c r="QA389" s="3"/>
      <c r="QB389" s="3"/>
      <c r="QC389" s="3"/>
      <c r="QD389" s="3"/>
      <c r="QE389" s="3"/>
      <c r="QF389" s="3"/>
      <c r="QG389" s="3"/>
      <c r="QH389" s="3"/>
      <c r="QI389" s="3"/>
      <c r="QJ389" s="3"/>
      <c r="QK389" s="3"/>
      <c r="QL389" s="3"/>
      <c r="QM389" s="3"/>
      <c r="QN389" s="3"/>
      <c r="QO389" s="3"/>
      <c r="QP389" s="3"/>
      <c r="QQ389" s="3"/>
      <c r="QR389" s="3"/>
      <c r="QS389" s="3"/>
      <c r="QT389" s="3"/>
      <c r="QU389" s="3"/>
      <c r="QV389" s="3"/>
      <c r="QW389" s="3"/>
      <c r="QX389" s="3"/>
      <c r="QY389" s="3"/>
      <c r="QZ389" s="3"/>
      <c r="RA389" s="3"/>
      <c r="RB389" s="3"/>
      <c r="RC389" s="3"/>
      <c r="RD389" s="3"/>
      <c r="RE389" s="3"/>
      <c r="RF389" s="3"/>
      <c r="RG389" s="3"/>
      <c r="RH389" s="3"/>
      <c r="RI389" s="3"/>
      <c r="RJ389" s="3"/>
      <c r="RK389" s="3"/>
      <c r="RL389" s="3"/>
      <c r="RM389" s="3"/>
      <c r="RN389" s="3"/>
      <c r="RO389" s="3"/>
      <c r="RP389" s="3"/>
      <c r="RQ389" s="3"/>
      <c r="RR389" s="3"/>
      <c r="RS389" s="3"/>
      <c r="RT389" s="3"/>
      <c r="RU389" s="3"/>
      <c r="RV389" s="3"/>
      <c r="RW389" s="3"/>
      <c r="RX389" s="3"/>
      <c r="RY389" s="3"/>
      <c r="RZ389" s="3"/>
      <c r="SA389" s="3"/>
      <c r="SB389" s="3"/>
      <c r="SC389" s="3"/>
      <c r="SD389" s="3"/>
      <c r="SE389" s="3"/>
      <c r="SF389" s="3"/>
      <c r="SG389" s="3"/>
      <c r="SH389" s="3"/>
      <c r="SI389" s="3"/>
      <c r="SJ389" s="3"/>
      <c r="SK389" s="3"/>
      <c r="SL389" s="3"/>
      <c r="SM389" s="3"/>
      <c r="SN389" s="3"/>
      <c r="SO389" s="3"/>
      <c r="SP389" s="3"/>
      <c r="SQ389" s="3"/>
      <c r="SR389" s="3"/>
      <c r="SS389" s="3"/>
      <c r="ST389" s="3"/>
      <c r="SU389" s="3"/>
      <c r="SV389" s="3"/>
      <c r="SW389" s="3"/>
      <c r="SX389" s="3"/>
      <c r="SY389" s="3"/>
      <c r="SZ389" s="3"/>
      <c r="TA389" s="3"/>
      <c r="TB389" s="3"/>
      <c r="TC389" s="3"/>
      <c r="TD389" s="3"/>
      <c r="TE389" s="3"/>
      <c r="TF389" s="3"/>
      <c r="TG389" s="3"/>
      <c r="TH389" s="3"/>
      <c r="TI389" s="3"/>
      <c r="TJ389" s="3"/>
      <c r="TK389" s="3"/>
      <c r="TL389" s="3"/>
      <c r="TM389" s="3"/>
      <c r="TN389" s="3"/>
      <c r="TO389" s="3"/>
      <c r="TP389" s="3"/>
      <c r="TQ389" s="3"/>
      <c r="TR389" s="3"/>
      <c r="TS389" s="3"/>
      <c r="TT389" s="3"/>
      <c r="TU389" s="3"/>
      <c r="TV389" s="3"/>
      <c r="TW389" s="3"/>
      <c r="TX389" s="3"/>
      <c r="TY389" s="3"/>
      <c r="TZ389" s="3"/>
      <c r="UA389" s="3"/>
      <c r="UB389" s="3"/>
      <c r="UC389" s="3"/>
      <c r="UD389" s="3"/>
      <c r="UE389" s="3"/>
      <c r="UF389" s="3"/>
      <c r="UG389" s="3"/>
      <c r="UH389" s="3"/>
      <c r="UI389" s="3"/>
      <c r="UJ389" s="3"/>
      <c r="UK389" s="3"/>
      <c r="UL389" s="3"/>
      <c r="UM389" s="3"/>
      <c r="UN389" s="3"/>
      <c r="UO389" s="3"/>
      <c r="UP389" s="3"/>
      <c r="UQ389" s="3"/>
      <c r="UR389" s="3"/>
      <c r="US389" s="3"/>
      <c r="UT389" s="3"/>
      <c r="UU389" s="3"/>
      <c r="UV389" s="3"/>
      <c r="UW389" s="3"/>
      <c r="UX389" s="3"/>
      <c r="UY389" s="3"/>
      <c r="UZ389" s="3"/>
      <c r="VA389" s="3"/>
      <c r="VB389" s="3"/>
      <c r="VC389" s="3"/>
      <c r="VD389" s="3"/>
      <c r="VE389" s="3"/>
      <c r="VF389" s="3"/>
      <c r="VG389" s="3"/>
      <c r="VH389" s="3"/>
      <c r="VI389" s="3"/>
      <c r="VJ389" s="3"/>
      <c r="VK389" s="3"/>
      <c r="VL389" s="3"/>
      <c r="VM389" s="3"/>
      <c r="VN389" s="3"/>
      <c r="VO389" s="3"/>
      <c r="VP389" s="3"/>
      <c r="VQ389" s="3"/>
      <c r="VR389" s="3"/>
      <c r="VS389" s="3"/>
      <c r="VT389" s="3"/>
      <c r="VU389" s="3"/>
      <c r="VV389" s="3"/>
      <c r="VW389" s="3"/>
      <c r="VX389" s="3"/>
      <c r="VY389" s="3"/>
      <c r="VZ389" s="3"/>
      <c r="WA389" s="3"/>
      <c r="WB389" s="3"/>
      <c r="WC389" s="3"/>
      <c r="WD389" s="3"/>
      <c r="WE389" s="3"/>
      <c r="WF389" s="3"/>
      <c r="WG389" s="3"/>
      <c r="WH389" s="3"/>
      <c r="WI389" s="3"/>
      <c r="WJ389" s="3"/>
      <c r="WK389" s="3"/>
      <c r="WL389" s="3"/>
      <c r="WM389" s="3"/>
      <c r="WN389" s="3"/>
      <c r="WO389" s="3"/>
      <c r="WP389" s="3"/>
      <c r="WQ389" s="3"/>
      <c r="WR389" s="3"/>
      <c r="WS389" s="3"/>
      <c r="WT389" s="3"/>
      <c r="WU389" s="3"/>
      <c r="WV389" s="3"/>
      <c r="WW389" s="3"/>
      <c r="WX389" s="3"/>
      <c r="WY389" s="3"/>
      <c r="WZ389" s="3"/>
      <c r="XA389" s="3"/>
      <c r="XB389" s="3"/>
      <c r="XC389" s="3"/>
      <c r="XD389" s="3"/>
      <c r="XE389" s="3"/>
      <c r="XF389" s="3"/>
      <c r="XG389" s="3"/>
      <c r="XH389" s="3"/>
      <c r="XI389" s="3"/>
      <c r="XJ389" s="3"/>
      <c r="XK389" s="3"/>
      <c r="XL389" s="3"/>
      <c r="XM389" s="3"/>
      <c r="XN389" s="3"/>
      <c r="XO389" s="3"/>
      <c r="XP389" s="3"/>
      <c r="XQ389" s="3"/>
      <c r="XR389" s="3"/>
      <c r="XS389" s="3"/>
      <c r="XT389" s="3"/>
      <c r="XU389" s="3"/>
      <c r="XV389" s="3"/>
      <c r="XW389" s="3"/>
      <c r="XX389" s="3"/>
      <c r="XY389" s="3"/>
      <c r="XZ389" s="3"/>
      <c r="YA389" s="3"/>
      <c r="YB389" s="3"/>
      <c r="YC389" s="3"/>
      <c r="YD389" s="3"/>
      <c r="YE389" s="3"/>
      <c r="YF389" s="3"/>
      <c r="YG389" s="3"/>
      <c r="YH389" s="3"/>
      <c r="YI389" s="3"/>
      <c r="YJ389" s="3"/>
      <c r="YK389" s="3"/>
      <c r="YL389" s="3"/>
      <c r="YM389" s="3"/>
      <c r="YN389" s="3"/>
      <c r="YO389" s="3"/>
      <c r="YP389" s="3"/>
      <c r="YQ389" s="3"/>
      <c r="YR389" s="3"/>
      <c r="YS389" s="3"/>
      <c r="YT389" s="3"/>
      <c r="YU389" s="3"/>
      <c r="YV389" s="3"/>
      <c r="YW389" s="3"/>
      <c r="YX389" s="3"/>
      <c r="YY389" s="3"/>
      <c r="YZ389" s="3"/>
      <c r="ZA389" s="3"/>
      <c r="ZB389" s="3"/>
      <c r="ZC389" s="3"/>
    </row>
    <row r="390" spans="1:679" s="2" customFormat="1" x14ac:dyDescent="0.45">
      <c r="A390" s="3" t="s">
        <v>11</v>
      </c>
      <c r="B390" s="4">
        <v>41010</v>
      </c>
      <c r="C390" s="7" t="s">
        <v>25</v>
      </c>
      <c r="D390" s="6" t="s">
        <v>411</v>
      </c>
      <c r="E390" s="3"/>
      <c r="F390" s="3">
        <v>19</v>
      </c>
      <c r="L390" s="3"/>
      <c r="M390" s="3"/>
      <c r="N390" s="48"/>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c r="CO390" s="3"/>
      <c r="CP390" s="3"/>
      <c r="CQ390" s="3"/>
      <c r="CR390" s="3"/>
      <c r="CS390" s="3"/>
      <c r="CT390" s="3"/>
      <c r="CU390" s="3"/>
      <c r="CV390" s="3"/>
      <c r="CW390" s="3"/>
      <c r="CX390" s="3"/>
      <c r="CY390" s="3"/>
      <c r="CZ390" s="3"/>
      <c r="DA390" s="3"/>
      <c r="DB390" s="3"/>
      <c r="DC390" s="3"/>
      <c r="DD390" s="3"/>
      <c r="DE390" s="3"/>
      <c r="DF390" s="3"/>
      <c r="DG390" s="3"/>
      <c r="DH390" s="3"/>
      <c r="DI390" s="3"/>
      <c r="DJ390" s="3"/>
      <c r="DK390" s="3"/>
      <c r="DL390" s="3"/>
      <c r="DM390" s="3"/>
      <c r="DN390" s="3"/>
      <c r="DO390" s="3"/>
      <c r="DP390" s="3"/>
      <c r="DQ390" s="3"/>
      <c r="DR390" s="3"/>
      <c r="DS390" s="3"/>
      <c r="DT390" s="3"/>
      <c r="DU390" s="3"/>
      <c r="DV390" s="3"/>
      <c r="DW390" s="3"/>
      <c r="DX390" s="3"/>
      <c r="DY390" s="3"/>
      <c r="DZ390" s="3"/>
      <c r="EA390" s="3"/>
      <c r="EB390" s="3"/>
      <c r="EC390" s="3"/>
      <c r="ED390" s="3"/>
      <c r="EE390" s="3"/>
      <c r="EF390" s="3"/>
      <c r="EG390" s="3"/>
      <c r="EH390" s="3"/>
      <c r="EI390" s="3"/>
      <c r="EJ390" s="3"/>
      <c r="EK390" s="3"/>
      <c r="EL390" s="3"/>
      <c r="EM390" s="3"/>
      <c r="EN390" s="3"/>
      <c r="EO390" s="3"/>
      <c r="EP390" s="3"/>
      <c r="EQ390" s="3"/>
      <c r="ER390" s="3"/>
      <c r="ES390" s="3"/>
      <c r="ET390" s="3"/>
      <c r="EU390" s="3"/>
      <c r="EV390" s="3"/>
      <c r="EW390" s="3"/>
      <c r="EX390" s="3"/>
      <c r="EY390" s="3"/>
      <c r="EZ390" s="3"/>
      <c r="FA390" s="3"/>
      <c r="FB390" s="3"/>
      <c r="FC390" s="3"/>
      <c r="FD390" s="3"/>
      <c r="FE390" s="3"/>
      <c r="FF390" s="3"/>
      <c r="FG390" s="3"/>
      <c r="FH390" s="3"/>
      <c r="FI390" s="3"/>
      <c r="FJ390" s="3"/>
      <c r="FK390" s="3"/>
      <c r="FL390" s="3"/>
      <c r="FM390" s="3"/>
      <c r="FN390" s="3"/>
      <c r="FO390" s="3"/>
      <c r="FP390" s="3"/>
      <c r="FQ390" s="3"/>
      <c r="FR390" s="3"/>
      <c r="FS390" s="3"/>
      <c r="FT390" s="3"/>
      <c r="FU390" s="3"/>
      <c r="FV390" s="3"/>
      <c r="FW390" s="3"/>
      <c r="FX390" s="3"/>
      <c r="FY390" s="3"/>
      <c r="FZ390" s="3"/>
      <c r="GA390" s="3"/>
      <c r="GB390" s="3"/>
      <c r="GC390" s="3"/>
      <c r="GD390" s="3"/>
      <c r="GE390" s="3"/>
      <c r="GF390" s="3"/>
      <c r="GG390" s="3"/>
      <c r="GH390" s="3"/>
      <c r="GI390" s="3"/>
      <c r="GJ390" s="3"/>
      <c r="GK390" s="3"/>
      <c r="GL390" s="3"/>
      <c r="GM390" s="3"/>
      <c r="GN390" s="3"/>
      <c r="GO390" s="3"/>
      <c r="GP390" s="3"/>
      <c r="GQ390" s="3"/>
      <c r="GR390" s="3"/>
      <c r="GS390" s="3"/>
      <c r="GT390" s="3"/>
      <c r="GU390" s="3"/>
      <c r="GV390" s="3"/>
      <c r="GW390" s="3"/>
      <c r="GX390" s="3"/>
      <c r="GY390" s="3"/>
      <c r="GZ390" s="3"/>
      <c r="HA390" s="3"/>
      <c r="HB390" s="3"/>
      <c r="HC390" s="3"/>
      <c r="HD390" s="3"/>
      <c r="HE390" s="3"/>
      <c r="HF390" s="3"/>
      <c r="HG390" s="3"/>
      <c r="HH390" s="3"/>
      <c r="HI390" s="3"/>
      <c r="HJ390" s="3"/>
      <c r="HK390" s="3"/>
      <c r="HL390" s="3"/>
      <c r="HM390" s="3"/>
      <c r="HN390" s="3"/>
      <c r="HO390" s="3"/>
      <c r="HP390" s="3"/>
      <c r="HQ390" s="3"/>
      <c r="HR390" s="3"/>
      <c r="HS390" s="3"/>
      <c r="HT390" s="3"/>
      <c r="HU390" s="3"/>
      <c r="HV390" s="3"/>
      <c r="HW390" s="3"/>
      <c r="HX390" s="3"/>
      <c r="HY390" s="3"/>
      <c r="HZ390" s="3"/>
      <c r="IA390" s="3"/>
      <c r="IB390" s="3"/>
      <c r="IC390" s="3"/>
      <c r="ID390" s="3"/>
      <c r="IE390" s="3"/>
      <c r="IF390" s="3"/>
      <c r="IG390" s="3"/>
      <c r="IH390" s="3"/>
      <c r="II390" s="3"/>
      <c r="IJ390" s="3"/>
      <c r="IK390" s="3"/>
      <c r="IL390" s="3"/>
      <c r="IM390" s="3"/>
      <c r="IN390" s="3"/>
      <c r="IO390" s="3"/>
      <c r="IP390" s="3"/>
      <c r="IQ390" s="3"/>
      <c r="IR390" s="3"/>
      <c r="IS390" s="3"/>
      <c r="IT390" s="3"/>
      <c r="IU390" s="3"/>
      <c r="IV390" s="3"/>
      <c r="IW390" s="3"/>
      <c r="IX390" s="3"/>
      <c r="IY390" s="3"/>
      <c r="IZ390" s="3"/>
      <c r="JA390" s="3"/>
      <c r="JB390" s="3"/>
      <c r="JC390" s="3"/>
      <c r="JD390" s="3"/>
      <c r="JE390" s="3"/>
      <c r="JF390" s="3"/>
      <c r="JG390" s="3"/>
      <c r="JH390" s="3"/>
      <c r="JI390" s="3"/>
      <c r="JJ390" s="3"/>
      <c r="JK390" s="3"/>
      <c r="JL390" s="3"/>
      <c r="JM390" s="3"/>
      <c r="JN390" s="3"/>
      <c r="JO390" s="3"/>
      <c r="JP390" s="3"/>
      <c r="JQ390" s="3"/>
      <c r="JR390" s="3"/>
      <c r="JS390" s="3"/>
      <c r="JT390" s="3"/>
      <c r="JU390" s="3"/>
      <c r="JV390" s="3"/>
      <c r="JW390" s="3"/>
      <c r="JX390" s="3"/>
      <c r="JY390" s="3"/>
      <c r="JZ390" s="3"/>
      <c r="KA390" s="3"/>
      <c r="KB390" s="3"/>
      <c r="KC390" s="3"/>
      <c r="KD390" s="3"/>
      <c r="KE390" s="3"/>
      <c r="KF390" s="3"/>
      <c r="KG390" s="3"/>
      <c r="KH390" s="3"/>
      <c r="KI390" s="3"/>
      <c r="KJ390" s="3"/>
      <c r="KK390" s="3"/>
      <c r="KL390" s="3"/>
      <c r="KM390" s="3"/>
      <c r="KN390" s="3"/>
      <c r="KO390" s="3"/>
      <c r="KP390" s="3"/>
      <c r="KQ390" s="3"/>
      <c r="KR390" s="3"/>
      <c r="KS390" s="3"/>
      <c r="KT390" s="3"/>
      <c r="KU390" s="3"/>
      <c r="KV390" s="3"/>
      <c r="KW390" s="3"/>
      <c r="KX390" s="3"/>
      <c r="KY390" s="3"/>
      <c r="KZ390" s="3"/>
      <c r="LA390" s="3"/>
      <c r="LB390" s="3"/>
      <c r="LC390" s="3"/>
      <c r="LD390" s="3"/>
      <c r="LE390" s="3"/>
      <c r="LF390" s="3"/>
      <c r="LG390" s="3"/>
      <c r="LH390" s="3"/>
      <c r="LI390" s="3"/>
      <c r="LJ390" s="3"/>
      <c r="LK390" s="3"/>
      <c r="LL390" s="3"/>
      <c r="LM390" s="3"/>
      <c r="LN390" s="3"/>
      <c r="LO390" s="3"/>
      <c r="LP390" s="3"/>
      <c r="LQ390" s="3"/>
      <c r="LR390" s="3"/>
      <c r="LS390" s="3"/>
      <c r="LT390" s="3"/>
      <c r="LU390" s="3"/>
      <c r="LV390" s="3"/>
      <c r="LW390" s="3"/>
      <c r="LX390" s="3"/>
      <c r="LY390" s="3"/>
      <c r="LZ390" s="3"/>
      <c r="MA390" s="3"/>
      <c r="MB390" s="3"/>
      <c r="MC390" s="3"/>
      <c r="MD390" s="3"/>
      <c r="ME390" s="3"/>
      <c r="MF390" s="3"/>
      <c r="MG390" s="3"/>
      <c r="MH390" s="3"/>
      <c r="MI390" s="3"/>
      <c r="MJ390" s="3"/>
      <c r="MK390" s="3"/>
      <c r="ML390" s="3"/>
      <c r="MM390" s="3"/>
      <c r="MN390" s="3"/>
      <c r="MO390" s="3"/>
      <c r="MP390" s="3"/>
      <c r="MQ390" s="3"/>
      <c r="MR390" s="3"/>
      <c r="MS390" s="3"/>
      <c r="MT390" s="3"/>
      <c r="MU390" s="3"/>
      <c r="MV390" s="3"/>
      <c r="MW390" s="3"/>
      <c r="MX390" s="3"/>
      <c r="MY390" s="3"/>
      <c r="MZ390" s="3"/>
      <c r="NA390" s="3"/>
      <c r="NB390" s="3"/>
      <c r="NC390" s="3"/>
      <c r="ND390" s="3"/>
      <c r="NE390" s="3"/>
      <c r="NF390" s="3"/>
      <c r="NG390" s="3"/>
      <c r="NH390" s="3"/>
      <c r="NI390" s="3"/>
      <c r="NJ390" s="3"/>
      <c r="NK390" s="3"/>
      <c r="NL390" s="3"/>
      <c r="NM390" s="3"/>
      <c r="NN390" s="3"/>
      <c r="NO390" s="3"/>
      <c r="NP390" s="3"/>
      <c r="NQ390" s="3"/>
      <c r="NR390" s="3"/>
      <c r="NS390" s="3"/>
      <c r="NT390" s="3"/>
      <c r="NU390" s="3"/>
      <c r="NV390" s="3"/>
      <c r="NW390" s="3"/>
      <c r="NX390" s="3"/>
      <c r="NY390" s="3"/>
      <c r="NZ390" s="3"/>
      <c r="OA390" s="3"/>
      <c r="OB390" s="3"/>
      <c r="OC390" s="3"/>
      <c r="OD390" s="3"/>
      <c r="OE390" s="3"/>
      <c r="OF390" s="3"/>
      <c r="OG390" s="3"/>
      <c r="OH390" s="3"/>
      <c r="OI390" s="3"/>
      <c r="OJ390" s="3"/>
      <c r="OK390" s="3"/>
      <c r="OL390" s="3"/>
      <c r="OM390" s="3"/>
      <c r="ON390" s="3"/>
      <c r="OO390" s="3"/>
      <c r="OP390" s="3"/>
      <c r="OQ390" s="3"/>
      <c r="OR390" s="3"/>
      <c r="OS390" s="3"/>
      <c r="OT390" s="3"/>
      <c r="OU390" s="3"/>
      <c r="OV390" s="3"/>
      <c r="OW390" s="3"/>
      <c r="OX390" s="3"/>
      <c r="OY390" s="3"/>
      <c r="OZ390" s="3"/>
      <c r="PA390" s="3"/>
      <c r="PB390" s="3"/>
      <c r="PC390" s="3"/>
      <c r="PD390" s="3"/>
      <c r="PE390" s="3"/>
      <c r="PF390" s="3"/>
      <c r="PG390" s="3"/>
      <c r="PH390" s="3"/>
      <c r="PI390" s="3"/>
      <c r="PJ390" s="3"/>
      <c r="PK390" s="3"/>
      <c r="PL390" s="3"/>
      <c r="PM390" s="3"/>
      <c r="PN390" s="3"/>
      <c r="PO390" s="3"/>
      <c r="PP390" s="3"/>
      <c r="PQ390" s="3"/>
      <c r="PR390" s="3"/>
      <c r="PS390" s="3"/>
      <c r="PT390" s="3"/>
      <c r="PU390" s="3"/>
      <c r="PV390" s="3"/>
      <c r="PW390" s="3"/>
      <c r="PX390" s="3"/>
      <c r="PY390" s="3"/>
      <c r="PZ390" s="3"/>
      <c r="QA390" s="3"/>
      <c r="QB390" s="3"/>
      <c r="QC390" s="3"/>
      <c r="QD390" s="3"/>
      <c r="QE390" s="3"/>
      <c r="QF390" s="3"/>
      <c r="QG390" s="3"/>
      <c r="QH390" s="3"/>
      <c r="QI390" s="3"/>
      <c r="QJ390" s="3"/>
      <c r="QK390" s="3"/>
      <c r="QL390" s="3"/>
      <c r="QM390" s="3"/>
      <c r="QN390" s="3"/>
      <c r="QO390" s="3"/>
      <c r="QP390" s="3"/>
      <c r="QQ390" s="3"/>
      <c r="QR390" s="3"/>
      <c r="QS390" s="3"/>
      <c r="QT390" s="3"/>
      <c r="QU390" s="3"/>
      <c r="QV390" s="3"/>
      <c r="QW390" s="3"/>
      <c r="QX390" s="3"/>
      <c r="QY390" s="3"/>
      <c r="QZ390" s="3"/>
      <c r="RA390" s="3"/>
      <c r="RB390" s="3"/>
      <c r="RC390" s="3"/>
      <c r="RD390" s="3"/>
      <c r="RE390" s="3"/>
      <c r="RF390" s="3"/>
      <c r="RG390" s="3"/>
      <c r="RH390" s="3"/>
      <c r="RI390" s="3"/>
      <c r="RJ390" s="3"/>
      <c r="RK390" s="3"/>
      <c r="RL390" s="3"/>
      <c r="RM390" s="3"/>
      <c r="RN390" s="3"/>
      <c r="RO390" s="3"/>
      <c r="RP390" s="3"/>
      <c r="RQ390" s="3"/>
      <c r="RR390" s="3"/>
      <c r="RS390" s="3"/>
      <c r="RT390" s="3"/>
      <c r="RU390" s="3"/>
      <c r="RV390" s="3"/>
      <c r="RW390" s="3"/>
      <c r="RX390" s="3"/>
      <c r="RY390" s="3"/>
      <c r="RZ390" s="3"/>
      <c r="SA390" s="3"/>
      <c r="SB390" s="3"/>
      <c r="SC390" s="3"/>
      <c r="SD390" s="3"/>
      <c r="SE390" s="3"/>
      <c r="SF390" s="3"/>
      <c r="SG390" s="3"/>
      <c r="SH390" s="3"/>
      <c r="SI390" s="3"/>
      <c r="SJ390" s="3"/>
      <c r="SK390" s="3"/>
      <c r="SL390" s="3"/>
      <c r="SM390" s="3"/>
      <c r="SN390" s="3"/>
      <c r="SO390" s="3"/>
      <c r="SP390" s="3"/>
      <c r="SQ390" s="3"/>
      <c r="SR390" s="3"/>
      <c r="SS390" s="3"/>
      <c r="ST390" s="3"/>
      <c r="SU390" s="3"/>
      <c r="SV390" s="3"/>
      <c r="SW390" s="3"/>
      <c r="SX390" s="3"/>
      <c r="SY390" s="3"/>
      <c r="SZ390" s="3"/>
      <c r="TA390" s="3"/>
      <c r="TB390" s="3"/>
      <c r="TC390" s="3"/>
      <c r="TD390" s="3"/>
      <c r="TE390" s="3"/>
      <c r="TF390" s="3"/>
      <c r="TG390" s="3"/>
      <c r="TH390" s="3"/>
      <c r="TI390" s="3"/>
      <c r="TJ390" s="3"/>
      <c r="TK390" s="3"/>
      <c r="TL390" s="3"/>
      <c r="TM390" s="3"/>
      <c r="TN390" s="3"/>
      <c r="TO390" s="3"/>
      <c r="TP390" s="3"/>
      <c r="TQ390" s="3"/>
      <c r="TR390" s="3"/>
      <c r="TS390" s="3"/>
      <c r="TT390" s="3"/>
      <c r="TU390" s="3"/>
      <c r="TV390" s="3"/>
      <c r="TW390" s="3"/>
      <c r="TX390" s="3"/>
      <c r="TY390" s="3"/>
      <c r="TZ390" s="3"/>
      <c r="UA390" s="3"/>
      <c r="UB390" s="3"/>
      <c r="UC390" s="3"/>
      <c r="UD390" s="3"/>
      <c r="UE390" s="3"/>
      <c r="UF390" s="3"/>
      <c r="UG390" s="3"/>
      <c r="UH390" s="3"/>
      <c r="UI390" s="3"/>
      <c r="UJ390" s="3"/>
      <c r="UK390" s="3"/>
      <c r="UL390" s="3"/>
      <c r="UM390" s="3"/>
      <c r="UN390" s="3"/>
      <c r="UO390" s="3"/>
      <c r="UP390" s="3"/>
      <c r="UQ390" s="3"/>
      <c r="UR390" s="3"/>
      <c r="US390" s="3"/>
      <c r="UT390" s="3"/>
      <c r="UU390" s="3"/>
      <c r="UV390" s="3"/>
      <c r="UW390" s="3"/>
      <c r="UX390" s="3"/>
      <c r="UY390" s="3"/>
      <c r="UZ390" s="3"/>
      <c r="VA390" s="3"/>
      <c r="VB390" s="3"/>
      <c r="VC390" s="3"/>
      <c r="VD390" s="3"/>
      <c r="VE390" s="3"/>
      <c r="VF390" s="3"/>
      <c r="VG390" s="3"/>
      <c r="VH390" s="3"/>
      <c r="VI390" s="3"/>
      <c r="VJ390" s="3"/>
      <c r="VK390" s="3"/>
      <c r="VL390" s="3"/>
      <c r="VM390" s="3"/>
      <c r="VN390" s="3"/>
      <c r="VO390" s="3"/>
      <c r="VP390" s="3"/>
      <c r="VQ390" s="3"/>
      <c r="VR390" s="3"/>
      <c r="VS390" s="3"/>
      <c r="VT390" s="3"/>
      <c r="VU390" s="3"/>
      <c r="VV390" s="3"/>
      <c r="VW390" s="3"/>
      <c r="VX390" s="3"/>
      <c r="VY390" s="3"/>
      <c r="VZ390" s="3"/>
      <c r="WA390" s="3"/>
      <c r="WB390" s="3"/>
      <c r="WC390" s="3"/>
      <c r="WD390" s="3"/>
      <c r="WE390" s="3"/>
      <c r="WF390" s="3"/>
      <c r="WG390" s="3"/>
      <c r="WH390" s="3"/>
      <c r="WI390" s="3"/>
      <c r="WJ390" s="3"/>
      <c r="WK390" s="3"/>
      <c r="WL390" s="3"/>
      <c r="WM390" s="3"/>
      <c r="WN390" s="3"/>
      <c r="WO390" s="3"/>
      <c r="WP390" s="3"/>
      <c r="WQ390" s="3"/>
      <c r="WR390" s="3"/>
      <c r="WS390" s="3"/>
      <c r="WT390" s="3"/>
      <c r="WU390" s="3"/>
      <c r="WV390" s="3"/>
      <c r="WW390" s="3"/>
      <c r="WX390" s="3"/>
      <c r="WY390" s="3"/>
      <c r="WZ390" s="3"/>
      <c r="XA390" s="3"/>
      <c r="XB390" s="3"/>
      <c r="XC390" s="3"/>
      <c r="XD390" s="3"/>
      <c r="XE390" s="3"/>
      <c r="XF390" s="3"/>
      <c r="XG390" s="3"/>
      <c r="XH390" s="3"/>
      <c r="XI390" s="3"/>
      <c r="XJ390" s="3"/>
      <c r="XK390" s="3"/>
      <c r="XL390" s="3"/>
      <c r="XM390" s="3"/>
      <c r="XN390" s="3"/>
      <c r="XO390" s="3"/>
      <c r="XP390" s="3"/>
      <c r="XQ390" s="3"/>
      <c r="XR390" s="3"/>
      <c r="XS390" s="3"/>
      <c r="XT390" s="3"/>
      <c r="XU390" s="3"/>
      <c r="XV390" s="3"/>
      <c r="XW390" s="3"/>
      <c r="XX390" s="3"/>
      <c r="XY390" s="3"/>
      <c r="XZ390" s="3"/>
      <c r="YA390" s="3"/>
      <c r="YB390" s="3"/>
      <c r="YC390" s="3"/>
      <c r="YD390" s="3"/>
      <c r="YE390" s="3"/>
      <c r="YF390" s="3"/>
      <c r="YG390" s="3"/>
      <c r="YH390" s="3"/>
      <c r="YI390" s="3"/>
      <c r="YJ390" s="3"/>
      <c r="YK390" s="3"/>
      <c r="YL390" s="3"/>
      <c r="YM390" s="3"/>
      <c r="YN390" s="3"/>
      <c r="YO390" s="3"/>
      <c r="YP390" s="3"/>
      <c r="YQ390" s="3"/>
      <c r="YR390" s="3"/>
      <c r="YS390" s="3"/>
      <c r="YT390" s="3"/>
      <c r="YU390" s="3"/>
      <c r="YV390" s="3"/>
      <c r="YW390" s="3"/>
      <c r="YX390" s="3"/>
      <c r="YY390" s="3"/>
      <c r="YZ390" s="3"/>
      <c r="ZA390" s="3"/>
      <c r="ZB390" s="3"/>
      <c r="ZC390" s="3"/>
    </row>
    <row r="391" spans="1:679" s="2" customFormat="1" x14ac:dyDescent="0.45">
      <c r="A391" s="3" t="s">
        <v>11</v>
      </c>
      <c r="B391" s="4">
        <v>41010</v>
      </c>
      <c r="C391" s="7" t="s">
        <v>21</v>
      </c>
      <c r="D391" s="6" t="s">
        <v>412</v>
      </c>
      <c r="E391" s="3"/>
      <c r="F391" s="3">
        <v>48</v>
      </c>
      <c r="L391" s="3"/>
      <c r="M391" s="3"/>
      <c r="N391" s="48"/>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c r="CO391" s="3"/>
      <c r="CP391" s="3"/>
      <c r="CQ391" s="3"/>
      <c r="CR391" s="3"/>
      <c r="CS391" s="3"/>
      <c r="CT391" s="3"/>
      <c r="CU391" s="3"/>
      <c r="CV391" s="3"/>
      <c r="CW391" s="3"/>
      <c r="CX391" s="3"/>
      <c r="CY391" s="3"/>
      <c r="CZ391" s="3"/>
      <c r="DA391" s="3"/>
      <c r="DB391" s="3"/>
      <c r="DC391" s="3"/>
      <c r="DD391" s="3"/>
      <c r="DE391" s="3"/>
      <c r="DF391" s="3"/>
      <c r="DG391" s="3"/>
      <c r="DH391" s="3"/>
      <c r="DI391" s="3"/>
      <c r="DJ391" s="3"/>
      <c r="DK391" s="3"/>
      <c r="DL391" s="3"/>
      <c r="DM391" s="3"/>
      <c r="DN391" s="3"/>
      <c r="DO391" s="3"/>
      <c r="DP391" s="3"/>
      <c r="DQ391" s="3"/>
      <c r="DR391" s="3"/>
      <c r="DS391" s="3"/>
      <c r="DT391" s="3"/>
      <c r="DU391" s="3"/>
      <c r="DV391" s="3"/>
      <c r="DW391" s="3"/>
      <c r="DX391" s="3"/>
      <c r="DY391" s="3"/>
      <c r="DZ391" s="3"/>
      <c r="EA391" s="3"/>
      <c r="EB391" s="3"/>
      <c r="EC391" s="3"/>
      <c r="ED391" s="3"/>
      <c r="EE391" s="3"/>
      <c r="EF391" s="3"/>
      <c r="EG391" s="3"/>
      <c r="EH391" s="3"/>
      <c r="EI391" s="3"/>
      <c r="EJ391" s="3"/>
      <c r="EK391" s="3"/>
      <c r="EL391" s="3"/>
      <c r="EM391" s="3"/>
      <c r="EN391" s="3"/>
      <c r="EO391" s="3"/>
      <c r="EP391" s="3"/>
      <c r="EQ391" s="3"/>
      <c r="ER391" s="3"/>
      <c r="ES391" s="3"/>
      <c r="ET391" s="3"/>
      <c r="EU391" s="3"/>
      <c r="EV391" s="3"/>
      <c r="EW391" s="3"/>
      <c r="EX391" s="3"/>
      <c r="EY391" s="3"/>
      <c r="EZ391" s="3"/>
      <c r="FA391" s="3"/>
      <c r="FB391" s="3"/>
      <c r="FC391" s="3"/>
      <c r="FD391" s="3"/>
      <c r="FE391" s="3"/>
      <c r="FF391" s="3"/>
      <c r="FG391" s="3"/>
      <c r="FH391" s="3"/>
      <c r="FI391" s="3"/>
      <c r="FJ391" s="3"/>
      <c r="FK391" s="3"/>
      <c r="FL391" s="3"/>
      <c r="FM391" s="3"/>
      <c r="FN391" s="3"/>
      <c r="FO391" s="3"/>
      <c r="FP391" s="3"/>
      <c r="FQ391" s="3"/>
      <c r="FR391" s="3"/>
      <c r="FS391" s="3"/>
      <c r="FT391" s="3"/>
      <c r="FU391" s="3"/>
      <c r="FV391" s="3"/>
      <c r="FW391" s="3"/>
      <c r="FX391" s="3"/>
      <c r="FY391" s="3"/>
      <c r="FZ391" s="3"/>
      <c r="GA391" s="3"/>
      <c r="GB391" s="3"/>
      <c r="GC391" s="3"/>
      <c r="GD391" s="3"/>
      <c r="GE391" s="3"/>
      <c r="GF391" s="3"/>
      <c r="GG391" s="3"/>
      <c r="GH391" s="3"/>
      <c r="GI391" s="3"/>
      <c r="GJ391" s="3"/>
      <c r="GK391" s="3"/>
      <c r="GL391" s="3"/>
      <c r="GM391" s="3"/>
      <c r="GN391" s="3"/>
      <c r="GO391" s="3"/>
      <c r="GP391" s="3"/>
      <c r="GQ391" s="3"/>
      <c r="GR391" s="3"/>
      <c r="GS391" s="3"/>
      <c r="GT391" s="3"/>
      <c r="GU391" s="3"/>
      <c r="GV391" s="3"/>
      <c r="GW391" s="3"/>
      <c r="GX391" s="3"/>
      <c r="GY391" s="3"/>
      <c r="GZ391" s="3"/>
      <c r="HA391" s="3"/>
      <c r="HB391" s="3"/>
      <c r="HC391" s="3"/>
      <c r="HD391" s="3"/>
      <c r="HE391" s="3"/>
      <c r="HF391" s="3"/>
      <c r="HG391" s="3"/>
      <c r="HH391" s="3"/>
      <c r="HI391" s="3"/>
      <c r="HJ391" s="3"/>
      <c r="HK391" s="3"/>
      <c r="HL391" s="3"/>
      <c r="HM391" s="3"/>
      <c r="HN391" s="3"/>
      <c r="HO391" s="3"/>
      <c r="HP391" s="3"/>
      <c r="HQ391" s="3"/>
      <c r="HR391" s="3"/>
      <c r="HS391" s="3"/>
      <c r="HT391" s="3"/>
      <c r="HU391" s="3"/>
      <c r="HV391" s="3"/>
      <c r="HW391" s="3"/>
      <c r="HX391" s="3"/>
      <c r="HY391" s="3"/>
      <c r="HZ391" s="3"/>
      <c r="IA391" s="3"/>
      <c r="IB391" s="3"/>
      <c r="IC391" s="3"/>
      <c r="ID391" s="3"/>
      <c r="IE391" s="3"/>
      <c r="IF391" s="3"/>
      <c r="IG391" s="3"/>
      <c r="IH391" s="3"/>
      <c r="II391" s="3"/>
      <c r="IJ391" s="3"/>
      <c r="IK391" s="3"/>
      <c r="IL391" s="3"/>
      <c r="IM391" s="3"/>
      <c r="IN391" s="3"/>
      <c r="IO391" s="3"/>
      <c r="IP391" s="3"/>
      <c r="IQ391" s="3"/>
      <c r="IR391" s="3"/>
      <c r="IS391" s="3"/>
      <c r="IT391" s="3"/>
      <c r="IU391" s="3"/>
      <c r="IV391" s="3"/>
      <c r="IW391" s="3"/>
      <c r="IX391" s="3"/>
      <c r="IY391" s="3"/>
      <c r="IZ391" s="3"/>
      <c r="JA391" s="3"/>
      <c r="JB391" s="3"/>
      <c r="JC391" s="3"/>
      <c r="JD391" s="3"/>
      <c r="JE391" s="3"/>
      <c r="JF391" s="3"/>
      <c r="JG391" s="3"/>
      <c r="JH391" s="3"/>
      <c r="JI391" s="3"/>
      <c r="JJ391" s="3"/>
      <c r="JK391" s="3"/>
      <c r="JL391" s="3"/>
      <c r="JM391" s="3"/>
      <c r="JN391" s="3"/>
      <c r="JO391" s="3"/>
      <c r="JP391" s="3"/>
      <c r="JQ391" s="3"/>
      <c r="JR391" s="3"/>
      <c r="JS391" s="3"/>
      <c r="JT391" s="3"/>
      <c r="JU391" s="3"/>
      <c r="JV391" s="3"/>
      <c r="JW391" s="3"/>
      <c r="JX391" s="3"/>
      <c r="JY391" s="3"/>
      <c r="JZ391" s="3"/>
      <c r="KA391" s="3"/>
      <c r="KB391" s="3"/>
      <c r="KC391" s="3"/>
      <c r="KD391" s="3"/>
      <c r="KE391" s="3"/>
      <c r="KF391" s="3"/>
      <c r="KG391" s="3"/>
      <c r="KH391" s="3"/>
      <c r="KI391" s="3"/>
      <c r="KJ391" s="3"/>
      <c r="KK391" s="3"/>
      <c r="KL391" s="3"/>
      <c r="KM391" s="3"/>
      <c r="KN391" s="3"/>
      <c r="KO391" s="3"/>
      <c r="KP391" s="3"/>
      <c r="KQ391" s="3"/>
      <c r="KR391" s="3"/>
      <c r="KS391" s="3"/>
      <c r="KT391" s="3"/>
      <c r="KU391" s="3"/>
      <c r="KV391" s="3"/>
      <c r="KW391" s="3"/>
      <c r="KX391" s="3"/>
      <c r="KY391" s="3"/>
      <c r="KZ391" s="3"/>
      <c r="LA391" s="3"/>
      <c r="LB391" s="3"/>
      <c r="LC391" s="3"/>
      <c r="LD391" s="3"/>
      <c r="LE391" s="3"/>
      <c r="LF391" s="3"/>
      <c r="LG391" s="3"/>
      <c r="LH391" s="3"/>
      <c r="LI391" s="3"/>
      <c r="LJ391" s="3"/>
      <c r="LK391" s="3"/>
      <c r="LL391" s="3"/>
      <c r="LM391" s="3"/>
      <c r="LN391" s="3"/>
      <c r="LO391" s="3"/>
      <c r="LP391" s="3"/>
      <c r="LQ391" s="3"/>
      <c r="LR391" s="3"/>
      <c r="LS391" s="3"/>
      <c r="LT391" s="3"/>
      <c r="LU391" s="3"/>
      <c r="LV391" s="3"/>
      <c r="LW391" s="3"/>
      <c r="LX391" s="3"/>
      <c r="LY391" s="3"/>
      <c r="LZ391" s="3"/>
      <c r="MA391" s="3"/>
      <c r="MB391" s="3"/>
      <c r="MC391" s="3"/>
      <c r="MD391" s="3"/>
      <c r="ME391" s="3"/>
      <c r="MF391" s="3"/>
      <c r="MG391" s="3"/>
      <c r="MH391" s="3"/>
      <c r="MI391" s="3"/>
      <c r="MJ391" s="3"/>
      <c r="MK391" s="3"/>
      <c r="ML391" s="3"/>
      <c r="MM391" s="3"/>
      <c r="MN391" s="3"/>
      <c r="MO391" s="3"/>
      <c r="MP391" s="3"/>
      <c r="MQ391" s="3"/>
      <c r="MR391" s="3"/>
      <c r="MS391" s="3"/>
      <c r="MT391" s="3"/>
      <c r="MU391" s="3"/>
      <c r="MV391" s="3"/>
      <c r="MW391" s="3"/>
      <c r="MX391" s="3"/>
      <c r="MY391" s="3"/>
      <c r="MZ391" s="3"/>
      <c r="NA391" s="3"/>
      <c r="NB391" s="3"/>
      <c r="NC391" s="3"/>
      <c r="ND391" s="3"/>
      <c r="NE391" s="3"/>
      <c r="NF391" s="3"/>
      <c r="NG391" s="3"/>
      <c r="NH391" s="3"/>
      <c r="NI391" s="3"/>
      <c r="NJ391" s="3"/>
      <c r="NK391" s="3"/>
      <c r="NL391" s="3"/>
      <c r="NM391" s="3"/>
      <c r="NN391" s="3"/>
      <c r="NO391" s="3"/>
      <c r="NP391" s="3"/>
      <c r="NQ391" s="3"/>
      <c r="NR391" s="3"/>
      <c r="NS391" s="3"/>
      <c r="NT391" s="3"/>
      <c r="NU391" s="3"/>
      <c r="NV391" s="3"/>
      <c r="NW391" s="3"/>
      <c r="NX391" s="3"/>
      <c r="NY391" s="3"/>
      <c r="NZ391" s="3"/>
      <c r="OA391" s="3"/>
      <c r="OB391" s="3"/>
      <c r="OC391" s="3"/>
      <c r="OD391" s="3"/>
      <c r="OE391" s="3"/>
      <c r="OF391" s="3"/>
      <c r="OG391" s="3"/>
      <c r="OH391" s="3"/>
      <c r="OI391" s="3"/>
      <c r="OJ391" s="3"/>
      <c r="OK391" s="3"/>
      <c r="OL391" s="3"/>
      <c r="OM391" s="3"/>
      <c r="ON391" s="3"/>
      <c r="OO391" s="3"/>
      <c r="OP391" s="3"/>
      <c r="OQ391" s="3"/>
      <c r="OR391" s="3"/>
      <c r="OS391" s="3"/>
      <c r="OT391" s="3"/>
      <c r="OU391" s="3"/>
      <c r="OV391" s="3"/>
      <c r="OW391" s="3"/>
      <c r="OX391" s="3"/>
      <c r="OY391" s="3"/>
      <c r="OZ391" s="3"/>
      <c r="PA391" s="3"/>
      <c r="PB391" s="3"/>
      <c r="PC391" s="3"/>
      <c r="PD391" s="3"/>
      <c r="PE391" s="3"/>
      <c r="PF391" s="3"/>
      <c r="PG391" s="3"/>
      <c r="PH391" s="3"/>
      <c r="PI391" s="3"/>
      <c r="PJ391" s="3"/>
      <c r="PK391" s="3"/>
      <c r="PL391" s="3"/>
      <c r="PM391" s="3"/>
      <c r="PN391" s="3"/>
      <c r="PO391" s="3"/>
      <c r="PP391" s="3"/>
      <c r="PQ391" s="3"/>
      <c r="PR391" s="3"/>
      <c r="PS391" s="3"/>
      <c r="PT391" s="3"/>
      <c r="PU391" s="3"/>
      <c r="PV391" s="3"/>
      <c r="PW391" s="3"/>
      <c r="PX391" s="3"/>
      <c r="PY391" s="3"/>
      <c r="PZ391" s="3"/>
      <c r="QA391" s="3"/>
      <c r="QB391" s="3"/>
      <c r="QC391" s="3"/>
      <c r="QD391" s="3"/>
      <c r="QE391" s="3"/>
      <c r="QF391" s="3"/>
      <c r="QG391" s="3"/>
      <c r="QH391" s="3"/>
      <c r="QI391" s="3"/>
      <c r="QJ391" s="3"/>
      <c r="QK391" s="3"/>
      <c r="QL391" s="3"/>
      <c r="QM391" s="3"/>
      <c r="QN391" s="3"/>
      <c r="QO391" s="3"/>
      <c r="QP391" s="3"/>
      <c r="QQ391" s="3"/>
      <c r="QR391" s="3"/>
      <c r="QS391" s="3"/>
      <c r="QT391" s="3"/>
      <c r="QU391" s="3"/>
      <c r="QV391" s="3"/>
      <c r="QW391" s="3"/>
      <c r="QX391" s="3"/>
      <c r="QY391" s="3"/>
      <c r="QZ391" s="3"/>
      <c r="RA391" s="3"/>
      <c r="RB391" s="3"/>
      <c r="RC391" s="3"/>
      <c r="RD391" s="3"/>
      <c r="RE391" s="3"/>
      <c r="RF391" s="3"/>
      <c r="RG391" s="3"/>
      <c r="RH391" s="3"/>
      <c r="RI391" s="3"/>
      <c r="RJ391" s="3"/>
      <c r="RK391" s="3"/>
      <c r="RL391" s="3"/>
      <c r="RM391" s="3"/>
      <c r="RN391" s="3"/>
      <c r="RO391" s="3"/>
      <c r="RP391" s="3"/>
      <c r="RQ391" s="3"/>
      <c r="RR391" s="3"/>
      <c r="RS391" s="3"/>
      <c r="RT391" s="3"/>
      <c r="RU391" s="3"/>
      <c r="RV391" s="3"/>
      <c r="RW391" s="3"/>
      <c r="RX391" s="3"/>
      <c r="RY391" s="3"/>
      <c r="RZ391" s="3"/>
      <c r="SA391" s="3"/>
      <c r="SB391" s="3"/>
      <c r="SC391" s="3"/>
      <c r="SD391" s="3"/>
      <c r="SE391" s="3"/>
      <c r="SF391" s="3"/>
      <c r="SG391" s="3"/>
      <c r="SH391" s="3"/>
      <c r="SI391" s="3"/>
      <c r="SJ391" s="3"/>
      <c r="SK391" s="3"/>
      <c r="SL391" s="3"/>
      <c r="SM391" s="3"/>
      <c r="SN391" s="3"/>
      <c r="SO391" s="3"/>
      <c r="SP391" s="3"/>
      <c r="SQ391" s="3"/>
      <c r="SR391" s="3"/>
      <c r="SS391" s="3"/>
      <c r="ST391" s="3"/>
      <c r="SU391" s="3"/>
      <c r="SV391" s="3"/>
      <c r="SW391" s="3"/>
      <c r="SX391" s="3"/>
      <c r="SY391" s="3"/>
      <c r="SZ391" s="3"/>
      <c r="TA391" s="3"/>
      <c r="TB391" s="3"/>
      <c r="TC391" s="3"/>
      <c r="TD391" s="3"/>
      <c r="TE391" s="3"/>
      <c r="TF391" s="3"/>
      <c r="TG391" s="3"/>
      <c r="TH391" s="3"/>
      <c r="TI391" s="3"/>
      <c r="TJ391" s="3"/>
      <c r="TK391" s="3"/>
      <c r="TL391" s="3"/>
      <c r="TM391" s="3"/>
      <c r="TN391" s="3"/>
      <c r="TO391" s="3"/>
      <c r="TP391" s="3"/>
      <c r="TQ391" s="3"/>
      <c r="TR391" s="3"/>
      <c r="TS391" s="3"/>
      <c r="TT391" s="3"/>
      <c r="TU391" s="3"/>
      <c r="TV391" s="3"/>
      <c r="TW391" s="3"/>
      <c r="TX391" s="3"/>
      <c r="TY391" s="3"/>
      <c r="TZ391" s="3"/>
      <c r="UA391" s="3"/>
      <c r="UB391" s="3"/>
      <c r="UC391" s="3"/>
      <c r="UD391" s="3"/>
      <c r="UE391" s="3"/>
      <c r="UF391" s="3"/>
      <c r="UG391" s="3"/>
      <c r="UH391" s="3"/>
      <c r="UI391" s="3"/>
      <c r="UJ391" s="3"/>
      <c r="UK391" s="3"/>
      <c r="UL391" s="3"/>
      <c r="UM391" s="3"/>
      <c r="UN391" s="3"/>
      <c r="UO391" s="3"/>
      <c r="UP391" s="3"/>
      <c r="UQ391" s="3"/>
      <c r="UR391" s="3"/>
      <c r="US391" s="3"/>
      <c r="UT391" s="3"/>
      <c r="UU391" s="3"/>
      <c r="UV391" s="3"/>
      <c r="UW391" s="3"/>
      <c r="UX391" s="3"/>
      <c r="UY391" s="3"/>
      <c r="UZ391" s="3"/>
      <c r="VA391" s="3"/>
      <c r="VB391" s="3"/>
      <c r="VC391" s="3"/>
      <c r="VD391" s="3"/>
      <c r="VE391" s="3"/>
      <c r="VF391" s="3"/>
      <c r="VG391" s="3"/>
      <c r="VH391" s="3"/>
      <c r="VI391" s="3"/>
      <c r="VJ391" s="3"/>
      <c r="VK391" s="3"/>
      <c r="VL391" s="3"/>
      <c r="VM391" s="3"/>
      <c r="VN391" s="3"/>
      <c r="VO391" s="3"/>
      <c r="VP391" s="3"/>
      <c r="VQ391" s="3"/>
      <c r="VR391" s="3"/>
      <c r="VS391" s="3"/>
      <c r="VT391" s="3"/>
      <c r="VU391" s="3"/>
      <c r="VV391" s="3"/>
      <c r="VW391" s="3"/>
      <c r="VX391" s="3"/>
      <c r="VY391" s="3"/>
      <c r="VZ391" s="3"/>
      <c r="WA391" s="3"/>
      <c r="WB391" s="3"/>
      <c r="WC391" s="3"/>
      <c r="WD391" s="3"/>
      <c r="WE391" s="3"/>
      <c r="WF391" s="3"/>
      <c r="WG391" s="3"/>
      <c r="WH391" s="3"/>
      <c r="WI391" s="3"/>
      <c r="WJ391" s="3"/>
      <c r="WK391" s="3"/>
      <c r="WL391" s="3"/>
      <c r="WM391" s="3"/>
      <c r="WN391" s="3"/>
      <c r="WO391" s="3"/>
      <c r="WP391" s="3"/>
      <c r="WQ391" s="3"/>
      <c r="WR391" s="3"/>
      <c r="WS391" s="3"/>
      <c r="WT391" s="3"/>
      <c r="WU391" s="3"/>
      <c r="WV391" s="3"/>
      <c r="WW391" s="3"/>
      <c r="WX391" s="3"/>
      <c r="WY391" s="3"/>
      <c r="WZ391" s="3"/>
      <c r="XA391" s="3"/>
      <c r="XB391" s="3"/>
      <c r="XC391" s="3"/>
      <c r="XD391" s="3"/>
      <c r="XE391" s="3"/>
      <c r="XF391" s="3"/>
      <c r="XG391" s="3"/>
      <c r="XH391" s="3"/>
      <c r="XI391" s="3"/>
      <c r="XJ391" s="3"/>
      <c r="XK391" s="3"/>
      <c r="XL391" s="3"/>
      <c r="XM391" s="3"/>
      <c r="XN391" s="3"/>
      <c r="XO391" s="3"/>
      <c r="XP391" s="3"/>
      <c r="XQ391" s="3"/>
      <c r="XR391" s="3"/>
      <c r="XS391" s="3"/>
      <c r="XT391" s="3"/>
      <c r="XU391" s="3"/>
      <c r="XV391" s="3"/>
      <c r="XW391" s="3"/>
      <c r="XX391" s="3"/>
      <c r="XY391" s="3"/>
      <c r="XZ391" s="3"/>
      <c r="YA391" s="3"/>
      <c r="YB391" s="3"/>
      <c r="YC391" s="3"/>
      <c r="YD391" s="3"/>
      <c r="YE391" s="3"/>
      <c r="YF391" s="3"/>
      <c r="YG391" s="3"/>
      <c r="YH391" s="3"/>
      <c r="YI391" s="3"/>
      <c r="YJ391" s="3"/>
      <c r="YK391" s="3"/>
      <c r="YL391" s="3"/>
      <c r="YM391" s="3"/>
      <c r="YN391" s="3"/>
      <c r="YO391" s="3"/>
      <c r="YP391" s="3"/>
      <c r="YQ391" s="3"/>
      <c r="YR391" s="3"/>
      <c r="YS391" s="3"/>
      <c r="YT391" s="3"/>
      <c r="YU391" s="3"/>
      <c r="YV391" s="3"/>
      <c r="YW391" s="3"/>
      <c r="YX391" s="3"/>
      <c r="YY391" s="3"/>
      <c r="YZ391" s="3"/>
      <c r="ZA391" s="3"/>
      <c r="ZB391" s="3"/>
      <c r="ZC391" s="3"/>
    </row>
    <row r="392" spans="1:679" s="2" customFormat="1" x14ac:dyDescent="0.45">
      <c r="A392" s="3" t="s">
        <v>11</v>
      </c>
      <c r="B392" s="4">
        <v>41010</v>
      </c>
      <c r="C392" s="7" t="s">
        <v>21</v>
      </c>
      <c r="D392" s="6" t="s">
        <v>413</v>
      </c>
      <c r="E392" s="3"/>
      <c r="F392" s="3">
        <v>57</v>
      </c>
      <c r="L392" s="3"/>
      <c r="M392" s="3"/>
      <c r="N392" s="48"/>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c r="CO392" s="3"/>
      <c r="CP392" s="3"/>
      <c r="CQ392" s="3"/>
      <c r="CR392" s="3"/>
      <c r="CS392" s="3"/>
      <c r="CT392" s="3"/>
      <c r="CU392" s="3"/>
      <c r="CV392" s="3"/>
      <c r="CW392" s="3"/>
      <c r="CX392" s="3"/>
      <c r="CY392" s="3"/>
      <c r="CZ392" s="3"/>
      <c r="DA392" s="3"/>
      <c r="DB392" s="3"/>
      <c r="DC392" s="3"/>
      <c r="DD392" s="3"/>
      <c r="DE392" s="3"/>
      <c r="DF392" s="3"/>
      <c r="DG392" s="3"/>
      <c r="DH392" s="3"/>
      <c r="DI392" s="3"/>
      <c r="DJ392" s="3"/>
      <c r="DK392" s="3"/>
      <c r="DL392" s="3"/>
      <c r="DM392" s="3"/>
      <c r="DN392" s="3"/>
      <c r="DO392" s="3"/>
      <c r="DP392" s="3"/>
      <c r="DQ392" s="3"/>
      <c r="DR392" s="3"/>
      <c r="DS392" s="3"/>
      <c r="DT392" s="3"/>
      <c r="DU392" s="3"/>
      <c r="DV392" s="3"/>
      <c r="DW392" s="3"/>
      <c r="DX392" s="3"/>
      <c r="DY392" s="3"/>
      <c r="DZ392" s="3"/>
      <c r="EA392" s="3"/>
      <c r="EB392" s="3"/>
      <c r="EC392" s="3"/>
      <c r="ED392" s="3"/>
      <c r="EE392" s="3"/>
      <c r="EF392" s="3"/>
      <c r="EG392" s="3"/>
      <c r="EH392" s="3"/>
      <c r="EI392" s="3"/>
      <c r="EJ392" s="3"/>
      <c r="EK392" s="3"/>
      <c r="EL392" s="3"/>
      <c r="EM392" s="3"/>
      <c r="EN392" s="3"/>
      <c r="EO392" s="3"/>
      <c r="EP392" s="3"/>
      <c r="EQ392" s="3"/>
      <c r="ER392" s="3"/>
      <c r="ES392" s="3"/>
      <c r="ET392" s="3"/>
      <c r="EU392" s="3"/>
      <c r="EV392" s="3"/>
      <c r="EW392" s="3"/>
      <c r="EX392" s="3"/>
      <c r="EY392" s="3"/>
      <c r="EZ392" s="3"/>
      <c r="FA392" s="3"/>
      <c r="FB392" s="3"/>
      <c r="FC392" s="3"/>
      <c r="FD392" s="3"/>
      <c r="FE392" s="3"/>
      <c r="FF392" s="3"/>
      <c r="FG392" s="3"/>
      <c r="FH392" s="3"/>
      <c r="FI392" s="3"/>
      <c r="FJ392" s="3"/>
      <c r="FK392" s="3"/>
      <c r="FL392" s="3"/>
      <c r="FM392" s="3"/>
      <c r="FN392" s="3"/>
      <c r="FO392" s="3"/>
      <c r="FP392" s="3"/>
      <c r="FQ392" s="3"/>
      <c r="FR392" s="3"/>
      <c r="FS392" s="3"/>
      <c r="FT392" s="3"/>
      <c r="FU392" s="3"/>
      <c r="FV392" s="3"/>
      <c r="FW392" s="3"/>
      <c r="FX392" s="3"/>
      <c r="FY392" s="3"/>
      <c r="FZ392" s="3"/>
      <c r="GA392" s="3"/>
      <c r="GB392" s="3"/>
      <c r="GC392" s="3"/>
      <c r="GD392" s="3"/>
      <c r="GE392" s="3"/>
      <c r="GF392" s="3"/>
      <c r="GG392" s="3"/>
      <c r="GH392" s="3"/>
      <c r="GI392" s="3"/>
      <c r="GJ392" s="3"/>
      <c r="GK392" s="3"/>
      <c r="GL392" s="3"/>
      <c r="GM392" s="3"/>
      <c r="GN392" s="3"/>
      <c r="GO392" s="3"/>
      <c r="GP392" s="3"/>
      <c r="GQ392" s="3"/>
      <c r="GR392" s="3"/>
      <c r="GS392" s="3"/>
      <c r="GT392" s="3"/>
      <c r="GU392" s="3"/>
      <c r="GV392" s="3"/>
      <c r="GW392" s="3"/>
      <c r="GX392" s="3"/>
      <c r="GY392" s="3"/>
      <c r="GZ392" s="3"/>
      <c r="HA392" s="3"/>
      <c r="HB392" s="3"/>
      <c r="HC392" s="3"/>
      <c r="HD392" s="3"/>
      <c r="HE392" s="3"/>
      <c r="HF392" s="3"/>
      <c r="HG392" s="3"/>
      <c r="HH392" s="3"/>
      <c r="HI392" s="3"/>
      <c r="HJ392" s="3"/>
      <c r="HK392" s="3"/>
      <c r="HL392" s="3"/>
      <c r="HM392" s="3"/>
      <c r="HN392" s="3"/>
      <c r="HO392" s="3"/>
      <c r="HP392" s="3"/>
      <c r="HQ392" s="3"/>
      <c r="HR392" s="3"/>
      <c r="HS392" s="3"/>
      <c r="HT392" s="3"/>
      <c r="HU392" s="3"/>
      <c r="HV392" s="3"/>
      <c r="HW392" s="3"/>
      <c r="HX392" s="3"/>
      <c r="HY392" s="3"/>
      <c r="HZ392" s="3"/>
      <c r="IA392" s="3"/>
      <c r="IB392" s="3"/>
      <c r="IC392" s="3"/>
      <c r="ID392" s="3"/>
      <c r="IE392" s="3"/>
      <c r="IF392" s="3"/>
      <c r="IG392" s="3"/>
      <c r="IH392" s="3"/>
      <c r="II392" s="3"/>
      <c r="IJ392" s="3"/>
      <c r="IK392" s="3"/>
      <c r="IL392" s="3"/>
      <c r="IM392" s="3"/>
      <c r="IN392" s="3"/>
      <c r="IO392" s="3"/>
      <c r="IP392" s="3"/>
      <c r="IQ392" s="3"/>
      <c r="IR392" s="3"/>
      <c r="IS392" s="3"/>
      <c r="IT392" s="3"/>
      <c r="IU392" s="3"/>
      <c r="IV392" s="3"/>
      <c r="IW392" s="3"/>
      <c r="IX392" s="3"/>
      <c r="IY392" s="3"/>
      <c r="IZ392" s="3"/>
      <c r="JA392" s="3"/>
      <c r="JB392" s="3"/>
      <c r="JC392" s="3"/>
      <c r="JD392" s="3"/>
      <c r="JE392" s="3"/>
      <c r="JF392" s="3"/>
      <c r="JG392" s="3"/>
      <c r="JH392" s="3"/>
      <c r="JI392" s="3"/>
      <c r="JJ392" s="3"/>
      <c r="JK392" s="3"/>
      <c r="JL392" s="3"/>
      <c r="JM392" s="3"/>
      <c r="JN392" s="3"/>
      <c r="JO392" s="3"/>
      <c r="JP392" s="3"/>
      <c r="JQ392" s="3"/>
      <c r="JR392" s="3"/>
      <c r="JS392" s="3"/>
      <c r="JT392" s="3"/>
      <c r="JU392" s="3"/>
      <c r="JV392" s="3"/>
      <c r="JW392" s="3"/>
      <c r="JX392" s="3"/>
      <c r="JY392" s="3"/>
      <c r="JZ392" s="3"/>
      <c r="KA392" s="3"/>
      <c r="KB392" s="3"/>
      <c r="KC392" s="3"/>
      <c r="KD392" s="3"/>
      <c r="KE392" s="3"/>
      <c r="KF392" s="3"/>
      <c r="KG392" s="3"/>
      <c r="KH392" s="3"/>
      <c r="KI392" s="3"/>
      <c r="KJ392" s="3"/>
      <c r="KK392" s="3"/>
      <c r="KL392" s="3"/>
      <c r="KM392" s="3"/>
      <c r="KN392" s="3"/>
      <c r="KO392" s="3"/>
      <c r="KP392" s="3"/>
      <c r="KQ392" s="3"/>
      <c r="KR392" s="3"/>
      <c r="KS392" s="3"/>
      <c r="KT392" s="3"/>
      <c r="KU392" s="3"/>
      <c r="KV392" s="3"/>
      <c r="KW392" s="3"/>
      <c r="KX392" s="3"/>
      <c r="KY392" s="3"/>
      <c r="KZ392" s="3"/>
      <c r="LA392" s="3"/>
      <c r="LB392" s="3"/>
      <c r="LC392" s="3"/>
      <c r="LD392" s="3"/>
      <c r="LE392" s="3"/>
      <c r="LF392" s="3"/>
      <c r="LG392" s="3"/>
      <c r="LH392" s="3"/>
      <c r="LI392" s="3"/>
      <c r="LJ392" s="3"/>
      <c r="LK392" s="3"/>
      <c r="LL392" s="3"/>
      <c r="LM392" s="3"/>
      <c r="LN392" s="3"/>
      <c r="LO392" s="3"/>
      <c r="LP392" s="3"/>
      <c r="LQ392" s="3"/>
      <c r="LR392" s="3"/>
      <c r="LS392" s="3"/>
      <c r="LT392" s="3"/>
      <c r="LU392" s="3"/>
      <c r="LV392" s="3"/>
      <c r="LW392" s="3"/>
      <c r="LX392" s="3"/>
      <c r="LY392" s="3"/>
      <c r="LZ392" s="3"/>
      <c r="MA392" s="3"/>
      <c r="MB392" s="3"/>
      <c r="MC392" s="3"/>
      <c r="MD392" s="3"/>
      <c r="ME392" s="3"/>
      <c r="MF392" s="3"/>
      <c r="MG392" s="3"/>
      <c r="MH392" s="3"/>
      <c r="MI392" s="3"/>
      <c r="MJ392" s="3"/>
      <c r="MK392" s="3"/>
      <c r="ML392" s="3"/>
      <c r="MM392" s="3"/>
      <c r="MN392" s="3"/>
      <c r="MO392" s="3"/>
      <c r="MP392" s="3"/>
      <c r="MQ392" s="3"/>
      <c r="MR392" s="3"/>
      <c r="MS392" s="3"/>
      <c r="MT392" s="3"/>
      <c r="MU392" s="3"/>
      <c r="MV392" s="3"/>
      <c r="MW392" s="3"/>
      <c r="MX392" s="3"/>
      <c r="MY392" s="3"/>
      <c r="MZ392" s="3"/>
      <c r="NA392" s="3"/>
      <c r="NB392" s="3"/>
      <c r="NC392" s="3"/>
      <c r="ND392" s="3"/>
      <c r="NE392" s="3"/>
      <c r="NF392" s="3"/>
      <c r="NG392" s="3"/>
      <c r="NH392" s="3"/>
      <c r="NI392" s="3"/>
      <c r="NJ392" s="3"/>
      <c r="NK392" s="3"/>
      <c r="NL392" s="3"/>
      <c r="NM392" s="3"/>
      <c r="NN392" s="3"/>
      <c r="NO392" s="3"/>
      <c r="NP392" s="3"/>
      <c r="NQ392" s="3"/>
      <c r="NR392" s="3"/>
      <c r="NS392" s="3"/>
      <c r="NT392" s="3"/>
      <c r="NU392" s="3"/>
      <c r="NV392" s="3"/>
      <c r="NW392" s="3"/>
      <c r="NX392" s="3"/>
      <c r="NY392" s="3"/>
      <c r="NZ392" s="3"/>
      <c r="OA392" s="3"/>
      <c r="OB392" s="3"/>
      <c r="OC392" s="3"/>
      <c r="OD392" s="3"/>
      <c r="OE392" s="3"/>
      <c r="OF392" s="3"/>
      <c r="OG392" s="3"/>
      <c r="OH392" s="3"/>
      <c r="OI392" s="3"/>
      <c r="OJ392" s="3"/>
      <c r="OK392" s="3"/>
      <c r="OL392" s="3"/>
      <c r="OM392" s="3"/>
      <c r="ON392" s="3"/>
      <c r="OO392" s="3"/>
      <c r="OP392" s="3"/>
      <c r="OQ392" s="3"/>
      <c r="OR392" s="3"/>
      <c r="OS392" s="3"/>
      <c r="OT392" s="3"/>
      <c r="OU392" s="3"/>
      <c r="OV392" s="3"/>
      <c r="OW392" s="3"/>
      <c r="OX392" s="3"/>
      <c r="OY392" s="3"/>
      <c r="OZ392" s="3"/>
      <c r="PA392" s="3"/>
      <c r="PB392" s="3"/>
      <c r="PC392" s="3"/>
      <c r="PD392" s="3"/>
      <c r="PE392" s="3"/>
      <c r="PF392" s="3"/>
      <c r="PG392" s="3"/>
      <c r="PH392" s="3"/>
      <c r="PI392" s="3"/>
      <c r="PJ392" s="3"/>
      <c r="PK392" s="3"/>
      <c r="PL392" s="3"/>
      <c r="PM392" s="3"/>
      <c r="PN392" s="3"/>
      <c r="PO392" s="3"/>
      <c r="PP392" s="3"/>
      <c r="PQ392" s="3"/>
      <c r="PR392" s="3"/>
      <c r="PS392" s="3"/>
      <c r="PT392" s="3"/>
      <c r="PU392" s="3"/>
      <c r="PV392" s="3"/>
      <c r="PW392" s="3"/>
      <c r="PX392" s="3"/>
      <c r="PY392" s="3"/>
      <c r="PZ392" s="3"/>
      <c r="QA392" s="3"/>
      <c r="QB392" s="3"/>
      <c r="QC392" s="3"/>
      <c r="QD392" s="3"/>
      <c r="QE392" s="3"/>
      <c r="QF392" s="3"/>
      <c r="QG392" s="3"/>
      <c r="QH392" s="3"/>
      <c r="QI392" s="3"/>
      <c r="QJ392" s="3"/>
      <c r="QK392" s="3"/>
      <c r="QL392" s="3"/>
      <c r="QM392" s="3"/>
      <c r="QN392" s="3"/>
      <c r="QO392" s="3"/>
      <c r="QP392" s="3"/>
      <c r="QQ392" s="3"/>
      <c r="QR392" s="3"/>
      <c r="QS392" s="3"/>
      <c r="QT392" s="3"/>
      <c r="QU392" s="3"/>
      <c r="QV392" s="3"/>
      <c r="QW392" s="3"/>
      <c r="QX392" s="3"/>
      <c r="QY392" s="3"/>
      <c r="QZ392" s="3"/>
      <c r="RA392" s="3"/>
      <c r="RB392" s="3"/>
      <c r="RC392" s="3"/>
      <c r="RD392" s="3"/>
      <c r="RE392" s="3"/>
      <c r="RF392" s="3"/>
      <c r="RG392" s="3"/>
      <c r="RH392" s="3"/>
      <c r="RI392" s="3"/>
      <c r="RJ392" s="3"/>
      <c r="RK392" s="3"/>
      <c r="RL392" s="3"/>
      <c r="RM392" s="3"/>
      <c r="RN392" s="3"/>
      <c r="RO392" s="3"/>
      <c r="RP392" s="3"/>
      <c r="RQ392" s="3"/>
      <c r="RR392" s="3"/>
      <c r="RS392" s="3"/>
      <c r="RT392" s="3"/>
      <c r="RU392" s="3"/>
      <c r="RV392" s="3"/>
      <c r="RW392" s="3"/>
      <c r="RX392" s="3"/>
      <c r="RY392" s="3"/>
      <c r="RZ392" s="3"/>
      <c r="SA392" s="3"/>
      <c r="SB392" s="3"/>
      <c r="SC392" s="3"/>
      <c r="SD392" s="3"/>
      <c r="SE392" s="3"/>
      <c r="SF392" s="3"/>
      <c r="SG392" s="3"/>
      <c r="SH392" s="3"/>
      <c r="SI392" s="3"/>
      <c r="SJ392" s="3"/>
      <c r="SK392" s="3"/>
      <c r="SL392" s="3"/>
      <c r="SM392" s="3"/>
      <c r="SN392" s="3"/>
      <c r="SO392" s="3"/>
      <c r="SP392" s="3"/>
      <c r="SQ392" s="3"/>
      <c r="SR392" s="3"/>
      <c r="SS392" s="3"/>
      <c r="ST392" s="3"/>
      <c r="SU392" s="3"/>
      <c r="SV392" s="3"/>
      <c r="SW392" s="3"/>
      <c r="SX392" s="3"/>
      <c r="SY392" s="3"/>
      <c r="SZ392" s="3"/>
      <c r="TA392" s="3"/>
      <c r="TB392" s="3"/>
      <c r="TC392" s="3"/>
      <c r="TD392" s="3"/>
      <c r="TE392" s="3"/>
      <c r="TF392" s="3"/>
      <c r="TG392" s="3"/>
      <c r="TH392" s="3"/>
      <c r="TI392" s="3"/>
      <c r="TJ392" s="3"/>
      <c r="TK392" s="3"/>
      <c r="TL392" s="3"/>
      <c r="TM392" s="3"/>
      <c r="TN392" s="3"/>
      <c r="TO392" s="3"/>
      <c r="TP392" s="3"/>
      <c r="TQ392" s="3"/>
      <c r="TR392" s="3"/>
      <c r="TS392" s="3"/>
      <c r="TT392" s="3"/>
      <c r="TU392" s="3"/>
      <c r="TV392" s="3"/>
      <c r="TW392" s="3"/>
      <c r="TX392" s="3"/>
      <c r="TY392" s="3"/>
      <c r="TZ392" s="3"/>
      <c r="UA392" s="3"/>
      <c r="UB392" s="3"/>
      <c r="UC392" s="3"/>
      <c r="UD392" s="3"/>
      <c r="UE392" s="3"/>
      <c r="UF392" s="3"/>
      <c r="UG392" s="3"/>
      <c r="UH392" s="3"/>
      <c r="UI392" s="3"/>
      <c r="UJ392" s="3"/>
      <c r="UK392" s="3"/>
      <c r="UL392" s="3"/>
      <c r="UM392" s="3"/>
      <c r="UN392" s="3"/>
      <c r="UO392" s="3"/>
      <c r="UP392" s="3"/>
      <c r="UQ392" s="3"/>
      <c r="UR392" s="3"/>
      <c r="US392" s="3"/>
      <c r="UT392" s="3"/>
      <c r="UU392" s="3"/>
      <c r="UV392" s="3"/>
      <c r="UW392" s="3"/>
      <c r="UX392" s="3"/>
      <c r="UY392" s="3"/>
      <c r="UZ392" s="3"/>
      <c r="VA392" s="3"/>
      <c r="VB392" s="3"/>
      <c r="VC392" s="3"/>
      <c r="VD392" s="3"/>
      <c r="VE392" s="3"/>
      <c r="VF392" s="3"/>
      <c r="VG392" s="3"/>
      <c r="VH392" s="3"/>
      <c r="VI392" s="3"/>
      <c r="VJ392" s="3"/>
      <c r="VK392" s="3"/>
      <c r="VL392" s="3"/>
      <c r="VM392" s="3"/>
      <c r="VN392" s="3"/>
      <c r="VO392" s="3"/>
      <c r="VP392" s="3"/>
      <c r="VQ392" s="3"/>
      <c r="VR392" s="3"/>
      <c r="VS392" s="3"/>
      <c r="VT392" s="3"/>
      <c r="VU392" s="3"/>
      <c r="VV392" s="3"/>
      <c r="VW392" s="3"/>
      <c r="VX392" s="3"/>
      <c r="VY392" s="3"/>
      <c r="VZ392" s="3"/>
      <c r="WA392" s="3"/>
      <c r="WB392" s="3"/>
      <c r="WC392" s="3"/>
      <c r="WD392" s="3"/>
      <c r="WE392" s="3"/>
      <c r="WF392" s="3"/>
      <c r="WG392" s="3"/>
      <c r="WH392" s="3"/>
      <c r="WI392" s="3"/>
      <c r="WJ392" s="3"/>
      <c r="WK392" s="3"/>
      <c r="WL392" s="3"/>
      <c r="WM392" s="3"/>
      <c r="WN392" s="3"/>
      <c r="WO392" s="3"/>
      <c r="WP392" s="3"/>
      <c r="WQ392" s="3"/>
      <c r="WR392" s="3"/>
      <c r="WS392" s="3"/>
      <c r="WT392" s="3"/>
      <c r="WU392" s="3"/>
      <c r="WV392" s="3"/>
      <c r="WW392" s="3"/>
      <c r="WX392" s="3"/>
      <c r="WY392" s="3"/>
      <c r="WZ392" s="3"/>
      <c r="XA392" s="3"/>
      <c r="XB392" s="3"/>
      <c r="XC392" s="3"/>
      <c r="XD392" s="3"/>
      <c r="XE392" s="3"/>
      <c r="XF392" s="3"/>
      <c r="XG392" s="3"/>
      <c r="XH392" s="3"/>
      <c r="XI392" s="3"/>
      <c r="XJ392" s="3"/>
      <c r="XK392" s="3"/>
      <c r="XL392" s="3"/>
      <c r="XM392" s="3"/>
      <c r="XN392" s="3"/>
      <c r="XO392" s="3"/>
      <c r="XP392" s="3"/>
      <c r="XQ392" s="3"/>
      <c r="XR392" s="3"/>
      <c r="XS392" s="3"/>
      <c r="XT392" s="3"/>
      <c r="XU392" s="3"/>
      <c r="XV392" s="3"/>
      <c r="XW392" s="3"/>
      <c r="XX392" s="3"/>
      <c r="XY392" s="3"/>
      <c r="XZ392" s="3"/>
      <c r="YA392" s="3"/>
      <c r="YB392" s="3"/>
      <c r="YC392" s="3"/>
      <c r="YD392" s="3"/>
      <c r="YE392" s="3"/>
      <c r="YF392" s="3"/>
      <c r="YG392" s="3"/>
      <c r="YH392" s="3"/>
      <c r="YI392" s="3"/>
      <c r="YJ392" s="3"/>
      <c r="YK392" s="3"/>
      <c r="YL392" s="3"/>
      <c r="YM392" s="3"/>
      <c r="YN392" s="3"/>
      <c r="YO392" s="3"/>
      <c r="YP392" s="3"/>
      <c r="YQ392" s="3"/>
      <c r="YR392" s="3"/>
      <c r="YS392" s="3"/>
      <c r="YT392" s="3"/>
      <c r="YU392" s="3"/>
      <c r="YV392" s="3"/>
      <c r="YW392" s="3"/>
      <c r="YX392" s="3"/>
      <c r="YY392" s="3"/>
      <c r="YZ392" s="3"/>
      <c r="ZA392" s="3"/>
      <c r="ZB392" s="3"/>
      <c r="ZC392" s="3"/>
    </row>
    <row r="393" spans="1:679" s="2" customFormat="1" x14ac:dyDescent="0.45">
      <c r="A393" s="3" t="s">
        <v>11</v>
      </c>
      <c r="B393" s="4">
        <v>41016</v>
      </c>
      <c r="C393" s="7" t="s">
        <v>25</v>
      </c>
      <c r="D393" s="6" t="s">
        <v>414</v>
      </c>
      <c r="E393" s="3"/>
      <c r="F393" s="3">
        <v>21</v>
      </c>
      <c r="L393" s="3"/>
      <c r="M393" s="3"/>
      <c r="N393" s="48"/>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c r="CO393" s="3"/>
      <c r="CP393" s="3"/>
      <c r="CQ393" s="3"/>
      <c r="CR393" s="3"/>
      <c r="CS393" s="3"/>
      <c r="CT393" s="3"/>
      <c r="CU393" s="3"/>
      <c r="CV393" s="3"/>
      <c r="CW393" s="3"/>
      <c r="CX393" s="3"/>
      <c r="CY393" s="3"/>
      <c r="CZ393" s="3"/>
      <c r="DA393" s="3"/>
      <c r="DB393" s="3"/>
      <c r="DC393" s="3"/>
      <c r="DD393" s="3"/>
      <c r="DE393" s="3"/>
      <c r="DF393" s="3"/>
      <c r="DG393" s="3"/>
      <c r="DH393" s="3"/>
      <c r="DI393" s="3"/>
      <c r="DJ393" s="3"/>
      <c r="DK393" s="3"/>
      <c r="DL393" s="3"/>
      <c r="DM393" s="3"/>
      <c r="DN393" s="3"/>
      <c r="DO393" s="3"/>
      <c r="DP393" s="3"/>
      <c r="DQ393" s="3"/>
      <c r="DR393" s="3"/>
      <c r="DS393" s="3"/>
      <c r="DT393" s="3"/>
      <c r="DU393" s="3"/>
      <c r="DV393" s="3"/>
      <c r="DW393" s="3"/>
      <c r="DX393" s="3"/>
      <c r="DY393" s="3"/>
      <c r="DZ393" s="3"/>
      <c r="EA393" s="3"/>
      <c r="EB393" s="3"/>
      <c r="EC393" s="3"/>
      <c r="ED393" s="3"/>
      <c r="EE393" s="3"/>
      <c r="EF393" s="3"/>
      <c r="EG393" s="3"/>
      <c r="EH393" s="3"/>
      <c r="EI393" s="3"/>
      <c r="EJ393" s="3"/>
      <c r="EK393" s="3"/>
      <c r="EL393" s="3"/>
      <c r="EM393" s="3"/>
      <c r="EN393" s="3"/>
      <c r="EO393" s="3"/>
      <c r="EP393" s="3"/>
      <c r="EQ393" s="3"/>
      <c r="ER393" s="3"/>
      <c r="ES393" s="3"/>
      <c r="ET393" s="3"/>
      <c r="EU393" s="3"/>
      <c r="EV393" s="3"/>
      <c r="EW393" s="3"/>
      <c r="EX393" s="3"/>
      <c r="EY393" s="3"/>
      <c r="EZ393" s="3"/>
      <c r="FA393" s="3"/>
      <c r="FB393" s="3"/>
      <c r="FC393" s="3"/>
      <c r="FD393" s="3"/>
      <c r="FE393" s="3"/>
      <c r="FF393" s="3"/>
      <c r="FG393" s="3"/>
      <c r="FH393" s="3"/>
      <c r="FI393" s="3"/>
      <c r="FJ393" s="3"/>
      <c r="FK393" s="3"/>
      <c r="FL393" s="3"/>
      <c r="FM393" s="3"/>
      <c r="FN393" s="3"/>
      <c r="FO393" s="3"/>
      <c r="FP393" s="3"/>
      <c r="FQ393" s="3"/>
      <c r="FR393" s="3"/>
      <c r="FS393" s="3"/>
      <c r="FT393" s="3"/>
      <c r="FU393" s="3"/>
      <c r="FV393" s="3"/>
      <c r="FW393" s="3"/>
      <c r="FX393" s="3"/>
      <c r="FY393" s="3"/>
      <c r="FZ393" s="3"/>
      <c r="GA393" s="3"/>
      <c r="GB393" s="3"/>
      <c r="GC393" s="3"/>
      <c r="GD393" s="3"/>
      <c r="GE393" s="3"/>
      <c r="GF393" s="3"/>
      <c r="GG393" s="3"/>
      <c r="GH393" s="3"/>
      <c r="GI393" s="3"/>
      <c r="GJ393" s="3"/>
      <c r="GK393" s="3"/>
      <c r="GL393" s="3"/>
      <c r="GM393" s="3"/>
      <c r="GN393" s="3"/>
      <c r="GO393" s="3"/>
      <c r="GP393" s="3"/>
      <c r="GQ393" s="3"/>
      <c r="GR393" s="3"/>
      <c r="GS393" s="3"/>
      <c r="GT393" s="3"/>
      <c r="GU393" s="3"/>
      <c r="GV393" s="3"/>
      <c r="GW393" s="3"/>
      <c r="GX393" s="3"/>
      <c r="GY393" s="3"/>
      <c r="GZ393" s="3"/>
      <c r="HA393" s="3"/>
      <c r="HB393" s="3"/>
      <c r="HC393" s="3"/>
      <c r="HD393" s="3"/>
      <c r="HE393" s="3"/>
      <c r="HF393" s="3"/>
      <c r="HG393" s="3"/>
      <c r="HH393" s="3"/>
      <c r="HI393" s="3"/>
      <c r="HJ393" s="3"/>
      <c r="HK393" s="3"/>
      <c r="HL393" s="3"/>
      <c r="HM393" s="3"/>
      <c r="HN393" s="3"/>
      <c r="HO393" s="3"/>
      <c r="HP393" s="3"/>
      <c r="HQ393" s="3"/>
      <c r="HR393" s="3"/>
      <c r="HS393" s="3"/>
      <c r="HT393" s="3"/>
      <c r="HU393" s="3"/>
      <c r="HV393" s="3"/>
      <c r="HW393" s="3"/>
      <c r="HX393" s="3"/>
      <c r="HY393" s="3"/>
      <c r="HZ393" s="3"/>
      <c r="IA393" s="3"/>
      <c r="IB393" s="3"/>
      <c r="IC393" s="3"/>
      <c r="ID393" s="3"/>
      <c r="IE393" s="3"/>
      <c r="IF393" s="3"/>
      <c r="IG393" s="3"/>
      <c r="IH393" s="3"/>
      <c r="II393" s="3"/>
      <c r="IJ393" s="3"/>
      <c r="IK393" s="3"/>
      <c r="IL393" s="3"/>
      <c r="IM393" s="3"/>
      <c r="IN393" s="3"/>
      <c r="IO393" s="3"/>
      <c r="IP393" s="3"/>
      <c r="IQ393" s="3"/>
      <c r="IR393" s="3"/>
      <c r="IS393" s="3"/>
      <c r="IT393" s="3"/>
      <c r="IU393" s="3"/>
      <c r="IV393" s="3"/>
      <c r="IW393" s="3"/>
      <c r="IX393" s="3"/>
      <c r="IY393" s="3"/>
      <c r="IZ393" s="3"/>
      <c r="JA393" s="3"/>
      <c r="JB393" s="3"/>
      <c r="JC393" s="3"/>
      <c r="JD393" s="3"/>
      <c r="JE393" s="3"/>
      <c r="JF393" s="3"/>
      <c r="JG393" s="3"/>
      <c r="JH393" s="3"/>
      <c r="JI393" s="3"/>
      <c r="JJ393" s="3"/>
      <c r="JK393" s="3"/>
      <c r="JL393" s="3"/>
      <c r="JM393" s="3"/>
      <c r="JN393" s="3"/>
      <c r="JO393" s="3"/>
      <c r="JP393" s="3"/>
      <c r="JQ393" s="3"/>
      <c r="JR393" s="3"/>
      <c r="JS393" s="3"/>
      <c r="JT393" s="3"/>
      <c r="JU393" s="3"/>
      <c r="JV393" s="3"/>
      <c r="JW393" s="3"/>
      <c r="JX393" s="3"/>
      <c r="JY393" s="3"/>
      <c r="JZ393" s="3"/>
      <c r="KA393" s="3"/>
      <c r="KB393" s="3"/>
      <c r="KC393" s="3"/>
      <c r="KD393" s="3"/>
      <c r="KE393" s="3"/>
      <c r="KF393" s="3"/>
      <c r="KG393" s="3"/>
      <c r="KH393" s="3"/>
      <c r="KI393" s="3"/>
      <c r="KJ393" s="3"/>
      <c r="KK393" s="3"/>
      <c r="KL393" s="3"/>
      <c r="KM393" s="3"/>
      <c r="KN393" s="3"/>
      <c r="KO393" s="3"/>
      <c r="KP393" s="3"/>
      <c r="KQ393" s="3"/>
      <c r="KR393" s="3"/>
      <c r="KS393" s="3"/>
      <c r="KT393" s="3"/>
      <c r="KU393" s="3"/>
      <c r="KV393" s="3"/>
      <c r="KW393" s="3"/>
      <c r="KX393" s="3"/>
      <c r="KY393" s="3"/>
      <c r="KZ393" s="3"/>
      <c r="LA393" s="3"/>
      <c r="LB393" s="3"/>
      <c r="LC393" s="3"/>
      <c r="LD393" s="3"/>
      <c r="LE393" s="3"/>
      <c r="LF393" s="3"/>
      <c r="LG393" s="3"/>
      <c r="LH393" s="3"/>
      <c r="LI393" s="3"/>
      <c r="LJ393" s="3"/>
      <c r="LK393" s="3"/>
      <c r="LL393" s="3"/>
      <c r="LM393" s="3"/>
      <c r="LN393" s="3"/>
      <c r="LO393" s="3"/>
      <c r="LP393" s="3"/>
      <c r="LQ393" s="3"/>
      <c r="LR393" s="3"/>
      <c r="LS393" s="3"/>
      <c r="LT393" s="3"/>
      <c r="LU393" s="3"/>
      <c r="LV393" s="3"/>
      <c r="LW393" s="3"/>
      <c r="LX393" s="3"/>
      <c r="LY393" s="3"/>
      <c r="LZ393" s="3"/>
      <c r="MA393" s="3"/>
      <c r="MB393" s="3"/>
      <c r="MC393" s="3"/>
      <c r="MD393" s="3"/>
      <c r="ME393" s="3"/>
      <c r="MF393" s="3"/>
      <c r="MG393" s="3"/>
      <c r="MH393" s="3"/>
      <c r="MI393" s="3"/>
      <c r="MJ393" s="3"/>
      <c r="MK393" s="3"/>
      <c r="ML393" s="3"/>
      <c r="MM393" s="3"/>
      <c r="MN393" s="3"/>
      <c r="MO393" s="3"/>
      <c r="MP393" s="3"/>
      <c r="MQ393" s="3"/>
      <c r="MR393" s="3"/>
      <c r="MS393" s="3"/>
      <c r="MT393" s="3"/>
      <c r="MU393" s="3"/>
      <c r="MV393" s="3"/>
      <c r="MW393" s="3"/>
      <c r="MX393" s="3"/>
      <c r="MY393" s="3"/>
      <c r="MZ393" s="3"/>
      <c r="NA393" s="3"/>
      <c r="NB393" s="3"/>
      <c r="NC393" s="3"/>
      <c r="ND393" s="3"/>
      <c r="NE393" s="3"/>
      <c r="NF393" s="3"/>
      <c r="NG393" s="3"/>
      <c r="NH393" s="3"/>
      <c r="NI393" s="3"/>
      <c r="NJ393" s="3"/>
      <c r="NK393" s="3"/>
      <c r="NL393" s="3"/>
      <c r="NM393" s="3"/>
      <c r="NN393" s="3"/>
      <c r="NO393" s="3"/>
      <c r="NP393" s="3"/>
      <c r="NQ393" s="3"/>
      <c r="NR393" s="3"/>
      <c r="NS393" s="3"/>
      <c r="NT393" s="3"/>
      <c r="NU393" s="3"/>
      <c r="NV393" s="3"/>
      <c r="NW393" s="3"/>
      <c r="NX393" s="3"/>
      <c r="NY393" s="3"/>
      <c r="NZ393" s="3"/>
      <c r="OA393" s="3"/>
      <c r="OB393" s="3"/>
      <c r="OC393" s="3"/>
      <c r="OD393" s="3"/>
      <c r="OE393" s="3"/>
      <c r="OF393" s="3"/>
      <c r="OG393" s="3"/>
      <c r="OH393" s="3"/>
      <c r="OI393" s="3"/>
      <c r="OJ393" s="3"/>
      <c r="OK393" s="3"/>
      <c r="OL393" s="3"/>
      <c r="OM393" s="3"/>
      <c r="ON393" s="3"/>
      <c r="OO393" s="3"/>
      <c r="OP393" s="3"/>
      <c r="OQ393" s="3"/>
      <c r="OR393" s="3"/>
      <c r="OS393" s="3"/>
      <c r="OT393" s="3"/>
      <c r="OU393" s="3"/>
      <c r="OV393" s="3"/>
      <c r="OW393" s="3"/>
      <c r="OX393" s="3"/>
      <c r="OY393" s="3"/>
      <c r="OZ393" s="3"/>
      <c r="PA393" s="3"/>
      <c r="PB393" s="3"/>
      <c r="PC393" s="3"/>
      <c r="PD393" s="3"/>
      <c r="PE393" s="3"/>
      <c r="PF393" s="3"/>
      <c r="PG393" s="3"/>
      <c r="PH393" s="3"/>
      <c r="PI393" s="3"/>
      <c r="PJ393" s="3"/>
      <c r="PK393" s="3"/>
      <c r="PL393" s="3"/>
      <c r="PM393" s="3"/>
      <c r="PN393" s="3"/>
      <c r="PO393" s="3"/>
      <c r="PP393" s="3"/>
      <c r="PQ393" s="3"/>
      <c r="PR393" s="3"/>
      <c r="PS393" s="3"/>
      <c r="PT393" s="3"/>
      <c r="PU393" s="3"/>
      <c r="PV393" s="3"/>
      <c r="PW393" s="3"/>
      <c r="PX393" s="3"/>
      <c r="PY393" s="3"/>
      <c r="PZ393" s="3"/>
      <c r="QA393" s="3"/>
      <c r="QB393" s="3"/>
      <c r="QC393" s="3"/>
      <c r="QD393" s="3"/>
      <c r="QE393" s="3"/>
      <c r="QF393" s="3"/>
      <c r="QG393" s="3"/>
      <c r="QH393" s="3"/>
      <c r="QI393" s="3"/>
      <c r="QJ393" s="3"/>
      <c r="QK393" s="3"/>
      <c r="QL393" s="3"/>
      <c r="QM393" s="3"/>
      <c r="QN393" s="3"/>
      <c r="QO393" s="3"/>
      <c r="QP393" s="3"/>
      <c r="QQ393" s="3"/>
      <c r="QR393" s="3"/>
      <c r="QS393" s="3"/>
      <c r="QT393" s="3"/>
      <c r="QU393" s="3"/>
      <c r="QV393" s="3"/>
      <c r="QW393" s="3"/>
      <c r="QX393" s="3"/>
      <c r="QY393" s="3"/>
      <c r="QZ393" s="3"/>
      <c r="RA393" s="3"/>
      <c r="RB393" s="3"/>
      <c r="RC393" s="3"/>
      <c r="RD393" s="3"/>
      <c r="RE393" s="3"/>
      <c r="RF393" s="3"/>
      <c r="RG393" s="3"/>
      <c r="RH393" s="3"/>
      <c r="RI393" s="3"/>
      <c r="RJ393" s="3"/>
      <c r="RK393" s="3"/>
      <c r="RL393" s="3"/>
      <c r="RM393" s="3"/>
      <c r="RN393" s="3"/>
      <c r="RO393" s="3"/>
      <c r="RP393" s="3"/>
      <c r="RQ393" s="3"/>
      <c r="RR393" s="3"/>
      <c r="RS393" s="3"/>
      <c r="RT393" s="3"/>
      <c r="RU393" s="3"/>
      <c r="RV393" s="3"/>
      <c r="RW393" s="3"/>
      <c r="RX393" s="3"/>
      <c r="RY393" s="3"/>
      <c r="RZ393" s="3"/>
      <c r="SA393" s="3"/>
      <c r="SB393" s="3"/>
      <c r="SC393" s="3"/>
      <c r="SD393" s="3"/>
      <c r="SE393" s="3"/>
      <c r="SF393" s="3"/>
      <c r="SG393" s="3"/>
      <c r="SH393" s="3"/>
      <c r="SI393" s="3"/>
      <c r="SJ393" s="3"/>
      <c r="SK393" s="3"/>
      <c r="SL393" s="3"/>
      <c r="SM393" s="3"/>
      <c r="SN393" s="3"/>
      <c r="SO393" s="3"/>
      <c r="SP393" s="3"/>
      <c r="SQ393" s="3"/>
      <c r="SR393" s="3"/>
      <c r="SS393" s="3"/>
      <c r="ST393" s="3"/>
      <c r="SU393" s="3"/>
      <c r="SV393" s="3"/>
      <c r="SW393" s="3"/>
      <c r="SX393" s="3"/>
      <c r="SY393" s="3"/>
      <c r="SZ393" s="3"/>
      <c r="TA393" s="3"/>
      <c r="TB393" s="3"/>
      <c r="TC393" s="3"/>
      <c r="TD393" s="3"/>
      <c r="TE393" s="3"/>
      <c r="TF393" s="3"/>
      <c r="TG393" s="3"/>
      <c r="TH393" s="3"/>
      <c r="TI393" s="3"/>
      <c r="TJ393" s="3"/>
      <c r="TK393" s="3"/>
      <c r="TL393" s="3"/>
      <c r="TM393" s="3"/>
      <c r="TN393" s="3"/>
      <c r="TO393" s="3"/>
      <c r="TP393" s="3"/>
      <c r="TQ393" s="3"/>
      <c r="TR393" s="3"/>
      <c r="TS393" s="3"/>
      <c r="TT393" s="3"/>
      <c r="TU393" s="3"/>
      <c r="TV393" s="3"/>
      <c r="TW393" s="3"/>
      <c r="TX393" s="3"/>
      <c r="TY393" s="3"/>
      <c r="TZ393" s="3"/>
      <c r="UA393" s="3"/>
      <c r="UB393" s="3"/>
      <c r="UC393" s="3"/>
      <c r="UD393" s="3"/>
      <c r="UE393" s="3"/>
      <c r="UF393" s="3"/>
      <c r="UG393" s="3"/>
      <c r="UH393" s="3"/>
      <c r="UI393" s="3"/>
      <c r="UJ393" s="3"/>
      <c r="UK393" s="3"/>
      <c r="UL393" s="3"/>
      <c r="UM393" s="3"/>
      <c r="UN393" s="3"/>
      <c r="UO393" s="3"/>
      <c r="UP393" s="3"/>
      <c r="UQ393" s="3"/>
      <c r="UR393" s="3"/>
      <c r="US393" s="3"/>
      <c r="UT393" s="3"/>
      <c r="UU393" s="3"/>
      <c r="UV393" s="3"/>
      <c r="UW393" s="3"/>
      <c r="UX393" s="3"/>
      <c r="UY393" s="3"/>
      <c r="UZ393" s="3"/>
      <c r="VA393" s="3"/>
      <c r="VB393" s="3"/>
      <c r="VC393" s="3"/>
      <c r="VD393" s="3"/>
      <c r="VE393" s="3"/>
      <c r="VF393" s="3"/>
      <c r="VG393" s="3"/>
      <c r="VH393" s="3"/>
      <c r="VI393" s="3"/>
      <c r="VJ393" s="3"/>
      <c r="VK393" s="3"/>
      <c r="VL393" s="3"/>
      <c r="VM393" s="3"/>
      <c r="VN393" s="3"/>
      <c r="VO393" s="3"/>
      <c r="VP393" s="3"/>
      <c r="VQ393" s="3"/>
      <c r="VR393" s="3"/>
      <c r="VS393" s="3"/>
      <c r="VT393" s="3"/>
      <c r="VU393" s="3"/>
      <c r="VV393" s="3"/>
      <c r="VW393" s="3"/>
      <c r="VX393" s="3"/>
      <c r="VY393" s="3"/>
      <c r="VZ393" s="3"/>
      <c r="WA393" s="3"/>
      <c r="WB393" s="3"/>
      <c r="WC393" s="3"/>
      <c r="WD393" s="3"/>
      <c r="WE393" s="3"/>
      <c r="WF393" s="3"/>
      <c r="WG393" s="3"/>
      <c r="WH393" s="3"/>
      <c r="WI393" s="3"/>
      <c r="WJ393" s="3"/>
      <c r="WK393" s="3"/>
      <c r="WL393" s="3"/>
      <c r="WM393" s="3"/>
      <c r="WN393" s="3"/>
      <c r="WO393" s="3"/>
      <c r="WP393" s="3"/>
      <c r="WQ393" s="3"/>
      <c r="WR393" s="3"/>
      <c r="WS393" s="3"/>
      <c r="WT393" s="3"/>
      <c r="WU393" s="3"/>
      <c r="WV393" s="3"/>
      <c r="WW393" s="3"/>
      <c r="WX393" s="3"/>
      <c r="WY393" s="3"/>
      <c r="WZ393" s="3"/>
      <c r="XA393" s="3"/>
      <c r="XB393" s="3"/>
      <c r="XC393" s="3"/>
      <c r="XD393" s="3"/>
      <c r="XE393" s="3"/>
      <c r="XF393" s="3"/>
      <c r="XG393" s="3"/>
      <c r="XH393" s="3"/>
      <c r="XI393" s="3"/>
      <c r="XJ393" s="3"/>
      <c r="XK393" s="3"/>
      <c r="XL393" s="3"/>
      <c r="XM393" s="3"/>
      <c r="XN393" s="3"/>
      <c r="XO393" s="3"/>
      <c r="XP393" s="3"/>
      <c r="XQ393" s="3"/>
      <c r="XR393" s="3"/>
      <c r="XS393" s="3"/>
      <c r="XT393" s="3"/>
      <c r="XU393" s="3"/>
      <c r="XV393" s="3"/>
      <c r="XW393" s="3"/>
      <c r="XX393" s="3"/>
      <c r="XY393" s="3"/>
      <c r="XZ393" s="3"/>
      <c r="YA393" s="3"/>
      <c r="YB393" s="3"/>
      <c r="YC393" s="3"/>
      <c r="YD393" s="3"/>
      <c r="YE393" s="3"/>
      <c r="YF393" s="3"/>
      <c r="YG393" s="3"/>
      <c r="YH393" s="3"/>
      <c r="YI393" s="3"/>
      <c r="YJ393" s="3"/>
      <c r="YK393" s="3"/>
      <c r="YL393" s="3"/>
      <c r="YM393" s="3"/>
      <c r="YN393" s="3"/>
      <c r="YO393" s="3"/>
      <c r="YP393" s="3"/>
      <c r="YQ393" s="3"/>
      <c r="YR393" s="3"/>
      <c r="YS393" s="3"/>
      <c r="YT393" s="3"/>
      <c r="YU393" s="3"/>
      <c r="YV393" s="3"/>
      <c r="YW393" s="3"/>
      <c r="YX393" s="3"/>
      <c r="YY393" s="3"/>
      <c r="YZ393" s="3"/>
      <c r="ZA393" s="3"/>
      <c r="ZB393" s="3"/>
      <c r="ZC393" s="3"/>
    </row>
    <row r="394" spans="1:679" s="2" customFormat="1" x14ac:dyDescent="0.45">
      <c r="A394" s="3" t="s">
        <v>11</v>
      </c>
      <c r="B394" s="4">
        <v>41037</v>
      </c>
      <c r="C394" s="7" t="s">
        <v>21</v>
      </c>
      <c r="D394" s="6" t="s">
        <v>415</v>
      </c>
      <c r="E394" s="3"/>
      <c r="F394" s="3">
        <v>14</v>
      </c>
      <c r="L394" s="3"/>
      <c r="M394" s="3"/>
      <c r="N394" s="48"/>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c r="CO394" s="3"/>
      <c r="CP394" s="3"/>
      <c r="CQ394" s="3"/>
      <c r="CR394" s="3"/>
      <c r="CS394" s="3"/>
      <c r="CT394" s="3"/>
      <c r="CU394" s="3"/>
      <c r="CV394" s="3"/>
      <c r="CW394" s="3"/>
      <c r="CX394" s="3"/>
      <c r="CY394" s="3"/>
      <c r="CZ394" s="3"/>
      <c r="DA394" s="3"/>
      <c r="DB394" s="3"/>
      <c r="DC394" s="3"/>
      <c r="DD394" s="3"/>
      <c r="DE394" s="3"/>
      <c r="DF394" s="3"/>
      <c r="DG394" s="3"/>
      <c r="DH394" s="3"/>
      <c r="DI394" s="3"/>
      <c r="DJ394" s="3"/>
      <c r="DK394" s="3"/>
      <c r="DL394" s="3"/>
      <c r="DM394" s="3"/>
      <c r="DN394" s="3"/>
      <c r="DO394" s="3"/>
      <c r="DP394" s="3"/>
      <c r="DQ394" s="3"/>
      <c r="DR394" s="3"/>
      <c r="DS394" s="3"/>
      <c r="DT394" s="3"/>
      <c r="DU394" s="3"/>
      <c r="DV394" s="3"/>
      <c r="DW394" s="3"/>
      <c r="DX394" s="3"/>
      <c r="DY394" s="3"/>
      <c r="DZ394" s="3"/>
      <c r="EA394" s="3"/>
      <c r="EB394" s="3"/>
      <c r="EC394" s="3"/>
      <c r="ED394" s="3"/>
      <c r="EE394" s="3"/>
      <c r="EF394" s="3"/>
      <c r="EG394" s="3"/>
      <c r="EH394" s="3"/>
      <c r="EI394" s="3"/>
      <c r="EJ394" s="3"/>
      <c r="EK394" s="3"/>
      <c r="EL394" s="3"/>
      <c r="EM394" s="3"/>
      <c r="EN394" s="3"/>
      <c r="EO394" s="3"/>
      <c r="EP394" s="3"/>
      <c r="EQ394" s="3"/>
      <c r="ER394" s="3"/>
      <c r="ES394" s="3"/>
      <c r="ET394" s="3"/>
      <c r="EU394" s="3"/>
      <c r="EV394" s="3"/>
      <c r="EW394" s="3"/>
      <c r="EX394" s="3"/>
      <c r="EY394" s="3"/>
      <c r="EZ394" s="3"/>
      <c r="FA394" s="3"/>
      <c r="FB394" s="3"/>
      <c r="FC394" s="3"/>
      <c r="FD394" s="3"/>
      <c r="FE394" s="3"/>
      <c r="FF394" s="3"/>
      <c r="FG394" s="3"/>
      <c r="FH394" s="3"/>
      <c r="FI394" s="3"/>
      <c r="FJ394" s="3"/>
      <c r="FK394" s="3"/>
      <c r="FL394" s="3"/>
      <c r="FM394" s="3"/>
      <c r="FN394" s="3"/>
      <c r="FO394" s="3"/>
      <c r="FP394" s="3"/>
      <c r="FQ394" s="3"/>
      <c r="FR394" s="3"/>
      <c r="FS394" s="3"/>
      <c r="FT394" s="3"/>
      <c r="FU394" s="3"/>
      <c r="FV394" s="3"/>
      <c r="FW394" s="3"/>
      <c r="FX394" s="3"/>
      <c r="FY394" s="3"/>
      <c r="FZ394" s="3"/>
      <c r="GA394" s="3"/>
      <c r="GB394" s="3"/>
      <c r="GC394" s="3"/>
      <c r="GD394" s="3"/>
      <c r="GE394" s="3"/>
      <c r="GF394" s="3"/>
      <c r="GG394" s="3"/>
      <c r="GH394" s="3"/>
      <c r="GI394" s="3"/>
      <c r="GJ394" s="3"/>
      <c r="GK394" s="3"/>
      <c r="GL394" s="3"/>
      <c r="GM394" s="3"/>
      <c r="GN394" s="3"/>
      <c r="GO394" s="3"/>
      <c r="GP394" s="3"/>
      <c r="GQ394" s="3"/>
      <c r="GR394" s="3"/>
      <c r="GS394" s="3"/>
      <c r="GT394" s="3"/>
      <c r="GU394" s="3"/>
      <c r="GV394" s="3"/>
      <c r="GW394" s="3"/>
      <c r="GX394" s="3"/>
      <c r="GY394" s="3"/>
      <c r="GZ394" s="3"/>
      <c r="HA394" s="3"/>
      <c r="HB394" s="3"/>
      <c r="HC394" s="3"/>
      <c r="HD394" s="3"/>
      <c r="HE394" s="3"/>
      <c r="HF394" s="3"/>
      <c r="HG394" s="3"/>
      <c r="HH394" s="3"/>
      <c r="HI394" s="3"/>
      <c r="HJ394" s="3"/>
      <c r="HK394" s="3"/>
      <c r="HL394" s="3"/>
      <c r="HM394" s="3"/>
      <c r="HN394" s="3"/>
      <c r="HO394" s="3"/>
      <c r="HP394" s="3"/>
      <c r="HQ394" s="3"/>
      <c r="HR394" s="3"/>
      <c r="HS394" s="3"/>
      <c r="HT394" s="3"/>
      <c r="HU394" s="3"/>
      <c r="HV394" s="3"/>
      <c r="HW394" s="3"/>
      <c r="HX394" s="3"/>
      <c r="HY394" s="3"/>
      <c r="HZ394" s="3"/>
      <c r="IA394" s="3"/>
      <c r="IB394" s="3"/>
      <c r="IC394" s="3"/>
      <c r="ID394" s="3"/>
      <c r="IE394" s="3"/>
      <c r="IF394" s="3"/>
      <c r="IG394" s="3"/>
      <c r="IH394" s="3"/>
      <c r="II394" s="3"/>
      <c r="IJ394" s="3"/>
      <c r="IK394" s="3"/>
      <c r="IL394" s="3"/>
      <c r="IM394" s="3"/>
      <c r="IN394" s="3"/>
      <c r="IO394" s="3"/>
      <c r="IP394" s="3"/>
      <c r="IQ394" s="3"/>
      <c r="IR394" s="3"/>
      <c r="IS394" s="3"/>
      <c r="IT394" s="3"/>
      <c r="IU394" s="3"/>
      <c r="IV394" s="3"/>
      <c r="IW394" s="3"/>
      <c r="IX394" s="3"/>
      <c r="IY394" s="3"/>
      <c r="IZ394" s="3"/>
      <c r="JA394" s="3"/>
      <c r="JB394" s="3"/>
      <c r="JC394" s="3"/>
      <c r="JD394" s="3"/>
      <c r="JE394" s="3"/>
      <c r="JF394" s="3"/>
      <c r="JG394" s="3"/>
      <c r="JH394" s="3"/>
      <c r="JI394" s="3"/>
      <c r="JJ394" s="3"/>
      <c r="JK394" s="3"/>
      <c r="JL394" s="3"/>
      <c r="JM394" s="3"/>
      <c r="JN394" s="3"/>
      <c r="JO394" s="3"/>
      <c r="JP394" s="3"/>
      <c r="JQ394" s="3"/>
      <c r="JR394" s="3"/>
      <c r="JS394" s="3"/>
      <c r="JT394" s="3"/>
      <c r="JU394" s="3"/>
      <c r="JV394" s="3"/>
      <c r="JW394" s="3"/>
      <c r="JX394" s="3"/>
      <c r="JY394" s="3"/>
      <c r="JZ394" s="3"/>
      <c r="KA394" s="3"/>
      <c r="KB394" s="3"/>
      <c r="KC394" s="3"/>
      <c r="KD394" s="3"/>
      <c r="KE394" s="3"/>
      <c r="KF394" s="3"/>
      <c r="KG394" s="3"/>
      <c r="KH394" s="3"/>
      <c r="KI394" s="3"/>
      <c r="KJ394" s="3"/>
      <c r="KK394" s="3"/>
      <c r="KL394" s="3"/>
      <c r="KM394" s="3"/>
      <c r="KN394" s="3"/>
      <c r="KO394" s="3"/>
      <c r="KP394" s="3"/>
      <c r="KQ394" s="3"/>
      <c r="KR394" s="3"/>
      <c r="KS394" s="3"/>
      <c r="KT394" s="3"/>
      <c r="KU394" s="3"/>
      <c r="KV394" s="3"/>
      <c r="KW394" s="3"/>
      <c r="KX394" s="3"/>
      <c r="KY394" s="3"/>
      <c r="KZ394" s="3"/>
      <c r="LA394" s="3"/>
      <c r="LB394" s="3"/>
      <c r="LC394" s="3"/>
      <c r="LD394" s="3"/>
      <c r="LE394" s="3"/>
      <c r="LF394" s="3"/>
      <c r="LG394" s="3"/>
      <c r="LH394" s="3"/>
      <c r="LI394" s="3"/>
      <c r="LJ394" s="3"/>
      <c r="LK394" s="3"/>
      <c r="LL394" s="3"/>
      <c r="LM394" s="3"/>
      <c r="LN394" s="3"/>
      <c r="LO394" s="3"/>
      <c r="LP394" s="3"/>
      <c r="LQ394" s="3"/>
      <c r="LR394" s="3"/>
      <c r="LS394" s="3"/>
      <c r="LT394" s="3"/>
      <c r="LU394" s="3"/>
      <c r="LV394" s="3"/>
      <c r="LW394" s="3"/>
      <c r="LX394" s="3"/>
      <c r="LY394" s="3"/>
      <c r="LZ394" s="3"/>
      <c r="MA394" s="3"/>
      <c r="MB394" s="3"/>
      <c r="MC394" s="3"/>
      <c r="MD394" s="3"/>
      <c r="ME394" s="3"/>
      <c r="MF394" s="3"/>
      <c r="MG394" s="3"/>
      <c r="MH394" s="3"/>
      <c r="MI394" s="3"/>
      <c r="MJ394" s="3"/>
      <c r="MK394" s="3"/>
      <c r="ML394" s="3"/>
      <c r="MM394" s="3"/>
      <c r="MN394" s="3"/>
      <c r="MO394" s="3"/>
      <c r="MP394" s="3"/>
      <c r="MQ394" s="3"/>
      <c r="MR394" s="3"/>
      <c r="MS394" s="3"/>
      <c r="MT394" s="3"/>
      <c r="MU394" s="3"/>
      <c r="MV394" s="3"/>
      <c r="MW394" s="3"/>
      <c r="MX394" s="3"/>
      <c r="MY394" s="3"/>
      <c r="MZ394" s="3"/>
      <c r="NA394" s="3"/>
      <c r="NB394" s="3"/>
      <c r="NC394" s="3"/>
      <c r="ND394" s="3"/>
      <c r="NE394" s="3"/>
      <c r="NF394" s="3"/>
      <c r="NG394" s="3"/>
      <c r="NH394" s="3"/>
      <c r="NI394" s="3"/>
      <c r="NJ394" s="3"/>
      <c r="NK394" s="3"/>
      <c r="NL394" s="3"/>
      <c r="NM394" s="3"/>
      <c r="NN394" s="3"/>
      <c r="NO394" s="3"/>
      <c r="NP394" s="3"/>
      <c r="NQ394" s="3"/>
      <c r="NR394" s="3"/>
      <c r="NS394" s="3"/>
      <c r="NT394" s="3"/>
      <c r="NU394" s="3"/>
      <c r="NV394" s="3"/>
      <c r="NW394" s="3"/>
      <c r="NX394" s="3"/>
      <c r="NY394" s="3"/>
      <c r="NZ394" s="3"/>
      <c r="OA394" s="3"/>
      <c r="OB394" s="3"/>
      <c r="OC394" s="3"/>
      <c r="OD394" s="3"/>
      <c r="OE394" s="3"/>
      <c r="OF394" s="3"/>
      <c r="OG394" s="3"/>
      <c r="OH394" s="3"/>
      <c r="OI394" s="3"/>
      <c r="OJ394" s="3"/>
      <c r="OK394" s="3"/>
      <c r="OL394" s="3"/>
      <c r="OM394" s="3"/>
      <c r="ON394" s="3"/>
      <c r="OO394" s="3"/>
      <c r="OP394" s="3"/>
      <c r="OQ394" s="3"/>
      <c r="OR394" s="3"/>
      <c r="OS394" s="3"/>
      <c r="OT394" s="3"/>
      <c r="OU394" s="3"/>
      <c r="OV394" s="3"/>
      <c r="OW394" s="3"/>
      <c r="OX394" s="3"/>
      <c r="OY394" s="3"/>
      <c r="OZ394" s="3"/>
      <c r="PA394" s="3"/>
      <c r="PB394" s="3"/>
      <c r="PC394" s="3"/>
      <c r="PD394" s="3"/>
      <c r="PE394" s="3"/>
      <c r="PF394" s="3"/>
      <c r="PG394" s="3"/>
      <c r="PH394" s="3"/>
      <c r="PI394" s="3"/>
      <c r="PJ394" s="3"/>
      <c r="PK394" s="3"/>
      <c r="PL394" s="3"/>
      <c r="PM394" s="3"/>
      <c r="PN394" s="3"/>
      <c r="PO394" s="3"/>
      <c r="PP394" s="3"/>
      <c r="PQ394" s="3"/>
      <c r="PR394" s="3"/>
      <c r="PS394" s="3"/>
      <c r="PT394" s="3"/>
      <c r="PU394" s="3"/>
      <c r="PV394" s="3"/>
      <c r="PW394" s="3"/>
      <c r="PX394" s="3"/>
      <c r="PY394" s="3"/>
      <c r="PZ394" s="3"/>
      <c r="QA394" s="3"/>
      <c r="QB394" s="3"/>
      <c r="QC394" s="3"/>
      <c r="QD394" s="3"/>
      <c r="QE394" s="3"/>
      <c r="QF394" s="3"/>
      <c r="QG394" s="3"/>
      <c r="QH394" s="3"/>
      <c r="QI394" s="3"/>
      <c r="QJ394" s="3"/>
      <c r="QK394" s="3"/>
      <c r="QL394" s="3"/>
      <c r="QM394" s="3"/>
      <c r="QN394" s="3"/>
      <c r="QO394" s="3"/>
      <c r="QP394" s="3"/>
      <c r="QQ394" s="3"/>
      <c r="QR394" s="3"/>
      <c r="QS394" s="3"/>
      <c r="QT394" s="3"/>
      <c r="QU394" s="3"/>
      <c r="QV394" s="3"/>
      <c r="QW394" s="3"/>
      <c r="QX394" s="3"/>
      <c r="QY394" s="3"/>
      <c r="QZ394" s="3"/>
      <c r="RA394" s="3"/>
      <c r="RB394" s="3"/>
      <c r="RC394" s="3"/>
      <c r="RD394" s="3"/>
      <c r="RE394" s="3"/>
      <c r="RF394" s="3"/>
      <c r="RG394" s="3"/>
      <c r="RH394" s="3"/>
      <c r="RI394" s="3"/>
      <c r="RJ394" s="3"/>
      <c r="RK394" s="3"/>
      <c r="RL394" s="3"/>
      <c r="RM394" s="3"/>
      <c r="RN394" s="3"/>
      <c r="RO394" s="3"/>
      <c r="RP394" s="3"/>
      <c r="RQ394" s="3"/>
      <c r="RR394" s="3"/>
      <c r="RS394" s="3"/>
      <c r="RT394" s="3"/>
      <c r="RU394" s="3"/>
      <c r="RV394" s="3"/>
      <c r="RW394" s="3"/>
      <c r="RX394" s="3"/>
      <c r="RY394" s="3"/>
      <c r="RZ394" s="3"/>
      <c r="SA394" s="3"/>
      <c r="SB394" s="3"/>
      <c r="SC394" s="3"/>
      <c r="SD394" s="3"/>
      <c r="SE394" s="3"/>
      <c r="SF394" s="3"/>
      <c r="SG394" s="3"/>
      <c r="SH394" s="3"/>
      <c r="SI394" s="3"/>
      <c r="SJ394" s="3"/>
      <c r="SK394" s="3"/>
      <c r="SL394" s="3"/>
      <c r="SM394" s="3"/>
      <c r="SN394" s="3"/>
      <c r="SO394" s="3"/>
      <c r="SP394" s="3"/>
      <c r="SQ394" s="3"/>
      <c r="SR394" s="3"/>
      <c r="SS394" s="3"/>
      <c r="ST394" s="3"/>
      <c r="SU394" s="3"/>
      <c r="SV394" s="3"/>
      <c r="SW394" s="3"/>
      <c r="SX394" s="3"/>
      <c r="SY394" s="3"/>
      <c r="SZ394" s="3"/>
      <c r="TA394" s="3"/>
      <c r="TB394" s="3"/>
      <c r="TC394" s="3"/>
      <c r="TD394" s="3"/>
      <c r="TE394" s="3"/>
      <c r="TF394" s="3"/>
      <c r="TG394" s="3"/>
      <c r="TH394" s="3"/>
      <c r="TI394" s="3"/>
      <c r="TJ394" s="3"/>
      <c r="TK394" s="3"/>
      <c r="TL394" s="3"/>
      <c r="TM394" s="3"/>
      <c r="TN394" s="3"/>
      <c r="TO394" s="3"/>
      <c r="TP394" s="3"/>
      <c r="TQ394" s="3"/>
      <c r="TR394" s="3"/>
      <c r="TS394" s="3"/>
      <c r="TT394" s="3"/>
      <c r="TU394" s="3"/>
      <c r="TV394" s="3"/>
      <c r="TW394" s="3"/>
      <c r="TX394" s="3"/>
      <c r="TY394" s="3"/>
      <c r="TZ394" s="3"/>
      <c r="UA394" s="3"/>
      <c r="UB394" s="3"/>
      <c r="UC394" s="3"/>
      <c r="UD394" s="3"/>
      <c r="UE394" s="3"/>
      <c r="UF394" s="3"/>
      <c r="UG394" s="3"/>
      <c r="UH394" s="3"/>
      <c r="UI394" s="3"/>
      <c r="UJ394" s="3"/>
      <c r="UK394" s="3"/>
      <c r="UL394" s="3"/>
      <c r="UM394" s="3"/>
      <c r="UN394" s="3"/>
      <c r="UO394" s="3"/>
      <c r="UP394" s="3"/>
      <c r="UQ394" s="3"/>
      <c r="UR394" s="3"/>
      <c r="US394" s="3"/>
      <c r="UT394" s="3"/>
      <c r="UU394" s="3"/>
      <c r="UV394" s="3"/>
      <c r="UW394" s="3"/>
      <c r="UX394" s="3"/>
      <c r="UY394" s="3"/>
      <c r="UZ394" s="3"/>
      <c r="VA394" s="3"/>
      <c r="VB394" s="3"/>
      <c r="VC394" s="3"/>
      <c r="VD394" s="3"/>
      <c r="VE394" s="3"/>
      <c r="VF394" s="3"/>
      <c r="VG394" s="3"/>
      <c r="VH394" s="3"/>
      <c r="VI394" s="3"/>
      <c r="VJ394" s="3"/>
      <c r="VK394" s="3"/>
      <c r="VL394" s="3"/>
      <c r="VM394" s="3"/>
      <c r="VN394" s="3"/>
      <c r="VO394" s="3"/>
      <c r="VP394" s="3"/>
      <c r="VQ394" s="3"/>
      <c r="VR394" s="3"/>
      <c r="VS394" s="3"/>
      <c r="VT394" s="3"/>
      <c r="VU394" s="3"/>
      <c r="VV394" s="3"/>
      <c r="VW394" s="3"/>
      <c r="VX394" s="3"/>
      <c r="VY394" s="3"/>
      <c r="VZ394" s="3"/>
      <c r="WA394" s="3"/>
      <c r="WB394" s="3"/>
      <c r="WC394" s="3"/>
      <c r="WD394" s="3"/>
      <c r="WE394" s="3"/>
      <c r="WF394" s="3"/>
      <c r="WG394" s="3"/>
      <c r="WH394" s="3"/>
      <c r="WI394" s="3"/>
      <c r="WJ394" s="3"/>
      <c r="WK394" s="3"/>
      <c r="WL394" s="3"/>
      <c r="WM394" s="3"/>
      <c r="WN394" s="3"/>
      <c r="WO394" s="3"/>
      <c r="WP394" s="3"/>
      <c r="WQ394" s="3"/>
      <c r="WR394" s="3"/>
      <c r="WS394" s="3"/>
      <c r="WT394" s="3"/>
      <c r="WU394" s="3"/>
      <c r="WV394" s="3"/>
      <c r="WW394" s="3"/>
      <c r="WX394" s="3"/>
      <c r="WY394" s="3"/>
      <c r="WZ394" s="3"/>
      <c r="XA394" s="3"/>
      <c r="XB394" s="3"/>
      <c r="XC394" s="3"/>
      <c r="XD394" s="3"/>
      <c r="XE394" s="3"/>
      <c r="XF394" s="3"/>
      <c r="XG394" s="3"/>
      <c r="XH394" s="3"/>
      <c r="XI394" s="3"/>
      <c r="XJ394" s="3"/>
      <c r="XK394" s="3"/>
      <c r="XL394" s="3"/>
      <c r="XM394" s="3"/>
      <c r="XN394" s="3"/>
      <c r="XO394" s="3"/>
      <c r="XP394" s="3"/>
      <c r="XQ394" s="3"/>
      <c r="XR394" s="3"/>
      <c r="XS394" s="3"/>
      <c r="XT394" s="3"/>
      <c r="XU394" s="3"/>
      <c r="XV394" s="3"/>
      <c r="XW394" s="3"/>
      <c r="XX394" s="3"/>
      <c r="XY394" s="3"/>
      <c r="XZ394" s="3"/>
      <c r="YA394" s="3"/>
      <c r="YB394" s="3"/>
      <c r="YC394" s="3"/>
      <c r="YD394" s="3"/>
      <c r="YE394" s="3"/>
      <c r="YF394" s="3"/>
      <c r="YG394" s="3"/>
      <c r="YH394" s="3"/>
      <c r="YI394" s="3"/>
      <c r="YJ394" s="3"/>
      <c r="YK394" s="3"/>
      <c r="YL394" s="3"/>
      <c r="YM394" s="3"/>
      <c r="YN394" s="3"/>
      <c r="YO394" s="3"/>
      <c r="YP394" s="3"/>
      <c r="YQ394" s="3"/>
      <c r="YR394" s="3"/>
      <c r="YS394" s="3"/>
      <c r="YT394" s="3"/>
      <c r="YU394" s="3"/>
      <c r="YV394" s="3"/>
      <c r="YW394" s="3"/>
      <c r="YX394" s="3"/>
      <c r="YY394" s="3"/>
      <c r="YZ394" s="3"/>
      <c r="ZA394" s="3"/>
      <c r="ZB394" s="3"/>
      <c r="ZC394" s="3"/>
    </row>
    <row r="395" spans="1:679" s="2" customFormat="1" x14ac:dyDescent="0.45">
      <c r="A395" s="3" t="s">
        <v>11</v>
      </c>
      <c r="B395" s="4">
        <v>41043</v>
      </c>
      <c r="C395" s="7" t="s">
        <v>25</v>
      </c>
      <c r="D395" s="6" t="s">
        <v>416</v>
      </c>
      <c r="E395" s="3"/>
      <c r="F395" s="3">
        <v>33</v>
      </c>
      <c r="L395" s="3"/>
      <c r="M395" s="3"/>
      <c r="N395" s="48"/>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c r="CO395" s="3"/>
      <c r="CP395" s="3"/>
      <c r="CQ395" s="3"/>
      <c r="CR395" s="3"/>
      <c r="CS395" s="3"/>
      <c r="CT395" s="3"/>
      <c r="CU395" s="3"/>
      <c r="CV395" s="3"/>
      <c r="CW395" s="3"/>
      <c r="CX395" s="3"/>
      <c r="CY395" s="3"/>
      <c r="CZ395" s="3"/>
      <c r="DA395" s="3"/>
      <c r="DB395" s="3"/>
      <c r="DC395" s="3"/>
      <c r="DD395" s="3"/>
      <c r="DE395" s="3"/>
      <c r="DF395" s="3"/>
      <c r="DG395" s="3"/>
      <c r="DH395" s="3"/>
      <c r="DI395" s="3"/>
      <c r="DJ395" s="3"/>
      <c r="DK395" s="3"/>
      <c r="DL395" s="3"/>
      <c r="DM395" s="3"/>
      <c r="DN395" s="3"/>
      <c r="DO395" s="3"/>
      <c r="DP395" s="3"/>
      <c r="DQ395" s="3"/>
      <c r="DR395" s="3"/>
      <c r="DS395" s="3"/>
      <c r="DT395" s="3"/>
      <c r="DU395" s="3"/>
      <c r="DV395" s="3"/>
      <c r="DW395" s="3"/>
      <c r="DX395" s="3"/>
      <c r="DY395" s="3"/>
      <c r="DZ395" s="3"/>
      <c r="EA395" s="3"/>
      <c r="EB395" s="3"/>
      <c r="EC395" s="3"/>
      <c r="ED395" s="3"/>
      <c r="EE395" s="3"/>
      <c r="EF395" s="3"/>
      <c r="EG395" s="3"/>
      <c r="EH395" s="3"/>
      <c r="EI395" s="3"/>
      <c r="EJ395" s="3"/>
      <c r="EK395" s="3"/>
      <c r="EL395" s="3"/>
      <c r="EM395" s="3"/>
      <c r="EN395" s="3"/>
      <c r="EO395" s="3"/>
      <c r="EP395" s="3"/>
      <c r="EQ395" s="3"/>
      <c r="ER395" s="3"/>
      <c r="ES395" s="3"/>
      <c r="ET395" s="3"/>
      <c r="EU395" s="3"/>
      <c r="EV395" s="3"/>
      <c r="EW395" s="3"/>
      <c r="EX395" s="3"/>
      <c r="EY395" s="3"/>
      <c r="EZ395" s="3"/>
      <c r="FA395" s="3"/>
      <c r="FB395" s="3"/>
      <c r="FC395" s="3"/>
      <c r="FD395" s="3"/>
      <c r="FE395" s="3"/>
      <c r="FF395" s="3"/>
      <c r="FG395" s="3"/>
      <c r="FH395" s="3"/>
      <c r="FI395" s="3"/>
      <c r="FJ395" s="3"/>
      <c r="FK395" s="3"/>
      <c r="FL395" s="3"/>
      <c r="FM395" s="3"/>
      <c r="FN395" s="3"/>
      <c r="FO395" s="3"/>
      <c r="FP395" s="3"/>
      <c r="FQ395" s="3"/>
      <c r="FR395" s="3"/>
      <c r="FS395" s="3"/>
      <c r="FT395" s="3"/>
      <c r="FU395" s="3"/>
      <c r="FV395" s="3"/>
      <c r="FW395" s="3"/>
      <c r="FX395" s="3"/>
      <c r="FY395" s="3"/>
      <c r="FZ395" s="3"/>
      <c r="GA395" s="3"/>
      <c r="GB395" s="3"/>
      <c r="GC395" s="3"/>
      <c r="GD395" s="3"/>
      <c r="GE395" s="3"/>
      <c r="GF395" s="3"/>
      <c r="GG395" s="3"/>
      <c r="GH395" s="3"/>
      <c r="GI395" s="3"/>
      <c r="GJ395" s="3"/>
      <c r="GK395" s="3"/>
      <c r="GL395" s="3"/>
      <c r="GM395" s="3"/>
      <c r="GN395" s="3"/>
      <c r="GO395" s="3"/>
      <c r="GP395" s="3"/>
      <c r="GQ395" s="3"/>
      <c r="GR395" s="3"/>
      <c r="GS395" s="3"/>
      <c r="GT395" s="3"/>
      <c r="GU395" s="3"/>
      <c r="GV395" s="3"/>
      <c r="GW395" s="3"/>
      <c r="GX395" s="3"/>
      <c r="GY395" s="3"/>
      <c r="GZ395" s="3"/>
      <c r="HA395" s="3"/>
      <c r="HB395" s="3"/>
      <c r="HC395" s="3"/>
      <c r="HD395" s="3"/>
      <c r="HE395" s="3"/>
      <c r="HF395" s="3"/>
      <c r="HG395" s="3"/>
      <c r="HH395" s="3"/>
      <c r="HI395" s="3"/>
      <c r="HJ395" s="3"/>
      <c r="HK395" s="3"/>
      <c r="HL395" s="3"/>
      <c r="HM395" s="3"/>
      <c r="HN395" s="3"/>
      <c r="HO395" s="3"/>
      <c r="HP395" s="3"/>
      <c r="HQ395" s="3"/>
      <c r="HR395" s="3"/>
      <c r="HS395" s="3"/>
      <c r="HT395" s="3"/>
      <c r="HU395" s="3"/>
      <c r="HV395" s="3"/>
      <c r="HW395" s="3"/>
      <c r="HX395" s="3"/>
      <c r="HY395" s="3"/>
      <c r="HZ395" s="3"/>
      <c r="IA395" s="3"/>
      <c r="IB395" s="3"/>
      <c r="IC395" s="3"/>
      <c r="ID395" s="3"/>
      <c r="IE395" s="3"/>
      <c r="IF395" s="3"/>
      <c r="IG395" s="3"/>
      <c r="IH395" s="3"/>
      <c r="II395" s="3"/>
      <c r="IJ395" s="3"/>
      <c r="IK395" s="3"/>
      <c r="IL395" s="3"/>
      <c r="IM395" s="3"/>
      <c r="IN395" s="3"/>
      <c r="IO395" s="3"/>
      <c r="IP395" s="3"/>
      <c r="IQ395" s="3"/>
      <c r="IR395" s="3"/>
      <c r="IS395" s="3"/>
      <c r="IT395" s="3"/>
      <c r="IU395" s="3"/>
      <c r="IV395" s="3"/>
      <c r="IW395" s="3"/>
      <c r="IX395" s="3"/>
      <c r="IY395" s="3"/>
      <c r="IZ395" s="3"/>
      <c r="JA395" s="3"/>
      <c r="JB395" s="3"/>
      <c r="JC395" s="3"/>
      <c r="JD395" s="3"/>
      <c r="JE395" s="3"/>
      <c r="JF395" s="3"/>
      <c r="JG395" s="3"/>
      <c r="JH395" s="3"/>
      <c r="JI395" s="3"/>
      <c r="JJ395" s="3"/>
      <c r="JK395" s="3"/>
      <c r="JL395" s="3"/>
      <c r="JM395" s="3"/>
      <c r="JN395" s="3"/>
      <c r="JO395" s="3"/>
      <c r="JP395" s="3"/>
      <c r="JQ395" s="3"/>
      <c r="JR395" s="3"/>
      <c r="JS395" s="3"/>
      <c r="JT395" s="3"/>
      <c r="JU395" s="3"/>
      <c r="JV395" s="3"/>
      <c r="JW395" s="3"/>
      <c r="JX395" s="3"/>
      <c r="JY395" s="3"/>
      <c r="JZ395" s="3"/>
      <c r="KA395" s="3"/>
      <c r="KB395" s="3"/>
      <c r="KC395" s="3"/>
      <c r="KD395" s="3"/>
      <c r="KE395" s="3"/>
      <c r="KF395" s="3"/>
      <c r="KG395" s="3"/>
      <c r="KH395" s="3"/>
      <c r="KI395" s="3"/>
      <c r="KJ395" s="3"/>
      <c r="KK395" s="3"/>
      <c r="KL395" s="3"/>
      <c r="KM395" s="3"/>
      <c r="KN395" s="3"/>
      <c r="KO395" s="3"/>
      <c r="KP395" s="3"/>
      <c r="KQ395" s="3"/>
      <c r="KR395" s="3"/>
      <c r="KS395" s="3"/>
      <c r="KT395" s="3"/>
      <c r="KU395" s="3"/>
      <c r="KV395" s="3"/>
      <c r="KW395" s="3"/>
      <c r="KX395" s="3"/>
      <c r="KY395" s="3"/>
      <c r="KZ395" s="3"/>
      <c r="LA395" s="3"/>
      <c r="LB395" s="3"/>
      <c r="LC395" s="3"/>
      <c r="LD395" s="3"/>
      <c r="LE395" s="3"/>
      <c r="LF395" s="3"/>
      <c r="LG395" s="3"/>
      <c r="LH395" s="3"/>
      <c r="LI395" s="3"/>
      <c r="LJ395" s="3"/>
      <c r="LK395" s="3"/>
      <c r="LL395" s="3"/>
      <c r="LM395" s="3"/>
      <c r="LN395" s="3"/>
      <c r="LO395" s="3"/>
      <c r="LP395" s="3"/>
      <c r="LQ395" s="3"/>
      <c r="LR395" s="3"/>
      <c r="LS395" s="3"/>
      <c r="LT395" s="3"/>
      <c r="LU395" s="3"/>
      <c r="LV395" s="3"/>
      <c r="LW395" s="3"/>
      <c r="LX395" s="3"/>
      <c r="LY395" s="3"/>
      <c r="LZ395" s="3"/>
      <c r="MA395" s="3"/>
      <c r="MB395" s="3"/>
      <c r="MC395" s="3"/>
      <c r="MD395" s="3"/>
      <c r="ME395" s="3"/>
      <c r="MF395" s="3"/>
      <c r="MG395" s="3"/>
      <c r="MH395" s="3"/>
      <c r="MI395" s="3"/>
      <c r="MJ395" s="3"/>
      <c r="MK395" s="3"/>
      <c r="ML395" s="3"/>
      <c r="MM395" s="3"/>
      <c r="MN395" s="3"/>
      <c r="MO395" s="3"/>
      <c r="MP395" s="3"/>
      <c r="MQ395" s="3"/>
      <c r="MR395" s="3"/>
      <c r="MS395" s="3"/>
      <c r="MT395" s="3"/>
      <c r="MU395" s="3"/>
      <c r="MV395" s="3"/>
      <c r="MW395" s="3"/>
      <c r="MX395" s="3"/>
      <c r="MY395" s="3"/>
      <c r="MZ395" s="3"/>
      <c r="NA395" s="3"/>
      <c r="NB395" s="3"/>
      <c r="NC395" s="3"/>
      <c r="ND395" s="3"/>
      <c r="NE395" s="3"/>
      <c r="NF395" s="3"/>
      <c r="NG395" s="3"/>
      <c r="NH395" s="3"/>
      <c r="NI395" s="3"/>
      <c r="NJ395" s="3"/>
      <c r="NK395" s="3"/>
      <c r="NL395" s="3"/>
      <c r="NM395" s="3"/>
      <c r="NN395" s="3"/>
      <c r="NO395" s="3"/>
      <c r="NP395" s="3"/>
      <c r="NQ395" s="3"/>
      <c r="NR395" s="3"/>
      <c r="NS395" s="3"/>
      <c r="NT395" s="3"/>
      <c r="NU395" s="3"/>
      <c r="NV395" s="3"/>
      <c r="NW395" s="3"/>
      <c r="NX395" s="3"/>
      <c r="NY395" s="3"/>
      <c r="NZ395" s="3"/>
      <c r="OA395" s="3"/>
      <c r="OB395" s="3"/>
      <c r="OC395" s="3"/>
      <c r="OD395" s="3"/>
      <c r="OE395" s="3"/>
      <c r="OF395" s="3"/>
      <c r="OG395" s="3"/>
      <c r="OH395" s="3"/>
      <c r="OI395" s="3"/>
      <c r="OJ395" s="3"/>
      <c r="OK395" s="3"/>
      <c r="OL395" s="3"/>
      <c r="OM395" s="3"/>
      <c r="ON395" s="3"/>
      <c r="OO395" s="3"/>
      <c r="OP395" s="3"/>
      <c r="OQ395" s="3"/>
      <c r="OR395" s="3"/>
      <c r="OS395" s="3"/>
      <c r="OT395" s="3"/>
      <c r="OU395" s="3"/>
      <c r="OV395" s="3"/>
      <c r="OW395" s="3"/>
      <c r="OX395" s="3"/>
      <c r="OY395" s="3"/>
      <c r="OZ395" s="3"/>
      <c r="PA395" s="3"/>
      <c r="PB395" s="3"/>
      <c r="PC395" s="3"/>
      <c r="PD395" s="3"/>
      <c r="PE395" s="3"/>
      <c r="PF395" s="3"/>
      <c r="PG395" s="3"/>
      <c r="PH395" s="3"/>
      <c r="PI395" s="3"/>
      <c r="PJ395" s="3"/>
      <c r="PK395" s="3"/>
      <c r="PL395" s="3"/>
      <c r="PM395" s="3"/>
      <c r="PN395" s="3"/>
      <c r="PO395" s="3"/>
      <c r="PP395" s="3"/>
      <c r="PQ395" s="3"/>
      <c r="PR395" s="3"/>
      <c r="PS395" s="3"/>
      <c r="PT395" s="3"/>
      <c r="PU395" s="3"/>
      <c r="PV395" s="3"/>
      <c r="PW395" s="3"/>
      <c r="PX395" s="3"/>
      <c r="PY395" s="3"/>
      <c r="PZ395" s="3"/>
      <c r="QA395" s="3"/>
      <c r="QB395" s="3"/>
      <c r="QC395" s="3"/>
      <c r="QD395" s="3"/>
      <c r="QE395" s="3"/>
      <c r="QF395" s="3"/>
      <c r="QG395" s="3"/>
      <c r="QH395" s="3"/>
      <c r="QI395" s="3"/>
      <c r="QJ395" s="3"/>
      <c r="QK395" s="3"/>
      <c r="QL395" s="3"/>
      <c r="QM395" s="3"/>
      <c r="QN395" s="3"/>
      <c r="QO395" s="3"/>
      <c r="QP395" s="3"/>
      <c r="QQ395" s="3"/>
      <c r="QR395" s="3"/>
      <c r="QS395" s="3"/>
      <c r="QT395" s="3"/>
      <c r="QU395" s="3"/>
      <c r="QV395" s="3"/>
      <c r="QW395" s="3"/>
      <c r="QX395" s="3"/>
      <c r="QY395" s="3"/>
      <c r="QZ395" s="3"/>
      <c r="RA395" s="3"/>
      <c r="RB395" s="3"/>
      <c r="RC395" s="3"/>
      <c r="RD395" s="3"/>
      <c r="RE395" s="3"/>
      <c r="RF395" s="3"/>
      <c r="RG395" s="3"/>
      <c r="RH395" s="3"/>
      <c r="RI395" s="3"/>
      <c r="RJ395" s="3"/>
      <c r="RK395" s="3"/>
      <c r="RL395" s="3"/>
      <c r="RM395" s="3"/>
      <c r="RN395" s="3"/>
      <c r="RO395" s="3"/>
      <c r="RP395" s="3"/>
      <c r="RQ395" s="3"/>
      <c r="RR395" s="3"/>
      <c r="RS395" s="3"/>
      <c r="RT395" s="3"/>
      <c r="RU395" s="3"/>
      <c r="RV395" s="3"/>
      <c r="RW395" s="3"/>
      <c r="RX395" s="3"/>
      <c r="RY395" s="3"/>
      <c r="RZ395" s="3"/>
      <c r="SA395" s="3"/>
      <c r="SB395" s="3"/>
      <c r="SC395" s="3"/>
      <c r="SD395" s="3"/>
      <c r="SE395" s="3"/>
      <c r="SF395" s="3"/>
      <c r="SG395" s="3"/>
      <c r="SH395" s="3"/>
      <c r="SI395" s="3"/>
      <c r="SJ395" s="3"/>
      <c r="SK395" s="3"/>
      <c r="SL395" s="3"/>
      <c r="SM395" s="3"/>
      <c r="SN395" s="3"/>
      <c r="SO395" s="3"/>
      <c r="SP395" s="3"/>
      <c r="SQ395" s="3"/>
      <c r="SR395" s="3"/>
      <c r="SS395" s="3"/>
      <c r="ST395" s="3"/>
      <c r="SU395" s="3"/>
      <c r="SV395" s="3"/>
      <c r="SW395" s="3"/>
      <c r="SX395" s="3"/>
      <c r="SY395" s="3"/>
      <c r="SZ395" s="3"/>
      <c r="TA395" s="3"/>
      <c r="TB395" s="3"/>
      <c r="TC395" s="3"/>
      <c r="TD395" s="3"/>
      <c r="TE395" s="3"/>
      <c r="TF395" s="3"/>
      <c r="TG395" s="3"/>
      <c r="TH395" s="3"/>
      <c r="TI395" s="3"/>
      <c r="TJ395" s="3"/>
      <c r="TK395" s="3"/>
      <c r="TL395" s="3"/>
      <c r="TM395" s="3"/>
      <c r="TN395" s="3"/>
      <c r="TO395" s="3"/>
      <c r="TP395" s="3"/>
      <c r="TQ395" s="3"/>
      <c r="TR395" s="3"/>
      <c r="TS395" s="3"/>
      <c r="TT395" s="3"/>
      <c r="TU395" s="3"/>
      <c r="TV395" s="3"/>
      <c r="TW395" s="3"/>
      <c r="TX395" s="3"/>
      <c r="TY395" s="3"/>
      <c r="TZ395" s="3"/>
      <c r="UA395" s="3"/>
      <c r="UB395" s="3"/>
      <c r="UC395" s="3"/>
      <c r="UD395" s="3"/>
      <c r="UE395" s="3"/>
      <c r="UF395" s="3"/>
      <c r="UG395" s="3"/>
      <c r="UH395" s="3"/>
      <c r="UI395" s="3"/>
      <c r="UJ395" s="3"/>
      <c r="UK395" s="3"/>
      <c r="UL395" s="3"/>
      <c r="UM395" s="3"/>
      <c r="UN395" s="3"/>
      <c r="UO395" s="3"/>
      <c r="UP395" s="3"/>
      <c r="UQ395" s="3"/>
      <c r="UR395" s="3"/>
      <c r="US395" s="3"/>
      <c r="UT395" s="3"/>
      <c r="UU395" s="3"/>
      <c r="UV395" s="3"/>
      <c r="UW395" s="3"/>
      <c r="UX395" s="3"/>
      <c r="UY395" s="3"/>
      <c r="UZ395" s="3"/>
      <c r="VA395" s="3"/>
      <c r="VB395" s="3"/>
      <c r="VC395" s="3"/>
      <c r="VD395" s="3"/>
      <c r="VE395" s="3"/>
      <c r="VF395" s="3"/>
      <c r="VG395" s="3"/>
      <c r="VH395" s="3"/>
      <c r="VI395" s="3"/>
      <c r="VJ395" s="3"/>
      <c r="VK395" s="3"/>
      <c r="VL395" s="3"/>
      <c r="VM395" s="3"/>
      <c r="VN395" s="3"/>
      <c r="VO395" s="3"/>
      <c r="VP395" s="3"/>
      <c r="VQ395" s="3"/>
      <c r="VR395" s="3"/>
      <c r="VS395" s="3"/>
      <c r="VT395" s="3"/>
      <c r="VU395" s="3"/>
      <c r="VV395" s="3"/>
      <c r="VW395" s="3"/>
      <c r="VX395" s="3"/>
      <c r="VY395" s="3"/>
      <c r="VZ395" s="3"/>
      <c r="WA395" s="3"/>
      <c r="WB395" s="3"/>
      <c r="WC395" s="3"/>
      <c r="WD395" s="3"/>
      <c r="WE395" s="3"/>
      <c r="WF395" s="3"/>
      <c r="WG395" s="3"/>
      <c r="WH395" s="3"/>
      <c r="WI395" s="3"/>
      <c r="WJ395" s="3"/>
      <c r="WK395" s="3"/>
      <c r="WL395" s="3"/>
      <c r="WM395" s="3"/>
      <c r="WN395" s="3"/>
      <c r="WO395" s="3"/>
      <c r="WP395" s="3"/>
      <c r="WQ395" s="3"/>
      <c r="WR395" s="3"/>
      <c r="WS395" s="3"/>
      <c r="WT395" s="3"/>
      <c r="WU395" s="3"/>
      <c r="WV395" s="3"/>
      <c r="WW395" s="3"/>
      <c r="WX395" s="3"/>
      <c r="WY395" s="3"/>
      <c r="WZ395" s="3"/>
      <c r="XA395" s="3"/>
      <c r="XB395" s="3"/>
      <c r="XC395" s="3"/>
      <c r="XD395" s="3"/>
      <c r="XE395" s="3"/>
      <c r="XF395" s="3"/>
      <c r="XG395" s="3"/>
      <c r="XH395" s="3"/>
      <c r="XI395" s="3"/>
      <c r="XJ395" s="3"/>
      <c r="XK395" s="3"/>
      <c r="XL395" s="3"/>
      <c r="XM395" s="3"/>
      <c r="XN395" s="3"/>
      <c r="XO395" s="3"/>
      <c r="XP395" s="3"/>
      <c r="XQ395" s="3"/>
      <c r="XR395" s="3"/>
      <c r="XS395" s="3"/>
      <c r="XT395" s="3"/>
      <c r="XU395" s="3"/>
      <c r="XV395" s="3"/>
      <c r="XW395" s="3"/>
      <c r="XX395" s="3"/>
      <c r="XY395" s="3"/>
      <c r="XZ395" s="3"/>
      <c r="YA395" s="3"/>
      <c r="YB395" s="3"/>
      <c r="YC395" s="3"/>
      <c r="YD395" s="3"/>
      <c r="YE395" s="3"/>
      <c r="YF395" s="3"/>
      <c r="YG395" s="3"/>
      <c r="YH395" s="3"/>
      <c r="YI395" s="3"/>
      <c r="YJ395" s="3"/>
      <c r="YK395" s="3"/>
      <c r="YL395" s="3"/>
      <c r="YM395" s="3"/>
      <c r="YN395" s="3"/>
      <c r="YO395" s="3"/>
      <c r="YP395" s="3"/>
      <c r="YQ395" s="3"/>
      <c r="YR395" s="3"/>
      <c r="YS395" s="3"/>
      <c r="YT395" s="3"/>
      <c r="YU395" s="3"/>
      <c r="YV395" s="3"/>
      <c r="YW395" s="3"/>
      <c r="YX395" s="3"/>
      <c r="YY395" s="3"/>
      <c r="YZ395" s="3"/>
      <c r="ZA395" s="3"/>
      <c r="ZB395" s="3"/>
      <c r="ZC395" s="3"/>
    </row>
    <row r="396" spans="1:679" s="2" customFormat="1" x14ac:dyDescent="0.45">
      <c r="A396" s="3" t="s">
        <v>11</v>
      </c>
      <c r="B396" s="4">
        <v>41059</v>
      </c>
      <c r="C396" s="7" t="s">
        <v>302</v>
      </c>
      <c r="D396" s="6" t="s">
        <v>417</v>
      </c>
      <c r="E396" s="3" t="s">
        <v>417</v>
      </c>
      <c r="F396" s="3">
        <v>37</v>
      </c>
      <c r="L396" s="3"/>
      <c r="M396" s="3"/>
      <c r="N396" s="48"/>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c r="CO396" s="3"/>
      <c r="CP396" s="3"/>
      <c r="CQ396" s="3"/>
      <c r="CR396" s="3"/>
      <c r="CS396" s="3"/>
      <c r="CT396" s="3"/>
      <c r="CU396" s="3"/>
      <c r="CV396" s="3"/>
      <c r="CW396" s="3"/>
      <c r="CX396" s="3"/>
      <c r="CY396" s="3"/>
      <c r="CZ396" s="3"/>
      <c r="DA396" s="3"/>
      <c r="DB396" s="3"/>
      <c r="DC396" s="3"/>
      <c r="DD396" s="3"/>
      <c r="DE396" s="3"/>
      <c r="DF396" s="3"/>
      <c r="DG396" s="3"/>
      <c r="DH396" s="3"/>
      <c r="DI396" s="3"/>
      <c r="DJ396" s="3"/>
      <c r="DK396" s="3"/>
      <c r="DL396" s="3"/>
      <c r="DM396" s="3"/>
      <c r="DN396" s="3"/>
      <c r="DO396" s="3"/>
      <c r="DP396" s="3"/>
      <c r="DQ396" s="3"/>
      <c r="DR396" s="3"/>
      <c r="DS396" s="3"/>
      <c r="DT396" s="3"/>
      <c r="DU396" s="3"/>
      <c r="DV396" s="3"/>
      <c r="DW396" s="3"/>
      <c r="DX396" s="3"/>
      <c r="DY396" s="3"/>
      <c r="DZ396" s="3"/>
      <c r="EA396" s="3"/>
      <c r="EB396" s="3"/>
      <c r="EC396" s="3"/>
      <c r="ED396" s="3"/>
      <c r="EE396" s="3"/>
      <c r="EF396" s="3"/>
      <c r="EG396" s="3"/>
      <c r="EH396" s="3"/>
      <c r="EI396" s="3"/>
      <c r="EJ396" s="3"/>
      <c r="EK396" s="3"/>
      <c r="EL396" s="3"/>
      <c r="EM396" s="3"/>
      <c r="EN396" s="3"/>
      <c r="EO396" s="3"/>
      <c r="EP396" s="3"/>
      <c r="EQ396" s="3"/>
      <c r="ER396" s="3"/>
      <c r="ES396" s="3"/>
      <c r="ET396" s="3"/>
      <c r="EU396" s="3"/>
      <c r="EV396" s="3"/>
      <c r="EW396" s="3"/>
      <c r="EX396" s="3"/>
      <c r="EY396" s="3"/>
      <c r="EZ396" s="3"/>
      <c r="FA396" s="3"/>
      <c r="FB396" s="3"/>
      <c r="FC396" s="3"/>
      <c r="FD396" s="3"/>
      <c r="FE396" s="3"/>
      <c r="FF396" s="3"/>
      <c r="FG396" s="3"/>
      <c r="FH396" s="3"/>
      <c r="FI396" s="3"/>
      <c r="FJ396" s="3"/>
      <c r="FK396" s="3"/>
      <c r="FL396" s="3"/>
      <c r="FM396" s="3"/>
      <c r="FN396" s="3"/>
      <c r="FO396" s="3"/>
      <c r="FP396" s="3"/>
      <c r="FQ396" s="3"/>
      <c r="FR396" s="3"/>
      <c r="FS396" s="3"/>
      <c r="FT396" s="3"/>
      <c r="FU396" s="3"/>
      <c r="FV396" s="3"/>
      <c r="FW396" s="3"/>
      <c r="FX396" s="3"/>
      <c r="FY396" s="3"/>
      <c r="FZ396" s="3"/>
      <c r="GA396" s="3"/>
      <c r="GB396" s="3"/>
      <c r="GC396" s="3"/>
      <c r="GD396" s="3"/>
      <c r="GE396" s="3"/>
      <c r="GF396" s="3"/>
      <c r="GG396" s="3"/>
      <c r="GH396" s="3"/>
      <c r="GI396" s="3"/>
      <c r="GJ396" s="3"/>
      <c r="GK396" s="3"/>
      <c r="GL396" s="3"/>
      <c r="GM396" s="3"/>
      <c r="GN396" s="3"/>
      <c r="GO396" s="3"/>
      <c r="GP396" s="3"/>
      <c r="GQ396" s="3"/>
      <c r="GR396" s="3"/>
      <c r="GS396" s="3"/>
      <c r="GT396" s="3"/>
      <c r="GU396" s="3"/>
      <c r="GV396" s="3"/>
      <c r="GW396" s="3"/>
      <c r="GX396" s="3"/>
      <c r="GY396" s="3"/>
      <c r="GZ396" s="3"/>
      <c r="HA396" s="3"/>
      <c r="HB396" s="3"/>
      <c r="HC396" s="3"/>
      <c r="HD396" s="3"/>
      <c r="HE396" s="3"/>
      <c r="HF396" s="3"/>
      <c r="HG396" s="3"/>
      <c r="HH396" s="3"/>
      <c r="HI396" s="3"/>
      <c r="HJ396" s="3"/>
      <c r="HK396" s="3"/>
      <c r="HL396" s="3"/>
      <c r="HM396" s="3"/>
      <c r="HN396" s="3"/>
      <c r="HO396" s="3"/>
      <c r="HP396" s="3"/>
      <c r="HQ396" s="3"/>
      <c r="HR396" s="3"/>
      <c r="HS396" s="3"/>
      <c r="HT396" s="3"/>
      <c r="HU396" s="3"/>
      <c r="HV396" s="3"/>
      <c r="HW396" s="3"/>
      <c r="HX396" s="3"/>
      <c r="HY396" s="3"/>
      <c r="HZ396" s="3"/>
      <c r="IA396" s="3"/>
      <c r="IB396" s="3"/>
      <c r="IC396" s="3"/>
      <c r="ID396" s="3"/>
      <c r="IE396" s="3"/>
      <c r="IF396" s="3"/>
      <c r="IG396" s="3"/>
      <c r="IH396" s="3"/>
      <c r="II396" s="3"/>
      <c r="IJ396" s="3"/>
      <c r="IK396" s="3"/>
      <c r="IL396" s="3"/>
      <c r="IM396" s="3"/>
      <c r="IN396" s="3"/>
      <c r="IO396" s="3"/>
      <c r="IP396" s="3"/>
      <c r="IQ396" s="3"/>
      <c r="IR396" s="3"/>
      <c r="IS396" s="3"/>
      <c r="IT396" s="3"/>
      <c r="IU396" s="3"/>
      <c r="IV396" s="3"/>
      <c r="IW396" s="3"/>
      <c r="IX396" s="3"/>
      <c r="IY396" s="3"/>
      <c r="IZ396" s="3"/>
      <c r="JA396" s="3"/>
      <c r="JB396" s="3"/>
      <c r="JC396" s="3"/>
      <c r="JD396" s="3"/>
      <c r="JE396" s="3"/>
      <c r="JF396" s="3"/>
      <c r="JG396" s="3"/>
      <c r="JH396" s="3"/>
      <c r="JI396" s="3"/>
      <c r="JJ396" s="3"/>
      <c r="JK396" s="3"/>
      <c r="JL396" s="3"/>
      <c r="JM396" s="3"/>
      <c r="JN396" s="3"/>
      <c r="JO396" s="3"/>
      <c r="JP396" s="3"/>
      <c r="JQ396" s="3"/>
      <c r="JR396" s="3"/>
      <c r="JS396" s="3"/>
      <c r="JT396" s="3"/>
      <c r="JU396" s="3"/>
      <c r="JV396" s="3"/>
      <c r="JW396" s="3"/>
      <c r="JX396" s="3"/>
      <c r="JY396" s="3"/>
      <c r="JZ396" s="3"/>
      <c r="KA396" s="3"/>
      <c r="KB396" s="3"/>
      <c r="KC396" s="3"/>
      <c r="KD396" s="3"/>
      <c r="KE396" s="3"/>
      <c r="KF396" s="3"/>
      <c r="KG396" s="3"/>
      <c r="KH396" s="3"/>
      <c r="KI396" s="3"/>
      <c r="KJ396" s="3"/>
      <c r="KK396" s="3"/>
      <c r="KL396" s="3"/>
      <c r="KM396" s="3"/>
      <c r="KN396" s="3"/>
      <c r="KO396" s="3"/>
      <c r="KP396" s="3"/>
      <c r="KQ396" s="3"/>
      <c r="KR396" s="3"/>
      <c r="KS396" s="3"/>
      <c r="KT396" s="3"/>
      <c r="KU396" s="3"/>
      <c r="KV396" s="3"/>
      <c r="KW396" s="3"/>
      <c r="KX396" s="3"/>
      <c r="KY396" s="3"/>
      <c r="KZ396" s="3"/>
      <c r="LA396" s="3"/>
      <c r="LB396" s="3"/>
      <c r="LC396" s="3"/>
      <c r="LD396" s="3"/>
      <c r="LE396" s="3"/>
      <c r="LF396" s="3"/>
      <c r="LG396" s="3"/>
      <c r="LH396" s="3"/>
      <c r="LI396" s="3"/>
      <c r="LJ396" s="3"/>
      <c r="LK396" s="3"/>
      <c r="LL396" s="3"/>
      <c r="LM396" s="3"/>
      <c r="LN396" s="3"/>
      <c r="LO396" s="3"/>
      <c r="LP396" s="3"/>
      <c r="LQ396" s="3"/>
      <c r="LR396" s="3"/>
      <c r="LS396" s="3"/>
      <c r="LT396" s="3"/>
      <c r="LU396" s="3"/>
      <c r="LV396" s="3"/>
      <c r="LW396" s="3"/>
      <c r="LX396" s="3"/>
      <c r="LY396" s="3"/>
      <c r="LZ396" s="3"/>
      <c r="MA396" s="3"/>
      <c r="MB396" s="3"/>
      <c r="MC396" s="3"/>
      <c r="MD396" s="3"/>
      <c r="ME396" s="3"/>
      <c r="MF396" s="3"/>
      <c r="MG396" s="3"/>
      <c r="MH396" s="3"/>
      <c r="MI396" s="3"/>
      <c r="MJ396" s="3"/>
      <c r="MK396" s="3"/>
      <c r="ML396" s="3"/>
      <c r="MM396" s="3"/>
      <c r="MN396" s="3"/>
      <c r="MO396" s="3"/>
      <c r="MP396" s="3"/>
      <c r="MQ396" s="3"/>
      <c r="MR396" s="3"/>
      <c r="MS396" s="3"/>
      <c r="MT396" s="3"/>
      <c r="MU396" s="3"/>
      <c r="MV396" s="3"/>
      <c r="MW396" s="3"/>
      <c r="MX396" s="3"/>
      <c r="MY396" s="3"/>
      <c r="MZ396" s="3"/>
      <c r="NA396" s="3"/>
      <c r="NB396" s="3"/>
      <c r="NC396" s="3"/>
      <c r="ND396" s="3"/>
      <c r="NE396" s="3"/>
      <c r="NF396" s="3"/>
      <c r="NG396" s="3"/>
      <c r="NH396" s="3"/>
      <c r="NI396" s="3"/>
      <c r="NJ396" s="3"/>
      <c r="NK396" s="3"/>
      <c r="NL396" s="3"/>
      <c r="NM396" s="3"/>
      <c r="NN396" s="3"/>
      <c r="NO396" s="3"/>
      <c r="NP396" s="3"/>
      <c r="NQ396" s="3"/>
      <c r="NR396" s="3"/>
      <c r="NS396" s="3"/>
      <c r="NT396" s="3"/>
      <c r="NU396" s="3"/>
      <c r="NV396" s="3"/>
      <c r="NW396" s="3"/>
      <c r="NX396" s="3"/>
      <c r="NY396" s="3"/>
      <c r="NZ396" s="3"/>
      <c r="OA396" s="3"/>
      <c r="OB396" s="3"/>
      <c r="OC396" s="3"/>
      <c r="OD396" s="3"/>
      <c r="OE396" s="3"/>
      <c r="OF396" s="3"/>
      <c r="OG396" s="3"/>
      <c r="OH396" s="3"/>
      <c r="OI396" s="3"/>
      <c r="OJ396" s="3"/>
      <c r="OK396" s="3"/>
      <c r="OL396" s="3"/>
      <c r="OM396" s="3"/>
      <c r="ON396" s="3"/>
      <c r="OO396" s="3"/>
      <c r="OP396" s="3"/>
      <c r="OQ396" s="3"/>
      <c r="OR396" s="3"/>
      <c r="OS396" s="3"/>
      <c r="OT396" s="3"/>
      <c r="OU396" s="3"/>
      <c r="OV396" s="3"/>
      <c r="OW396" s="3"/>
      <c r="OX396" s="3"/>
      <c r="OY396" s="3"/>
      <c r="OZ396" s="3"/>
      <c r="PA396" s="3"/>
      <c r="PB396" s="3"/>
      <c r="PC396" s="3"/>
      <c r="PD396" s="3"/>
      <c r="PE396" s="3"/>
      <c r="PF396" s="3"/>
      <c r="PG396" s="3"/>
      <c r="PH396" s="3"/>
      <c r="PI396" s="3"/>
      <c r="PJ396" s="3"/>
      <c r="PK396" s="3"/>
      <c r="PL396" s="3"/>
      <c r="PM396" s="3"/>
      <c r="PN396" s="3"/>
      <c r="PO396" s="3"/>
      <c r="PP396" s="3"/>
      <c r="PQ396" s="3"/>
      <c r="PR396" s="3"/>
      <c r="PS396" s="3"/>
      <c r="PT396" s="3"/>
      <c r="PU396" s="3"/>
      <c r="PV396" s="3"/>
      <c r="PW396" s="3"/>
      <c r="PX396" s="3"/>
      <c r="PY396" s="3"/>
      <c r="PZ396" s="3"/>
      <c r="QA396" s="3"/>
      <c r="QB396" s="3"/>
      <c r="QC396" s="3"/>
      <c r="QD396" s="3"/>
      <c r="QE396" s="3"/>
      <c r="QF396" s="3"/>
      <c r="QG396" s="3"/>
      <c r="QH396" s="3"/>
      <c r="QI396" s="3"/>
      <c r="QJ396" s="3"/>
      <c r="QK396" s="3"/>
      <c r="QL396" s="3"/>
      <c r="QM396" s="3"/>
      <c r="QN396" s="3"/>
      <c r="QO396" s="3"/>
      <c r="QP396" s="3"/>
      <c r="QQ396" s="3"/>
      <c r="QR396" s="3"/>
      <c r="QS396" s="3"/>
      <c r="QT396" s="3"/>
      <c r="QU396" s="3"/>
      <c r="QV396" s="3"/>
      <c r="QW396" s="3"/>
      <c r="QX396" s="3"/>
      <c r="QY396" s="3"/>
      <c r="QZ396" s="3"/>
      <c r="RA396" s="3"/>
      <c r="RB396" s="3"/>
      <c r="RC396" s="3"/>
      <c r="RD396" s="3"/>
      <c r="RE396" s="3"/>
      <c r="RF396" s="3"/>
      <c r="RG396" s="3"/>
      <c r="RH396" s="3"/>
      <c r="RI396" s="3"/>
      <c r="RJ396" s="3"/>
      <c r="RK396" s="3"/>
      <c r="RL396" s="3"/>
      <c r="RM396" s="3"/>
      <c r="RN396" s="3"/>
      <c r="RO396" s="3"/>
      <c r="RP396" s="3"/>
      <c r="RQ396" s="3"/>
      <c r="RR396" s="3"/>
      <c r="RS396" s="3"/>
      <c r="RT396" s="3"/>
      <c r="RU396" s="3"/>
      <c r="RV396" s="3"/>
      <c r="RW396" s="3"/>
      <c r="RX396" s="3"/>
      <c r="RY396" s="3"/>
      <c r="RZ396" s="3"/>
      <c r="SA396" s="3"/>
      <c r="SB396" s="3"/>
      <c r="SC396" s="3"/>
      <c r="SD396" s="3"/>
      <c r="SE396" s="3"/>
      <c r="SF396" s="3"/>
      <c r="SG396" s="3"/>
      <c r="SH396" s="3"/>
      <c r="SI396" s="3"/>
      <c r="SJ396" s="3"/>
      <c r="SK396" s="3"/>
      <c r="SL396" s="3"/>
      <c r="SM396" s="3"/>
      <c r="SN396" s="3"/>
      <c r="SO396" s="3"/>
      <c r="SP396" s="3"/>
      <c r="SQ396" s="3"/>
      <c r="SR396" s="3"/>
      <c r="SS396" s="3"/>
      <c r="ST396" s="3"/>
      <c r="SU396" s="3"/>
      <c r="SV396" s="3"/>
      <c r="SW396" s="3"/>
      <c r="SX396" s="3"/>
      <c r="SY396" s="3"/>
      <c r="SZ396" s="3"/>
      <c r="TA396" s="3"/>
      <c r="TB396" s="3"/>
      <c r="TC396" s="3"/>
      <c r="TD396" s="3"/>
      <c r="TE396" s="3"/>
      <c r="TF396" s="3"/>
      <c r="TG396" s="3"/>
      <c r="TH396" s="3"/>
      <c r="TI396" s="3"/>
      <c r="TJ396" s="3"/>
      <c r="TK396" s="3"/>
      <c r="TL396" s="3"/>
      <c r="TM396" s="3"/>
      <c r="TN396" s="3"/>
      <c r="TO396" s="3"/>
      <c r="TP396" s="3"/>
      <c r="TQ396" s="3"/>
      <c r="TR396" s="3"/>
      <c r="TS396" s="3"/>
      <c r="TT396" s="3"/>
      <c r="TU396" s="3"/>
      <c r="TV396" s="3"/>
      <c r="TW396" s="3"/>
      <c r="TX396" s="3"/>
      <c r="TY396" s="3"/>
      <c r="TZ396" s="3"/>
      <c r="UA396" s="3"/>
      <c r="UB396" s="3"/>
      <c r="UC396" s="3"/>
      <c r="UD396" s="3"/>
      <c r="UE396" s="3"/>
      <c r="UF396" s="3"/>
      <c r="UG396" s="3"/>
      <c r="UH396" s="3"/>
      <c r="UI396" s="3"/>
      <c r="UJ396" s="3"/>
      <c r="UK396" s="3"/>
      <c r="UL396" s="3"/>
      <c r="UM396" s="3"/>
      <c r="UN396" s="3"/>
      <c r="UO396" s="3"/>
      <c r="UP396" s="3"/>
      <c r="UQ396" s="3"/>
      <c r="UR396" s="3"/>
      <c r="US396" s="3"/>
      <c r="UT396" s="3"/>
      <c r="UU396" s="3"/>
      <c r="UV396" s="3"/>
      <c r="UW396" s="3"/>
      <c r="UX396" s="3"/>
      <c r="UY396" s="3"/>
      <c r="UZ396" s="3"/>
      <c r="VA396" s="3"/>
      <c r="VB396" s="3"/>
      <c r="VC396" s="3"/>
      <c r="VD396" s="3"/>
      <c r="VE396" s="3"/>
      <c r="VF396" s="3"/>
      <c r="VG396" s="3"/>
      <c r="VH396" s="3"/>
      <c r="VI396" s="3"/>
      <c r="VJ396" s="3"/>
      <c r="VK396" s="3"/>
      <c r="VL396" s="3"/>
      <c r="VM396" s="3"/>
      <c r="VN396" s="3"/>
      <c r="VO396" s="3"/>
      <c r="VP396" s="3"/>
      <c r="VQ396" s="3"/>
      <c r="VR396" s="3"/>
      <c r="VS396" s="3"/>
      <c r="VT396" s="3"/>
      <c r="VU396" s="3"/>
      <c r="VV396" s="3"/>
      <c r="VW396" s="3"/>
      <c r="VX396" s="3"/>
      <c r="VY396" s="3"/>
      <c r="VZ396" s="3"/>
      <c r="WA396" s="3"/>
      <c r="WB396" s="3"/>
      <c r="WC396" s="3"/>
      <c r="WD396" s="3"/>
      <c r="WE396" s="3"/>
      <c r="WF396" s="3"/>
      <c r="WG396" s="3"/>
      <c r="WH396" s="3"/>
      <c r="WI396" s="3"/>
      <c r="WJ396" s="3"/>
      <c r="WK396" s="3"/>
      <c r="WL396" s="3"/>
      <c r="WM396" s="3"/>
      <c r="WN396" s="3"/>
      <c r="WO396" s="3"/>
      <c r="WP396" s="3"/>
      <c r="WQ396" s="3"/>
      <c r="WR396" s="3"/>
      <c r="WS396" s="3"/>
      <c r="WT396" s="3"/>
      <c r="WU396" s="3"/>
      <c r="WV396" s="3"/>
      <c r="WW396" s="3"/>
      <c r="WX396" s="3"/>
      <c r="WY396" s="3"/>
      <c r="WZ396" s="3"/>
      <c r="XA396" s="3"/>
      <c r="XB396" s="3"/>
      <c r="XC396" s="3"/>
      <c r="XD396" s="3"/>
      <c r="XE396" s="3"/>
      <c r="XF396" s="3"/>
      <c r="XG396" s="3"/>
      <c r="XH396" s="3"/>
      <c r="XI396" s="3"/>
      <c r="XJ396" s="3"/>
      <c r="XK396" s="3"/>
      <c r="XL396" s="3"/>
      <c r="XM396" s="3"/>
      <c r="XN396" s="3"/>
      <c r="XO396" s="3"/>
      <c r="XP396" s="3"/>
      <c r="XQ396" s="3"/>
      <c r="XR396" s="3"/>
      <c r="XS396" s="3"/>
      <c r="XT396" s="3"/>
      <c r="XU396" s="3"/>
      <c r="XV396" s="3"/>
      <c r="XW396" s="3"/>
      <c r="XX396" s="3"/>
      <c r="XY396" s="3"/>
      <c r="XZ396" s="3"/>
      <c r="YA396" s="3"/>
      <c r="YB396" s="3"/>
      <c r="YC396" s="3"/>
      <c r="YD396" s="3"/>
      <c r="YE396" s="3"/>
      <c r="YF396" s="3"/>
      <c r="YG396" s="3"/>
      <c r="YH396" s="3"/>
      <c r="YI396" s="3"/>
      <c r="YJ396" s="3"/>
      <c r="YK396" s="3"/>
      <c r="YL396" s="3"/>
      <c r="YM396" s="3"/>
      <c r="YN396" s="3"/>
      <c r="YO396" s="3"/>
      <c r="YP396" s="3"/>
      <c r="YQ396" s="3"/>
      <c r="YR396" s="3"/>
      <c r="YS396" s="3"/>
      <c r="YT396" s="3"/>
      <c r="YU396" s="3"/>
      <c r="YV396" s="3"/>
      <c r="YW396" s="3"/>
      <c r="YX396" s="3"/>
      <c r="YY396" s="3"/>
      <c r="YZ396" s="3"/>
      <c r="ZA396" s="3"/>
      <c r="ZB396" s="3"/>
      <c r="ZC396" s="3"/>
    </row>
    <row r="397" spans="1:679" s="2" customFormat="1" x14ac:dyDescent="0.45">
      <c r="A397" s="3" t="s">
        <v>11</v>
      </c>
      <c r="B397" s="4">
        <v>41122</v>
      </c>
      <c r="C397" s="7" t="s">
        <v>25</v>
      </c>
      <c r="D397" s="6" t="s">
        <v>418</v>
      </c>
      <c r="E397" s="3"/>
      <c r="F397" s="3">
        <v>9</v>
      </c>
      <c r="L397" s="3"/>
      <c r="M397" s="3"/>
      <c r="N397" s="48"/>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c r="CO397" s="3"/>
      <c r="CP397" s="3"/>
      <c r="CQ397" s="3"/>
      <c r="CR397" s="3"/>
      <c r="CS397" s="3"/>
      <c r="CT397" s="3"/>
      <c r="CU397" s="3"/>
      <c r="CV397" s="3"/>
      <c r="CW397" s="3"/>
      <c r="CX397" s="3"/>
      <c r="CY397" s="3"/>
      <c r="CZ397" s="3"/>
      <c r="DA397" s="3"/>
      <c r="DB397" s="3"/>
      <c r="DC397" s="3"/>
      <c r="DD397" s="3"/>
      <c r="DE397" s="3"/>
      <c r="DF397" s="3"/>
      <c r="DG397" s="3"/>
      <c r="DH397" s="3"/>
      <c r="DI397" s="3"/>
      <c r="DJ397" s="3"/>
      <c r="DK397" s="3"/>
      <c r="DL397" s="3"/>
      <c r="DM397" s="3"/>
      <c r="DN397" s="3"/>
      <c r="DO397" s="3"/>
      <c r="DP397" s="3"/>
      <c r="DQ397" s="3"/>
      <c r="DR397" s="3"/>
      <c r="DS397" s="3"/>
      <c r="DT397" s="3"/>
      <c r="DU397" s="3"/>
      <c r="DV397" s="3"/>
      <c r="DW397" s="3"/>
      <c r="DX397" s="3"/>
      <c r="DY397" s="3"/>
      <c r="DZ397" s="3"/>
      <c r="EA397" s="3"/>
      <c r="EB397" s="3"/>
      <c r="EC397" s="3"/>
      <c r="ED397" s="3"/>
      <c r="EE397" s="3"/>
      <c r="EF397" s="3"/>
      <c r="EG397" s="3"/>
      <c r="EH397" s="3"/>
      <c r="EI397" s="3"/>
      <c r="EJ397" s="3"/>
      <c r="EK397" s="3"/>
      <c r="EL397" s="3"/>
      <c r="EM397" s="3"/>
      <c r="EN397" s="3"/>
      <c r="EO397" s="3"/>
      <c r="EP397" s="3"/>
      <c r="EQ397" s="3"/>
      <c r="ER397" s="3"/>
      <c r="ES397" s="3"/>
      <c r="ET397" s="3"/>
      <c r="EU397" s="3"/>
      <c r="EV397" s="3"/>
      <c r="EW397" s="3"/>
      <c r="EX397" s="3"/>
      <c r="EY397" s="3"/>
      <c r="EZ397" s="3"/>
      <c r="FA397" s="3"/>
      <c r="FB397" s="3"/>
      <c r="FC397" s="3"/>
      <c r="FD397" s="3"/>
      <c r="FE397" s="3"/>
      <c r="FF397" s="3"/>
      <c r="FG397" s="3"/>
      <c r="FH397" s="3"/>
      <c r="FI397" s="3"/>
      <c r="FJ397" s="3"/>
      <c r="FK397" s="3"/>
      <c r="FL397" s="3"/>
      <c r="FM397" s="3"/>
      <c r="FN397" s="3"/>
      <c r="FO397" s="3"/>
      <c r="FP397" s="3"/>
      <c r="FQ397" s="3"/>
      <c r="FR397" s="3"/>
      <c r="FS397" s="3"/>
      <c r="FT397" s="3"/>
      <c r="FU397" s="3"/>
      <c r="FV397" s="3"/>
      <c r="FW397" s="3"/>
      <c r="FX397" s="3"/>
      <c r="FY397" s="3"/>
      <c r="FZ397" s="3"/>
      <c r="GA397" s="3"/>
      <c r="GB397" s="3"/>
      <c r="GC397" s="3"/>
      <c r="GD397" s="3"/>
      <c r="GE397" s="3"/>
      <c r="GF397" s="3"/>
      <c r="GG397" s="3"/>
      <c r="GH397" s="3"/>
      <c r="GI397" s="3"/>
      <c r="GJ397" s="3"/>
      <c r="GK397" s="3"/>
      <c r="GL397" s="3"/>
      <c r="GM397" s="3"/>
      <c r="GN397" s="3"/>
      <c r="GO397" s="3"/>
      <c r="GP397" s="3"/>
      <c r="GQ397" s="3"/>
      <c r="GR397" s="3"/>
      <c r="GS397" s="3"/>
      <c r="GT397" s="3"/>
      <c r="GU397" s="3"/>
      <c r="GV397" s="3"/>
      <c r="GW397" s="3"/>
      <c r="GX397" s="3"/>
      <c r="GY397" s="3"/>
      <c r="GZ397" s="3"/>
      <c r="HA397" s="3"/>
      <c r="HB397" s="3"/>
      <c r="HC397" s="3"/>
      <c r="HD397" s="3"/>
      <c r="HE397" s="3"/>
      <c r="HF397" s="3"/>
      <c r="HG397" s="3"/>
      <c r="HH397" s="3"/>
      <c r="HI397" s="3"/>
      <c r="HJ397" s="3"/>
      <c r="HK397" s="3"/>
      <c r="HL397" s="3"/>
      <c r="HM397" s="3"/>
      <c r="HN397" s="3"/>
      <c r="HO397" s="3"/>
      <c r="HP397" s="3"/>
      <c r="HQ397" s="3"/>
      <c r="HR397" s="3"/>
      <c r="HS397" s="3"/>
      <c r="HT397" s="3"/>
      <c r="HU397" s="3"/>
      <c r="HV397" s="3"/>
      <c r="HW397" s="3"/>
      <c r="HX397" s="3"/>
      <c r="HY397" s="3"/>
      <c r="HZ397" s="3"/>
      <c r="IA397" s="3"/>
      <c r="IB397" s="3"/>
      <c r="IC397" s="3"/>
      <c r="ID397" s="3"/>
      <c r="IE397" s="3"/>
      <c r="IF397" s="3"/>
      <c r="IG397" s="3"/>
      <c r="IH397" s="3"/>
      <c r="II397" s="3"/>
      <c r="IJ397" s="3"/>
      <c r="IK397" s="3"/>
      <c r="IL397" s="3"/>
      <c r="IM397" s="3"/>
      <c r="IN397" s="3"/>
      <c r="IO397" s="3"/>
      <c r="IP397" s="3"/>
      <c r="IQ397" s="3"/>
      <c r="IR397" s="3"/>
      <c r="IS397" s="3"/>
      <c r="IT397" s="3"/>
      <c r="IU397" s="3"/>
      <c r="IV397" s="3"/>
      <c r="IW397" s="3"/>
      <c r="IX397" s="3"/>
      <c r="IY397" s="3"/>
      <c r="IZ397" s="3"/>
      <c r="JA397" s="3"/>
      <c r="JB397" s="3"/>
      <c r="JC397" s="3"/>
      <c r="JD397" s="3"/>
      <c r="JE397" s="3"/>
      <c r="JF397" s="3"/>
      <c r="JG397" s="3"/>
      <c r="JH397" s="3"/>
      <c r="JI397" s="3"/>
      <c r="JJ397" s="3"/>
      <c r="JK397" s="3"/>
      <c r="JL397" s="3"/>
      <c r="JM397" s="3"/>
      <c r="JN397" s="3"/>
      <c r="JO397" s="3"/>
      <c r="JP397" s="3"/>
      <c r="JQ397" s="3"/>
      <c r="JR397" s="3"/>
      <c r="JS397" s="3"/>
      <c r="JT397" s="3"/>
      <c r="JU397" s="3"/>
      <c r="JV397" s="3"/>
      <c r="JW397" s="3"/>
      <c r="JX397" s="3"/>
      <c r="JY397" s="3"/>
      <c r="JZ397" s="3"/>
      <c r="KA397" s="3"/>
      <c r="KB397" s="3"/>
      <c r="KC397" s="3"/>
      <c r="KD397" s="3"/>
      <c r="KE397" s="3"/>
      <c r="KF397" s="3"/>
      <c r="KG397" s="3"/>
      <c r="KH397" s="3"/>
      <c r="KI397" s="3"/>
      <c r="KJ397" s="3"/>
      <c r="KK397" s="3"/>
      <c r="KL397" s="3"/>
      <c r="KM397" s="3"/>
      <c r="KN397" s="3"/>
      <c r="KO397" s="3"/>
      <c r="KP397" s="3"/>
      <c r="KQ397" s="3"/>
      <c r="KR397" s="3"/>
      <c r="KS397" s="3"/>
      <c r="KT397" s="3"/>
      <c r="KU397" s="3"/>
      <c r="KV397" s="3"/>
      <c r="KW397" s="3"/>
      <c r="KX397" s="3"/>
      <c r="KY397" s="3"/>
      <c r="KZ397" s="3"/>
      <c r="LA397" s="3"/>
      <c r="LB397" s="3"/>
      <c r="LC397" s="3"/>
      <c r="LD397" s="3"/>
      <c r="LE397" s="3"/>
      <c r="LF397" s="3"/>
      <c r="LG397" s="3"/>
      <c r="LH397" s="3"/>
      <c r="LI397" s="3"/>
      <c r="LJ397" s="3"/>
      <c r="LK397" s="3"/>
      <c r="LL397" s="3"/>
      <c r="LM397" s="3"/>
      <c r="LN397" s="3"/>
      <c r="LO397" s="3"/>
      <c r="LP397" s="3"/>
      <c r="LQ397" s="3"/>
      <c r="LR397" s="3"/>
      <c r="LS397" s="3"/>
      <c r="LT397" s="3"/>
      <c r="LU397" s="3"/>
      <c r="LV397" s="3"/>
      <c r="LW397" s="3"/>
      <c r="LX397" s="3"/>
      <c r="LY397" s="3"/>
      <c r="LZ397" s="3"/>
      <c r="MA397" s="3"/>
      <c r="MB397" s="3"/>
      <c r="MC397" s="3"/>
      <c r="MD397" s="3"/>
      <c r="ME397" s="3"/>
      <c r="MF397" s="3"/>
      <c r="MG397" s="3"/>
      <c r="MH397" s="3"/>
      <c r="MI397" s="3"/>
      <c r="MJ397" s="3"/>
      <c r="MK397" s="3"/>
      <c r="ML397" s="3"/>
      <c r="MM397" s="3"/>
      <c r="MN397" s="3"/>
      <c r="MO397" s="3"/>
      <c r="MP397" s="3"/>
      <c r="MQ397" s="3"/>
      <c r="MR397" s="3"/>
      <c r="MS397" s="3"/>
      <c r="MT397" s="3"/>
      <c r="MU397" s="3"/>
      <c r="MV397" s="3"/>
      <c r="MW397" s="3"/>
      <c r="MX397" s="3"/>
      <c r="MY397" s="3"/>
      <c r="MZ397" s="3"/>
      <c r="NA397" s="3"/>
      <c r="NB397" s="3"/>
      <c r="NC397" s="3"/>
      <c r="ND397" s="3"/>
      <c r="NE397" s="3"/>
      <c r="NF397" s="3"/>
      <c r="NG397" s="3"/>
      <c r="NH397" s="3"/>
      <c r="NI397" s="3"/>
      <c r="NJ397" s="3"/>
      <c r="NK397" s="3"/>
      <c r="NL397" s="3"/>
      <c r="NM397" s="3"/>
      <c r="NN397" s="3"/>
      <c r="NO397" s="3"/>
      <c r="NP397" s="3"/>
      <c r="NQ397" s="3"/>
      <c r="NR397" s="3"/>
      <c r="NS397" s="3"/>
      <c r="NT397" s="3"/>
      <c r="NU397" s="3"/>
      <c r="NV397" s="3"/>
      <c r="NW397" s="3"/>
      <c r="NX397" s="3"/>
      <c r="NY397" s="3"/>
      <c r="NZ397" s="3"/>
      <c r="OA397" s="3"/>
      <c r="OB397" s="3"/>
      <c r="OC397" s="3"/>
      <c r="OD397" s="3"/>
      <c r="OE397" s="3"/>
      <c r="OF397" s="3"/>
      <c r="OG397" s="3"/>
      <c r="OH397" s="3"/>
      <c r="OI397" s="3"/>
      <c r="OJ397" s="3"/>
      <c r="OK397" s="3"/>
      <c r="OL397" s="3"/>
      <c r="OM397" s="3"/>
      <c r="ON397" s="3"/>
      <c r="OO397" s="3"/>
      <c r="OP397" s="3"/>
      <c r="OQ397" s="3"/>
      <c r="OR397" s="3"/>
      <c r="OS397" s="3"/>
      <c r="OT397" s="3"/>
      <c r="OU397" s="3"/>
      <c r="OV397" s="3"/>
      <c r="OW397" s="3"/>
      <c r="OX397" s="3"/>
      <c r="OY397" s="3"/>
      <c r="OZ397" s="3"/>
      <c r="PA397" s="3"/>
      <c r="PB397" s="3"/>
      <c r="PC397" s="3"/>
      <c r="PD397" s="3"/>
      <c r="PE397" s="3"/>
      <c r="PF397" s="3"/>
      <c r="PG397" s="3"/>
      <c r="PH397" s="3"/>
      <c r="PI397" s="3"/>
      <c r="PJ397" s="3"/>
      <c r="PK397" s="3"/>
      <c r="PL397" s="3"/>
      <c r="PM397" s="3"/>
      <c r="PN397" s="3"/>
      <c r="PO397" s="3"/>
      <c r="PP397" s="3"/>
      <c r="PQ397" s="3"/>
      <c r="PR397" s="3"/>
      <c r="PS397" s="3"/>
      <c r="PT397" s="3"/>
      <c r="PU397" s="3"/>
      <c r="PV397" s="3"/>
      <c r="PW397" s="3"/>
      <c r="PX397" s="3"/>
      <c r="PY397" s="3"/>
      <c r="PZ397" s="3"/>
      <c r="QA397" s="3"/>
      <c r="QB397" s="3"/>
      <c r="QC397" s="3"/>
      <c r="QD397" s="3"/>
      <c r="QE397" s="3"/>
      <c r="QF397" s="3"/>
      <c r="QG397" s="3"/>
      <c r="QH397" s="3"/>
      <c r="QI397" s="3"/>
      <c r="QJ397" s="3"/>
      <c r="QK397" s="3"/>
      <c r="QL397" s="3"/>
      <c r="QM397" s="3"/>
      <c r="QN397" s="3"/>
      <c r="QO397" s="3"/>
      <c r="QP397" s="3"/>
      <c r="QQ397" s="3"/>
      <c r="QR397" s="3"/>
      <c r="QS397" s="3"/>
      <c r="QT397" s="3"/>
      <c r="QU397" s="3"/>
      <c r="QV397" s="3"/>
      <c r="QW397" s="3"/>
      <c r="QX397" s="3"/>
      <c r="QY397" s="3"/>
      <c r="QZ397" s="3"/>
      <c r="RA397" s="3"/>
      <c r="RB397" s="3"/>
      <c r="RC397" s="3"/>
      <c r="RD397" s="3"/>
      <c r="RE397" s="3"/>
      <c r="RF397" s="3"/>
      <c r="RG397" s="3"/>
      <c r="RH397" s="3"/>
      <c r="RI397" s="3"/>
      <c r="RJ397" s="3"/>
      <c r="RK397" s="3"/>
      <c r="RL397" s="3"/>
      <c r="RM397" s="3"/>
      <c r="RN397" s="3"/>
      <c r="RO397" s="3"/>
      <c r="RP397" s="3"/>
      <c r="RQ397" s="3"/>
      <c r="RR397" s="3"/>
      <c r="RS397" s="3"/>
      <c r="RT397" s="3"/>
      <c r="RU397" s="3"/>
      <c r="RV397" s="3"/>
      <c r="RW397" s="3"/>
      <c r="RX397" s="3"/>
      <c r="RY397" s="3"/>
      <c r="RZ397" s="3"/>
      <c r="SA397" s="3"/>
      <c r="SB397" s="3"/>
      <c r="SC397" s="3"/>
      <c r="SD397" s="3"/>
      <c r="SE397" s="3"/>
      <c r="SF397" s="3"/>
      <c r="SG397" s="3"/>
      <c r="SH397" s="3"/>
      <c r="SI397" s="3"/>
      <c r="SJ397" s="3"/>
      <c r="SK397" s="3"/>
      <c r="SL397" s="3"/>
      <c r="SM397" s="3"/>
      <c r="SN397" s="3"/>
      <c r="SO397" s="3"/>
      <c r="SP397" s="3"/>
      <c r="SQ397" s="3"/>
      <c r="SR397" s="3"/>
      <c r="SS397" s="3"/>
      <c r="ST397" s="3"/>
      <c r="SU397" s="3"/>
      <c r="SV397" s="3"/>
      <c r="SW397" s="3"/>
      <c r="SX397" s="3"/>
      <c r="SY397" s="3"/>
      <c r="SZ397" s="3"/>
      <c r="TA397" s="3"/>
      <c r="TB397" s="3"/>
      <c r="TC397" s="3"/>
      <c r="TD397" s="3"/>
      <c r="TE397" s="3"/>
      <c r="TF397" s="3"/>
      <c r="TG397" s="3"/>
      <c r="TH397" s="3"/>
      <c r="TI397" s="3"/>
      <c r="TJ397" s="3"/>
      <c r="TK397" s="3"/>
      <c r="TL397" s="3"/>
      <c r="TM397" s="3"/>
      <c r="TN397" s="3"/>
      <c r="TO397" s="3"/>
      <c r="TP397" s="3"/>
      <c r="TQ397" s="3"/>
      <c r="TR397" s="3"/>
      <c r="TS397" s="3"/>
      <c r="TT397" s="3"/>
      <c r="TU397" s="3"/>
      <c r="TV397" s="3"/>
      <c r="TW397" s="3"/>
      <c r="TX397" s="3"/>
      <c r="TY397" s="3"/>
      <c r="TZ397" s="3"/>
      <c r="UA397" s="3"/>
      <c r="UB397" s="3"/>
      <c r="UC397" s="3"/>
      <c r="UD397" s="3"/>
      <c r="UE397" s="3"/>
      <c r="UF397" s="3"/>
      <c r="UG397" s="3"/>
      <c r="UH397" s="3"/>
      <c r="UI397" s="3"/>
      <c r="UJ397" s="3"/>
      <c r="UK397" s="3"/>
      <c r="UL397" s="3"/>
      <c r="UM397" s="3"/>
      <c r="UN397" s="3"/>
      <c r="UO397" s="3"/>
      <c r="UP397" s="3"/>
      <c r="UQ397" s="3"/>
      <c r="UR397" s="3"/>
      <c r="US397" s="3"/>
      <c r="UT397" s="3"/>
      <c r="UU397" s="3"/>
      <c r="UV397" s="3"/>
      <c r="UW397" s="3"/>
      <c r="UX397" s="3"/>
      <c r="UY397" s="3"/>
      <c r="UZ397" s="3"/>
      <c r="VA397" s="3"/>
      <c r="VB397" s="3"/>
      <c r="VC397" s="3"/>
      <c r="VD397" s="3"/>
      <c r="VE397" s="3"/>
      <c r="VF397" s="3"/>
      <c r="VG397" s="3"/>
      <c r="VH397" s="3"/>
      <c r="VI397" s="3"/>
      <c r="VJ397" s="3"/>
      <c r="VK397" s="3"/>
      <c r="VL397" s="3"/>
      <c r="VM397" s="3"/>
      <c r="VN397" s="3"/>
      <c r="VO397" s="3"/>
      <c r="VP397" s="3"/>
      <c r="VQ397" s="3"/>
      <c r="VR397" s="3"/>
      <c r="VS397" s="3"/>
      <c r="VT397" s="3"/>
      <c r="VU397" s="3"/>
      <c r="VV397" s="3"/>
      <c r="VW397" s="3"/>
      <c r="VX397" s="3"/>
      <c r="VY397" s="3"/>
      <c r="VZ397" s="3"/>
      <c r="WA397" s="3"/>
      <c r="WB397" s="3"/>
      <c r="WC397" s="3"/>
      <c r="WD397" s="3"/>
      <c r="WE397" s="3"/>
      <c r="WF397" s="3"/>
      <c r="WG397" s="3"/>
      <c r="WH397" s="3"/>
      <c r="WI397" s="3"/>
      <c r="WJ397" s="3"/>
      <c r="WK397" s="3"/>
      <c r="WL397" s="3"/>
      <c r="WM397" s="3"/>
      <c r="WN397" s="3"/>
      <c r="WO397" s="3"/>
      <c r="WP397" s="3"/>
      <c r="WQ397" s="3"/>
      <c r="WR397" s="3"/>
      <c r="WS397" s="3"/>
      <c r="WT397" s="3"/>
      <c r="WU397" s="3"/>
      <c r="WV397" s="3"/>
      <c r="WW397" s="3"/>
      <c r="WX397" s="3"/>
      <c r="WY397" s="3"/>
      <c r="WZ397" s="3"/>
      <c r="XA397" s="3"/>
      <c r="XB397" s="3"/>
      <c r="XC397" s="3"/>
      <c r="XD397" s="3"/>
      <c r="XE397" s="3"/>
      <c r="XF397" s="3"/>
      <c r="XG397" s="3"/>
      <c r="XH397" s="3"/>
      <c r="XI397" s="3"/>
      <c r="XJ397" s="3"/>
      <c r="XK397" s="3"/>
      <c r="XL397" s="3"/>
      <c r="XM397" s="3"/>
      <c r="XN397" s="3"/>
      <c r="XO397" s="3"/>
      <c r="XP397" s="3"/>
      <c r="XQ397" s="3"/>
      <c r="XR397" s="3"/>
      <c r="XS397" s="3"/>
      <c r="XT397" s="3"/>
      <c r="XU397" s="3"/>
      <c r="XV397" s="3"/>
      <c r="XW397" s="3"/>
      <c r="XX397" s="3"/>
      <c r="XY397" s="3"/>
      <c r="XZ397" s="3"/>
      <c r="YA397" s="3"/>
      <c r="YB397" s="3"/>
      <c r="YC397" s="3"/>
      <c r="YD397" s="3"/>
      <c r="YE397" s="3"/>
      <c r="YF397" s="3"/>
      <c r="YG397" s="3"/>
      <c r="YH397" s="3"/>
      <c r="YI397" s="3"/>
      <c r="YJ397" s="3"/>
      <c r="YK397" s="3"/>
      <c r="YL397" s="3"/>
      <c r="YM397" s="3"/>
      <c r="YN397" s="3"/>
      <c r="YO397" s="3"/>
      <c r="YP397" s="3"/>
      <c r="YQ397" s="3"/>
      <c r="YR397" s="3"/>
      <c r="YS397" s="3"/>
      <c r="YT397" s="3"/>
      <c r="YU397" s="3"/>
      <c r="YV397" s="3"/>
      <c r="YW397" s="3"/>
      <c r="YX397" s="3"/>
      <c r="YY397" s="3"/>
      <c r="YZ397" s="3"/>
      <c r="ZA397" s="3"/>
      <c r="ZB397" s="3"/>
      <c r="ZC397" s="3"/>
    </row>
    <row r="398" spans="1:679" s="2" customFormat="1" x14ac:dyDescent="0.45">
      <c r="A398" s="3" t="s">
        <v>11</v>
      </c>
      <c r="B398" s="4">
        <v>41148</v>
      </c>
      <c r="C398" s="7" t="s">
        <v>25</v>
      </c>
      <c r="D398" s="6" t="s">
        <v>419</v>
      </c>
      <c r="E398" s="3"/>
      <c r="F398" s="3">
        <v>14</v>
      </c>
      <c r="L398" s="3"/>
      <c r="M398" s="3"/>
      <c r="N398" s="48"/>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c r="CO398" s="3"/>
      <c r="CP398" s="3"/>
      <c r="CQ398" s="3"/>
      <c r="CR398" s="3"/>
      <c r="CS398" s="3"/>
      <c r="CT398" s="3"/>
      <c r="CU398" s="3"/>
      <c r="CV398" s="3"/>
      <c r="CW398" s="3"/>
      <c r="CX398" s="3"/>
      <c r="CY398" s="3"/>
      <c r="CZ398" s="3"/>
      <c r="DA398" s="3"/>
      <c r="DB398" s="3"/>
      <c r="DC398" s="3"/>
      <c r="DD398" s="3"/>
      <c r="DE398" s="3"/>
      <c r="DF398" s="3"/>
      <c r="DG398" s="3"/>
      <c r="DH398" s="3"/>
      <c r="DI398" s="3"/>
      <c r="DJ398" s="3"/>
      <c r="DK398" s="3"/>
      <c r="DL398" s="3"/>
      <c r="DM398" s="3"/>
      <c r="DN398" s="3"/>
      <c r="DO398" s="3"/>
      <c r="DP398" s="3"/>
      <c r="DQ398" s="3"/>
      <c r="DR398" s="3"/>
      <c r="DS398" s="3"/>
      <c r="DT398" s="3"/>
      <c r="DU398" s="3"/>
      <c r="DV398" s="3"/>
      <c r="DW398" s="3"/>
      <c r="DX398" s="3"/>
      <c r="DY398" s="3"/>
      <c r="DZ398" s="3"/>
      <c r="EA398" s="3"/>
      <c r="EB398" s="3"/>
      <c r="EC398" s="3"/>
      <c r="ED398" s="3"/>
      <c r="EE398" s="3"/>
      <c r="EF398" s="3"/>
      <c r="EG398" s="3"/>
      <c r="EH398" s="3"/>
      <c r="EI398" s="3"/>
      <c r="EJ398" s="3"/>
      <c r="EK398" s="3"/>
      <c r="EL398" s="3"/>
      <c r="EM398" s="3"/>
      <c r="EN398" s="3"/>
      <c r="EO398" s="3"/>
      <c r="EP398" s="3"/>
      <c r="EQ398" s="3"/>
      <c r="ER398" s="3"/>
      <c r="ES398" s="3"/>
      <c r="ET398" s="3"/>
      <c r="EU398" s="3"/>
      <c r="EV398" s="3"/>
      <c r="EW398" s="3"/>
      <c r="EX398" s="3"/>
      <c r="EY398" s="3"/>
      <c r="EZ398" s="3"/>
      <c r="FA398" s="3"/>
      <c r="FB398" s="3"/>
      <c r="FC398" s="3"/>
      <c r="FD398" s="3"/>
      <c r="FE398" s="3"/>
      <c r="FF398" s="3"/>
      <c r="FG398" s="3"/>
      <c r="FH398" s="3"/>
      <c r="FI398" s="3"/>
      <c r="FJ398" s="3"/>
      <c r="FK398" s="3"/>
      <c r="FL398" s="3"/>
      <c r="FM398" s="3"/>
      <c r="FN398" s="3"/>
      <c r="FO398" s="3"/>
      <c r="FP398" s="3"/>
      <c r="FQ398" s="3"/>
      <c r="FR398" s="3"/>
      <c r="FS398" s="3"/>
      <c r="FT398" s="3"/>
      <c r="FU398" s="3"/>
      <c r="FV398" s="3"/>
      <c r="FW398" s="3"/>
      <c r="FX398" s="3"/>
      <c r="FY398" s="3"/>
      <c r="FZ398" s="3"/>
      <c r="GA398" s="3"/>
      <c r="GB398" s="3"/>
      <c r="GC398" s="3"/>
      <c r="GD398" s="3"/>
      <c r="GE398" s="3"/>
      <c r="GF398" s="3"/>
      <c r="GG398" s="3"/>
      <c r="GH398" s="3"/>
      <c r="GI398" s="3"/>
      <c r="GJ398" s="3"/>
      <c r="GK398" s="3"/>
      <c r="GL398" s="3"/>
      <c r="GM398" s="3"/>
      <c r="GN398" s="3"/>
      <c r="GO398" s="3"/>
      <c r="GP398" s="3"/>
      <c r="GQ398" s="3"/>
      <c r="GR398" s="3"/>
      <c r="GS398" s="3"/>
      <c r="GT398" s="3"/>
      <c r="GU398" s="3"/>
      <c r="GV398" s="3"/>
      <c r="GW398" s="3"/>
      <c r="GX398" s="3"/>
      <c r="GY398" s="3"/>
      <c r="GZ398" s="3"/>
      <c r="HA398" s="3"/>
      <c r="HB398" s="3"/>
      <c r="HC398" s="3"/>
      <c r="HD398" s="3"/>
      <c r="HE398" s="3"/>
      <c r="HF398" s="3"/>
      <c r="HG398" s="3"/>
      <c r="HH398" s="3"/>
      <c r="HI398" s="3"/>
      <c r="HJ398" s="3"/>
      <c r="HK398" s="3"/>
      <c r="HL398" s="3"/>
      <c r="HM398" s="3"/>
      <c r="HN398" s="3"/>
      <c r="HO398" s="3"/>
      <c r="HP398" s="3"/>
      <c r="HQ398" s="3"/>
      <c r="HR398" s="3"/>
      <c r="HS398" s="3"/>
      <c r="HT398" s="3"/>
      <c r="HU398" s="3"/>
      <c r="HV398" s="3"/>
      <c r="HW398" s="3"/>
      <c r="HX398" s="3"/>
      <c r="HY398" s="3"/>
      <c r="HZ398" s="3"/>
      <c r="IA398" s="3"/>
      <c r="IB398" s="3"/>
      <c r="IC398" s="3"/>
      <c r="ID398" s="3"/>
      <c r="IE398" s="3"/>
      <c r="IF398" s="3"/>
      <c r="IG398" s="3"/>
      <c r="IH398" s="3"/>
      <c r="II398" s="3"/>
      <c r="IJ398" s="3"/>
      <c r="IK398" s="3"/>
      <c r="IL398" s="3"/>
      <c r="IM398" s="3"/>
      <c r="IN398" s="3"/>
      <c r="IO398" s="3"/>
      <c r="IP398" s="3"/>
      <c r="IQ398" s="3"/>
      <c r="IR398" s="3"/>
      <c r="IS398" s="3"/>
      <c r="IT398" s="3"/>
      <c r="IU398" s="3"/>
      <c r="IV398" s="3"/>
      <c r="IW398" s="3"/>
      <c r="IX398" s="3"/>
      <c r="IY398" s="3"/>
      <c r="IZ398" s="3"/>
      <c r="JA398" s="3"/>
      <c r="JB398" s="3"/>
      <c r="JC398" s="3"/>
      <c r="JD398" s="3"/>
      <c r="JE398" s="3"/>
      <c r="JF398" s="3"/>
      <c r="JG398" s="3"/>
      <c r="JH398" s="3"/>
      <c r="JI398" s="3"/>
      <c r="JJ398" s="3"/>
      <c r="JK398" s="3"/>
      <c r="JL398" s="3"/>
      <c r="JM398" s="3"/>
      <c r="JN398" s="3"/>
      <c r="JO398" s="3"/>
      <c r="JP398" s="3"/>
      <c r="JQ398" s="3"/>
      <c r="JR398" s="3"/>
      <c r="JS398" s="3"/>
      <c r="JT398" s="3"/>
      <c r="JU398" s="3"/>
      <c r="JV398" s="3"/>
      <c r="JW398" s="3"/>
      <c r="JX398" s="3"/>
      <c r="JY398" s="3"/>
      <c r="JZ398" s="3"/>
      <c r="KA398" s="3"/>
      <c r="KB398" s="3"/>
      <c r="KC398" s="3"/>
      <c r="KD398" s="3"/>
      <c r="KE398" s="3"/>
      <c r="KF398" s="3"/>
      <c r="KG398" s="3"/>
      <c r="KH398" s="3"/>
      <c r="KI398" s="3"/>
      <c r="KJ398" s="3"/>
      <c r="KK398" s="3"/>
      <c r="KL398" s="3"/>
      <c r="KM398" s="3"/>
      <c r="KN398" s="3"/>
      <c r="KO398" s="3"/>
      <c r="KP398" s="3"/>
      <c r="KQ398" s="3"/>
      <c r="KR398" s="3"/>
      <c r="KS398" s="3"/>
      <c r="KT398" s="3"/>
      <c r="KU398" s="3"/>
      <c r="KV398" s="3"/>
      <c r="KW398" s="3"/>
      <c r="KX398" s="3"/>
      <c r="KY398" s="3"/>
      <c r="KZ398" s="3"/>
      <c r="LA398" s="3"/>
      <c r="LB398" s="3"/>
      <c r="LC398" s="3"/>
      <c r="LD398" s="3"/>
      <c r="LE398" s="3"/>
      <c r="LF398" s="3"/>
      <c r="LG398" s="3"/>
      <c r="LH398" s="3"/>
      <c r="LI398" s="3"/>
      <c r="LJ398" s="3"/>
      <c r="LK398" s="3"/>
      <c r="LL398" s="3"/>
      <c r="LM398" s="3"/>
      <c r="LN398" s="3"/>
      <c r="LO398" s="3"/>
      <c r="LP398" s="3"/>
      <c r="LQ398" s="3"/>
      <c r="LR398" s="3"/>
      <c r="LS398" s="3"/>
      <c r="LT398" s="3"/>
      <c r="LU398" s="3"/>
      <c r="LV398" s="3"/>
      <c r="LW398" s="3"/>
      <c r="LX398" s="3"/>
      <c r="LY398" s="3"/>
      <c r="LZ398" s="3"/>
      <c r="MA398" s="3"/>
      <c r="MB398" s="3"/>
      <c r="MC398" s="3"/>
      <c r="MD398" s="3"/>
      <c r="ME398" s="3"/>
      <c r="MF398" s="3"/>
      <c r="MG398" s="3"/>
      <c r="MH398" s="3"/>
      <c r="MI398" s="3"/>
      <c r="MJ398" s="3"/>
      <c r="MK398" s="3"/>
      <c r="ML398" s="3"/>
      <c r="MM398" s="3"/>
      <c r="MN398" s="3"/>
      <c r="MO398" s="3"/>
      <c r="MP398" s="3"/>
      <c r="MQ398" s="3"/>
      <c r="MR398" s="3"/>
      <c r="MS398" s="3"/>
      <c r="MT398" s="3"/>
      <c r="MU398" s="3"/>
      <c r="MV398" s="3"/>
      <c r="MW398" s="3"/>
      <c r="MX398" s="3"/>
      <c r="MY398" s="3"/>
      <c r="MZ398" s="3"/>
      <c r="NA398" s="3"/>
      <c r="NB398" s="3"/>
      <c r="NC398" s="3"/>
      <c r="ND398" s="3"/>
      <c r="NE398" s="3"/>
      <c r="NF398" s="3"/>
      <c r="NG398" s="3"/>
      <c r="NH398" s="3"/>
      <c r="NI398" s="3"/>
      <c r="NJ398" s="3"/>
      <c r="NK398" s="3"/>
      <c r="NL398" s="3"/>
      <c r="NM398" s="3"/>
      <c r="NN398" s="3"/>
      <c r="NO398" s="3"/>
      <c r="NP398" s="3"/>
      <c r="NQ398" s="3"/>
      <c r="NR398" s="3"/>
      <c r="NS398" s="3"/>
      <c r="NT398" s="3"/>
      <c r="NU398" s="3"/>
      <c r="NV398" s="3"/>
      <c r="NW398" s="3"/>
      <c r="NX398" s="3"/>
      <c r="NY398" s="3"/>
      <c r="NZ398" s="3"/>
      <c r="OA398" s="3"/>
      <c r="OB398" s="3"/>
      <c r="OC398" s="3"/>
      <c r="OD398" s="3"/>
      <c r="OE398" s="3"/>
      <c r="OF398" s="3"/>
      <c r="OG398" s="3"/>
      <c r="OH398" s="3"/>
      <c r="OI398" s="3"/>
      <c r="OJ398" s="3"/>
      <c r="OK398" s="3"/>
      <c r="OL398" s="3"/>
      <c r="OM398" s="3"/>
      <c r="ON398" s="3"/>
      <c r="OO398" s="3"/>
      <c r="OP398" s="3"/>
      <c r="OQ398" s="3"/>
      <c r="OR398" s="3"/>
      <c r="OS398" s="3"/>
      <c r="OT398" s="3"/>
      <c r="OU398" s="3"/>
      <c r="OV398" s="3"/>
      <c r="OW398" s="3"/>
      <c r="OX398" s="3"/>
      <c r="OY398" s="3"/>
      <c r="OZ398" s="3"/>
      <c r="PA398" s="3"/>
      <c r="PB398" s="3"/>
      <c r="PC398" s="3"/>
      <c r="PD398" s="3"/>
      <c r="PE398" s="3"/>
      <c r="PF398" s="3"/>
      <c r="PG398" s="3"/>
      <c r="PH398" s="3"/>
      <c r="PI398" s="3"/>
      <c r="PJ398" s="3"/>
      <c r="PK398" s="3"/>
      <c r="PL398" s="3"/>
      <c r="PM398" s="3"/>
      <c r="PN398" s="3"/>
      <c r="PO398" s="3"/>
      <c r="PP398" s="3"/>
      <c r="PQ398" s="3"/>
      <c r="PR398" s="3"/>
      <c r="PS398" s="3"/>
      <c r="PT398" s="3"/>
      <c r="PU398" s="3"/>
      <c r="PV398" s="3"/>
      <c r="PW398" s="3"/>
      <c r="PX398" s="3"/>
      <c r="PY398" s="3"/>
      <c r="PZ398" s="3"/>
      <c r="QA398" s="3"/>
      <c r="QB398" s="3"/>
      <c r="QC398" s="3"/>
      <c r="QD398" s="3"/>
      <c r="QE398" s="3"/>
      <c r="QF398" s="3"/>
      <c r="QG398" s="3"/>
      <c r="QH398" s="3"/>
      <c r="QI398" s="3"/>
      <c r="QJ398" s="3"/>
      <c r="QK398" s="3"/>
      <c r="QL398" s="3"/>
      <c r="QM398" s="3"/>
      <c r="QN398" s="3"/>
      <c r="QO398" s="3"/>
      <c r="QP398" s="3"/>
      <c r="QQ398" s="3"/>
      <c r="QR398" s="3"/>
      <c r="QS398" s="3"/>
      <c r="QT398" s="3"/>
      <c r="QU398" s="3"/>
      <c r="QV398" s="3"/>
      <c r="QW398" s="3"/>
      <c r="QX398" s="3"/>
      <c r="QY398" s="3"/>
      <c r="QZ398" s="3"/>
      <c r="RA398" s="3"/>
      <c r="RB398" s="3"/>
      <c r="RC398" s="3"/>
      <c r="RD398" s="3"/>
      <c r="RE398" s="3"/>
      <c r="RF398" s="3"/>
      <c r="RG398" s="3"/>
      <c r="RH398" s="3"/>
      <c r="RI398" s="3"/>
      <c r="RJ398" s="3"/>
      <c r="RK398" s="3"/>
      <c r="RL398" s="3"/>
      <c r="RM398" s="3"/>
      <c r="RN398" s="3"/>
      <c r="RO398" s="3"/>
      <c r="RP398" s="3"/>
      <c r="RQ398" s="3"/>
      <c r="RR398" s="3"/>
      <c r="RS398" s="3"/>
      <c r="RT398" s="3"/>
      <c r="RU398" s="3"/>
      <c r="RV398" s="3"/>
      <c r="RW398" s="3"/>
      <c r="RX398" s="3"/>
      <c r="RY398" s="3"/>
      <c r="RZ398" s="3"/>
      <c r="SA398" s="3"/>
      <c r="SB398" s="3"/>
      <c r="SC398" s="3"/>
      <c r="SD398" s="3"/>
      <c r="SE398" s="3"/>
      <c r="SF398" s="3"/>
      <c r="SG398" s="3"/>
      <c r="SH398" s="3"/>
      <c r="SI398" s="3"/>
      <c r="SJ398" s="3"/>
      <c r="SK398" s="3"/>
      <c r="SL398" s="3"/>
      <c r="SM398" s="3"/>
      <c r="SN398" s="3"/>
      <c r="SO398" s="3"/>
      <c r="SP398" s="3"/>
      <c r="SQ398" s="3"/>
      <c r="SR398" s="3"/>
      <c r="SS398" s="3"/>
      <c r="ST398" s="3"/>
      <c r="SU398" s="3"/>
      <c r="SV398" s="3"/>
      <c r="SW398" s="3"/>
      <c r="SX398" s="3"/>
      <c r="SY398" s="3"/>
      <c r="SZ398" s="3"/>
      <c r="TA398" s="3"/>
      <c r="TB398" s="3"/>
      <c r="TC398" s="3"/>
      <c r="TD398" s="3"/>
      <c r="TE398" s="3"/>
      <c r="TF398" s="3"/>
      <c r="TG398" s="3"/>
      <c r="TH398" s="3"/>
      <c r="TI398" s="3"/>
      <c r="TJ398" s="3"/>
      <c r="TK398" s="3"/>
      <c r="TL398" s="3"/>
      <c r="TM398" s="3"/>
      <c r="TN398" s="3"/>
      <c r="TO398" s="3"/>
      <c r="TP398" s="3"/>
      <c r="TQ398" s="3"/>
      <c r="TR398" s="3"/>
      <c r="TS398" s="3"/>
      <c r="TT398" s="3"/>
      <c r="TU398" s="3"/>
      <c r="TV398" s="3"/>
      <c r="TW398" s="3"/>
      <c r="TX398" s="3"/>
      <c r="TY398" s="3"/>
      <c r="TZ398" s="3"/>
      <c r="UA398" s="3"/>
      <c r="UB398" s="3"/>
      <c r="UC398" s="3"/>
      <c r="UD398" s="3"/>
      <c r="UE398" s="3"/>
      <c r="UF398" s="3"/>
      <c r="UG398" s="3"/>
      <c r="UH398" s="3"/>
      <c r="UI398" s="3"/>
      <c r="UJ398" s="3"/>
      <c r="UK398" s="3"/>
      <c r="UL398" s="3"/>
      <c r="UM398" s="3"/>
      <c r="UN398" s="3"/>
      <c r="UO398" s="3"/>
      <c r="UP398" s="3"/>
      <c r="UQ398" s="3"/>
      <c r="UR398" s="3"/>
      <c r="US398" s="3"/>
      <c r="UT398" s="3"/>
      <c r="UU398" s="3"/>
      <c r="UV398" s="3"/>
      <c r="UW398" s="3"/>
      <c r="UX398" s="3"/>
      <c r="UY398" s="3"/>
      <c r="UZ398" s="3"/>
      <c r="VA398" s="3"/>
      <c r="VB398" s="3"/>
      <c r="VC398" s="3"/>
      <c r="VD398" s="3"/>
      <c r="VE398" s="3"/>
      <c r="VF398" s="3"/>
      <c r="VG398" s="3"/>
      <c r="VH398" s="3"/>
      <c r="VI398" s="3"/>
      <c r="VJ398" s="3"/>
      <c r="VK398" s="3"/>
      <c r="VL398" s="3"/>
      <c r="VM398" s="3"/>
      <c r="VN398" s="3"/>
      <c r="VO398" s="3"/>
      <c r="VP398" s="3"/>
      <c r="VQ398" s="3"/>
      <c r="VR398" s="3"/>
      <c r="VS398" s="3"/>
      <c r="VT398" s="3"/>
      <c r="VU398" s="3"/>
      <c r="VV398" s="3"/>
      <c r="VW398" s="3"/>
      <c r="VX398" s="3"/>
      <c r="VY398" s="3"/>
      <c r="VZ398" s="3"/>
      <c r="WA398" s="3"/>
      <c r="WB398" s="3"/>
      <c r="WC398" s="3"/>
      <c r="WD398" s="3"/>
      <c r="WE398" s="3"/>
      <c r="WF398" s="3"/>
      <c r="WG398" s="3"/>
      <c r="WH398" s="3"/>
      <c r="WI398" s="3"/>
      <c r="WJ398" s="3"/>
      <c r="WK398" s="3"/>
      <c r="WL398" s="3"/>
      <c r="WM398" s="3"/>
      <c r="WN398" s="3"/>
      <c r="WO398" s="3"/>
      <c r="WP398" s="3"/>
      <c r="WQ398" s="3"/>
      <c r="WR398" s="3"/>
      <c r="WS398" s="3"/>
      <c r="WT398" s="3"/>
      <c r="WU398" s="3"/>
      <c r="WV398" s="3"/>
      <c r="WW398" s="3"/>
      <c r="WX398" s="3"/>
      <c r="WY398" s="3"/>
      <c r="WZ398" s="3"/>
      <c r="XA398" s="3"/>
      <c r="XB398" s="3"/>
      <c r="XC398" s="3"/>
      <c r="XD398" s="3"/>
      <c r="XE398" s="3"/>
      <c r="XF398" s="3"/>
      <c r="XG398" s="3"/>
      <c r="XH398" s="3"/>
      <c r="XI398" s="3"/>
      <c r="XJ398" s="3"/>
      <c r="XK398" s="3"/>
      <c r="XL398" s="3"/>
      <c r="XM398" s="3"/>
      <c r="XN398" s="3"/>
      <c r="XO398" s="3"/>
      <c r="XP398" s="3"/>
      <c r="XQ398" s="3"/>
      <c r="XR398" s="3"/>
      <c r="XS398" s="3"/>
      <c r="XT398" s="3"/>
      <c r="XU398" s="3"/>
      <c r="XV398" s="3"/>
      <c r="XW398" s="3"/>
      <c r="XX398" s="3"/>
      <c r="XY398" s="3"/>
      <c r="XZ398" s="3"/>
      <c r="YA398" s="3"/>
      <c r="YB398" s="3"/>
      <c r="YC398" s="3"/>
      <c r="YD398" s="3"/>
      <c r="YE398" s="3"/>
      <c r="YF398" s="3"/>
      <c r="YG398" s="3"/>
      <c r="YH398" s="3"/>
      <c r="YI398" s="3"/>
      <c r="YJ398" s="3"/>
      <c r="YK398" s="3"/>
      <c r="YL398" s="3"/>
      <c r="YM398" s="3"/>
      <c r="YN398" s="3"/>
      <c r="YO398" s="3"/>
      <c r="YP398" s="3"/>
      <c r="YQ398" s="3"/>
      <c r="YR398" s="3"/>
      <c r="YS398" s="3"/>
      <c r="YT398" s="3"/>
      <c r="YU398" s="3"/>
      <c r="YV398" s="3"/>
      <c r="YW398" s="3"/>
      <c r="YX398" s="3"/>
      <c r="YY398" s="3"/>
      <c r="YZ398" s="3"/>
      <c r="ZA398" s="3"/>
      <c r="ZB398" s="3"/>
      <c r="ZC398" s="3"/>
    </row>
    <row r="399" spans="1:679" s="2" customFormat="1" x14ac:dyDescent="0.45">
      <c r="A399" s="3" t="s">
        <v>11</v>
      </c>
      <c r="B399" s="4">
        <v>41263</v>
      </c>
      <c r="C399" s="7" t="s">
        <v>25</v>
      </c>
      <c r="D399" s="6" t="s">
        <v>420</v>
      </c>
      <c r="E399" s="3"/>
      <c r="F399" s="3">
        <v>154</v>
      </c>
      <c r="L399" s="3"/>
      <c r="M399" s="3"/>
      <c r="N399" s="48"/>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c r="CO399" s="3"/>
      <c r="CP399" s="3"/>
      <c r="CQ399" s="3"/>
      <c r="CR399" s="3"/>
      <c r="CS399" s="3"/>
      <c r="CT399" s="3"/>
      <c r="CU399" s="3"/>
      <c r="CV399" s="3"/>
      <c r="CW399" s="3"/>
      <c r="CX399" s="3"/>
      <c r="CY399" s="3"/>
      <c r="CZ399" s="3"/>
      <c r="DA399" s="3"/>
      <c r="DB399" s="3"/>
      <c r="DC399" s="3"/>
      <c r="DD399" s="3"/>
      <c r="DE399" s="3"/>
      <c r="DF399" s="3"/>
      <c r="DG399" s="3"/>
      <c r="DH399" s="3"/>
      <c r="DI399" s="3"/>
      <c r="DJ399" s="3"/>
      <c r="DK399" s="3"/>
      <c r="DL399" s="3"/>
      <c r="DM399" s="3"/>
      <c r="DN399" s="3"/>
      <c r="DO399" s="3"/>
      <c r="DP399" s="3"/>
      <c r="DQ399" s="3"/>
      <c r="DR399" s="3"/>
      <c r="DS399" s="3"/>
      <c r="DT399" s="3"/>
      <c r="DU399" s="3"/>
      <c r="DV399" s="3"/>
      <c r="DW399" s="3"/>
      <c r="DX399" s="3"/>
      <c r="DY399" s="3"/>
      <c r="DZ399" s="3"/>
      <c r="EA399" s="3"/>
      <c r="EB399" s="3"/>
      <c r="EC399" s="3"/>
      <c r="ED399" s="3"/>
      <c r="EE399" s="3"/>
      <c r="EF399" s="3"/>
      <c r="EG399" s="3"/>
      <c r="EH399" s="3"/>
      <c r="EI399" s="3"/>
      <c r="EJ399" s="3"/>
      <c r="EK399" s="3"/>
      <c r="EL399" s="3"/>
      <c r="EM399" s="3"/>
      <c r="EN399" s="3"/>
      <c r="EO399" s="3"/>
      <c r="EP399" s="3"/>
      <c r="EQ399" s="3"/>
      <c r="ER399" s="3"/>
      <c r="ES399" s="3"/>
      <c r="ET399" s="3"/>
      <c r="EU399" s="3"/>
      <c r="EV399" s="3"/>
      <c r="EW399" s="3"/>
      <c r="EX399" s="3"/>
      <c r="EY399" s="3"/>
      <c r="EZ399" s="3"/>
      <c r="FA399" s="3"/>
      <c r="FB399" s="3"/>
      <c r="FC399" s="3"/>
      <c r="FD399" s="3"/>
      <c r="FE399" s="3"/>
      <c r="FF399" s="3"/>
      <c r="FG399" s="3"/>
      <c r="FH399" s="3"/>
      <c r="FI399" s="3"/>
      <c r="FJ399" s="3"/>
      <c r="FK399" s="3"/>
      <c r="FL399" s="3"/>
      <c r="FM399" s="3"/>
      <c r="FN399" s="3"/>
      <c r="FO399" s="3"/>
      <c r="FP399" s="3"/>
      <c r="FQ399" s="3"/>
      <c r="FR399" s="3"/>
      <c r="FS399" s="3"/>
      <c r="FT399" s="3"/>
      <c r="FU399" s="3"/>
      <c r="FV399" s="3"/>
      <c r="FW399" s="3"/>
      <c r="FX399" s="3"/>
      <c r="FY399" s="3"/>
      <c r="FZ399" s="3"/>
      <c r="GA399" s="3"/>
      <c r="GB399" s="3"/>
      <c r="GC399" s="3"/>
      <c r="GD399" s="3"/>
      <c r="GE399" s="3"/>
      <c r="GF399" s="3"/>
      <c r="GG399" s="3"/>
      <c r="GH399" s="3"/>
      <c r="GI399" s="3"/>
      <c r="GJ399" s="3"/>
      <c r="GK399" s="3"/>
      <c r="GL399" s="3"/>
      <c r="GM399" s="3"/>
      <c r="GN399" s="3"/>
      <c r="GO399" s="3"/>
      <c r="GP399" s="3"/>
      <c r="GQ399" s="3"/>
      <c r="GR399" s="3"/>
      <c r="GS399" s="3"/>
      <c r="GT399" s="3"/>
      <c r="GU399" s="3"/>
      <c r="GV399" s="3"/>
      <c r="GW399" s="3"/>
      <c r="GX399" s="3"/>
      <c r="GY399" s="3"/>
      <c r="GZ399" s="3"/>
      <c r="HA399" s="3"/>
      <c r="HB399" s="3"/>
      <c r="HC399" s="3"/>
      <c r="HD399" s="3"/>
      <c r="HE399" s="3"/>
      <c r="HF399" s="3"/>
      <c r="HG399" s="3"/>
      <c r="HH399" s="3"/>
      <c r="HI399" s="3"/>
      <c r="HJ399" s="3"/>
      <c r="HK399" s="3"/>
      <c r="HL399" s="3"/>
      <c r="HM399" s="3"/>
      <c r="HN399" s="3"/>
      <c r="HO399" s="3"/>
      <c r="HP399" s="3"/>
      <c r="HQ399" s="3"/>
      <c r="HR399" s="3"/>
      <c r="HS399" s="3"/>
      <c r="HT399" s="3"/>
      <c r="HU399" s="3"/>
      <c r="HV399" s="3"/>
      <c r="HW399" s="3"/>
      <c r="HX399" s="3"/>
      <c r="HY399" s="3"/>
      <c r="HZ399" s="3"/>
      <c r="IA399" s="3"/>
      <c r="IB399" s="3"/>
      <c r="IC399" s="3"/>
      <c r="ID399" s="3"/>
      <c r="IE399" s="3"/>
      <c r="IF399" s="3"/>
      <c r="IG399" s="3"/>
      <c r="IH399" s="3"/>
      <c r="II399" s="3"/>
      <c r="IJ399" s="3"/>
      <c r="IK399" s="3"/>
      <c r="IL399" s="3"/>
      <c r="IM399" s="3"/>
      <c r="IN399" s="3"/>
      <c r="IO399" s="3"/>
      <c r="IP399" s="3"/>
      <c r="IQ399" s="3"/>
      <c r="IR399" s="3"/>
      <c r="IS399" s="3"/>
      <c r="IT399" s="3"/>
      <c r="IU399" s="3"/>
      <c r="IV399" s="3"/>
      <c r="IW399" s="3"/>
      <c r="IX399" s="3"/>
      <c r="IY399" s="3"/>
      <c r="IZ399" s="3"/>
      <c r="JA399" s="3"/>
      <c r="JB399" s="3"/>
      <c r="JC399" s="3"/>
      <c r="JD399" s="3"/>
      <c r="JE399" s="3"/>
      <c r="JF399" s="3"/>
      <c r="JG399" s="3"/>
      <c r="JH399" s="3"/>
      <c r="JI399" s="3"/>
      <c r="JJ399" s="3"/>
      <c r="JK399" s="3"/>
      <c r="JL399" s="3"/>
      <c r="JM399" s="3"/>
      <c r="JN399" s="3"/>
      <c r="JO399" s="3"/>
      <c r="JP399" s="3"/>
      <c r="JQ399" s="3"/>
      <c r="JR399" s="3"/>
      <c r="JS399" s="3"/>
      <c r="JT399" s="3"/>
      <c r="JU399" s="3"/>
      <c r="JV399" s="3"/>
      <c r="JW399" s="3"/>
      <c r="JX399" s="3"/>
      <c r="JY399" s="3"/>
      <c r="JZ399" s="3"/>
      <c r="KA399" s="3"/>
      <c r="KB399" s="3"/>
      <c r="KC399" s="3"/>
      <c r="KD399" s="3"/>
      <c r="KE399" s="3"/>
      <c r="KF399" s="3"/>
      <c r="KG399" s="3"/>
      <c r="KH399" s="3"/>
      <c r="KI399" s="3"/>
      <c r="KJ399" s="3"/>
      <c r="KK399" s="3"/>
      <c r="KL399" s="3"/>
      <c r="KM399" s="3"/>
      <c r="KN399" s="3"/>
      <c r="KO399" s="3"/>
      <c r="KP399" s="3"/>
      <c r="KQ399" s="3"/>
      <c r="KR399" s="3"/>
      <c r="KS399" s="3"/>
      <c r="KT399" s="3"/>
      <c r="KU399" s="3"/>
      <c r="KV399" s="3"/>
      <c r="KW399" s="3"/>
      <c r="KX399" s="3"/>
      <c r="KY399" s="3"/>
      <c r="KZ399" s="3"/>
      <c r="LA399" s="3"/>
      <c r="LB399" s="3"/>
      <c r="LC399" s="3"/>
      <c r="LD399" s="3"/>
      <c r="LE399" s="3"/>
      <c r="LF399" s="3"/>
      <c r="LG399" s="3"/>
      <c r="LH399" s="3"/>
      <c r="LI399" s="3"/>
      <c r="LJ399" s="3"/>
      <c r="LK399" s="3"/>
      <c r="LL399" s="3"/>
      <c r="LM399" s="3"/>
      <c r="LN399" s="3"/>
      <c r="LO399" s="3"/>
      <c r="LP399" s="3"/>
      <c r="LQ399" s="3"/>
      <c r="LR399" s="3"/>
      <c r="LS399" s="3"/>
      <c r="LT399" s="3"/>
      <c r="LU399" s="3"/>
      <c r="LV399" s="3"/>
      <c r="LW399" s="3"/>
      <c r="LX399" s="3"/>
      <c r="LY399" s="3"/>
      <c r="LZ399" s="3"/>
      <c r="MA399" s="3"/>
      <c r="MB399" s="3"/>
      <c r="MC399" s="3"/>
      <c r="MD399" s="3"/>
      <c r="ME399" s="3"/>
      <c r="MF399" s="3"/>
      <c r="MG399" s="3"/>
      <c r="MH399" s="3"/>
      <c r="MI399" s="3"/>
      <c r="MJ399" s="3"/>
      <c r="MK399" s="3"/>
      <c r="ML399" s="3"/>
      <c r="MM399" s="3"/>
      <c r="MN399" s="3"/>
      <c r="MO399" s="3"/>
      <c r="MP399" s="3"/>
      <c r="MQ399" s="3"/>
      <c r="MR399" s="3"/>
      <c r="MS399" s="3"/>
      <c r="MT399" s="3"/>
      <c r="MU399" s="3"/>
      <c r="MV399" s="3"/>
      <c r="MW399" s="3"/>
      <c r="MX399" s="3"/>
      <c r="MY399" s="3"/>
      <c r="MZ399" s="3"/>
      <c r="NA399" s="3"/>
      <c r="NB399" s="3"/>
      <c r="NC399" s="3"/>
      <c r="ND399" s="3"/>
      <c r="NE399" s="3"/>
      <c r="NF399" s="3"/>
      <c r="NG399" s="3"/>
      <c r="NH399" s="3"/>
      <c r="NI399" s="3"/>
      <c r="NJ399" s="3"/>
      <c r="NK399" s="3"/>
      <c r="NL399" s="3"/>
      <c r="NM399" s="3"/>
      <c r="NN399" s="3"/>
      <c r="NO399" s="3"/>
      <c r="NP399" s="3"/>
      <c r="NQ399" s="3"/>
      <c r="NR399" s="3"/>
      <c r="NS399" s="3"/>
      <c r="NT399" s="3"/>
      <c r="NU399" s="3"/>
      <c r="NV399" s="3"/>
      <c r="NW399" s="3"/>
      <c r="NX399" s="3"/>
      <c r="NY399" s="3"/>
      <c r="NZ399" s="3"/>
      <c r="OA399" s="3"/>
      <c r="OB399" s="3"/>
      <c r="OC399" s="3"/>
      <c r="OD399" s="3"/>
      <c r="OE399" s="3"/>
      <c r="OF399" s="3"/>
      <c r="OG399" s="3"/>
      <c r="OH399" s="3"/>
      <c r="OI399" s="3"/>
      <c r="OJ399" s="3"/>
      <c r="OK399" s="3"/>
      <c r="OL399" s="3"/>
      <c r="OM399" s="3"/>
      <c r="ON399" s="3"/>
      <c r="OO399" s="3"/>
      <c r="OP399" s="3"/>
      <c r="OQ399" s="3"/>
      <c r="OR399" s="3"/>
      <c r="OS399" s="3"/>
      <c r="OT399" s="3"/>
      <c r="OU399" s="3"/>
      <c r="OV399" s="3"/>
      <c r="OW399" s="3"/>
      <c r="OX399" s="3"/>
      <c r="OY399" s="3"/>
      <c r="OZ399" s="3"/>
      <c r="PA399" s="3"/>
      <c r="PB399" s="3"/>
      <c r="PC399" s="3"/>
      <c r="PD399" s="3"/>
      <c r="PE399" s="3"/>
      <c r="PF399" s="3"/>
      <c r="PG399" s="3"/>
      <c r="PH399" s="3"/>
      <c r="PI399" s="3"/>
      <c r="PJ399" s="3"/>
      <c r="PK399" s="3"/>
      <c r="PL399" s="3"/>
      <c r="PM399" s="3"/>
      <c r="PN399" s="3"/>
      <c r="PO399" s="3"/>
      <c r="PP399" s="3"/>
      <c r="PQ399" s="3"/>
      <c r="PR399" s="3"/>
      <c r="PS399" s="3"/>
      <c r="PT399" s="3"/>
      <c r="PU399" s="3"/>
      <c r="PV399" s="3"/>
      <c r="PW399" s="3"/>
      <c r="PX399" s="3"/>
      <c r="PY399" s="3"/>
      <c r="PZ399" s="3"/>
      <c r="QA399" s="3"/>
      <c r="QB399" s="3"/>
      <c r="QC399" s="3"/>
      <c r="QD399" s="3"/>
      <c r="QE399" s="3"/>
      <c r="QF399" s="3"/>
      <c r="QG399" s="3"/>
      <c r="QH399" s="3"/>
      <c r="QI399" s="3"/>
      <c r="QJ399" s="3"/>
      <c r="QK399" s="3"/>
      <c r="QL399" s="3"/>
      <c r="QM399" s="3"/>
      <c r="QN399" s="3"/>
      <c r="QO399" s="3"/>
      <c r="QP399" s="3"/>
      <c r="QQ399" s="3"/>
      <c r="QR399" s="3"/>
      <c r="QS399" s="3"/>
      <c r="QT399" s="3"/>
      <c r="QU399" s="3"/>
      <c r="QV399" s="3"/>
      <c r="QW399" s="3"/>
      <c r="QX399" s="3"/>
      <c r="QY399" s="3"/>
      <c r="QZ399" s="3"/>
      <c r="RA399" s="3"/>
      <c r="RB399" s="3"/>
      <c r="RC399" s="3"/>
      <c r="RD399" s="3"/>
      <c r="RE399" s="3"/>
      <c r="RF399" s="3"/>
      <c r="RG399" s="3"/>
      <c r="RH399" s="3"/>
      <c r="RI399" s="3"/>
      <c r="RJ399" s="3"/>
      <c r="RK399" s="3"/>
      <c r="RL399" s="3"/>
      <c r="RM399" s="3"/>
      <c r="RN399" s="3"/>
      <c r="RO399" s="3"/>
      <c r="RP399" s="3"/>
      <c r="RQ399" s="3"/>
      <c r="RR399" s="3"/>
      <c r="RS399" s="3"/>
      <c r="RT399" s="3"/>
      <c r="RU399" s="3"/>
      <c r="RV399" s="3"/>
      <c r="RW399" s="3"/>
      <c r="RX399" s="3"/>
      <c r="RY399" s="3"/>
      <c r="RZ399" s="3"/>
      <c r="SA399" s="3"/>
      <c r="SB399" s="3"/>
      <c r="SC399" s="3"/>
      <c r="SD399" s="3"/>
      <c r="SE399" s="3"/>
      <c r="SF399" s="3"/>
      <c r="SG399" s="3"/>
      <c r="SH399" s="3"/>
      <c r="SI399" s="3"/>
      <c r="SJ399" s="3"/>
      <c r="SK399" s="3"/>
      <c r="SL399" s="3"/>
      <c r="SM399" s="3"/>
      <c r="SN399" s="3"/>
      <c r="SO399" s="3"/>
      <c r="SP399" s="3"/>
      <c r="SQ399" s="3"/>
      <c r="SR399" s="3"/>
      <c r="SS399" s="3"/>
      <c r="ST399" s="3"/>
      <c r="SU399" s="3"/>
      <c r="SV399" s="3"/>
      <c r="SW399" s="3"/>
      <c r="SX399" s="3"/>
      <c r="SY399" s="3"/>
      <c r="SZ399" s="3"/>
      <c r="TA399" s="3"/>
      <c r="TB399" s="3"/>
      <c r="TC399" s="3"/>
      <c r="TD399" s="3"/>
      <c r="TE399" s="3"/>
      <c r="TF399" s="3"/>
      <c r="TG399" s="3"/>
      <c r="TH399" s="3"/>
      <c r="TI399" s="3"/>
      <c r="TJ399" s="3"/>
      <c r="TK399" s="3"/>
      <c r="TL399" s="3"/>
      <c r="TM399" s="3"/>
      <c r="TN399" s="3"/>
      <c r="TO399" s="3"/>
      <c r="TP399" s="3"/>
      <c r="TQ399" s="3"/>
      <c r="TR399" s="3"/>
      <c r="TS399" s="3"/>
      <c r="TT399" s="3"/>
      <c r="TU399" s="3"/>
      <c r="TV399" s="3"/>
      <c r="TW399" s="3"/>
      <c r="TX399" s="3"/>
      <c r="TY399" s="3"/>
      <c r="TZ399" s="3"/>
      <c r="UA399" s="3"/>
      <c r="UB399" s="3"/>
      <c r="UC399" s="3"/>
      <c r="UD399" s="3"/>
      <c r="UE399" s="3"/>
      <c r="UF399" s="3"/>
      <c r="UG399" s="3"/>
      <c r="UH399" s="3"/>
      <c r="UI399" s="3"/>
      <c r="UJ399" s="3"/>
      <c r="UK399" s="3"/>
      <c r="UL399" s="3"/>
      <c r="UM399" s="3"/>
      <c r="UN399" s="3"/>
      <c r="UO399" s="3"/>
      <c r="UP399" s="3"/>
      <c r="UQ399" s="3"/>
      <c r="UR399" s="3"/>
      <c r="US399" s="3"/>
      <c r="UT399" s="3"/>
      <c r="UU399" s="3"/>
      <c r="UV399" s="3"/>
      <c r="UW399" s="3"/>
      <c r="UX399" s="3"/>
      <c r="UY399" s="3"/>
      <c r="UZ399" s="3"/>
      <c r="VA399" s="3"/>
      <c r="VB399" s="3"/>
      <c r="VC399" s="3"/>
      <c r="VD399" s="3"/>
      <c r="VE399" s="3"/>
      <c r="VF399" s="3"/>
      <c r="VG399" s="3"/>
      <c r="VH399" s="3"/>
      <c r="VI399" s="3"/>
      <c r="VJ399" s="3"/>
      <c r="VK399" s="3"/>
      <c r="VL399" s="3"/>
      <c r="VM399" s="3"/>
      <c r="VN399" s="3"/>
      <c r="VO399" s="3"/>
      <c r="VP399" s="3"/>
      <c r="VQ399" s="3"/>
      <c r="VR399" s="3"/>
      <c r="VS399" s="3"/>
      <c r="VT399" s="3"/>
      <c r="VU399" s="3"/>
      <c r="VV399" s="3"/>
      <c r="VW399" s="3"/>
      <c r="VX399" s="3"/>
      <c r="VY399" s="3"/>
      <c r="VZ399" s="3"/>
      <c r="WA399" s="3"/>
      <c r="WB399" s="3"/>
      <c r="WC399" s="3"/>
      <c r="WD399" s="3"/>
      <c r="WE399" s="3"/>
      <c r="WF399" s="3"/>
      <c r="WG399" s="3"/>
      <c r="WH399" s="3"/>
      <c r="WI399" s="3"/>
      <c r="WJ399" s="3"/>
      <c r="WK399" s="3"/>
      <c r="WL399" s="3"/>
      <c r="WM399" s="3"/>
      <c r="WN399" s="3"/>
      <c r="WO399" s="3"/>
      <c r="WP399" s="3"/>
      <c r="WQ399" s="3"/>
      <c r="WR399" s="3"/>
      <c r="WS399" s="3"/>
      <c r="WT399" s="3"/>
      <c r="WU399" s="3"/>
      <c r="WV399" s="3"/>
      <c r="WW399" s="3"/>
      <c r="WX399" s="3"/>
      <c r="WY399" s="3"/>
      <c r="WZ399" s="3"/>
      <c r="XA399" s="3"/>
      <c r="XB399" s="3"/>
      <c r="XC399" s="3"/>
      <c r="XD399" s="3"/>
      <c r="XE399" s="3"/>
      <c r="XF399" s="3"/>
      <c r="XG399" s="3"/>
      <c r="XH399" s="3"/>
      <c r="XI399" s="3"/>
      <c r="XJ399" s="3"/>
      <c r="XK399" s="3"/>
      <c r="XL399" s="3"/>
      <c r="XM399" s="3"/>
      <c r="XN399" s="3"/>
      <c r="XO399" s="3"/>
      <c r="XP399" s="3"/>
      <c r="XQ399" s="3"/>
      <c r="XR399" s="3"/>
      <c r="XS399" s="3"/>
      <c r="XT399" s="3"/>
      <c r="XU399" s="3"/>
      <c r="XV399" s="3"/>
      <c r="XW399" s="3"/>
      <c r="XX399" s="3"/>
      <c r="XY399" s="3"/>
      <c r="XZ399" s="3"/>
      <c r="YA399" s="3"/>
      <c r="YB399" s="3"/>
      <c r="YC399" s="3"/>
      <c r="YD399" s="3"/>
      <c r="YE399" s="3"/>
      <c r="YF399" s="3"/>
      <c r="YG399" s="3"/>
      <c r="YH399" s="3"/>
      <c r="YI399" s="3"/>
      <c r="YJ399" s="3"/>
      <c r="YK399" s="3"/>
      <c r="YL399" s="3"/>
      <c r="YM399" s="3"/>
      <c r="YN399" s="3"/>
      <c r="YO399" s="3"/>
      <c r="YP399" s="3"/>
      <c r="YQ399" s="3"/>
      <c r="YR399" s="3"/>
      <c r="YS399" s="3"/>
      <c r="YT399" s="3"/>
      <c r="YU399" s="3"/>
      <c r="YV399" s="3"/>
      <c r="YW399" s="3"/>
      <c r="YX399" s="3"/>
      <c r="YY399" s="3"/>
      <c r="YZ399" s="3"/>
      <c r="ZA399" s="3"/>
      <c r="ZB399" s="3"/>
      <c r="ZC399" s="3"/>
    </row>
    <row r="400" spans="1:679" s="2" customFormat="1" x14ac:dyDescent="0.45">
      <c r="A400" s="3" t="s">
        <v>11</v>
      </c>
      <c r="B400" s="4">
        <v>41333</v>
      </c>
      <c r="C400" s="7" t="s">
        <v>21</v>
      </c>
      <c r="D400" s="6" t="s">
        <v>421</v>
      </c>
      <c r="E400" s="3"/>
      <c r="F400" s="3">
        <v>19</v>
      </c>
      <c r="L400" s="3"/>
      <c r="M400" s="3"/>
      <c r="N400" s="48"/>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c r="CO400" s="3"/>
      <c r="CP400" s="3"/>
      <c r="CQ400" s="3"/>
      <c r="CR400" s="3"/>
      <c r="CS400" s="3"/>
      <c r="CT400" s="3"/>
      <c r="CU400" s="3"/>
      <c r="CV400" s="3"/>
      <c r="CW400" s="3"/>
      <c r="CX400" s="3"/>
      <c r="CY400" s="3"/>
      <c r="CZ400" s="3"/>
      <c r="DA400" s="3"/>
      <c r="DB400" s="3"/>
      <c r="DC400" s="3"/>
      <c r="DD400" s="3"/>
      <c r="DE400" s="3"/>
      <c r="DF400" s="3"/>
      <c r="DG400" s="3"/>
      <c r="DH400" s="3"/>
      <c r="DI400" s="3"/>
      <c r="DJ400" s="3"/>
      <c r="DK400" s="3"/>
      <c r="DL400" s="3"/>
      <c r="DM400" s="3"/>
      <c r="DN400" s="3"/>
      <c r="DO400" s="3"/>
      <c r="DP400" s="3"/>
      <c r="DQ400" s="3"/>
      <c r="DR400" s="3"/>
      <c r="DS400" s="3"/>
      <c r="DT400" s="3"/>
      <c r="DU400" s="3"/>
      <c r="DV400" s="3"/>
      <c r="DW400" s="3"/>
      <c r="DX400" s="3"/>
      <c r="DY400" s="3"/>
      <c r="DZ400" s="3"/>
      <c r="EA400" s="3"/>
      <c r="EB400" s="3"/>
      <c r="EC400" s="3"/>
      <c r="ED400" s="3"/>
      <c r="EE400" s="3"/>
      <c r="EF400" s="3"/>
      <c r="EG400" s="3"/>
      <c r="EH400" s="3"/>
      <c r="EI400" s="3"/>
      <c r="EJ400" s="3"/>
      <c r="EK400" s="3"/>
      <c r="EL400" s="3"/>
      <c r="EM400" s="3"/>
      <c r="EN400" s="3"/>
      <c r="EO400" s="3"/>
      <c r="EP400" s="3"/>
      <c r="EQ400" s="3"/>
      <c r="ER400" s="3"/>
      <c r="ES400" s="3"/>
      <c r="ET400" s="3"/>
      <c r="EU400" s="3"/>
      <c r="EV400" s="3"/>
      <c r="EW400" s="3"/>
      <c r="EX400" s="3"/>
      <c r="EY400" s="3"/>
      <c r="EZ400" s="3"/>
      <c r="FA400" s="3"/>
      <c r="FB400" s="3"/>
      <c r="FC400" s="3"/>
      <c r="FD400" s="3"/>
      <c r="FE400" s="3"/>
      <c r="FF400" s="3"/>
      <c r="FG400" s="3"/>
      <c r="FH400" s="3"/>
      <c r="FI400" s="3"/>
      <c r="FJ400" s="3"/>
      <c r="FK400" s="3"/>
      <c r="FL400" s="3"/>
      <c r="FM400" s="3"/>
      <c r="FN400" s="3"/>
      <c r="FO400" s="3"/>
      <c r="FP400" s="3"/>
      <c r="FQ400" s="3"/>
      <c r="FR400" s="3"/>
      <c r="FS400" s="3"/>
      <c r="FT400" s="3"/>
      <c r="FU400" s="3"/>
      <c r="FV400" s="3"/>
      <c r="FW400" s="3"/>
      <c r="FX400" s="3"/>
      <c r="FY400" s="3"/>
      <c r="FZ400" s="3"/>
      <c r="GA400" s="3"/>
      <c r="GB400" s="3"/>
      <c r="GC400" s="3"/>
      <c r="GD400" s="3"/>
      <c r="GE400" s="3"/>
      <c r="GF400" s="3"/>
      <c r="GG400" s="3"/>
      <c r="GH400" s="3"/>
      <c r="GI400" s="3"/>
      <c r="GJ400" s="3"/>
      <c r="GK400" s="3"/>
      <c r="GL400" s="3"/>
      <c r="GM400" s="3"/>
      <c r="GN400" s="3"/>
      <c r="GO400" s="3"/>
      <c r="GP400" s="3"/>
      <c r="GQ400" s="3"/>
      <c r="GR400" s="3"/>
      <c r="GS400" s="3"/>
      <c r="GT400" s="3"/>
      <c r="GU400" s="3"/>
      <c r="GV400" s="3"/>
      <c r="GW400" s="3"/>
      <c r="GX400" s="3"/>
      <c r="GY400" s="3"/>
      <c r="GZ400" s="3"/>
      <c r="HA400" s="3"/>
      <c r="HB400" s="3"/>
      <c r="HC400" s="3"/>
      <c r="HD400" s="3"/>
      <c r="HE400" s="3"/>
      <c r="HF400" s="3"/>
      <c r="HG400" s="3"/>
      <c r="HH400" s="3"/>
      <c r="HI400" s="3"/>
      <c r="HJ400" s="3"/>
      <c r="HK400" s="3"/>
      <c r="HL400" s="3"/>
      <c r="HM400" s="3"/>
      <c r="HN400" s="3"/>
      <c r="HO400" s="3"/>
      <c r="HP400" s="3"/>
      <c r="HQ400" s="3"/>
      <c r="HR400" s="3"/>
      <c r="HS400" s="3"/>
      <c r="HT400" s="3"/>
      <c r="HU400" s="3"/>
      <c r="HV400" s="3"/>
      <c r="HW400" s="3"/>
      <c r="HX400" s="3"/>
      <c r="HY400" s="3"/>
      <c r="HZ400" s="3"/>
      <c r="IA400" s="3"/>
      <c r="IB400" s="3"/>
      <c r="IC400" s="3"/>
      <c r="ID400" s="3"/>
      <c r="IE400" s="3"/>
      <c r="IF400" s="3"/>
      <c r="IG400" s="3"/>
      <c r="IH400" s="3"/>
      <c r="II400" s="3"/>
      <c r="IJ400" s="3"/>
      <c r="IK400" s="3"/>
      <c r="IL400" s="3"/>
      <c r="IM400" s="3"/>
      <c r="IN400" s="3"/>
      <c r="IO400" s="3"/>
      <c r="IP400" s="3"/>
      <c r="IQ400" s="3"/>
      <c r="IR400" s="3"/>
      <c r="IS400" s="3"/>
      <c r="IT400" s="3"/>
      <c r="IU400" s="3"/>
      <c r="IV400" s="3"/>
      <c r="IW400" s="3"/>
      <c r="IX400" s="3"/>
      <c r="IY400" s="3"/>
      <c r="IZ400" s="3"/>
      <c r="JA400" s="3"/>
      <c r="JB400" s="3"/>
      <c r="JC400" s="3"/>
      <c r="JD400" s="3"/>
      <c r="JE400" s="3"/>
      <c r="JF400" s="3"/>
      <c r="JG400" s="3"/>
      <c r="JH400" s="3"/>
      <c r="JI400" s="3"/>
      <c r="JJ400" s="3"/>
      <c r="JK400" s="3"/>
      <c r="JL400" s="3"/>
      <c r="JM400" s="3"/>
      <c r="JN400" s="3"/>
      <c r="JO400" s="3"/>
      <c r="JP400" s="3"/>
      <c r="JQ400" s="3"/>
      <c r="JR400" s="3"/>
      <c r="JS400" s="3"/>
      <c r="JT400" s="3"/>
      <c r="JU400" s="3"/>
      <c r="JV400" s="3"/>
      <c r="JW400" s="3"/>
      <c r="JX400" s="3"/>
      <c r="JY400" s="3"/>
      <c r="JZ400" s="3"/>
      <c r="KA400" s="3"/>
      <c r="KB400" s="3"/>
      <c r="KC400" s="3"/>
      <c r="KD400" s="3"/>
      <c r="KE400" s="3"/>
      <c r="KF400" s="3"/>
      <c r="KG400" s="3"/>
      <c r="KH400" s="3"/>
      <c r="KI400" s="3"/>
      <c r="KJ400" s="3"/>
      <c r="KK400" s="3"/>
      <c r="KL400" s="3"/>
      <c r="KM400" s="3"/>
      <c r="KN400" s="3"/>
      <c r="KO400" s="3"/>
      <c r="KP400" s="3"/>
      <c r="KQ400" s="3"/>
      <c r="KR400" s="3"/>
      <c r="KS400" s="3"/>
      <c r="KT400" s="3"/>
      <c r="KU400" s="3"/>
      <c r="KV400" s="3"/>
      <c r="KW400" s="3"/>
      <c r="KX400" s="3"/>
      <c r="KY400" s="3"/>
      <c r="KZ400" s="3"/>
      <c r="LA400" s="3"/>
      <c r="LB400" s="3"/>
      <c r="LC400" s="3"/>
      <c r="LD400" s="3"/>
      <c r="LE400" s="3"/>
      <c r="LF400" s="3"/>
      <c r="LG400" s="3"/>
      <c r="LH400" s="3"/>
      <c r="LI400" s="3"/>
      <c r="LJ400" s="3"/>
      <c r="LK400" s="3"/>
      <c r="LL400" s="3"/>
      <c r="LM400" s="3"/>
      <c r="LN400" s="3"/>
      <c r="LO400" s="3"/>
      <c r="LP400" s="3"/>
      <c r="LQ400" s="3"/>
      <c r="LR400" s="3"/>
      <c r="LS400" s="3"/>
      <c r="LT400" s="3"/>
      <c r="LU400" s="3"/>
      <c r="LV400" s="3"/>
      <c r="LW400" s="3"/>
      <c r="LX400" s="3"/>
      <c r="LY400" s="3"/>
      <c r="LZ400" s="3"/>
      <c r="MA400" s="3"/>
      <c r="MB400" s="3"/>
      <c r="MC400" s="3"/>
      <c r="MD400" s="3"/>
      <c r="ME400" s="3"/>
      <c r="MF400" s="3"/>
      <c r="MG400" s="3"/>
      <c r="MH400" s="3"/>
      <c r="MI400" s="3"/>
      <c r="MJ400" s="3"/>
      <c r="MK400" s="3"/>
      <c r="ML400" s="3"/>
      <c r="MM400" s="3"/>
      <c r="MN400" s="3"/>
      <c r="MO400" s="3"/>
      <c r="MP400" s="3"/>
      <c r="MQ400" s="3"/>
      <c r="MR400" s="3"/>
      <c r="MS400" s="3"/>
      <c r="MT400" s="3"/>
      <c r="MU400" s="3"/>
      <c r="MV400" s="3"/>
      <c r="MW400" s="3"/>
      <c r="MX400" s="3"/>
      <c r="MY400" s="3"/>
      <c r="MZ400" s="3"/>
      <c r="NA400" s="3"/>
      <c r="NB400" s="3"/>
      <c r="NC400" s="3"/>
      <c r="ND400" s="3"/>
      <c r="NE400" s="3"/>
      <c r="NF400" s="3"/>
      <c r="NG400" s="3"/>
      <c r="NH400" s="3"/>
      <c r="NI400" s="3"/>
      <c r="NJ400" s="3"/>
      <c r="NK400" s="3"/>
      <c r="NL400" s="3"/>
      <c r="NM400" s="3"/>
      <c r="NN400" s="3"/>
      <c r="NO400" s="3"/>
      <c r="NP400" s="3"/>
      <c r="NQ400" s="3"/>
      <c r="NR400" s="3"/>
      <c r="NS400" s="3"/>
      <c r="NT400" s="3"/>
      <c r="NU400" s="3"/>
      <c r="NV400" s="3"/>
      <c r="NW400" s="3"/>
      <c r="NX400" s="3"/>
      <c r="NY400" s="3"/>
      <c r="NZ400" s="3"/>
      <c r="OA400" s="3"/>
      <c r="OB400" s="3"/>
      <c r="OC400" s="3"/>
      <c r="OD400" s="3"/>
      <c r="OE400" s="3"/>
      <c r="OF400" s="3"/>
      <c r="OG400" s="3"/>
      <c r="OH400" s="3"/>
      <c r="OI400" s="3"/>
      <c r="OJ400" s="3"/>
      <c r="OK400" s="3"/>
      <c r="OL400" s="3"/>
      <c r="OM400" s="3"/>
      <c r="ON400" s="3"/>
      <c r="OO400" s="3"/>
      <c r="OP400" s="3"/>
      <c r="OQ400" s="3"/>
      <c r="OR400" s="3"/>
      <c r="OS400" s="3"/>
      <c r="OT400" s="3"/>
      <c r="OU400" s="3"/>
      <c r="OV400" s="3"/>
      <c r="OW400" s="3"/>
      <c r="OX400" s="3"/>
      <c r="OY400" s="3"/>
      <c r="OZ400" s="3"/>
      <c r="PA400" s="3"/>
      <c r="PB400" s="3"/>
      <c r="PC400" s="3"/>
      <c r="PD400" s="3"/>
      <c r="PE400" s="3"/>
      <c r="PF400" s="3"/>
      <c r="PG400" s="3"/>
      <c r="PH400" s="3"/>
      <c r="PI400" s="3"/>
      <c r="PJ400" s="3"/>
      <c r="PK400" s="3"/>
      <c r="PL400" s="3"/>
      <c r="PM400" s="3"/>
      <c r="PN400" s="3"/>
      <c r="PO400" s="3"/>
      <c r="PP400" s="3"/>
      <c r="PQ400" s="3"/>
      <c r="PR400" s="3"/>
      <c r="PS400" s="3"/>
      <c r="PT400" s="3"/>
      <c r="PU400" s="3"/>
      <c r="PV400" s="3"/>
      <c r="PW400" s="3"/>
      <c r="PX400" s="3"/>
      <c r="PY400" s="3"/>
      <c r="PZ400" s="3"/>
      <c r="QA400" s="3"/>
      <c r="QB400" s="3"/>
      <c r="QC400" s="3"/>
      <c r="QD400" s="3"/>
      <c r="QE400" s="3"/>
      <c r="QF400" s="3"/>
      <c r="QG400" s="3"/>
      <c r="QH400" s="3"/>
      <c r="QI400" s="3"/>
      <c r="QJ400" s="3"/>
      <c r="QK400" s="3"/>
      <c r="QL400" s="3"/>
      <c r="QM400" s="3"/>
      <c r="QN400" s="3"/>
      <c r="QO400" s="3"/>
      <c r="QP400" s="3"/>
      <c r="QQ400" s="3"/>
      <c r="QR400" s="3"/>
      <c r="QS400" s="3"/>
      <c r="QT400" s="3"/>
      <c r="QU400" s="3"/>
      <c r="QV400" s="3"/>
      <c r="QW400" s="3"/>
      <c r="QX400" s="3"/>
      <c r="QY400" s="3"/>
      <c r="QZ400" s="3"/>
      <c r="RA400" s="3"/>
      <c r="RB400" s="3"/>
      <c r="RC400" s="3"/>
      <c r="RD400" s="3"/>
      <c r="RE400" s="3"/>
      <c r="RF400" s="3"/>
      <c r="RG400" s="3"/>
      <c r="RH400" s="3"/>
      <c r="RI400" s="3"/>
      <c r="RJ400" s="3"/>
      <c r="RK400" s="3"/>
      <c r="RL400" s="3"/>
      <c r="RM400" s="3"/>
      <c r="RN400" s="3"/>
      <c r="RO400" s="3"/>
      <c r="RP400" s="3"/>
      <c r="RQ400" s="3"/>
      <c r="RR400" s="3"/>
      <c r="RS400" s="3"/>
      <c r="RT400" s="3"/>
      <c r="RU400" s="3"/>
      <c r="RV400" s="3"/>
      <c r="RW400" s="3"/>
      <c r="RX400" s="3"/>
      <c r="RY400" s="3"/>
      <c r="RZ400" s="3"/>
      <c r="SA400" s="3"/>
      <c r="SB400" s="3"/>
      <c r="SC400" s="3"/>
      <c r="SD400" s="3"/>
      <c r="SE400" s="3"/>
      <c r="SF400" s="3"/>
      <c r="SG400" s="3"/>
      <c r="SH400" s="3"/>
      <c r="SI400" s="3"/>
      <c r="SJ400" s="3"/>
      <c r="SK400" s="3"/>
      <c r="SL400" s="3"/>
      <c r="SM400" s="3"/>
      <c r="SN400" s="3"/>
      <c r="SO400" s="3"/>
      <c r="SP400" s="3"/>
      <c r="SQ400" s="3"/>
      <c r="SR400" s="3"/>
      <c r="SS400" s="3"/>
      <c r="ST400" s="3"/>
      <c r="SU400" s="3"/>
      <c r="SV400" s="3"/>
      <c r="SW400" s="3"/>
      <c r="SX400" s="3"/>
      <c r="SY400" s="3"/>
      <c r="SZ400" s="3"/>
      <c r="TA400" s="3"/>
      <c r="TB400" s="3"/>
      <c r="TC400" s="3"/>
      <c r="TD400" s="3"/>
      <c r="TE400" s="3"/>
      <c r="TF400" s="3"/>
      <c r="TG400" s="3"/>
      <c r="TH400" s="3"/>
      <c r="TI400" s="3"/>
      <c r="TJ400" s="3"/>
      <c r="TK400" s="3"/>
      <c r="TL400" s="3"/>
      <c r="TM400" s="3"/>
      <c r="TN400" s="3"/>
      <c r="TO400" s="3"/>
      <c r="TP400" s="3"/>
      <c r="TQ400" s="3"/>
      <c r="TR400" s="3"/>
      <c r="TS400" s="3"/>
      <c r="TT400" s="3"/>
      <c r="TU400" s="3"/>
      <c r="TV400" s="3"/>
      <c r="TW400" s="3"/>
      <c r="TX400" s="3"/>
      <c r="TY400" s="3"/>
      <c r="TZ400" s="3"/>
      <c r="UA400" s="3"/>
      <c r="UB400" s="3"/>
      <c r="UC400" s="3"/>
      <c r="UD400" s="3"/>
      <c r="UE400" s="3"/>
      <c r="UF400" s="3"/>
      <c r="UG400" s="3"/>
      <c r="UH400" s="3"/>
      <c r="UI400" s="3"/>
      <c r="UJ400" s="3"/>
      <c r="UK400" s="3"/>
      <c r="UL400" s="3"/>
      <c r="UM400" s="3"/>
      <c r="UN400" s="3"/>
      <c r="UO400" s="3"/>
      <c r="UP400" s="3"/>
      <c r="UQ400" s="3"/>
      <c r="UR400" s="3"/>
      <c r="US400" s="3"/>
      <c r="UT400" s="3"/>
      <c r="UU400" s="3"/>
      <c r="UV400" s="3"/>
      <c r="UW400" s="3"/>
      <c r="UX400" s="3"/>
      <c r="UY400" s="3"/>
      <c r="UZ400" s="3"/>
      <c r="VA400" s="3"/>
      <c r="VB400" s="3"/>
      <c r="VC400" s="3"/>
      <c r="VD400" s="3"/>
      <c r="VE400" s="3"/>
      <c r="VF400" s="3"/>
      <c r="VG400" s="3"/>
      <c r="VH400" s="3"/>
      <c r="VI400" s="3"/>
      <c r="VJ400" s="3"/>
      <c r="VK400" s="3"/>
      <c r="VL400" s="3"/>
      <c r="VM400" s="3"/>
      <c r="VN400" s="3"/>
      <c r="VO400" s="3"/>
      <c r="VP400" s="3"/>
      <c r="VQ400" s="3"/>
      <c r="VR400" s="3"/>
      <c r="VS400" s="3"/>
      <c r="VT400" s="3"/>
      <c r="VU400" s="3"/>
      <c r="VV400" s="3"/>
      <c r="VW400" s="3"/>
      <c r="VX400" s="3"/>
      <c r="VY400" s="3"/>
      <c r="VZ400" s="3"/>
      <c r="WA400" s="3"/>
      <c r="WB400" s="3"/>
      <c r="WC400" s="3"/>
      <c r="WD400" s="3"/>
      <c r="WE400" s="3"/>
      <c r="WF400" s="3"/>
      <c r="WG400" s="3"/>
      <c r="WH400" s="3"/>
      <c r="WI400" s="3"/>
      <c r="WJ400" s="3"/>
      <c r="WK400" s="3"/>
      <c r="WL400" s="3"/>
      <c r="WM400" s="3"/>
      <c r="WN400" s="3"/>
      <c r="WO400" s="3"/>
      <c r="WP400" s="3"/>
      <c r="WQ400" s="3"/>
      <c r="WR400" s="3"/>
      <c r="WS400" s="3"/>
      <c r="WT400" s="3"/>
      <c r="WU400" s="3"/>
      <c r="WV400" s="3"/>
      <c r="WW400" s="3"/>
      <c r="WX400" s="3"/>
      <c r="WY400" s="3"/>
      <c r="WZ400" s="3"/>
      <c r="XA400" s="3"/>
      <c r="XB400" s="3"/>
      <c r="XC400" s="3"/>
      <c r="XD400" s="3"/>
      <c r="XE400" s="3"/>
      <c r="XF400" s="3"/>
      <c r="XG400" s="3"/>
      <c r="XH400" s="3"/>
      <c r="XI400" s="3"/>
      <c r="XJ400" s="3"/>
      <c r="XK400" s="3"/>
      <c r="XL400" s="3"/>
      <c r="XM400" s="3"/>
      <c r="XN400" s="3"/>
      <c r="XO400" s="3"/>
      <c r="XP400" s="3"/>
      <c r="XQ400" s="3"/>
      <c r="XR400" s="3"/>
      <c r="XS400" s="3"/>
      <c r="XT400" s="3"/>
      <c r="XU400" s="3"/>
      <c r="XV400" s="3"/>
      <c r="XW400" s="3"/>
      <c r="XX400" s="3"/>
      <c r="XY400" s="3"/>
      <c r="XZ400" s="3"/>
      <c r="YA400" s="3"/>
      <c r="YB400" s="3"/>
      <c r="YC400" s="3"/>
      <c r="YD400" s="3"/>
      <c r="YE400" s="3"/>
      <c r="YF400" s="3"/>
      <c r="YG400" s="3"/>
      <c r="YH400" s="3"/>
      <c r="YI400" s="3"/>
      <c r="YJ400" s="3"/>
      <c r="YK400" s="3"/>
      <c r="YL400" s="3"/>
      <c r="YM400" s="3"/>
      <c r="YN400" s="3"/>
      <c r="YO400" s="3"/>
      <c r="YP400" s="3"/>
      <c r="YQ400" s="3"/>
      <c r="YR400" s="3"/>
      <c r="YS400" s="3"/>
      <c r="YT400" s="3"/>
      <c r="YU400" s="3"/>
      <c r="YV400" s="3"/>
      <c r="YW400" s="3"/>
      <c r="YX400" s="3"/>
      <c r="YY400" s="3"/>
      <c r="YZ400" s="3"/>
      <c r="ZA400" s="3"/>
      <c r="ZB400" s="3"/>
      <c r="ZC400" s="3"/>
    </row>
    <row r="401" spans="1:14" x14ac:dyDescent="0.45">
      <c r="A401" s="3" t="s">
        <v>11</v>
      </c>
      <c r="B401" s="4">
        <v>41339</v>
      </c>
      <c r="C401" s="7" t="s">
        <v>21</v>
      </c>
      <c r="D401" s="6" t="s">
        <v>422</v>
      </c>
      <c r="F401" s="3">
        <v>59</v>
      </c>
      <c r="N401" s="48"/>
    </row>
    <row r="402" spans="1:14" x14ac:dyDescent="0.45">
      <c r="A402" s="3" t="s">
        <v>11</v>
      </c>
      <c r="B402" s="4">
        <v>41374</v>
      </c>
      <c r="C402" s="7" t="s">
        <v>21</v>
      </c>
      <c r="D402" s="6" t="s">
        <v>423</v>
      </c>
      <c r="F402" s="3">
        <v>57</v>
      </c>
      <c r="L402" s="3" t="s">
        <v>424</v>
      </c>
      <c r="N402" s="48"/>
    </row>
    <row r="403" spans="1:14" x14ac:dyDescent="0.45">
      <c r="A403" s="3" t="s">
        <v>11</v>
      </c>
      <c r="B403" s="4">
        <v>41374</v>
      </c>
      <c r="C403" s="7" t="s">
        <v>21</v>
      </c>
      <c r="D403" s="6" t="s">
        <v>425</v>
      </c>
      <c r="F403" s="3">
        <v>50</v>
      </c>
      <c r="N403" s="48"/>
    </row>
    <row r="404" spans="1:14" x14ac:dyDescent="0.45">
      <c r="A404" s="3" t="s">
        <v>11</v>
      </c>
      <c r="B404" s="4">
        <v>41381</v>
      </c>
      <c r="C404" s="7" t="s">
        <v>21</v>
      </c>
      <c r="D404" s="6" t="s">
        <v>426</v>
      </c>
      <c r="F404" s="3">
        <v>112</v>
      </c>
      <c r="L404" s="3" t="s">
        <v>373</v>
      </c>
      <c r="N404" s="48"/>
    </row>
    <row r="405" spans="1:14" x14ac:dyDescent="0.45">
      <c r="A405" s="3" t="s">
        <v>11</v>
      </c>
      <c r="B405" s="4">
        <v>41386</v>
      </c>
      <c r="C405" s="7" t="s">
        <v>25</v>
      </c>
      <c r="D405" s="6" t="s">
        <v>427</v>
      </c>
      <c r="F405" s="3">
        <v>12</v>
      </c>
      <c r="L405" s="3" t="s">
        <v>428</v>
      </c>
      <c r="N405" s="48"/>
    </row>
    <row r="406" spans="1:14" x14ac:dyDescent="0.45">
      <c r="A406" s="3" t="s">
        <v>11</v>
      </c>
      <c r="B406" s="4">
        <v>41436</v>
      </c>
      <c r="C406" s="7" t="s">
        <v>21</v>
      </c>
      <c r="D406" s="6" t="s">
        <v>429</v>
      </c>
      <c r="F406" s="3">
        <v>6</v>
      </c>
      <c r="N406" s="48"/>
    </row>
    <row r="407" spans="1:14" x14ac:dyDescent="0.45">
      <c r="A407" s="3" t="s">
        <v>11</v>
      </c>
      <c r="B407" s="4">
        <v>41473</v>
      </c>
      <c r="C407" s="7" t="s">
        <v>302</v>
      </c>
      <c r="E407" s="6" t="s">
        <v>430</v>
      </c>
      <c r="F407" s="3">
        <v>1</v>
      </c>
      <c r="L407" s="3" t="s">
        <v>431</v>
      </c>
      <c r="N407" s="48"/>
    </row>
    <row r="408" spans="1:14" x14ac:dyDescent="0.45">
      <c r="A408" s="3" t="s">
        <v>11</v>
      </c>
      <c r="B408" s="4">
        <v>41473</v>
      </c>
      <c r="C408" s="7" t="s">
        <v>302</v>
      </c>
      <c r="E408" s="6" t="s">
        <v>432</v>
      </c>
      <c r="F408" s="3">
        <v>1</v>
      </c>
      <c r="L408" s="3" t="s">
        <v>431</v>
      </c>
      <c r="N408" s="48"/>
    </row>
    <row r="409" spans="1:14" x14ac:dyDescent="0.45">
      <c r="A409" s="3" t="s">
        <v>11</v>
      </c>
      <c r="B409" s="4">
        <v>41473</v>
      </c>
      <c r="C409" s="7" t="s">
        <v>302</v>
      </c>
      <c r="E409" s="6" t="s">
        <v>433</v>
      </c>
      <c r="F409" s="3">
        <v>1</v>
      </c>
      <c r="L409" s="3" t="s">
        <v>431</v>
      </c>
      <c r="N409" s="48"/>
    </row>
    <row r="410" spans="1:14" x14ac:dyDescent="0.45">
      <c r="A410" s="3" t="s">
        <v>11</v>
      </c>
      <c r="B410" s="4">
        <v>41473</v>
      </c>
      <c r="C410" s="7" t="s">
        <v>302</v>
      </c>
      <c r="E410" s="6" t="s">
        <v>434</v>
      </c>
      <c r="F410" s="3">
        <v>1</v>
      </c>
      <c r="L410" s="3" t="s">
        <v>431</v>
      </c>
      <c r="N410" s="48"/>
    </row>
    <row r="411" spans="1:14" x14ac:dyDescent="0.45">
      <c r="A411" s="3" t="s">
        <v>11</v>
      </c>
      <c r="B411" s="4">
        <v>41473</v>
      </c>
      <c r="C411" s="7" t="s">
        <v>302</v>
      </c>
      <c r="E411" s="6" t="s">
        <v>435</v>
      </c>
      <c r="F411" s="3">
        <v>1</v>
      </c>
      <c r="L411" s="3" t="s">
        <v>431</v>
      </c>
      <c r="N411" s="48"/>
    </row>
    <row r="412" spans="1:14" x14ac:dyDescent="0.45">
      <c r="A412" s="3" t="s">
        <v>11</v>
      </c>
      <c r="B412" s="4">
        <v>41473</v>
      </c>
      <c r="C412" s="7" t="s">
        <v>302</v>
      </c>
      <c r="E412" s="6" t="s">
        <v>436</v>
      </c>
      <c r="F412" s="3">
        <v>1</v>
      </c>
      <c r="L412" s="3" t="s">
        <v>431</v>
      </c>
      <c r="N412" s="48"/>
    </row>
    <row r="413" spans="1:14" x14ac:dyDescent="0.45">
      <c r="A413" s="3" t="s">
        <v>11</v>
      </c>
      <c r="B413" s="4">
        <v>41473</v>
      </c>
      <c r="C413" s="7" t="s">
        <v>302</v>
      </c>
      <c r="E413" s="6" t="s">
        <v>437</v>
      </c>
      <c r="F413" s="3">
        <v>1</v>
      </c>
      <c r="L413" s="3" t="s">
        <v>431</v>
      </c>
      <c r="N413" s="48"/>
    </row>
    <row r="414" spans="1:14" x14ac:dyDescent="0.45">
      <c r="A414" s="3" t="s">
        <v>11</v>
      </c>
      <c r="B414" s="4">
        <v>41473</v>
      </c>
      <c r="C414" s="7" t="s">
        <v>302</v>
      </c>
      <c r="E414" s="6" t="s">
        <v>438</v>
      </c>
      <c r="F414" s="3">
        <v>2</v>
      </c>
      <c r="L414" s="3" t="s">
        <v>431</v>
      </c>
      <c r="N414" s="48"/>
    </row>
    <row r="415" spans="1:14" x14ac:dyDescent="0.45">
      <c r="A415" s="3" t="s">
        <v>11</v>
      </c>
      <c r="B415" s="4">
        <v>41473</v>
      </c>
      <c r="C415" s="7" t="s">
        <v>302</v>
      </c>
      <c r="E415" s="6" t="s">
        <v>439</v>
      </c>
      <c r="F415" s="3">
        <v>1</v>
      </c>
      <c r="L415" s="3" t="s">
        <v>431</v>
      </c>
      <c r="N415" s="48"/>
    </row>
    <row r="416" spans="1:14" x14ac:dyDescent="0.45">
      <c r="A416" s="3" t="s">
        <v>11</v>
      </c>
      <c r="B416" s="4">
        <v>41473</v>
      </c>
      <c r="C416" s="7" t="s">
        <v>302</v>
      </c>
      <c r="E416" s="6" t="s">
        <v>440</v>
      </c>
      <c r="F416" s="3">
        <v>1</v>
      </c>
      <c r="L416" s="3" t="s">
        <v>431</v>
      </c>
      <c r="N416" s="48"/>
    </row>
    <row r="417" spans="1:14" x14ac:dyDescent="0.45">
      <c r="A417" s="3" t="s">
        <v>11</v>
      </c>
      <c r="B417" s="4">
        <v>41473</v>
      </c>
      <c r="C417" s="7" t="s">
        <v>302</v>
      </c>
      <c r="E417" s="6" t="s">
        <v>441</v>
      </c>
      <c r="F417" s="3">
        <v>1</v>
      </c>
      <c r="L417" s="3" t="s">
        <v>431</v>
      </c>
      <c r="N417" s="48"/>
    </row>
    <row r="418" spans="1:14" x14ac:dyDescent="0.45">
      <c r="A418" s="3" t="s">
        <v>11</v>
      </c>
      <c r="B418" s="4">
        <v>41473</v>
      </c>
      <c r="C418" s="7" t="s">
        <v>302</v>
      </c>
      <c r="E418" s="6" t="s">
        <v>442</v>
      </c>
      <c r="F418" s="3">
        <v>1</v>
      </c>
      <c r="L418" s="3" t="s">
        <v>431</v>
      </c>
      <c r="N418" s="48"/>
    </row>
    <row r="419" spans="1:14" x14ac:dyDescent="0.45">
      <c r="A419" s="3" t="s">
        <v>11</v>
      </c>
      <c r="B419" s="4">
        <v>41473</v>
      </c>
      <c r="C419" s="7" t="s">
        <v>302</v>
      </c>
      <c r="E419" s="6" t="s">
        <v>443</v>
      </c>
      <c r="F419" s="3">
        <v>1</v>
      </c>
      <c r="L419" s="3" t="s">
        <v>431</v>
      </c>
      <c r="N419" s="48"/>
    </row>
    <row r="420" spans="1:14" x14ac:dyDescent="0.45">
      <c r="A420" s="3" t="s">
        <v>11</v>
      </c>
      <c r="B420" s="4">
        <v>41473</v>
      </c>
      <c r="C420" s="7" t="s">
        <v>302</v>
      </c>
      <c r="E420" s="6" t="s">
        <v>444</v>
      </c>
      <c r="F420" s="3">
        <v>1</v>
      </c>
      <c r="L420" s="3" t="s">
        <v>431</v>
      </c>
      <c r="N420" s="48"/>
    </row>
    <row r="421" spans="1:14" x14ac:dyDescent="0.45">
      <c r="A421" s="3" t="s">
        <v>11</v>
      </c>
      <c r="B421" s="4">
        <v>41473</v>
      </c>
      <c r="C421" s="7" t="s">
        <v>302</v>
      </c>
      <c r="E421" s="6" t="s">
        <v>445</v>
      </c>
      <c r="F421" s="3">
        <v>1</v>
      </c>
      <c r="L421" s="3" t="s">
        <v>431</v>
      </c>
      <c r="N421" s="48"/>
    </row>
    <row r="422" spans="1:14" x14ac:dyDescent="0.45">
      <c r="A422" s="3" t="s">
        <v>11</v>
      </c>
      <c r="B422" s="4">
        <v>41473</v>
      </c>
      <c r="C422" s="7" t="s">
        <v>302</v>
      </c>
      <c r="E422" s="6" t="s">
        <v>446</v>
      </c>
      <c r="F422" s="3">
        <v>1</v>
      </c>
      <c r="L422" s="3" t="s">
        <v>431</v>
      </c>
      <c r="N422" s="48"/>
    </row>
    <row r="423" spans="1:14" x14ac:dyDescent="0.45">
      <c r="A423" s="3" t="s">
        <v>11</v>
      </c>
      <c r="B423" s="4">
        <v>41473</v>
      </c>
      <c r="C423" s="7" t="s">
        <v>302</v>
      </c>
      <c r="E423" s="6" t="s">
        <v>447</v>
      </c>
      <c r="F423" s="3">
        <v>1</v>
      </c>
      <c r="L423" s="3" t="s">
        <v>431</v>
      </c>
      <c r="N423" s="48"/>
    </row>
    <row r="424" spans="1:14" x14ac:dyDescent="0.45">
      <c r="A424" s="3" t="s">
        <v>11</v>
      </c>
      <c r="B424" s="4">
        <v>41529</v>
      </c>
      <c r="C424" s="7" t="s">
        <v>25</v>
      </c>
      <c r="D424" s="6" t="s">
        <v>448</v>
      </c>
      <c r="F424" s="3">
        <v>7</v>
      </c>
      <c r="N424" s="48"/>
    </row>
    <row r="425" spans="1:14" x14ac:dyDescent="0.45">
      <c r="A425" s="3" t="s">
        <v>11</v>
      </c>
      <c r="B425" s="4">
        <v>41613</v>
      </c>
      <c r="C425" s="7" t="s">
        <v>21</v>
      </c>
      <c r="D425" s="6" t="s">
        <v>449</v>
      </c>
      <c r="F425" s="3">
        <v>61</v>
      </c>
      <c r="L425" s="3" t="s">
        <v>424</v>
      </c>
      <c r="N425" s="48"/>
    </row>
    <row r="426" spans="1:14" x14ac:dyDescent="0.45">
      <c r="A426" s="3" t="s">
        <v>11</v>
      </c>
      <c r="B426" s="4">
        <v>41689</v>
      </c>
      <c r="C426" s="7" t="s">
        <v>21</v>
      </c>
      <c r="D426" s="6" t="s">
        <v>450</v>
      </c>
      <c r="F426" s="3">
        <v>22</v>
      </c>
      <c r="N426" s="48"/>
    </row>
    <row r="427" spans="1:14" x14ac:dyDescent="0.45">
      <c r="A427" s="3" t="s">
        <v>11</v>
      </c>
      <c r="B427" s="4">
        <v>41695</v>
      </c>
      <c r="C427" s="7" t="s">
        <v>25</v>
      </c>
      <c r="D427" s="6" t="s">
        <v>451</v>
      </c>
      <c r="F427" s="3">
        <v>4</v>
      </c>
      <c r="N427" s="48"/>
    </row>
    <row r="428" spans="1:14" x14ac:dyDescent="0.45">
      <c r="A428" s="3" t="s">
        <v>11</v>
      </c>
      <c r="B428" s="4">
        <v>41697</v>
      </c>
      <c r="C428" s="7" t="s">
        <v>21</v>
      </c>
      <c r="D428" s="6" t="s">
        <v>452</v>
      </c>
      <c r="F428" s="3">
        <v>59</v>
      </c>
      <c r="N428" s="48"/>
    </row>
    <row r="429" spans="1:14" x14ac:dyDescent="0.45">
      <c r="A429" s="3" t="s">
        <v>11</v>
      </c>
      <c r="B429" s="4">
        <v>41703</v>
      </c>
      <c r="C429" s="7" t="s">
        <v>21</v>
      </c>
      <c r="D429" s="6" t="s">
        <v>453</v>
      </c>
      <c r="F429" s="3">
        <v>84</v>
      </c>
      <c r="L429" s="3" t="s">
        <v>454</v>
      </c>
      <c r="N429" s="48"/>
    </row>
    <row r="430" spans="1:14" x14ac:dyDescent="0.45">
      <c r="A430" s="3" t="s">
        <v>11</v>
      </c>
      <c r="B430" s="4">
        <v>41703</v>
      </c>
      <c r="C430" s="7" t="s">
        <v>21</v>
      </c>
      <c r="D430" s="6" t="s">
        <v>455</v>
      </c>
      <c r="F430" s="3">
        <v>87</v>
      </c>
      <c r="L430" s="3" t="s">
        <v>454</v>
      </c>
      <c r="N430" s="48"/>
    </row>
    <row r="431" spans="1:14" x14ac:dyDescent="0.45">
      <c r="A431" s="3" t="s">
        <v>11</v>
      </c>
      <c r="B431" s="4">
        <v>41752</v>
      </c>
      <c r="C431" s="7" t="s">
        <v>21</v>
      </c>
      <c r="D431" s="6" t="s">
        <v>456</v>
      </c>
      <c r="F431" s="3">
        <v>3</v>
      </c>
      <c r="N431" s="48"/>
    </row>
    <row r="432" spans="1:14" x14ac:dyDescent="0.45">
      <c r="A432" s="3" t="s">
        <v>11</v>
      </c>
      <c r="B432" s="4">
        <v>41789</v>
      </c>
      <c r="C432" s="7" t="s">
        <v>25</v>
      </c>
      <c r="D432" s="6" t="s">
        <v>457</v>
      </c>
      <c r="F432" s="3">
        <v>5</v>
      </c>
      <c r="N432" s="48"/>
    </row>
    <row r="433" spans="1:14" x14ac:dyDescent="0.45">
      <c r="A433" s="3" t="s">
        <v>11</v>
      </c>
      <c r="B433" s="4">
        <v>41865</v>
      </c>
      <c r="C433" s="7" t="s">
        <v>302</v>
      </c>
      <c r="E433" s="6" t="s">
        <v>458</v>
      </c>
      <c r="F433" s="3">
        <v>1</v>
      </c>
      <c r="L433" s="3" t="s">
        <v>431</v>
      </c>
      <c r="N433" s="48"/>
    </row>
    <row r="434" spans="1:14" x14ac:dyDescent="0.45">
      <c r="A434" s="3" t="s">
        <v>11</v>
      </c>
      <c r="B434" s="4">
        <v>41865</v>
      </c>
      <c r="C434" s="7" t="s">
        <v>302</v>
      </c>
      <c r="E434" s="6" t="s">
        <v>459</v>
      </c>
      <c r="F434" s="3">
        <v>1</v>
      </c>
      <c r="L434" s="3" t="s">
        <v>431</v>
      </c>
      <c r="N434" s="48"/>
    </row>
    <row r="435" spans="1:14" x14ac:dyDescent="0.45">
      <c r="A435" s="3" t="s">
        <v>11</v>
      </c>
      <c r="B435" s="4">
        <v>41865</v>
      </c>
      <c r="C435" s="7" t="s">
        <v>302</v>
      </c>
      <c r="E435" s="6" t="s">
        <v>460</v>
      </c>
      <c r="F435" s="3">
        <v>1</v>
      </c>
      <c r="L435" s="3" t="s">
        <v>431</v>
      </c>
      <c r="N435" s="48"/>
    </row>
    <row r="436" spans="1:14" x14ac:dyDescent="0.45">
      <c r="A436" s="3" t="s">
        <v>11</v>
      </c>
      <c r="B436" s="4">
        <v>41935</v>
      </c>
      <c r="C436" s="7" t="s">
        <v>25</v>
      </c>
      <c r="D436" s="6" t="s">
        <v>461</v>
      </c>
      <c r="F436" s="3">
        <v>8</v>
      </c>
      <c r="N436" s="48"/>
    </row>
    <row r="437" spans="1:14" x14ac:dyDescent="0.45">
      <c r="A437" s="3" t="s">
        <v>11</v>
      </c>
      <c r="B437" s="4">
        <v>41943</v>
      </c>
      <c r="C437" s="7" t="s">
        <v>25</v>
      </c>
      <c r="D437" s="6" t="s">
        <v>462</v>
      </c>
      <c r="F437" s="3">
        <v>7</v>
      </c>
      <c r="N437" s="48"/>
    </row>
    <row r="438" spans="1:14" x14ac:dyDescent="0.45">
      <c r="A438" s="3" t="s">
        <v>11</v>
      </c>
      <c r="B438" s="4">
        <v>41947</v>
      </c>
      <c r="C438" s="7" t="s">
        <v>25</v>
      </c>
      <c r="D438" s="6" t="s">
        <v>463</v>
      </c>
      <c r="F438" s="3">
        <v>6</v>
      </c>
      <c r="N438" s="48"/>
    </row>
    <row r="439" spans="1:14" x14ac:dyDescent="0.45">
      <c r="A439" s="3" t="s">
        <v>11</v>
      </c>
      <c r="B439" s="4">
        <v>41964</v>
      </c>
      <c r="C439" s="7" t="s">
        <v>21</v>
      </c>
      <c r="D439" s="6" t="s">
        <v>464</v>
      </c>
      <c r="F439" s="3">
        <v>13</v>
      </c>
      <c r="L439" s="3" t="s">
        <v>465</v>
      </c>
      <c r="N439" s="48"/>
    </row>
    <row r="440" spans="1:14" x14ac:dyDescent="0.45">
      <c r="A440" s="3" t="s">
        <v>11</v>
      </c>
      <c r="B440" s="4">
        <v>42060</v>
      </c>
      <c r="C440" s="7" t="s">
        <v>25</v>
      </c>
      <c r="D440" s="6" t="s">
        <v>466</v>
      </c>
      <c r="F440" s="3">
        <v>2</v>
      </c>
      <c r="N440" s="48"/>
    </row>
    <row r="441" spans="1:14" x14ac:dyDescent="0.45">
      <c r="A441" s="3" t="s">
        <v>11</v>
      </c>
      <c r="B441" s="4">
        <v>42062</v>
      </c>
      <c r="C441" s="7" t="s">
        <v>25</v>
      </c>
      <c r="D441" s="6" t="s">
        <v>467</v>
      </c>
      <c r="F441" s="3">
        <v>8</v>
      </c>
      <c r="N441" s="48"/>
    </row>
    <row r="442" spans="1:14" x14ac:dyDescent="0.45">
      <c r="A442" s="3" t="s">
        <v>11</v>
      </c>
      <c r="B442" s="4">
        <v>42072</v>
      </c>
      <c r="C442" s="7" t="s">
        <v>21</v>
      </c>
      <c r="D442" s="6" t="s">
        <v>468</v>
      </c>
      <c r="F442" s="3">
        <v>22</v>
      </c>
      <c r="N442" s="48"/>
    </row>
    <row r="443" spans="1:14" x14ac:dyDescent="0.45">
      <c r="A443" s="3" t="s">
        <v>11</v>
      </c>
      <c r="B443" s="4">
        <v>42072</v>
      </c>
      <c r="C443" s="7" t="s">
        <v>21</v>
      </c>
      <c r="D443" s="6" t="s">
        <v>469</v>
      </c>
      <c r="F443" s="3">
        <v>61</v>
      </c>
      <c r="N443" s="48"/>
    </row>
    <row r="444" spans="1:14" x14ac:dyDescent="0.45">
      <c r="A444" s="3" t="s">
        <v>11</v>
      </c>
      <c r="B444" s="4">
        <v>42094</v>
      </c>
      <c r="C444" s="7" t="s">
        <v>21</v>
      </c>
      <c r="D444" s="6" t="s">
        <v>470</v>
      </c>
      <c r="F444" s="3">
        <v>60</v>
      </c>
      <c r="L444" s="3" t="s">
        <v>454</v>
      </c>
      <c r="N444" s="48"/>
    </row>
    <row r="445" spans="1:14" x14ac:dyDescent="0.45">
      <c r="A445" s="3" t="s">
        <v>11</v>
      </c>
      <c r="B445" s="4">
        <v>42101</v>
      </c>
      <c r="C445" s="7" t="s">
        <v>21</v>
      </c>
      <c r="D445" s="6" t="s">
        <v>471</v>
      </c>
      <c r="F445" s="3">
        <v>48</v>
      </c>
      <c r="N445" s="48"/>
    </row>
    <row r="446" spans="1:14" x14ac:dyDescent="0.45">
      <c r="A446" s="3" t="s">
        <v>11</v>
      </c>
      <c r="B446" s="4">
        <v>42116</v>
      </c>
      <c r="C446" s="7" t="s">
        <v>25</v>
      </c>
      <c r="D446" s="6" t="s">
        <v>472</v>
      </c>
      <c r="F446" s="3">
        <v>2</v>
      </c>
      <c r="N446" s="48"/>
    </row>
    <row r="447" spans="1:14" x14ac:dyDescent="0.45">
      <c r="A447" s="3" t="s">
        <v>11</v>
      </c>
      <c r="B447" s="4">
        <v>42163</v>
      </c>
      <c r="C447" s="7" t="s">
        <v>21</v>
      </c>
      <c r="D447" s="6" t="s">
        <v>473</v>
      </c>
      <c r="F447" s="3">
        <v>20</v>
      </c>
      <c r="N447" s="48"/>
    </row>
    <row r="448" spans="1:14" x14ac:dyDescent="0.45">
      <c r="A448" s="3" t="s">
        <v>11</v>
      </c>
      <c r="B448" s="4">
        <v>42172</v>
      </c>
      <c r="C448" s="7" t="s">
        <v>21</v>
      </c>
      <c r="D448" s="6" t="s">
        <v>474</v>
      </c>
      <c r="F448" s="3">
        <v>3</v>
      </c>
      <c r="N448" s="48"/>
    </row>
    <row r="449" spans="1:14" x14ac:dyDescent="0.45">
      <c r="A449" s="3" t="s">
        <v>11</v>
      </c>
      <c r="B449" s="4">
        <v>42192</v>
      </c>
      <c r="C449" s="7" t="s">
        <v>21</v>
      </c>
      <c r="D449" s="6" t="s">
        <v>475</v>
      </c>
      <c r="F449" s="3">
        <v>258</v>
      </c>
      <c r="L449" s="3" t="s">
        <v>476</v>
      </c>
      <c r="N449" s="48"/>
    </row>
    <row r="450" spans="1:14" x14ac:dyDescent="0.45">
      <c r="A450" s="3" t="s">
        <v>11</v>
      </c>
      <c r="B450" s="4">
        <v>42193</v>
      </c>
      <c r="C450" s="7" t="s">
        <v>25</v>
      </c>
      <c r="D450" s="6" t="s">
        <v>477</v>
      </c>
      <c r="F450" s="3">
        <v>9</v>
      </c>
      <c r="N450" s="48"/>
    </row>
    <row r="451" spans="1:14" x14ac:dyDescent="0.45">
      <c r="A451" s="3" t="s">
        <v>11</v>
      </c>
      <c r="B451" s="4">
        <v>42201</v>
      </c>
      <c r="C451" s="7" t="s">
        <v>25</v>
      </c>
      <c r="D451" s="6" t="s">
        <v>478</v>
      </c>
      <c r="F451" s="3">
        <v>3</v>
      </c>
      <c r="N451" s="48"/>
    </row>
    <row r="452" spans="1:14" x14ac:dyDescent="0.45">
      <c r="A452" s="3" t="s">
        <v>11</v>
      </c>
      <c r="B452" s="4">
        <v>42201</v>
      </c>
      <c r="C452" s="7" t="s">
        <v>21</v>
      </c>
      <c r="D452" s="6" t="s">
        <v>479</v>
      </c>
      <c r="F452" s="3">
        <v>18</v>
      </c>
      <c r="L452" s="3" t="s">
        <v>480</v>
      </c>
      <c r="N452" s="48"/>
    </row>
    <row r="453" spans="1:14" x14ac:dyDescent="0.45">
      <c r="A453" s="3" t="s">
        <v>11</v>
      </c>
      <c r="B453" s="4">
        <v>42229</v>
      </c>
      <c r="C453" s="7" t="s">
        <v>25</v>
      </c>
      <c r="D453" s="6" t="s">
        <v>481</v>
      </c>
      <c r="F453" s="3">
        <v>3</v>
      </c>
      <c r="N453" s="48"/>
    </row>
    <row r="454" spans="1:14" x14ac:dyDescent="0.45">
      <c r="A454" s="3" t="s">
        <v>11</v>
      </c>
      <c r="B454" s="4">
        <v>42268</v>
      </c>
      <c r="C454" s="7" t="s">
        <v>25</v>
      </c>
      <c r="D454" s="6" t="s">
        <v>482</v>
      </c>
      <c r="F454" s="3">
        <v>6</v>
      </c>
      <c r="N454" s="48"/>
    </row>
    <row r="455" spans="1:14" x14ac:dyDescent="0.45">
      <c r="A455" s="3" t="s">
        <v>11</v>
      </c>
      <c r="B455" s="4">
        <v>42272</v>
      </c>
      <c r="C455" s="7" t="s">
        <v>25</v>
      </c>
      <c r="D455" s="6" t="s">
        <v>483</v>
      </c>
      <c r="F455" s="3">
        <v>10</v>
      </c>
      <c r="N455" s="48"/>
    </row>
    <row r="456" spans="1:14" x14ac:dyDescent="0.45">
      <c r="A456" s="3" t="s">
        <v>11</v>
      </c>
      <c r="B456" s="4">
        <v>42340</v>
      </c>
      <c r="C456" s="7" t="s">
        <v>21</v>
      </c>
      <c r="D456" s="6" t="s">
        <v>484</v>
      </c>
      <c r="E456" s="11" t="s">
        <v>485</v>
      </c>
      <c r="F456" s="3">
        <v>74</v>
      </c>
      <c r="L456" s="3" t="s">
        <v>486</v>
      </c>
      <c r="N456" s="48"/>
    </row>
    <row r="457" spans="1:14" x14ac:dyDescent="0.45">
      <c r="A457" s="3" t="s">
        <v>11</v>
      </c>
      <c r="B457" s="4">
        <v>42349</v>
      </c>
      <c r="C457" s="7" t="s">
        <v>21</v>
      </c>
      <c r="D457" s="6" t="s">
        <v>487</v>
      </c>
      <c r="E457" s="11" t="s">
        <v>488</v>
      </c>
      <c r="F457" s="3">
        <v>23</v>
      </c>
      <c r="L457" s="3" t="s">
        <v>476</v>
      </c>
      <c r="N457" s="48"/>
    </row>
    <row r="458" spans="1:14" x14ac:dyDescent="0.45">
      <c r="A458" s="3" t="s">
        <v>11</v>
      </c>
      <c r="B458" s="4">
        <v>42422</v>
      </c>
      <c r="C458" s="7" t="s">
        <v>21</v>
      </c>
      <c r="D458" s="6" t="s">
        <v>489</v>
      </c>
      <c r="E458" s="11" t="s">
        <v>490</v>
      </c>
      <c r="F458" s="3">
        <v>23</v>
      </c>
      <c r="N458" s="48"/>
    </row>
    <row r="459" spans="1:14" x14ac:dyDescent="0.45">
      <c r="A459" s="3" t="s">
        <v>11</v>
      </c>
      <c r="B459" s="4">
        <v>42432</v>
      </c>
      <c r="C459" s="7" t="s">
        <v>21</v>
      </c>
      <c r="D459" s="6" t="s">
        <v>491</v>
      </c>
      <c r="E459" s="11" t="s">
        <v>492</v>
      </c>
      <c r="F459" s="3">
        <v>48</v>
      </c>
      <c r="N459" s="48"/>
    </row>
    <row r="460" spans="1:14" x14ac:dyDescent="0.45">
      <c r="A460" s="3" t="s">
        <v>11</v>
      </c>
      <c r="B460" s="4">
        <v>42468</v>
      </c>
      <c r="C460" s="7" t="s">
        <v>25</v>
      </c>
      <c r="D460" s="6" t="s">
        <v>493</v>
      </c>
      <c r="E460" s="9" t="s">
        <v>494</v>
      </c>
      <c r="F460" s="3">
        <v>5</v>
      </c>
      <c r="N460" s="48"/>
    </row>
    <row r="461" spans="1:14" x14ac:dyDescent="0.45">
      <c r="A461" s="3" t="s">
        <v>11</v>
      </c>
      <c r="B461" s="4">
        <v>42473</v>
      </c>
      <c r="C461" s="7" t="s">
        <v>21</v>
      </c>
      <c r="D461" s="6" t="s">
        <v>495</v>
      </c>
      <c r="E461" s="11" t="s">
        <v>496</v>
      </c>
      <c r="F461" s="3">
        <v>69</v>
      </c>
      <c r="L461" s="3" t="s">
        <v>497</v>
      </c>
      <c r="N461" s="48"/>
    </row>
    <row r="462" spans="1:14" x14ac:dyDescent="0.45">
      <c r="A462" s="3" t="s">
        <v>11</v>
      </c>
      <c r="B462" s="4">
        <v>42474</v>
      </c>
      <c r="C462" s="7" t="s">
        <v>21</v>
      </c>
      <c r="D462" s="6" t="s">
        <v>498</v>
      </c>
      <c r="E462" s="11" t="s">
        <v>499</v>
      </c>
      <c r="F462" s="3">
        <v>51</v>
      </c>
      <c r="L462" s="3" t="s">
        <v>497</v>
      </c>
      <c r="N462" s="48"/>
    </row>
    <row r="463" spans="1:14" x14ac:dyDescent="0.45">
      <c r="A463" s="3" t="s">
        <v>11</v>
      </c>
      <c r="B463" s="4">
        <v>42523</v>
      </c>
      <c r="C463" s="7" t="s">
        <v>25</v>
      </c>
      <c r="D463" s="6" t="s">
        <v>500</v>
      </c>
      <c r="E463" s="9" t="s">
        <v>501</v>
      </c>
      <c r="F463" s="3">
        <v>2</v>
      </c>
      <c r="N463" s="48"/>
    </row>
    <row r="464" spans="1:14" x14ac:dyDescent="0.45">
      <c r="A464" s="3" t="s">
        <v>11</v>
      </c>
      <c r="B464" s="4">
        <v>42585</v>
      </c>
      <c r="C464" s="7" t="s">
        <v>302</v>
      </c>
      <c r="E464" s="6" t="s">
        <v>502</v>
      </c>
      <c r="F464" s="3">
        <v>2</v>
      </c>
      <c r="L464" s="3" t="s">
        <v>431</v>
      </c>
      <c r="N464" s="48"/>
    </row>
    <row r="465" spans="1:14" x14ac:dyDescent="0.45">
      <c r="A465" s="3" t="s">
        <v>11</v>
      </c>
      <c r="B465" s="4">
        <v>42585</v>
      </c>
      <c r="C465" s="7" t="s">
        <v>302</v>
      </c>
      <c r="E465" s="6" t="s">
        <v>503</v>
      </c>
      <c r="F465" s="3">
        <v>1</v>
      </c>
      <c r="L465" s="3" t="s">
        <v>431</v>
      </c>
      <c r="N465" s="48"/>
    </row>
    <row r="466" spans="1:14" x14ac:dyDescent="0.45">
      <c r="A466" s="3" t="s">
        <v>11</v>
      </c>
      <c r="B466" s="4">
        <v>42585</v>
      </c>
      <c r="C466" s="7" t="s">
        <v>302</v>
      </c>
      <c r="E466" s="6" t="s">
        <v>504</v>
      </c>
      <c r="F466" s="3">
        <v>1</v>
      </c>
      <c r="L466" s="3" t="s">
        <v>431</v>
      </c>
      <c r="N466" s="48"/>
    </row>
    <row r="467" spans="1:14" x14ac:dyDescent="0.45">
      <c r="A467" s="3" t="s">
        <v>11</v>
      </c>
      <c r="B467" s="4">
        <v>42585</v>
      </c>
      <c r="C467" s="7" t="s">
        <v>302</v>
      </c>
      <c r="E467" s="6" t="s">
        <v>505</v>
      </c>
      <c r="F467" s="3">
        <v>2</v>
      </c>
      <c r="L467" s="3" t="s">
        <v>431</v>
      </c>
      <c r="N467" s="48"/>
    </row>
    <row r="468" spans="1:14" x14ac:dyDescent="0.45">
      <c r="A468" s="3" t="s">
        <v>11</v>
      </c>
      <c r="B468" s="4">
        <v>42590</v>
      </c>
      <c r="C468" s="7" t="s">
        <v>25</v>
      </c>
      <c r="D468" s="6" t="s">
        <v>506</v>
      </c>
      <c r="E468" s="9" t="s">
        <v>507</v>
      </c>
      <c r="F468" s="3">
        <v>3</v>
      </c>
      <c r="L468" s="3" t="s">
        <v>428</v>
      </c>
      <c r="N468" s="48"/>
    </row>
    <row r="469" spans="1:14" x14ac:dyDescent="0.45">
      <c r="A469" s="3" t="s">
        <v>11</v>
      </c>
      <c r="B469" s="4">
        <v>42590</v>
      </c>
      <c r="C469" s="7" t="s">
        <v>25</v>
      </c>
      <c r="D469" s="6" t="s">
        <v>508</v>
      </c>
      <c r="E469" s="9" t="s">
        <v>509</v>
      </c>
      <c r="F469" s="3">
        <v>13</v>
      </c>
      <c r="L469" s="3" t="s">
        <v>510</v>
      </c>
      <c r="N469" s="48"/>
    </row>
    <row r="470" spans="1:14" x14ac:dyDescent="0.45">
      <c r="A470" s="3" t="s">
        <v>11</v>
      </c>
      <c r="B470" s="4">
        <v>42608</v>
      </c>
      <c r="C470" s="7" t="s">
        <v>25</v>
      </c>
      <c r="D470" s="6" t="s">
        <v>511</v>
      </c>
      <c r="E470" s="9" t="s">
        <v>512</v>
      </c>
      <c r="F470" s="3">
        <v>5</v>
      </c>
      <c r="N470" s="48"/>
    </row>
    <row r="471" spans="1:14" x14ac:dyDescent="0.45">
      <c r="A471" s="3" t="s">
        <v>11</v>
      </c>
      <c r="B471" s="4">
        <v>42662</v>
      </c>
      <c r="C471" s="7" t="s">
        <v>25</v>
      </c>
      <c r="D471" s="6" t="s">
        <v>513</v>
      </c>
      <c r="E471" s="9" t="s">
        <v>514</v>
      </c>
      <c r="F471" s="3">
        <v>9</v>
      </c>
      <c r="L471" s="3" t="s">
        <v>428</v>
      </c>
      <c r="N471" s="48"/>
    </row>
    <row r="472" spans="1:14" x14ac:dyDescent="0.45">
      <c r="A472" s="3" t="s">
        <v>11</v>
      </c>
      <c r="B472" s="4">
        <v>42670</v>
      </c>
      <c r="C472" s="7" t="s">
        <v>21</v>
      </c>
      <c r="D472" s="6" t="s">
        <v>515</v>
      </c>
      <c r="E472" s="11" t="s">
        <v>516</v>
      </c>
      <c r="F472" s="3">
        <v>23</v>
      </c>
      <c r="L472" s="3" t="s">
        <v>517</v>
      </c>
      <c r="N472" s="48"/>
    </row>
    <row r="473" spans="1:14" x14ac:dyDescent="0.45">
      <c r="A473" s="3" t="s">
        <v>11</v>
      </c>
      <c r="B473" s="4">
        <v>42681</v>
      </c>
      <c r="C473" s="7" t="s">
        <v>25</v>
      </c>
      <c r="D473" s="9" t="s">
        <v>518</v>
      </c>
      <c r="E473" s="6" t="s">
        <v>519</v>
      </c>
      <c r="F473" s="3">
        <v>9</v>
      </c>
      <c r="L473" s="3" t="s">
        <v>510</v>
      </c>
      <c r="N473" s="48"/>
    </row>
    <row r="474" spans="1:14" x14ac:dyDescent="0.45">
      <c r="A474" s="3" t="s">
        <v>11</v>
      </c>
      <c r="B474" s="4">
        <v>42745</v>
      </c>
      <c r="C474" s="7" t="s">
        <v>25</v>
      </c>
      <c r="D474" s="6" t="s">
        <v>520</v>
      </c>
      <c r="E474" s="9" t="s">
        <v>521</v>
      </c>
      <c r="F474" s="3">
        <v>5</v>
      </c>
      <c r="N474" s="48"/>
    </row>
    <row r="475" spans="1:14" x14ac:dyDescent="0.45">
      <c r="A475" s="3" t="s">
        <v>11</v>
      </c>
      <c r="B475" s="4">
        <v>42748</v>
      </c>
      <c r="C475" s="7" t="s">
        <v>21</v>
      </c>
      <c r="D475" s="6" t="s">
        <v>522</v>
      </c>
      <c r="E475" s="11" t="s">
        <v>523</v>
      </c>
      <c r="F475" s="3">
        <v>120</v>
      </c>
      <c r="L475" s="3" t="s">
        <v>524</v>
      </c>
      <c r="N475" s="48"/>
    </row>
    <row r="476" spans="1:14" x14ac:dyDescent="0.45">
      <c r="A476" s="3" t="s">
        <v>11</v>
      </c>
      <c r="B476" s="4">
        <v>42752</v>
      </c>
      <c r="C476" s="7" t="s">
        <v>25</v>
      </c>
      <c r="D476" s="6" t="s">
        <v>525</v>
      </c>
      <c r="E476" s="9" t="s">
        <v>526</v>
      </c>
      <c r="F476" s="3">
        <v>18</v>
      </c>
      <c r="N476" s="48"/>
    </row>
    <row r="477" spans="1:14" x14ac:dyDescent="0.45">
      <c r="A477" s="3" t="s">
        <v>11</v>
      </c>
      <c r="B477" s="4">
        <v>42752</v>
      </c>
      <c r="C477" s="7" t="s">
        <v>21</v>
      </c>
      <c r="D477" s="6" t="s">
        <v>527</v>
      </c>
      <c r="E477" s="11" t="s">
        <v>528</v>
      </c>
      <c r="F477" s="3">
        <v>7</v>
      </c>
      <c r="L477" s="3" t="s">
        <v>524</v>
      </c>
      <c r="N477" s="48"/>
    </row>
    <row r="478" spans="1:14" x14ac:dyDescent="0.45">
      <c r="A478" s="3" t="s">
        <v>11</v>
      </c>
      <c r="B478" s="4">
        <v>42823</v>
      </c>
      <c r="C478" s="7" t="s">
        <v>21</v>
      </c>
      <c r="D478" s="6" t="s">
        <v>529</v>
      </c>
      <c r="E478" s="11" t="s">
        <v>530</v>
      </c>
      <c r="F478" s="3">
        <v>52</v>
      </c>
      <c r="L478" s="3" t="s">
        <v>454</v>
      </c>
      <c r="N478" s="48"/>
    </row>
    <row r="479" spans="1:14" x14ac:dyDescent="0.45">
      <c r="A479" s="3" t="s">
        <v>11</v>
      </c>
      <c r="B479" s="4">
        <v>42835</v>
      </c>
      <c r="C479" s="7" t="s">
        <v>21</v>
      </c>
      <c r="D479" s="6" t="s">
        <v>531</v>
      </c>
      <c r="E479" s="11" t="s">
        <v>532</v>
      </c>
      <c r="F479" s="3">
        <v>70</v>
      </c>
      <c r="L479" s="3" t="s">
        <v>454</v>
      </c>
      <c r="N479" s="48"/>
    </row>
    <row r="480" spans="1:14" x14ac:dyDescent="0.45">
      <c r="A480" s="3" t="s">
        <v>11</v>
      </c>
      <c r="B480" s="4">
        <v>42850</v>
      </c>
      <c r="C480" s="7" t="s">
        <v>21</v>
      </c>
      <c r="D480" s="6" t="s">
        <v>533</v>
      </c>
      <c r="E480" s="11" t="s">
        <v>534</v>
      </c>
      <c r="F480" s="3">
        <v>47</v>
      </c>
      <c r="N480" s="48"/>
    </row>
    <row r="481" spans="1:14" x14ac:dyDescent="0.45">
      <c r="A481" s="3" t="s">
        <v>11</v>
      </c>
      <c r="B481" s="4">
        <v>43000</v>
      </c>
      <c r="C481" s="7" t="s">
        <v>25</v>
      </c>
      <c r="D481" s="6" t="s">
        <v>535</v>
      </c>
      <c r="E481" s="9" t="s">
        <v>536</v>
      </c>
      <c r="F481" s="3">
        <v>4</v>
      </c>
      <c r="N481" s="48"/>
    </row>
    <row r="482" spans="1:14" x14ac:dyDescent="0.45">
      <c r="A482" s="3" t="s">
        <v>11</v>
      </c>
      <c r="B482" s="4">
        <v>43006</v>
      </c>
      <c r="C482" s="7" t="s">
        <v>25</v>
      </c>
      <c r="D482" s="6" t="s">
        <v>537</v>
      </c>
      <c r="E482" s="9" t="s">
        <v>538</v>
      </c>
      <c r="F482" s="3">
        <v>3</v>
      </c>
      <c r="N482" s="48"/>
    </row>
    <row r="483" spans="1:14" x14ac:dyDescent="0.45">
      <c r="A483" s="3" t="s">
        <v>11</v>
      </c>
      <c r="B483" s="4">
        <v>43007</v>
      </c>
      <c r="C483" s="7" t="s">
        <v>302</v>
      </c>
      <c r="D483" s="6" t="s">
        <v>539</v>
      </c>
      <c r="E483" s="9" t="s">
        <v>540</v>
      </c>
      <c r="F483" s="3">
        <v>14</v>
      </c>
      <c r="N483" s="48"/>
    </row>
    <row r="484" spans="1:14" x14ac:dyDescent="0.45">
      <c r="A484" s="3" t="s">
        <v>11</v>
      </c>
      <c r="B484" s="4">
        <v>43081</v>
      </c>
      <c r="C484" s="5" t="s">
        <v>12</v>
      </c>
      <c r="E484" s="6" t="s">
        <v>541</v>
      </c>
      <c r="F484" s="3">
        <v>2</v>
      </c>
      <c r="N484" s="48"/>
    </row>
    <row r="485" spans="1:14" x14ac:dyDescent="0.45">
      <c r="A485" s="3" t="s">
        <v>11</v>
      </c>
      <c r="B485" s="4">
        <v>43164</v>
      </c>
      <c r="C485" s="7" t="s">
        <v>21</v>
      </c>
      <c r="D485" s="6" t="s">
        <v>542</v>
      </c>
      <c r="E485" s="11" t="s">
        <v>543</v>
      </c>
      <c r="F485" s="3">
        <v>68</v>
      </c>
      <c r="L485" s="3" t="s">
        <v>454</v>
      </c>
      <c r="N485" s="48"/>
    </row>
    <row r="486" spans="1:14" x14ac:dyDescent="0.45">
      <c r="A486" s="3" t="s">
        <v>11</v>
      </c>
      <c r="B486" s="4">
        <v>43164</v>
      </c>
      <c r="C486" s="7" t="s">
        <v>21</v>
      </c>
      <c r="D486" s="6" t="s">
        <v>544</v>
      </c>
      <c r="E486" s="11" t="s">
        <v>530</v>
      </c>
      <c r="F486" s="3">
        <v>56</v>
      </c>
      <c r="L486" s="3" t="s">
        <v>454</v>
      </c>
      <c r="N486" s="48"/>
    </row>
    <row r="487" spans="1:14" x14ac:dyDescent="0.45">
      <c r="A487" s="3" t="s">
        <v>11</v>
      </c>
      <c r="B487" s="4">
        <v>43165</v>
      </c>
      <c r="C487" s="7" t="s">
        <v>21</v>
      </c>
      <c r="D487" s="6" t="s">
        <v>545</v>
      </c>
      <c r="E487" s="11" t="s">
        <v>546</v>
      </c>
      <c r="F487" s="3">
        <v>46</v>
      </c>
      <c r="N487" s="48"/>
    </row>
    <row r="488" spans="1:14" x14ac:dyDescent="0.45">
      <c r="A488" s="3" t="s">
        <v>11</v>
      </c>
      <c r="B488" s="4">
        <v>43165</v>
      </c>
      <c r="C488" s="7" t="s">
        <v>21</v>
      </c>
      <c r="D488" s="6" t="s">
        <v>547</v>
      </c>
      <c r="E488" s="11" t="s">
        <v>548</v>
      </c>
      <c r="F488" s="3">
        <v>24</v>
      </c>
      <c r="N488" s="48"/>
    </row>
    <row r="489" spans="1:14" x14ac:dyDescent="0.45">
      <c r="A489" s="3" t="s">
        <v>11</v>
      </c>
      <c r="B489" s="4">
        <v>43175</v>
      </c>
      <c r="C489" s="7" t="s">
        <v>25</v>
      </c>
      <c r="D489" s="6" t="s">
        <v>549</v>
      </c>
      <c r="E489" s="9" t="s">
        <v>550</v>
      </c>
      <c r="F489" s="3">
        <v>3</v>
      </c>
      <c r="N489" s="48"/>
    </row>
    <row r="490" spans="1:14" x14ac:dyDescent="0.45">
      <c r="A490" s="3" t="s">
        <v>11</v>
      </c>
      <c r="B490" s="4">
        <v>43202</v>
      </c>
      <c r="C490" s="7" t="s">
        <v>25</v>
      </c>
      <c r="D490" s="6" t="s">
        <v>551</v>
      </c>
      <c r="E490" s="9" t="s">
        <v>552</v>
      </c>
      <c r="F490" s="3">
        <v>19</v>
      </c>
      <c r="N490" s="48"/>
    </row>
    <row r="491" spans="1:14" x14ac:dyDescent="0.45">
      <c r="A491" s="3" t="s">
        <v>11</v>
      </c>
      <c r="B491" s="4">
        <v>43224</v>
      </c>
      <c r="C491" s="7" t="s">
        <v>21</v>
      </c>
      <c r="D491" s="6" t="s">
        <v>553</v>
      </c>
      <c r="E491" s="11" t="s">
        <v>554</v>
      </c>
      <c r="F491" s="3">
        <v>12</v>
      </c>
      <c r="L491" s="3" t="s">
        <v>555</v>
      </c>
      <c r="N491" s="48"/>
    </row>
    <row r="492" spans="1:14" x14ac:dyDescent="0.45">
      <c r="A492" s="3" t="s">
        <v>11</v>
      </c>
      <c r="B492" s="4">
        <v>43251</v>
      </c>
      <c r="C492" s="7" t="s">
        <v>21</v>
      </c>
      <c r="D492" s="6" t="s">
        <v>556</v>
      </c>
      <c r="E492" s="11" t="s">
        <v>557</v>
      </c>
      <c r="F492" s="3">
        <v>16</v>
      </c>
      <c r="L492" s="3" t="s">
        <v>555</v>
      </c>
      <c r="N492" s="48"/>
    </row>
    <row r="493" spans="1:14" x14ac:dyDescent="0.45">
      <c r="A493" s="3" t="s">
        <v>11</v>
      </c>
      <c r="B493" s="4">
        <v>43272</v>
      </c>
      <c r="C493" s="7" t="s">
        <v>302</v>
      </c>
      <c r="E493" s="6" t="s">
        <v>558</v>
      </c>
      <c r="F493" s="3">
        <v>1</v>
      </c>
      <c r="L493" s="3" t="s">
        <v>431</v>
      </c>
      <c r="N493" s="48"/>
    </row>
    <row r="494" spans="1:14" x14ac:dyDescent="0.45">
      <c r="A494" s="3" t="s">
        <v>11</v>
      </c>
      <c r="B494" s="4">
        <v>43290</v>
      </c>
      <c r="C494" s="7" t="s">
        <v>21</v>
      </c>
      <c r="D494" s="6" t="s">
        <v>559</v>
      </c>
      <c r="E494" s="11" t="s">
        <v>560</v>
      </c>
      <c r="F494" s="3">
        <v>168</v>
      </c>
      <c r="L494" s="3" t="s">
        <v>476</v>
      </c>
      <c r="N494" s="48"/>
    </row>
    <row r="495" spans="1:14" x14ac:dyDescent="0.45">
      <c r="A495" s="3" t="s">
        <v>11</v>
      </c>
      <c r="B495" s="4">
        <v>43291</v>
      </c>
      <c r="C495" s="7" t="s">
        <v>21</v>
      </c>
      <c r="D495" s="6" t="s">
        <v>561</v>
      </c>
      <c r="E495" s="11" t="s">
        <v>562</v>
      </c>
      <c r="F495" s="3">
        <v>2</v>
      </c>
      <c r="N495" s="48"/>
    </row>
    <row r="496" spans="1:14" x14ac:dyDescent="0.45">
      <c r="A496" s="3" t="s">
        <v>11</v>
      </c>
      <c r="B496" s="4">
        <v>43333</v>
      </c>
      <c r="C496" s="7" t="s">
        <v>25</v>
      </c>
      <c r="D496" s="6" t="s">
        <v>563</v>
      </c>
      <c r="E496" s="9" t="s">
        <v>564</v>
      </c>
      <c r="F496" s="3">
        <v>3</v>
      </c>
      <c r="N496" s="48"/>
    </row>
    <row r="497" spans="1:14" x14ac:dyDescent="0.45">
      <c r="A497" s="3" t="s">
        <v>11</v>
      </c>
      <c r="B497" s="4">
        <v>43334</v>
      </c>
      <c r="C497" s="7" t="s">
        <v>302</v>
      </c>
      <c r="D497" s="6" t="s">
        <v>565</v>
      </c>
      <c r="E497" s="9" t="s">
        <v>566</v>
      </c>
      <c r="F497" s="3">
        <v>14</v>
      </c>
      <c r="N497" s="48"/>
    </row>
    <row r="498" spans="1:14" x14ac:dyDescent="0.45">
      <c r="A498" s="3" t="s">
        <v>11</v>
      </c>
      <c r="B498" s="4">
        <v>43335</v>
      </c>
      <c r="C498" s="7" t="s">
        <v>25</v>
      </c>
      <c r="D498" s="6" t="s">
        <v>567</v>
      </c>
      <c r="E498" s="9" t="s">
        <v>568</v>
      </c>
      <c r="F498" s="3">
        <v>2</v>
      </c>
      <c r="N498" s="48"/>
    </row>
    <row r="499" spans="1:14" x14ac:dyDescent="0.45">
      <c r="A499" s="3" t="s">
        <v>11</v>
      </c>
      <c r="B499" s="4">
        <v>43420</v>
      </c>
      <c r="C499" s="7" t="s">
        <v>25</v>
      </c>
      <c r="D499" s="9" t="s">
        <v>569</v>
      </c>
      <c r="E499" s="6" t="s">
        <v>570</v>
      </c>
      <c r="F499" s="3">
        <v>24</v>
      </c>
      <c r="N499" s="48"/>
    </row>
    <row r="500" spans="1:14" x14ac:dyDescent="0.45">
      <c r="A500" s="3" t="s">
        <v>11</v>
      </c>
      <c r="B500" s="4">
        <v>43432</v>
      </c>
      <c r="C500" s="7" t="s">
        <v>302</v>
      </c>
      <c r="D500" s="6" t="s">
        <v>571</v>
      </c>
      <c r="E500" s="9" t="s">
        <v>572</v>
      </c>
      <c r="F500" s="3">
        <v>36</v>
      </c>
      <c r="N500" s="48"/>
    </row>
    <row r="501" spans="1:14" x14ac:dyDescent="0.45">
      <c r="A501" s="3" t="s">
        <v>11</v>
      </c>
      <c r="B501" s="4">
        <v>43432</v>
      </c>
      <c r="C501" s="7" t="s">
        <v>302</v>
      </c>
      <c r="D501" s="6" t="s">
        <v>573</v>
      </c>
      <c r="E501" s="9" t="s">
        <v>574</v>
      </c>
      <c r="F501" s="3">
        <v>29</v>
      </c>
      <c r="N501" s="48"/>
    </row>
    <row r="502" spans="1:14" x14ac:dyDescent="0.45">
      <c r="A502" s="3" t="s">
        <v>11</v>
      </c>
      <c r="B502" s="4">
        <v>43433</v>
      </c>
      <c r="C502" s="7" t="s">
        <v>575</v>
      </c>
      <c r="E502" s="6" t="s">
        <v>576</v>
      </c>
      <c r="F502" s="3">
        <v>1</v>
      </c>
      <c r="L502" s="3" t="s">
        <v>577</v>
      </c>
      <c r="N502" s="48"/>
    </row>
    <row r="503" spans="1:14" x14ac:dyDescent="0.45">
      <c r="A503" s="3" t="s">
        <v>11</v>
      </c>
      <c r="B503" s="4">
        <v>43434</v>
      </c>
      <c r="C503" s="7" t="s">
        <v>21</v>
      </c>
      <c r="D503" s="6" t="s">
        <v>578</v>
      </c>
      <c r="E503" s="9" t="s">
        <v>579</v>
      </c>
      <c r="F503" s="3">
        <v>25</v>
      </c>
      <c r="L503" s="3" t="s">
        <v>580</v>
      </c>
      <c r="N503" s="48"/>
    </row>
    <row r="504" spans="1:14" x14ac:dyDescent="0.45">
      <c r="A504" s="3" t="s">
        <v>11</v>
      </c>
      <c r="B504" s="4">
        <v>43434</v>
      </c>
      <c r="C504" s="7" t="s">
        <v>21</v>
      </c>
      <c r="D504" s="6" t="s">
        <v>581</v>
      </c>
      <c r="E504" s="9" t="s">
        <v>582</v>
      </c>
      <c r="F504" s="3">
        <v>14</v>
      </c>
      <c r="L504" s="3" t="s">
        <v>555</v>
      </c>
      <c r="N504" s="48"/>
    </row>
    <row r="505" spans="1:14" x14ac:dyDescent="0.45">
      <c r="A505" s="3" t="s">
        <v>11</v>
      </c>
      <c r="B505" s="4">
        <v>43434</v>
      </c>
      <c r="C505" s="7" t="s">
        <v>21</v>
      </c>
      <c r="D505" s="6" t="s">
        <v>583</v>
      </c>
      <c r="E505" s="9" t="s">
        <v>584</v>
      </c>
      <c r="F505" s="3">
        <v>99</v>
      </c>
      <c r="N505" s="48"/>
    </row>
    <row r="506" spans="1:14" x14ac:dyDescent="0.45">
      <c r="A506" s="3" t="s">
        <v>11</v>
      </c>
      <c r="B506" s="4">
        <v>43434</v>
      </c>
      <c r="C506" s="7" t="s">
        <v>21</v>
      </c>
      <c r="D506" s="6" t="s">
        <v>585</v>
      </c>
      <c r="E506" s="9" t="s">
        <v>586</v>
      </c>
      <c r="F506" s="3">
        <v>32</v>
      </c>
      <c r="L506" s="3" t="s">
        <v>580</v>
      </c>
      <c r="N506" s="48"/>
    </row>
    <row r="507" spans="1:14" x14ac:dyDescent="0.45">
      <c r="A507" s="3" t="s">
        <v>11</v>
      </c>
      <c r="B507" s="4">
        <v>43467</v>
      </c>
      <c r="C507" s="7" t="s">
        <v>587</v>
      </c>
      <c r="E507" s="6" t="s">
        <v>588</v>
      </c>
      <c r="F507" s="3">
        <v>3</v>
      </c>
      <c r="N507" s="48"/>
    </row>
    <row r="508" spans="1:14" x14ac:dyDescent="0.45">
      <c r="A508" s="3" t="s">
        <v>11</v>
      </c>
      <c r="B508" s="4">
        <v>43473</v>
      </c>
      <c r="C508" s="7" t="s">
        <v>21</v>
      </c>
      <c r="D508" s="6" t="s">
        <v>589</v>
      </c>
      <c r="E508" s="9" t="s">
        <v>590</v>
      </c>
      <c r="F508" s="3">
        <v>10</v>
      </c>
      <c r="L508" s="3" t="s">
        <v>591</v>
      </c>
      <c r="N508" s="48"/>
    </row>
    <row r="509" spans="1:14" x14ac:dyDescent="0.45">
      <c r="A509" s="3" t="s">
        <v>11</v>
      </c>
      <c r="B509" s="4">
        <v>43474</v>
      </c>
      <c r="C509" s="7" t="s">
        <v>592</v>
      </c>
      <c r="E509" s="6" t="s">
        <v>593</v>
      </c>
      <c r="F509" s="3">
        <f>SUM(1,12)</f>
        <v>13</v>
      </c>
      <c r="L509" s="12" t="s">
        <v>594</v>
      </c>
      <c r="N509" s="48"/>
    </row>
    <row r="510" spans="1:14" x14ac:dyDescent="0.45">
      <c r="A510" s="3" t="s">
        <v>11</v>
      </c>
      <c r="B510" s="4">
        <v>43474</v>
      </c>
      <c r="C510" s="7" t="s">
        <v>592</v>
      </c>
      <c r="E510" s="6" t="s">
        <v>595</v>
      </c>
      <c r="F510" s="3">
        <f>SUM(1,1)</f>
        <v>2</v>
      </c>
      <c r="L510" s="3" t="s">
        <v>594</v>
      </c>
      <c r="N510" s="48"/>
    </row>
    <row r="511" spans="1:14" x14ac:dyDescent="0.45">
      <c r="A511" s="3" t="s">
        <v>11</v>
      </c>
      <c r="B511" s="4">
        <v>43500</v>
      </c>
      <c r="C511" s="7" t="s">
        <v>25</v>
      </c>
      <c r="D511" s="6" t="s">
        <v>596</v>
      </c>
      <c r="E511" s="9" t="s">
        <v>597</v>
      </c>
      <c r="F511" s="3">
        <v>15</v>
      </c>
      <c r="N511" s="48"/>
    </row>
    <row r="512" spans="1:14" x14ac:dyDescent="0.45">
      <c r="A512" s="3" t="s">
        <v>11</v>
      </c>
      <c r="B512" s="4">
        <v>43522</v>
      </c>
      <c r="C512" s="7" t="s">
        <v>21</v>
      </c>
      <c r="D512" s="6" t="s">
        <v>598</v>
      </c>
      <c r="E512" s="9" t="s">
        <v>599</v>
      </c>
      <c r="F512" s="3">
        <v>105</v>
      </c>
      <c r="L512" s="3" t="s">
        <v>497</v>
      </c>
      <c r="N512" s="48"/>
    </row>
    <row r="513" spans="1:14" x14ac:dyDescent="0.45">
      <c r="A513" s="3" t="s">
        <v>11</v>
      </c>
      <c r="B513" s="4">
        <v>43528</v>
      </c>
      <c r="C513" s="7" t="s">
        <v>575</v>
      </c>
      <c r="E513" s="6" t="s">
        <v>600</v>
      </c>
      <c r="F513" s="3">
        <v>5</v>
      </c>
      <c r="N513" s="48"/>
    </row>
    <row r="514" spans="1:14" x14ac:dyDescent="0.45">
      <c r="A514" s="3" t="s">
        <v>11</v>
      </c>
      <c r="B514" s="4">
        <v>43530</v>
      </c>
      <c r="C514" s="7" t="s">
        <v>575</v>
      </c>
      <c r="E514" s="6" t="s">
        <v>601</v>
      </c>
      <c r="F514" s="3">
        <v>6</v>
      </c>
      <c r="N514" s="48"/>
    </row>
    <row r="515" spans="1:14" x14ac:dyDescent="0.45">
      <c r="A515" s="3" t="s">
        <v>11</v>
      </c>
      <c r="B515" s="4">
        <v>43531</v>
      </c>
      <c r="C515" s="13" t="s">
        <v>21</v>
      </c>
      <c r="D515" s="6" t="s">
        <v>602</v>
      </c>
      <c r="E515" s="9" t="s">
        <v>603</v>
      </c>
      <c r="F515" s="3">
        <v>24</v>
      </c>
      <c r="L515" s="3" t="s">
        <v>604</v>
      </c>
      <c r="N515" s="48"/>
    </row>
    <row r="516" spans="1:14" x14ac:dyDescent="0.45">
      <c r="A516" s="3" t="s">
        <v>11</v>
      </c>
      <c r="B516" s="4">
        <v>43542</v>
      </c>
      <c r="C516" s="7" t="s">
        <v>21</v>
      </c>
      <c r="D516" s="6" t="s">
        <v>605</v>
      </c>
      <c r="E516" s="9" t="s">
        <v>606</v>
      </c>
      <c r="F516" s="3">
        <v>108</v>
      </c>
      <c r="L516" s="3" t="s">
        <v>497</v>
      </c>
      <c r="N516" s="48"/>
    </row>
    <row r="517" spans="1:14" x14ac:dyDescent="0.45">
      <c r="A517" s="3" t="s">
        <v>11</v>
      </c>
      <c r="B517" s="4">
        <v>43549</v>
      </c>
      <c r="C517" s="7" t="s">
        <v>21</v>
      </c>
      <c r="D517" s="6" t="s">
        <v>607</v>
      </c>
      <c r="E517" s="9" t="s">
        <v>608</v>
      </c>
      <c r="F517" s="3">
        <v>47</v>
      </c>
      <c r="N517" s="48"/>
    </row>
    <row r="518" spans="1:14" x14ac:dyDescent="0.45">
      <c r="A518" s="3" t="s">
        <v>11</v>
      </c>
      <c r="B518" s="4">
        <v>43574</v>
      </c>
      <c r="C518" s="7" t="s">
        <v>25</v>
      </c>
      <c r="D518" s="6" t="s">
        <v>609</v>
      </c>
      <c r="E518" s="9" t="s">
        <v>610</v>
      </c>
      <c r="F518" s="3">
        <v>2</v>
      </c>
      <c r="N518" s="48"/>
    </row>
    <row r="519" spans="1:14" x14ac:dyDescent="0.45">
      <c r="A519" s="3" t="s">
        <v>11</v>
      </c>
      <c r="B519" s="4">
        <v>43579</v>
      </c>
      <c r="C519" s="7" t="s">
        <v>302</v>
      </c>
      <c r="E519" s="6" t="s">
        <v>611</v>
      </c>
      <c r="F519" s="3">
        <v>4</v>
      </c>
      <c r="N519" s="48"/>
    </row>
    <row r="520" spans="1:14" x14ac:dyDescent="0.45">
      <c r="A520" s="3" t="s">
        <v>11</v>
      </c>
      <c r="B520" s="4">
        <v>43606</v>
      </c>
      <c r="C520" s="7" t="s">
        <v>575</v>
      </c>
      <c r="E520" s="6" t="s">
        <v>612</v>
      </c>
      <c r="F520" s="3">
        <v>26</v>
      </c>
      <c r="N520" s="48"/>
    </row>
    <row r="521" spans="1:14" x14ac:dyDescent="0.45">
      <c r="A521" s="3" t="s">
        <v>11</v>
      </c>
      <c r="B521" s="4">
        <v>43644</v>
      </c>
      <c r="C521" s="7" t="s">
        <v>302</v>
      </c>
      <c r="E521" s="6" t="s">
        <v>613</v>
      </c>
      <c r="F521" s="3">
        <v>1</v>
      </c>
      <c r="L521" s="3" t="s">
        <v>614</v>
      </c>
      <c r="N521" s="48"/>
    </row>
    <row r="522" spans="1:14" x14ac:dyDescent="0.45">
      <c r="A522" s="3" t="s">
        <v>11</v>
      </c>
      <c r="B522" s="4">
        <v>43651</v>
      </c>
      <c r="C522" s="7" t="s">
        <v>302</v>
      </c>
      <c r="E522" s="6" t="s">
        <v>615</v>
      </c>
      <c r="F522" s="3">
        <v>1</v>
      </c>
      <c r="L522" s="3" t="s">
        <v>614</v>
      </c>
      <c r="N522" s="48"/>
    </row>
    <row r="523" spans="1:14" x14ac:dyDescent="0.45">
      <c r="A523" s="3" t="s">
        <v>11</v>
      </c>
      <c r="B523" s="4">
        <v>43654</v>
      </c>
      <c r="C523" s="7" t="s">
        <v>302</v>
      </c>
      <c r="E523" s="6" t="s">
        <v>616</v>
      </c>
      <c r="F523" s="3">
        <v>1</v>
      </c>
      <c r="L523" s="3" t="s">
        <v>614</v>
      </c>
      <c r="N523" s="48"/>
    </row>
    <row r="524" spans="1:14" x14ac:dyDescent="0.45">
      <c r="A524" s="3" t="s">
        <v>11</v>
      </c>
      <c r="B524" s="4">
        <v>43654</v>
      </c>
      <c r="C524" s="7" t="s">
        <v>302</v>
      </c>
      <c r="E524" s="6" t="s">
        <v>617</v>
      </c>
      <c r="F524" s="3">
        <v>1</v>
      </c>
      <c r="L524" s="3" t="s">
        <v>614</v>
      </c>
      <c r="N524" s="48"/>
    </row>
    <row r="525" spans="1:14" x14ac:dyDescent="0.45">
      <c r="A525" s="3" t="s">
        <v>11</v>
      </c>
      <c r="B525" s="4">
        <v>43654</v>
      </c>
      <c r="C525" s="7" t="s">
        <v>302</v>
      </c>
      <c r="E525" s="6" t="s">
        <v>618</v>
      </c>
      <c r="F525" s="3">
        <v>1</v>
      </c>
      <c r="L525" s="3" t="s">
        <v>614</v>
      </c>
      <c r="N525" s="48"/>
    </row>
    <row r="526" spans="1:14" x14ac:dyDescent="0.45">
      <c r="A526" s="3" t="s">
        <v>11</v>
      </c>
      <c r="B526" s="4">
        <v>43654</v>
      </c>
      <c r="C526" s="7" t="s">
        <v>302</v>
      </c>
      <c r="E526" s="6" t="s">
        <v>619</v>
      </c>
      <c r="F526" s="3">
        <v>1</v>
      </c>
      <c r="L526" s="3" t="s">
        <v>614</v>
      </c>
      <c r="N526" s="48"/>
    </row>
    <row r="527" spans="1:14" x14ac:dyDescent="0.45">
      <c r="A527" s="3" t="s">
        <v>11</v>
      </c>
      <c r="B527" s="4">
        <v>43654</v>
      </c>
      <c r="C527" s="7" t="s">
        <v>302</v>
      </c>
      <c r="E527" s="6" t="s">
        <v>620</v>
      </c>
      <c r="F527" s="3">
        <v>1</v>
      </c>
      <c r="L527" s="3" t="s">
        <v>614</v>
      </c>
      <c r="N527" s="48"/>
    </row>
    <row r="528" spans="1:14" x14ac:dyDescent="0.45">
      <c r="A528" s="3" t="s">
        <v>11</v>
      </c>
      <c r="B528" s="4">
        <v>43664</v>
      </c>
      <c r="C528" s="7" t="s">
        <v>21</v>
      </c>
      <c r="D528" s="6" t="s">
        <v>621</v>
      </c>
      <c r="E528" s="9" t="s">
        <v>622</v>
      </c>
      <c r="F528" s="3">
        <v>20</v>
      </c>
      <c r="L528" s="3" t="s">
        <v>555</v>
      </c>
      <c r="N528" s="48"/>
    </row>
    <row r="529" spans="1:14" x14ac:dyDescent="0.45">
      <c r="A529" s="3" t="s">
        <v>11</v>
      </c>
      <c r="B529" s="4">
        <v>43678</v>
      </c>
      <c r="C529" s="7" t="s">
        <v>25</v>
      </c>
      <c r="D529" s="6" t="s">
        <v>623</v>
      </c>
      <c r="E529" s="9" t="s">
        <v>624</v>
      </c>
      <c r="F529" s="3">
        <v>14</v>
      </c>
      <c r="N529" s="48"/>
    </row>
    <row r="530" spans="1:14" x14ac:dyDescent="0.45">
      <c r="A530" s="3" t="s">
        <v>11</v>
      </c>
      <c r="B530" s="4">
        <v>43689</v>
      </c>
      <c r="C530" s="7" t="s">
        <v>575</v>
      </c>
      <c r="E530" s="6" t="s">
        <v>625</v>
      </c>
      <c r="F530" s="3">
        <f>SUM(1,8)</f>
        <v>9</v>
      </c>
      <c r="L530" s="3" t="s">
        <v>594</v>
      </c>
      <c r="N530" s="48"/>
    </row>
    <row r="531" spans="1:14" x14ac:dyDescent="0.45">
      <c r="A531" s="3" t="s">
        <v>11</v>
      </c>
      <c r="B531" s="4">
        <v>43689</v>
      </c>
      <c r="C531" s="7" t="s">
        <v>575</v>
      </c>
      <c r="E531" s="6" t="s">
        <v>626</v>
      </c>
      <c r="F531" s="3">
        <v>12</v>
      </c>
      <c r="N531" s="48"/>
    </row>
    <row r="532" spans="1:14" x14ac:dyDescent="0.45">
      <c r="A532" s="3" t="s">
        <v>11</v>
      </c>
      <c r="B532" s="4">
        <v>43690</v>
      </c>
      <c r="C532" s="7" t="s">
        <v>302</v>
      </c>
      <c r="E532" s="6" t="s">
        <v>627</v>
      </c>
      <c r="F532" s="3">
        <v>10</v>
      </c>
      <c r="N532" s="48"/>
    </row>
    <row r="533" spans="1:14" x14ac:dyDescent="0.45">
      <c r="A533" s="3" t="s">
        <v>11</v>
      </c>
      <c r="B533" s="4">
        <v>43690</v>
      </c>
      <c r="C533" s="7" t="s">
        <v>25</v>
      </c>
      <c r="D533" s="6" t="s">
        <v>628</v>
      </c>
      <c r="E533" s="9" t="s">
        <v>629</v>
      </c>
      <c r="F533" s="3">
        <v>12</v>
      </c>
      <c r="N533" s="48"/>
    </row>
    <row r="534" spans="1:14" x14ac:dyDescent="0.45">
      <c r="A534" s="3" t="s">
        <v>11</v>
      </c>
      <c r="B534" s="4">
        <v>43692</v>
      </c>
      <c r="C534" s="7" t="s">
        <v>592</v>
      </c>
      <c r="E534" s="6" t="s">
        <v>630</v>
      </c>
      <c r="F534" s="3">
        <f>SUM(1,1)</f>
        <v>2</v>
      </c>
      <c r="L534" s="3" t="s">
        <v>594</v>
      </c>
      <c r="N534" s="48"/>
    </row>
    <row r="535" spans="1:14" x14ac:dyDescent="0.45">
      <c r="A535" s="3" t="s">
        <v>11</v>
      </c>
      <c r="B535" s="4">
        <v>43692</v>
      </c>
      <c r="C535" s="7" t="s">
        <v>592</v>
      </c>
      <c r="E535" s="6" t="s">
        <v>631</v>
      </c>
      <c r="F535" s="3">
        <f>SUM(1,12)</f>
        <v>13</v>
      </c>
      <c r="L535" s="12" t="s">
        <v>594</v>
      </c>
      <c r="N535" s="48"/>
    </row>
    <row r="536" spans="1:14" x14ac:dyDescent="0.45">
      <c r="A536" s="3" t="s">
        <v>11</v>
      </c>
      <c r="B536" s="4">
        <v>43741</v>
      </c>
      <c r="C536" s="7" t="s">
        <v>575</v>
      </c>
      <c r="E536" s="6" t="s">
        <v>632</v>
      </c>
      <c r="F536" s="3">
        <v>1</v>
      </c>
      <c r="N536" s="48"/>
    </row>
    <row r="537" spans="1:14" x14ac:dyDescent="0.45">
      <c r="A537" s="3" t="s">
        <v>11</v>
      </c>
      <c r="B537" s="4">
        <v>43763</v>
      </c>
      <c r="C537" s="7" t="s">
        <v>575</v>
      </c>
      <c r="E537" s="6" t="s">
        <v>633</v>
      </c>
      <c r="F537" s="3">
        <v>160</v>
      </c>
      <c r="N537" s="48"/>
    </row>
    <row r="538" spans="1:14" x14ac:dyDescent="0.45">
      <c r="A538" s="3" t="s">
        <v>11</v>
      </c>
      <c r="B538" s="4">
        <v>43774</v>
      </c>
      <c r="C538" s="7" t="s">
        <v>575</v>
      </c>
      <c r="E538" s="6" t="s">
        <v>634</v>
      </c>
      <c r="F538" s="3">
        <v>34</v>
      </c>
      <c r="N538" s="48"/>
    </row>
    <row r="539" spans="1:14" x14ac:dyDescent="0.45">
      <c r="A539" s="3" t="s">
        <v>11</v>
      </c>
      <c r="B539" s="4">
        <v>43819</v>
      </c>
      <c r="C539" s="7" t="s">
        <v>21</v>
      </c>
      <c r="D539" s="6" t="s">
        <v>635</v>
      </c>
      <c r="E539" s="9" t="s">
        <v>636</v>
      </c>
      <c r="F539" s="3">
        <v>20</v>
      </c>
      <c r="L539" s="3" t="s">
        <v>555</v>
      </c>
      <c r="N539" s="48"/>
    </row>
    <row r="540" spans="1:14" x14ac:dyDescent="0.45">
      <c r="A540" s="3" t="s">
        <v>11</v>
      </c>
      <c r="B540" s="4">
        <v>43843</v>
      </c>
      <c r="C540" s="7" t="s">
        <v>21</v>
      </c>
      <c r="D540" s="6" t="s">
        <v>637</v>
      </c>
      <c r="E540" s="9" t="s">
        <v>638</v>
      </c>
      <c r="F540" s="3">
        <v>42</v>
      </c>
      <c r="L540" s="3" t="s">
        <v>555</v>
      </c>
      <c r="N540" s="48"/>
    </row>
    <row r="541" spans="1:14" x14ac:dyDescent="0.45">
      <c r="A541" s="3" t="s">
        <v>11</v>
      </c>
      <c r="B541" s="4">
        <v>43847</v>
      </c>
      <c r="C541" s="7" t="s">
        <v>592</v>
      </c>
      <c r="E541" s="6" t="s">
        <v>639</v>
      </c>
      <c r="F541" s="3">
        <f>SUM(1,1)</f>
        <v>2</v>
      </c>
      <c r="L541" s="3" t="s">
        <v>594</v>
      </c>
      <c r="N541" s="48"/>
    </row>
    <row r="542" spans="1:14" x14ac:dyDescent="0.45">
      <c r="A542" s="3" t="s">
        <v>11</v>
      </c>
      <c r="B542" s="4">
        <v>43847</v>
      </c>
      <c r="C542" s="7" t="s">
        <v>592</v>
      </c>
      <c r="E542" s="6" t="s">
        <v>640</v>
      </c>
      <c r="F542" s="3">
        <f>SUM(1,12)</f>
        <v>13</v>
      </c>
      <c r="L542" s="12" t="s">
        <v>594</v>
      </c>
      <c r="N542" s="48"/>
    </row>
    <row r="543" spans="1:14" x14ac:dyDescent="0.45">
      <c r="A543" s="3" t="s">
        <v>11</v>
      </c>
      <c r="B543" s="4">
        <v>43852</v>
      </c>
      <c r="C543" s="7" t="s">
        <v>25</v>
      </c>
      <c r="D543" s="6" t="s">
        <v>641</v>
      </c>
      <c r="E543" s="9" t="s">
        <v>642</v>
      </c>
      <c r="F543" s="3">
        <v>4</v>
      </c>
      <c r="N543" s="48"/>
    </row>
    <row r="544" spans="1:14" x14ac:dyDescent="0.45">
      <c r="A544" s="3" t="s">
        <v>11</v>
      </c>
      <c r="B544" s="4">
        <v>43865</v>
      </c>
      <c r="C544" s="7" t="s">
        <v>21</v>
      </c>
      <c r="D544" s="6" t="s">
        <v>643</v>
      </c>
      <c r="E544" s="9" t="s">
        <v>644</v>
      </c>
      <c r="F544" s="3">
        <v>75</v>
      </c>
      <c r="L544" s="3" t="s">
        <v>645</v>
      </c>
      <c r="N544" s="48"/>
    </row>
    <row r="545" spans="1:14" x14ac:dyDescent="0.45">
      <c r="A545" s="3" t="s">
        <v>11</v>
      </c>
      <c r="B545" s="4">
        <v>43866</v>
      </c>
      <c r="C545" s="7" t="s">
        <v>25</v>
      </c>
      <c r="D545" s="6" t="s">
        <v>646</v>
      </c>
      <c r="E545" s="9" t="s">
        <v>647</v>
      </c>
      <c r="F545" s="3">
        <v>18</v>
      </c>
      <c r="N545" s="48"/>
    </row>
    <row r="546" spans="1:14" x14ac:dyDescent="0.45">
      <c r="A546" s="3" t="s">
        <v>11</v>
      </c>
      <c r="B546" s="4">
        <v>43867</v>
      </c>
      <c r="C546" s="7" t="s">
        <v>21</v>
      </c>
      <c r="D546" s="6" t="s">
        <v>648</v>
      </c>
      <c r="E546" s="9" t="s">
        <v>649</v>
      </c>
      <c r="F546" s="3">
        <v>64</v>
      </c>
      <c r="L546" s="3" t="s">
        <v>650</v>
      </c>
      <c r="N546" s="48"/>
    </row>
    <row r="547" spans="1:14" x14ac:dyDescent="0.45">
      <c r="A547" s="3" t="s">
        <v>11</v>
      </c>
      <c r="B547" s="4">
        <v>43871</v>
      </c>
      <c r="C547" s="7" t="s">
        <v>25</v>
      </c>
      <c r="D547" s="6" t="s">
        <v>651</v>
      </c>
      <c r="E547" s="9" t="s">
        <v>652</v>
      </c>
      <c r="F547" s="3">
        <v>23</v>
      </c>
      <c r="N547" s="48"/>
    </row>
    <row r="548" spans="1:14" x14ac:dyDescent="0.45">
      <c r="A548" s="3" t="s">
        <v>11</v>
      </c>
      <c r="B548" s="4">
        <v>43873</v>
      </c>
      <c r="C548" s="7" t="s">
        <v>302</v>
      </c>
      <c r="E548" s="6" t="s">
        <v>653</v>
      </c>
      <c r="F548" s="3">
        <v>4</v>
      </c>
      <c r="N548" s="48"/>
    </row>
    <row r="549" spans="1:14" x14ac:dyDescent="0.45">
      <c r="A549" s="3" t="s">
        <v>11</v>
      </c>
      <c r="B549" s="4">
        <v>43874</v>
      </c>
      <c r="C549" s="7" t="s">
        <v>25</v>
      </c>
      <c r="D549" s="6" t="s">
        <v>654</v>
      </c>
      <c r="E549" s="9" t="s">
        <v>655</v>
      </c>
      <c r="F549" s="3">
        <v>9</v>
      </c>
      <c r="N549" s="48"/>
    </row>
    <row r="550" spans="1:14" x14ac:dyDescent="0.45">
      <c r="A550" s="3" t="s">
        <v>11</v>
      </c>
      <c r="B550" s="4">
        <v>43887</v>
      </c>
      <c r="C550" s="7" t="s">
        <v>575</v>
      </c>
      <c r="E550" s="6" t="s">
        <v>656</v>
      </c>
      <c r="F550" s="3">
        <f>SUM(1,9)</f>
        <v>10</v>
      </c>
      <c r="L550" s="3" t="s">
        <v>594</v>
      </c>
      <c r="N550" s="48"/>
    </row>
    <row r="551" spans="1:14" x14ac:dyDescent="0.45">
      <c r="A551" s="3" t="s">
        <v>11</v>
      </c>
      <c r="B551" s="4">
        <v>43888</v>
      </c>
      <c r="C551" s="7" t="s">
        <v>21</v>
      </c>
      <c r="D551" s="6" t="s">
        <v>657</v>
      </c>
      <c r="E551" s="9" t="s">
        <v>658</v>
      </c>
      <c r="F551" s="3">
        <v>14</v>
      </c>
      <c r="N551" s="48"/>
    </row>
    <row r="552" spans="1:14" x14ac:dyDescent="0.45">
      <c r="A552" s="3" t="s">
        <v>11</v>
      </c>
      <c r="B552" s="4">
        <v>43889</v>
      </c>
      <c r="C552" s="7" t="s">
        <v>21</v>
      </c>
      <c r="D552" s="6" t="s">
        <v>659</v>
      </c>
      <c r="E552" s="9" t="s">
        <v>660</v>
      </c>
      <c r="F552" s="3">
        <v>10</v>
      </c>
      <c r="N552" s="48"/>
    </row>
    <row r="553" spans="1:14" x14ac:dyDescent="0.45">
      <c r="A553" s="3" t="s">
        <v>11</v>
      </c>
      <c r="B553" s="4">
        <v>43889</v>
      </c>
      <c r="C553" s="7" t="s">
        <v>21</v>
      </c>
      <c r="D553" s="6" t="s">
        <v>661</v>
      </c>
      <c r="E553" s="9" t="s">
        <v>662</v>
      </c>
      <c r="F553" s="3">
        <v>26</v>
      </c>
      <c r="N553" s="48"/>
    </row>
    <row r="554" spans="1:14" x14ac:dyDescent="0.45">
      <c r="A554" s="3" t="s">
        <v>11</v>
      </c>
      <c r="B554" s="4">
        <v>43899</v>
      </c>
      <c r="C554" s="7" t="s">
        <v>575</v>
      </c>
      <c r="E554" s="6" t="s">
        <v>663</v>
      </c>
      <c r="F554" s="3">
        <v>47</v>
      </c>
      <c r="N554" s="48"/>
    </row>
    <row r="555" spans="1:14" x14ac:dyDescent="0.45">
      <c r="A555" s="3" t="s">
        <v>11</v>
      </c>
      <c r="B555" s="4">
        <v>43902</v>
      </c>
      <c r="C555" s="7" t="s">
        <v>21</v>
      </c>
      <c r="D555" s="6" t="s">
        <v>664</v>
      </c>
      <c r="E555" s="9" t="s">
        <v>665</v>
      </c>
      <c r="F555" s="3">
        <v>43</v>
      </c>
      <c r="N555" s="48"/>
    </row>
    <row r="556" spans="1:14" x14ac:dyDescent="0.45">
      <c r="A556" s="3" t="s">
        <v>11</v>
      </c>
      <c r="B556" s="4">
        <v>43902</v>
      </c>
      <c r="C556" s="7" t="s">
        <v>575</v>
      </c>
      <c r="E556" s="6" t="s">
        <v>666</v>
      </c>
      <c r="F556" s="3">
        <v>2</v>
      </c>
      <c r="N556" s="48"/>
    </row>
    <row r="557" spans="1:14" x14ac:dyDescent="0.45">
      <c r="A557" s="3" t="s">
        <v>11</v>
      </c>
      <c r="B557" s="4">
        <v>43917</v>
      </c>
      <c r="C557" s="7" t="s">
        <v>587</v>
      </c>
      <c r="E557" s="6" t="s">
        <v>667</v>
      </c>
      <c r="F557" s="3">
        <v>4</v>
      </c>
      <c r="N557" s="48"/>
    </row>
    <row r="558" spans="1:14" x14ac:dyDescent="0.45">
      <c r="A558" s="3" t="s">
        <v>11</v>
      </c>
      <c r="B558" s="4">
        <v>43921</v>
      </c>
      <c r="C558" s="7" t="s">
        <v>587</v>
      </c>
      <c r="E558" s="6" t="s">
        <v>668</v>
      </c>
      <c r="F558" s="3">
        <v>2</v>
      </c>
      <c r="N558" s="48"/>
    </row>
    <row r="559" spans="1:14" x14ac:dyDescent="0.45">
      <c r="A559" s="3" t="s">
        <v>11</v>
      </c>
      <c r="B559" s="4">
        <v>43921</v>
      </c>
      <c r="C559" s="7" t="s">
        <v>21</v>
      </c>
      <c r="D559" s="6" t="s">
        <v>669</v>
      </c>
      <c r="E559" s="9" t="s">
        <v>584</v>
      </c>
      <c r="F559" s="3">
        <v>121</v>
      </c>
      <c r="L559" s="3" t="s">
        <v>645</v>
      </c>
      <c r="N559" s="48"/>
    </row>
    <row r="560" spans="1:14" x14ac:dyDescent="0.45">
      <c r="A560" s="3" t="s">
        <v>11</v>
      </c>
      <c r="B560" s="4">
        <v>43922</v>
      </c>
      <c r="C560" s="7" t="s">
        <v>587</v>
      </c>
      <c r="E560" s="6" t="s">
        <v>670</v>
      </c>
      <c r="F560" s="3">
        <v>1</v>
      </c>
      <c r="N560" s="48"/>
    </row>
    <row r="561" spans="1:14" x14ac:dyDescent="0.45">
      <c r="A561" s="3" t="s">
        <v>11</v>
      </c>
      <c r="B561" s="4">
        <v>43927</v>
      </c>
      <c r="C561" s="7" t="s">
        <v>25</v>
      </c>
      <c r="D561" s="6" t="s">
        <v>671</v>
      </c>
      <c r="E561" s="9" t="s">
        <v>672</v>
      </c>
      <c r="F561" s="3">
        <v>2</v>
      </c>
      <c r="N561" s="48"/>
    </row>
    <row r="562" spans="1:14" x14ac:dyDescent="0.45">
      <c r="A562" s="3" t="s">
        <v>11</v>
      </c>
      <c r="B562" s="4">
        <v>43931</v>
      </c>
      <c r="C562" s="7" t="s">
        <v>587</v>
      </c>
      <c r="E562" s="6" t="s">
        <v>673</v>
      </c>
      <c r="F562" s="3">
        <v>1</v>
      </c>
      <c r="N562" s="48"/>
    </row>
    <row r="563" spans="1:14" x14ac:dyDescent="0.45">
      <c r="A563" s="3" t="s">
        <v>11</v>
      </c>
      <c r="B563" s="4">
        <v>43935</v>
      </c>
      <c r="C563" s="7" t="s">
        <v>587</v>
      </c>
      <c r="E563" s="6" t="s">
        <v>674</v>
      </c>
      <c r="F563" s="3">
        <v>2</v>
      </c>
      <c r="N563" s="48"/>
    </row>
    <row r="564" spans="1:14" x14ac:dyDescent="0.45">
      <c r="A564" s="3" t="s">
        <v>11</v>
      </c>
      <c r="B564" s="4">
        <v>43936</v>
      </c>
      <c r="C564" s="7" t="s">
        <v>587</v>
      </c>
      <c r="E564" s="6" t="s">
        <v>675</v>
      </c>
      <c r="F564" s="3">
        <v>2</v>
      </c>
      <c r="N564" s="48"/>
    </row>
    <row r="565" spans="1:14" x14ac:dyDescent="0.45">
      <c r="A565" s="3" t="s">
        <v>11</v>
      </c>
      <c r="B565" s="4">
        <v>43937</v>
      </c>
      <c r="C565" s="7" t="s">
        <v>21</v>
      </c>
      <c r="D565" s="6" t="s">
        <v>676</v>
      </c>
      <c r="E565" s="9" t="s">
        <v>677</v>
      </c>
      <c r="F565" s="3">
        <v>10</v>
      </c>
      <c r="N565" s="48"/>
    </row>
    <row r="566" spans="1:14" x14ac:dyDescent="0.45">
      <c r="A566" s="3" t="s">
        <v>11</v>
      </c>
      <c r="B566" s="4">
        <v>43938</v>
      </c>
      <c r="C566" s="7" t="s">
        <v>587</v>
      </c>
      <c r="E566" s="6" t="s">
        <v>678</v>
      </c>
      <c r="F566" s="3">
        <v>2</v>
      </c>
      <c r="N566" s="48"/>
    </row>
    <row r="567" spans="1:14" x14ac:dyDescent="0.45">
      <c r="A567" s="3" t="s">
        <v>11</v>
      </c>
      <c r="B567" s="4">
        <v>43938</v>
      </c>
      <c r="C567" s="7" t="s">
        <v>587</v>
      </c>
      <c r="E567" s="6" t="s">
        <v>679</v>
      </c>
      <c r="F567" s="3">
        <v>3</v>
      </c>
      <c r="N567" s="48"/>
    </row>
    <row r="568" spans="1:14" x14ac:dyDescent="0.45">
      <c r="A568" s="3" t="s">
        <v>11</v>
      </c>
      <c r="B568" s="4">
        <v>43938</v>
      </c>
      <c r="C568" s="7" t="s">
        <v>587</v>
      </c>
      <c r="E568" s="6" t="s">
        <v>680</v>
      </c>
      <c r="F568" s="3">
        <v>2</v>
      </c>
      <c r="N568" s="48"/>
    </row>
    <row r="569" spans="1:14" x14ac:dyDescent="0.45">
      <c r="A569" s="3" t="s">
        <v>11</v>
      </c>
      <c r="B569" s="4">
        <v>43949</v>
      </c>
      <c r="C569" s="7" t="s">
        <v>587</v>
      </c>
      <c r="E569" s="6" t="s">
        <v>681</v>
      </c>
      <c r="F569" s="3">
        <v>3</v>
      </c>
      <c r="N569" s="48"/>
    </row>
    <row r="570" spans="1:14" x14ac:dyDescent="0.45">
      <c r="A570" s="3" t="s">
        <v>11</v>
      </c>
      <c r="B570" s="4">
        <v>43950</v>
      </c>
      <c r="C570" s="7" t="s">
        <v>25</v>
      </c>
      <c r="D570" s="6" t="s">
        <v>682</v>
      </c>
      <c r="E570" s="9" t="s">
        <v>683</v>
      </c>
      <c r="F570" s="3">
        <v>19</v>
      </c>
      <c r="N570" s="48"/>
    </row>
    <row r="571" spans="1:14" x14ac:dyDescent="0.45">
      <c r="A571" s="3" t="s">
        <v>11</v>
      </c>
      <c r="B571" s="4">
        <v>43959</v>
      </c>
      <c r="C571" s="7" t="s">
        <v>21</v>
      </c>
      <c r="D571" s="6" t="s">
        <v>684</v>
      </c>
      <c r="E571" s="9" t="s">
        <v>685</v>
      </c>
      <c r="F571" s="3">
        <v>5</v>
      </c>
      <c r="N571" s="48"/>
    </row>
    <row r="572" spans="1:14" x14ac:dyDescent="0.45">
      <c r="A572" s="3" t="s">
        <v>11</v>
      </c>
      <c r="B572" s="4">
        <v>43963</v>
      </c>
      <c r="C572" s="7" t="s">
        <v>25</v>
      </c>
      <c r="D572" s="6" t="s">
        <v>686</v>
      </c>
      <c r="E572" s="9" t="s">
        <v>687</v>
      </c>
      <c r="F572" s="3">
        <v>2</v>
      </c>
      <c r="N572" s="48"/>
    </row>
    <row r="573" spans="1:14" x14ac:dyDescent="0.45">
      <c r="A573" s="3" t="s">
        <v>11</v>
      </c>
      <c r="B573" s="4">
        <v>43977</v>
      </c>
      <c r="C573" s="7" t="s">
        <v>587</v>
      </c>
      <c r="E573" s="6" t="s">
        <v>688</v>
      </c>
      <c r="F573" s="3">
        <v>2</v>
      </c>
      <c r="N573" s="48"/>
    </row>
    <row r="574" spans="1:14" x14ac:dyDescent="0.45">
      <c r="A574" s="3" t="s">
        <v>11</v>
      </c>
      <c r="B574" s="4">
        <v>43979</v>
      </c>
      <c r="C574" s="7" t="s">
        <v>587</v>
      </c>
      <c r="E574" s="6" t="s">
        <v>689</v>
      </c>
      <c r="F574" s="3">
        <v>6</v>
      </c>
      <c r="N574" s="48"/>
    </row>
    <row r="575" spans="1:14" x14ac:dyDescent="0.45">
      <c r="A575" s="3" t="s">
        <v>11</v>
      </c>
      <c r="B575" s="4">
        <v>43986</v>
      </c>
      <c r="C575" s="7" t="s">
        <v>587</v>
      </c>
      <c r="E575" s="6" t="s">
        <v>690</v>
      </c>
      <c r="F575" s="3">
        <v>1</v>
      </c>
      <c r="N575" s="48"/>
    </row>
    <row r="576" spans="1:14" x14ac:dyDescent="0.45">
      <c r="A576" s="3" t="s">
        <v>11</v>
      </c>
      <c r="B576" s="4">
        <v>43990</v>
      </c>
      <c r="C576" s="7" t="s">
        <v>21</v>
      </c>
      <c r="D576" s="6" t="s">
        <v>691</v>
      </c>
      <c r="E576" s="9" t="s">
        <v>692</v>
      </c>
      <c r="F576" s="3">
        <v>18</v>
      </c>
      <c r="L576" s="3" t="s">
        <v>693</v>
      </c>
      <c r="N576" s="48"/>
    </row>
    <row r="577" spans="1:14" x14ac:dyDescent="0.45">
      <c r="A577" s="3" t="s">
        <v>11</v>
      </c>
      <c r="B577" s="4">
        <v>44005</v>
      </c>
      <c r="C577" s="7" t="s">
        <v>587</v>
      </c>
      <c r="E577" s="6" t="s">
        <v>694</v>
      </c>
      <c r="F577" s="3">
        <v>3</v>
      </c>
      <c r="N577" s="48"/>
    </row>
    <row r="578" spans="1:14" x14ac:dyDescent="0.45">
      <c r="A578" s="3" t="s">
        <v>11</v>
      </c>
      <c r="B578" s="4">
        <v>44069</v>
      </c>
      <c r="C578" s="7" t="s">
        <v>302</v>
      </c>
      <c r="E578" s="6" t="s">
        <v>695</v>
      </c>
      <c r="F578" s="3">
        <v>10</v>
      </c>
      <c r="N578" s="48"/>
    </row>
    <row r="579" spans="1:14" x14ac:dyDescent="0.45">
      <c r="A579" s="3" t="s">
        <v>11</v>
      </c>
      <c r="B579" s="4">
        <v>44074</v>
      </c>
      <c r="C579" s="7" t="s">
        <v>302</v>
      </c>
      <c r="E579" s="6" t="s">
        <v>696</v>
      </c>
      <c r="F579" s="3">
        <f>SUM(16,32)</f>
        <v>48</v>
      </c>
      <c r="L579" s="3" t="s">
        <v>697</v>
      </c>
      <c r="N579" s="48"/>
    </row>
    <row r="580" spans="1:14" x14ac:dyDescent="0.45">
      <c r="A580" s="3" t="s">
        <v>11</v>
      </c>
      <c r="B580" s="4">
        <v>44091</v>
      </c>
      <c r="C580" s="7" t="s">
        <v>575</v>
      </c>
      <c r="E580" s="6" t="s">
        <v>698</v>
      </c>
      <c r="F580" s="3">
        <v>1</v>
      </c>
      <c r="N580" s="48"/>
    </row>
    <row r="581" spans="1:14" x14ac:dyDescent="0.45">
      <c r="A581" s="3" t="s">
        <v>11</v>
      </c>
      <c r="B581" s="4">
        <v>44153</v>
      </c>
      <c r="C581" s="7" t="s">
        <v>587</v>
      </c>
      <c r="E581" s="6" t="s">
        <v>699</v>
      </c>
      <c r="F581" s="3">
        <v>3</v>
      </c>
      <c r="N581" s="48"/>
    </row>
    <row r="582" spans="1:14" x14ac:dyDescent="0.45">
      <c r="A582" s="3" t="s">
        <v>11</v>
      </c>
      <c r="B582" s="4">
        <v>44155</v>
      </c>
      <c r="C582" s="7" t="s">
        <v>587</v>
      </c>
      <c r="E582" s="6" t="s">
        <v>700</v>
      </c>
      <c r="F582" s="3">
        <v>3</v>
      </c>
      <c r="N582" s="48"/>
    </row>
    <row r="583" spans="1:14" x14ac:dyDescent="0.45">
      <c r="A583" s="3" t="s">
        <v>11</v>
      </c>
      <c r="B583" s="4">
        <v>44158</v>
      </c>
      <c r="C583" s="7" t="s">
        <v>302</v>
      </c>
      <c r="E583" s="6" t="s">
        <v>701</v>
      </c>
      <c r="F583" s="3">
        <v>41</v>
      </c>
      <c r="L583" s="3" t="s">
        <v>702</v>
      </c>
      <c r="N583" s="48"/>
    </row>
    <row r="584" spans="1:14" x14ac:dyDescent="0.45">
      <c r="A584" s="3" t="s">
        <v>11</v>
      </c>
      <c r="B584" s="4">
        <v>44169</v>
      </c>
      <c r="C584" s="7" t="s">
        <v>587</v>
      </c>
      <c r="E584" s="6" t="s">
        <v>703</v>
      </c>
      <c r="F584" s="3">
        <v>3</v>
      </c>
      <c r="N584" s="48"/>
    </row>
    <row r="585" spans="1:14" x14ac:dyDescent="0.45">
      <c r="A585" s="3" t="s">
        <v>11</v>
      </c>
      <c r="B585" s="4">
        <v>44176</v>
      </c>
      <c r="C585" s="7" t="s">
        <v>587</v>
      </c>
      <c r="E585" s="6" t="s">
        <v>704</v>
      </c>
      <c r="F585" s="3">
        <v>2</v>
      </c>
      <c r="N585" s="48"/>
    </row>
    <row r="586" spans="1:14" x14ac:dyDescent="0.45">
      <c r="A586" s="3" t="s">
        <v>11</v>
      </c>
      <c r="B586" s="4">
        <v>44182</v>
      </c>
      <c r="C586" s="7" t="s">
        <v>21</v>
      </c>
      <c r="D586" s="6" t="s">
        <v>705</v>
      </c>
      <c r="E586" s="9" t="s">
        <v>706</v>
      </c>
      <c r="F586" s="3">
        <v>40</v>
      </c>
      <c r="L586" s="3" t="s">
        <v>707</v>
      </c>
      <c r="N586" s="48"/>
    </row>
    <row r="587" spans="1:14" x14ac:dyDescent="0.45">
      <c r="A587" s="3" t="s">
        <v>11</v>
      </c>
      <c r="B587" s="4">
        <v>44182</v>
      </c>
      <c r="C587" s="7" t="s">
        <v>21</v>
      </c>
      <c r="D587" s="6" t="s">
        <v>708</v>
      </c>
      <c r="E587" s="9" t="s">
        <v>709</v>
      </c>
      <c r="F587" s="3">
        <v>93</v>
      </c>
      <c r="L587" s="3" t="s">
        <v>454</v>
      </c>
      <c r="N587" s="48"/>
    </row>
    <row r="588" spans="1:14" x14ac:dyDescent="0.45">
      <c r="A588" s="3" t="s">
        <v>11</v>
      </c>
      <c r="B588" s="4">
        <v>44186</v>
      </c>
      <c r="C588" s="7" t="s">
        <v>21</v>
      </c>
      <c r="D588" s="6" t="s">
        <v>710</v>
      </c>
      <c r="E588" s="9" t="s">
        <v>711</v>
      </c>
      <c r="F588" s="3">
        <v>83</v>
      </c>
      <c r="L588" s="3" t="s">
        <v>497</v>
      </c>
      <c r="N588" s="48"/>
    </row>
    <row r="589" spans="1:14" x14ac:dyDescent="0.45">
      <c r="A589" s="3" t="s">
        <v>11</v>
      </c>
      <c r="B589" s="4">
        <v>44194</v>
      </c>
      <c r="C589" s="7" t="s">
        <v>25</v>
      </c>
      <c r="D589" s="6" t="s">
        <v>712</v>
      </c>
      <c r="E589" s="9" t="s">
        <v>713</v>
      </c>
      <c r="F589" s="3">
        <v>14</v>
      </c>
      <c r="N589" s="48"/>
    </row>
    <row r="590" spans="1:14" x14ac:dyDescent="0.45">
      <c r="A590" s="3" t="s">
        <v>11</v>
      </c>
      <c r="B590" s="4">
        <v>44201</v>
      </c>
      <c r="C590" s="7" t="s">
        <v>25</v>
      </c>
      <c r="D590" s="9" t="s">
        <v>714</v>
      </c>
      <c r="E590" s="6" t="s">
        <v>715</v>
      </c>
      <c r="F590" s="3">
        <v>24</v>
      </c>
      <c r="N590" s="48"/>
    </row>
    <row r="591" spans="1:14" x14ac:dyDescent="0.45">
      <c r="A591" s="3" t="s">
        <v>11</v>
      </c>
      <c r="B591" s="4">
        <v>44210</v>
      </c>
      <c r="C591" s="7" t="s">
        <v>25</v>
      </c>
      <c r="D591" s="9" t="s">
        <v>716</v>
      </c>
      <c r="E591" s="6" t="s">
        <v>717</v>
      </c>
      <c r="F591" s="3">
        <v>19</v>
      </c>
      <c r="N591" s="48"/>
    </row>
    <row r="592" spans="1:14" x14ac:dyDescent="0.45">
      <c r="A592" s="3" t="s">
        <v>11</v>
      </c>
      <c r="B592" s="4">
        <v>44211</v>
      </c>
      <c r="C592" s="7" t="s">
        <v>25</v>
      </c>
      <c r="D592" s="9" t="s">
        <v>718</v>
      </c>
      <c r="E592" s="6" t="s">
        <v>719</v>
      </c>
      <c r="F592" s="3">
        <v>14</v>
      </c>
      <c r="N592" s="48"/>
    </row>
    <row r="593" spans="1:14" x14ac:dyDescent="0.45">
      <c r="A593" s="3" t="s">
        <v>11</v>
      </c>
      <c r="B593" s="4">
        <v>44216</v>
      </c>
      <c r="C593" s="7" t="s">
        <v>25</v>
      </c>
      <c r="D593" s="9" t="s">
        <v>720</v>
      </c>
      <c r="E593" s="6" t="s">
        <v>721</v>
      </c>
      <c r="F593" s="3">
        <v>16</v>
      </c>
      <c r="N593" s="48"/>
    </row>
    <row r="594" spans="1:14" x14ac:dyDescent="0.45">
      <c r="A594" s="3" t="s">
        <v>11</v>
      </c>
      <c r="B594" s="4">
        <v>44237</v>
      </c>
      <c r="C594" s="7" t="s">
        <v>592</v>
      </c>
      <c r="E594" s="6" t="s">
        <v>722</v>
      </c>
      <c r="F594" s="3">
        <v>1</v>
      </c>
      <c r="N594" s="48"/>
    </row>
    <row r="595" spans="1:14" x14ac:dyDescent="0.45">
      <c r="A595" s="3" t="s">
        <v>11</v>
      </c>
      <c r="B595" s="4">
        <v>44237</v>
      </c>
      <c r="C595" s="7" t="s">
        <v>592</v>
      </c>
      <c r="E595" s="6" t="s">
        <v>723</v>
      </c>
      <c r="F595" s="3">
        <v>12</v>
      </c>
      <c r="N595" s="48"/>
    </row>
    <row r="596" spans="1:14" x14ac:dyDescent="0.45">
      <c r="A596" s="3" t="s">
        <v>11</v>
      </c>
      <c r="B596" s="4">
        <v>44239</v>
      </c>
      <c r="C596" s="7" t="s">
        <v>21</v>
      </c>
      <c r="D596" s="9" t="s">
        <v>724</v>
      </c>
      <c r="E596" s="6" t="s">
        <v>725</v>
      </c>
      <c r="F596" s="3">
        <v>5</v>
      </c>
      <c r="N596" s="48"/>
    </row>
    <row r="597" spans="1:14" x14ac:dyDescent="0.45">
      <c r="A597" s="3" t="s">
        <v>11</v>
      </c>
      <c r="B597" s="4">
        <v>44239</v>
      </c>
      <c r="C597" s="7" t="s">
        <v>21</v>
      </c>
      <c r="D597" s="9" t="s">
        <v>726</v>
      </c>
      <c r="E597" s="6" t="s">
        <v>727</v>
      </c>
      <c r="F597" s="3">
        <v>27</v>
      </c>
      <c r="N597" s="48"/>
    </row>
    <row r="598" spans="1:14" x14ac:dyDescent="0.45">
      <c r="A598" s="3" t="s">
        <v>11</v>
      </c>
      <c r="B598" s="4">
        <v>44259</v>
      </c>
      <c r="C598" s="7" t="s">
        <v>21</v>
      </c>
      <c r="D598" s="9" t="s">
        <v>728</v>
      </c>
      <c r="E598" s="6" t="s">
        <v>729</v>
      </c>
      <c r="F598" s="3">
        <v>39</v>
      </c>
      <c r="N598" s="48"/>
    </row>
    <row r="599" spans="1:14" x14ac:dyDescent="0.45">
      <c r="A599" s="3" t="s">
        <v>11</v>
      </c>
      <c r="B599" s="4">
        <v>44264</v>
      </c>
      <c r="C599" s="7" t="s">
        <v>21</v>
      </c>
      <c r="D599" s="9" t="s">
        <v>730</v>
      </c>
      <c r="E599" s="6" t="s">
        <v>731</v>
      </c>
      <c r="F599" s="3">
        <v>41</v>
      </c>
      <c r="N599" s="48"/>
    </row>
    <row r="600" spans="1:14" x14ac:dyDescent="0.45">
      <c r="A600" s="3" t="s">
        <v>11</v>
      </c>
      <c r="B600" s="4">
        <v>44273</v>
      </c>
      <c r="C600" s="7" t="s">
        <v>21</v>
      </c>
      <c r="D600" s="9" t="s">
        <v>732</v>
      </c>
      <c r="E600" s="6" t="s">
        <v>733</v>
      </c>
      <c r="F600" s="3">
        <v>11</v>
      </c>
      <c r="N600" s="48"/>
    </row>
    <row r="601" spans="1:14" x14ac:dyDescent="0.45">
      <c r="A601" s="3" t="s">
        <v>11</v>
      </c>
      <c r="B601" s="4">
        <v>44307</v>
      </c>
      <c r="C601" s="7" t="s">
        <v>302</v>
      </c>
      <c r="E601" s="6" t="s">
        <v>734</v>
      </c>
      <c r="F601" s="3">
        <f>SUM(18,11,11,13,11,10,11,11,40,14,12,18,12,11,12,17)</f>
        <v>232</v>
      </c>
      <c r="L601" s="9" t="s">
        <v>735</v>
      </c>
      <c r="N601" s="48"/>
    </row>
    <row r="602" spans="1:14" x14ac:dyDescent="0.45">
      <c r="A602" s="3" t="s">
        <v>11</v>
      </c>
      <c r="B602" s="4">
        <v>44307</v>
      </c>
      <c r="C602" s="7" t="s">
        <v>21</v>
      </c>
      <c r="D602" s="9" t="s">
        <v>736</v>
      </c>
      <c r="E602" s="6" t="s">
        <v>737</v>
      </c>
      <c r="F602" s="3">
        <v>10</v>
      </c>
      <c r="N602" s="48"/>
    </row>
    <row r="603" spans="1:14" x14ac:dyDescent="0.45">
      <c r="A603" s="3" t="s">
        <v>11</v>
      </c>
      <c r="B603" s="4">
        <v>44326</v>
      </c>
      <c r="C603" s="7" t="s">
        <v>738</v>
      </c>
      <c r="E603" s="6" t="s">
        <v>739</v>
      </c>
      <c r="F603" s="3">
        <v>2</v>
      </c>
      <c r="N603" s="48"/>
    </row>
    <row r="604" spans="1:14" x14ac:dyDescent="0.45">
      <c r="A604" s="3" t="s">
        <v>11</v>
      </c>
      <c r="B604" s="4">
        <v>44330</v>
      </c>
      <c r="C604" s="7" t="s">
        <v>575</v>
      </c>
      <c r="E604" s="6" t="s">
        <v>740</v>
      </c>
      <c r="F604" s="3">
        <v>4</v>
      </c>
      <c r="N604" s="48"/>
    </row>
    <row r="605" spans="1:14" x14ac:dyDescent="0.45">
      <c r="A605" s="3" t="s">
        <v>11</v>
      </c>
      <c r="B605" s="4">
        <v>44391</v>
      </c>
      <c r="C605" s="7" t="s">
        <v>575</v>
      </c>
      <c r="E605" s="6" t="s">
        <v>741</v>
      </c>
      <c r="F605" s="3">
        <v>56</v>
      </c>
      <c r="N605" s="48"/>
    </row>
    <row r="606" spans="1:14" x14ac:dyDescent="0.45">
      <c r="A606" s="3" t="s">
        <v>11</v>
      </c>
      <c r="B606" s="4">
        <v>44392</v>
      </c>
      <c r="C606" s="7" t="s">
        <v>21</v>
      </c>
      <c r="D606" s="9" t="s">
        <v>742</v>
      </c>
      <c r="E606" s="6" t="s">
        <v>743</v>
      </c>
      <c r="F606" s="3">
        <f>SUM(5,98)</f>
        <v>103</v>
      </c>
      <c r="L606" s="3" t="s">
        <v>744</v>
      </c>
      <c r="N606" s="48"/>
    </row>
    <row r="607" spans="1:14" x14ac:dyDescent="0.45">
      <c r="A607" s="3" t="s">
        <v>11</v>
      </c>
      <c r="B607" s="4">
        <v>44392</v>
      </c>
      <c r="C607" s="7" t="s">
        <v>302</v>
      </c>
      <c r="E607" s="6" t="s">
        <v>745</v>
      </c>
      <c r="F607" s="3">
        <v>1</v>
      </c>
      <c r="L607" s="3" t="s">
        <v>746</v>
      </c>
      <c r="N607" s="48"/>
    </row>
    <row r="608" spans="1:14" x14ac:dyDescent="0.45">
      <c r="A608" s="3" t="s">
        <v>11</v>
      </c>
      <c r="B608" s="4">
        <v>44392</v>
      </c>
      <c r="C608" s="7" t="s">
        <v>302</v>
      </c>
      <c r="E608" s="6" t="s">
        <v>747</v>
      </c>
      <c r="F608" s="3">
        <v>1</v>
      </c>
      <c r="L608" s="3" t="s">
        <v>746</v>
      </c>
      <c r="N608" s="48"/>
    </row>
    <row r="609" spans="1:14" x14ac:dyDescent="0.45">
      <c r="A609" s="3" t="s">
        <v>11</v>
      </c>
      <c r="B609" s="4">
        <v>44392</v>
      </c>
      <c r="C609" s="7" t="s">
        <v>302</v>
      </c>
      <c r="E609" s="6" t="s">
        <v>748</v>
      </c>
      <c r="F609" s="3">
        <v>1</v>
      </c>
      <c r="L609" s="3" t="s">
        <v>746</v>
      </c>
      <c r="N609" s="48"/>
    </row>
    <row r="610" spans="1:14" x14ac:dyDescent="0.45">
      <c r="A610" s="3" t="s">
        <v>11</v>
      </c>
      <c r="B610" s="4">
        <v>44392</v>
      </c>
      <c r="C610" s="7" t="s">
        <v>302</v>
      </c>
      <c r="E610" s="6" t="s">
        <v>749</v>
      </c>
      <c r="F610" s="3">
        <v>1</v>
      </c>
      <c r="L610" s="3" t="s">
        <v>746</v>
      </c>
      <c r="N610" s="48"/>
    </row>
    <row r="611" spans="1:14" x14ac:dyDescent="0.45">
      <c r="A611" s="3" t="s">
        <v>11</v>
      </c>
      <c r="B611" s="4">
        <v>44392</v>
      </c>
      <c r="C611" s="7" t="s">
        <v>302</v>
      </c>
      <c r="E611" s="6" t="s">
        <v>750</v>
      </c>
      <c r="F611" s="3">
        <v>1</v>
      </c>
      <c r="L611" s="3" t="s">
        <v>746</v>
      </c>
      <c r="N611" s="48"/>
    </row>
    <row r="612" spans="1:14" x14ac:dyDescent="0.45">
      <c r="A612" s="3" t="s">
        <v>11</v>
      </c>
      <c r="B612" s="4">
        <v>44392</v>
      </c>
      <c r="C612" s="7" t="s">
        <v>302</v>
      </c>
      <c r="E612" s="6" t="s">
        <v>751</v>
      </c>
      <c r="F612" s="3">
        <v>2</v>
      </c>
      <c r="L612" s="3" t="s">
        <v>746</v>
      </c>
      <c r="N612" s="48"/>
    </row>
    <row r="613" spans="1:14" x14ac:dyDescent="0.45">
      <c r="A613" s="3" t="s">
        <v>11</v>
      </c>
      <c r="B613" s="4">
        <v>44392</v>
      </c>
      <c r="C613" s="7" t="s">
        <v>302</v>
      </c>
      <c r="E613" s="6" t="s">
        <v>752</v>
      </c>
      <c r="F613" s="3">
        <v>1</v>
      </c>
      <c r="L613" s="3" t="s">
        <v>746</v>
      </c>
      <c r="N613" s="48"/>
    </row>
    <row r="614" spans="1:14" x14ac:dyDescent="0.45">
      <c r="A614" s="3" t="s">
        <v>11</v>
      </c>
      <c r="B614" s="4">
        <v>44392</v>
      </c>
      <c r="C614" s="7" t="s">
        <v>302</v>
      </c>
      <c r="E614" s="6" t="s">
        <v>753</v>
      </c>
      <c r="F614" s="3">
        <v>2</v>
      </c>
      <c r="L614" s="3" t="s">
        <v>746</v>
      </c>
      <c r="N614" s="48"/>
    </row>
    <row r="615" spans="1:14" x14ac:dyDescent="0.45">
      <c r="A615" s="3" t="s">
        <v>11</v>
      </c>
      <c r="B615" s="4">
        <v>44392</v>
      </c>
      <c r="C615" s="7" t="s">
        <v>302</v>
      </c>
      <c r="E615" s="6" t="s">
        <v>754</v>
      </c>
      <c r="F615" s="3">
        <v>1</v>
      </c>
      <c r="L615" s="3" t="s">
        <v>746</v>
      </c>
      <c r="N615" s="48"/>
    </row>
    <row r="616" spans="1:14" x14ac:dyDescent="0.45">
      <c r="A616" s="3" t="s">
        <v>11</v>
      </c>
      <c r="B616" s="4">
        <v>44392</v>
      </c>
      <c r="C616" s="7" t="s">
        <v>302</v>
      </c>
      <c r="E616" s="6" t="s">
        <v>755</v>
      </c>
      <c r="F616" s="3">
        <v>1</v>
      </c>
      <c r="L616" s="3" t="s">
        <v>746</v>
      </c>
      <c r="N616" s="48"/>
    </row>
    <row r="617" spans="1:14" x14ac:dyDescent="0.45">
      <c r="A617" s="3" t="s">
        <v>11</v>
      </c>
      <c r="B617" s="4">
        <v>44392</v>
      </c>
      <c r="C617" s="7" t="s">
        <v>302</v>
      </c>
      <c r="E617" s="6" t="s">
        <v>756</v>
      </c>
      <c r="F617" s="3">
        <v>2</v>
      </c>
      <c r="L617" s="3" t="s">
        <v>746</v>
      </c>
      <c r="N617" s="48"/>
    </row>
    <row r="618" spans="1:14" x14ac:dyDescent="0.45">
      <c r="A618" s="3" t="s">
        <v>11</v>
      </c>
      <c r="B618" s="4">
        <v>44392</v>
      </c>
      <c r="C618" s="7" t="s">
        <v>302</v>
      </c>
      <c r="E618" s="6" t="s">
        <v>757</v>
      </c>
      <c r="F618" s="3">
        <v>1</v>
      </c>
      <c r="L618" s="3" t="s">
        <v>746</v>
      </c>
      <c r="N618" s="48"/>
    </row>
    <row r="619" spans="1:14" x14ac:dyDescent="0.45">
      <c r="A619" s="3" t="s">
        <v>11</v>
      </c>
      <c r="B619" s="4">
        <v>44395</v>
      </c>
      <c r="C619" s="7" t="s">
        <v>302</v>
      </c>
      <c r="E619" s="6" t="s">
        <v>758</v>
      </c>
      <c r="F619" s="3">
        <v>1</v>
      </c>
      <c r="L619" s="3" t="s">
        <v>746</v>
      </c>
      <c r="N619" s="48"/>
    </row>
    <row r="620" spans="1:14" x14ac:dyDescent="0.45">
      <c r="A620" s="3" t="s">
        <v>11</v>
      </c>
      <c r="B620" s="4">
        <v>44414</v>
      </c>
      <c r="C620" s="7" t="s">
        <v>21</v>
      </c>
      <c r="D620" s="9" t="s">
        <v>759</v>
      </c>
      <c r="E620" s="6" t="s">
        <v>760</v>
      </c>
      <c r="F620" s="3">
        <v>4</v>
      </c>
      <c r="N620" s="48"/>
    </row>
    <row r="621" spans="1:14" x14ac:dyDescent="0.45">
      <c r="A621" s="3" t="s">
        <v>11</v>
      </c>
      <c r="B621" s="4">
        <v>44427</v>
      </c>
      <c r="C621" s="7" t="s">
        <v>575</v>
      </c>
      <c r="E621" s="6" t="s">
        <v>761</v>
      </c>
      <c r="F621" s="3">
        <f>SUM(23,49)</f>
        <v>72</v>
      </c>
      <c r="L621" s="3" t="s">
        <v>697</v>
      </c>
      <c r="N621" s="48"/>
    </row>
    <row r="622" spans="1:14" x14ac:dyDescent="0.45">
      <c r="A622" s="3" t="s">
        <v>11</v>
      </c>
      <c r="B622" s="4">
        <v>44434</v>
      </c>
      <c r="C622" s="7" t="s">
        <v>587</v>
      </c>
      <c r="E622" s="6" t="s">
        <v>762</v>
      </c>
      <c r="F622" s="3">
        <v>2</v>
      </c>
      <c r="N622" s="48"/>
    </row>
    <row r="623" spans="1:14" x14ac:dyDescent="0.45">
      <c r="A623" s="3" t="s">
        <v>11</v>
      </c>
      <c r="B623" s="4">
        <v>44571</v>
      </c>
      <c r="C623" s="7" t="s">
        <v>302</v>
      </c>
      <c r="E623" s="6" t="s">
        <v>763</v>
      </c>
      <c r="F623" s="3">
        <v>13</v>
      </c>
      <c r="L623" s="11" t="s">
        <v>764</v>
      </c>
      <c r="N623" s="48"/>
    </row>
    <row r="624" spans="1:14" x14ac:dyDescent="0.45">
      <c r="A624" s="3" t="s">
        <v>11</v>
      </c>
      <c r="B624" s="4">
        <v>44606</v>
      </c>
      <c r="C624" s="7" t="s">
        <v>575</v>
      </c>
      <c r="E624" s="6" t="s">
        <v>765</v>
      </c>
      <c r="F624" s="3">
        <v>1</v>
      </c>
      <c r="L624" s="9" t="s">
        <v>766</v>
      </c>
      <c r="N624" s="48"/>
    </row>
    <row r="625" spans="1:14" x14ac:dyDescent="0.45">
      <c r="A625" s="3" t="s">
        <v>11</v>
      </c>
      <c r="B625" s="4">
        <v>44621</v>
      </c>
      <c r="C625" s="7" t="s">
        <v>21</v>
      </c>
      <c r="D625" s="9" t="s">
        <v>767</v>
      </c>
      <c r="E625" s="6" t="s">
        <v>768</v>
      </c>
      <c r="F625" s="3">
        <v>86</v>
      </c>
      <c r="N625" s="48"/>
    </row>
    <row r="626" spans="1:14" x14ac:dyDescent="0.45">
      <c r="A626" s="3" t="s">
        <v>11</v>
      </c>
      <c r="B626" s="4">
        <v>44621</v>
      </c>
      <c r="C626" s="7" t="s">
        <v>21</v>
      </c>
      <c r="D626" s="9" t="s">
        <v>769</v>
      </c>
      <c r="E626" s="6" t="s">
        <v>770</v>
      </c>
      <c r="F626" s="3">
        <v>103</v>
      </c>
      <c r="N626" s="48"/>
    </row>
    <row r="627" spans="1:14" x14ac:dyDescent="0.45">
      <c r="A627" s="3" t="s">
        <v>11</v>
      </c>
      <c r="B627" s="4">
        <v>44627</v>
      </c>
      <c r="C627" s="7" t="s">
        <v>21</v>
      </c>
      <c r="D627" s="9" t="s">
        <v>771</v>
      </c>
      <c r="E627" s="6" t="s">
        <v>772</v>
      </c>
      <c r="F627" s="3">
        <f>SUM(42,1,16,2)</f>
        <v>61</v>
      </c>
      <c r="L627" s="3" t="s">
        <v>480</v>
      </c>
      <c r="N627" s="48"/>
    </row>
    <row r="628" spans="1:14" x14ac:dyDescent="0.45">
      <c r="A628" s="3" t="s">
        <v>11</v>
      </c>
      <c r="B628" s="4">
        <v>44629</v>
      </c>
      <c r="C628" s="7" t="s">
        <v>21</v>
      </c>
      <c r="D628" s="9" t="s">
        <v>773</v>
      </c>
      <c r="E628" s="6" t="s">
        <v>774</v>
      </c>
      <c r="F628" s="3">
        <v>27</v>
      </c>
      <c r="N628" s="48"/>
    </row>
    <row r="629" spans="1:14" x14ac:dyDescent="0.45">
      <c r="A629" s="3" t="s">
        <v>11</v>
      </c>
      <c r="B629" s="4">
        <v>44638</v>
      </c>
      <c r="C629" s="7" t="s">
        <v>21</v>
      </c>
      <c r="D629" s="9" t="s">
        <v>775</v>
      </c>
      <c r="E629" s="6" t="s">
        <v>776</v>
      </c>
      <c r="F629" s="3">
        <v>43</v>
      </c>
      <c r="N629" s="48"/>
    </row>
    <row r="630" spans="1:14" x14ac:dyDescent="0.45">
      <c r="A630" s="3" t="s">
        <v>11</v>
      </c>
      <c r="B630" s="4">
        <v>44652</v>
      </c>
      <c r="C630" s="7" t="s">
        <v>592</v>
      </c>
      <c r="E630" s="6" t="s">
        <v>777</v>
      </c>
      <c r="F630" s="3">
        <v>1</v>
      </c>
      <c r="N630" s="48"/>
    </row>
    <row r="631" spans="1:14" x14ac:dyDescent="0.45">
      <c r="A631" s="3" t="s">
        <v>11</v>
      </c>
      <c r="B631" s="4">
        <v>44652</v>
      </c>
      <c r="C631" s="7" t="s">
        <v>592</v>
      </c>
      <c r="E631" s="6" t="s">
        <v>778</v>
      </c>
      <c r="F631" s="3">
        <v>12</v>
      </c>
      <c r="N631" s="48"/>
    </row>
    <row r="632" spans="1:14" x14ac:dyDescent="0.45">
      <c r="A632" s="3" t="s">
        <v>11</v>
      </c>
      <c r="B632" s="4">
        <v>44664</v>
      </c>
      <c r="C632" s="7" t="s">
        <v>21</v>
      </c>
      <c r="D632" s="9" t="s">
        <v>779</v>
      </c>
      <c r="E632" s="6" t="s">
        <v>780</v>
      </c>
      <c r="F632" s="3">
        <v>9</v>
      </c>
      <c r="N632" s="48"/>
    </row>
    <row r="633" spans="1:14" x14ac:dyDescent="0.45">
      <c r="A633" s="3" t="s">
        <v>11</v>
      </c>
      <c r="B633" s="4">
        <v>44681</v>
      </c>
      <c r="C633" s="7" t="s">
        <v>575</v>
      </c>
      <c r="E633" s="6" t="s">
        <v>781</v>
      </c>
      <c r="F633" s="3">
        <f>SUM(14,15)</f>
        <v>29</v>
      </c>
      <c r="L633" s="3" t="s">
        <v>782</v>
      </c>
      <c r="N633" s="48"/>
    </row>
    <row r="634" spans="1:14" x14ac:dyDescent="0.45">
      <c r="A634" s="3" t="s">
        <v>11</v>
      </c>
      <c r="B634" s="4">
        <v>44685</v>
      </c>
      <c r="C634" s="7" t="s">
        <v>25</v>
      </c>
      <c r="D634" s="9" t="s">
        <v>783</v>
      </c>
      <c r="E634" s="6" t="s">
        <v>784</v>
      </c>
      <c r="F634" s="3">
        <v>39</v>
      </c>
      <c r="L634" s="3" t="s">
        <v>428</v>
      </c>
      <c r="N634" s="48"/>
    </row>
    <row r="635" spans="1:14" x14ac:dyDescent="0.45">
      <c r="A635" s="3" t="s">
        <v>11</v>
      </c>
      <c r="B635" s="4">
        <v>44712</v>
      </c>
      <c r="C635" s="7" t="s">
        <v>575</v>
      </c>
      <c r="E635" s="6" t="s">
        <v>785</v>
      </c>
      <c r="F635" s="3">
        <v>1</v>
      </c>
      <c r="L635" s="3" t="s">
        <v>746</v>
      </c>
      <c r="N635" s="48"/>
    </row>
    <row r="636" spans="1:14" x14ac:dyDescent="0.45">
      <c r="A636" s="3" t="s">
        <v>11</v>
      </c>
      <c r="B636" s="4">
        <v>44713</v>
      </c>
      <c r="C636" s="7" t="s">
        <v>575</v>
      </c>
      <c r="E636" s="6" t="s">
        <v>786</v>
      </c>
      <c r="F636" s="3">
        <f>SUM(9,11)</f>
        <v>20</v>
      </c>
      <c r="L636" s="9" t="s">
        <v>787</v>
      </c>
      <c r="N636" s="48"/>
    </row>
    <row r="637" spans="1:14" x14ac:dyDescent="0.45">
      <c r="A637" s="3" t="s">
        <v>11</v>
      </c>
      <c r="B637" s="4">
        <v>44720</v>
      </c>
      <c r="C637" s="7" t="s">
        <v>302</v>
      </c>
      <c r="E637" s="6" t="s">
        <v>788</v>
      </c>
      <c r="F637" s="3">
        <v>45</v>
      </c>
      <c r="N637" s="48"/>
    </row>
    <row r="638" spans="1:14" x14ac:dyDescent="0.45">
      <c r="A638" s="3" t="s">
        <v>11</v>
      </c>
      <c r="B638" s="4">
        <v>44725</v>
      </c>
      <c r="C638" s="7" t="s">
        <v>575</v>
      </c>
      <c r="E638" s="6" t="s">
        <v>789</v>
      </c>
      <c r="F638" s="3">
        <f>SUM(31,85)</f>
        <v>116</v>
      </c>
      <c r="L638" s="3" t="s">
        <v>790</v>
      </c>
      <c r="N638" s="48"/>
    </row>
    <row r="639" spans="1:14" x14ac:dyDescent="0.45">
      <c r="A639" s="3" t="s">
        <v>11</v>
      </c>
      <c r="B639" s="4">
        <v>44734</v>
      </c>
      <c r="C639" s="7" t="s">
        <v>592</v>
      </c>
      <c r="E639" s="6" t="s">
        <v>791</v>
      </c>
      <c r="F639" s="3">
        <f>SUM(4,4)</f>
        <v>8</v>
      </c>
      <c r="L639" s="9" t="s">
        <v>792</v>
      </c>
      <c r="N639" s="48"/>
    </row>
    <row r="640" spans="1:14" x14ac:dyDescent="0.45">
      <c r="A640" s="3" t="s">
        <v>11</v>
      </c>
      <c r="B640" s="4">
        <v>44740</v>
      </c>
      <c r="C640" s="7" t="s">
        <v>302</v>
      </c>
      <c r="E640" s="6" t="s">
        <v>793</v>
      </c>
      <c r="F640" s="3">
        <v>11</v>
      </c>
      <c r="L640" s="11" t="s">
        <v>794</v>
      </c>
      <c r="N640" s="48"/>
    </row>
    <row r="641" spans="1:14" x14ac:dyDescent="0.45">
      <c r="A641" s="3" t="s">
        <v>11</v>
      </c>
      <c r="B641" s="4">
        <v>44754</v>
      </c>
      <c r="C641" s="7" t="s">
        <v>575</v>
      </c>
      <c r="E641" s="6" t="s">
        <v>795</v>
      </c>
      <c r="F641" s="3">
        <f>SUM(1,1)</f>
        <v>2</v>
      </c>
      <c r="L641" s="3" t="s">
        <v>782</v>
      </c>
      <c r="N641" s="48"/>
    </row>
    <row r="642" spans="1:14" x14ac:dyDescent="0.45">
      <c r="A642" s="3" t="s">
        <v>11</v>
      </c>
      <c r="B642" s="4">
        <v>44771</v>
      </c>
      <c r="C642" s="7" t="s">
        <v>587</v>
      </c>
      <c r="E642" s="6" t="s">
        <v>796</v>
      </c>
      <c r="F642" s="3">
        <v>2</v>
      </c>
      <c r="N642" s="48"/>
    </row>
    <row r="643" spans="1:14" x14ac:dyDescent="0.45">
      <c r="A643" s="3" t="s">
        <v>11</v>
      </c>
      <c r="B643" s="4">
        <v>44783</v>
      </c>
      <c r="C643" s="7" t="s">
        <v>575</v>
      </c>
      <c r="E643" s="6" t="s">
        <v>797</v>
      </c>
      <c r="F643" s="3">
        <v>3</v>
      </c>
      <c r="L643" s="9" t="s">
        <v>798</v>
      </c>
      <c r="N643" s="48"/>
    </row>
    <row r="644" spans="1:14" x14ac:dyDescent="0.45">
      <c r="A644" s="3" t="s">
        <v>11</v>
      </c>
      <c r="B644" s="4">
        <v>44813</v>
      </c>
      <c r="C644" s="7" t="s">
        <v>575</v>
      </c>
      <c r="E644" s="6" t="s">
        <v>799</v>
      </c>
      <c r="F644" s="3">
        <f>SUM(13,11)</f>
        <v>24</v>
      </c>
      <c r="L644" s="9" t="s">
        <v>792</v>
      </c>
      <c r="N644" s="48"/>
    </row>
    <row r="645" spans="1:14" x14ac:dyDescent="0.45">
      <c r="A645" s="3" t="s">
        <v>11</v>
      </c>
      <c r="B645" s="4">
        <v>44838</v>
      </c>
      <c r="C645" s="7" t="s">
        <v>575</v>
      </c>
      <c r="E645" s="6" t="s">
        <v>800</v>
      </c>
      <c r="F645" s="3">
        <f>SUM(4,4)</f>
        <v>8</v>
      </c>
      <c r="L645" s="9" t="s">
        <v>787</v>
      </c>
      <c r="N645" s="48"/>
    </row>
    <row r="646" spans="1:14" x14ac:dyDescent="0.45">
      <c r="A646" s="3" t="s">
        <v>11</v>
      </c>
      <c r="B646" s="4">
        <v>44869</v>
      </c>
      <c r="C646" s="7" t="s">
        <v>575</v>
      </c>
      <c r="E646" s="6" t="s">
        <v>801</v>
      </c>
      <c r="F646" s="3">
        <f>SUM(2,2)</f>
        <v>4</v>
      </c>
      <c r="L646" s="3" t="s">
        <v>782</v>
      </c>
      <c r="N646" s="48"/>
    </row>
    <row r="647" spans="1:14" x14ac:dyDescent="0.45">
      <c r="A647" s="3" t="s">
        <v>11</v>
      </c>
      <c r="B647" s="4">
        <v>44880</v>
      </c>
      <c r="C647" s="7" t="s">
        <v>592</v>
      </c>
      <c r="E647" s="6" t="s">
        <v>802</v>
      </c>
      <c r="F647" s="3">
        <f>SUM(10,11)</f>
        <v>21</v>
      </c>
      <c r="L647" s="9" t="s">
        <v>792</v>
      </c>
      <c r="N647" s="48"/>
    </row>
    <row r="648" spans="1:14" x14ac:dyDescent="0.45">
      <c r="A648" s="3" t="s">
        <v>11</v>
      </c>
      <c r="B648" s="4">
        <v>44896</v>
      </c>
      <c r="C648" s="7" t="s">
        <v>25</v>
      </c>
      <c r="D648" s="9" t="s">
        <v>803</v>
      </c>
      <c r="E648" s="6" t="s">
        <v>804</v>
      </c>
      <c r="F648" s="3">
        <v>25</v>
      </c>
      <c r="N648" s="48"/>
    </row>
    <row r="649" spans="1:14" x14ac:dyDescent="0.45">
      <c r="A649" s="3" t="s">
        <v>11</v>
      </c>
      <c r="B649" s="4">
        <v>44907</v>
      </c>
      <c r="C649" s="7" t="s">
        <v>302</v>
      </c>
      <c r="E649" s="6" t="s">
        <v>805</v>
      </c>
      <c r="F649" s="3">
        <v>33</v>
      </c>
      <c r="L649" s="11" t="s">
        <v>806</v>
      </c>
      <c r="N649" s="48"/>
    </row>
    <row r="650" spans="1:14" x14ac:dyDescent="0.45">
      <c r="A650" s="3" t="s">
        <v>11</v>
      </c>
      <c r="B650" s="4">
        <v>44953</v>
      </c>
      <c r="C650" s="7" t="s">
        <v>25</v>
      </c>
      <c r="D650" s="9" t="s">
        <v>807</v>
      </c>
      <c r="E650" s="6" t="s">
        <v>808</v>
      </c>
      <c r="F650" s="3">
        <v>2</v>
      </c>
      <c r="N650" s="48"/>
    </row>
    <row r="651" spans="1:14" x14ac:dyDescent="0.45">
      <c r="A651" s="3" t="s">
        <v>11</v>
      </c>
      <c r="B651" s="4">
        <v>44966</v>
      </c>
      <c r="C651" s="7" t="s">
        <v>21</v>
      </c>
      <c r="D651" s="9" t="s">
        <v>809</v>
      </c>
      <c r="E651" s="6" t="s">
        <v>810</v>
      </c>
      <c r="F651" s="3">
        <f>SUM(61,18,SUM(16,3),1)</f>
        <v>99</v>
      </c>
      <c r="L651" s="3" t="s">
        <v>480</v>
      </c>
      <c r="N651" s="48"/>
    </row>
    <row r="652" spans="1:14" x14ac:dyDescent="0.45">
      <c r="A652" s="3" t="s">
        <v>11</v>
      </c>
      <c r="B652" s="4">
        <v>44967</v>
      </c>
      <c r="C652" s="7" t="s">
        <v>21</v>
      </c>
      <c r="D652" s="9" t="s">
        <v>811</v>
      </c>
      <c r="E652" s="6" t="s">
        <v>812</v>
      </c>
      <c r="F652" s="3">
        <f>SUM(34,21,SUM(16,3),1,2)</f>
        <v>77</v>
      </c>
      <c r="L652" s="3" t="s">
        <v>476</v>
      </c>
      <c r="N652" s="48"/>
    </row>
    <row r="653" spans="1:14" x14ac:dyDescent="0.45">
      <c r="A653" s="3" t="s">
        <v>11</v>
      </c>
      <c r="B653" s="4">
        <v>44970</v>
      </c>
      <c r="C653" s="7" t="s">
        <v>21</v>
      </c>
      <c r="D653" s="9" t="s">
        <v>813</v>
      </c>
      <c r="E653" s="6" t="s">
        <v>814</v>
      </c>
      <c r="F653" s="3">
        <f>SUM(20,1,23,2,2,2)</f>
        <v>50</v>
      </c>
      <c r="L653" s="3" t="s">
        <v>815</v>
      </c>
      <c r="N653" s="48"/>
    </row>
    <row r="654" spans="1:14" x14ac:dyDescent="0.45">
      <c r="A654" s="3" t="s">
        <v>11</v>
      </c>
      <c r="B654" s="4">
        <v>44971</v>
      </c>
      <c r="C654" s="7" t="s">
        <v>25</v>
      </c>
      <c r="D654" s="9" t="s">
        <v>816</v>
      </c>
      <c r="E654" s="6" t="s">
        <v>817</v>
      </c>
      <c r="F654" s="3">
        <v>2</v>
      </c>
      <c r="N654" s="48"/>
    </row>
    <row r="655" spans="1:14" x14ac:dyDescent="0.45">
      <c r="A655" s="3" t="s">
        <v>11</v>
      </c>
      <c r="B655" s="4">
        <v>44973</v>
      </c>
      <c r="C655" s="7" t="s">
        <v>21</v>
      </c>
      <c r="D655" s="9" t="s">
        <v>818</v>
      </c>
      <c r="E655" s="6" t="s">
        <v>819</v>
      </c>
      <c r="F655" s="3">
        <v>28</v>
      </c>
      <c r="N655" s="48"/>
    </row>
    <row r="656" spans="1:14" x14ac:dyDescent="0.45">
      <c r="A656" s="3" t="s">
        <v>11</v>
      </c>
      <c r="B656" s="4">
        <v>44980</v>
      </c>
      <c r="C656" s="7" t="s">
        <v>25</v>
      </c>
      <c r="D656" s="9" t="s">
        <v>820</v>
      </c>
      <c r="E656" s="6" t="s">
        <v>821</v>
      </c>
      <c r="F656" s="3">
        <v>6</v>
      </c>
      <c r="N656" s="48"/>
    </row>
    <row r="657" spans="1:14" x14ac:dyDescent="0.45">
      <c r="A657" s="3" t="s">
        <v>11</v>
      </c>
      <c r="B657" s="4">
        <v>44993</v>
      </c>
      <c r="C657" s="7" t="s">
        <v>575</v>
      </c>
      <c r="E657" s="6" t="s">
        <v>822</v>
      </c>
      <c r="F657" s="3">
        <v>2</v>
      </c>
      <c r="L657" s="3" t="s">
        <v>823</v>
      </c>
      <c r="N657" s="48"/>
    </row>
    <row r="658" spans="1:14" x14ac:dyDescent="0.45">
      <c r="A658" s="3" t="s">
        <v>11</v>
      </c>
      <c r="B658" s="4">
        <v>44994</v>
      </c>
      <c r="C658" s="7" t="s">
        <v>21</v>
      </c>
      <c r="D658" s="9" t="s">
        <v>824</v>
      </c>
      <c r="E658" s="6" t="s">
        <v>825</v>
      </c>
      <c r="F658" s="3">
        <v>43</v>
      </c>
      <c r="N658" s="48"/>
    </row>
    <row r="659" spans="1:14" x14ac:dyDescent="0.45">
      <c r="A659" s="3" t="s">
        <v>11</v>
      </c>
      <c r="B659" s="4">
        <v>45000</v>
      </c>
      <c r="C659" s="7" t="s">
        <v>21</v>
      </c>
      <c r="D659" s="9" t="s">
        <v>826</v>
      </c>
      <c r="E659" s="6" t="s">
        <v>827</v>
      </c>
      <c r="F659" s="3">
        <f>SUM(4,152,1)</f>
        <v>157</v>
      </c>
      <c r="N659" s="48"/>
    </row>
    <row r="660" spans="1:14" x14ac:dyDescent="0.45">
      <c r="A660" s="3" t="s">
        <v>11</v>
      </c>
      <c r="B660" s="4">
        <v>45000</v>
      </c>
      <c r="C660" s="7" t="s">
        <v>575</v>
      </c>
      <c r="E660" s="6" t="s">
        <v>828</v>
      </c>
      <c r="F660" s="3">
        <f>SUM(62,70)</f>
        <v>132</v>
      </c>
      <c r="L660" s="3" t="s">
        <v>782</v>
      </c>
      <c r="N660" s="48"/>
    </row>
    <row r="661" spans="1:14" x14ac:dyDescent="0.45">
      <c r="A661" s="3" t="s">
        <v>11</v>
      </c>
      <c r="B661" s="4">
        <v>45000</v>
      </c>
      <c r="C661" s="7" t="s">
        <v>575</v>
      </c>
      <c r="E661" s="6" t="s">
        <v>829</v>
      </c>
      <c r="F661" s="3">
        <f>SUM(152,159)</f>
        <v>311</v>
      </c>
      <c r="L661" s="3" t="s">
        <v>782</v>
      </c>
      <c r="N661" s="48"/>
    </row>
    <row r="662" spans="1:14" x14ac:dyDescent="0.45">
      <c r="A662" s="3" t="s">
        <v>11</v>
      </c>
      <c r="B662" s="4">
        <v>45000</v>
      </c>
      <c r="C662" s="7" t="s">
        <v>575</v>
      </c>
      <c r="E662" s="6" t="s">
        <v>830</v>
      </c>
      <c r="F662" s="3">
        <f>SUM(27,19)</f>
        <v>46</v>
      </c>
      <c r="L662" s="3" t="s">
        <v>782</v>
      </c>
      <c r="N662" s="48"/>
    </row>
    <row r="663" spans="1:14" x14ac:dyDescent="0.45">
      <c r="A663" s="3" t="s">
        <v>11</v>
      </c>
      <c r="B663" s="4">
        <v>45005</v>
      </c>
      <c r="C663" s="7" t="s">
        <v>21</v>
      </c>
      <c r="D663" s="9" t="s">
        <v>831</v>
      </c>
      <c r="E663" s="6" t="s">
        <v>832</v>
      </c>
      <c r="F663" s="3">
        <f>SUM(9,1)</f>
        <v>10</v>
      </c>
      <c r="L663" s="3" t="s">
        <v>465</v>
      </c>
      <c r="N663" s="48"/>
    </row>
    <row r="664" spans="1:14" x14ac:dyDescent="0.45">
      <c r="A664" s="3" t="s">
        <v>11</v>
      </c>
      <c r="B664" s="4">
        <v>45014</v>
      </c>
      <c r="C664" s="7" t="s">
        <v>575</v>
      </c>
      <c r="E664" s="6" t="s">
        <v>833</v>
      </c>
      <c r="F664" s="3">
        <v>10</v>
      </c>
      <c r="L664" s="3" t="s">
        <v>823</v>
      </c>
      <c r="N664" s="48"/>
    </row>
    <row r="665" spans="1:14" x14ac:dyDescent="0.45">
      <c r="A665" s="3" t="s">
        <v>11</v>
      </c>
      <c r="B665" s="4">
        <v>45019</v>
      </c>
      <c r="C665" s="7" t="s">
        <v>592</v>
      </c>
      <c r="E665" s="6" t="s">
        <v>834</v>
      </c>
      <c r="F665" s="3">
        <v>1</v>
      </c>
      <c r="N665" s="48"/>
    </row>
    <row r="666" spans="1:14" x14ac:dyDescent="0.45">
      <c r="A666" s="3" t="s">
        <v>11</v>
      </c>
      <c r="B666" s="4">
        <v>45019</v>
      </c>
      <c r="C666" s="7" t="s">
        <v>592</v>
      </c>
      <c r="E666" s="6" t="s">
        <v>835</v>
      </c>
      <c r="F666" s="3">
        <v>13</v>
      </c>
      <c r="N666" s="48"/>
    </row>
    <row r="667" spans="1:14" x14ac:dyDescent="0.45">
      <c r="A667" s="3" t="s">
        <v>11</v>
      </c>
      <c r="B667" s="4">
        <v>45021</v>
      </c>
      <c r="C667" s="7" t="s">
        <v>25</v>
      </c>
      <c r="D667" s="9" t="s">
        <v>836</v>
      </c>
      <c r="E667" s="6" t="s">
        <v>837</v>
      </c>
      <c r="F667" s="3">
        <v>6</v>
      </c>
      <c r="N667" s="48"/>
    </row>
    <row r="668" spans="1:14" x14ac:dyDescent="0.45">
      <c r="A668" s="3" t="s">
        <v>11</v>
      </c>
      <c r="B668" s="4">
        <v>45027</v>
      </c>
      <c r="C668" s="7" t="s">
        <v>21</v>
      </c>
      <c r="D668" s="9" t="s">
        <v>838</v>
      </c>
      <c r="E668" s="6" t="s">
        <v>839</v>
      </c>
      <c r="F668" s="3">
        <v>7</v>
      </c>
      <c r="N668" s="48"/>
    </row>
    <row r="669" spans="1:14" x14ac:dyDescent="0.45">
      <c r="A669" s="3" t="s">
        <v>11</v>
      </c>
      <c r="B669" s="4">
        <v>45033</v>
      </c>
      <c r="C669" s="7" t="s">
        <v>25</v>
      </c>
      <c r="D669" s="9" t="s">
        <v>840</v>
      </c>
      <c r="E669" s="6" t="s">
        <v>841</v>
      </c>
      <c r="F669" s="3">
        <v>3</v>
      </c>
      <c r="N669" s="48"/>
    </row>
    <row r="670" spans="1:14" x14ac:dyDescent="0.45">
      <c r="A670" s="3" t="s">
        <v>11</v>
      </c>
      <c r="B670" s="4">
        <v>45069</v>
      </c>
      <c r="C670" s="7" t="s">
        <v>575</v>
      </c>
      <c r="E670" s="6" t="s">
        <v>842</v>
      </c>
      <c r="F670" s="3">
        <v>18</v>
      </c>
      <c r="N670" s="48"/>
    </row>
    <row r="671" spans="1:14" x14ac:dyDescent="0.45">
      <c r="A671" s="3" t="s">
        <v>11</v>
      </c>
      <c r="B671" s="4">
        <v>45084</v>
      </c>
      <c r="C671" s="7" t="s">
        <v>302</v>
      </c>
      <c r="E671" s="6" t="s">
        <v>843</v>
      </c>
      <c r="F671" s="3">
        <v>1</v>
      </c>
      <c r="L671" s="3" t="s">
        <v>746</v>
      </c>
      <c r="N671" s="48"/>
    </row>
    <row r="672" spans="1:14" x14ac:dyDescent="0.45">
      <c r="A672" s="3" t="s">
        <v>11</v>
      </c>
      <c r="B672" s="4">
        <v>45084</v>
      </c>
      <c r="C672" s="7" t="s">
        <v>302</v>
      </c>
      <c r="E672" s="6" t="s">
        <v>844</v>
      </c>
      <c r="F672" s="3">
        <v>2</v>
      </c>
      <c r="L672" s="3" t="s">
        <v>746</v>
      </c>
      <c r="N672" s="48"/>
    </row>
    <row r="673" spans="1:14" x14ac:dyDescent="0.45">
      <c r="A673" s="3" t="s">
        <v>11</v>
      </c>
      <c r="B673" s="4">
        <v>45084</v>
      </c>
      <c r="C673" s="7" t="s">
        <v>302</v>
      </c>
      <c r="E673" s="6" t="s">
        <v>845</v>
      </c>
      <c r="F673" s="3">
        <v>1</v>
      </c>
      <c r="L673" s="3" t="s">
        <v>746</v>
      </c>
      <c r="N673" s="48"/>
    </row>
    <row r="674" spans="1:14" x14ac:dyDescent="0.45">
      <c r="A674" s="3" t="s">
        <v>11</v>
      </c>
      <c r="B674" s="4">
        <v>45084</v>
      </c>
      <c r="C674" s="7" t="s">
        <v>302</v>
      </c>
      <c r="E674" s="6" t="s">
        <v>846</v>
      </c>
      <c r="F674" s="3">
        <v>1</v>
      </c>
      <c r="L674" s="3" t="s">
        <v>746</v>
      </c>
      <c r="N674" s="48"/>
    </row>
    <row r="675" spans="1:14" x14ac:dyDescent="0.45">
      <c r="A675" s="3" t="s">
        <v>11</v>
      </c>
      <c r="B675" s="4">
        <v>45086</v>
      </c>
      <c r="C675" s="7" t="s">
        <v>21</v>
      </c>
      <c r="D675" s="9" t="s">
        <v>847</v>
      </c>
      <c r="E675" s="6" t="s">
        <v>638</v>
      </c>
      <c r="F675" s="3">
        <f>SUM(8,1)</f>
        <v>9</v>
      </c>
      <c r="L675" s="3" t="s">
        <v>465</v>
      </c>
      <c r="N675" s="48"/>
    </row>
    <row r="676" spans="1:14" x14ac:dyDescent="0.45">
      <c r="A676" s="3" t="s">
        <v>11</v>
      </c>
      <c r="B676" s="4">
        <v>45092</v>
      </c>
      <c r="C676" s="7" t="s">
        <v>302</v>
      </c>
      <c r="E676" s="6" t="s">
        <v>848</v>
      </c>
      <c r="F676" s="3">
        <v>2</v>
      </c>
      <c r="L676" s="3" t="s">
        <v>746</v>
      </c>
      <c r="N676" s="48"/>
    </row>
    <row r="677" spans="1:14" x14ac:dyDescent="0.45">
      <c r="A677" s="3" t="s">
        <v>11</v>
      </c>
      <c r="B677" s="4">
        <v>45092</v>
      </c>
      <c r="C677" s="7" t="s">
        <v>302</v>
      </c>
      <c r="E677" s="6" t="s">
        <v>849</v>
      </c>
      <c r="F677" s="3">
        <v>1</v>
      </c>
      <c r="L677" s="3" t="s">
        <v>746</v>
      </c>
      <c r="N677" s="48"/>
    </row>
    <row r="678" spans="1:14" x14ac:dyDescent="0.45">
      <c r="A678" s="3" t="s">
        <v>11</v>
      </c>
      <c r="B678" s="4">
        <v>45092</v>
      </c>
      <c r="C678" s="7" t="s">
        <v>302</v>
      </c>
      <c r="E678" s="6" t="s">
        <v>850</v>
      </c>
      <c r="F678" s="3">
        <v>1</v>
      </c>
      <c r="L678" s="3" t="s">
        <v>746</v>
      </c>
      <c r="N678" s="48"/>
    </row>
    <row r="679" spans="1:14" x14ac:dyDescent="0.45">
      <c r="A679" s="3" t="s">
        <v>11</v>
      </c>
      <c r="B679" s="4">
        <v>45092</v>
      </c>
      <c r="C679" s="7" t="s">
        <v>302</v>
      </c>
      <c r="E679" s="6" t="s">
        <v>851</v>
      </c>
      <c r="F679" s="3">
        <v>1</v>
      </c>
      <c r="L679" s="3" t="s">
        <v>746</v>
      </c>
      <c r="N679" s="48"/>
    </row>
    <row r="680" spans="1:14" x14ac:dyDescent="0.45">
      <c r="A680" s="3" t="s">
        <v>11</v>
      </c>
      <c r="B680" s="4">
        <v>45097</v>
      </c>
      <c r="C680" s="7" t="s">
        <v>302</v>
      </c>
      <c r="E680" s="6" t="s">
        <v>852</v>
      </c>
      <c r="F680" s="3">
        <v>26</v>
      </c>
      <c r="N680" s="48"/>
    </row>
    <row r="681" spans="1:14" x14ac:dyDescent="0.45">
      <c r="A681" s="3" t="s">
        <v>11</v>
      </c>
      <c r="B681" s="4">
        <v>45104</v>
      </c>
      <c r="C681" s="7" t="s">
        <v>302</v>
      </c>
      <c r="E681" s="6" t="s">
        <v>853</v>
      </c>
      <c r="F681" s="3">
        <v>1</v>
      </c>
      <c r="L681" s="3" t="s">
        <v>746</v>
      </c>
      <c r="N681" s="48"/>
    </row>
    <row r="682" spans="1:14" x14ac:dyDescent="0.45">
      <c r="A682" s="3" t="s">
        <v>11</v>
      </c>
      <c r="B682" s="4">
        <v>45104</v>
      </c>
      <c r="C682" s="7" t="s">
        <v>302</v>
      </c>
      <c r="E682" s="6" t="s">
        <v>854</v>
      </c>
      <c r="F682" s="3">
        <v>1</v>
      </c>
      <c r="L682" s="3" t="s">
        <v>746</v>
      </c>
      <c r="N682" s="48"/>
    </row>
    <row r="683" spans="1:14" x14ac:dyDescent="0.45">
      <c r="A683" s="3" t="s">
        <v>11</v>
      </c>
      <c r="B683" s="4">
        <v>45104</v>
      </c>
      <c r="C683" s="7" t="s">
        <v>302</v>
      </c>
      <c r="E683" s="6" t="s">
        <v>855</v>
      </c>
      <c r="F683" s="3">
        <v>1</v>
      </c>
      <c r="L683" s="3" t="s">
        <v>746</v>
      </c>
      <c r="N683" s="48"/>
    </row>
    <row r="684" spans="1:14" x14ac:dyDescent="0.45">
      <c r="A684" s="3" t="s">
        <v>11</v>
      </c>
      <c r="B684" s="4">
        <v>45104</v>
      </c>
      <c r="C684" s="7" t="s">
        <v>302</v>
      </c>
      <c r="E684" s="6" t="s">
        <v>856</v>
      </c>
      <c r="F684" s="3">
        <v>3</v>
      </c>
      <c r="L684" s="3" t="s">
        <v>746</v>
      </c>
      <c r="N684" s="48"/>
    </row>
    <row r="685" spans="1:14" x14ac:dyDescent="0.45">
      <c r="A685" s="3" t="s">
        <v>11</v>
      </c>
      <c r="B685" s="4">
        <v>45104</v>
      </c>
      <c r="C685" s="7" t="s">
        <v>302</v>
      </c>
      <c r="E685" s="6" t="s">
        <v>857</v>
      </c>
      <c r="F685" s="3">
        <v>1</v>
      </c>
      <c r="L685" s="3" t="s">
        <v>746</v>
      </c>
      <c r="N685" s="48"/>
    </row>
    <row r="686" spans="1:14" x14ac:dyDescent="0.45">
      <c r="A686" s="3" t="s">
        <v>11</v>
      </c>
      <c r="B686" s="4">
        <v>45104</v>
      </c>
      <c r="C686" s="7" t="s">
        <v>302</v>
      </c>
      <c r="E686" s="6" t="s">
        <v>858</v>
      </c>
      <c r="F686" s="3">
        <v>1</v>
      </c>
      <c r="L686" s="3" t="s">
        <v>746</v>
      </c>
      <c r="N686" s="48"/>
    </row>
    <row r="687" spans="1:14" x14ac:dyDescent="0.45">
      <c r="A687" s="3" t="s">
        <v>11</v>
      </c>
      <c r="B687" s="4">
        <v>45120</v>
      </c>
      <c r="C687" s="7" t="s">
        <v>575</v>
      </c>
      <c r="E687" s="6" t="s">
        <v>859</v>
      </c>
      <c r="F687" s="3">
        <f>SUM(1,1,1)</f>
        <v>3</v>
      </c>
      <c r="L687" s="3" t="s">
        <v>860</v>
      </c>
      <c r="N687" s="48"/>
    </row>
    <row r="688" spans="1:14" x14ac:dyDescent="0.45">
      <c r="A688" s="3" t="s">
        <v>11</v>
      </c>
      <c r="B688" s="4">
        <v>45121</v>
      </c>
      <c r="C688" s="7" t="s">
        <v>302</v>
      </c>
      <c r="E688" s="6" t="s">
        <v>861</v>
      </c>
      <c r="F688" s="3">
        <v>4</v>
      </c>
      <c r="L688" s="3" t="s">
        <v>746</v>
      </c>
      <c r="N688" s="48"/>
    </row>
    <row r="689" spans="1:14" x14ac:dyDescent="0.45">
      <c r="A689" s="3" t="s">
        <v>11</v>
      </c>
      <c r="B689" s="4">
        <v>45131</v>
      </c>
      <c r="C689" s="7" t="s">
        <v>592</v>
      </c>
      <c r="E689" s="6" t="s">
        <v>862</v>
      </c>
      <c r="F689" s="3">
        <v>1</v>
      </c>
      <c r="N689" s="48"/>
    </row>
    <row r="690" spans="1:14" x14ac:dyDescent="0.45">
      <c r="A690" s="3" t="s">
        <v>11</v>
      </c>
      <c r="B690" s="4">
        <v>45155</v>
      </c>
      <c r="C690" s="7" t="s">
        <v>587</v>
      </c>
      <c r="E690" s="6" t="s">
        <v>863</v>
      </c>
      <c r="F690" s="3">
        <v>4</v>
      </c>
      <c r="N690" s="48"/>
    </row>
    <row r="691" spans="1:14" x14ac:dyDescent="0.45">
      <c r="A691" s="3" t="s">
        <v>11</v>
      </c>
      <c r="B691" s="4">
        <v>45161</v>
      </c>
      <c r="C691" s="7" t="s">
        <v>302</v>
      </c>
      <c r="E691" s="6" t="s">
        <v>864</v>
      </c>
      <c r="F691" s="3">
        <v>17</v>
      </c>
      <c r="L691" s="11" t="s">
        <v>865</v>
      </c>
      <c r="N691" s="48"/>
    </row>
    <row r="692" spans="1:14" x14ac:dyDescent="0.45">
      <c r="A692" s="3" t="s">
        <v>11</v>
      </c>
      <c r="B692" s="4">
        <v>45197</v>
      </c>
      <c r="C692" s="7" t="s">
        <v>25</v>
      </c>
      <c r="D692" s="9" t="s">
        <v>866</v>
      </c>
      <c r="E692" s="6" t="s">
        <v>867</v>
      </c>
      <c r="F692" s="3">
        <v>2</v>
      </c>
      <c r="L692" s="3" t="s">
        <v>868</v>
      </c>
      <c r="N692" s="48"/>
    </row>
    <row r="693" spans="1:14" x14ac:dyDescent="0.45">
      <c r="A693" s="3" t="s">
        <v>11</v>
      </c>
      <c r="B693" s="4">
        <v>45197</v>
      </c>
      <c r="C693" s="7" t="s">
        <v>25</v>
      </c>
      <c r="D693" s="9" t="s">
        <v>869</v>
      </c>
      <c r="E693" s="6" t="s">
        <v>870</v>
      </c>
      <c r="F693" s="3">
        <v>2</v>
      </c>
      <c r="N693" s="48"/>
    </row>
    <row r="694" spans="1:14" x14ac:dyDescent="0.45">
      <c r="A694" s="3" t="s">
        <v>11</v>
      </c>
      <c r="B694" s="4">
        <v>45209</v>
      </c>
      <c r="C694" s="7" t="s">
        <v>302</v>
      </c>
      <c r="E694" s="6" t="s">
        <v>871</v>
      </c>
      <c r="F694" s="3">
        <v>47</v>
      </c>
      <c r="L694" s="3" t="s">
        <v>872</v>
      </c>
      <c r="N694" s="48"/>
    </row>
    <row r="695" spans="1:14" x14ac:dyDescent="0.45">
      <c r="A695" s="3" t="s">
        <v>11</v>
      </c>
      <c r="B695" s="4">
        <v>45210</v>
      </c>
      <c r="C695" s="7" t="s">
        <v>21</v>
      </c>
      <c r="D695" s="9" t="s">
        <v>873</v>
      </c>
      <c r="E695" s="6" t="s">
        <v>874</v>
      </c>
      <c r="F695" s="3">
        <f>SUM(3,5,4)</f>
        <v>12</v>
      </c>
      <c r="L695" s="3" t="s">
        <v>524</v>
      </c>
      <c r="N695" s="48"/>
    </row>
    <row r="696" spans="1:14" x14ac:dyDescent="0.45">
      <c r="A696" s="3" t="s">
        <v>11</v>
      </c>
      <c r="B696" s="4">
        <v>45245</v>
      </c>
      <c r="C696" s="7" t="s">
        <v>25</v>
      </c>
      <c r="D696" s="9" t="s">
        <v>875</v>
      </c>
      <c r="E696" s="6" t="s">
        <v>876</v>
      </c>
      <c r="F696" s="3">
        <v>23</v>
      </c>
      <c r="N696" s="48"/>
    </row>
    <row r="697" spans="1:14" x14ac:dyDescent="0.45">
      <c r="A697" s="3" t="s">
        <v>11</v>
      </c>
      <c r="B697" s="4">
        <v>45281</v>
      </c>
      <c r="C697" s="7" t="s">
        <v>25</v>
      </c>
      <c r="D697" s="9" t="s">
        <v>877</v>
      </c>
      <c r="E697" s="6" t="s">
        <v>878</v>
      </c>
      <c r="F697" s="3">
        <v>6</v>
      </c>
      <c r="N697" s="48"/>
    </row>
    <row r="698" spans="1:14" x14ac:dyDescent="0.45">
      <c r="A698" s="3" t="s">
        <v>11</v>
      </c>
      <c r="B698" s="4">
        <v>45324</v>
      </c>
      <c r="C698" s="7" t="s">
        <v>21</v>
      </c>
      <c r="D698" s="9" t="s">
        <v>879</v>
      </c>
      <c r="E698" s="6" t="s">
        <v>880</v>
      </c>
      <c r="F698" s="3">
        <v>7</v>
      </c>
      <c r="N698" s="48"/>
    </row>
    <row r="699" spans="1:14" x14ac:dyDescent="0.45">
      <c r="A699" s="3" t="s">
        <v>11</v>
      </c>
      <c r="B699" s="4">
        <v>45335</v>
      </c>
      <c r="C699" s="7" t="s">
        <v>592</v>
      </c>
      <c r="E699" s="6" t="s">
        <v>881</v>
      </c>
      <c r="F699" s="3">
        <v>13</v>
      </c>
      <c r="N699" s="48"/>
    </row>
    <row r="700" spans="1:14" x14ac:dyDescent="0.45">
      <c r="A700" s="3" t="s">
        <v>11</v>
      </c>
      <c r="B700" s="4">
        <v>45335</v>
      </c>
      <c r="C700" s="7" t="s">
        <v>592</v>
      </c>
      <c r="E700" s="6" t="s">
        <v>882</v>
      </c>
      <c r="F700" s="3">
        <v>1</v>
      </c>
      <c r="N700" s="48"/>
    </row>
    <row r="701" spans="1:14" x14ac:dyDescent="0.45">
      <c r="A701" s="3" t="s">
        <v>11</v>
      </c>
      <c r="B701" s="4">
        <v>45337</v>
      </c>
      <c r="C701" s="7" t="s">
        <v>21</v>
      </c>
      <c r="D701" s="9" t="s">
        <v>883</v>
      </c>
      <c r="E701" s="6" t="s">
        <v>884</v>
      </c>
      <c r="F701" s="3">
        <f>SUM(70,19,15,7,1)</f>
        <v>112</v>
      </c>
      <c r="L701" s="3" t="s">
        <v>885</v>
      </c>
      <c r="N701" s="48"/>
    </row>
    <row r="702" spans="1:14" x14ac:dyDescent="0.45">
      <c r="A702" s="3" t="s">
        <v>11</v>
      </c>
      <c r="B702" s="4">
        <v>45343</v>
      </c>
      <c r="C702" s="7" t="s">
        <v>21</v>
      </c>
      <c r="D702" s="9" t="s">
        <v>886</v>
      </c>
      <c r="E702" s="6" t="s">
        <v>887</v>
      </c>
      <c r="F702" s="3">
        <f>SUM(44,20,15,SUM(4,2,1),1,1,1,2,20,16)</f>
        <v>127</v>
      </c>
      <c r="L702" s="3" t="s">
        <v>888</v>
      </c>
      <c r="N702" s="48"/>
    </row>
    <row r="703" spans="1:14" x14ac:dyDescent="0.45">
      <c r="A703" s="3" t="s">
        <v>11</v>
      </c>
      <c r="B703" s="4">
        <v>45350</v>
      </c>
      <c r="C703" s="7" t="s">
        <v>25</v>
      </c>
      <c r="D703" s="9" t="s">
        <v>889</v>
      </c>
      <c r="E703" s="6" t="s">
        <v>890</v>
      </c>
      <c r="F703" s="3">
        <v>2</v>
      </c>
      <c r="N703" s="48"/>
    </row>
    <row r="704" spans="1:14" x14ac:dyDescent="0.45">
      <c r="A704" s="3" t="s">
        <v>11</v>
      </c>
      <c r="B704" s="4">
        <v>45355</v>
      </c>
      <c r="C704" s="7" t="s">
        <v>21</v>
      </c>
      <c r="D704" s="9" t="s">
        <v>891</v>
      </c>
      <c r="E704" s="6" t="s">
        <v>892</v>
      </c>
      <c r="F704" s="3">
        <f>SUM(22,1,19,2,2,2)</f>
        <v>48</v>
      </c>
      <c r="L704" s="3" t="s">
        <v>815</v>
      </c>
      <c r="N704" s="48"/>
    </row>
    <row r="705" spans="1:14" x14ac:dyDescent="0.45">
      <c r="A705" s="3" t="s">
        <v>11</v>
      </c>
      <c r="B705" s="4">
        <v>45371</v>
      </c>
      <c r="C705" s="7" t="s">
        <v>21</v>
      </c>
      <c r="D705" s="9" t="s">
        <v>893</v>
      </c>
      <c r="E705" s="6" t="s">
        <v>894</v>
      </c>
      <c r="F705" s="3">
        <v>45</v>
      </c>
      <c r="N705" s="48"/>
    </row>
    <row r="706" spans="1:14" x14ac:dyDescent="0.45">
      <c r="A706" s="3" t="s">
        <v>11</v>
      </c>
      <c r="B706" s="4">
        <v>45371</v>
      </c>
      <c r="C706" s="7" t="s">
        <v>21</v>
      </c>
      <c r="D706" s="9" t="s">
        <v>895</v>
      </c>
      <c r="E706" s="6" t="s">
        <v>896</v>
      </c>
      <c r="F706" s="3">
        <v>31</v>
      </c>
      <c r="N706" s="48"/>
    </row>
    <row r="707" spans="1:14" x14ac:dyDescent="0.45">
      <c r="A707" s="3" t="s">
        <v>11</v>
      </c>
      <c r="B707" s="4">
        <v>45414</v>
      </c>
      <c r="C707" s="7" t="s">
        <v>302</v>
      </c>
      <c r="E707" s="6" t="s">
        <v>897</v>
      </c>
      <c r="F707" s="3">
        <v>4</v>
      </c>
      <c r="L707" s="3" t="s">
        <v>746</v>
      </c>
      <c r="N707" s="48"/>
    </row>
    <row r="708" spans="1:14" x14ac:dyDescent="0.45">
      <c r="A708" s="3" t="s">
        <v>11</v>
      </c>
      <c r="B708" s="4">
        <v>45414</v>
      </c>
      <c r="C708" s="7" t="s">
        <v>302</v>
      </c>
      <c r="E708" s="6" t="s">
        <v>898</v>
      </c>
      <c r="F708" s="3">
        <v>1</v>
      </c>
      <c r="L708" s="3" t="s">
        <v>899</v>
      </c>
      <c r="N708" s="48"/>
    </row>
    <row r="709" spans="1:14" x14ac:dyDescent="0.45">
      <c r="A709" s="3" t="s">
        <v>11</v>
      </c>
      <c r="B709" s="4">
        <v>45422</v>
      </c>
      <c r="C709" s="7" t="s">
        <v>25</v>
      </c>
      <c r="D709" s="9" t="s">
        <v>900</v>
      </c>
      <c r="E709" s="6" t="s">
        <v>901</v>
      </c>
      <c r="F709" s="3">
        <v>2</v>
      </c>
      <c r="N709" s="48"/>
    </row>
    <row r="710" spans="1:14" x14ac:dyDescent="0.45">
      <c r="A710" s="3" t="s">
        <v>11</v>
      </c>
      <c r="B710" s="4">
        <v>45433</v>
      </c>
      <c r="C710" s="7" t="s">
        <v>21</v>
      </c>
      <c r="D710" s="9" t="s">
        <v>902</v>
      </c>
      <c r="E710" s="6" t="s">
        <v>586</v>
      </c>
      <c r="F710" s="3">
        <f>SUM(31,8,1,1,1,1,1)</f>
        <v>44</v>
      </c>
      <c r="L710" s="3" t="s">
        <v>903</v>
      </c>
      <c r="N710" s="48"/>
    </row>
    <row r="711" spans="1:14" x14ac:dyDescent="0.45">
      <c r="A711" s="3" t="s">
        <v>11</v>
      </c>
      <c r="B711" s="4">
        <v>45440</v>
      </c>
      <c r="C711" s="7" t="s">
        <v>25</v>
      </c>
      <c r="D711" s="9" t="s">
        <v>904</v>
      </c>
      <c r="E711" s="6" t="s">
        <v>538</v>
      </c>
      <c r="F711" s="3">
        <v>2</v>
      </c>
      <c r="N711" s="48"/>
    </row>
    <row r="712" spans="1:14" x14ac:dyDescent="0.45">
      <c r="A712" s="3" t="s">
        <v>11</v>
      </c>
      <c r="B712" s="4">
        <v>45441</v>
      </c>
      <c r="C712" s="7" t="s">
        <v>587</v>
      </c>
      <c r="E712" s="6" t="s">
        <v>905</v>
      </c>
      <c r="F712" s="3">
        <v>3</v>
      </c>
      <c r="N712" s="48"/>
    </row>
    <row r="713" spans="1:14" x14ac:dyDescent="0.45">
      <c r="A713" s="3" t="s">
        <v>11</v>
      </c>
      <c r="B713" s="4">
        <v>45448</v>
      </c>
      <c r="C713" s="7" t="s">
        <v>21</v>
      </c>
      <c r="D713" s="9" t="s">
        <v>906</v>
      </c>
      <c r="E713" s="6" t="s">
        <v>907</v>
      </c>
      <c r="F713" s="3">
        <f>SUM(7,1,1)</f>
        <v>9</v>
      </c>
      <c r="L713" s="3" t="s">
        <v>524</v>
      </c>
      <c r="N713" s="48"/>
    </row>
    <row r="714" spans="1:14" x14ac:dyDescent="0.45">
      <c r="A714" s="3" t="s">
        <v>11</v>
      </c>
      <c r="B714" s="4">
        <v>45450</v>
      </c>
      <c r="C714" s="7" t="s">
        <v>592</v>
      </c>
      <c r="E714" s="6" t="s">
        <v>908</v>
      </c>
      <c r="F714" s="3">
        <v>3</v>
      </c>
      <c r="N714" s="48"/>
    </row>
    <row r="715" spans="1:14" x14ac:dyDescent="0.45">
      <c r="A715" s="3" t="s">
        <v>11</v>
      </c>
      <c r="B715" s="4">
        <v>45450</v>
      </c>
      <c r="C715" s="7" t="s">
        <v>592</v>
      </c>
      <c r="E715" s="6" t="s">
        <v>909</v>
      </c>
      <c r="F715" s="3">
        <v>4</v>
      </c>
      <c r="N715" s="48"/>
    </row>
    <row r="716" spans="1:14" x14ac:dyDescent="0.45">
      <c r="A716" s="3" t="s">
        <v>11</v>
      </c>
      <c r="B716" s="4">
        <v>45453</v>
      </c>
      <c r="C716" s="7" t="s">
        <v>302</v>
      </c>
      <c r="E716" s="6" t="s">
        <v>910</v>
      </c>
      <c r="F716" s="3">
        <f>SUM(85,1)</f>
        <v>86</v>
      </c>
      <c r="L716" s="3" t="s">
        <v>911</v>
      </c>
      <c r="N716" s="48"/>
    </row>
    <row r="717" spans="1:14" x14ac:dyDescent="0.45">
      <c r="A717" s="3" t="s">
        <v>11</v>
      </c>
      <c r="B717" s="4">
        <v>45453</v>
      </c>
      <c r="C717" s="7" t="s">
        <v>302</v>
      </c>
      <c r="E717" s="6" t="s">
        <v>912</v>
      </c>
      <c r="F717" s="3">
        <v>17</v>
      </c>
      <c r="L717" s="3" t="s">
        <v>913</v>
      </c>
      <c r="N717" s="48"/>
    </row>
    <row r="718" spans="1:14" x14ac:dyDescent="0.45">
      <c r="A718" s="3" t="s">
        <v>11</v>
      </c>
      <c r="B718" s="4">
        <v>45453</v>
      </c>
      <c r="C718" s="7" t="s">
        <v>302</v>
      </c>
      <c r="E718" s="6" t="s">
        <v>914</v>
      </c>
      <c r="F718" s="3">
        <v>197</v>
      </c>
      <c r="L718" s="3" t="s">
        <v>915</v>
      </c>
      <c r="N718" s="48"/>
    </row>
    <row r="719" spans="1:14" x14ac:dyDescent="0.45">
      <c r="A719" s="3" t="s">
        <v>11</v>
      </c>
      <c r="B719" s="4">
        <v>45473</v>
      </c>
      <c r="C719" s="7" t="s">
        <v>302</v>
      </c>
      <c r="D719" s="11" t="s">
        <v>916</v>
      </c>
      <c r="E719" s="6" t="s">
        <v>917</v>
      </c>
      <c r="F719" s="3">
        <v>17</v>
      </c>
      <c r="L719" s="3" t="s">
        <v>746</v>
      </c>
      <c r="N719" s="48"/>
    </row>
    <row r="720" spans="1:14" x14ac:dyDescent="0.45">
      <c r="A720" s="3" t="s">
        <v>11</v>
      </c>
      <c r="B720" s="4">
        <v>45473</v>
      </c>
      <c r="C720" s="7" t="s">
        <v>302</v>
      </c>
      <c r="E720" s="6" t="s">
        <v>918</v>
      </c>
      <c r="F720" s="3">
        <v>1</v>
      </c>
      <c r="L720" s="3" t="s">
        <v>746</v>
      </c>
      <c r="N720" s="48"/>
    </row>
    <row r="721" spans="1:14" x14ac:dyDescent="0.45">
      <c r="A721" s="3" t="s">
        <v>11</v>
      </c>
      <c r="B721" s="4">
        <v>45473</v>
      </c>
      <c r="C721" s="7" t="s">
        <v>302</v>
      </c>
      <c r="E721" s="6" t="s">
        <v>919</v>
      </c>
      <c r="F721" s="3">
        <v>1</v>
      </c>
      <c r="L721" s="3" t="s">
        <v>899</v>
      </c>
      <c r="N721" s="48"/>
    </row>
    <row r="722" spans="1:14" x14ac:dyDescent="0.45">
      <c r="A722" s="3" t="s">
        <v>11</v>
      </c>
      <c r="B722" s="4">
        <v>45473</v>
      </c>
      <c r="C722" s="7" t="s">
        <v>302</v>
      </c>
      <c r="E722" s="6" t="s">
        <v>920</v>
      </c>
      <c r="F722" s="3">
        <v>1</v>
      </c>
      <c r="L722" s="3" t="s">
        <v>746</v>
      </c>
      <c r="N722" s="48"/>
    </row>
    <row r="723" spans="1:14" x14ac:dyDescent="0.45">
      <c r="A723" s="3" t="s">
        <v>11</v>
      </c>
      <c r="B723" s="4">
        <v>45473</v>
      </c>
      <c r="C723" s="7" t="s">
        <v>302</v>
      </c>
      <c r="E723" s="6" t="s">
        <v>921</v>
      </c>
      <c r="F723" s="3">
        <v>1</v>
      </c>
      <c r="L723" s="3" t="s">
        <v>746</v>
      </c>
      <c r="N723" s="48"/>
    </row>
    <row r="724" spans="1:14" x14ac:dyDescent="0.45">
      <c r="A724" s="3" t="s">
        <v>11</v>
      </c>
      <c r="B724" s="4">
        <v>45473</v>
      </c>
      <c r="C724" s="7" t="s">
        <v>302</v>
      </c>
      <c r="E724" s="6" t="s">
        <v>922</v>
      </c>
      <c r="F724" s="3">
        <v>1</v>
      </c>
      <c r="L724" s="3" t="s">
        <v>746</v>
      </c>
      <c r="N724" s="48"/>
    </row>
    <row r="725" spans="1:14" x14ac:dyDescent="0.45">
      <c r="A725" s="3" t="s">
        <v>11</v>
      </c>
      <c r="B725" s="4">
        <v>45473</v>
      </c>
      <c r="C725" s="7" t="s">
        <v>302</v>
      </c>
      <c r="E725" s="6" t="s">
        <v>923</v>
      </c>
      <c r="F725" s="3">
        <v>2</v>
      </c>
      <c r="L725" s="3" t="s">
        <v>746</v>
      </c>
      <c r="N725" s="48"/>
    </row>
    <row r="726" spans="1:14" x14ac:dyDescent="0.45">
      <c r="A726" s="3" t="s">
        <v>11</v>
      </c>
      <c r="B726" s="4">
        <v>45526</v>
      </c>
      <c r="C726" s="7" t="s">
        <v>302</v>
      </c>
      <c r="D726" s="11" t="s">
        <v>924</v>
      </c>
      <c r="E726" s="6" t="s">
        <v>925</v>
      </c>
      <c r="F726" s="3">
        <v>2</v>
      </c>
      <c r="N726" s="48"/>
    </row>
    <row r="727" spans="1:14" x14ac:dyDescent="0.45">
      <c r="A727" s="3" t="s">
        <v>11</v>
      </c>
      <c r="B727" s="4">
        <v>45601</v>
      </c>
      <c r="C727" s="7" t="s">
        <v>21</v>
      </c>
      <c r="D727" s="9" t="s">
        <v>926</v>
      </c>
      <c r="E727" s="6" t="s">
        <v>584</v>
      </c>
      <c r="F727" s="3">
        <f>SUM(7,67)</f>
        <v>74</v>
      </c>
      <c r="L727" s="3" t="s">
        <v>927</v>
      </c>
      <c r="N727" s="48"/>
    </row>
    <row r="728" spans="1:14" x14ac:dyDescent="0.45">
      <c r="A728" s="3" t="s">
        <v>11</v>
      </c>
      <c r="B728" s="4">
        <v>45601</v>
      </c>
      <c r="C728" s="7" t="s">
        <v>25</v>
      </c>
      <c r="D728" s="9" t="s">
        <v>928</v>
      </c>
      <c r="E728" s="6" t="s">
        <v>929</v>
      </c>
      <c r="F728" s="3">
        <v>2</v>
      </c>
      <c r="N728" s="48"/>
    </row>
    <row r="729" spans="1:14" x14ac:dyDescent="0.45">
      <c r="A729" s="3" t="s">
        <v>11</v>
      </c>
      <c r="B729" s="4">
        <v>45611</v>
      </c>
      <c r="C729" s="7" t="s">
        <v>25</v>
      </c>
      <c r="D729" s="9" t="s">
        <v>930</v>
      </c>
      <c r="E729" s="6" t="s">
        <v>931</v>
      </c>
      <c r="F729" s="3">
        <v>2</v>
      </c>
      <c r="N729" s="48"/>
    </row>
    <row r="730" spans="1:14" x14ac:dyDescent="0.45">
      <c r="A730" s="3" t="s">
        <v>11</v>
      </c>
      <c r="B730" s="4">
        <v>45618</v>
      </c>
      <c r="C730" s="7" t="s">
        <v>587</v>
      </c>
      <c r="D730" s="11" t="s">
        <v>932</v>
      </c>
      <c r="E730" s="6" t="s">
        <v>933</v>
      </c>
      <c r="F730" s="3">
        <v>5</v>
      </c>
      <c r="N730" s="48"/>
    </row>
    <row r="731" spans="1:14" x14ac:dyDescent="0.45">
      <c r="A731" s="3" t="s">
        <v>11</v>
      </c>
      <c r="B731" s="4">
        <v>45631</v>
      </c>
      <c r="C731" s="7" t="s">
        <v>25</v>
      </c>
      <c r="D731" s="9" t="s">
        <v>934</v>
      </c>
      <c r="E731" s="6" t="s">
        <v>935</v>
      </c>
      <c r="F731" s="3">
        <v>2</v>
      </c>
      <c r="N731" s="48"/>
    </row>
    <row r="732" spans="1:14" x14ac:dyDescent="0.45">
      <c r="A732" s="3" t="s">
        <v>11</v>
      </c>
      <c r="B732" s="4">
        <v>45639</v>
      </c>
      <c r="C732" s="7" t="s">
        <v>25</v>
      </c>
      <c r="D732" s="9" t="s">
        <v>936</v>
      </c>
      <c r="E732" s="6" t="s">
        <v>937</v>
      </c>
      <c r="F732" s="3">
        <v>286</v>
      </c>
      <c r="L732" s="3" t="s">
        <v>510</v>
      </c>
      <c r="N732" s="48"/>
    </row>
    <row r="733" spans="1:14" x14ac:dyDescent="0.45">
      <c r="A733" s="3" t="s">
        <v>11</v>
      </c>
      <c r="B733" s="4">
        <v>45646</v>
      </c>
      <c r="C733" s="7" t="s">
        <v>21</v>
      </c>
      <c r="D733" s="9" t="s">
        <v>938</v>
      </c>
      <c r="E733" s="6" t="s">
        <v>579</v>
      </c>
      <c r="F733" s="3">
        <v>28</v>
      </c>
      <c r="N733" s="48"/>
    </row>
    <row r="734" spans="1:14" x14ac:dyDescent="0.45">
      <c r="A734" s="3" t="s">
        <v>11</v>
      </c>
      <c r="B734" s="4">
        <v>45646</v>
      </c>
      <c r="C734" s="7" t="s">
        <v>21</v>
      </c>
      <c r="D734" s="9" t="s">
        <v>939</v>
      </c>
      <c r="E734" s="6" t="s">
        <v>586</v>
      </c>
      <c r="F734" s="3">
        <f>SUM(33,14,1,1,1,1,1)</f>
        <v>52</v>
      </c>
      <c r="L734" s="3" t="s">
        <v>903</v>
      </c>
      <c r="N734" s="48"/>
    </row>
    <row r="735" spans="1:14" x14ac:dyDescent="0.45">
      <c r="A735" s="3" t="s">
        <v>11</v>
      </c>
      <c r="B735" s="4">
        <v>45672</v>
      </c>
      <c r="C735" s="7" t="s">
        <v>25</v>
      </c>
      <c r="D735" s="9" t="s">
        <v>940</v>
      </c>
      <c r="E735" s="6" t="s">
        <v>941</v>
      </c>
      <c r="F735" s="3">
        <v>9</v>
      </c>
      <c r="N735" s="48"/>
    </row>
    <row r="736" spans="1:14" x14ac:dyDescent="0.45">
      <c r="A736" s="3" t="s">
        <v>11</v>
      </c>
      <c r="B736" s="4">
        <v>45762</v>
      </c>
      <c r="C736" s="7" t="s">
        <v>25</v>
      </c>
      <c r="D736" s="9" t="s">
        <v>942</v>
      </c>
      <c r="E736" s="6" t="s">
        <v>943</v>
      </c>
      <c r="F736" s="3">
        <v>1</v>
      </c>
      <c r="N736" s="48"/>
    </row>
    <row r="737" spans="1:14" x14ac:dyDescent="0.45">
      <c r="A737" s="3" t="s">
        <v>11</v>
      </c>
      <c r="B737" s="4">
        <v>45768</v>
      </c>
      <c r="C737" s="7" t="s">
        <v>21</v>
      </c>
      <c r="D737" s="9" t="s">
        <v>944</v>
      </c>
      <c r="E737" s="6" t="s">
        <v>945</v>
      </c>
      <c r="F737" s="3">
        <v>17</v>
      </c>
      <c r="N737" s="48"/>
    </row>
    <row r="738" spans="1:14" x14ac:dyDescent="0.45">
      <c r="A738" s="3" t="s">
        <v>11</v>
      </c>
      <c r="B738" s="4">
        <v>45768</v>
      </c>
      <c r="C738" s="7" t="s">
        <v>21</v>
      </c>
      <c r="D738" s="9" t="s">
        <v>946</v>
      </c>
      <c r="E738" s="6" t="s">
        <v>947</v>
      </c>
      <c r="F738" s="3">
        <f>SUM(27,20,15,1,2)</f>
        <v>65</v>
      </c>
      <c r="L738" s="3" t="s">
        <v>948</v>
      </c>
      <c r="N738" s="48"/>
    </row>
    <row r="739" spans="1:14" x14ac:dyDescent="0.45">
      <c r="A739" s="3" t="s">
        <v>11</v>
      </c>
      <c r="B739" s="4">
        <v>45768</v>
      </c>
      <c r="C739" s="7" t="s">
        <v>21</v>
      </c>
      <c r="D739" s="9" t="s">
        <v>949</v>
      </c>
      <c r="E739" s="6" t="s">
        <v>950</v>
      </c>
      <c r="F739" s="3">
        <f>SUM(37,18,15,1)</f>
        <v>71</v>
      </c>
      <c r="L739" s="3" t="s">
        <v>948</v>
      </c>
      <c r="N739" s="48"/>
    </row>
    <row r="740" spans="1:14" x14ac:dyDescent="0.45">
      <c r="A740" s="3" t="s">
        <v>11</v>
      </c>
      <c r="B740" s="4">
        <v>45768</v>
      </c>
      <c r="C740" s="7" t="s">
        <v>21</v>
      </c>
      <c r="D740" s="9" t="s">
        <v>951</v>
      </c>
      <c r="E740" s="6" t="s">
        <v>952</v>
      </c>
      <c r="F740" s="3">
        <v>34</v>
      </c>
      <c r="N740" s="48"/>
    </row>
    <row r="741" spans="1:14" x14ac:dyDescent="0.45">
      <c r="A741" s="3" t="s">
        <v>11</v>
      </c>
      <c r="B741" s="4">
        <v>45777</v>
      </c>
      <c r="C741" s="7" t="s">
        <v>21</v>
      </c>
      <c r="D741" s="9" t="s">
        <v>953</v>
      </c>
      <c r="E741" s="6" t="s">
        <v>954</v>
      </c>
      <c r="F741" s="3">
        <f>SUM(6,1,1)</f>
        <v>8</v>
      </c>
      <c r="L741" s="3" t="s">
        <v>524</v>
      </c>
      <c r="N741" s="48"/>
    </row>
    <row r="742" spans="1:14" x14ac:dyDescent="0.45">
      <c r="A742" s="3" t="s">
        <v>11</v>
      </c>
      <c r="B742" s="4">
        <v>45785</v>
      </c>
      <c r="C742" s="7" t="s">
        <v>592</v>
      </c>
      <c r="E742" s="6" t="s">
        <v>955</v>
      </c>
      <c r="F742" s="3">
        <v>1</v>
      </c>
      <c r="N742" s="48"/>
    </row>
    <row r="743" spans="1:14" x14ac:dyDescent="0.45">
      <c r="A743" s="3" t="s">
        <v>11</v>
      </c>
      <c r="B743" s="4">
        <v>45785</v>
      </c>
      <c r="C743" s="7" t="s">
        <v>592</v>
      </c>
      <c r="E743" s="6" t="s">
        <v>956</v>
      </c>
      <c r="F743" s="3">
        <v>13</v>
      </c>
      <c r="N743" s="48"/>
    </row>
    <row r="744" spans="1:14" x14ac:dyDescent="0.45">
      <c r="A744" s="3" t="s">
        <v>11</v>
      </c>
      <c r="B744" s="4">
        <v>45789</v>
      </c>
      <c r="C744" s="7" t="s">
        <v>21</v>
      </c>
      <c r="D744" s="3" t="s">
        <v>957</v>
      </c>
      <c r="E744" s="6" t="s">
        <v>958</v>
      </c>
      <c r="F744" s="3">
        <f>SUM(15,1,19,2,2,2)</f>
        <v>41</v>
      </c>
      <c r="L744" s="3" t="s">
        <v>815</v>
      </c>
      <c r="N744" s="48"/>
    </row>
    <row r="745" spans="1:14" x14ac:dyDescent="0.45">
      <c r="A745" s="3" t="s">
        <v>11</v>
      </c>
      <c r="B745" s="4">
        <v>45826</v>
      </c>
      <c r="C745" s="7" t="s">
        <v>25</v>
      </c>
      <c r="D745" s="9" t="s">
        <v>959</v>
      </c>
      <c r="E745" s="6" t="s">
        <v>960</v>
      </c>
      <c r="F745" s="3">
        <v>6</v>
      </c>
      <c r="N745" s="48"/>
    </row>
    <row r="746" spans="1:14" x14ac:dyDescent="0.45">
      <c r="A746" s="3" t="s">
        <v>11</v>
      </c>
      <c r="B746" s="4">
        <v>45904</v>
      </c>
      <c r="C746" s="7" t="s">
        <v>25</v>
      </c>
      <c r="D746" s="9" t="s">
        <v>961</v>
      </c>
      <c r="E746" s="6" t="s">
        <v>962</v>
      </c>
      <c r="F746" s="3">
        <v>2</v>
      </c>
      <c r="N746" s="48"/>
    </row>
    <row r="747" spans="1:14" x14ac:dyDescent="0.45">
      <c r="A747" s="3" t="s">
        <v>11</v>
      </c>
      <c r="B747" s="4">
        <v>45932</v>
      </c>
      <c r="C747" s="7" t="s">
        <v>302</v>
      </c>
      <c r="E747" s="6" t="s">
        <v>963</v>
      </c>
      <c r="F747" s="3">
        <v>24</v>
      </c>
      <c r="L747" s="3" t="s">
        <v>964</v>
      </c>
      <c r="N747" s="48"/>
    </row>
    <row r="748" spans="1:14" x14ac:dyDescent="0.45">
      <c r="A748" s="3" t="s">
        <v>11</v>
      </c>
      <c r="B748" s="4">
        <v>45932</v>
      </c>
      <c r="C748" s="7" t="s">
        <v>302</v>
      </c>
      <c r="E748" s="6" t="s">
        <v>965</v>
      </c>
      <c r="F748" s="3">
        <v>4</v>
      </c>
      <c r="L748" s="3" t="s">
        <v>915</v>
      </c>
      <c r="N748" s="48"/>
    </row>
    <row r="749" spans="1:14" x14ac:dyDescent="0.45">
      <c r="A749" s="3" t="s">
        <v>11</v>
      </c>
      <c r="B749" s="3" t="s">
        <v>966</v>
      </c>
      <c r="C749" s="7" t="s">
        <v>302</v>
      </c>
      <c r="E749" s="6" t="s">
        <v>967</v>
      </c>
      <c r="F749" s="3">
        <v>1</v>
      </c>
      <c r="L749" s="3" t="s">
        <v>431</v>
      </c>
      <c r="N749" s="48"/>
    </row>
    <row r="750" spans="1:14" x14ac:dyDescent="0.45">
      <c r="A750" s="3" t="s">
        <v>11</v>
      </c>
      <c r="B750" s="14">
        <v>43059</v>
      </c>
      <c r="C750" s="7" t="s">
        <v>302</v>
      </c>
      <c r="E750" s="15" t="s">
        <v>968</v>
      </c>
      <c r="F750" s="3">
        <f>SUM(2,51)</f>
        <v>53</v>
      </c>
      <c r="L750" s="3" t="s">
        <v>790</v>
      </c>
      <c r="N750" s="48"/>
    </row>
    <row r="751" spans="1:14" x14ac:dyDescent="0.45">
      <c r="A751" s="3" t="s">
        <v>11</v>
      </c>
      <c r="B751" s="14">
        <v>43059</v>
      </c>
      <c r="C751" s="7" t="s">
        <v>302</v>
      </c>
      <c r="E751" s="15" t="s">
        <v>969</v>
      </c>
      <c r="F751" s="3">
        <f>SUM(2,54)</f>
        <v>56</v>
      </c>
      <c r="L751" s="3" t="s">
        <v>790</v>
      </c>
      <c r="N751" s="48"/>
    </row>
    <row r="752" spans="1:14" x14ac:dyDescent="0.45">
      <c r="A752" s="3" t="s">
        <v>11</v>
      </c>
      <c r="B752" s="14">
        <v>43059</v>
      </c>
      <c r="C752" s="7" t="s">
        <v>302</v>
      </c>
      <c r="E752" s="15" t="s">
        <v>970</v>
      </c>
      <c r="F752" s="3">
        <f>SUM(2,56)</f>
        <v>58</v>
      </c>
      <c r="L752" s="3" t="s">
        <v>790</v>
      </c>
      <c r="N752" s="48"/>
    </row>
    <row r="753" spans="1:14" x14ac:dyDescent="0.45">
      <c r="A753" s="3" t="s">
        <v>11</v>
      </c>
      <c r="B753" s="14">
        <v>42641</v>
      </c>
      <c r="C753" s="7" t="s">
        <v>302</v>
      </c>
      <c r="E753" s="15" t="s">
        <v>971</v>
      </c>
      <c r="F753" s="3">
        <f>SUM(2,9)</f>
        <v>11</v>
      </c>
      <c r="L753" s="3" t="s">
        <v>790</v>
      </c>
      <c r="N753" s="48"/>
    </row>
    <row r="754" spans="1:14" x14ac:dyDescent="0.45">
      <c r="A754" s="3" t="s">
        <v>11</v>
      </c>
      <c r="B754" s="14">
        <v>42641</v>
      </c>
      <c r="C754" s="7" t="s">
        <v>302</v>
      </c>
      <c r="E754" s="15" t="s">
        <v>972</v>
      </c>
      <c r="F754" s="3">
        <f>SUM(2,22)</f>
        <v>24</v>
      </c>
      <c r="L754" s="3" t="s">
        <v>790</v>
      </c>
      <c r="N754" s="48"/>
    </row>
    <row r="755" spans="1:14" x14ac:dyDescent="0.45">
      <c r="A755" s="3" t="s">
        <v>11</v>
      </c>
      <c r="B755" s="14">
        <v>45450</v>
      </c>
      <c r="C755" s="7" t="s">
        <v>302</v>
      </c>
      <c r="E755" s="15" t="s">
        <v>973</v>
      </c>
      <c r="F755" s="3">
        <v>4</v>
      </c>
      <c r="N755" s="48"/>
    </row>
    <row r="756" spans="1:14" x14ac:dyDescent="0.45">
      <c r="A756" s="3" t="s">
        <v>11</v>
      </c>
      <c r="B756" s="14">
        <v>45450</v>
      </c>
      <c r="C756" s="7" t="s">
        <v>302</v>
      </c>
      <c r="E756" s="15" t="s">
        <v>974</v>
      </c>
      <c r="F756" s="3">
        <v>3</v>
      </c>
      <c r="N756" s="48"/>
    </row>
    <row r="757" spans="1:14" x14ac:dyDescent="0.45">
      <c r="A757" s="3" t="s">
        <v>11</v>
      </c>
      <c r="B757" s="16">
        <v>45467</v>
      </c>
      <c r="C757" s="7" t="s">
        <v>592</v>
      </c>
      <c r="E757" s="17" t="s">
        <v>975</v>
      </c>
      <c r="F757" s="3">
        <v>6</v>
      </c>
      <c r="N757" s="48"/>
    </row>
    <row r="758" spans="1:14" x14ac:dyDescent="0.45">
      <c r="A758" s="3" t="s">
        <v>11</v>
      </c>
      <c r="B758" s="16">
        <v>45467</v>
      </c>
      <c r="C758" s="7" t="s">
        <v>592</v>
      </c>
      <c r="E758" s="17" t="s">
        <v>976</v>
      </c>
      <c r="F758" s="3">
        <v>4</v>
      </c>
      <c r="N758" s="48"/>
    </row>
    <row r="759" spans="1:14" x14ac:dyDescent="0.45">
      <c r="A759" s="3" t="s">
        <v>11</v>
      </c>
      <c r="B759" s="16">
        <v>45195</v>
      </c>
      <c r="C759" s="7" t="s">
        <v>592</v>
      </c>
      <c r="E759" s="17" t="s">
        <v>977</v>
      </c>
      <c r="F759" s="3">
        <v>5</v>
      </c>
      <c r="N759" s="48"/>
    </row>
    <row r="760" spans="1:14" x14ac:dyDescent="0.45">
      <c r="A760" s="3" t="s">
        <v>11</v>
      </c>
      <c r="B760" s="16">
        <v>45467</v>
      </c>
      <c r="C760" s="7" t="s">
        <v>592</v>
      </c>
      <c r="E760" s="17" t="s">
        <v>978</v>
      </c>
      <c r="F760" s="3">
        <v>4</v>
      </c>
      <c r="N760" s="48"/>
    </row>
    <row r="761" spans="1:14" x14ac:dyDescent="0.45">
      <c r="A761" s="3" t="s">
        <v>11</v>
      </c>
      <c r="B761" s="16">
        <v>45195</v>
      </c>
      <c r="C761" s="7" t="s">
        <v>592</v>
      </c>
      <c r="E761" s="17" t="s">
        <v>979</v>
      </c>
      <c r="F761" s="3">
        <v>7</v>
      </c>
      <c r="N761" s="48"/>
    </row>
    <row r="762" spans="1:14" x14ac:dyDescent="0.45">
      <c r="A762" s="3" t="s">
        <v>11</v>
      </c>
      <c r="B762" s="16">
        <v>45195</v>
      </c>
      <c r="C762" s="7" t="s">
        <v>592</v>
      </c>
      <c r="E762" s="17" t="s">
        <v>980</v>
      </c>
      <c r="F762" s="3">
        <v>4</v>
      </c>
      <c r="N762" s="48"/>
    </row>
    <row r="763" spans="1:14" x14ac:dyDescent="0.45">
      <c r="A763" s="3" t="s">
        <v>11</v>
      </c>
      <c r="B763" s="14">
        <v>45414</v>
      </c>
      <c r="C763" s="7" t="s">
        <v>592</v>
      </c>
      <c r="E763" s="17" t="s">
        <v>981</v>
      </c>
      <c r="F763" s="3">
        <v>3</v>
      </c>
      <c r="N763" s="48"/>
    </row>
    <row r="764" spans="1:14" ht="15.75" x14ac:dyDescent="0.45">
      <c r="A764" s="3" t="s">
        <v>982</v>
      </c>
      <c r="B764" s="18">
        <v>42228</v>
      </c>
      <c r="C764" s="7" t="s">
        <v>575</v>
      </c>
      <c r="D764" s="18"/>
      <c r="E764" s="6" t="s">
        <v>983</v>
      </c>
      <c r="F764" s="19">
        <v>15</v>
      </c>
      <c r="L764" s="3" t="s">
        <v>984</v>
      </c>
      <c r="N764" s="48"/>
    </row>
    <row r="765" spans="1:14" ht="15.75" x14ac:dyDescent="0.45">
      <c r="A765" s="3" t="s">
        <v>982</v>
      </c>
      <c r="B765" s="18">
        <v>42228</v>
      </c>
      <c r="C765" s="7" t="s">
        <v>575</v>
      </c>
      <c r="D765" s="18"/>
      <c r="E765" s="6" t="s">
        <v>985</v>
      </c>
      <c r="F765" s="19">
        <v>15</v>
      </c>
      <c r="L765" s="3" t="s">
        <v>986</v>
      </c>
      <c r="N765" s="48"/>
    </row>
    <row r="766" spans="1:14" ht="15.75" x14ac:dyDescent="0.45">
      <c r="A766" s="3" t="s">
        <v>982</v>
      </c>
      <c r="B766" s="18">
        <v>45673</v>
      </c>
      <c r="C766" s="7" t="s">
        <v>25</v>
      </c>
      <c r="D766" s="3" t="s">
        <v>987</v>
      </c>
      <c r="E766" s="6" t="s">
        <v>988</v>
      </c>
      <c r="F766" s="3">
        <v>8</v>
      </c>
      <c r="L766" s="3" t="s">
        <v>989</v>
      </c>
      <c r="N766" s="48"/>
    </row>
    <row r="767" spans="1:14" ht="15.75" x14ac:dyDescent="0.45">
      <c r="A767" s="3" t="s">
        <v>982</v>
      </c>
      <c r="B767" s="18">
        <v>45597</v>
      </c>
      <c r="C767" s="7" t="s">
        <v>575</v>
      </c>
      <c r="D767" s="3" t="s">
        <v>990</v>
      </c>
      <c r="E767" s="6" t="s">
        <v>991</v>
      </c>
      <c r="F767" s="3">
        <v>7</v>
      </c>
      <c r="L767" s="3" t="s">
        <v>992</v>
      </c>
      <c r="N767" s="48"/>
    </row>
    <row r="768" spans="1:14" ht="15.75" x14ac:dyDescent="0.45">
      <c r="A768" s="3" t="s">
        <v>982</v>
      </c>
      <c r="B768" s="18">
        <v>45421</v>
      </c>
      <c r="C768" s="7" t="s">
        <v>25</v>
      </c>
      <c r="D768" s="20" t="s">
        <v>993</v>
      </c>
      <c r="E768" s="6" t="s">
        <v>994</v>
      </c>
      <c r="F768" s="3">
        <v>21</v>
      </c>
      <c r="N768" s="48"/>
    </row>
    <row r="769" spans="1:14" ht="15.75" x14ac:dyDescent="0.45">
      <c r="A769" s="3" t="s">
        <v>982</v>
      </c>
      <c r="B769" s="18">
        <v>44183</v>
      </c>
      <c r="C769" s="7" t="s">
        <v>575</v>
      </c>
      <c r="E769" s="6" t="s">
        <v>995</v>
      </c>
      <c r="F769" s="3">
        <v>80</v>
      </c>
      <c r="N769" s="48"/>
    </row>
    <row r="770" spans="1:14" ht="15.75" x14ac:dyDescent="0.45">
      <c r="A770" s="3" t="s">
        <v>982</v>
      </c>
      <c r="B770" s="18">
        <v>43930</v>
      </c>
      <c r="C770" s="7" t="s">
        <v>575</v>
      </c>
      <c r="E770" s="6" t="s">
        <v>996</v>
      </c>
      <c r="F770" s="3">
        <v>1</v>
      </c>
      <c r="L770" s="3" t="s">
        <v>746</v>
      </c>
      <c r="N770" s="48"/>
    </row>
    <row r="771" spans="1:14" ht="15.75" x14ac:dyDescent="0.45">
      <c r="A771" s="3" t="s">
        <v>982</v>
      </c>
      <c r="B771" s="18">
        <v>42373</v>
      </c>
      <c r="C771" s="7" t="s">
        <v>587</v>
      </c>
      <c r="E771" s="6" t="s">
        <v>997</v>
      </c>
      <c r="F771" s="3">
        <v>2</v>
      </c>
      <c r="L771" s="3" t="s">
        <v>998</v>
      </c>
      <c r="N771" s="48"/>
    </row>
    <row r="772" spans="1:14" ht="15.75" x14ac:dyDescent="0.45">
      <c r="A772" s="3" t="s">
        <v>982</v>
      </c>
      <c r="B772" s="18">
        <v>42754</v>
      </c>
      <c r="C772" s="7" t="s">
        <v>575</v>
      </c>
      <c r="E772" s="6" t="s">
        <v>999</v>
      </c>
      <c r="F772" s="3">
        <v>27</v>
      </c>
      <c r="N772" s="48"/>
    </row>
    <row r="773" spans="1:14" ht="15.75" x14ac:dyDescent="0.45">
      <c r="A773" s="3" t="s">
        <v>982</v>
      </c>
      <c r="B773" s="18">
        <v>41533</v>
      </c>
      <c r="C773" s="7" t="s">
        <v>587</v>
      </c>
      <c r="E773" s="6" t="s">
        <v>1000</v>
      </c>
      <c r="F773" s="3">
        <v>2</v>
      </c>
      <c r="N773" s="48"/>
    </row>
    <row r="774" spans="1:14" ht="15.75" x14ac:dyDescent="0.45">
      <c r="A774" s="3" t="s">
        <v>982</v>
      </c>
      <c r="B774" s="18">
        <v>42725</v>
      </c>
      <c r="C774" s="7" t="s">
        <v>575</v>
      </c>
      <c r="E774" s="6" t="s">
        <v>1001</v>
      </c>
      <c r="F774" s="3">
        <v>43</v>
      </c>
      <c r="N774" s="48"/>
    </row>
    <row r="775" spans="1:14" ht="15.75" x14ac:dyDescent="0.45">
      <c r="A775" s="3" t="s">
        <v>982</v>
      </c>
      <c r="B775" s="18">
        <v>42607</v>
      </c>
      <c r="C775" s="7" t="s">
        <v>575</v>
      </c>
      <c r="E775" s="6" t="s">
        <v>995</v>
      </c>
      <c r="F775" s="3">
        <v>80</v>
      </c>
      <c r="L775" s="3" t="s">
        <v>1002</v>
      </c>
      <c r="N775" s="48"/>
    </row>
    <row r="776" spans="1:14" ht="15.75" x14ac:dyDescent="0.45">
      <c r="A776" s="3" t="s">
        <v>982</v>
      </c>
      <c r="B776" s="18">
        <v>42607</v>
      </c>
      <c r="C776" s="7" t="s">
        <v>575</v>
      </c>
      <c r="E776" s="6" t="s">
        <v>995</v>
      </c>
      <c r="F776" s="3">
        <v>80</v>
      </c>
      <c r="L776" s="3" t="s">
        <v>1002</v>
      </c>
      <c r="N776" s="48"/>
    </row>
    <row r="777" spans="1:14" ht="15.75" x14ac:dyDescent="0.45">
      <c r="A777" s="3" t="s">
        <v>982</v>
      </c>
      <c r="B777" s="18">
        <v>42419</v>
      </c>
      <c r="C777" s="7" t="s">
        <v>575</v>
      </c>
      <c r="E777" s="6" t="s">
        <v>1003</v>
      </c>
      <c r="F777" s="3">
        <v>6</v>
      </c>
      <c r="L777" s="3" t="s">
        <v>1004</v>
      </c>
      <c r="N777" s="48"/>
    </row>
    <row r="778" spans="1:14" ht="15.75" x14ac:dyDescent="0.45">
      <c r="A778" s="3" t="s">
        <v>982</v>
      </c>
      <c r="B778" s="18">
        <v>42419</v>
      </c>
      <c r="C778" s="7" t="s">
        <v>575</v>
      </c>
      <c r="E778" s="6" t="s">
        <v>1003</v>
      </c>
      <c r="F778" s="3">
        <v>6</v>
      </c>
      <c r="L778" s="3" t="s">
        <v>1004</v>
      </c>
      <c r="N778" s="48"/>
    </row>
    <row r="779" spans="1:14" ht="15.75" x14ac:dyDescent="0.45">
      <c r="A779" s="3" t="s">
        <v>982</v>
      </c>
      <c r="B779" s="18">
        <v>42373</v>
      </c>
      <c r="C779" s="7" t="s">
        <v>587</v>
      </c>
      <c r="E779" s="6" t="s">
        <v>997</v>
      </c>
      <c r="F779" s="3">
        <v>2</v>
      </c>
      <c r="L779" s="3" t="s">
        <v>1005</v>
      </c>
      <c r="N779" s="48"/>
    </row>
    <row r="780" spans="1:14" ht="15.75" x14ac:dyDescent="0.45">
      <c r="A780" s="3" t="s">
        <v>982</v>
      </c>
      <c r="B780" s="18">
        <v>42040</v>
      </c>
      <c r="C780" s="7" t="s">
        <v>575</v>
      </c>
      <c r="E780" s="6" t="s">
        <v>1006</v>
      </c>
      <c r="F780" s="3">
        <v>66</v>
      </c>
      <c r="N780" s="48"/>
    </row>
    <row r="781" spans="1:14" ht="15.75" x14ac:dyDescent="0.45">
      <c r="A781" s="3" t="s">
        <v>982</v>
      </c>
      <c r="B781" s="18">
        <v>42039</v>
      </c>
      <c r="C781" s="7" t="s">
        <v>575</v>
      </c>
      <c r="E781" s="6" t="s">
        <v>1007</v>
      </c>
      <c r="F781" s="3">
        <v>54</v>
      </c>
      <c r="N781" s="48"/>
    </row>
    <row r="782" spans="1:14" x14ac:dyDescent="0.45">
      <c r="A782" s="3" t="s">
        <v>982</v>
      </c>
      <c r="B782" s="21">
        <v>41791</v>
      </c>
      <c r="C782" s="7" t="s">
        <v>575</v>
      </c>
      <c r="E782" s="17" t="s">
        <v>1008</v>
      </c>
      <c r="F782" s="3">
        <v>54</v>
      </c>
      <c r="L782" s="3" t="s">
        <v>1009</v>
      </c>
      <c r="N782" s="48"/>
    </row>
    <row r="783" spans="1:14" x14ac:dyDescent="0.45">
      <c r="A783" s="3" t="s">
        <v>982</v>
      </c>
      <c r="B783" s="21">
        <v>41791</v>
      </c>
      <c r="C783" s="7" t="s">
        <v>575</v>
      </c>
      <c r="E783" s="17" t="s">
        <v>1010</v>
      </c>
      <c r="F783" s="3">
        <v>66</v>
      </c>
      <c r="L783" s="3" t="s">
        <v>1009</v>
      </c>
      <c r="N783" s="48"/>
    </row>
    <row r="784" spans="1:14" x14ac:dyDescent="0.45">
      <c r="A784" s="3" t="s">
        <v>982</v>
      </c>
      <c r="B784" s="21">
        <v>41169</v>
      </c>
      <c r="C784" s="7" t="s">
        <v>575</v>
      </c>
      <c r="E784" s="17" t="s">
        <v>1011</v>
      </c>
      <c r="F784" s="3">
        <v>51</v>
      </c>
      <c r="L784" s="22" t="s">
        <v>1012</v>
      </c>
      <c r="N784" s="48"/>
    </row>
    <row r="785" spans="1:14" ht="15.75" x14ac:dyDescent="0.5">
      <c r="A785" s="3" t="s">
        <v>982</v>
      </c>
      <c r="B785" s="23">
        <v>45265</v>
      </c>
      <c r="C785" s="7" t="s">
        <v>587</v>
      </c>
      <c r="D785" s="7"/>
      <c r="E785" s="24" t="s">
        <v>1013</v>
      </c>
      <c r="F785" s="3">
        <v>2</v>
      </c>
      <c r="N785" s="48"/>
    </row>
    <row r="786" spans="1:14" ht="15.75" x14ac:dyDescent="0.45">
      <c r="A786" s="3" t="s">
        <v>982</v>
      </c>
      <c r="B786" s="18">
        <v>41533</v>
      </c>
      <c r="C786" s="7" t="s">
        <v>587</v>
      </c>
      <c r="E786" s="6" t="s">
        <v>1014</v>
      </c>
      <c r="F786" s="3">
        <v>3</v>
      </c>
      <c r="L786" s="3" t="s">
        <v>1015</v>
      </c>
      <c r="N786" s="48"/>
    </row>
    <row r="787" spans="1:14" ht="15.75" x14ac:dyDescent="0.45">
      <c r="A787" s="3" t="s">
        <v>982</v>
      </c>
      <c r="B787" s="18">
        <v>45673</v>
      </c>
      <c r="C787" s="7" t="s">
        <v>247</v>
      </c>
      <c r="E787" s="6" t="s">
        <v>1016</v>
      </c>
      <c r="F787" s="3">
        <v>21</v>
      </c>
      <c r="L787" s="3" t="s">
        <v>1015</v>
      </c>
      <c r="N787" s="48"/>
    </row>
    <row r="788" spans="1:14" ht="15.75" x14ac:dyDescent="0.45">
      <c r="A788" s="3" t="s">
        <v>982</v>
      </c>
      <c r="B788" s="18">
        <v>45425</v>
      </c>
      <c r="C788" s="7" t="s">
        <v>575</v>
      </c>
      <c r="E788" s="6" t="s">
        <v>1017</v>
      </c>
      <c r="F788" s="3">
        <v>56</v>
      </c>
      <c r="L788" s="3" t="s">
        <v>1015</v>
      </c>
      <c r="N788" s="48"/>
    </row>
    <row r="789" spans="1:14" ht="15.75" x14ac:dyDescent="0.45">
      <c r="A789" s="3" t="s">
        <v>982</v>
      </c>
      <c r="B789" s="18">
        <v>42865</v>
      </c>
      <c r="C789" s="7" t="s">
        <v>575</v>
      </c>
      <c r="E789" s="6" t="s">
        <v>1018</v>
      </c>
      <c r="F789" s="3">
        <v>2</v>
      </c>
      <c r="L789" s="3" t="s">
        <v>1015</v>
      </c>
      <c r="N789" s="48"/>
    </row>
    <row r="790" spans="1:14" ht="15.75" x14ac:dyDescent="0.45">
      <c r="A790" s="3" t="s">
        <v>982</v>
      </c>
      <c r="B790" s="18">
        <v>42865</v>
      </c>
      <c r="C790" s="7" t="s">
        <v>575</v>
      </c>
      <c r="E790" s="6" t="s">
        <v>1019</v>
      </c>
      <c r="F790" s="3">
        <v>29</v>
      </c>
      <c r="L790" s="3" t="s">
        <v>1015</v>
      </c>
      <c r="N790" s="48"/>
    </row>
    <row r="791" spans="1:14" ht="15.75" x14ac:dyDescent="0.45">
      <c r="A791" s="3" t="s">
        <v>982</v>
      </c>
      <c r="B791" s="18">
        <v>42760</v>
      </c>
      <c r="C791" s="7" t="s">
        <v>575</v>
      </c>
      <c r="E791" s="6" t="s">
        <v>1020</v>
      </c>
      <c r="F791" s="3">
        <v>22</v>
      </c>
      <c r="L791" s="3" t="s">
        <v>1015</v>
      </c>
      <c r="N791" s="48"/>
    </row>
    <row r="792" spans="1:14" ht="15.75" x14ac:dyDescent="0.45">
      <c r="A792" s="3" t="s">
        <v>982</v>
      </c>
      <c r="B792" s="18">
        <v>43189</v>
      </c>
      <c r="C792" s="7" t="s">
        <v>575</v>
      </c>
      <c r="E792" s="6" t="s">
        <v>1021</v>
      </c>
      <c r="F792" s="3">
        <v>28</v>
      </c>
      <c r="L792" s="3" t="s">
        <v>1022</v>
      </c>
      <c r="N792" s="48"/>
    </row>
    <row r="793" spans="1:14" ht="15.75" x14ac:dyDescent="0.45">
      <c r="A793" s="3" t="s">
        <v>982</v>
      </c>
      <c r="B793" s="18">
        <v>42678</v>
      </c>
      <c r="C793" s="7" t="s">
        <v>575</v>
      </c>
      <c r="E793" s="6" t="s">
        <v>1021</v>
      </c>
      <c r="F793" s="3">
        <v>28</v>
      </c>
      <c r="L793" s="3" t="s">
        <v>1015</v>
      </c>
      <c r="N793" s="48"/>
    </row>
    <row r="794" spans="1:14" ht="15.75" x14ac:dyDescent="0.45">
      <c r="A794" s="3" t="s">
        <v>982</v>
      </c>
      <c r="B794" s="18">
        <v>42674</v>
      </c>
      <c r="C794" s="7" t="s">
        <v>575</v>
      </c>
      <c r="E794" s="6" t="s">
        <v>1023</v>
      </c>
      <c r="F794" s="3">
        <v>39</v>
      </c>
      <c r="L794" s="3" t="s">
        <v>1015</v>
      </c>
      <c r="N794" s="48"/>
    </row>
    <row r="795" spans="1:14" ht="15.75" x14ac:dyDescent="0.45">
      <c r="A795" s="3" t="s">
        <v>982</v>
      </c>
      <c r="B795" s="18">
        <v>42664</v>
      </c>
      <c r="C795" s="7" t="s">
        <v>575</v>
      </c>
      <c r="E795" s="6" t="s">
        <v>1024</v>
      </c>
      <c r="F795" s="3">
        <v>25</v>
      </c>
      <c r="L795" s="3" t="s">
        <v>1015</v>
      </c>
      <c r="N795" s="48"/>
    </row>
    <row r="796" spans="1:14" ht="15.75" x14ac:dyDescent="0.45">
      <c r="A796" s="3" t="s">
        <v>982</v>
      </c>
      <c r="B796" s="18">
        <v>42649</v>
      </c>
      <c r="C796" s="7" t="s">
        <v>575</v>
      </c>
      <c r="E796" s="6" t="s">
        <v>1025</v>
      </c>
      <c r="F796" s="3">
        <v>13</v>
      </c>
      <c r="L796" s="3" t="s">
        <v>1015</v>
      </c>
      <c r="N796" s="48"/>
    </row>
    <row r="797" spans="1:14" ht="15.75" x14ac:dyDescent="0.45">
      <c r="A797" s="3" t="s">
        <v>982</v>
      </c>
      <c r="B797" s="18">
        <v>42642</v>
      </c>
      <c r="C797" s="7" t="s">
        <v>575</v>
      </c>
      <c r="E797" s="6" t="s">
        <v>1026</v>
      </c>
      <c r="F797" s="3">
        <v>35</v>
      </c>
      <c r="L797" s="3" t="s">
        <v>1015</v>
      </c>
      <c r="N797" s="48"/>
    </row>
    <row r="798" spans="1:14" ht="15.75" x14ac:dyDescent="0.45">
      <c r="A798" s="3" t="s">
        <v>982</v>
      </c>
      <c r="B798" s="18">
        <v>42634</v>
      </c>
      <c r="C798" s="7" t="s">
        <v>575</v>
      </c>
      <c r="E798" s="6" t="s">
        <v>1027</v>
      </c>
      <c r="F798" s="3">
        <v>2</v>
      </c>
      <c r="L798" s="3" t="s">
        <v>1015</v>
      </c>
      <c r="N798" s="48"/>
    </row>
    <row r="799" spans="1:14" ht="15.75" x14ac:dyDescent="0.45">
      <c r="A799" s="3" t="s">
        <v>982</v>
      </c>
      <c r="B799" s="18">
        <v>42634</v>
      </c>
      <c r="C799" s="7" t="s">
        <v>575</v>
      </c>
      <c r="E799" s="6" t="s">
        <v>1028</v>
      </c>
      <c r="F799" s="3">
        <v>16</v>
      </c>
      <c r="L799" s="3" t="s">
        <v>1015</v>
      </c>
      <c r="N799" s="48"/>
    </row>
    <row r="800" spans="1:14" ht="15.75" x14ac:dyDescent="0.45">
      <c r="A800" s="3" t="s">
        <v>982</v>
      </c>
      <c r="B800" s="18">
        <v>42582</v>
      </c>
      <c r="C800" s="7" t="s">
        <v>575</v>
      </c>
      <c r="E800" s="6" t="s">
        <v>1029</v>
      </c>
      <c r="F800" s="3">
        <v>12</v>
      </c>
      <c r="L800" s="3" t="s">
        <v>1015</v>
      </c>
      <c r="N800" s="48"/>
    </row>
    <row r="801" spans="1:14" ht="15.75" x14ac:dyDescent="0.45">
      <c r="A801" s="3" t="s">
        <v>982</v>
      </c>
      <c r="B801" s="18">
        <v>42570</v>
      </c>
      <c r="C801" s="7" t="s">
        <v>575</v>
      </c>
      <c r="E801" s="6" t="s">
        <v>1030</v>
      </c>
      <c r="F801" s="3">
        <v>24</v>
      </c>
      <c r="L801" s="3" t="s">
        <v>1015</v>
      </c>
      <c r="N801" s="48"/>
    </row>
    <row r="802" spans="1:14" ht="15.75" x14ac:dyDescent="0.45">
      <c r="A802" s="3" t="s">
        <v>982</v>
      </c>
      <c r="B802" s="18">
        <v>42495</v>
      </c>
      <c r="C802" s="7" t="s">
        <v>575</v>
      </c>
      <c r="E802" s="6" t="s">
        <v>1031</v>
      </c>
      <c r="F802" s="3">
        <v>27</v>
      </c>
      <c r="L802" s="3" t="s">
        <v>1015</v>
      </c>
      <c r="N802" s="48"/>
    </row>
    <row r="803" spans="1:14" ht="15.75" x14ac:dyDescent="0.45">
      <c r="A803" s="3" t="s">
        <v>982</v>
      </c>
      <c r="B803" s="18">
        <v>42277</v>
      </c>
      <c r="C803" s="7" t="s">
        <v>575</v>
      </c>
      <c r="E803" s="6" t="s">
        <v>1032</v>
      </c>
      <c r="F803" s="3">
        <v>56</v>
      </c>
      <c r="L803" s="3" t="s">
        <v>1015</v>
      </c>
      <c r="N803" s="48"/>
    </row>
    <row r="804" spans="1:14" ht="15.75" x14ac:dyDescent="0.45">
      <c r="A804" s="3" t="s">
        <v>982</v>
      </c>
      <c r="B804" s="18">
        <v>44140</v>
      </c>
      <c r="C804" s="7" t="s">
        <v>575</v>
      </c>
      <c r="E804" s="6" t="s">
        <v>1033</v>
      </c>
      <c r="F804" s="3">
        <v>56</v>
      </c>
      <c r="L804" s="3" t="s">
        <v>1015</v>
      </c>
      <c r="N804" s="48"/>
    </row>
    <row r="805" spans="1:14" ht="15.75" x14ac:dyDescent="0.45">
      <c r="A805" s="3" t="s">
        <v>982</v>
      </c>
      <c r="B805" s="18">
        <v>41982</v>
      </c>
      <c r="C805" s="7" t="s">
        <v>575</v>
      </c>
      <c r="E805" s="6" t="s">
        <v>1034</v>
      </c>
      <c r="F805" s="3">
        <v>17</v>
      </c>
      <c r="L805" s="3" t="s">
        <v>1015</v>
      </c>
      <c r="N805" s="48"/>
    </row>
    <row r="806" spans="1:14" ht="15.75" x14ac:dyDescent="0.45">
      <c r="A806" s="3" t="s">
        <v>982</v>
      </c>
      <c r="B806" s="18">
        <v>41590</v>
      </c>
      <c r="C806" s="7" t="s">
        <v>575</v>
      </c>
      <c r="E806" s="6" t="s">
        <v>1035</v>
      </c>
      <c r="F806" s="3">
        <v>2</v>
      </c>
      <c r="L806" s="3" t="s">
        <v>1015</v>
      </c>
      <c r="N806" s="48"/>
    </row>
    <row r="807" spans="1:14" ht="15.75" x14ac:dyDescent="0.45">
      <c r="A807" s="3" t="s">
        <v>982</v>
      </c>
      <c r="B807" s="25">
        <v>41590</v>
      </c>
      <c r="C807" s="7" t="s">
        <v>575</v>
      </c>
      <c r="E807" s="26" t="s">
        <v>1036</v>
      </c>
      <c r="F807" s="3">
        <v>81</v>
      </c>
      <c r="L807" s="3" t="s">
        <v>1015</v>
      </c>
      <c r="N807" s="48"/>
    </row>
    <row r="808" spans="1:14" ht="15.75" x14ac:dyDescent="0.45">
      <c r="A808" s="3" t="s">
        <v>982</v>
      </c>
      <c r="B808" s="25">
        <v>41590</v>
      </c>
      <c r="C808" s="7" t="s">
        <v>575</v>
      </c>
      <c r="E808" s="26" t="s">
        <v>1037</v>
      </c>
      <c r="F808" s="3">
        <v>80</v>
      </c>
      <c r="L808" s="3" t="s">
        <v>1015</v>
      </c>
      <c r="N808" s="48"/>
    </row>
    <row r="809" spans="1:14" x14ac:dyDescent="0.45">
      <c r="A809" s="3" t="s">
        <v>1038</v>
      </c>
      <c r="B809" s="4">
        <v>40591</v>
      </c>
      <c r="C809" s="7" t="s">
        <v>25</v>
      </c>
      <c r="D809" s="3" t="s">
        <v>1039</v>
      </c>
      <c r="E809" s="6" t="s">
        <v>1040</v>
      </c>
      <c r="F809" s="3" t="s">
        <v>1041</v>
      </c>
      <c r="L809" s="9" t="s">
        <v>1042</v>
      </c>
      <c r="N809" s="48"/>
    </row>
    <row r="810" spans="1:14" x14ac:dyDescent="0.45">
      <c r="A810" s="3" t="s">
        <v>1038</v>
      </c>
      <c r="B810" s="4">
        <v>45776</v>
      </c>
      <c r="C810" s="7" t="s">
        <v>25</v>
      </c>
      <c r="D810" s="3" t="s">
        <v>1043</v>
      </c>
      <c r="E810" s="6" t="s">
        <v>1044</v>
      </c>
      <c r="F810" s="3">
        <v>10</v>
      </c>
      <c r="L810" s="27"/>
      <c r="N810" s="48"/>
    </row>
    <row r="811" spans="1:14" x14ac:dyDescent="0.45">
      <c r="A811" s="3" t="s">
        <v>1038</v>
      </c>
      <c r="B811" s="4">
        <v>45671</v>
      </c>
      <c r="C811" s="7" t="s">
        <v>25</v>
      </c>
      <c r="D811" s="3" t="s">
        <v>1045</v>
      </c>
      <c r="E811" s="6" t="s">
        <v>1046</v>
      </c>
      <c r="F811" s="3">
        <v>6</v>
      </c>
      <c r="L811" s="3" t="s">
        <v>746</v>
      </c>
      <c r="N811" s="48"/>
    </row>
    <row r="812" spans="1:14" x14ac:dyDescent="0.45">
      <c r="A812" s="3" t="s">
        <v>1038</v>
      </c>
      <c r="B812" s="4">
        <v>45667</v>
      </c>
      <c r="C812" s="7" t="s">
        <v>25</v>
      </c>
      <c r="D812" s="3" t="s">
        <v>1047</v>
      </c>
      <c r="E812" s="6" t="s">
        <v>1048</v>
      </c>
      <c r="F812" s="3">
        <v>6</v>
      </c>
      <c r="L812" s="3" t="s">
        <v>746</v>
      </c>
      <c r="N812" s="48"/>
    </row>
    <row r="813" spans="1:14" x14ac:dyDescent="0.45">
      <c r="A813" s="3" t="s">
        <v>1038</v>
      </c>
      <c r="B813" s="4">
        <v>45664</v>
      </c>
      <c r="C813" s="7" t="s">
        <v>25</v>
      </c>
      <c r="D813" s="3" t="s">
        <v>1049</v>
      </c>
      <c r="E813" s="6" t="s">
        <v>1050</v>
      </c>
      <c r="F813" s="3">
        <v>9</v>
      </c>
      <c r="L813" s="3" t="s">
        <v>746</v>
      </c>
      <c r="N813" s="48"/>
    </row>
    <row r="814" spans="1:14" x14ac:dyDescent="0.45">
      <c r="A814" s="3" t="s">
        <v>1038</v>
      </c>
      <c r="B814" s="4">
        <v>45597</v>
      </c>
      <c r="C814" s="7" t="s">
        <v>25</v>
      </c>
      <c r="D814" s="3" t="s">
        <v>1051</v>
      </c>
      <c r="E814" s="6" t="s">
        <v>1052</v>
      </c>
      <c r="F814" s="3">
        <v>7</v>
      </c>
      <c r="L814" s="3" t="s">
        <v>746</v>
      </c>
      <c r="N814" s="48"/>
    </row>
    <row r="815" spans="1:14" x14ac:dyDescent="0.45">
      <c r="A815" s="3" t="s">
        <v>1038</v>
      </c>
      <c r="B815" s="4">
        <v>45581</v>
      </c>
      <c r="C815" s="7" t="s">
        <v>25</v>
      </c>
      <c r="D815" s="3" t="s">
        <v>1053</v>
      </c>
      <c r="E815" s="6" t="s">
        <v>1054</v>
      </c>
      <c r="F815" s="3">
        <v>9</v>
      </c>
      <c r="L815" s="27"/>
      <c r="N815" s="48"/>
    </row>
    <row r="816" spans="1:14" x14ac:dyDescent="0.45">
      <c r="A816" s="3" t="s">
        <v>1038</v>
      </c>
      <c r="B816" s="4">
        <v>45421</v>
      </c>
      <c r="C816" s="7" t="s">
        <v>25</v>
      </c>
      <c r="D816" s="3" t="s">
        <v>1055</v>
      </c>
      <c r="E816" s="6" t="s">
        <v>1056</v>
      </c>
      <c r="F816" s="3">
        <v>2</v>
      </c>
      <c r="L816" s="3" t="s">
        <v>746</v>
      </c>
      <c r="N816" s="48"/>
    </row>
    <row r="817" spans="1:14" x14ac:dyDescent="0.45">
      <c r="A817" s="3" t="s">
        <v>1038</v>
      </c>
      <c r="B817" s="4">
        <v>44811</v>
      </c>
      <c r="C817" s="7" t="s">
        <v>25</v>
      </c>
      <c r="D817" s="3" t="s">
        <v>1057</v>
      </c>
      <c r="E817" s="6" t="s">
        <v>1058</v>
      </c>
      <c r="F817" s="3">
        <v>10</v>
      </c>
      <c r="L817" s="9" t="s">
        <v>1059</v>
      </c>
      <c r="N817" s="48"/>
    </row>
    <row r="818" spans="1:14" x14ac:dyDescent="0.45">
      <c r="A818" s="3" t="s">
        <v>1038</v>
      </c>
      <c r="B818" s="4">
        <v>44652</v>
      </c>
      <c r="C818" s="7" t="s">
        <v>25</v>
      </c>
      <c r="D818" s="3" t="s">
        <v>1060</v>
      </c>
      <c r="E818" s="6" t="s">
        <v>1061</v>
      </c>
      <c r="F818" s="3">
        <v>8</v>
      </c>
      <c r="L818" s="27"/>
      <c r="N818" s="48"/>
    </row>
    <row r="819" spans="1:14" x14ac:dyDescent="0.45">
      <c r="A819" s="3" t="s">
        <v>1038</v>
      </c>
      <c r="B819" s="4">
        <v>44407</v>
      </c>
      <c r="C819" s="7" t="s">
        <v>25</v>
      </c>
      <c r="D819" s="3" t="s">
        <v>1062</v>
      </c>
      <c r="E819" s="6" t="s">
        <v>1063</v>
      </c>
      <c r="F819" s="3">
        <v>7</v>
      </c>
      <c r="N819" s="48"/>
    </row>
    <row r="820" spans="1:14" x14ac:dyDescent="0.45">
      <c r="A820" s="3" t="s">
        <v>1038</v>
      </c>
      <c r="B820" s="4">
        <v>44358</v>
      </c>
      <c r="C820" s="7" t="s">
        <v>25</v>
      </c>
      <c r="D820" s="3" t="s">
        <v>1064</v>
      </c>
      <c r="E820" s="6" t="s">
        <v>1065</v>
      </c>
      <c r="F820" s="3">
        <v>18</v>
      </c>
      <c r="N820" s="48"/>
    </row>
    <row r="821" spans="1:14" x14ac:dyDescent="0.45">
      <c r="A821" s="3" t="s">
        <v>1038</v>
      </c>
      <c r="B821" s="4">
        <v>44326</v>
      </c>
      <c r="C821" s="7" t="s">
        <v>25</v>
      </c>
      <c r="D821" s="3" t="s">
        <v>1066</v>
      </c>
      <c r="E821" s="6" t="s">
        <v>1067</v>
      </c>
      <c r="F821" s="3">
        <v>2</v>
      </c>
      <c r="L821" s="3" t="s">
        <v>746</v>
      </c>
      <c r="N821" s="48"/>
    </row>
    <row r="822" spans="1:14" x14ac:dyDescent="0.45">
      <c r="A822" s="3" t="s">
        <v>1038</v>
      </c>
      <c r="B822" s="4">
        <v>44300</v>
      </c>
      <c r="C822" s="7" t="s">
        <v>25</v>
      </c>
      <c r="D822" s="3" t="s">
        <v>1068</v>
      </c>
      <c r="E822" s="6" t="s">
        <v>1069</v>
      </c>
      <c r="F822" s="3">
        <v>17</v>
      </c>
      <c r="N822" s="48"/>
    </row>
    <row r="823" spans="1:14" x14ac:dyDescent="0.45">
      <c r="A823" s="3" t="s">
        <v>1038</v>
      </c>
      <c r="B823" s="4">
        <v>43920</v>
      </c>
      <c r="C823" s="7" t="s">
        <v>25</v>
      </c>
      <c r="D823" s="3" t="s">
        <v>1070</v>
      </c>
      <c r="E823" s="6" t="s">
        <v>1071</v>
      </c>
      <c r="F823" s="3">
        <v>5</v>
      </c>
      <c r="N823" s="48"/>
    </row>
    <row r="824" spans="1:14" x14ac:dyDescent="0.45">
      <c r="A824" s="3" t="s">
        <v>1038</v>
      </c>
      <c r="B824" s="4">
        <v>43950</v>
      </c>
      <c r="C824" s="7" t="s">
        <v>25</v>
      </c>
      <c r="D824" s="3" t="s">
        <v>1072</v>
      </c>
      <c r="E824" s="6" t="s">
        <v>1073</v>
      </c>
      <c r="F824" s="3">
        <v>9</v>
      </c>
      <c r="N824" s="48"/>
    </row>
    <row r="825" spans="1:14" x14ac:dyDescent="0.45">
      <c r="A825" s="3" t="s">
        <v>1038</v>
      </c>
      <c r="B825" s="4">
        <v>43621</v>
      </c>
      <c r="C825" s="7" t="s">
        <v>25</v>
      </c>
      <c r="D825" s="3" t="s">
        <v>1074</v>
      </c>
      <c r="E825" s="6" t="s">
        <v>1075</v>
      </c>
      <c r="F825" s="3">
        <v>7</v>
      </c>
      <c r="L825" s="3" t="s">
        <v>746</v>
      </c>
      <c r="N825" s="48"/>
    </row>
    <row r="826" spans="1:14" x14ac:dyDescent="0.45">
      <c r="A826" s="3" t="s">
        <v>1038</v>
      </c>
      <c r="B826" s="4">
        <v>43334</v>
      </c>
      <c r="C826" s="7" t="s">
        <v>25</v>
      </c>
      <c r="D826" s="3" t="s">
        <v>1076</v>
      </c>
      <c r="E826" s="6" t="s">
        <v>1077</v>
      </c>
      <c r="F826" s="3">
        <v>9</v>
      </c>
      <c r="L826" s="9" t="s">
        <v>1078</v>
      </c>
      <c r="N826" s="48"/>
    </row>
    <row r="827" spans="1:14" x14ac:dyDescent="0.45">
      <c r="A827" s="3" t="s">
        <v>1038</v>
      </c>
      <c r="B827" s="4">
        <v>43390</v>
      </c>
      <c r="C827" s="7" t="s">
        <v>25</v>
      </c>
      <c r="D827" s="3" t="s">
        <v>1079</v>
      </c>
      <c r="E827" s="6" t="s">
        <v>1080</v>
      </c>
      <c r="F827" s="3">
        <v>16</v>
      </c>
      <c r="L827" s="9" t="s">
        <v>1078</v>
      </c>
      <c r="N827" s="48"/>
    </row>
    <row r="828" spans="1:14" x14ac:dyDescent="0.45">
      <c r="A828" s="3" t="s">
        <v>1038</v>
      </c>
      <c r="B828" s="4">
        <v>43304</v>
      </c>
      <c r="C828" s="7" t="s">
        <v>25</v>
      </c>
      <c r="D828" s="3" t="s">
        <v>1081</v>
      </c>
      <c r="E828" s="6" t="s">
        <v>1082</v>
      </c>
      <c r="F828" s="3">
        <v>13</v>
      </c>
      <c r="L828" s="9" t="s">
        <v>1078</v>
      </c>
      <c r="N828" s="48"/>
    </row>
    <row r="829" spans="1:14" x14ac:dyDescent="0.45">
      <c r="A829" s="3" t="s">
        <v>1038</v>
      </c>
      <c r="B829" s="4">
        <v>43158</v>
      </c>
      <c r="C829" s="7" t="s">
        <v>25</v>
      </c>
      <c r="D829" s="3" t="s">
        <v>1083</v>
      </c>
      <c r="E829" s="6" t="s">
        <v>1084</v>
      </c>
      <c r="F829" s="3">
        <v>12</v>
      </c>
      <c r="L829" s="9" t="s">
        <v>1078</v>
      </c>
      <c r="N829" s="48"/>
    </row>
    <row r="830" spans="1:14" x14ac:dyDescent="0.45">
      <c r="A830" s="3" t="s">
        <v>1038</v>
      </c>
      <c r="B830" s="4">
        <v>43066</v>
      </c>
      <c r="C830" s="7" t="s">
        <v>25</v>
      </c>
      <c r="D830" s="3" t="s">
        <v>1085</v>
      </c>
      <c r="E830" s="6" t="s">
        <v>1086</v>
      </c>
      <c r="F830" s="3">
        <f>SUM(9,3,3)</f>
        <v>15</v>
      </c>
      <c r="L830" s="9" t="s">
        <v>1087</v>
      </c>
      <c r="N830" s="48"/>
    </row>
    <row r="831" spans="1:14" x14ac:dyDescent="0.45">
      <c r="A831" s="3" t="s">
        <v>1038</v>
      </c>
      <c r="B831" s="4">
        <v>43066</v>
      </c>
      <c r="C831" s="7" t="s">
        <v>25</v>
      </c>
      <c r="D831" s="3" t="s">
        <v>1088</v>
      </c>
      <c r="E831" s="6" t="s">
        <v>1089</v>
      </c>
      <c r="F831" s="3">
        <v>4</v>
      </c>
      <c r="N831" s="48"/>
    </row>
    <row r="832" spans="1:14" x14ac:dyDescent="0.45">
      <c r="A832" s="3" t="s">
        <v>1038</v>
      </c>
      <c r="B832" s="4">
        <v>42703</v>
      </c>
      <c r="C832" s="7" t="s">
        <v>25</v>
      </c>
      <c r="D832" s="3" t="s">
        <v>1090</v>
      </c>
      <c r="E832" s="6" t="s">
        <v>1091</v>
      </c>
      <c r="F832" s="3">
        <v>11</v>
      </c>
      <c r="L832" s="9" t="s">
        <v>1078</v>
      </c>
      <c r="N832" s="48"/>
    </row>
    <row r="833" spans="1:14" x14ac:dyDescent="0.45">
      <c r="A833" s="3" t="s">
        <v>1038</v>
      </c>
      <c r="B833" s="4">
        <v>42419</v>
      </c>
      <c r="C833" s="7" t="s">
        <v>25</v>
      </c>
      <c r="D833" s="3" t="s">
        <v>1092</v>
      </c>
      <c r="E833" s="6" t="s">
        <v>1093</v>
      </c>
      <c r="F833" s="3">
        <v>10</v>
      </c>
      <c r="L833" s="9" t="s">
        <v>1078</v>
      </c>
      <c r="N833" s="48"/>
    </row>
    <row r="834" spans="1:14" x14ac:dyDescent="0.45">
      <c r="A834" s="3" t="s">
        <v>1038</v>
      </c>
      <c r="B834" s="4">
        <v>42388</v>
      </c>
      <c r="C834" s="7" t="s">
        <v>25</v>
      </c>
      <c r="D834" s="3" t="s">
        <v>1094</v>
      </c>
      <c r="E834" s="6" t="s">
        <v>1095</v>
      </c>
      <c r="F834" s="3">
        <v>9</v>
      </c>
      <c r="L834" s="9" t="s">
        <v>1078</v>
      </c>
      <c r="N834" s="48"/>
    </row>
    <row r="835" spans="1:14" x14ac:dyDescent="0.45">
      <c r="A835" s="3" t="s">
        <v>1038</v>
      </c>
      <c r="B835" s="4">
        <v>42314</v>
      </c>
      <c r="C835" s="7" t="s">
        <v>25</v>
      </c>
      <c r="D835" s="3" t="s">
        <v>1096</v>
      </c>
      <c r="E835" s="6" t="s">
        <v>1097</v>
      </c>
      <c r="F835" s="3" t="s">
        <v>1041</v>
      </c>
      <c r="L835" s="9" t="s">
        <v>1098</v>
      </c>
      <c r="N835" s="48"/>
    </row>
    <row r="836" spans="1:14" x14ac:dyDescent="0.45">
      <c r="A836" s="3" t="s">
        <v>1038</v>
      </c>
      <c r="B836" s="4">
        <v>42255</v>
      </c>
      <c r="C836" s="7" t="s">
        <v>25</v>
      </c>
      <c r="D836" s="3" t="s">
        <v>1099</v>
      </c>
      <c r="E836" s="6" t="s">
        <v>1100</v>
      </c>
      <c r="F836" s="3">
        <v>12</v>
      </c>
      <c r="L836" s="9" t="s">
        <v>1078</v>
      </c>
      <c r="N836" s="48"/>
    </row>
    <row r="837" spans="1:14" x14ac:dyDescent="0.45">
      <c r="A837" s="3" t="s">
        <v>1038</v>
      </c>
      <c r="B837" s="4">
        <v>42222</v>
      </c>
      <c r="C837" s="7" t="s">
        <v>25</v>
      </c>
      <c r="D837" s="3" t="s">
        <v>1101</v>
      </c>
      <c r="E837" s="6" t="s">
        <v>1102</v>
      </c>
      <c r="F837" s="3">
        <v>13</v>
      </c>
      <c r="L837" s="9" t="s">
        <v>1078</v>
      </c>
      <c r="N837" s="48"/>
    </row>
    <row r="838" spans="1:14" x14ac:dyDescent="0.45">
      <c r="A838" s="3" t="s">
        <v>1038</v>
      </c>
      <c r="B838" s="4">
        <v>41723</v>
      </c>
      <c r="C838" s="7" t="s">
        <v>25</v>
      </c>
      <c r="E838" s="6" t="s">
        <v>1103</v>
      </c>
      <c r="F838" s="3" t="s">
        <v>1041</v>
      </c>
      <c r="L838" s="9" t="s">
        <v>1098</v>
      </c>
      <c r="N838" s="48"/>
    </row>
    <row r="839" spans="1:14" x14ac:dyDescent="0.45">
      <c r="A839" s="3" t="s">
        <v>1038</v>
      </c>
      <c r="B839" s="4">
        <v>41250</v>
      </c>
      <c r="C839" s="7" t="s">
        <v>25</v>
      </c>
      <c r="D839" s="3" t="s">
        <v>1104</v>
      </c>
      <c r="E839" s="6" t="s">
        <v>1105</v>
      </c>
      <c r="F839" s="3">
        <v>3</v>
      </c>
      <c r="L839" s="9" t="s">
        <v>1078</v>
      </c>
      <c r="N839" s="48"/>
    </row>
    <row r="840" spans="1:14" x14ac:dyDescent="0.45">
      <c r="A840" s="3" t="s">
        <v>1038</v>
      </c>
      <c r="B840" s="4">
        <v>41038</v>
      </c>
      <c r="C840" s="7" t="s">
        <v>25</v>
      </c>
      <c r="D840" s="3" t="s">
        <v>1106</v>
      </c>
      <c r="E840" s="6" t="s">
        <v>1107</v>
      </c>
      <c r="F840" s="3" t="s">
        <v>1041</v>
      </c>
      <c r="L840" s="9" t="s">
        <v>1098</v>
      </c>
      <c r="N840" s="48"/>
    </row>
    <row r="841" spans="1:14" x14ac:dyDescent="0.45">
      <c r="A841" s="3" t="s">
        <v>1038</v>
      </c>
      <c r="B841" s="4">
        <v>40807</v>
      </c>
      <c r="C841" s="7" t="s">
        <v>25</v>
      </c>
      <c r="D841" s="3" t="s">
        <v>1108</v>
      </c>
      <c r="E841" s="6" t="s">
        <v>1109</v>
      </c>
      <c r="F841" s="3">
        <v>8</v>
      </c>
      <c r="N841" s="48"/>
    </row>
    <row r="842" spans="1:14" x14ac:dyDescent="0.45">
      <c r="A842" s="3" t="s">
        <v>1038</v>
      </c>
      <c r="B842" s="4">
        <v>40806</v>
      </c>
      <c r="C842" s="7" t="s">
        <v>25</v>
      </c>
      <c r="D842" s="3" t="s">
        <v>1110</v>
      </c>
      <c r="E842" s="6" t="s">
        <v>1111</v>
      </c>
      <c r="F842" s="3">
        <v>9</v>
      </c>
      <c r="L842" s="9" t="s">
        <v>1059</v>
      </c>
      <c r="N842" s="48"/>
    </row>
    <row r="843" spans="1:14" x14ac:dyDescent="0.45">
      <c r="A843" s="3" t="s">
        <v>1038</v>
      </c>
      <c r="B843" s="4">
        <v>40786</v>
      </c>
      <c r="C843" s="7" t="s">
        <v>25</v>
      </c>
      <c r="D843" s="3" t="s">
        <v>1112</v>
      </c>
      <c r="E843" s="6" t="s">
        <v>1113</v>
      </c>
      <c r="F843" s="3">
        <f>SUM(3,4)</f>
        <v>7</v>
      </c>
      <c r="L843" s="3" t="s">
        <v>1114</v>
      </c>
      <c r="N843" s="48"/>
    </row>
    <row r="844" spans="1:14" x14ac:dyDescent="0.45">
      <c r="A844" s="3" t="s">
        <v>1038</v>
      </c>
      <c r="B844" s="4">
        <v>40688</v>
      </c>
      <c r="C844" s="7" t="s">
        <v>25</v>
      </c>
      <c r="D844" s="3" t="s">
        <v>1115</v>
      </c>
      <c r="E844" s="6" t="s">
        <v>1116</v>
      </c>
      <c r="F844" s="3">
        <v>1</v>
      </c>
      <c r="L844" s="9" t="s">
        <v>1059</v>
      </c>
      <c r="N844" s="48"/>
    </row>
    <row r="845" spans="1:14" x14ac:dyDescent="0.45">
      <c r="A845" s="3" t="s">
        <v>1038</v>
      </c>
      <c r="B845" s="4">
        <v>40634</v>
      </c>
      <c r="C845" s="7" t="s">
        <v>25</v>
      </c>
      <c r="E845" s="6" t="s">
        <v>1117</v>
      </c>
      <c r="F845" s="3">
        <v>7</v>
      </c>
      <c r="N845" s="48"/>
    </row>
    <row r="846" spans="1:14" x14ac:dyDescent="0.45">
      <c r="A846" s="3" t="s">
        <v>1038</v>
      </c>
      <c r="B846" s="4">
        <v>40480</v>
      </c>
      <c r="C846" s="7" t="s">
        <v>25</v>
      </c>
      <c r="D846" s="3" t="s">
        <v>1118</v>
      </c>
      <c r="E846" s="6" t="s">
        <v>1119</v>
      </c>
      <c r="F846" s="3">
        <v>3</v>
      </c>
      <c r="N846" s="48"/>
    </row>
    <row r="847" spans="1:14" x14ac:dyDescent="0.45">
      <c r="A847" s="3" t="s">
        <v>1038</v>
      </c>
      <c r="B847" s="4">
        <v>40365</v>
      </c>
      <c r="C847" s="7" t="s">
        <v>25</v>
      </c>
      <c r="D847" s="3" t="s">
        <v>1120</v>
      </c>
      <c r="E847" s="6" t="s">
        <v>1121</v>
      </c>
      <c r="F847" s="3">
        <v>8</v>
      </c>
      <c r="L847" s="9" t="s">
        <v>1059</v>
      </c>
      <c r="N847" s="48"/>
    </row>
    <row r="848" spans="1:14" x14ac:dyDescent="0.45">
      <c r="A848" s="3" t="s">
        <v>1038</v>
      </c>
      <c r="B848" s="4">
        <v>39966</v>
      </c>
      <c r="C848" s="7" t="s">
        <v>25</v>
      </c>
      <c r="D848" s="3" t="s">
        <v>1122</v>
      </c>
      <c r="E848" s="6" t="s">
        <v>1123</v>
      </c>
      <c r="F848" s="3">
        <v>7</v>
      </c>
      <c r="L848" s="9" t="s">
        <v>1059</v>
      </c>
      <c r="N848" s="48"/>
    </row>
    <row r="849" spans="1:15" x14ac:dyDescent="0.45">
      <c r="A849" s="3" t="s">
        <v>1038</v>
      </c>
      <c r="B849" s="4">
        <v>38601</v>
      </c>
      <c r="C849" s="7" t="s">
        <v>25</v>
      </c>
      <c r="D849" s="3" t="s">
        <v>1124</v>
      </c>
      <c r="E849" s="6" t="s">
        <v>1125</v>
      </c>
      <c r="F849" s="3">
        <v>7</v>
      </c>
      <c r="L849" s="9" t="s">
        <v>1059</v>
      </c>
      <c r="N849" s="48"/>
    </row>
    <row r="850" spans="1:15" x14ac:dyDescent="0.45">
      <c r="A850" s="3" t="s">
        <v>1038</v>
      </c>
      <c r="B850" s="4">
        <v>38460</v>
      </c>
      <c r="C850" s="7" t="s">
        <v>25</v>
      </c>
      <c r="D850" s="3" t="s">
        <v>1126</v>
      </c>
      <c r="E850" s="6" t="s">
        <v>1127</v>
      </c>
      <c r="F850" s="3">
        <v>4</v>
      </c>
      <c r="N850" s="48"/>
    </row>
    <row r="851" spans="1:15" x14ac:dyDescent="0.45">
      <c r="A851" s="3" t="s">
        <v>1038</v>
      </c>
      <c r="B851" s="4">
        <v>37711</v>
      </c>
      <c r="C851" s="7" t="s">
        <v>25</v>
      </c>
      <c r="D851" s="3" t="s">
        <v>1128</v>
      </c>
      <c r="E851" s="6" t="s">
        <v>1129</v>
      </c>
      <c r="F851" s="3">
        <v>2</v>
      </c>
      <c r="L851" s="3" t="s">
        <v>1130</v>
      </c>
      <c r="N851" s="48"/>
    </row>
    <row r="852" spans="1:15" x14ac:dyDescent="0.45">
      <c r="A852" s="3" t="s">
        <v>1038</v>
      </c>
      <c r="B852" s="4">
        <v>43327</v>
      </c>
      <c r="C852" s="7" t="s">
        <v>1131</v>
      </c>
      <c r="D852" s="22" t="s">
        <v>1132</v>
      </c>
      <c r="E852" s="6" t="s">
        <v>1133</v>
      </c>
      <c r="F852" s="3">
        <v>5</v>
      </c>
      <c r="N852" s="48"/>
    </row>
    <row r="853" spans="1:15" x14ac:dyDescent="0.45">
      <c r="A853" s="3" t="s">
        <v>1038</v>
      </c>
      <c r="B853" s="4">
        <v>42958</v>
      </c>
      <c r="C853" s="7" t="s">
        <v>1131</v>
      </c>
      <c r="D853" s="3" t="s">
        <v>1134</v>
      </c>
      <c r="E853" s="6" t="s">
        <v>1135</v>
      </c>
      <c r="F853" s="3">
        <v>5</v>
      </c>
      <c r="N853" s="48"/>
    </row>
    <row r="854" spans="1:15" x14ac:dyDescent="0.45">
      <c r="A854" s="3" t="s">
        <v>1038</v>
      </c>
      <c r="B854" s="4">
        <v>41209</v>
      </c>
      <c r="C854" s="7" t="s">
        <v>1131</v>
      </c>
      <c r="D854" s="3" t="s">
        <v>1136</v>
      </c>
      <c r="E854" s="6" t="s">
        <v>1137</v>
      </c>
      <c r="F854" s="3">
        <v>8</v>
      </c>
      <c r="N854" s="48"/>
    </row>
    <row r="855" spans="1:15" x14ac:dyDescent="0.45">
      <c r="A855" s="3" t="s">
        <v>1038</v>
      </c>
      <c r="B855" s="4">
        <v>41087</v>
      </c>
      <c r="C855" s="7" t="s">
        <v>1131</v>
      </c>
      <c r="D855" s="22" t="s">
        <v>1138</v>
      </c>
      <c r="E855" s="6" t="s">
        <v>1139</v>
      </c>
      <c r="F855" s="3">
        <v>3</v>
      </c>
      <c r="N855" s="48"/>
    </row>
    <row r="856" spans="1:15" x14ac:dyDescent="0.45">
      <c r="A856" s="3" t="s">
        <v>1038</v>
      </c>
      <c r="B856" s="4">
        <v>40571</v>
      </c>
      <c r="C856" s="7" t="s">
        <v>1131</v>
      </c>
      <c r="E856" s="6" t="s">
        <v>1140</v>
      </c>
      <c r="F856" s="3">
        <v>2</v>
      </c>
      <c r="N856" s="48"/>
    </row>
    <row r="857" spans="1:15" x14ac:dyDescent="0.45">
      <c r="A857" s="3" t="s">
        <v>1038</v>
      </c>
      <c r="B857" s="4">
        <v>40571</v>
      </c>
      <c r="C857" s="7" t="s">
        <v>1131</v>
      </c>
      <c r="E857" s="6" t="s">
        <v>1141</v>
      </c>
      <c r="F857" s="3">
        <v>2</v>
      </c>
      <c r="N857" s="48"/>
    </row>
    <row r="858" spans="1:15" x14ac:dyDescent="0.45">
      <c r="A858" s="3" t="s">
        <v>1038</v>
      </c>
      <c r="B858" s="4">
        <v>40548</v>
      </c>
      <c r="C858" s="7" t="s">
        <v>1131</v>
      </c>
      <c r="D858" s="3" t="s">
        <v>1142</v>
      </c>
      <c r="E858" s="6" t="s">
        <v>1143</v>
      </c>
      <c r="F858" s="3">
        <v>5</v>
      </c>
      <c r="N858" s="48"/>
    </row>
    <row r="859" spans="1:15" x14ac:dyDescent="0.45">
      <c r="A859" s="3" t="s">
        <v>1038</v>
      </c>
      <c r="B859" s="4">
        <v>36199</v>
      </c>
      <c r="C859" s="7" t="s">
        <v>1131</v>
      </c>
      <c r="D859" s="3" t="s">
        <v>1144</v>
      </c>
      <c r="E859" s="6" t="s">
        <v>1145</v>
      </c>
      <c r="F859" s="3" t="s">
        <v>1041</v>
      </c>
      <c r="L859" s="3" t="s">
        <v>1146</v>
      </c>
      <c r="N859" s="48"/>
    </row>
    <row r="860" spans="1:15" x14ac:dyDescent="0.45">
      <c r="A860" s="3" t="s">
        <v>1038</v>
      </c>
      <c r="B860" s="4">
        <v>35493</v>
      </c>
      <c r="C860" s="7" t="s">
        <v>1131</v>
      </c>
      <c r="D860" s="3" t="s">
        <v>1147</v>
      </c>
      <c r="E860" s="6" t="s">
        <v>1148</v>
      </c>
      <c r="F860" s="3">
        <v>2</v>
      </c>
      <c r="N860" s="48"/>
    </row>
    <row r="861" spans="1:15" x14ac:dyDescent="0.45">
      <c r="A861" s="3" t="s">
        <v>1038</v>
      </c>
      <c r="B861" s="4">
        <v>45910</v>
      </c>
      <c r="C861" s="7" t="s">
        <v>21</v>
      </c>
      <c r="D861" s="28" t="s">
        <v>1149</v>
      </c>
      <c r="E861" s="6" t="s">
        <v>1150</v>
      </c>
      <c r="F861" s="3">
        <f>SUM(3,3,5)</f>
        <v>11</v>
      </c>
      <c r="L861" s="3" t="s">
        <v>1151</v>
      </c>
      <c r="N861" s="48"/>
    </row>
    <row r="862" spans="1:15" x14ac:dyDescent="0.45">
      <c r="A862" s="3" t="s">
        <v>1038</v>
      </c>
      <c r="B862" s="4">
        <v>45910</v>
      </c>
      <c r="C862" s="7" t="s">
        <v>21</v>
      </c>
      <c r="D862" s="28" t="s">
        <v>1152</v>
      </c>
      <c r="E862" s="6" t="s">
        <v>1153</v>
      </c>
      <c r="F862" s="3">
        <f>SUM(5,10,57)</f>
        <v>72</v>
      </c>
      <c r="L862" s="3" t="s">
        <v>1154</v>
      </c>
      <c r="N862" s="48"/>
      <c r="O862" s="29"/>
    </row>
    <row r="863" spans="1:15" x14ac:dyDescent="0.45">
      <c r="A863" s="3" t="s">
        <v>1038</v>
      </c>
      <c r="B863" s="4">
        <v>45854</v>
      </c>
      <c r="C863" s="7" t="s">
        <v>21</v>
      </c>
      <c r="D863" s="28" t="s">
        <v>1155</v>
      </c>
      <c r="E863" s="6" t="s">
        <v>1156</v>
      </c>
      <c r="F863" s="3">
        <v>28</v>
      </c>
      <c r="N863" s="48"/>
      <c r="O863" s="27"/>
    </row>
    <row r="864" spans="1:15" x14ac:dyDescent="0.45">
      <c r="A864" s="3" t="s">
        <v>1038</v>
      </c>
      <c r="B864" s="4">
        <v>45734</v>
      </c>
      <c r="C864" s="7" t="s">
        <v>21</v>
      </c>
      <c r="D864" s="28" t="s">
        <v>1157</v>
      </c>
      <c r="E864" s="6" t="s">
        <v>1158</v>
      </c>
      <c r="F864" s="3">
        <f>SUM(5,1,30)</f>
        <v>36</v>
      </c>
      <c r="L864" s="3" t="s">
        <v>1159</v>
      </c>
      <c r="N864" s="48"/>
      <c r="O864" s="27"/>
    </row>
    <row r="865" spans="1:15" x14ac:dyDescent="0.45">
      <c r="A865" s="3" t="s">
        <v>1038</v>
      </c>
      <c r="B865" s="4">
        <v>45670</v>
      </c>
      <c r="C865" s="7" t="s">
        <v>21</v>
      </c>
      <c r="D865" s="28" t="s">
        <v>1160</v>
      </c>
      <c r="E865" s="6" t="s">
        <v>1161</v>
      </c>
      <c r="F865" s="3">
        <v>12</v>
      </c>
      <c r="N865" s="48"/>
    </row>
    <row r="866" spans="1:15" x14ac:dyDescent="0.45">
      <c r="A866" s="3" t="s">
        <v>1038</v>
      </c>
      <c r="B866" s="4">
        <v>45670</v>
      </c>
      <c r="C866" s="7" t="s">
        <v>21</v>
      </c>
      <c r="D866" s="28" t="s">
        <v>1162</v>
      </c>
      <c r="E866" s="6" t="s">
        <v>1163</v>
      </c>
      <c r="F866" s="3">
        <f>SUM(7,76)</f>
        <v>83</v>
      </c>
      <c r="L866" s="3" t="s">
        <v>1164</v>
      </c>
      <c r="N866" s="48"/>
      <c r="O866" s="30"/>
    </row>
    <row r="867" spans="1:15" x14ac:dyDescent="0.45">
      <c r="A867" s="3" t="s">
        <v>1038</v>
      </c>
      <c r="B867" s="4">
        <v>45664</v>
      </c>
      <c r="C867" s="7" t="s">
        <v>21</v>
      </c>
      <c r="D867" s="6" t="s">
        <v>1165</v>
      </c>
      <c r="E867" s="9" t="s">
        <v>1166</v>
      </c>
      <c r="F867" s="3">
        <f>SUM(5,1,2)</f>
        <v>8</v>
      </c>
      <c r="L867" s="3" t="s">
        <v>1151</v>
      </c>
      <c r="N867" s="48"/>
    </row>
    <row r="868" spans="1:15" x14ac:dyDescent="0.45">
      <c r="A868" s="3" t="s">
        <v>1038</v>
      </c>
      <c r="B868" s="4">
        <v>45603</v>
      </c>
      <c r="C868" s="7" t="s">
        <v>21</v>
      </c>
      <c r="D868" s="6" t="s">
        <v>1167</v>
      </c>
      <c r="E868" s="9" t="s">
        <v>1168</v>
      </c>
      <c r="F868" s="3">
        <f>SUM(5,10,55)</f>
        <v>70</v>
      </c>
      <c r="L868" s="3" t="s">
        <v>1151</v>
      </c>
      <c r="N868" s="48"/>
    </row>
    <row r="869" spans="1:15" x14ac:dyDescent="0.45">
      <c r="A869" s="3" t="s">
        <v>1038</v>
      </c>
      <c r="B869" s="4">
        <v>45593</v>
      </c>
      <c r="C869" s="7" t="s">
        <v>21</v>
      </c>
      <c r="D869" s="31" t="s">
        <v>1169</v>
      </c>
      <c r="E869" s="9" t="s">
        <v>1170</v>
      </c>
      <c r="F869" s="3">
        <v>5</v>
      </c>
      <c r="L869" s="3" t="s">
        <v>1171</v>
      </c>
      <c r="N869" s="48"/>
    </row>
    <row r="870" spans="1:15" x14ac:dyDescent="0.45">
      <c r="A870" s="3" t="s">
        <v>1038</v>
      </c>
      <c r="B870" s="4">
        <v>45559</v>
      </c>
      <c r="C870" s="7" t="s">
        <v>21</v>
      </c>
      <c r="D870" s="6" t="s">
        <v>1172</v>
      </c>
      <c r="E870" s="9" t="s">
        <v>1173</v>
      </c>
      <c r="F870" s="3">
        <f>SUM(5,1,1,46)</f>
        <v>53</v>
      </c>
      <c r="L870" s="3" t="s">
        <v>1174</v>
      </c>
      <c r="N870" s="48"/>
    </row>
    <row r="871" spans="1:15" x14ac:dyDescent="0.45">
      <c r="A871" s="3" t="s">
        <v>1038</v>
      </c>
      <c r="B871" s="4">
        <v>45503</v>
      </c>
      <c r="C871" s="7" t="s">
        <v>21</v>
      </c>
      <c r="D871" s="6" t="s">
        <v>1175</v>
      </c>
      <c r="E871" s="9" t="s">
        <v>1176</v>
      </c>
      <c r="F871" s="3">
        <f>SUM(10,2,4)</f>
        <v>16</v>
      </c>
      <c r="L871" s="3" t="s">
        <v>1177</v>
      </c>
      <c r="N871" s="48"/>
    </row>
    <row r="872" spans="1:15" x14ac:dyDescent="0.45">
      <c r="A872" s="3" t="s">
        <v>1038</v>
      </c>
      <c r="B872" s="4">
        <v>45475</v>
      </c>
      <c r="C872" s="7" t="s">
        <v>21</v>
      </c>
      <c r="D872" s="6" t="s">
        <v>1178</v>
      </c>
      <c r="E872" s="9" t="s">
        <v>1179</v>
      </c>
      <c r="F872" s="3">
        <f>SUM(4,6)</f>
        <v>10</v>
      </c>
      <c r="L872" s="3" t="s">
        <v>465</v>
      </c>
      <c r="N872" s="48"/>
    </row>
    <row r="873" spans="1:15" x14ac:dyDescent="0.45">
      <c r="A873" s="3" t="s">
        <v>1038</v>
      </c>
      <c r="B873" s="4">
        <v>45405</v>
      </c>
      <c r="C873" s="7" t="s">
        <v>21</v>
      </c>
      <c r="D873" s="6" t="s">
        <v>1180</v>
      </c>
      <c r="E873" s="9" t="s">
        <v>1181</v>
      </c>
      <c r="F873" s="3">
        <v>4</v>
      </c>
      <c r="N873" s="48"/>
    </row>
    <row r="874" spans="1:15" x14ac:dyDescent="0.45">
      <c r="A874" s="3" t="s">
        <v>1038</v>
      </c>
      <c r="B874" s="4">
        <v>45384</v>
      </c>
      <c r="C874" s="7" t="s">
        <v>21</v>
      </c>
      <c r="D874" s="6" t="s">
        <v>1182</v>
      </c>
      <c r="E874" s="9" t="s">
        <v>1183</v>
      </c>
      <c r="F874" s="3">
        <v>28</v>
      </c>
      <c r="N874" s="48"/>
    </row>
    <row r="875" spans="1:15" x14ac:dyDescent="0.45">
      <c r="A875" s="3" t="s">
        <v>1038</v>
      </c>
      <c r="B875" s="4">
        <v>45370</v>
      </c>
      <c r="C875" s="7" t="s">
        <v>21</v>
      </c>
      <c r="D875" s="6" t="s">
        <v>1184</v>
      </c>
      <c r="E875" s="9" t="s">
        <v>1185</v>
      </c>
      <c r="F875" s="3">
        <f>SUM(8,118)</f>
        <v>126</v>
      </c>
      <c r="L875" s="3" t="s">
        <v>465</v>
      </c>
      <c r="N875" s="48"/>
    </row>
    <row r="876" spans="1:15" x14ac:dyDescent="0.45">
      <c r="A876" s="3" t="s">
        <v>1038</v>
      </c>
      <c r="B876" s="32">
        <v>45196</v>
      </c>
      <c r="C876" s="7" t="s">
        <v>21</v>
      </c>
      <c r="D876" s="8" t="s">
        <v>1186</v>
      </c>
      <c r="E876" s="9" t="s">
        <v>1187</v>
      </c>
      <c r="F876" s="3">
        <f>SUM(4,1,30,2)</f>
        <v>37</v>
      </c>
      <c r="L876" s="3" t="s">
        <v>1188</v>
      </c>
      <c r="N876" s="48"/>
    </row>
    <row r="877" spans="1:15" x14ac:dyDescent="0.45">
      <c r="A877" s="3" t="s">
        <v>1038</v>
      </c>
      <c r="B877" s="32">
        <v>45196</v>
      </c>
      <c r="C877" s="7" t="s">
        <v>21</v>
      </c>
      <c r="D877" s="8" t="s">
        <v>1189</v>
      </c>
      <c r="E877" s="9" t="s">
        <v>1190</v>
      </c>
      <c r="F877" s="3">
        <f>SUM(5,10,57)</f>
        <v>72</v>
      </c>
      <c r="L877" s="3" t="s">
        <v>524</v>
      </c>
      <c r="N877" s="48"/>
    </row>
    <row r="878" spans="1:15" x14ac:dyDescent="0.45">
      <c r="A878" s="3" t="s">
        <v>1038</v>
      </c>
      <c r="B878" s="32">
        <v>45198</v>
      </c>
      <c r="C878" s="7" t="s">
        <v>21</v>
      </c>
      <c r="D878" s="31" t="s">
        <v>1191</v>
      </c>
      <c r="E878" s="9" t="s">
        <v>1192</v>
      </c>
      <c r="F878" s="3">
        <f>SUM(7,38)</f>
        <v>45</v>
      </c>
      <c r="L878" s="3" t="s">
        <v>1193</v>
      </c>
      <c r="N878" s="48"/>
    </row>
    <row r="879" spans="1:15" x14ac:dyDescent="0.45">
      <c r="A879" s="3" t="s">
        <v>1038</v>
      </c>
      <c r="B879" s="4">
        <v>45142</v>
      </c>
      <c r="C879" s="7" t="s">
        <v>21</v>
      </c>
      <c r="D879" s="6" t="s">
        <v>1194</v>
      </c>
      <c r="E879" s="9" t="s">
        <v>1195</v>
      </c>
      <c r="F879" s="3">
        <f>SUM(5,6)</f>
        <v>11</v>
      </c>
      <c r="L879" s="3" t="s">
        <v>782</v>
      </c>
      <c r="N879" s="48"/>
    </row>
    <row r="880" spans="1:15" x14ac:dyDescent="0.45">
      <c r="A880" s="3" t="s">
        <v>1038</v>
      </c>
      <c r="B880" s="32">
        <v>45079</v>
      </c>
      <c r="C880" s="7" t="s">
        <v>21</v>
      </c>
      <c r="D880" s="3" t="s">
        <v>1196</v>
      </c>
      <c r="E880" s="10" t="s">
        <v>1197</v>
      </c>
      <c r="F880" s="3">
        <v>41</v>
      </c>
      <c r="N880" s="48"/>
    </row>
    <row r="881" spans="1:14" x14ac:dyDescent="0.45">
      <c r="A881" s="3" t="s">
        <v>1038</v>
      </c>
      <c r="B881" s="4">
        <v>44865</v>
      </c>
      <c r="C881" s="7" t="s">
        <v>21</v>
      </c>
      <c r="D881" s="31" t="s">
        <v>1198</v>
      </c>
      <c r="E881" s="9" t="s">
        <v>1199</v>
      </c>
      <c r="F881" s="3">
        <f>SUM(5,10,57)</f>
        <v>72</v>
      </c>
      <c r="L881" s="3" t="s">
        <v>1200</v>
      </c>
      <c r="N881" s="48"/>
    </row>
    <row r="882" spans="1:14" x14ac:dyDescent="0.45">
      <c r="A882" s="3" t="s">
        <v>1038</v>
      </c>
      <c r="B882" s="4">
        <v>44865</v>
      </c>
      <c r="C882" s="7" t="s">
        <v>21</v>
      </c>
      <c r="D882" s="31" t="s">
        <v>1201</v>
      </c>
      <c r="E882" s="9" t="s">
        <v>1202</v>
      </c>
      <c r="F882" s="3">
        <f>SUM(4,1,2)</f>
        <v>7</v>
      </c>
      <c r="L882" s="3" t="s">
        <v>1203</v>
      </c>
      <c r="N882" s="48"/>
    </row>
    <row r="883" spans="1:14" x14ac:dyDescent="0.45">
      <c r="A883" s="3" t="s">
        <v>1038</v>
      </c>
      <c r="B883" s="4">
        <v>44840</v>
      </c>
      <c r="C883" s="7" t="s">
        <v>21</v>
      </c>
      <c r="D883" s="31" t="s">
        <v>1204</v>
      </c>
      <c r="E883" s="9" t="s">
        <v>1205</v>
      </c>
      <c r="F883" s="3">
        <v>7</v>
      </c>
      <c r="L883" s="3" t="s">
        <v>1171</v>
      </c>
      <c r="N883" s="48"/>
    </row>
    <row r="884" spans="1:14" x14ac:dyDescent="0.45">
      <c r="A884" s="3" t="s">
        <v>1038</v>
      </c>
      <c r="B884" s="4">
        <v>44774</v>
      </c>
      <c r="C884" s="7" t="s">
        <v>21</v>
      </c>
      <c r="D884" s="3" t="s">
        <v>1206</v>
      </c>
      <c r="E884" s="10" t="s">
        <v>1207</v>
      </c>
      <c r="F884" s="3">
        <v>10</v>
      </c>
      <c r="N884" s="48"/>
    </row>
    <row r="885" spans="1:14" x14ac:dyDescent="0.45">
      <c r="A885" s="3" t="s">
        <v>1038</v>
      </c>
      <c r="B885" s="4">
        <v>44691</v>
      </c>
      <c r="C885" s="7" t="s">
        <v>21</v>
      </c>
      <c r="D885" s="3" t="s">
        <v>1208</v>
      </c>
      <c r="E885" s="10" t="s">
        <v>1209</v>
      </c>
      <c r="F885" s="3">
        <f>SUM(4,13)</f>
        <v>17</v>
      </c>
      <c r="L885" s="3" t="s">
        <v>465</v>
      </c>
      <c r="N885" s="48"/>
    </row>
    <row r="886" spans="1:14" x14ac:dyDescent="0.45">
      <c r="A886" s="3" t="s">
        <v>1038</v>
      </c>
      <c r="B886" s="4">
        <v>44691</v>
      </c>
      <c r="C886" s="7" t="s">
        <v>21</v>
      </c>
      <c r="D886" s="3" t="s">
        <v>1210</v>
      </c>
      <c r="E886" s="10" t="s">
        <v>1211</v>
      </c>
      <c r="F886" s="3">
        <f>SUM(3,9)</f>
        <v>12</v>
      </c>
      <c r="L886" s="3" t="s">
        <v>465</v>
      </c>
      <c r="N886" s="48"/>
    </row>
    <row r="887" spans="1:14" x14ac:dyDescent="0.45">
      <c r="A887" s="3" t="s">
        <v>1038</v>
      </c>
      <c r="B887" s="4">
        <v>44678</v>
      </c>
      <c r="C887" s="7" t="s">
        <v>21</v>
      </c>
      <c r="D887" s="3" t="s">
        <v>1212</v>
      </c>
      <c r="E887" s="10" t="s">
        <v>1213</v>
      </c>
      <c r="F887" s="3">
        <v>5</v>
      </c>
      <c r="L887" s="3" t="s">
        <v>1214</v>
      </c>
      <c r="N887" s="48"/>
    </row>
    <row r="888" spans="1:14" x14ac:dyDescent="0.45">
      <c r="A888" s="3" t="s">
        <v>1038</v>
      </c>
      <c r="B888" s="4">
        <v>44656</v>
      </c>
      <c r="C888" s="7" t="s">
        <v>21</v>
      </c>
      <c r="D888" s="31" t="s">
        <v>1215</v>
      </c>
      <c r="E888" s="9" t="s">
        <v>1216</v>
      </c>
      <c r="F888" s="3">
        <f>SUM(5,1,29,2)</f>
        <v>37</v>
      </c>
      <c r="L888" s="3" t="s">
        <v>1217</v>
      </c>
      <c r="N888" s="48"/>
    </row>
    <row r="889" spans="1:14" x14ac:dyDescent="0.45">
      <c r="A889" s="3" t="s">
        <v>1038</v>
      </c>
      <c r="B889" s="4">
        <v>44635</v>
      </c>
      <c r="C889" s="7" t="s">
        <v>21</v>
      </c>
      <c r="D889" s="3" t="s">
        <v>1218</v>
      </c>
      <c r="E889" s="10" t="s">
        <v>1219</v>
      </c>
      <c r="F889" s="3">
        <v>4</v>
      </c>
      <c r="N889" s="48"/>
    </row>
    <row r="890" spans="1:14" x14ac:dyDescent="0.45">
      <c r="A890" s="3" t="s">
        <v>1038</v>
      </c>
      <c r="B890" s="4">
        <v>44551</v>
      </c>
      <c r="C890" s="7" t="s">
        <v>21</v>
      </c>
      <c r="D890" s="6" t="s">
        <v>1220</v>
      </c>
      <c r="E890" s="9" t="s">
        <v>1221</v>
      </c>
      <c r="F890" s="3">
        <f>SUM(5,9)</f>
        <v>14</v>
      </c>
      <c r="L890" s="3" t="s">
        <v>465</v>
      </c>
      <c r="N890" s="48"/>
    </row>
    <row r="891" spans="1:14" x14ac:dyDescent="0.45">
      <c r="A891" s="3" t="s">
        <v>1038</v>
      </c>
      <c r="B891" s="4">
        <v>44540</v>
      </c>
      <c r="C891" s="7" t="s">
        <v>21</v>
      </c>
      <c r="D891" s="31" t="s">
        <v>1222</v>
      </c>
      <c r="E891" s="9" t="s">
        <v>1223</v>
      </c>
      <c r="F891" s="3">
        <f>SUM(8,41,44)</f>
        <v>93</v>
      </c>
      <c r="L891" s="3" t="s">
        <v>1224</v>
      </c>
      <c r="N891" s="48"/>
    </row>
    <row r="892" spans="1:14" x14ac:dyDescent="0.45">
      <c r="A892" s="3" t="s">
        <v>1038</v>
      </c>
      <c r="B892" s="4">
        <v>44530</v>
      </c>
      <c r="C892" s="7" t="s">
        <v>21</v>
      </c>
      <c r="D892" s="31" t="s">
        <v>1225</v>
      </c>
      <c r="E892" s="9" t="s">
        <v>1226</v>
      </c>
      <c r="F892" s="3" t="s">
        <v>1041</v>
      </c>
      <c r="L892" s="3" t="s">
        <v>1146</v>
      </c>
      <c r="N892" s="48"/>
    </row>
    <row r="893" spans="1:14" x14ac:dyDescent="0.45">
      <c r="A893" s="3" t="s">
        <v>1038</v>
      </c>
      <c r="B893" s="4">
        <v>44503</v>
      </c>
      <c r="C893" s="7" t="s">
        <v>21</v>
      </c>
      <c r="D893" s="6" t="s">
        <v>1227</v>
      </c>
      <c r="E893" s="9" t="s">
        <v>1228</v>
      </c>
      <c r="F893" s="3">
        <f>SUM(4,1,46)</f>
        <v>51</v>
      </c>
      <c r="L893" s="3" t="s">
        <v>1229</v>
      </c>
      <c r="N893" s="48"/>
    </row>
    <row r="894" spans="1:14" x14ac:dyDescent="0.45">
      <c r="A894" s="3" t="s">
        <v>1038</v>
      </c>
      <c r="B894" s="4">
        <v>44502</v>
      </c>
      <c r="C894" s="7" t="s">
        <v>21</v>
      </c>
      <c r="D894" s="31" t="s">
        <v>1230</v>
      </c>
      <c r="E894" s="9" t="s">
        <v>1231</v>
      </c>
      <c r="F894" s="3">
        <f>SUM(5,10,57)</f>
        <v>72</v>
      </c>
      <c r="L894" s="3" t="s">
        <v>1200</v>
      </c>
      <c r="N894" s="48"/>
    </row>
    <row r="895" spans="1:14" x14ac:dyDescent="0.45">
      <c r="A895" s="3" t="s">
        <v>1038</v>
      </c>
      <c r="B895" s="4">
        <v>44411</v>
      </c>
      <c r="C895" s="7" t="s">
        <v>21</v>
      </c>
      <c r="D895" s="6" t="s">
        <v>1232</v>
      </c>
      <c r="E895" s="9" t="s">
        <v>1211</v>
      </c>
      <c r="F895" s="3">
        <v>4</v>
      </c>
      <c r="L895" s="3" t="s">
        <v>1233</v>
      </c>
      <c r="N895" s="48"/>
    </row>
    <row r="896" spans="1:14" x14ac:dyDescent="0.45">
      <c r="A896" s="3" t="s">
        <v>1038</v>
      </c>
      <c r="B896" s="4">
        <v>44256</v>
      </c>
      <c r="C896" s="7" t="s">
        <v>21</v>
      </c>
      <c r="D896" s="6" t="s">
        <v>1234</v>
      </c>
      <c r="E896" s="9" t="s">
        <v>1235</v>
      </c>
      <c r="F896" s="3">
        <f>SUM(8,130)</f>
        <v>138</v>
      </c>
      <c r="L896" s="3" t="s">
        <v>465</v>
      </c>
      <c r="N896" s="48"/>
    </row>
    <row r="897" spans="1:14" x14ac:dyDescent="0.45">
      <c r="A897" s="3" t="s">
        <v>1038</v>
      </c>
      <c r="B897" s="4">
        <v>44239</v>
      </c>
      <c r="C897" s="7" t="s">
        <v>21</v>
      </c>
      <c r="D897" s="6" t="s">
        <v>1236</v>
      </c>
      <c r="E897" s="9" t="s">
        <v>1237</v>
      </c>
      <c r="F897" s="3">
        <v>4</v>
      </c>
      <c r="N897" s="48"/>
    </row>
    <row r="898" spans="1:14" x14ac:dyDescent="0.45">
      <c r="A898" s="3" t="s">
        <v>1038</v>
      </c>
      <c r="B898" s="4">
        <v>44172</v>
      </c>
      <c r="C898" s="7" t="s">
        <v>21</v>
      </c>
      <c r="D898" s="31" t="s">
        <v>1238</v>
      </c>
      <c r="E898" s="9" t="s">
        <v>1239</v>
      </c>
      <c r="F898" s="3">
        <f>SUM(4,18,2)</f>
        <v>24</v>
      </c>
      <c r="L898" s="3" t="s">
        <v>1240</v>
      </c>
      <c r="N898" s="48"/>
    </row>
    <row r="899" spans="1:14" x14ac:dyDescent="0.45">
      <c r="A899" s="3" t="s">
        <v>1038</v>
      </c>
      <c r="B899" s="4">
        <v>44147</v>
      </c>
      <c r="C899" s="7" t="s">
        <v>21</v>
      </c>
      <c r="D899" s="3" t="s">
        <v>1241</v>
      </c>
      <c r="E899" s="17" t="s">
        <v>1242</v>
      </c>
      <c r="F899" s="3">
        <f>SUM(6,32,37,34)</f>
        <v>109</v>
      </c>
      <c r="L899" s="3" t="s">
        <v>480</v>
      </c>
      <c r="N899" s="48"/>
    </row>
    <row r="900" spans="1:14" x14ac:dyDescent="0.45">
      <c r="A900" s="3" t="s">
        <v>1038</v>
      </c>
      <c r="B900" s="4">
        <v>44124</v>
      </c>
      <c r="C900" s="7" t="s">
        <v>21</v>
      </c>
      <c r="D900" s="31" t="s">
        <v>1243</v>
      </c>
      <c r="E900" s="9" t="s">
        <v>1231</v>
      </c>
      <c r="F900" s="3">
        <f>SUM(5,6)</f>
        <v>11</v>
      </c>
      <c r="L900" s="3" t="s">
        <v>1244</v>
      </c>
      <c r="N900" s="48"/>
    </row>
    <row r="901" spans="1:14" x14ac:dyDescent="0.45">
      <c r="A901" s="3" t="s">
        <v>1038</v>
      </c>
      <c r="B901" s="4">
        <v>44088</v>
      </c>
      <c r="C901" s="7" t="s">
        <v>21</v>
      </c>
      <c r="D901" s="31" t="s">
        <v>1245</v>
      </c>
      <c r="E901" s="9" t="s">
        <v>1246</v>
      </c>
      <c r="F901" s="3">
        <f>SUM(2,2,26,4)</f>
        <v>34</v>
      </c>
      <c r="L901" s="3" t="s">
        <v>1247</v>
      </c>
      <c r="N901" s="48"/>
    </row>
    <row r="902" spans="1:14" x14ac:dyDescent="0.45">
      <c r="A902" s="3" t="s">
        <v>1038</v>
      </c>
      <c r="B902" s="4">
        <v>44055</v>
      </c>
      <c r="C902" s="7" t="s">
        <v>21</v>
      </c>
      <c r="D902" s="6" t="s">
        <v>1248</v>
      </c>
      <c r="E902" s="9" t="s">
        <v>1249</v>
      </c>
      <c r="F902" s="3">
        <f>SUM(4,6)</f>
        <v>10</v>
      </c>
      <c r="L902" s="3" t="s">
        <v>1250</v>
      </c>
      <c r="N902" s="48"/>
    </row>
    <row r="903" spans="1:14" x14ac:dyDescent="0.45">
      <c r="A903" s="3" t="s">
        <v>1038</v>
      </c>
      <c r="B903" s="4">
        <v>43962</v>
      </c>
      <c r="C903" s="7" t="s">
        <v>21</v>
      </c>
      <c r="D903" s="31" t="s">
        <v>1251</v>
      </c>
      <c r="E903" s="9" t="s">
        <v>1246</v>
      </c>
      <c r="F903" s="3">
        <f>SUM(2,24,1,4)</f>
        <v>31</v>
      </c>
      <c r="L903" s="3" t="s">
        <v>1247</v>
      </c>
      <c r="N903" s="48"/>
    </row>
    <row r="904" spans="1:14" x14ac:dyDescent="0.45">
      <c r="A904" s="3" t="s">
        <v>1038</v>
      </c>
      <c r="B904" s="4">
        <v>43957</v>
      </c>
      <c r="C904" s="7" t="s">
        <v>21</v>
      </c>
      <c r="D904" s="12" t="s">
        <v>1252</v>
      </c>
      <c r="E904" s="17" t="s">
        <v>1253</v>
      </c>
      <c r="F904" s="3">
        <v>35</v>
      </c>
      <c r="N904" s="48"/>
    </row>
    <row r="905" spans="1:14" x14ac:dyDescent="0.45">
      <c r="A905" s="3" t="s">
        <v>1038</v>
      </c>
      <c r="B905" s="4">
        <v>43908</v>
      </c>
      <c r="C905" s="7" t="s">
        <v>21</v>
      </c>
      <c r="D905" s="12" t="s">
        <v>1254</v>
      </c>
      <c r="E905" s="17" t="s">
        <v>1255</v>
      </c>
      <c r="F905" s="3">
        <f>SUM(7,2,3,5,3,8,15)</f>
        <v>43</v>
      </c>
      <c r="L905" s="3" t="s">
        <v>1256</v>
      </c>
      <c r="N905" s="48"/>
    </row>
    <row r="906" spans="1:14" x14ac:dyDescent="0.45">
      <c r="A906" s="3" t="s">
        <v>1038</v>
      </c>
      <c r="B906" s="4">
        <v>43783</v>
      </c>
      <c r="C906" s="7" t="s">
        <v>21</v>
      </c>
      <c r="D906" s="8" t="s">
        <v>1257</v>
      </c>
      <c r="E906" s="9" t="s">
        <v>1258</v>
      </c>
      <c r="F906" s="3">
        <f>SUM(5,34,32,30)</f>
        <v>101</v>
      </c>
      <c r="L906" s="3" t="s">
        <v>1259</v>
      </c>
      <c r="N906" s="48"/>
    </row>
    <row r="907" spans="1:14" x14ac:dyDescent="0.45">
      <c r="A907" s="3" t="s">
        <v>1038</v>
      </c>
      <c r="B907" s="4">
        <v>43775</v>
      </c>
      <c r="C907" s="7" t="s">
        <v>21</v>
      </c>
      <c r="D907" s="31" t="s">
        <v>1260</v>
      </c>
      <c r="E907" s="9" t="s">
        <v>1239</v>
      </c>
      <c r="F907" s="3">
        <f>SUM(3,14,2)</f>
        <v>19</v>
      </c>
      <c r="L907" s="3" t="s">
        <v>1240</v>
      </c>
      <c r="N907" s="48"/>
    </row>
    <row r="908" spans="1:14" x14ac:dyDescent="0.45">
      <c r="A908" s="3" t="s">
        <v>1038</v>
      </c>
      <c r="B908" s="4">
        <v>43775</v>
      </c>
      <c r="C908" s="7" t="s">
        <v>21</v>
      </c>
      <c r="D908" s="31" t="s">
        <v>1261</v>
      </c>
      <c r="E908" s="9" t="s">
        <v>1262</v>
      </c>
      <c r="F908" s="3">
        <f>SUM(4,47,4)</f>
        <v>55</v>
      </c>
      <c r="L908" s="3" t="s">
        <v>1200</v>
      </c>
      <c r="N908" s="48"/>
    </row>
    <row r="909" spans="1:14" x14ac:dyDescent="0.45">
      <c r="A909" s="3" t="s">
        <v>1038</v>
      </c>
      <c r="B909" s="4">
        <v>43747</v>
      </c>
      <c r="C909" s="7" t="s">
        <v>21</v>
      </c>
      <c r="D909" s="12" t="s">
        <v>1263</v>
      </c>
      <c r="E909" s="17" t="s">
        <v>1264</v>
      </c>
      <c r="F909" s="3">
        <f>SUM(6,1,1,1)</f>
        <v>9</v>
      </c>
      <c r="L909" s="3" t="s">
        <v>480</v>
      </c>
      <c r="N909" s="48"/>
    </row>
    <row r="910" spans="1:14" x14ac:dyDescent="0.45">
      <c r="A910" s="3" t="s">
        <v>1038</v>
      </c>
      <c r="B910" s="4">
        <v>43693</v>
      </c>
      <c r="C910" s="7" t="s">
        <v>21</v>
      </c>
      <c r="D910" s="12" t="s">
        <v>1265</v>
      </c>
      <c r="E910" s="17" t="s">
        <v>1266</v>
      </c>
      <c r="F910" s="3">
        <f>SUM(14,28)</f>
        <v>42</v>
      </c>
      <c r="L910" s="3" t="s">
        <v>465</v>
      </c>
      <c r="N910" s="48"/>
    </row>
    <row r="911" spans="1:14" x14ac:dyDescent="0.45">
      <c r="A911" s="3" t="s">
        <v>1038</v>
      </c>
      <c r="B911" s="4">
        <v>43658</v>
      </c>
      <c r="C911" s="7" t="s">
        <v>21</v>
      </c>
      <c r="D911" s="12" t="s">
        <v>1267</v>
      </c>
      <c r="E911" s="17" t="s">
        <v>1268</v>
      </c>
      <c r="F911" s="3">
        <f>SUM(14,2,1)</f>
        <v>17</v>
      </c>
      <c r="L911" s="3" t="s">
        <v>1269</v>
      </c>
      <c r="N911" s="48"/>
    </row>
    <row r="912" spans="1:14" x14ac:dyDescent="0.45">
      <c r="A912" s="3" t="s">
        <v>1038</v>
      </c>
      <c r="B912" s="4">
        <v>43658</v>
      </c>
      <c r="C912" s="7" t="s">
        <v>21</v>
      </c>
      <c r="D912" s="12" t="s">
        <v>1270</v>
      </c>
      <c r="E912" s="17" t="s">
        <v>1271</v>
      </c>
      <c r="F912" s="3">
        <f>SUM(7,238,2)</f>
        <v>247</v>
      </c>
      <c r="L912" s="3" t="s">
        <v>1269</v>
      </c>
      <c r="N912" s="48"/>
    </row>
    <row r="913" spans="1:14" x14ac:dyDescent="0.45">
      <c r="A913" s="3" t="s">
        <v>1038</v>
      </c>
      <c r="B913" s="4">
        <v>43598</v>
      </c>
      <c r="C913" s="7" t="s">
        <v>21</v>
      </c>
      <c r="D913" s="12" t="s">
        <v>1272</v>
      </c>
      <c r="E913" s="17" t="s">
        <v>1273</v>
      </c>
      <c r="F913" s="3">
        <f>SUM(5,2,1,2)</f>
        <v>10</v>
      </c>
      <c r="L913" s="3" t="s">
        <v>1274</v>
      </c>
      <c r="N913" s="48"/>
    </row>
    <row r="914" spans="1:14" x14ac:dyDescent="0.45">
      <c r="A914" s="3" t="s">
        <v>1038</v>
      </c>
      <c r="B914" s="4">
        <v>43559</v>
      </c>
      <c r="C914" s="7" t="s">
        <v>21</v>
      </c>
      <c r="D914" s="8" t="s">
        <v>1275</v>
      </c>
      <c r="E914" s="9" t="s">
        <v>1276</v>
      </c>
      <c r="F914" s="3">
        <f>SUM(4,33,30,2)</f>
        <v>69</v>
      </c>
      <c r="L914" s="3" t="s">
        <v>1259</v>
      </c>
      <c r="N914" s="48"/>
    </row>
    <row r="915" spans="1:14" x14ac:dyDescent="0.45">
      <c r="A915" s="3" t="s">
        <v>1038</v>
      </c>
      <c r="B915" s="4">
        <v>43419</v>
      </c>
      <c r="C915" s="7" t="s">
        <v>21</v>
      </c>
      <c r="D915" s="31" t="s">
        <v>1277</v>
      </c>
      <c r="E915" s="9" t="s">
        <v>1239</v>
      </c>
      <c r="F915" s="3">
        <f>SUM(3,14,2)</f>
        <v>19</v>
      </c>
      <c r="L915" s="3" t="s">
        <v>1240</v>
      </c>
      <c r="N915" s="48"/>
    </row>
    <row r="916" spans="1:14" x14ac:dyDescent="0.45">
      <c r="A916" s="3" t="s">
        <v>1038</v>
      </c>
      <c r="B916" s="4">
        <v>43419</v>
      </c>
      <c r="C916" s="7" t="s">
        <v>21</v>
      </c>
      <c r="D916" s="31" t="s">
        <v>1278</v>
      </c>
      <c r="E916" s="9" t="s">
        <v>1279</v>
      </c>
      <c r="F916" s="3">
        <f>SUM(4,47,4)</f>
        <v>55</v>
      </c>
      <c r="L916" s="3" t="s">
        <v>1200</v>
      </c>
      <c r="N916" s="48"/>
    </row>
    <row r="917" spans="1:14" x14ac:dyDescent="0.45">
      <c r="A917" s="3" t="s">
        <v>1038</v>
      </c>
      <c r="B917" s="4">
        <v>43272</v>
      </c>
      <c r="C917" s="7" t="s">
        <v>21</v>
      </c>
      <c r="D917" s="12" t="s">
        <v>1280</v>
      </c>
      <c r="E917" s="17" t="s">
        <v>1281</v>
      </c>
      <c r="F917" s="3">
        <f>SUM(4,112)</f>
        <v>116</v>
      </c>
      <c r="L917" s="3" t="s">
        <v>1282</v>
      </c>
      <c r="N917" s="48"/>
    </row>
    <row r="918" spans="1:14" x14ac:dyDescent="0.45">
      <c r="A918" s="3" t="s">
        <v>1038</v>
      </c>
      <c r="B918" s="4">
        <v>43157</v>
      </c>
      <c r="C918" s="7" t="s">
        <v>21</v>
      </c>
      <c r="D918" s="12" t="s">
        <v>1283</v>
      </c>
      <c r="E918" s="17" t="s">
        <v>1284</v>
      </c>
      <c r="F918" s="3">
        <f>SUM(4,3)</f>
        <v>7</v>
      </c>
      <c r="L918" s="3" t="s">
        <v>1285</v>
      </c>
      <c r="N918" s="48"/>
    </row>
    <row r="919" spans="1:14" x14ac:dyDescent="0.45">
      <c r="A919" s="3" t="s">
        <v>1038</v>
      </c>
      <c r="B919" s="4">
        <v>43081</v>
      </c>
      <c r="C919" s="7" t="s">
        <v>21</v>
      </c>
      <c r="D919" s="8" t="s">
        <v>1286</v>
      </c>
      <c r="E919" s="9" t="s">
        <v>1287</v>
      </c>
      <c r="F919" s="3">
        <f>SUM(1,2,2,2)</f>
        <v>7</v>
      </c>
      <c r="L919" s="3" t="s">
        <v>1274</v>
      </c>
      <c r="N919" s="48"/>
    </row>
    <row r="920" spans="1:14" x14ac:dyDescent="0.45">
      <c r="A920" s="3" t="s">
        <v>1038</v>
      </c>
      <c r="B920" s="4">
        <v>43019</v>
      </c>
      <c r="C920" s="7" t="s">
        <v>21</v>
      </c>
      <c r="D920" s="31" t="s">
        <v>1288</v>
      </c>
      <c r="E920" s="9" t="s">
        <v>1216</v>
      </c>
      <c r="F920" s="3">
        <f>SUM(3,15,2,2)</f>
        <v>22</v>
      </c>
      <c r="L920" s="3" t="s">
        <v>1289</v>
      </c>
      <c r="N920" s="48"/>
    </row>
    <row r="921" spans="1:14" x14ac:dyDescent="0.45">
      <c r="A921" s="3" t="s">
        <v>1038</v>
      </c>
      <c r="B921" s="4">
        <v>43019</v>
      </c>
      <c r="C921" s="7" t="s">
        <v>21</v>
      </c>
      <c r="D921" s="31" t="s">
        <v>1290</v>
      </c>
      <c r="E921" s="9" t="s">
        <v>1291</v>
      </c>
      <c r="F921" s="3">
        <f>SUM(5,47,4)</f>
        <v>56</v>
      </c>
      <c r="L921" s="3" t="s">
        <v>1200</v>
      </c>
      <c r="N921" s="48"/>
    </row>
    <row r="922" spans="1:14" x14ac:dyDescent="0.45">
      <c r="A922" s="3" t="s">
        <v>1038</v>
      </c>
      <c r="B922" s="4">
        <v>43019</v>
      </c>
      <c r="C922" s="7" t="s">
        <v>21</v>
      </c>
      <c r="D922" s="12" t="s">
        <v>1292</v>
      </c>
      <c r="E922" s="17" t="s">
        <v>1293</v>
      </c>
      <c r="F922" s="3">
        <v>3</v>
      </c>
      <c r="N922" s="48"/>
    </row>
    <row r="923" spans="1:14" x14ac:dyDescent="0.45">
      <c r="A923" s="3" t="s">
        <v>1038</v>
      </c>
      <c r="B923" s="4">
        <v>42828</v>
      </c>
      <c r="C923" s="7" t="s">
        <v>21</v>
      </c>
      <c r="D923" s="31" t="s">
        <v>1294</v>
      </c>
      <c r="E923" s="9" t="s">
        <v>1239</v>
      </c>
      <c r="F923" s="3">
        <f>SUM(3,15,2,2)</f>
        <v>22</v>
      </c>
      <c r="L923" s="3" t="s">
        <v>1289</v>
      </c>
      <c r="N923" s="48"/>
    </row>
    <row r="924" spans="1:14" x14ac:dyDescent="0.45">
      <c r="A924" s="3" t="s">
        <v>1038</v>
      </c>
      <c r="B924" s="4">
        <v>42787</v>
      </c>
      <c r="C924" s="7" t="s">
        <v>21</v>
      </c>
      <c r="D924" s="31" t="s">
        <v>1295</v>
      </c>
      <c r="E924" s="9" t="s">
        <v>1246</v>
      </c>
      <c r="F924" s="3">
        <f>SUM(3,27)</f>
        <v>30</v>
      </c>
      <c r="L924" s="3" t="s">
        <v>1296</v>
      </c>
      <c r="N924" s="48"/>
    </row>
    <row r="925" spans="1:14" x14ac:dyDescent="0.45">
      <c r="A925" s="3" t="s">
        <v>1038</v>
      </c>
      <c r="B925" s="4">
        <v>42716</v>
      </c>
      <c r="C925" s="7" t="s">
        <v>21</v>
      </c>
      <c r="D925" s="12" t="s">
        <v>1297</v>
      </c>
      <c r="E925" s="17" t="s">
        <v>1298</v>
      </c>
      <c r="F925" s="3">
        <f>SUM(3,3,)</f>
        <v>6</v>
      </c>
      <c r="L925" s="3" t="s">
        <v>465</v>
      </c>
      <c r="N925" s="48"/>
    </row>
    <row r="926" spans="1:14" x14ac:dyDescent="0.45">
      <c r="A926" s="3" t="s">
        <v>1038</v>
      </c>
      <c r="B926" s="4">
        <v>42709</v>
      </c>
      <c r="C926" s="7" t="s">
        <v>21</v>
      </c>
      <c r="D926" s="12" t="s">
        <v>1299</v>
      </c>
      <c r="E926" s="17" t="s">
        <v>1300</v>
      </c>
      <c r="F926" s="3">
        <f>SUM(4,2)</f>
        <v>6</v>
      </c>
      <c r="L926" s="3" t="s">
        <v>1301</v>
      </c>
      <c r="N926" s="48"/>
    </row>
    <row r="927" spans="1:14" x14ac:dyDescent="0.45">
      <c r="A927" s="3" t="s">
        <v>1038</v>
      </c>
      <c r="B927" s="4">
        <v>42709</v>
      </c>
      <c r="C927" s="7" t="s">
        <v>21</v>
      </c>
      <c r="D927" s="31" t="s">
        <v>1302</v>
      </c>
      <c r="E927" s="9" t="s">
        <v>1291</v>
      </c>
      <c r="F927" s="3">
        <f>SUM(5,4)</f>
        <v>9</v>
      </c>
      <c r="L927" s="3" t="s">
        <v>1193</v>
      </c>
      <c r="N927" s="48"/>
    </row>
    <row r="928" spans="1:14" x14ac:dyDescent="0.45">
      <c r="A928" s="3" t="s">
        <v>1038</v>
      </c>
      <c r="B928" s="4">
        <v>42703</v>
      </c>
      <c r="C928" s="7" t="s">
        <v>21</v>
      </c>
      <c r="D928" s="12" t="s">
        <v>1303</v>
      </c>
      <c r="E928" s="17" t="s">
        <v>1304</v>
      </c>
      <c r="F928" s="3">
        <v>31</v>
      </c>
      <c r="L928" s="3" t="s">
        <v>1305</v>
      </c>
      <c r="N928" s="48"/>
    </row>
    <row r="929" spans="1:14" x14ac:dyDescent="0.45">
      <c r="A929" s="3" t="s">
        <v>1038</v>
      </c>
      <c r="B929" s="4">
        <v>42535</v>
      </c>
      <c r="C929" s="7" t="s">
        <v>21</v>
      </c>
      <c r="D929" s="12" t="s">
        <v>1306</v>
      </c>
      <c r="E929" s="17" t="s">
        <v>1307</v>
      </c>
      <c r="F929" s="3">
        <f>SUM(11,1,2,2,2)</f>
        <v>18</v>
      </c>
      <c r="L929" s="3" t="s">
        <v>1308</v>
      </c>
      <c r="N929" s="48"/>
    </row>
    <row r="930" spans="1:14" x14ac:dyDescent="0.45">
      <c r="A930" s="3" t="s">
        <v>1038</v>
      </c>
      <c r="B930" s="4">
        <v>42535</v>
      </c>
      <c r="C930" s="7" t="s">
        <v>21</v>
      </c>
      <c r="D930" s="31" t="s">
        <v>1309</v>
      </c>
      <c r="E930" s="9" t="s">
        <v>1310</v>
      </c>
      <c r="F930" s="3">
        <f>SUM(11,75,2)</f>
        <v>88</v>
      </c>
      <c r="L930" s="3" t="s">
        <v>1311</v>
      </c>
      <c r="N930" s="48"/>
    </row>
    <row r="931" spans="1:14" x14ac:dyDescent="0.45">
      <c r="A931" s="3" t="s">
        <v>1038</v>
      </c>
      <c r="B931" s="4">
        <v>42380</v>
      </c>
      <c r="C931" s="7" t="s">
        <v>21</v>
      </c>
      <c r="D931" s="12" t="s">
        <v>1312</v>
      </c>
      <c r="E931" s="17" t="s">
        <v>1313</v>
      </c>
      <c r="F931" s="3">
        <f>SUM(6,13,2)</f>
        <v>21</v>
      </c>
      <c r="L931" s="3" t="s">
        <v>1314</v>
      </c>
      <c r="N931" s="48"/>
    </row>
    <row r="932" spans="1:14" x14ac:dyDescent="0.45">
      <c r="A932" s="3" t="s">
        <v>1038</v>
      </c>
      <c r="B932" s="4">
        <v>42380</v>
      </c>
      <c r="C932" s="7" t="s">
        <v>21</v>
      </c>
      <c r="D932" s="12" t="s">
        <v>1315</v>
      </c>
      <c r="E932" s="17" t="s">
        <v>1211</v>
      </c>
      <c r="F932" s="3">
        <f>SUM(4,5,3,2)</f>
        <v>14</v>
      </c>
      <c r="L932" s="3" t="s">
        <v>1316</v>
      </c>
      <c r="N932" s="48"/>
    </row>
    <row r="933" spans="1:14" x14ac:dyDescent="0.45">
      <c r="A933" s="3" t="s">
        <v>1038</v>
      </c>
      <c r="B933" s="4">
        <v>42355</v>
      </c>
      <c r="C933" s="7" t="s">
        <v>21</v>
      </c>
      <c r="D933" s="31" t="s">
        <v>1317</v>
      </c>
      <c r="E933" s="9" t="s">
        <v>1318</v>
      </c>
      <c r="F933" s="3">
        <f>SUM(5,96,1)</f>
        <v>102</v>
      </c>
      <c r="L933" s="3" t="s">
        <v>1200</v>
      </c>
      <c r="N933" s="48"/>
    </row>
    <row r="934" spans="1:14" x14ac:dyDescent="0.45">
      <c r="A934" s="3" t="s">
        <v>1038</v>
      </c>
      <c r="B934" s="4">
        <v>42347</v>
      </c>
      <c r="C934" s="7" t="s">
        <v>21</v>
      </c>
      <c r="D934" s="31" t="s">
        <v>1319</v>
      </c>
      <c r="E934" s="9" t="s">
        <v>1239</v>
      </c>
      <c r="F934" s="3">
        <f>SUM(2,13,2,2)</f>
        <v>19</v>
      </c>
      <c r="L934" s="3" t="s">
        <v>1289</v>
      </c>
      <c r="N934" s="48"/>
    </row>
    <row r="935" spans="1:14" x14ac:dyDescent="0.45">
      <c r="A935" s="3" t="s">
        <v>1038</v>
      </c>
      <c r="B935" s="4">
        <v>42347</v>
      </c>
      <c r="C935" s="7" t="s">
        <v>21</v>
      </c>
      <c r="D935" s="31" t="s">
        <v>1320</v>
      </c>
      <c r="E935" s="9" t="s">
        <v>1321</v>
      </c>
      <c r="F935" s="3">
        <f>SUM(4,4,1,2)</f>
        <v>11</v>
      </c>
      <c r="L935" s="3" t="s">
        <v>1322</v>
      </c>
      <c r="N935" s="48"/>
    </row>
    <row r="936" spans="1:14" x14ac:dyDescent="0.45">
      <c r="A936" s="3" t="s">
        <v>1038</v>
      </c>
      <c r="B936" s="4">
        <v>42159</v>
      </c>
      <c r="C936" s="7" t="s">
        <v>21</v>
      </c>
      <c r="D936" s="12" t="s">
        <v>1323</v>
      </c>
      <c r="E936" s="17" t="s">
        <v>1324</v>
      </c>
      <c r="F936" s="3">
        <f>SUM(10,1,2,2,2)</f>
        <v>17</v>
      </c>
      <c r="L936" s="3" t="s">
        <v>1308</v>
      </c>
      <c r="N936" s="48"/>
    </row>
    <row r="937" spans="1:14" x14ac:dyDescent="0.45">
      <c r="A937" s="3" t="s">
        <v>1038</v>
      </c>
      <c r="B937" s="4">
        <v>42159</v>
      </c>
      <c r="C937" s="7" t="s">
        <v>21</v>
      </c>
      <c r="D937" s="31" t="s">
        <v>1325</v>
      </c>
      <c r="E937" s="9" t="s">
        <v>1326</v>
      </c>
      <c r="F937" s="3">
        <f>SUM(9,1,2)</f>
        <v>12</v>
      </c>
      <c r="L937" s="3" t="s">
        <v>1311</v>
      </c>
      <c r="N937" s="48"/>
    </row>
    <row r="938" spans="1:14" x14ac:dyDescent="0.45">
      <c r="A938" s="3" t="s">
        <v>1038</v>
      </c>
      <c r="B938" s="4">
        <v>42095</v>
      </c>
      <c r="C938" s="7" t="s">
        <v>21</v>
      </c>
      <c r="D938" s="8" t="s">
        <v>1327</v>
      </c>
      <c r="E938" s="33" t="s">
        <v>1328</v>
      </c>
      <c r="F938" s="3">
        <f>SUM(4,1)</f>
        <v>5</v>
      </c>
      <c r="L938" s="3" t="s">
        <v>1282</v>
      </c>
      <c r="N938" s="48"/>
    </row>
    <row r="939" spans="1:14" x14ac:dyDescent="0.45">
      <c r="A939" s="3" t="s">
        <v>1038</v>
      </c>
      <c r="B939" s="4">
        <v>42095</v>
      </c>
      <c r="C939" s="7" t="s">
        <v>21</v>
      </c>
      <c r="D939" s="12" t="s">
        <v>1329</v>
      </c>
      <c r="E939" s="17" t="s">
        <v>1330</v>
      </c>
      <c r="F939" s="3">
        <f>SUM(5,3)</f>
        <v>8</v>
      </c>
      <c r="L939" s="3" t="s">
        <v>1282</v>
      </c>
      <c r="N939" s="48"/>
    </row>
    <row r="940" spans="1:14" x14ac:dyDescent="0.45">
      <c r="A940" s="3" t="s">
        <v>1038</v>
      </c>
      <c r="B940" s="4">
        <v>42013</v>
      </c>
      <c r="C940" s="7" t="s">
        <v>21</v>
      </c>
      <c r="D940" s="12" t="s">
        <v>1331</v>
      </c>
      <c r="E940" s="17" t="s">
        <v>1332</v>
      </c>
      <c r="F940" s="3">
        <f>SUM(4,1)</f>
        <v>5</v>
      </c>
      <c r="L940" s="3" t="s">
        <v>1282</v>
      </c>
      <c r="N940" s="48"/>
    </row>
    <row r="941" spans="1:14" x14ac:dyDescent="0.45">
      <c r="A941" s="3" t="s">
        <v>1038</v>
      </c>
      <c r="B941" s="4">
        <v>42006</v>
      </c>
      <c r="C941" s="7" t="s">
        <v>21</v>
      </c>
      <c r="D941" s="12" t="s">
        <v>1333</v>
      </c>
      <c r="E941" s="17" t="s">
        <v>1334</v>
      </c>
      <c r="F941" s="3">
        <v>2</v>
      </c>
      <c r="L941" s="3" t="s">
        <v>1305</v>
      </c>
      <c r="N941" s="48"/>
    </row>
    <row r="942" spans="1:14" x14ac:dyDescent="0.45">
      <c r="A942" s="3" t="s">
        <v>1038</v>
      </c>
      <c r="B942" s="4">
        <v>41950</v>
      </c>
      <c r="C942" s="7" t="s">
        <v>21</v>
      </c>
      <c r="D942" s="12" t="s">
        <v>1335</v>
      </c>
      <c r="E942" s="17" t="s">
        <v>1336</v>
      </c>
      <c r="F942" s="3">
        <f>SUM(3,14,51,2)</f>
        <v>70</v>
      </c>
      <c r="L942" s="3" t="s">
        <v>1316</v>
      </c>
      <c r="N942" s="48"/>
    </row>
    <row r="943" spans="1:14" x14ac:dyDescent="0.45">
      <c r="A943" s="3" t="s">
        <v>1038</v>
      </c>
      <c r="B943" s="4">
        <v>41936</v>
      </c>
      <c r="C943" s="7" t="s">
        <v>21</v>
      </c>
      <c r="D943" s="31" t="s">
        <v>1337</v>
      </c>
      <c r="E943" s="9" t="s">
        <v>1239</v>
      </c>
      <c r="F943" s="3">
        <f>SUM(2,13,2,2)</f>
        <v>19</v>
      </c>
      <c r="L943" s="3" t="s">
        <v>1289</v>
      </c>
      <c r="N943" s="48"/>
    </row>
    <row r="944" spans="1:14" x14ac:dyDescent="0.45">
      <c r="A944" s="3" t="s">
        <v>1038</v>
      </c>
      <c r="B944" s="4">
        <v>41936</v>
      </c>
      <c r="C944" s="7" t="s">
        <v>21</v>
      </c>
      <c r="D944" s="12" t="s">
        <v>1338</v>
      </c>
      <c r="E944" s="17" t="s">
        <v>1339</v>
      </c>
      <c r="F944" s="3">
        <f>SUM(4,4,1,2)</f>
        <v>11</v>
      </c>
      <c r="L944" s="3" t="s">
        <v>1340</v>
      </c>
      <c r="N944" s="48"/>
    </row>
    <row r="945" spans="1:14" x14ac:dyDescent="0.45">
      <c r="A945" s="3" t="s">
        <v>1038</v>
      </c>
      <c r="B945" s="4">
        <v>41786</v>
      </c>
      <c r="C945" s="7" t="s">
        <v>21</v>
      </c>
      <c r="D945" s="31" t="s">
        <v>1341</v>
      </c>
      <c r="E945" s="9" t="s">
        <v>1342</v>
      </c>
      <c r="F945" s="3">
        <f>SUM(10,1,2,2,1)</f>
        <v>16</v>
      </c>
      <c r="L945" s="3" t="s">
        <v>1343</v>
      </c>
      <c r="N945" s="48"/>
    </row>
    <row r="946" spans="1:14" x14ac:dyDescent="0.45">
      <c r="A946" s="3" t="s">
        <v>1038</v>
      </c>
      <c r="B946" s="4">
        <v>41786</v>
      </c>
      <c r="C946" s="7" t="s">
        <v>21</v>
      </c>
      <c r="D946" s="31" t="s">
        <v>1344</v>
      </c>
      <c r="E946" s="9" t="s">
        <v>1345</v>
      </c>
      <c r="F946" s="3">
        <f>SUM(9,1,1)</f>
        <v>11</v>
      </c>
      <c r="L946" s="3" t="s">
        <v>1200</v>
      </c>
      <c r="N946" s="48"/>
    </row>
    <row r="947" spans="1:14" x14ac:dyDescent="0.45">
      <c r="A947" s="3" t="s">
        <v>1038</v>
      </c>
      <c r="B947" s="4">
        <v>41593</v>
      </c>
      <c r="C947" s="7" t="s">
        <v>21</v>
      </c>
      <c r="D947" s="31" t="s">
        <v>1346</v>
      </c>
      <c r="E947" s="9" t="s">
        <v>1347</v>
      </c>
      <c r="F947" s="3">
        <f>SUM(2,11,2,5,2)</f>
        <v>22</v>
      </c>
      <c r="L947" s="3" t="s">
        <v>1348</v>
      </c>
      <c r="N947" s="48"/>
    </row>
    <row r="948" spans="1:14" x14ac:dyDescent="0.45">
      <c r="A948" s="3" t="s">
        <v>1038</v>
      </c>
      <c r="B948" s="4">
        <v>41593</v>
      </c>
      <c r="C948" s="7" t="s">
        <v>21</v>
      </c>
      <c r="D948" s="31" t="s">
        <v>1349</v>
      </c>
      <c r="E948" s="9" t="s">
        <v>1339</v>
      </c>
      <c r="F948" s="3">
        <f>SUM(4,4,1,47,2)</f>
        <v>58</v>
      </c>
      <c r="L948" s="3" t="s">
        <v>1348</v>
      </c>
      <c r="N948" s="48"/>
    </row>
    <row r="949" spans="1:14" x14ac:dyDescent="0.45">
      <c r="A949" s="3" t="s">
        <v>1038</v>
      </c>
      <c r="B949" s="4">
        <v>41569</v>
      </c>
      <c r="C949" s="7" t="s">
        <v>21</v>
      </c>
      <c r="D949" s="12" t="s">
        <v>1350</v>
      </c>
      <c r="E949" s="6" t="s">
        <v>1351</v>
      </c>
      <c r="F949" s="3">
        <f>SUM(3,9,51,2,53)</f>
        <v>118</v>
      </c>
      <c r="L949" s="3" t="s">
        <v>1352</v>
      </c>
      <c r="N949" s="48"/>
    </row>
    <row r="950" spans="1:14" x14ac:dyDescent="0.45">
      <c r="A950" s="3" t="s">
        <v>1038</v>
      </c>
      <c r="B950" s="4">
        <v>41491</v>
      </c>
      <c r="C950" s="7" t="s">
        <v>21</v>
      </c>
      <c r="D950" s="31" t="s">
        <v>1353</v>
      </c>
      <c r="E950" s="9" t="s">
        <v>1246</v>
      </c>
      <c r="F950" s="3">
        <f>SUM(3,2,20)</f>
        <v>25</v>
      </c>
      <c r="L950" s="3" t="s">
        <v>1354</v>
      </c>
      <c r="N950" s="48"/>
    </row>
    <row r="951" spans="1:14" x14ac:dyDescent="0.45">
      <c r="A951" s="3" t="s">
        <v>1038</v>
      </c>
      <c r="B951" s="4">
        <v>41409</v>
      </c>
      <c r="C951" s="7" t="s">
        <v>21</v>
      </c>
      <c r="D951" s="3" t="s">
        <v>1355</v>
      </c>
      <c r="E951" s="6" t="s">
        <v>1356</v>
      </c>
      <c r="F951" s="3">
        <f>SUM(10,1,3,2,1)</f>
        <v>17</v>
      </c>
      <c r="L951" s="3" t="s">
        <v>1343</v>
      </c>
      <c r="N951" s="48"/>
    </row>
    <row r="952" spans="1:14" x14ac:dyDescent="0.45">
      <c r="A952" s="3" t="s">
        <v>1038</v>
      </c>
      <c r="B952" s="4">
        <v>41409</v>
      </c>
      <c r="C952" s="7" t="s">
        <v>21</v>
      </c>
      <c r="D952" s="3" t="s">
        <v>1357</v>
      </c>
      <c r="E952" s="6" t="s">
        <v>1358</v>
      </c>
      <c r="F952" s="3">
        <f>SUM(8,50,1)</f>
        <v>59</v>
      </c>
      <c r="L952" s="3" t="s">
        <v>1200</v>
      </c>
      <c r="N952" s="48"/>
    </row>
    <row r="953" spans="1:14" x14ac:dyDescent="0.45">
      <c r="A953" s="3" t="s">
        <v>1038</v>
      </c>
      <c r="B953" s="4">
        <v>41409</v>
      </c>
      <c r="C953" s="7" t="s">
        <v>21</v>
      </c>
      <c r="D953" s="12" t="s">
        <v>1359</v>
      </c>
      <c r="E953" s="6" t="s">
        <v>1360</v>
      </c>
      <c r="F953" s="3">
        <f>SUM(4,105,1)</f>
        <v>110</v>
      </c>
      <c r="L953" s="3" t="s">
        <v>1361</v>
      </c>
      <c r="N953" s="48"/>
    </row>
    <row r="954" spans="1:14" x14ac:dyDescent="0.45">
      <c r="A954" s="3" t="s">
        <v>1038</v>
      </c>
      <c r="B954" s="4">
        <v>41214</v>
      </c>
      <c r="C954" s="7" t="s">
        <v>21</v>
      </c>
      <c r="D954" s="34" t="s">
        <v>1362</v>
      </c>
      <c r="E954" s="6" t="s">
        <v>1363</v>
      </c>
      <c r="F954" s="3">
        <f>SUM(3,12,1,2)</f>
        <v>18</v>
      </c>
      <c r="L954" s="3" t="s">
        <v>1259</v>
      </c>
      <c r="N954" s="48"/>
    </row>
    <row r="955" spans="1:14" x14ac:dyDescent="0.45">
      <c r="A955" s="3" t="s">
        <v>1038</v>
      </c>
      <c r="B955" s="4">
        <v>41191</v>
      </c>
      <c r="C955" s="7" t="s">
        <v>21</v>
      </c>
      <c r="D955" s="3" t="s">
        <v>1364</v>
      </c>
      <c r="E955" s="6" t="s">
        <v>1365</v>
      </c>
      <c r="F955" s="3">
        <f>SUM(5,57)</f>
        <v>62</v>
      </c>
      <c r="L955" s="3" t="s">
        <v>1282</v>
      </c>
      <c r="N955" s="48"/>
    </row>
    <row r="956" spans="1:14" x14ac:dyDescent="0.45">
      <c r="A956" s="3" t="s">
        <v>1038</v>
      </c>
      <c r="B956" s="4">
        <v>41099</v>
      </c>
      <c r="C956" s="7" t="s">
        <v>21</v>
      </c>
      <c r="D956" s="3" t="s">
        <v>1366</v>
      </c>
      <c r="E956" s="6" t="s">
        <v>1367</v>
      </c>
      <c r="F956" s="3">
        <f>SUM(3,1,3,7)</f>
        <v>14</v>
      </c>
      <c r="L956" s="3" t="s">
        <v>1368</v>
      </c>
      <c r="N956" s="48"/>
    </row>
    <row r="957" spans="1:14" x14ac:dyDescent="0.45">
      <c r="A957" s="3" t="s">
        <v>1038</v>
      </c>
      <c r="B957" s="4">
        <v>41082</v>
      </c>
      <c r="C957" s="7" t="s">
        <v>21</v>
      </c>
      <c r="D957" s="3" t="s">
        <v>1369</v>
      </c>
      <c r="E957" s="6" t="s">
        <v>1370</v>
      </c>
      <c r="F957" s="3">
        <f>SUM(9,2)</f>
        <v>11</v>
      </c>
      <c r="L957" s="3" t="s">
        <v>1311</v>
      </c>
      <c r="N957" s="48"/>
    </row>
    <row r="958" spans="1:14" x14ac:dyDescent="0.45">
      <c r="A958" s="3" t="s">
        <v>1038</v>
      </c>
      <c r="B958" s="4">
        <v>41082</v>
      </c>
      <c r="C958" s="7" t="s">
        <v>21</v>
      </c>
      <c r="D958" s="9" t="s">
        <v>1371</v>
      </c>
      <c r="E958" s="6" t="s">
        <v>1372</v>
      </c>
      <c r="F958" s="3">
        <v>16</v>
      </c>
      <c r="L958" s="3" t="s">
        <v>1305</v>
      </c>
      <c r="N958" s="48"/>
    </row>
    <row r="959" spans="1:14" x14ac:dyDescent="0.45">
      <c r="A959" s="3" t="s">
        <v>1038</v>
      </c>
      <c r="B959" s="4">
        <v>41065</v>
      </c>
      <c r="C959" s="7" t="s">
        <v>21</v>
      </c>
      <c r="D959" s="3" t="s">
        <v>1373</v>
      </c>
      <c r="E959" s="6" t="s">
        <v>1374</v>
      </c>
      <c r="F959" s="3">
        <f>SUM(3,9,45)</f>
        <v>57</v>
      </c>
      <c r="L959" s="3" t="s">
        <v>1296</v>
      </c>
      <c r="N959" s="48"/>
    </row>
    <row r="960" spans="1:14" x14ac:dyDescent="0.45">
      <c r="A960" s="3" t="s">
        <v>1038</v>
      </c>
      <c r="B960" s="4">
        <v>41054</v>
      </c>
      <c r="C960" s="7" t="s">
        <v>21</v>
      </c>
      <c r="D960" s="3" t="s">
        <v>1375</v>
      </c>
      <c r="E960" s="6" t="s">
        <v>1376</v>
      </c>
      <c r="F960" s="3">
        <v>4</v>
      </c>
      <c r="L960" s="3" t="s">
        <v>1171</v>
      </c>
      <c r="N960" s="48"/>
    </row>
    <row r="961" spans="1:14" x14ac:dyDescent="0.45">
      <c r="A961" s="3" t="s">
        <v>1038</v>
      </c>
      <c r="B961" s="4">
        <v>40836</v>
      </c>
      <c r="C961" s="7" t="s">
        <v>21</v>
      </c>
      <c r="D961" s="3" t="s">
        <v>1377</v>
      </c>
      <c r="E961" s="6" t="s">
        <v>1378</v>
      </c>
      <c r="F961" s="3">
        <v>5</v>
      </c>
      <c r="L961" s="3" t="s">
        <v>1379</v>
      </c>
      <c r="N961" s="48"/>
    </row>
    <row r="962" spans="1:14" x14ac:dyDescent="0.45">
      <c r="A962" s="3" t="s">
        <v>1038</v>
      </c>
      <c r="B962" s="4">
        <v>40836</v>
      </c>
      <c r="C962" s="7" t="s">
        <v>21</v>
      </c>
      <c r="D962" s="3" t="s">
        <v>1380</v>
      </c>
      <c r="E962" s="6" t="s">
        <v>1381</v>
      </c>
      <c r="F962" s="3">
        <f>SUM(3,13,1)</f>
        <v>17</v>
      </c>
      <c r="L962" s="3" t="s">
        <v>1382</v>
      </c>
      <c r="N962" s="48"/>
    </row>
    <row r="963" spans="1:14" x14ac:dyDescent="0.45">
      <c r="A963" s="3" t="s">
        <v>1038</v>
      </c>
      <c r="B963" s="4">
        <v>40704</v>
      </c>
      <c r="C963" s="7" t="s">
        <v>21</v>
      </c>
      <c r="D963" s="3" t="s">
        <v>1383</v>
      </c>
      <c r="E963" s="6" t="s">
        <v>1384</v>
      </c>
      <c r="F963" s="3">
        <v>15</v>
      </c>
      <c r="L963" s="3" t="s">
        <v>1171</v>
      </c>
      <c r="N963" s="48"/>
    </row>
    <row r="964" spans="1:14" x14ac:dyDescent="0.45">
      <c r="A964" s="3" t="s">
        <v>1038</v>
      </c>
      <c r="B964" s="4">
        <v>40704</v>
      </c>
      <c r="C964" s="7" t="s">
        <v>21</v>
      </c>
      <c r="D964" s="3" t="s">
        <v>1385</v>
      </c>
      <c r="E964" s="6" t="s">
        <v>1386</v>
      </c>
      <c r="F964" s="3">
        <f>SUM(6,86,2)</f>
        <v>94</v>
      </c>
      <c r="L964" s="3" t="s">
        <v>1311</v>
      </c>
      <c r="N964" s="48"/>
    </row>
    <row r="965" spans="1:14" x14ac:dyDescent="0.45">
      <c r="A965" s="3" t="s">
        <v>1038</v>
      </c>
      <c r="B965" s="4">
        <v>40686</v>
      </c>
      <c r="C965" s="7" t="s">
        <v>21</v>
      </c>
      <c r="D965" s="3" t="s">
        <v>1387</v>
      </c>
      <c r="E965" s="6" t="s">
        <v>1388</v>
      </c>
      <c r="F965" s="3">
        <v>8</v>
      </c>
      <c r="L965" s="3" t="s">
        <v>1379</v>
      </c>
      <c r="N965" s="48"/>
    </row>
    <row r="966" spans="1:14" x14ac:dyDescent="0.45">
      <c r="A966" s="3" t="s">
        <v>1038</v>
      </c>
      <c r="B966" s="35">
        <v>40480</v>
      </c>
      <c r="C966" s="7" t="s">
        <v>21</v>
      </c>
      <c r="D966" s="3" t="s">
        <v>1389</v>
      </c>
      <c r="E966" s="6" t="s">
        <v>1390</v>
      </c>
      <c r="F966" s="3">
        <v>5</v>
      </c>
      <c r="L966" s="3" t="s">
        <v>1379</v>
      </c>
      <c r="N966" s="48"/>
    </row>
    <row r="967" spans="1:14" x14ac:dyDescent="0.45">
      <c r="A967" s="3" t="s">
        <v>1038</v>
      </c>
      <c r="B967" s="4">
        <v>40479</v>
      </c>
      <c r="C967" s="7" t="s">
        <v>21</v>
      </c>
      <c r="D967" s="3" t="s">
        <v>1391</v>
      </c>
      <c r="E967" s="6" t="s">
        <v>1392</v>
      </c>
      <c r="F967" s="3">
        <v>3</v>
      </c>
      <c r="L967" s="3" t="s">
        <v>1379</v>
      </c>
      <c r="N967" s="48"/>
    </row>
    <row r="968" spans="1:14" x14ac:dyDescent="0.45">
      <c r="A968" s="3" t="s">
        <v>1038</v>
      </c>
      <c r="B968" s="4">
        <v>40416</v>
      </c>
      <c r="C968" s="7" t="s">
        <v>21</v>
      </c>
      <c r="D968" s="3" t="s">
        <v>1393</v>
      </c>
      <c r="E968" s="6" t="s">
        <v>1394</v>
      </c>
      <c r="F968" s="3">
        <v>8</v>
      </c>
      <c r="L968" s="3" t="s">
        <v>1171</v>
      </c>
      <c r="N968" s="48"/>
    </row>
    <row r="969" spans="1:14" x14ac:dyDescent="0.45">
      <c r="A969" s="3" t="s">
        <v>1038</v>
      </c>
      <c r="B969" s="4">
        <v>40350</v>
      </c>
      <c r="C969" s="7" t="s">
        <v>21</v>
      </c>
      <c r="D969" s="3" t="s">
        <v>1395</v>
      </c>
      <c r="E969" s="6" t="s">
        <v>1388</v>
      </c>
      <c r="F969" s="3">
        <v>9</v>
      </c>
      <c r="L969" s="3" t="s">
        <v>1171</v>
      </c>
      <c r="N969" s="48"/>
    </row>
    <row r="970" spans="1:14" x14ac:dyDescent="0.45">
      <c r="A970" s="3" t="s">
        <v>1038</v>
      </c>
      <c r="B970" s="4">
        <v>40350</v>
      </c>
      <c r="C970" s="7" t="s">
        <v>21</v>
      </c>
      <c r="D970" s="12" t="s">
        <v>1396</v>
      </c>
      <c r="E970" s="6" t="s">
        <v>1384</v>
      </c>
      <c r="F970" s="3">
        <v>9</v>
      </c>
      <c r="L970" s="3" t="s">
        <v>1397</v>
      </c>
      <c r="N970" s="48"/>
    </row>
    <row r="971" spans="1:14" x14ac:dyDescent="0.45">
      <c r="A971" s="3" t="s">
        <v>1038</v>
      </c>
      <c r="B971" s="4">
        <v>41365</v>
      </c>
      <c r="C971" s="7" t="s">
        <v>21</v>
      </c>
      <c r="D971" s="12" t="s">
        <v>1398</v>
      </c>
      <c r="E971" s="6" t="s">
        <v>1399</v>
      </c>
      <c r="F971" s="3">
        <v>31</v>
      </c>
      <c r="L971" s="3" t="s">
        <v>1305</v>
      </c>
      <c r="N971" s="48"/>
    </row>
    <row r="972" spans="1:14" x14ac:dyDescent="0.45">
      <c r="A972" s="3" t="s">
        <v>1038</v>
      </c>
      <c r="B972" s="4">
        <v>41371</v>
      </c>
      <c r="C972" s="7" t="s">
        <v>21</v>
      </c>
      <c r="D972" s="12" t="s">
        <v>1400</v>
      </c>
      <c r="E972" s="6" t="s">
        <v>1399</v>
      </c>
      <c r="F972" s="3">
        <v>27</v>
      </c>
      <c r="L972" s="3" t="s">
        <v>1305</v>
      </c>
      <c r="N972" s="48"/>
    </row>
    <row r="973" spans="1:14" x14ac:dyDescent="0.45">
      <c r="A973" s="3" t="s">
        <v>1038</v>
      </c>
      <c r="B973" s="4">
        <v>40247</v>
      </c>
      <c r="C973" s="7" t="s">
        <v>21</v>
      </c>
      <c r="D973" s="3" t="s">
        <v>1401</v>
      </c>
      <c r="E973" s="6" t="s">
        <v>1402</v>
      </c>
      <c r="F973" s="3">
        <f>SUM(3,4,6,15)</f>
        <v>28</v>
      </c>
      <c r="L973" s="3" t="s">
        <v>1247</v>
      </c>
      <c r="N973" s="48"/>
    </row>
    <row r="974" spans="1:14" x14ac:dyDescent="0.45">
      <c r="A974" s="3" t="s">
        <v>1038</v>
      </c>
      <c r="B974" s="4">
        <v>40221</v>
      </c>
      <c r="C974" s="7" t="s">
        <v>21</v>
      </c>
      <c r="D974" s="3" t="s">
        <v>1403</v>
      </c>
      <c r="E974" s="6" t="s">
        <v>1404</v>
      </c>
      <c r="F974" s="3">
        <f>SUM(3,2,5,1)</f>
        <v>11</v>
      </c>
      <c r="L974" s="3" t="s">
        <v>1289</v>
      </c>
      <c r="N974" s="48"/>
    </row>
    <row r="975" spans="1:14" x14ac:dyDescent="0.45">
      <c r="A975" s="3" t="s">
        <v>1038</v>
      </c>
      <c r="B975" s="4">
        <v>40115</v>
      </c>
      <c r="C975" s="7" t="s">
        <v>21</v>
      </c>
      <c r="D975" s="3" t="s">
        <v>1405</v>
      </c>
      <c r="E975" s="6" t="s">
        <v>1406</v>
      </c>
      <c r="F975" s="3">
        <f>SUM(3,2)</f>
        <v>5</v>
      </c>
      <c r="L975" s="3" t="s">
        <v>1407</v>
      </c>
      <c r="N975" s="48"/>
    </row>
    <row r="976" spans="1:14" x14ac:dyDescent="0.45">
      <c r="A976" s="3" t="s">
        <v>1038</v>
      </c>
      <c r="B976" s="4">
        <v>40115</v>
      </c>
      <c r="C976" s="7" t="s">
        <v>21</v>
      </c>
      <c r="D976" s="6" t="s">
        <v>1408</v>
      </c>
      <c r="E976" s="3" t="s">
        <v>1409</v>
      </c>
      <c r="F976" s="3">
        <f>SUM(2,11,1,2)</f>
        <v>16</v>
      </c>
      <c r="L976" s="3" t="s">
        <v>1289</v>
      </c>
      <c r="N976" s="48"/>
    </row>
    <row r="977" spans="1:14" x14ac:dyDescent="0.45">
      <c r="A977" s="3" t="s">
        <v>1038</v>
      </c>
      <c r="B977" s="4">
        <v>39979</v>
      </c>
      <c r="C977" s="7" t="s">
        <v>21</v>
      </c>
      <c r="D977" s="3" t="s">
        <v>1410</v>
      </c>
      <c r="E977" s="6" t="s">
        <v>1376</v>
      </c>
      <c r="F977" s="3">
        <f>SUM(4,2,6)</f>
        <v>12</v>
      </c>
      <c r="L977" s="3" t="s">
        <v>1200</v>
      </c>
      <c r="N977" s="48"/>
    </row>
    <row r="978" spans="1:14" x14ac:dyDescent="0.45">
      <c r="A978" s="3" t="s">
        <v>1038</v>
      </c>
      <c r="B978" s="4">
        <v>39947</v>
      </c>
      <c r="C978" s="7" t="s">
        <v>21</v>
      </c>
      <c r="D978" s="3" t="s">
        <v>1411</v>
      </c>
      <c r="E978" s="6" t="s">
        <v>1412</v>
      </c>
      <c r="F978" s="3">
        <v>15</v>
      </c>
      <c r="L978" s="3" t="s">
        <v>1171</v>
      </c>
      <c r="N978" s="48"/>
    </row>
    <row r="979" spans="1:14" x14ac:dyDescent="0.45">
      <c r="A979" s="3" t="s">
        <v>1038</v>
      </c>
      <c r="B979" s="4">
        <v>39930</v>
      </c>
      <c r="C979" s="7" t="s">
        <v>21</v>
      </c>
      <c r="D979" s="3" t="s">
        <v>1413</v>
      </c>
      <c r="E979" s="6" t="s">
        <v>1414</v>
      </c>
      <c r="F979" s="3">
        <v>49</v>
      </c>
      <c r="L979" s="3" t="s">
        <v>1171</v>
      </c>
      <c r="N979" s="48"/>
    </row>
    <row r="980" spans="1:14" x14ac:dyDescent="0.45">
      <c r="A980" s="3" t="s">
        <v>1038</v>
      </c>
      <c r="B980" s="4">
        <v>39930</v>
      </c>
      <c r="C980" s="7" t="s">
        <v>21</v>
      </c>
      <c r="D980" s="6" t="s">
        <v>1415</v>
      </c>
      <c r="E980" s="3" t="s">
        <v>1416</v>
      </c>
      <c r="F980" s="3">
        <f>SUM(3,2)</f>
        <v>5</v>
      </c>
      <c r="L980" s="3" t="s">
        <v>1193</v>
      </c>
      <c r="N980" s="48"/>
    </row>
    <row r="981" spans="1:14" x14ac:dyDescent="0.45">
      <c r="A981" s="3" t="s">
        <v>1038</v>
      </c>
      <c r="B981" s="4">
        <v>39912</v>
      </c>
      <c r="C981" s="7" t="s">
        <v>21</v>
      </c>
      <c r="D981" s="3" t="s">
        <v>1417</v>
      </c>
      <c r="E981" s="6" t="s">
        <v>1418</v>
      </c>
      <c r="F981" s="3">
        <v>7</v>
      </c>
      <c r="L981" s="3" t="s">
        <v>1171</v>
      </c>
      <c r="N981" s="48"/>
    </row>
    <row r="982" spans="1:14" x14ac:dyDescent="0.45">
      <c r="A982" s="3" t="s">
        <v>1038</v>
      </c>
      <c r="B982" s="4">
        <v>39829</v>
      </c>
      <c r="C982" s="7" t="s">
        <v>21</v>
      </c>
      <c r="D982" s="3" t="s">
        <v>1419</v>
      </c>
      <c r="E982" s="6" t="s">
        <v>1420</v>
      </c>
      <c r="F982" s="3">
        <v>5</v>
      </c>
      <c r="L982" s="3" t="s">
        <v>1171</v>
      </c>
      <c r="N982" s="48"/>
    </row>
    <row r="983" spans="1:14" x14ac:dyDescent="0.45">
      <c r="A983" s="3" t="s">
        <v>1038</v>
      </c>
      <c r="B983" s="4">
        <v>39818</v>
      </c>
      <c r="C983" s="7" t="s">
        <v>21</v>
      </c>
      <c r="D983" s="3" t="s">
        <v>1421</v>
      </c>
      <c r="E983" s="6" t="s">
        <v>1422</v>
      </c>
      <c r="F983" s="3">
        <v>2</v>
      </c>
      <c r="N983" s="48"/>
    </row>
    <row r="984" spans="1:14" x14ac:dyDescent="0.45">
      <c r="A984" s="3" t="s">
        <v>1038</v>
      </c>
      <c r="B984" s="4">
        <v>39570</v>
      </c>
      <c r="C984" s="7" t="s">
        <v>21</v>
      </c>
      <c r="D984" s="3" t="s">
        <v>1423</v>
      </c>
      <c r="E984" s="6" t="s">
        <v>1424</v>
      </c>
      <c r="F984" s="3">
        <v>4</v>
      </c>
      <c r="L984" s="3" t="s">
        <v>1171</v>
      </c>
      <c r="N984" s="48"/>
    </row>
    <row r="985" spans="1:14" x14ac:dyDescent="0.45">
      <c r="A985" s="3" t="s">
        <v>1038</v>
      </c>
      <c r="B985" s="4">
        <v>39371</v>
      </c>
      <c r="C985" s="7" t="s">
        <v>21</v>
      </c>
      <c r="D985" s="3" t="s">
        <v>1425</v>
      </c>
      <c r="E985" s="6" t="s">
        <v>1426</v>
      </c>
      <c r="F985" s="3">
        <v>3</v>
      </c>
      <c r="N985" s="48"/>
    </row>
    <row r="986" spans="1:14" x14ac:dyDescent="0.45">
      <c r="A986" s="3" t="s">
        <v>1038</v>
      </c>
      <c r="B986" s="4">
        <v>38450</v>
      </c>
      <c r="C986" s="7" t="s">
        <v>21</v>
      </c>
      <c r="D986" s="12" t="s">
        <v>1427</v>
      </c>
      <c r="E986" s="6" t="s">
        <v>1428</v>
      </c>
      <c r="F986" s="3">
        <v>8</v>
      </c>
      <c r="L986" s="3" t="s">
        <v>1305</v>
      </c>
      <c r="N986" s="48"/>
    </row>
    <row r="987" spans="1:14" x14ac:dyDescent="0.45">
      <c r="A987" s="3" t="s">
        <v>1038</v>
      </c>
      <c r="B987" s="4">
        <v>37202</v>
      </c>
      <c r="C987" s="7" t="s">
        <v>21</v>
      </c>
      <c r="D987" s="3" t="s">
        <v>1429</v>
      </c>
      <c r="E987" s="6" t="s">
        <v>1430</v>
      </c>
      <c r="F987" s="3">
        <v>3</v>
      </c>
      <c r="N987" s="48"/>
    </row>
    <row r="988" spans="1:14" x14ac:dyDescent="0.45">
      <c r="A988" s="3" t="s">
        <v>1038</v>
      </c>
      <c r="B988" s="4">
        <v>36826</v>
      </c>
      <c r="C988" s="7" t="s">
        <v>21</v>
      </c>
      <c r="D988" s="3" t="s">
        <v>1431</v>
      </c>
      <c r="E988" s="6" t="s">
        <v>1432</v>
      </c>
      <c r="F988" s="3">
        <v>5</v>
      </c>
      <c r="N988" s="48"/>
    </row>
    <row r="989" spans="1:14" x14ac:dyDescent="0.45">
      <c r="A989" s="3" t="s">
        <v>1038</v>
      </c>
      <c r="B989" s="4">
        <v>36299</v>
      </c>
      <c r="C989" s="7" t="s">
        <v>21</v>
      </c>
      <c r="D989" s="3" t="s">
        <v>1433</v>
      </c>
      <c r="E989" s="6" t="s">
        <v>1434</v>
      </c>
      <c r="F989" s="3">
        <v>17</v>
      </c>
      <c r="L989" s="3" t="s">
        <v>1171</v>
      </c>
      <c r="N989" s="48"/>
    </row>
    <row r="990" spans="1:14" x14ac:dyDescent="0.45">
      <c r="A990" s="3" t="s">
        <v>1038</v>
      </c>
      <c r="B990" s="4">
        <v>36124</v>
      </c>
      <c r="C990" s="7" t="s">
        <v>21</v>
      </c>
      <c r="D990" s="9" t="s">
        <v>1435</v>
      </c>
      <c r="E990" s="6" t="s">
        <v>1436</v>
      </c>
      <c r="F990" s="3">
        <v>2</v>
      </c>
      <c r="L990" s="3" t="s">
        <v>1171</v>
      </c>
      <c r="N990" s="48"/>
    </row>
    <row r="991" spans="1:14" x14ac:dyDescent="0.45">
      <c r="A991" s="3" t="s">
        <v>1038</v>
      </c>
      <c r="B991" s="16">
        <v>45288</v>
      </c>
      <c r="C991" s="7" t="s">
        <v>302</v>
      </c>
      <c r="D991" s="36" t="s">
        <v>1437</v>
      </c>
      <c r="E991" s="10" t="s">
        <v>1438</v>
      </c>
      <c r="F991" s="3">
        <f>SUM(13,2,2)</f>
        <v>17</v>
      </c>
      <c r="L991" s="3" t="s">
        <v>1439</v>
      </c>
      <c r="N991" s="48"/>
    </row>
    <row r="992" spans="1:14" x14ac:dyDescent="0.45">
      <c r="A992" s="3" t="s">
        <v>1038</v>
      </c>
      <c r="B992" s="3" t="s">
        <v>966</v>
      </c>
      <c r="C992" s="7" t="s">
        <v>302</v>
      </c>
      <c r="D992" s="3" t="s">
        <v>1440</v>
      </c>
      <c r="E992" s="3" t="s">
        <v>1441</v>
      </c>
      <c r="F992" s="3" t="s">
        <v>1041</v>
      </c>
      <c r="L992" s="3" t="s">
        <v>1442</v>
      </c>
      <c r="N992" s="48"/>
    </row>
    <row r="993" spans="1:14" x14ac:dyDescent="0.45">
      <c r="A993" s="3" t="s">
        <v>1038</v>
      </c>
      <c r="B993" s="16">
        <v>45210</v>
      </c>
      <c r="C993" s="7" t="s">
        <v>302</v>
      </c>
      <c r="D993" s="36" t="s">
        <v>1443</v>
      </c>
      <c r="E993" s="10" t="s">
        <v>1444</v>
      </c>
      <c r="F993" s="3">
        <v>25</v>
      </c>
      <c r="N993" s="48"/>
    </row>
    <row r="994" spans="1:14" x14ac:dyDescent="0.45">
      <c r="A994" s="3" t="s">
        <v>1038</v>
      </c>
      <c r="B994" s="16">
        <v>45205</v>
      </c>
      <c r="C994" s="7" t="s">
        <v>302</v>
      </c>
      <c r="D994" s="36" t="s">
        <v>1445</v>
      </c>
      <c r="E994" s="10" t="s">
        <v>1446</v>
      </c>
      <c r="F994" s="3">
        <v>18</v>
      </c>
      <c r="N994" s="48"/>
    </row>
    <row r="995" spans="1:14" x14ac:dyDescent="0.45">
      <c r="A995" s="3" t="s">
        <v>1038</v>
      </c>
      <c r="B995" s="16">
        <v>43922</v>
      </c>
      <c r="C995" s="7" t="s">
        <v>302</v>
      </c>
      <c r="D995" s="36" t="s">
        <v>1447</v>
      </c>
      <c r="E995" s="10" t="s">
        <v>1448</v>
      </c>
      <c r="F995" s="3">
        <v>12</v>
      </c>
      <c r="N995" s="48"/>
    </row>
    <row r="996" spans="1:14" x14ac:dyDescent="0.45">
      <c r="A996" s="3" t="s">
        <v>1038</v>
      </c>
      <c r="B996" s="3" t="s">
        <v>966</v>
      </c>
      <c r="C996" s="7" t="s">
        <v>302</v>
      </c>
      <c r="D996" s="36" t="s">
        <v>1449</v>
      </c>
      <c r="E996" s="3" t="s">
        <v>1441</v>
      </c>
      <c r="F996" s="3" t="s">
        <v>1041</v>
      </c>
      <c r="L996" s="37" t="s">
        <v>1450</v>
      </c>
      <c r="N996" s="48"/>
    </row>
    <row r="997" spans="1:14" x14ac:dyDescent="0.45">
      <c r="A997" s="3" t="s">
        <v>1038</v>
      </c>
      <c r="B997" s="3" t="s">
        <v>966</v>
      </c>
      <c r="C997" s="7" t="s">
        <v>302</v>
      </c>
      <c r="D997" s="3" t="s">
        <v>1451</v>
      </c>
      <c r="E997" s="3" t="s">
        <v>1441</v>
      </c>
      <c r="F997" s="3" t="s">
        <v>1041</v>
      </c>
      <c r="L997" s="3" t="s">
        <v>1452</v>
      </c>
      <c r="N997" s="48"/>
    </row>
    <row r="998" spans="1:14" x14ac:dyDescent="0.45">
      <c r="A998" s="3" t="s">
        <v>1038</v>
      </c>
      <c r="B998" s="16">
        <v>45126</v>
      </c>
      <c r="C998" s="7" t="s">
        <v>302</v>
      </c>
      <c r="D998" s="36" t="s">
        <v>1453</v>
      </c>
      <c r="E998" s="10" t="s">
        <v>1454</v>
      </c>
      <c r="F998" s="3">
        <v>19</v>
      </c>
      <c r="N998" s="48"/>
    </row>
    <row r="999" spans="1:14" x14ac:dyDescent="0.45">
      <c r="A999" s="3" t="s">
        <v>1038</v>
      </c>
      <c r="B999" s="16">
        <v>45453</v>
      </c>
      <c r="C999" s="7" t="s">
        <v>302</v>
      </c>
      <c r="D999" s="36" t="s">
        <v>1455</v>
      </c>
      <c r="E999" s="10" t="s">
        <v>1456</v>
      </c>
      <c r="F999" s="3">
        <v>18</v>
      </c>
      <c r="L999" s="6" t="s">
        <v>1457</v>
      </c>
      <c r="N999" s="48"/>
    </row>
    <row r="1000" spans="1:14" x14ac:dyDescent="0.45">
      <c r="A1000" s="3" t="s">
        <v>1038</v>
      </c>
      <c r="B1000" s="16">
        <v>45133</v>
      </c>
      <c r="C1000" s="7" t="s">
        <v>302</v>
      </c>
      <c r="D1000" s="36" t="s">
        <v>1458</v>
      </c>
      <c r="E1000" s="17" t="s">
        <v>1459</v>
      </c>
      <c r="F1000" s="3">
        <v>8</v>
      </c>
      <c r="N1000" s="48"/>
    </row>
    <row r="1001" spans="1:14" x14ac:dyDescent="0.45">
      <c r="A1001" s="3" t="s">
        <v>1038</v>
      </c>
      <c r="B1001" s="16">
        <v>45132</v>
      </c>
      <c r="C1001" s="7" t="s">
        <v>302</v>
      </c>
      <c r="D1001" s="36" t="s">
        <v>1460</v>
      </c>
      <c r="E1001" s="10" t="s">
        <v>1461</v>
      </c>
      <c r="F1001" s="3">
        <v>8</v>
      </c>
      <c r="N1001" s="48"/>
    </row>
    <row r="1002" spans="1:14" x14ac:dyDescent="0.45">
      <c r="A1002" s="3" t="s">
        <v>1038</v>
      </c>
      <c r="B1002" s="3" t="s">
        <v>966</v>
      </c>
      <c r="C1002" s="7" t="s">
        <v>302</v>
      </c>
      <c r="D1002" s="36" t="s">
        <v>1462</v>
      </c>
      <c r="E1002" s="3" t="s">
        <v>1463</v>
      </c>
      <c r="F1002" s="3" t="s">
        <v>1041</v>
      </c>
      <c r="L1002" s="3" t="s">
        <v>1464</v>
      </c>
      <c r="N1002" s="48"/>
    </row>
    <row r="1003" spans="1:14" x14ac:dyDescent="0.45">
      <c r="A1003" s="3" t="s">
        <v>1038</v>
      </c>
      <c r="B1003" s="16">
        <v>45132</v>
      </c>
      <c r="C1003" s="7" t="s">
        <v>302</v>
      </c>
      <c r="D1003" s="36" t="s">
        <v>1465</v>
      </c>
      <c r="E1003" s="10" t="s">
        <v>1466</v>
      </c>
      <c r="F1003" s="3">
        <v>8</v>
      </c>
      <c r="N1003" s="48"/>
    </row>
    <row r="1004" spans="1:14" x14ac:dyDescent="0.45">
      <c r="A1004" s="3" t="s">
        <v>1038</v>
      </c>
      <c r="B1004" s="16">
        <v>45138</v>
      </c>
      <c r="C1004" s="7" t="s">
        <v>302</v>
      </c>
      <c r="D1004" s="3" t="s">
        <v>1467</v>
      </c>
      <c r="E1004" s="10" t="s">
        <v>1468</v>
      </c>
      <c r="F1004" s="3">
        <v>8</v>
      </c>
      <c r="N1004" s="48"/>
    </row>
    <row r="1005" spans="1:14" x14ac:dyDescent="0.45">
      <c r="A1005" s="3" t="s">
        <v>1038</v>
      </c>
      <c r="B1005" s="4">
        <v>45622</v>
      </c>
      <c r="C1005" s="7" t="s">
        <v>302</v>
      </c>
      <c r="E1005" s="6" t="s">
        <v>1469</v>
      </c>
      <c r="F1005" s="3">
        <v>11</v>
      </c>
      <c r="L1005" s="3" t="s">
        <v>1470</v>
      </c>
      <c r="N1005" s="48"/>
    </row>
    <row r="1006" spans="1:14" x14ac:dyDescent="0.45">
      <c r="A1006" s="3" t="s">
        <v>1038</v>
      </c>
      <c r="B1006" s="4">
        <v>42718</v>
      </c>
      <c r="C1006" s="7" t="s">
        <v>302</v>
      </c>
      <c r="E1006" s="6" t="s">
        <v>1471</v>
      </c>
      <c r="F1006" s="3">
        <v>31</v>
      </c>
      <c r="L1006" s="3" t="s">
        <v>1470</v>
      </c>
      <c r="N1006" s="48"/>
    </row>
    <row r="1007" spans="1:14" x14ac:dyDescent="0.45">
      <c r="A1007" s="3" t="s">
        <v>1038</v>
      </c>
      <c r="B1007" s="4">
        <v>42718</v>
      </c>
      <c r="C1007" s="7" t="s">
        <v>302</v>
      </c>
      <c r="E1007" s="6" t="s">
        <v>1472</v>
      </c>
      <c r="F1007" s="3">
        <v>1</v>
      </c>
      <c r="L1007" s="3" t="s">
        <v>1470</v>
      </c>
      <c r="N1007" s="48"/>
    </row>
    <row r="1008" spans="1:14" x14ac:dyDescent="0.45">
      <c r="A1008" s="3" t="s">
        <v>1038</v>
      </c>
      <c r="B1008" s="4">
        <v>42718</v>
      </c>
      <c r="C1008" s="7" t="s">
        <v>302</v>
      </c>
      <c r="E1008" s="6" t="s">
        <v>1473</v>
      </c>
      <c r="F1008" s="3">
        <v>1</v>
      </c>
      <c r="L1008" s="3" t="s">
        <v>1470</v>
      </c>
      <c r="N1008" s="48"/>
    </row>
    <row r="1009" spans="1:14" x14ac:dyDescent="0.45">
      <c r="A1009" s="3" t="s">
        <v>1038</v>
      </c>
      <c r="B1009" s="4">
        <v>42563</v>
      </c>
      <c r="C1009" s="7" t="s">
        <v>302</v>
      </c>
      <c r="E1009" s="6" t="s">
        <v>1474</v>
      </c>
      <c r="F1009" s="3">
        <v>1</v>
      </c>
      <c r="L1009" s="3" t="s">
        <v>1470</v>
      </c>
      <c r="N1009" s="48"/>
    </row>
    <row r="1010" spans="1:14" x14ac:dyDescent="0.45">
      <c r="A1010" s="3" t="s">
        <v>1038</v>
      </c>
      <c r="B1010" s="4">
        <v>42551</v>
      </c>
      <c r="C1010" s="7" t="s">
        <v>302</v>
      </c>
      <c r="E1010" s="6" t="s">
        <v>1475</v>
      </c>
      <c r="F1010" s="3">
        <v>1</v>
      </c>
      <c r="L1010" s="3" t="s">
        <v>1470</v>
      </c>
      <c r="N1010" s="48"/>
    </row>
    <row r="1011" spans="1:14" x14ac:dyDescent="0.45">
      <c r="A1011" s="3" t="s">
        <v>1038</v>
      </c>
      <c r="B1011" s="4">
        <v>42551</v>
      </c>
      <c r="C1011" s="7" t="s">
        <v>302</v>
      </c>
      <c r="E1011" s="6" t="s">
        <v>1476</v>
      </c>
      <c r="F1011" s="3">
        <v>1</v>
      </c>
      <c r="L1011" s="3" t="s">
        <v>1470</v>
      </c>
      <c r="N1011" s="48"/>
    </row>
    <row r="1012" spans="1:14" x14ac:dyDescent="0.45">
      <c r="A1012" s="3" t="s">
        <v>1038</v>
      </c>
      <c r="B1012" s="4">
        <v>42551</v>
      </c>
      <c r="C1012" s="7" t="s">
        <v>302</v>
      </c>
      <c r="E1012" s="6" t="s">
        <v>1477</v>
      </c>
      <c r="F1012" s="3">
        <v>1</v>
      </c>
      <c r="L1012" s="3" t="s">
        <v>1470</v>
      </c>
      <c r="N1012" s="48"/>
    </row>
    <row r="1013" spans="1:14" x14ac:dyDescent="0.45">
      <c r="A1013" s="3" t="s">
        <v>1038</v>
      </c>
      <c r="B1013" s="4">
        <v>42551</v>
      </c>
      <c r="C1013" s="7" t="s">
        <v>302</v>
      </c>
      <c r="E1013" s="6" t="s">
        <v>1478</v>
      </c>
      <c r="F1013" s="3">
        <v>1</v>
      </c>
      <c r="L1013" s="3" t="s">
        <v>1470</v>
      </c>
      <c r="N1013" s="48"/>
    </row>
    <row r="1014" spans="1:14" x14ac:dyDescent="0.45">
      <c r="A1014" s="3" t="s">
        <v>1038</v>
      </c>
      <c r="B1014" s="4">
        <v>42551</v>
      </c>
      <c r="C1014" s="7" t="s">
        <v>302</v>
      </c>
      <c r="E1014" s="6" t="s">
        <v>1479</v>
      </c>
      <c r="F1014" s="3">
        <v>1</v>
      </c>
      <c r="L1014" s="3" t="s">
        <v>1470</v>
      </c>
      <c r="N1014" s="48"/>
    </row>
    <row r="1015" spans="1:14" x14ac:dyDescent="0.45">
      <c r="A1015" s="3" t="s">
        <v>1038</v>
      </c>
      <c r="B1015" s="4">
        <v>42551</v>
      </c>
      <c r="C1015" s="7" t="s">
        <v>302</v>
      </c>
      <c r="E1015" s="6" t="s">
        <v>1480</v>
      </c>
      <c r="F1015" s="3">
        <v>1</v>
      </c>
      <c r="L1015" s="3" t="s">
        <v>1470</v>
      </c>
      <c r="N1015" s="48"/>
    </row>
    <row r="1016" spans="1:14" x14ac:dyDescent="0.45">
      <c r="A1016" s="3" t="s">
        <v>1038</v>
      </c>
      <c r="B1016" s="4">
        <v>42551</v>
      </c>
      <c r="C1016" s="7" t="s">
        <v>302</v>
      </c>
      <c r="E1016" s="6" t="s">
        <v>1481</v>
      </c>
      <c r="F1016" s="3">
        <v>1</v>
      </c>
      <c r="L1016" s="3" t="s">
        <v>1470</v>
      </c>
      <c r="N1016" s="48"/>
    </row>
    <row r="1017" spans="1:14" x14ac:dyDescent="0.45">
      <c r="A1017" s="3" t="s">
        <v>1038</v>
      </c>
      <c r="B1017" s="4">
        <v>42551</v>
      </c>
      <c r="C1017" s="7" t="s">
        <v>302</v>
      </c>
      <c r="E1017" s="6" t="s">
        <v>1482</v>
      </c>
      <c r="F1017" s="3">
        <v>1</v>
      </c>
      <c r="L1017" s="3" t="s">
        <v>1470</v>
      </c>
      <c r="N1017" s="48"/>
    </row>
    <row r="1018" spans="1:14" x14ac:dyDescent="0.45">
      <c r="A1018" s="3" t="s">
        <v>1038</v>
      </c>
      <c r="B1018" s="4">
        <v>42551</v>
      </c>
      <c r="C1018" s="7" t="s">
        <v>302</v>
      </c>
      <c r="E1018" s="6" t="s">
        <v>1483</v>
      </c>
      <c r="F1018" s="3">
        <v>1</v>
      </c>
      <c r="L1018" s="3" t="s">
        <v>1470</v>
      </c>
      <c r="N1018" s="48"/>
    </row>
    <row r="1019" spans="1:14" x14ac:dyDescent="0.45">
      <c r="A1019" s="3" t="s">
        <v>1038</v>
      </c>
      <c r="B1019" s="4">
        <v>42551</v>
      </c>
      <c r="C1019" s="7" t="s">
        <v>302</v>
      </c>
      <c r="E1019" s="6" t="s">
        <v>1484</v>
      </c>
      <c r="F1019" s="3">
        <v>1</v>
      </c>
      <c r="L1019" s="3" t="s">
        <v>1470</v>
      </c>
      <c r="N1019" s="48"/>
    </row>
    <row r="1020" spans="1:14" x14ac:dyDescent="0.45">
      <c r="A1020" s="3" t="s">
        <v>1038</v>
      </c>
      <c r="B1020" s="4">
        <v>42087</v>
      </c>
      <c r="C1020" s="7" t="s">
        <v>302</v>
      </c>
      <c r="E1020" s="6" t="s">
        <v>1485</v>
      </c>
      <c r="F1020" s="3">
        <v>1</v>
      </c>
      <c r="L1020" s="3" t="s">
        <v>1470</v>
      </c>
      <c r="N1020" s="48"/>
    </row>
    <row r="1021" spans="1:14" x14ac:dyDescent="0.45">
      <c r="A1021" s="3" t="s">
        <v>1038</v>
      </c>
      <c r="B1021" s="4">
        <v>42087</v>
      </c>
      <c r="C1021" s="7" t="s">
        <v>302</v>
      </c>
      <c r="E1021" s="6" t="s">
        <v>1486</v>
      </c>
      <c r="F1021" s="3">
        <v>1</v>
      </c>
      <c r="L1021" s="3" t="s">
        <v>1470</v>
      </c>
      <c r="N1021" s="48"/>
    </row>
    <row r="1022" spans="1:14" x14ac:dyDescent="0.45">
      <c r="A1022" s="3" t="s">
        <v>1038</v>
      </c>
      <c r="B1022" s="4">
        <v>42087</v>
      </c>
      <c r="C1022" s="7" t="s">
        <v>302</v>
      </c>
      <c r="E1022" s="6" t="s">
        <v>1487</v>
      </c>
      <c r="F1022" s="3">
        <v>1</v>
      </c>
      <c r="L1022" s="3" t="s">
        <v>1470</v>
      </c>
      <c r="N1022" s="48"/>
    </row>
    <row r="1023" spans="1:14" x14ac:dyDescent="0.45">
      <c r="A1023" s="3" t="s">
        <v>1038</v>
      </c>
      <c r="B1023" s="4">
        <v>42087</v>
      </c>
      <c r="C1023" s="7" t="s">
        <v>302</v>
      </c>
      <c r="E1023" s="6" t="s">
        <v>1488</v>
      </c>
      <c r="F1023" s="3">
        <v>1</v>
      </c>
      <c r="L1023" s="3" t="s">
        <v>1470</v>
      </c>
      <c r="N1023" s="48"/>
    </row>
    <row r="1024" spans="1:14" x14ac:dyDescent="0.45">
      <c r="A1024" s="3" t="s">
        <v>1038</v>
      </c>
      <c r="B1024" s="4">
        <v>42087</v>
      </c>
      <c r="C1024" s="7" t="s">
        <v>302</v>
      </c>
      <c r="E1024" s="6" t="s">
        <v>1489</v>
      </c>
      <c r="F1024" s="3">
        <v>1</v>
      </c>
      <c r="L1024" s="3" t="s">
        <v>1470</v>
      </c>
      <c r="N1024" s="48"/>
    </row>
    <row r="1025" spans="1:14" x14ac:dyDescent="0.45">
      <c r="A1025" s="3" t="s">
        <v>1038</v>
      </c>
      <c r="B1025" s="4">
        <v>42087</v>
      </c>
      <c r="C1025" s="7" t="s">
        <v>302</v>
      </c>
      <c r="E1025" s="6" t="s">
        <v>1490</v>
      </c>
      <c r="F1025" s="3">
        <v>1</v>
      </c>
      <c r="L1025" s="3" t="s">
        <v>1470</v>
      </c>
      <c r="N1025" s="48"/>
    </row>
    <row r="1026" spans="1:14" x14ac:dyDescent="0.45">
      <c r="A1026" s="3" t="s">
        <v>1038</v>
      </c>
      <c r="B1026" s="4">
        <v>42087</v>
      </c>
      <c r="C1026" s="7" t="s">
        <v>302</v>
      </c>
      <c r="E1026" s="6" t="s">
        <v>1491</v>
      </c>
      <c r="F1026" s="3">
        <v>1</v>
      </c>
      <c r="L1026" s="3" t="s">
        <v>1470</v>
      </c>
      <c r="N1026" s="48"/>
    </row>
    <row r="1027" spans="1:14" x14ac:dyDescent="0.45">
      <c r="A1027" s="3" t="s">
        <v>1038</v>
      </c>
      <c r="B1027" s="4">
        <v>42087</v>
      </c>
      <c r="C1027" s="7" t="s">
        <v>302</v>
      </c>
      <c r="E1027" s="6" t="s">
        <v>1492</v>
      </c>
      <c r="F1027" s="3">
        <v>1</v>
      </c>
      <c r="L1027" s="3" t="s">
        <v>1470</v>
      </c>
      <c r="N1027" s="48"/>
    </row>
    <row r="1028" spans="1:14" x14ac:dyDescent="0.45">
      <c r="A1028" s="3" t="s">
        <v>1038</v>
      </c>
      <c r="B1028" s="4">
        <v>42087</v>
      </c>
      <c r="C1028" s="7" t="s">
        <v>302</v>
      </c>
      <c r="E1028" s="6" t="s">
        <v>1493</v>
      </c>
      <c r="F1028" s="3">
        <v>1</v>
      </c>
      <c r="L1028" s="3" t="s">
        <v>1470</v>
      </c>
      <c r="N1028" s="48"/>
    </row>
    <row r="1029" spans="1:14" x14ac:dyDescent="0.45">
      <c r="A1029" s="3" t="s">
        <v>1038</v>
      </c>
      <c r="B1029" s="4">
        <v>42087</v>
      </c>
      <c r="C1029" s="7" t="s">
        <v>302</v>
      </c>
      <c r="E1029" s="6" t="s">
        <v>1494</v>
      </c>
      <c r="F1029" s="3">
        <v>1</v>
      </c>
      <c r="L1029" s="3" t="s">
        <v>1470</v>
      </c>
      <c r="N1029" s="48"/>
    </row>
    <row r="1030" spans="1:14" x14ac:dyDescent="0.45">
      <c r="A1030" s="3" t="s">
        <v>1038</v>
      </c>
      <c r="B1030" s="4">
        <v>42087</v>
      </c>
      <c r="C1030" s="7" t="s">
        <v>302</v>
      </c>
      <c r="E1030" s="6" t="s">
        <v>1495</v>
      </c>
      <c r="F1030" s="3">
        <v>1</v>
      </c>
      <c r="L1030" s="3" t="s">
        <v>1470</v>
      </c>
      <c r="N1030" s="48"/>
    </row>
    <row r="1031" spans="1:14" x14ac:dyDescent="0.45">
      <c r="A1031" s="3" t="s">
        <v>1038</v>
      </c>
      <c r="B1031" s="4">
        <v>42087</v>
      </c>
      <c r="C1031" s="7" t="s">
        <v>302</v>
      </c>
      <c r="E1031" s="6" t="s">
        <v>1496</v>
      </c>
      <c r="F1031" s="3">
        <v>1</v>
      </c>
      <c r="L1031" s="3" t="s">
        <v>1470</v>
      </c>
      <c r="N1031" s="48"/>
    </row>
    <row r="1032" spans="1:14" x14ac:dyDescent="0.45">
      <c r="A1032" s="3" t="s">
        <v>1038</v>
      </c>
      <c r="B1032" s="4">
        <v>42087</v>
      </c>
      <c r="C1032" s="7" t="s">
        <v>302</v>
      </c>
      <c r="E1032" s="6" t="s">
        <v>1497</v>
      </c>
      <c r="F1032" s="3">
        <v>1</v>
      </c>
      <c r="L1032" s="3" t="s">
        <v>1470</v>
      </c>
      <c r="N1032" s="48"/>
    </row>
    <row r="1033" spans="1:14" x14ac:dyDescent="0.45">
      <c r="A1033" s="3" t="s">
        <v>1038</v>
      </c>
      <c r="B1033" s="4">
        <v>42087</v>
      </c>
      <c r="C1033" s="7" t="s">
        <v>302</v>
      </c>
      <c r="E1033" s="6" t="s">
        <v>1498</v>
      </c>
      <c r="F1033" s="3">
        <v>1</v>
      </c>
      <c r="L1033" s="3" t="s">
        <v>1470</v>
      </c>
      <c r="N1033" s="48"/>
    </row>
    <row r="1034" spans="1:14" x14ac:dyDescent="0.45">
      <c r="A1034" s="3" t="s">
        <v>1038</v>
      </c>
      <c r="B1034" s="4">
        <v>42087</v>
      </c>
      <c r="C1034" s="7" t="s">
        <v>302</v>
      </c>
      <c r="E1034" s="6" t="s">
        <v>1499</v>
      </c>
      <c r="F1034" s="3">
        <v>1</v>
      </c>
      <c r="L1034" s="3" t="s">
        <v>1470</v>
      </c>
      <c r="N1034" s="48"/>
    </row>
    <row r="1035" spans="1:14" x14ac:dyDescent="0.45">
      <c r="A1035" s="3" t="s">
        <v>1038</v>
      </c>
      <c r="B1035" s="4">
        <v>42087</v>
      </c>
      <c r="C1035" s="7" t="s">
        <v>302</v>
      </c>
      <c r="E1035" s="6" t="s">
        <v>1500</v>
      </c>
      <c r="F1035" s="3">
        <v>1</v>
      </c>
      <c r="L1035" s="3" t="s">
        <v>1470</v>
      </c>
      <c r="N1035" s="48"/>
    </row>
    <row r="1036" spans="1:14" x14ac:dyDescent="0.45">
      <c r="A1036" s="3" t="s">
        <v>1038</v>
      </c>
      <c r="B1036" s="4">
        <v>42087</v>
      </c>
      <c r="C1036" s="7" t="s">
        <v>302</v>
      </c>
      <c r="E1036" s="6" t="s">
        <v>1501</v>
      </c>
      <c r="F1036" s="3">
        <v>1</v>
      </c>
      <c r="L1036" s="3" t="s">
        <v>1470</v>
      </c>
      <c r="N1036" s="48"/>
    </row>
    <row r="1037" spans="1:14" x14ac:dyDescent="0.45">
      <c r="A1037" s="3" t="s">
        <v>1038</v>
      </c>
      <c r="B1037" s="4">
        <v>42087</v>
      </c>
      <c r="C1037" s="7" t="s">
        <v>302</v>
      </c>
      <c r="E1037" s="6" t="s">
        <v>1502</v>
      </c>
      <c r="F1037" s="3">
        <v>1</v>
      </c>
      <c r="L1037" s="3" t="s">
        <v>1470</v>
      </c>
      <c r="N1037" s="48"/>
    </row>
    <row r="1038" spans="1:14" x14ac:dyDescent="0.45">
      <c r="A1038" s="3" t="s">
        <v>1038</v>
      </c>
      <c r="B1038" s="4">
        <v>42087</v>
      </c>
      <c r="C1038" s="7" t="s">
        <v>302</v>
      </c>
      <c r="E1038" s="6" t="s">
        <v>1503</v>
      </c>
      <c r="F1038" s="3">
        <v>1</v>
      </c>
      <c r="L1038" s="3" t="s">
        <v>1470</v>
      </c>
      <c r="N1038" s="48"/>
    </row>
    <row r="1039" spans="1:14" x14ac:dyDescent="0.45">
      <c r="A1039" s="3" t="s">
        <v>1038</v>
      </c>
      <c r="B1039" s="4">
        <v>42087</v>
      </c>
      <c r="C1039" s="7" t="s">
        <v>302</v>
      </c>
      <c r="E1039" s="6" t="s">
        <v>1504</v>
      </c>
      <c r="F1039" s="3">
        <v>1</v>
      </c>
      <c r="L1039" s="3" t="s">
        <v>1470</v>
      </c>
      <c r="N1039" s="48"/>
    </row>
    <row r="1040" spans="1:14" x14ac:dyDescent="0.45">
      <c r="A1040" s="3" t="s">
        <v>1038</v>
      </c>
      <c r="B1040" s="4">
        <v>42087</v>
      </c>
      <c r="C1040" s="7" t="s">
        <v>302</v>
      </c>
      <c r="E1040" s="6" t="s">
        <v>1505</v>
      </c>
      <c r="F1040" s="3">
        <v>1</v>
      </c>
      <c r="L1040" s="3" t="s">
        <v>1470</v>
      </c>
      <c r="N1040" s="48"/>
    </row>
    <row r="1041" spans="1:14" x14ac:dyDescent="0.45">
      <c r="A1041" s="3" t="s">
        <v>1038</v>
      </c>
      <c r="B1041" s="4">
        <v>42087</v>
      </c>
      <c r="C1041" s="7" t="s">
        <v>302</v>
      </c>
      <c r="E1041" s="6" t="s">
        <v>1506</v>
      </c>
      <c r="F1041" s="3">
        <v>1</v>
      </c>
      <c r="L1041" s="3" t="s">
        <v>1470</v>
      </c>
      <c r="N1041" s="48"/>
    </row>
    <row r="1042" spans="1:14" x14ac:dyDescent="0.45">
      <c r="A1042" s="3" t="s">
        <v>1038</v>
      </c>
      <c r="B1042" s="4">
        <v>42087</v>
      </c>
      <c r="C1042" s="7" t="s">
        <v>302</v>
      </c>
      <c r="E1042" s="6" t="s">
        <v>1507</v>
      </c>
      <c r="F1042" s="3">
        <v>1</v>
      </c>
      <c r="L1042" s="3" t="s">
        <v>1470</v>
      </c>
      <c r="N1042" s="48"/>
    </row>
    <row r="1043" spans="1:14" x14ac:dyDescent="0.45">
      <c r="A1043" s="3" t="s">
        <v>1038</v>
      </c>
      <c r="B1043" s="4">
        <v>42087</v>
      </c>
      <c r="C1043" s="7" t="s">
        <v>302</v>
      </c>
      <c r="E1043" s="6" t="s">
        <v>1508</v>
      </c>
      <c r="F1043" s="3">
        <v>1</v>
      </c>
      <c r="L1043" s="3" t="s">
        <v>1470</v>
      </c>
      <c r="N1043" s="48"/>
    </row>
    <row r="1044" spans="1:14" x14ac:dyDescent="0.45">
      <c r="A1044" s="3" t="s">
        <v>1038</v>
      </c>
      <c r="B1044" s="4">
        <v>42087</v>
      </c>
      <c r="C1044" s="7" t="s">
        <v>302</v>
      </c>
      <c r="E1044" s="6" t="s">
        <v>1509</v>
      </c>
      <c r="F1044" s="3">
        <v>1</v>
      </c>
      <c r="L1044" s="3" t="s">
        <v>1470</v>
      </c>
      <c r="N1044" s="48"/>
    </row>
    <row r="1045" spans="1:14" x14ac:dyDescent="0.45">
      <c r="A1045" s="3" t="s">
        <v>1038</v>
      </c>
      <c r="B1045" s="4">
        <v>42087</v>
      </c>
      <c r="C1045" s="7" t="s">
        <v>302</v>
      </c>
      <c r="E1045" s="6" t="s">
        <v>1510</v>
      </c>
      <c r="F1045" s="3">
        <v>1</v>
      </c>
      <c r="L1045" s="3" t="s">
        <v>1470</v>
      </c>
      <c r="N1045" s="48"/>
    </row>
    <row r="1046" spans="1:14" x14ac:dyDescent="0.45">
      <c r="A1046" s="3" t="s">
        <v>1038</v>
      </c>
      <c r="B1046" s="4">
        <v>42087</v>
      </c>
      <c r="C1046" s="7" t="s">
        <v>302</v>
      </c>
      <c r="E1046" s="6" t="s">
        <v>1511</v>
      </c>
      <c r="F1046" s="3">
        <v>1</v>
      </c>
      <c r="L1046" s="3" t="s">
        <v>1470</v>
      </c>
      <c r="N1046" s="48"/>
    </row>
    <row r="1047" spans="1:14" x14ac:dyDescent="0.45">
      <c r="A1047" s="3" t="s">
        <v>1038</v>
      </c>
      <c r="B1047" s="4">
        <v>42087</v>
      </c>
      <c r="C1047" s="7" t="s">
        <v>302</v>
      </c>
      <c r="E1047" s="6" t="s">
        <v>1512</v>
      </c>
      <c r="F1047" s="3">
        <v>1</v>
      </c>
      <c r="L1047" s="3" t="s">
        <v>1470</v>
      </c>
      <c r="N1047" s="48"/>
    </row>
    <row r="1048" spans="1:14" x14ac:dyDescent="0.45">
      <c r="A1048" s="3" t="s">
        <v>1038</v>
      </c>
      <c r="B1048" s="4">
        <v>42087</v>
      </c>
      <c r="C1048" s="7" t="s">
        <v>302</v>
      </c>
      <c r="E1048" s="6" t="s">
        <v>1513</v>
      </c>
      <c r="F1048" s="3">
        <v>1</v>
      </c>
      <c r="L1048" s="3" t="s">
        <v>1470</v>
      </c>
      <c r="N1048" s="48"/>
    </row>
    <row r="1049" spans="1:14" x14ac:dyDescent="0.45">
      <c r="A1049" s="3" t="s">
        <v>1038</v>
      </c>
      <c r="B1049" s="4">
        <v>42087</v>
      </c>
      <c r="C1049" s="7" t="s">
        <v>302</v>
      </c>
      <c r="E1049" s="6" t="s">
        <v>1514</v>
      </c>
      <c r="F1049" s="3">
        <v>1</v>
      </c>
      <c r="L1049" s="3" t="s">
        <v>1470</v>
      </c>
      <c r="N1049" s="48"/>
    </row>
    <row r="1050" spans="1:14" x14ac:dyDescent="0.45">
      <c r="A1050" s="3" t="s">
        <v>1038</v>
      </c>
      <c r="B1050" s="4">
        <v>42087</v>
      </c>
      <c r="C1050" s="7" t="s">
        <v>302</v>
      </c>
      <c r="E1050" s="6" t="s">
        <v>1515</v>
      </c>
      <c r="F1050" s="3">
        <v>1</v>
      </c>
      <c r="L1050" s="3" t="s">
        <v>1470</v>
      </c>
      <c r="N1050" s="48"/>
    </row>
    <row r="1051" spans="1:14" x14ac:dyDescent="0.45">
      <c r="A1051" s="3" t="s">
        <v>1038</v>
      </c>
      <c r="B1051" s="4">
        <v>42087</v>
      </c>
      <c r="C1051" s="7" t="s">
        <v>302</v>
      </c>
      <c r="E1051" s="6" t="s">
        <v>1516</v>
      </c>
      <c r="F1051" s="3">
        <v>1</v>
      </c>
      <c r="L1051" s="3" t="s">
        <v>1470</v>
      </c>
      <c r="N1051" s="48"/>
    </row>
    <row r="1052" spans="1:14" x14ac:dyDescent="0.45">
      <c r="A1052" s="3" t="s">
        <v>1038</v>
      </c>
      <c r="B1052" s="4">
        <v>42087</v>
      </c>
      <c r="C1052" s="7" t="s">
        <v>302</v>
      </c>
      <c r="E1052" s="6" t="s">
        <v>1517</v>
      </c>
      <c r="F1052" s="3">
        <v>1</v>
      </c>
      <c r="L1052" s="3" t="s">
        <v>1470</v>
      </c>
      <c r="N1052" s="48"/>
    </row>
    <row r="1053" spans="1:14" x14ac:dyDescent="0.45">
      <c r="A1053" s="3" t="s">
        <v>1038</v>
      </c>
      <c r="B1053" s="4">
        <v>42087</v>
      </c>
      <c r="C1053" s="7" t="s">
        <v>302</v>
      </c>
      <c r="E1053" s="6" t="s">
        <v>1518</v>
      </c>
      <c r="F1053" s="3">
        <v>1</v>
      </c>
      <c r="L1053" s="3" t="s">
        <v>1470</v>
      </c>
      <c r="N1053" s="48"/>
    </row>
    <row r="1054" spans="1:14" x14ac:dyDescent="0.45">
      <c r="A1054" s="3" t="s">
        <v>1038</v>
      </c>
      <c r="B1054" s="4">
        <v>42087</v>
      </c>
      <c r="C1054" s="7" t="s">
        <v>302</v>
      </c>
      <c r="E1054" s="6" t="s">
        <v>1519</v>
      </c>
      <c r="F1054" s="3">
        <v>1</v>
      </c>
      <c r="L1054" s="3" t="s">
        <v>1470</v>
      </c>
      <c r="N1054" s="48"/>
    </row>
    <row r="1055" spans="1:14" x14ac:dyDescent="0.45">
      <c r="A1055" s="3" t="s">
        <v>1038</v>
      </c>
      <c r="B1055" s="4">
        <v>42087</v>
      </c>
      <c r="C1055" s="7" t="s">
        <v>302</v>
      </c>
      <c r="E1055" s="6" t="s">
        <v>1520</v>
      </c>
      <c r="F1055" s="3">
        <v>1</v>
      </c>
      <c r="L1055" s="3" t="s">
        <v>1470</v>
      </c>
      <c r="N1055" s="48"/>
    </row>
    <row r="1056" spans="1:14" x14ac:dyDescent="0.45">
      <c r="A1056" s="3" t="s">
        <v>1038</v>
      </c>
      <c r="B1056" s="4">
        <v>42087</v>
      </c>
      <c r="C1056" s="7" t="s">
        <v>302</v>
      </c>
      <c r="E1056" s="6" t="s">
        <v>1521</v>
      </c>
      <c r="F1056" s="3">
        <v>1</v>
      </c>
      <c r="L1056" s="3" t="s">
        <v>1470</v>
      </c>
      <c r="N1056" s="48"/>
    </row>
    <row r="1057" spans="1:14" x14ac:dyDescent="0.45">
      <c r="A1057" s="3" t="s">
        <v>1038</v>
      </c>
      <c r="B1057" s="4">
        <v>42087</v>
      </c>
      <c r="C1057" s="7" t="s">
        <v>302</v>
      </c>
      <c r="E1057" s="6" t="s">
        <v>1522</v>
      </c>
      <c r="F1057" s="3">
        <v>1</v>
      </c>
      <c r="L1057" s="3" t="s">
        <v>1470</v>
      </c>
      <c r="N1057" s="48"/>
    </row>
    <row r="1058" spans="1:14" x14ac:dyDescent="0.45">
      <c r="A1058" s="3" t="s">
        <v>1038</v>
      </c>
      <c r="B1058" s="4">
        <v>42087</v>
      </c>
      <c r="C1058" s="7" t="s">
        <v>302</v>
      </c>
      <c r="E1058" s="6" t="s">
        <v>1523</v>
      </c>
      <c r="F1058" s="3">
        <v>1</v>
      </c>
      <c r="L1058" s="3" t="s">
        <v>1470</v>
      </c>
      <c r="N1058" s="48"/>
    </row>
    <row r="1059" spans="1:14" x14ac:dyDescent="0.45">
      <c r="A1059" s="3" t="s">
        <v>1038</v>
      </c>
      <c r="B1059" s="4">
        <v>42087</v>
      </c>
      <c r="C1059" s="7" t="s">
        <v>302</v>
      </c>
      <c r="E1059" s="6" t="s">
        <v>1524</v>
      </c>
      <c r="F1059" s="3">
        <v>2</v>
      </c>
      <c r="L1059" s="3" t="s">
        <v>1470</v>
      </c>
      <c r="N1059" s="48"/>
    </row>
    <row r="1060" spans="1:14" x14ac:dyDescent="0.45">
      <c r="A1060" s="3" t="s">
        <v>1038</v>
      </c>
      <c r="B1060" s="4">
        <v>42087</v>
      </c>
      <c r="C1060" s="7" t="s">
        <v>302</v>
      </c>
      <c r="E1060" s="6" t="s">
        <v>1525</v>
      </c>
      <c r="F1060" s="3">
        <v>1</v>
      </c>
      <c r="L1060" s="3" t="s">
        <v>1470</v>
      </c>
      <c r="N1060" s="48"/>
    </row>
    <row r="1061" spans="1:14" x14ac:dyDescent="0.45">
      <c r="A1061" s="3" t="s">
        <v>1038</v>
      </c>
      <c r="B1061" s="4">
        <v>42087</v>
      </c>
      <c r="C1061" s="7" t="s">
        <v>302</v>
      </c>
      <c r="E1061" s="6" t="s">
        <v>1526</v>
      </c>
      <c r="F1061" s="3">
        <v>1</v>
      </c>
      <c r="L1061" s="3" t="s">
        <v>1470</v>
      </c>
      <c r="N1061" s="48"/>
    </row>
    <row r="1062" spans="1:14" x14ac:dyDescent="0.45">
      <c r="A1062" s="3" t="s">
        <v>1038</v>
      </c>
      <c r="B1062" s="4">
        <v>42087</v>
      </c>
      <c r="C1062" s="7" t="s">
        <v>302</v>
      </c>
      <c r="E1062" s="6" t="s">
        <v>1527</v>
      </c>
      <c r="F1062" s="3">
        <v>1</v>
      </c>
      <c r="L1062" s="3" t="s">
        <v>1470</v>
      </c>
      <c r="N1062" s="48"/>
    </row>
    <row r="1063" spans="1:14" x14ac:dyDescent="0.45">
      <c r="A1063" s="3" t="s">
        <v>1038</v>
      </c>
      <c r="B1063" s="4">
        <v>42087</v>
      </c>
      <c r="C1063" s="7" t="s">
        <v>302</v>
      </c>
      <c r="E1063" s="6" t="s">
        <v>1528</v>
      </c>
      <c r="F1063" s="3">
        <v>1</v>
      </c>
      <c r="L1063" s="3" t="s">
        <v>1470</v>
      </c>
      <c r="N1063" s="48"/>
    </row>
    <row r="1064" spans="1:14" x14ac:dyDescent="0.45">
      <c r="A1064" s="3" t="s">
        <v>1038</v>
      </c>
      <c r="B1064" s="4">
        <v>42087</v>
      </c>
      <c r="C1064" s="7" t="s">
        <v>302</v>
      </c>
      <c r="E1064" s="6" t="s">
        <v>1529</v>
      </c>
      <c r="F1064" s="3">
        <v>1</v>
      </c>
      <c r="L1064" s="3" t="s">
        <v>1470</v>
      </c>
      <c r="N1064" s="48"/>
    </row>
    <row r="1065" spans="1:14" x14ac:dyDescent="0.45">
      <c r="A1065" s="3" t="s">
        <v>1038</v>
      </c>
      <c r="B1065" s="4">
        <v>42087</v>
      </c>
      <c r="C1065" s="7" t="s">
        <v>302</v>
      </c>
      <c r="E1065" s="6" t="s">
        <v>1530</v>
      </c>
      <c r="F1065" s="3">
        <v>1</v>
      </c>
      <c r="L1065" s="3" t="s">
        <v>1470</v>
      </c>
      <c r="N1065" s="48"/>
    </row>
    <row r="1066" spans="1:14" x14ac:dyDescent="0.45">
      <c r="A1066" s="3" t="s">
        <v>1038</v>
      </c>
      <c r="B1066" s="4">
        <v>42087</v>
      </c>
      <c r="C1066" s="7" t="s">
        <v>302</v>
      </c>
      <c r="E1066" s="6" t="s">
        <v>1531</v>
      </c>
      <c r="F1066" s="3">
        <v>1</v>
      </c>
      <c r="L1066" s="3" t="s">
        <v>1470</v>
      </c>
      <c r="N1066" s="48"/>
    </row>
    <row r="1067" spans="1:14" x14ac:dyDescent="0.45">
      <c r="A1067" s="3" t="s">
        <v>1038</v>
      </c>
      <c r="B1067" s="4">
        <v>42087</v>
      </c>
      <c r="C1067" s="7" t="s">
        <v>302</v>
      </c>
      <c r="E1067" s="6" t="s">
        <v>1532</v>
      </c>
      <c r="F1067" s="3">
        <v>1</v>
      </c>
      <c r="L1067" s="3" t="s">
        <v>1470</v>
      </c>
      <c r="N1067" s="48"/>
    </row>
    <row r="1068" spans="1:14" x14ac:dyDescent="0.45">
      <c r="A1068" s="3" t="s">
        <v>1038</v>
      </c>
      <c r="B1068" s="4">
        <v>42087</v>
      </c>
      <c r="C1068" s="7" t="s">
        <v>302</v>
      </c>
      <c r="E1068" s="6" t="s">
        <v>1533</v>
      </c>
      <c r="F1068" s="3">
        <v>1</v>
      </c>
      <c r="L1068" s="3" t="s">
        <v>1470</v>
      </c>
      <c r="N1068" s="48"/>
    </row>
    <row r="1069" spans="1:14" x14ac:dyDescent="0.45">
      <c r="A1069" s="3" t="s">
        <v>1038</v>
      </c>
      <c r="B1069" s="4">
        <v>42087</v>
      </c>
      <c r="C1069" s="7" t="s">
        <v>302</v>
      </c>
      <c r="E1069" s="6" t="s">
        <v>1534</v>
      </c>
      <c r="F1069" s="3">
        <v>1</v>
      </c>
      <c r="L1069" s="3" t="s">
        <v>1470</v>
      </c>
      <c r="N1069" s="48"/>
    </row>
    <row r="1070" spans="1:14" x14ac:dyDescent="0.45">
      <c r="A1070" s="3" t="s">
        <v>1038</v>
      </c>
      <c r="B1070" s="4">
        <v>42087</v>
      </c>
      <c r="C1070" s="7" t="s">
        <v>302</v>
      </c>
      <c r="E1070" s="6" t="s">
        <v>1535</v>
      </c>
      <c r="F1070" s="3">
        <v>1</v>
      </c>
      <c r="L1070" s="3" t="s">
        <v>1470</v>
      </c>
      <c r="N1070" s="48"/>
    </row>
    <row r="1071" spans="1:14" x14ac:dyDescent="0.45">
      <c r="A1071" s="3" t="s">
        <v>1038</v>
      </c>
      <c r="B1071" s="4">
        <v>42087</v>
      </c>
      <c r="C1071" s="7" t="s">
        <v>302</v>
      </c>
      <c r="E1071" s="6" t="s">
        <v>1536</v>
      </c>
      <c r="F1071" s="3">
        <v>1</v>
      </c>
      <c r="L1071" s="3" t="s">
        <v>1470</v>
      </c>
      <c r="N1071" s="48"/>
    </row>
    <row r="1072" spans="1:14" x14ac:dyDescent="0.45">
      <c r="A1072" s="3" t="s">
        <v>1038</v>
      </c>
      <c r="B1072" s="4">
        <v>42087</v>
      </c>
      <c r="C1072" s="7" t="s">
        <v>302</v>
      </c>
      <c r="E1072" s="6" t="s">
        <v>1537</v>
      </c>
      <c r="F1072" s="3">
        <v>1</v>
      </c>
      <c r="L1072" s="3" t="s">
        <v>1470</v>
      </c>
      <c r="N1072" s="48"/>
    </row>
    <row r="1073" spans="1:14" x14ac:dyDescent="0.45">
      <c r="A1073" s="3" t="s">
        <v>1038</v>
      </c>
      <c r="B1073" s="4">
        <v>42087</v>
      </c>
      <c r="C1073" s="7" t="s">
        <v>302</v>
      </c>
      <c r="E1073" s="6" t="s">
        <v>1538</v>
      </c>
      <c r="F1073" s="3">
        <v>1</v>
      </c>
      <c r="L1073" s="3" t="s">
        <v>1470</v>
      </c>
      <c r="N1073" s="48"/>
    </row>
    <row r="1074" spans="1:14" x14ac:dyDescent="0.45">
      <c r="A1074" s="3" t="s">
        <v>1038</v>
      </c>
      <c r="B1074" s="4">
        <v>42087</v>
      </c>
      <c r="C1074" s="7" t="s">
        <v>302</v>
      </c>
      <c r="E1074" s="6" t="s">
        <v>1539</v>
      </c>
      <c r="F1074" s="3">
        <v>1</v>
      </c>
      <c r="L1074" s="3" t="s">
        <v>1470</v>
      </c>
      <c r="N1074" s="48"/>
    </row>
    <row r="1075" spans="1:14" x14ac:dyDescent="0.45">
      <c r="A1075" s="3" t="s">
        <v>1038</v>
      </c>
      <c r="B1075" s="4">
        <v>42087</v>
      </c>
      <c r="C1075" s="7" t="s">
        <v>302</v>
      </c>
      <c r="E1075" s="6" t="s">
        <v>1540</v>
      </c>
      <c r="F1075" s="3">
        <v>2</v>
      </c>
      <c r="L1075" s="3" t="s">
        <v>1470</v>
      </c>
      <c r="N1075" s="48"/>
    </row>
    <row r="1076" spans="1:14" x14ac:dyDescent="0.45">
      <c r="A1076" s="3" t="s">
        <v>1038</v>
      </c>
      <c r="B1076" s="4">
        <v>42087</v>
      </c>
      <c r="C1076" s="7" t="s">
        <v>302</v>
      </c>
      <c r="E1076" s="6" t="s">
        <v>1541</v>
      </c>
      <c r="F1076" s="3">
        <v>1</v>
      </c>
      <c r="L1076" s="3" t="s">
        <v>1470</v>
      </c>
      <c r="N1076" s="48"/>
    </row>
    <row r="1077" spans="1:14" x14ac:dyDescent="0.45">
      <c r="A1077" s="3" t="s">
        <v>1038</v>
      </c>
      <c r="B1077" s="4">
        <v>42087</v>
      </c>
      <c r="C1077" s="7" t="s">
        <v>302</v>
      </c>
      <c r="E1077" s="6" t="s">
        <v>1542</v>
      </c>
      <c r="F1077" s="3">
        <v>1</v>
      </c>
      <c r="L1077" s="3" t="s">
        <v>1470</v>
      </c>
      <c r="N1077" s="48"/>
    </row>
    <row r="1078" spans="1:14" x14ac:dyDescent="0.45">
      <c r="A1078" s="3" t="s">
        <v>1038</v>
      </c>
      <c r="B1078" s="4">
        <v>42087</v>
      </c>
      <c r="C1078" s="7" t="s">
        <v>302</v>
      </c>
      <c r="E1078" s="6" t="s">
        <v>1543</v>
      </c>
      <c r="F1078" s="3">
        <v>1</v>
      </c>
      <c r="L1078" s="3" t="s">
        <v>1470</v>
      </c>
      <c r="N1078" s="48"/>
    </row>
    <row r="1079" spans="1:14" x14ac:dyDescent="0.45">
      <c r="A1079" s="3" t="s">
        <v>1038</v>
      </c>
      <c r="B1079" s="4">
        <v>42087</v>
      </c>
      <c r="C1079" s="7" t="s">
        <v>302</v>
      </c>
      <c r="E1079" s="6" t="s">
        <v>1544</v>
      </c>
      <c r="F1079" s="3">
        <v>1</v>
      </c>
      <c r="L1079" s="3" t="s">
        <v>1470</v>
      </c>
      <c r="N1079" s="48"/>
    </row>
    <row r="1080" spans="1:14" x14ac:dyDescent="0.45">
      <c r="A1080" s="3" t="s">
        <v>1038</v>
      </c>
      <c r="B1080" s="4">
        <v>42087</v>
      </c>
      <c r="C1080" s="7" t="s">
        <v>302</v>
      </c>
      <c r="E1080" s="6" t="s">
        <v>1545</v>
      </c>
      <c r="F1080" s="3">
        <v>1</v>
      </c>
      <c r="L1080" s="3" t="s">
        <v>1470</v>
      </c>
      <c r="N1080" s="48"/>
    </row>
    <row r="1081" spans="1:14" x14ac:dyDescent="0.45">
      <c r="A1081" s="3" t="s">
        <v>1038</v>
      </c>
      <c r="B1081" s="4">
        <v>42087</v>
      </c>
      <c r="C1081" s="7" t="s">
        <v>302</v>
      </c>
      <c r="E1081" s="6" t="s">
        <v>1546</v>
      </c>
      <c r="F1081" s="3">
        <v>1</v>
      </c>
      <c r="L1081" s="3" t="s">
        <v>1470</v>
      </c>
      <c r="N1081" s="48"/>
    </row>
    <row r="1082" spans="1:14" x14ac:dyDescent="0.45">
      <c r="A1082" s="3" t="s">
        <v>1038</v>
      </c>
      <c r="B1082" s="4">
        <v>42087</v>
      </c>
      <c r="C1082" s="7" t="s">
        <v>302</v>
      </c>
      <c r="E1082" s="6" t="s">
        <v>1547</v>
      </c>
      <c r="F1082" s="3">
        <v>1</v>
      </c>
      <c r="L1082" s="3" t="s">
        <v>1470</v>
      </c>
      <c r="N1082" s="48"/>
    </row>
    <row r="1083" spans="1:14" x14ac:dyDescent="0.45">
      <c r="A1083" s="3" t="s">
        <v>1038</v>
      </c>
      <c r="B1083" s="4">
        <v>42087</v>
      </c>
      <c r="C1083" s="7" t="s">
        <v>302</v>
      </c>
      <c r="E1083" s="6" t="s">
        <v>1548</v>
      </c>
      <c r="F1083" s="3">
        <v>1</v>
      </c>
      <c r="L1083" s="3" t="s">
        <v>1470</v>
      </c>
      <c r="N1083" s="48"/>
    </row>
    <row r="1084" spans="1:14" x14ac:dyDescent="0.45">
      <c r="A1084" s="3" t="s">
        <v>1038</v>
      </c>
      <c r="B1084" s="4">
        <v>42087</v>
      </c>
      <c r="C1084" s="7" t="s">
        <v>302</v>
      </c>
      <c r="E1084" s="6" t="s">
        <v>1549</v>
      </c>
      <c r="F1084" s="3">
        <v>1</v>
      </c>
      <c r="L1084" s="3" t="s">
        <v>1470</v>
      </c>
      <c r="N1084" s="48"/>
    </row>
    <row r="1085" spans="1:14" x14ac:dyDescent="0.45">
      <c r="A1085" s="3" t="s">
        <v>1038</v>
      </c>
      <c r="B1085" s="4">
        <v>42087</v>
      </c>
      <c r="C1085" s="7" t="s">
        <v>302</v>
      </c>
      <c r="E1085" s="6" t="s">
        <v>1550</v>
      </c>
      <c r="F1085" s="3">
        <v>1</v>
      </c>
      <c r="L1085" s="3" t="s">
        <v>1470</v>
      </c>
      <c r="N1085" s="48"/>
    </row>
    <row r="1086" spans="1:14" x14ac:dyDescent="0.45">
      <c r="A1086" s="3" t="s">
        <v>1038</v>
      </c>
      <c r="B1086" s="4">
        <v>42087</v>
      </c>
      <c r="C1086" s="7" t="s">
        <v>302</v>
      </c>
      <c r="E1086" s="6" t="s">
        <v>1551</v>
      </c>
      <c r="F1086" s="3">
        <v>1</v>
      </c>
      <c r="L1086" s="3" t="s">
        <v>1470</v>
      </c>
      <c r="N1086" s="48"/>
    </row>
    <row r="1087" spans="1:14" x14ac:dyDescent="0.45">
      <c r="A1087" s="3" t="s">
        <v>1038</v>
      </c>
      <c r="B1087" s="4">
        <v>42087</v>
      </c>
      <c r="C1087" s="7" t="s">
        <v>302</v>
      </c>
      <c r="E1087" s="6" t="s">
        <v>1552</v>
      </c>
      <c r="F1087" s="3">
        <v>1</v>
      </c>
      <c r="L1087" s="3" t="s">
        <v>1470</v>
      </c>
      <c r="N1087" s="48"/>
    </row>
    <row r="1088" spans="1:14" x14ac:dyDescent="0.45">
      <c r="A1088" s="3" t="s">
        <v>1038</v>
      </c>
      <c r="B1088" s="4">
        <v>42087</v>
      </c>
      <c r="C1088" s="7" t="s">
        <v>302</v>
      </c>
      <c r="E1088" s="6" t="s">
        <v>1553</v>
      </c>
      <c r="F1088" s="3">
        <v>1</v>
      </c>
      <c r="L1088" s="3" t="s">
        <v>1470</v>
      </c>
      <c r="N1088" s="48"/>
    </row>
    <row r="1089" spans="1:14" x14ac:dyDescent="0.45">
      <c r="A1089" s="3" t="s">
        <v>1038</v>
      </c>
      <c r="B1089" s="4">
        <v>42086</v>
      </c>
      <c r="C1089" s="7" t="s">
        <v>302</v>
      </c>
      <c r="E1089" s="6" t="s">
        <v>1554</v>
      </c>
      <c r="F1089" s="3">
        <v>1</v>
      </c>
      <c r="L1089" s="3" t="s">
        <v>1470</v>
      </c>
      <c r="N1089" s="48"/>
    </row>
    <row r="1090" spans="1:14" x14ac:dyDescent="0.45">
      <c r="A1090" s="3" t="s">
        <v>1038</v>
      </c>
      <c r="B1090" s="4">
        <v>42417</v>
      </c>
      <c r="C1090" s="7" t="s">
        <v>302</v>
      </c>
      <c r="D1090" s="6" t="s">
        <v>1555</v>
      </c>
      <c r="E1090" s="9" t="s">
        <v>1556</v>
      </c>
      <c r="F1090" s="3">
        <f>SUM(9,2)</f>
        <v>11</v>
      </c>
      <c r="L1090" s="3" t="s">
        <v>1557</v>
      </c>
      <c r="N1090" s="48"/>
    </row>
    <row r="1091" spans="1:14" x14ac:dyDescent="0.45">
      <c r="A1091" s="3" t="s">
        <v>1038</v>
      </c>
      <c r="B1091" s="4">
        <v>43994</v>
      </c>
      <c r="C1091" s="7" t="s">
        <v>587</v>
      </c>
      <c r="E1091" s="6" t="s">
        <v>1558</v>
      </c>
      <c r="F1091" s="3">
        <v>5</v>
      </c>
      <c r="L1091" s="3" t="s">
        <v>1470</v>
      </c>
      <c r="N1091" s="48"/>
    </row>
    <row r="1092" spans="1:14" x14ac:dyDescent="0.45">
      <c r="A1092" s="3" t="s">
        <v>1038</v>
      </c>
      <c r="B1092" s="4">
        <v>43979</v>
      </c>
      <c r="C1092" s="7" t="s">
        <v>587</v>
      </c>
      <c r="E1092" s="6" t="s">
        <v>1559</v>
      </c>
      <c r="F1092" s="3">
        <v>2</v>
      </c>
      <c r="L1092" s="3" t="s">
        <v>1470</v>
      </c>
      <c r="N1092" s="48"/>
    </row>
    <row r="1093" spans="1:14" x14ac:dyDescent="0.45">
      <c r="A1093" s="3" t="s">
        <v>1038</v>
      </c>
      <c r="B1093" s="4">
        <v>43965</v>
      </c>
      <c r="C1093" s="7" t="s">
        <v>587</v>
      </c>
      <c r="E1093" s="6" t="s">
        <v>1560</v>
      </c>
      <c r="F1093" s="3">
        <f>SUM(4,5)</f>
        <v>9</v>
      </c>
      <c r="L1093" s="3" t="s">
        <v>1561</v>
      </c>
      <c r="N1093" s="48"/>
    </row>
    <row r="1094" spans="1:14" x14ac:dyDescent="0.45">
      <c r="A1094" s="3" t="s">
        <v>1038</v>
      </c>
      <c r="B1094" s="4">
        <v>41365</v>
      </c>
      <c r="C1094" s="7" t="s">
        <v>21</v>
      </c>
      <c r="D1094" s="3" t="s">
        <v>1398</v>
      </c>
      <c r="E1094" s="6" t="s">
        <v>1562</v>
      </c>
      <c r="F1094" s="3">
        <v>31</v>
      </c>
      <c r="L1094" s="3" t="s">
        <v>1563</v>
      </c>
      <c r="N1094" s="48"/>
    </row>
    <row r="1095" spans="1:14" x14ac:dyDescent="0.45">
      <c r="A1095" s="3" t="s">
        <v>1038</v>
      </c>
      <c r="B1095" s="4">
        <v>45154</v>
      </c>
      <c r="C1095" s="7" t="s">
        <v>21</v>
      </c>
      <c r="E1095" s="6" t="s">
        <v>1564</v>
      </c>
      <c r="F1095" s="3">
        <v>7</v>
      </c>
      <c r="L1095" s="3" t="s">
        <v>1565</v>
      </c>
      <c r="N1095" s="48"/>
    </row>
    <row r="1096" spans="1:14" x14ac:dyDescent="0.45">
      <c r="A1096" s="3" t="s">
        <v>1038</v>
      </c>
      <c r="B1096" s="4">
        <v>45673</v>
      </c>
      <c r="C1096" s="7" t="s">
        <v>21</v>
      </c>
      <c r="D1096" s="3" t="s">
        <v>1566</v>
      </c>
      <c r="E1096" s="6" t="s">
        <v>1567</v>
      </c>
      <c r="F1096" s="3">
        <v>28</v>
      </c>
      <c r="L1096" s="3" t="s">
        <v>1563</v>
      </c>
      <c r="N1096" s="48"/>
    </row>
    <row r="1097" spans="1:14" x14ac:dyDescent="0.45">
      <c r="A1097" s="3" t="s">
        <v>1038</v>
      </c>
      <c r="B1097" s="38">
        <v>45665</v>
      </c>
      <c r="C1097" s="7" t="s">
        <v>575</v>
      </c>
      <c r="E1097" s="10" t="s">
        <v>1568</v>
      </c>
      <c r="F1097" s="3" t="s">
        <v>1041</v>
      </c>
      <c r="L1097" s="3" t="s">
        <v>1569</v>
      </c>
      <c r="N1097" s="48"/>
    </row>
    <row r="1098" spans="1:14" x14ac:dyDescent="0.45">
      <c r="A1098" s="3" t="s">
        <v>1038</v>
      </c>
      <c r="B1098" s="39">
        <v>44616</v>
      </c>
      <c r="C1098" s="7" t="s">
        <v>575</v>
      </c>
      <c r="E1098" s="10" t="s">
        <v>1570</v>
      </c>
      <c r="F1098" s="3">
        <v>2</v>
      </c>
      <c r="L1098" s="3" t="s">
        <v>1571</v>
      </c>
      <c r="N1098" s="48"/>
    </row>
    <row r="1099" spans="1:14" x14ac:dyDescent="0.45">
      <c r="A1099" s="3" t="s">
        <v>1038</v>
      </c>
      <c r="B1099" s="39">
        <v>44147</v>
      </c>
      <c r="C1099" s="7" t="s">
        <v>21</v>
      </c>
      <c r="D1099" s="40" t="s">
        <v>1241</v>
      </c>
      <c r="E1099" s="17" t="s">
        <v>1572</v>
      </c>
      <c r="F1099" s="3">
        <v>6</v>
      </c>
      <c r="L1099" s="3" t="s">
        <v>1573</v>
      </c>
      <c r="N1099" s="48"/>
    </row>
    <row r="1100" spans="1:14" x14ac:dyDescent="0.45">
      <c r="A1100" s="3" t="s">
        <v>1038</v>
      </c>
      <c r="B1100" s="21">
        <v>44018</v>
      </c>
      <c r="C1100" s="7" t="s">
        <v>575</v>
      </c>
      <c r="E1100" s="17" t="s">
        <v>1574</v>
      </c>
      <c r="F1100" s="3">
        <v>2</v>
      </c>
      <c r="L1100" s="3" t="s">
        <v>1575</v>
      </c>
      <c r="N1100" s="48"/>
    </row>
    <row r="1101" spans="1:14" x14ac:dyDescent="0.45">
      <c r="A1101" s="3" t="s">
        <v>1038</v>
      </c>
      <c r="B1101" s="21">
        <v>43993</v>
      </c>
      <c r="C1101" s="7" t="s">
        <v>575</v>
      </c>
      <c r="E1101" s="17" t="s">
        <v>1576</v>
      </c>
      <c r="F1101" s="3">
        <f>SUM(122,5,6,6,2)</f>
        <v>141</v>
      </c>
      <c r="L1101" s="3" t="s">
        <v>1577</v>
      </c>
      <c r="N1101" s="48"/>
    </row>
    <row r="1102" spans="1:14" x14ac:dyDescent="0.45">
      <c r="A1102" s="3" t="s">
        <v>1038</v>
      </c>
      <c r="B1102" s="21">
        <v>43927</v>
      </c>
      <c r="C1102" s="7" t="s">
        <v>575</v>
      </c>
      <c r="E1102" s="17" t="s">
        <v>1578</v>
      </c>
      <c r="F1102" s="3">
        <v>3</v>
      </c>
      <c r="L1102" s="3" t="s">
        <v>1571</v>
      </c>
      <c r="N1102" s="48"/>
    </row>
    <row r="1103" spans="1:14" x14ac:dyDescent="0.45">
      <c r="A1103" s="3" t="s">
        <v>1038</v>
      </c>
      <c r="B1103" s="21">
        <v>43903</v>
      </c>
      <c r="C1103" s="7" t="s">
        <v>575</v>
      </c>
      <c r="E1103" s="17" t="s">
        <v>1579</v>
      </c>
      <c r="F1103" s="3">
        <v>2</v>
      </c>
      <c r="L1103" s="3" t="s">
        <v>1571</v>
      </c>
      <c r="N1103" s="48"/>
    </row>
    <row r="1104" spans="1:14" x14ac:dyDescent="0.45">
      <c r="A1104" s="3" t="s">
        <v>1038</v>
      </c>
      <c r="B1104" s="21">
        <v>43160</v>
      </c>
      <c r="C1104" s="7" t="s">
        <v>575</v>
      </c>
      <c r="D1104" s="40" t="s">
        <v>1580</v>
      </c>
      <c r="E1104" s="17" t="s">
        <v>1581</v>
      </c>
      <c r="F1104" s="3">
        <v>2</v>
      </c>
      <c r="L1104" s="3" t="s">
        <v>1582</v>
      </c>
      <c r="N1104" s="48"/>
    </row>
    <row r="1105" spans="1:14" x14ac:dyDescent="0.45">
      <c r="A1105" s="3" t="s">
        <v>1038</v>
      </c>
      <c r="B1105" s="21">
        <v>41554</v>
      </c>
      <c r="C1105" s="7" t="s">
        <v>575</v>
      </c>
      <c r="E1105" s="17" t="s">
        <v>1583</v>
      </c>
      <c r="F1105" s="3">
        <v>3</v>
      </c>
      <c r="L1105" s="3" t="s">
        <v>1571</v>
      </c>
      <c r="N1105" s="48"/>
    </row>
    <row r="1106" spans="1:14" x14ac:dyDescent="0.45">
      <c r="A1106" s="3" t="s">
        <v>1038</v>
      </c>
      <c r="B1106" s="21">
        <v>41278</v>
      </c>
      <c r="C1106" s="7" t="s">
        <v>587</v>
      </c>
      <c r="E1106" s="17" t="s">
        <v>1584</v>
      </c>
      <c r="F1106" s="3">
        <f>SUM(2,5,2,2)</f>
        <v>11</v>
      </c>
      <c r="L1106" s="3" t="s">
        <v>1575</v>
      </c>
      <c r="N1106" s="48"/>
    </row>
    <row r="1107" spans="1:14" x14ac:dyDescent="0.45">
      <c r="A1107" s="3" t="s">
        <v>1038</v>
      </c>
      <c r="B1107" s="21">
        <v>41170</v>
      </c>
      <c r="C1107" s="7" t="s">
        <v>575</v>
      </c>
      <c r="E1107" s="17" t="s">
        <v>1585</v>
      </c>
      <c r="F1107" s="3">
        <v>1</v>
      </c>
      <c r="L1107" s="3" t="s">
        <v>1571</v>
      </c>
      <c r="N1107" s="48"/>
    </row>
    <row r="1108" spans="1:14" x14ac:dyDescent="0.45">
      <c r="A1108" s="3" t="s">
        <v>1038</v>
      </c>
      <c r="B1108" s="21">
        <v>41170</v>
      </c>
      <c r="C1108" s="7" t="s">
        <v>575</v>
      </c>
      <c r="E1108" s="17" t="s">
        <v>1586</v>
      </c>
      <c r="F1108" s="3">
        <v>4</v>
      </c>
      <c r="L1108" s="3" t="s">
        <v>1571</v>
      </c>
      <c r="N1108" s="48"/>
    </row>
    <row r="1109" spans="1:14" x14ac:dyDescent="0.45">
      <c r="A1109" s="3" t="s">
        <v>1038</v>
      </c>
      <c r="B1109" s="21">
        <v>41170</v>
      </c>
      <c r="C1109" s="7" t="s">
        <v>575</v>
      </c>
      <c r="E1109" s="17" t="s">
        <v>1587</v>
      </c>
      <c r="F1109" s="3">
        <v>1</v>
      </c>
      <c r="L1109" s="3" t="s">
        <v>1571</v>
      </c>
      <c r="N1109" s="48"/>
    </row>
    <row r="1110" spans="1:14" x14ac:dyDescent="0.45">
      <c r="A1110" s="3" t="s">
        <v>1038</v>
      </c>
      <c r="B1110" s="21">
        <v>41169</v>
      </c>
      <c r="C1110" s="7" t="s">
        <v>575</v>
      </c>
      <c r="E1110" s="17" t="s">
        <v>1588</v>
      </c>
      <c r="F1110" s="3">
        <v>2</v>
      </c>
      <c r="L1110" s="3" t="s">
        <v>1571</v>
      </c>
      <c r="N1110" s="48"/>
    </row>
    <row r="1111" spans="1:14" x14ac:dyDescent="0.45">
      <c r="A1111" s="3" t="s">
        <v>1038</v>
      </c>
      <c r="B1111" s="21">
        <v>41169</v>
      </c>
      <c r="C1111" s="7" t="s">
        <v>575</v>
      </c>
      <c r="E1111" s="17" t="s">
        <v>1589</v>
      </c>
      <c r="F1111" s="3">
        <v>1</v>
      </c>
      <c r="L1111" s="3" t="s">
        <v>1571</v>
      </c>
      <c r="N1111" s="48"/>
    </row>
    <row r="1112" spans="1:14" x14ac:dyDescent="0.45">
      <c r="A1112" s="3" t="s">
        <v>1038</v>
      </c>
      <c r="B1112" s="21">
        <v>41169</v>
      </c>
      <c r="C1112" s="7" t="s">
        <v>575</v>
      </c>
      <c r="E1112" s="17" t="s">
        <v>1590</v>
      </c>
      <c r="F1112" s="3">
        <v>29</v>
      </c>
      <c r="L1112" s="3" t="s">
        <v>1575</v>
      </c>
      <c r="N1112" s="48"/>
    </row>
    <row r="1113" spans="1:14" x14ac:dyDescent="0.45">
      <c r="A1113" s="3" t="s">
        <v>1038</v>
      </c>
      <c r="B1113" s="21">
        <v>41166</v>
      </c>
      <c r="C1113" s="7" t="s">
        <v>575</v>
      </c>
      <c r="E1113" s="17" t="s">
        <v>1591</v>
      </c>
      <c r="F1113" s="3">
        <v>1</v>
      </c>
      <c r="L1113" s="3" t="s">
        <v>1571</v>
      </c>
      <c r="N1113" s="48"/>
    </row>
    <row r="1114" spans="1:14" x14ac:dyDescent="0.45">
      <c r="A1114" s="3" t="s">
        <v>1038</v>
      </c>
      <c r="B1114" s="21">
        <v>41166</v>
      </c>
      <c r="C1114" s="7" t="s">
        <v>575</v>
      </c>
      <c r="E1114" s="17" t="s">
        <v>1592</v>
      </c>
      <c r="F1114" s="3">
        <v>5</v>
      </c>
      <c r="L1114" s="3" t="s">
        <v>1575</v>
      </c>
      <c r="N1114" s="48"/>
    </row>
    <row r="1115" spans="1:14" x14ac:dyDescent="0.45">
      <c r="A1115" s="3" t="s">
        <v>1038</v>
      </c>
      <c r="B1115" s="21">
        <v>41166</v>
      </c>
      <c r="C1115" s="7" t="s">
        <v>575</v>
      </c>
      <c r="E1115" s="17" t="s">
        <v>1593</v>
      </c>
      <c r="F1115" s="3">
        <v>24</v>
      </c>
      <c r="L1115" s="3" t="s">
        <v>1575</v>
      </c>
      <c r="N1115" s="48"/>
    </row>
    <row r="1116" spans="1:14" x14ac:dyDescent="0.45">
      <c r="A1116" s="3" t="s">
        <v>1038</v>
      </c>
      <c r="B1116" s="21">
        <v>41165</v>
      </c>
      <c r="C1116" s="7" t="s">
        <v>575</v>
      </c>
      <c r="E1116" s="17" t="s">
        <v>1594</v>
      </c>
      <c r="F1116" s="3">
        <v>76</v>
      </c>
      <c r="L1116" s="3" t="s">
        <v>1575</v>
      </c>
      <c r="N1116" s="48"/>
    </row>
    <row r="1117" spans="1:14" x14ac:dyDescent="0.45">
      <c r="A1117" s="3" t="s">
        <v>1038</v>
      </c>
      <c r="B1117" s="21">
        <v>41165</v>
      </c>
      <c r="C1117" s="7" t="s">
        <v>575</v>
      </c>
      <c r="E1117" s="17" t="s">
        <v>1595</v>
      </c>
      <c r="F1117" s="3">
        <v>96</v>
      </c>
      <c r="L1117" s="3" t="s">
        <v>1596</v>
      </c>
      <c r="N1117" s="48"/>
    </row>
    <row r="1118" spans="1:14" x14ac:dyDescent="0.45">
      <c r="A1118" s="3" t="s">
        <v>1038</v>
      </c>
      <c r="B1118" s="21">
        <v>41163</v>
      </c>
      <c r="C1118" s="7" t="s">
        <v>575</v>
      </c>
      <c r="E1118" s="17" t="s">
        <v>1597</v>
      </c>
      <c r="F1118" s="3">
        <v>1</v>
      </c>
      <c r="L1118" s="3" t="s">
        <v>1598</v>
      </c>
      <c r="N1118" s="48"/>
    </row>
    <row r="1119" spans="1:14" x14ac:dyDescent="0.45">
      <c r="A1119" s="3" t="s">
        <v>1038</v>
      </c>
      <c r="B1119" s="21">
        <v>41000</v>
      </c>
      <c r="C1119" s="7" t="s">
        <v>247</v>
      </c>
      <c r="E1119" s="17" t="s">
        <v>1599</v>
      </c>
      <c r="F1119" s="3">
        <v>32</v>
      </c>
      <c r="L1119" s="3" t="s">
        <v>1575</v>
      </c>
      <c r="N1119" s="48"/>
    </row>
    <row r="1120" spans="1:14" x14ac:dyDescent="0.45">
      <c r="A1120" s="3" t="s">
        <v>1038</v>
      </c>
      <c r="B1120" s="21">
        <v>40858</v>
      </c>
      <c r="C1120" s="7" t="s">
        <v>575</v>
      </c>
      <c r="E1120" s="17" t="s">
        <v>1600</v>
      </c>
      <c r="F1120" s="3">
        <v>5</v>
      </c>
      <c r="L1120" s="3" t="s">
        <v>1575</v>
      </c>
      <c r="N1120" s="48"/>
    </row>
    <row r="1121" spans="1:14" x14ac:dyDescent="0.45">
      <c r="A1121" s="3" t="s">
        <v>1038</v>
      </c>
      <c r="B1121" s="21">
        <v>40634</v>
      </c>
      <c r="C1121" s="7" t="s">
        <v>25</v>
      </c>
      <c r="E1121" s="17" t="s">
        <v>1601</v>
      </c>
      <c r="F1121" s="3">
        <v>7</v>
      </c>
      <c r="L1121" s="3" t="s">
        <v>1575</v>
      </c>
      <c r="N1121" s="48"/>
    </row>
    <row r="1122" spans="1:14" x14ac:dyDescent="0.45">
      <c r="A1122" s="3" t="s">
        <v>1038</v>
      </c>
      <c r="B1122" s="21">
        <v>40529</v>
      </c>
      <c r="C1122" s="7" t="s">
        <v>1131</v>
      </c>
      <c r="E1122" s="17" t="s">
        <v>1602</v>
      </c>
      <c r="F1122" s="3">
        <v>2</v>
      </c>
      <c r="L1122" s="3" t="s">
        <v>1575</v>
      </c>
      <c r="N1122" s="48"/>
    </row>
    <row r="1123" spans="1:14" x14ac:dyDescent="0.45">
      <c r="A1123" s="3" t="s">
        <v>1603</v>
      </c>
      <c r="B1123" s="39">
        <v>45631</v>
      </c>
      <c r="C1123" s="7" t="s">
        <v>12</v>
      </c>
      <c r="D1123" s="3" t="s">
        <v>1604</v>
      </c>
      <c r="E1123" s="10" t="s">
        <v>1605</v>
      </c>
      <c r="F1123" s="3">
        <f>SUM(3,8)</f>
        <v>11</v>
      </c>
      <c r="L1123" s="3" t="s">
        <v>1606</v>
      </c>
      <c r="N1123" s="48"/>
    </row>
    <row r="1124" spans="1:14" x14ac:dyDescent="0.45">
      <c r="A1124" s="3" t="s">
        <v>1603</v>
      </c>
      <c r="B1124" s="39">
        <v>45635</v>
      </c>
      <c r="C1124" s="7" t="s">
        <v>12</v>
      </c>
      <c r="D1124" s="3" t="s">
        <v>1607</v>
      </c>
      <c r="E1124" s="10" t="s">
        <v>1608</v>
      </c>
      <c r="F1124" s="3">
        <f>SUM(6,35,12)</f>
        <v>53</v>
      </c>
      <c r="L1124" s="3" t="s">
        <v>1609</v>
      </c>
      <c r="N1124" s="48"/>
    </row>
    <row r="1125" spans="1:14" x14ac:dyDescent="0.45">
      <c r="A1125" s="3" t="s">
        <v>1603</v>
      </c>
      <c r="B1125" s="39">
        <v>45663</v>
      </c>
      <c r="C1125" s="7" t="s">
        <v>12</v>
      </c>
      <c r="D1125" s="3" t="s">
        <v>1610</v>
      </c>
      <c r="E1125" s="10" t="s">
        <v>1611</v>
      </c>
      <c r="F1125" s="3">
        <f>SUM(4,4)</f>
        <v>8</v>
      </c>
      <c r="L1125" s="3" t="s">
        <v>1612</v>
      </c>
      <c r="N1125" s="48"/>
    </row>
    <row r="1126" spans="1:14" x14ac:dyDescent="0.45">
      <c r="A1126" s="3" t="s">
        <v>1603</v>
      </c>
      <c r="B1126" s="39">
        <v>45751</v>
      </c>
      <c r="C1126" s="7" t="s">
        <v>12</v>
      </c>
      <c r="D1126" s="3" t="s">
        <v>1613</v>
      </c>
      <c r="E1126" s="10" t="s">
        <v>1614</v>
      </c>
      <c r="F1126" s="3">
        <f>SUM(6,41,3,3)</f>
        <v>53</v>
      </c>
      <c r="L1126" s="3" t="s">
        <v>1615</v>
      </c>
      <c r="N1126" s="48"/>
    </row>
    <row r="1127" spans="1:14" x14ac:dyDescent="0.45">
      <c r="A1127" s="3" t="s">
        <v>1603</v>
      </c>
      <c r="B1127" s="39">
        <v>45909</v>
      </c>
      <c r="C1127" s="7" t="s">
        <v>12</v>
      </c>
      <c r="D1127" s="3" t="s">
        <v>1616</v>
      </c>
      <c r="E1127" s="10" t="s">
        <v>1617</v>
      </c>
      <c r="F1127" s="3">
        <f>SUM(3,20,7,3,3)</f>
        <v>36</v>
      </c>
      <c r="L1127" s="3" t="s">
        <v>1618</v>
      </c>
      <c r="N1127" s="48"/>
    </row>
    <row r="1128" spans="1:14" x14ac:dyDescent="0.45">
      <c r="A1128" s="3" t="s">
        <v>1603</v>
      </c>
      <c r="B1128" s="39">
        <v>45310</v>
      </c>
      <c r="C1128" s="7" t="s">
        <v>12</v>
      </c>
      <c r="D1128" s="3" t="s">
        <v>1619</v>
      </c>
      <c r="E1128" s="10" t="s">
        <v>1620</v>
      </c>
      <c r="F1128" s="3">
        <f>SUM(5,34)</f>
        <v>39</v>
      </c>
      <c r="L1128" s="3" t="s">
        <v>1606</v>
      </c>
      <c r="N1128" s="48"/>
    </row>
    <row r="1129" spans="1:14" x14ac:dyDescent="0.45">
      <c r="A1129" s="3" t="s">
        <v>1603</v>
      </c>
      <c r="B1129" s="39">
        <v>45336</v>
      </c>
      <c r="C1129" s="7" t="s">
        <v>12</v>
      </c>
      <c r="D1129" s="3" t="s">
        <v>1621</v>
      </c>
      <c r="E1129" s="10" t="s">
        <v>1622</v>
      </c>
      <c r="F1129" s="3">
        <f>SUM(2,8)</f>
        <v>10</v>
      </c>
      <c r="L1129" s="3" t="s">
        <v>1606</v>
      </c>
      <c r="N1129" s="48"/>
    </row>
    <row r="1130" spans="1:14" x14ac:dyDescent="0.45">
      <c r="A1130" s="3" t="s">
        <v>1603</v>
      </c>
      <c r="B1130" s="39">
        <v>45386</v>
      </c>
      <c r="C1130" s="7" t="s">
        <v>12</v>
      </c>
      <c r="D1130" s="3" t="s">
        <v>1623</v>
      </c>
      <c r="E1130" s="10" t="s">
        <v>1624</v>
      </c>
      <c r="F1130" s="3">
        <f>SUM(5,41,44)</f>
        <v>90</v>
      </c>
      <c r="L1130" s="3" t="s">
        <v>1625</v>
      </c>
      <c r="N1130" s="48"/>
    </row>
    <row r="1131" spans="1:14" x14ac:dyDescent="0.45">
      <c r="A1131" s="3" t="s">
        <v>1603</v>
      </c>
      <c r="B1131" s="39">
        <v>45489</v>
      </c>
      <c r="C1131" s="7" t="s">
        <v>12</v>
      </c>
      <c r="D1131" s="3" t="s">
        <v>1626</v>
      </c>
      <c r="E1131" s="10" t="s">
        <v>1611</v>
      </c>
      <c r="F1131" s="3">
        <f>SUM(3,3)</f>
        <v>6</v>
      </c>
      <c r="L1131" s="3" t="s">
        <v>1612</v>
      </c>
      <c r="N1131" s="48"/>
    </row>
    <row r="1132" spans="1:14" x14ac:dyDescent="0.45">
      <c r="A1132" s="3" t="s">
        <v>1603</v>
      </c>
      <c r="B1132" s="39">
        <v>45495</v>
      </c>
      <c r="C1132" s="7" t="s">
        <v>12</v>
      </c>
      <c r="D1132" s="3" t="s">
        <v>1627</v>
      </c>
      <c r="E1132" s="10" t="s">
        <v>1628</v>
      </c>
      <c r="F1132" s="3">
        <f>SUM(5,3)</f>
        <v>8</v>
      </c>
      <c r="L1132" s="3" t="s">
        <v>1612</v>
      </c>
      <c r="N1132" s="48"/>
    </row>
    <row r="1133" spans="1:14" x14ac:dyDescent="0.45">
      <c r="A1133" s="3" t="s">
        <v>1603</v>
      </c>
      <c r="B1133" s="39">
        <v>45533</v>
      </c>
      <c r="C1133" s="7" t="s">
        <v>12</v>
      </c>
      <c r="D1133" s="3" t="s">
        <v>1629</v>
      </c>
      <c r="E1133" s="10" t="s">
        <v>1630</v>
      </c>
      <c r="F1133" s="3">
        <f>SUM(3,7,20,3,3)</f>
        <v>36</v>
      </c>
      <c r="L1133" s="3" t="s">
        <v>1618</v>
      </c>
      <c r="N1133" s="48"/>
    </row>
    <row r="1134" spans="1:14" x14ac:dyDescent="0.45">
      <c r="A1134" s="3" t="s">
        <v>1603</v>
      </c>
      <c r="B1134" s="39">
        <v>44895</v>
      </c>
      <c r="C1134" s="7" t="s">
        <v>12</v>
      </c>
      <c r="D1134" s="3" t="s">
        <v>1631</v>
      </c>
      <c r="E1134" s="10" t="s">
        <v>1632</v>
      </c>
      <c r="F1134" s="3">
        <f>SUM(4,24,4)</f>
        <v>32</v>
      </c>
      <c r="L1134" s="3" t="s">
        <v>1609</v>
      </c>
      <c r="N1134" s="48"/>
    </row>
    <row r="1135" spans="1:14" x14ac:dyDescent="0.45">
      <c r="A1135" s="3" t="s">
        <v>1603</v>
      </c>
      <c r="B1135" s="39">
        <v>44932</v>
      </c>
      <c r="C1135" s="7" t="s">
        <v>12</v>
      </c>
      <c r="D1135" s="3" t="s">
        <v>1633</v>
      </c>
      <c r="E1135" s="10" t="s">
        <v>1634</v>
      </c>
      <c r="F1135" s="3">
        <f>SUM(8,38)</f>
        <v>46</v>
      </c>
      <c r="L1135" s="3" t="s">
        <v>1606</v>
      </c>
      <c r="N1135" s="48"/>
    </row>
    <row r="1136" spans="1:14" x14ac:dyDescent="0.45">
      <c r="A1136" s="3" t="s">
        <v>1603</v>
      </c>
      <c r="B1136" s="39">
        <v>44949</v>
      </c>
      <c r="C1136" s="7" t="s">
        <v>12</v>
      </c>
      <c r="D1136" s="3" t="s">
        <v>1635</v>
      </c>
      <c r="E1136" s="10" t="s">
        <v>1636</v>
      </c>
      <c r="F1136" s="3">
        <f>SUM(4,7,5)</f>
        <v>16</v>
      </c>
      <c r="L1136" s="3" t="s">
        <v>1637</v>
      </c>
      <c r="N1136" s="48"/>
    </row>
    <row r="1137" spans="1:14" x14ac:dyDescent="0.45">
      <c r="A1137" s="3" t="s">
        <v>1603</v>
      </c>
      <c r="B1137" s="39">
        <v>45086</v>
      </c>
      <c r="C1137" s="7" t="s">
        <v>12</v>
      </c>
      <c r="D1137" s="3" t="s">
        <v>1638</v>
      </c>
      <c r="E1137" s="10" t="s">
        <v>1639</v>
      </c>
      <c r="F1137" s="3">
        <f>SUM(4,7,21)</f>
        <v>32</v>
      </c>
      <c r="L1137" s="3" t="s">
        <v>1640</v>
      </c>
      <c r="N1137" s="48"/>
    </row>
    <row r="1138" spans="1:14" x14ac:dyDescent="0.45">
      <c r="A1138" s="3" t="s">
        <v>1603</v>
      </c>
      <c r="B1138" s="39">
        <v>45086</v>
      </c>
      <c r="C1138" s="7" t="s">
        <v>12</v>
      </c>
      <c r="D1138" s="3" t="s">
        <v>1641</v>
      </c>
      <c r="E1138" s="10" t="s">
        <v>1642</v>
      </c>
      <c r="F1138" s="3">
        <f>SUM(7,3)</f>
        <v>10</v>
      </c>
      <c r="L1138" s="3" t="s">
        <v>1612</v>
      </c>
      <c r="N1138" s="48"/>
    </row>
    <row r="1139" spans="1:14" x14ac:dyDescent="0.45">
      <c r="A1139" s="3" t="s">
        <v>1603</v>
      </c>
      <c r="B1139" s="39">
        <v>45167</v>
      </c>
      <c r="C1139" s="7" t="s">
        <v>12</v>
      </c>
      <c r="D1139" s="3" t="s">
        <v>1643</v>
      </c>
      <c r="E1139" s="10" t="s">
        <v>1644</v>
      </c>
      <c r="F1139" s="3">
        <f>SUM(5,3)</f>
        <v>8</v>
      </c>
      <c r="L1139" s="3" t="s">
        <v>1612</v>
      </c>
      <c r="N1139" s="48"/>
    </row>
    <row r="1140" spans="1:14" x14ac:dyDescent="0.45">
      <c r="A1140" s="3" t="s">
        <v>1603</v>
      </c>
      <c r="B1140" s="39">
        <v>44547</v>
      </c>
      <c r="C1140" s="7" t="s">
        <v>12</v>
      </c>
      <c r="D1140" s="3" t="s">
        <v>1645</v>
      </c>
      <c r="E1140" s="10" t="s">
        <v>1646</v>
      </c>
      <c r="F1140" s="3">
        <v>2</v>
      </c>
      <c r="N1140" s="48"/>
    </row>
    <row r="1141" spans="1:14" x14ac:dyDescent="0.45">
      <c r="A1141" s="3" t="s">
        <v>1603</v>
      </c>
      <c r="B1141" s="39">
        <v>44634</v>
      </c>
      <c r="C1141" s="7" t="s">
        <v>12</v>
      </c>
      <c r="D1141" s="3" t="s">
        <v>1647</v>
      </c>
      <c r="E1141" s="10" t="s">
        <v>1648</v>
      </c>
      <c r="F1141" s="3">
        <f>SUM(8,41)</f>
        <v>49</v>
      </c>
      <c r="L1141" s="3" t="s">
        <v>1606</v>
      </c>
      <c r="N1141" s="48"/>
    </row>
    <row r="1142" spans="1:14" x14ac:dyDescent="0.45">
      <c r="A1142" s="3" t="s">
        <v>1603</v>
      </c>
      <c r="B1142" s="39">
        <v>44659</v>
      </c>
      <c r="C1142" s="7" t="s">
        <v>12</v>
      </c>
      <c r="D1142" s="3" t="s">
        <v>1649</v>
      </c>
      <c r="E1142" s="10" t="s">
        <v>1650</v>
      </c>
      <c r="F1142" s="3">
        <f>SUM(4,7)</f>
        <v>11</v>
      </c>
      <c r="L1142" s="3" t="s">
        <v>1606</v>
      </c>
      <c r="N1142" s="48"/>
    </row>
    <row r="1143" spans="1:14" x14ac:dyDescent="0.45">
      <c r="A1143" s="3" t="s">
        <v>1603</v>
      </c>
      <c r="B1143" s="39">
        <v>44721</v>
      </c>
      <c r="C1143" s="7" t="s">
        <v>12</v>
      </c>
      <c r="D1143" s="3" t="s">
        <v>1651</v>
      </c>
      <c r="E1143" s="10" t="s">
        <v>1652</v>
      </c>
      <c r="F1143" s="3">
        <f>SUM(12,3,2)</f>
        <v>17</v>
      </c>
      <c r="L1143" s="3" t="s">
        <v>1609</v>
      </c>
      <c r="N1143" s="48"/>
    </row>
    <row r="1144" spans="1:14" x14ac:dyDescent="0.45">
      <c r="A1144" s="3" t="s">
        <v>1603</v>
      </c>
      <c r="B1144" s="39">
        <v>44834</v>
      </c>
      <c r="C1144" s="7" t="s">
        <v>12</v>
      </c>
      <c r="D1144" s="3" t="s">
        <v>1653</v>
      </c>
      <c r="E1144" s="10" t="s">
        <v>1654</v>
      </c>
      <c r="F1144" s="3">
        <f>SUM(6,3)</f>
        <v>9</v>
      </c>
      <c r="L1144" s="3" t="s">
        <v>1612</v>
      </c>
      <c r="N1144" s="48"/>
    </row>
    <row r="1145" spans="1:14" x14ac:dyDescent="0.45">
      <c r="A1145" s="3" t="s">
        <v>1603</v>
      </c>
      <c r="B1145" s="39">
        <v>44196</v>
      </c>
      <c r="C1145" s="7" t="s">
        <v>12</v>
      </c>
      <c r="D1145" s="3" t="s">
        <v>1655</v>
      </c>
      <c r="E1145" s="10" t="s">
        <v>1656</v>
      </c>
      <c r="F1145" s="3">
        <v>5</v>
      </c>
      <c r="N1145" s="48"/>
    </row>
    <row r="1146" spans="1:14" x14ac:dyDescent="0.45">
      <c r="A1146" s="3" t="s">
        <v>1603</v>
      </c>
      <c r="B1146" s="39">
        <v>44260</v>
      </c>
      <c r="C1146" s="7" t="s">
        <v>12</v>
      </c>
      <c r="D1146" s="3" t="s">
        <v>1657</v>
      </c>
      <c r="E1146" s="10" t="s">
        <v>1658</v>
      </c>
      <c r="F1146" s="3">
        <f>SUM(8,37)</f>
        <v>45</v>
      </c>
      <c r="L1146" s="3" t="s">
        <v>1606</v>
      </c>
      <c r="N1146" s="48"/>
    </row>
    <row r="1147" spans="1:14" x14ac:dyDescent="0.45">
      <c r="A1147" s="3" t="s">
        <v>1603</v>
      </c>
      <c r="B1147" s="39">
        <v>44383</v>
      </c>
      <c r="C1147" s="7" t="s">
        <v>12</v>
      </c>
      <c r="D1147" s="3" t="s">
        <v>1659</v>
      </c>
      <c r="E1147" s="10" t="s">
        <v>1660</v>
      </c>
      <c r="F1147" s="3">
        <f>SUM(12,3,2)</f>
        <v>17</v>
      </c>
      <c r="L1147" s="3" t="s">
        <v>1609</v>
      </c>
      <c r="N1147" s="48"/>
    </row>
    <row r="1148" spans="1:14" x14ac:dyDescent="0.45">
      <c r="A1148" s="3" t="s">
        <v>1603</v>
      </c>
      <c r="B1148" s="39">
        <v>44452</v>
      </c>
      <c r="C1148" s="7" t="s">
        <v>12</v>
      </c>
      <c r="D1148" s="3" t="s">
        <v>1661</v>
      </c>
      <c r="E1148" s="10" t="s">
        <v>1662</v>
      </c>
      <c r="F1148" s="3">
        <f>SUM(7,4)</f>
        <v>11</v>
      </c>
      <c r="L1148" s="3" t="s">
        <v>1612</v>
      </c>
      <c r="N1148" s="48"/>
    </row>
    <row r="1149" spans="1:14" x14ac:dyDescent="0.45">
      <c r="A1149" s="3" t="s">
        <v>1603</v>
      </c>
      <c r="B1149" s="39">
        <v>44490</v>
      </c>
      <c r="C1149" s="7" t="s">
        <v>12</v>
      </c>
      <c r="D1149" s="3" t="s">
        <v>1663</v>
      </c>
      <c r="E1149" s="10" t="s">
        <v>1664</v>
      </c>
      <c r="F1149" s="3">
        <f>SUM(4,20,4)</f>
        <v>28</v>
      </c>
      <c r="L1149" s="3" t="s">
        <v>1609</v>
      </c>
      <c r="N1149" s="48"/>
    </row>
    <row r="1150" spans="1:14" x14ac:dyDescent="0.45">
      <c r="A1150" s="3" t="s">
        <v>1603</v>
      </c>
      <c r="B1150" s="39">
        <v>43864</v>
      </c>
      <c r="C1150" s="7" t="s">
        <v>12</v>
      </c>
      <c r="D1150" s="3" t="s">
        <v>1665</v>
      </c>
      <c r="E1150" s="10" t="s">
        <v>1666</v>
      </c>
      <c r="F1150" s="3">
        <v>6</v>
      </c>
      <c r="N1150" s="48"/>
    </row>
    <row r="1151" spans="1:14" x14ac:dyDescent="0.45">
      <c r="A1151" s="3" t="s">
        <v>1603</v>
      </c>
      <c r="B1151" s="39">
        <v>43864</v>
      </c>
      <c r="C1151" s="7" t="s">
        <v>12</v>
      </c>
      <c r="D1151" s="3" t="s">
        <v>1667</v>
      </c>
      <c r="E1151" s="10" t="s">
        <v>1668</v>
      </c>
      <c r="F1151" s="3">
        <f>SUM(4,19,4)</f>
        <v>27</v>
      </c>
      <c r="L1151" s="3" t="s">
        <v>1609</v>
      </c>
      <c r="N1151" s="48"/>
    </row>
    <row r="1152" spans="1:14" x14ac:dyDescent="0.45">
      <c r="A1152" s="3" t="s">
        <v>1603</v>
      </c>
      <c r="B1152" s="39">
        <v>43864</v>
      </c>
      <c r="C1152" s="7" t="s">
        <v>12</v>
      </c>
      <c r="D1152" s="3" t="s">
        <v>1669</v>
      </c>
      <c r="E1152" s="10" t="s">
        <v>1670</v>
      </c>
      <c r="F1152" s="3">
        <f>SUM(5,2)</f>
        <v>7</v>
      </c>
      <c r="L1152" s="3" t="s">
        <v>1612</v>
      </c>
      <c r="N1152" s="48"/>
    </row>
    <row r="1153" spans="1:14" x14ac:dyDescent="0.45">
      <c r="A1153" s="3" t="s">
        <v>1603</v>
      </c>
      <c r="B1153" s="39">
        <v>44042</v>
      </c>
      <c r="C1153" s="7" t="s">
        <v>12</v>
      </c>
      <c r="D1153" s="3" t="s">
        <v>1671</v>
      </c>
      <c r="E1153" s="10" t="s">
        <v>1672</v>
      </c>
      <c r="F1153" s="3">
        <f>SUM(11,4)</f>
        <v>15</v>
      </c>
      <c r="L1153" s="3" t="s">
        <v>1612</v>
      </c>
      <c r="N1153" s="48"/>
    </row>
    <row r="1154" spans="1:14" x14ac:dyDescent="0.45">
      <c r="A1154" s="3" t="s">
        <v>1603</v>
      </c>
      <c r="B1154" s="39">
        <v>44120</v>
      </c>
      <c r="C1154" s="7" t="s">
        <v>12</v>
      </c>
      <c r="D1154" s="3" t="s">
        <v>1673</v>
      </c>
      <c r="E1154" s="10" t="s">
        <v>1674</v>
      </c>
      <c r="F1154" s="3">
        <f>SUM(6,3)</f>
        <v>9</v>
      </c>
      <c r="L1154" s="3" t="s">
        <v>1612</v>
      </c>
      <c r="N1154" s="48"/>
    </row>
    <row r="1155" spans="1:14" x14ac:dyDescent="0.45">
      <c r="A1155" s="3" t="s">
        <v>1603</v>
      </c>
      <c r="B1155" s="39">
        <v>44141</v>
      </c>
      <c r="C1155" s="7" t="s">
        <v>12</v>
      </c>
      <c r="D1155" s="3" t="s">
        <v>1675</v>
      </c>
      <c r="E1155" s="10" t="s">
        <v>1676</v>
      </c>
      <c r="F1155" s="3">
        <v>4</v>
      </c>
      <c r="N1155" s="48"/>
    </row>
    <row r="1156" spans="1:14" x14ac:dyDescent="0.45">
      <c r="A1156" s="3" t="s">
        <v>1603</v>
      </c>
      <c r="B1156" s="39">
        <v>44188</v>
      </c>
      <c r="C1156" s="7" t="s">
        <v>12</v>
      </c>
      <c r="D1156" s="3" t="s">
        <v>1677</v>
      </c>
      <c r="E1156" s="10" t="s">
        <v>1678</v>
      </c>
      <c r="F1156" s="3">
        <f>SUM(4,5)</f>
        <v>9</v>
      </c>
      <c r="L1156" s="3" t="s">
        <v>1612</v>
      </c>
      <c r="N1156" s="48"/>
    </row>
    <row r="1157" spans="1:14" x14ac:dyDescent="0.45">
      <c r="A1157" s="3" t="s">
        <v>1603</v>
      </c>
      <c r="B1157" s="39">
        <v>43497</v>
      </c>
      <c r="C1157" s="7" t="s">
        <v>12</v>
      </c>
      <c r="D1157" s="3" t="s">
        <v>1679</v>
      </c>
      <c r="E1157" s="10" t="s">
        <v>1680</v>
      </c>
      <c r="F1157" s="3">
        <f>SUM(4,25)</f>
        <v>29</v>
      </c>
      <c r="L1157" s="3" t="s">
        <v>1681</v>
      </c>
      <c r="N1157" s="48"/>
    </row>
    <row r="1158" spans="1:14" x14ac:dyDescent="0.45">
      <c r="A1158" s="3" t="s">
        <v>1603</v>
      </c>
      <c r="B1158" s="39">
        <v>43511</v>
      </c>
      <c r="C1158" s="7" t="s">
        <v>12</v>
      </c>
      <c r="D1158" s="3" t="s">
        <v>1682</v>
      </c>
      <c r="E1158" s="10" t="s">
        <v>1683</v>
      </c>
      <c r="F1158" s="3">
        <f>SUM(4,16,3)</f>
        <v>23</v>
      </c>
      <c r="L1158" s="3" t="s">
        <v>1684</v>
      </c>
      <c r="N1158" s="48"/>
    </row>
    <row r="1159" spans="1:14" x14ac:dyDescent="0.45">
      <c r="A1159" s="3" t="s">
        <v>1603</v>
      </c>
      <c r="B1159" s="39">
        <v>43647</v>
      </c>
      <c r="C1159" s="7" t="s">
        <v>12</v>
      </c>
      <c r="D1159" s="3" t="s">
        <v>1685</v>
      </c>
      <c r="E1159" s="10" t="s">
        <v>1686</v>
      </c>
      <c r="F1159" s="3">
        <f>SUM(6,1)</f>
        <v>7</v>
      </c>
      <c r="L1159" s="3" t="s">
        <v>1681</v>
      </c>
      <c r="N1159" s="48"/>
    </row>
    <row r="1160" spans="1:14" x14ac:dyDescent="0.45">
      <c r="A1160" s="3" t="s">
        <v>1603</v>
      </c>
      <c r="B1160" s="39">
        <v>43010</v>
      </c>
      <c r="C1160" s="7" t="s">
        <v>12</v>
      </c>
      <c r="D1160" s="3" t="s">
        <v>1687</v>
      </c>
      <c r="E1160" s="10" t="s">
        <v>1688</v>
      </c>
      <c r="F1160" s="3">
        <v>7</v>
      </c>
      <c r="L1160" s="3" t="s">
        <v>1689</v>
      </c>
      <c r="N1160" s="48"/>
    </row>
    <row r="1161" spans="1:14" x14ac:dyDescent="0.45">
      <c r="A1161" s="3" t="s">
        <v>1603</v>
      </c>
      <c r="B1161" s="39">
        <v>43054</v>
      </c>
      <c r="C1161" s="7" t="s">
        <v>12</v>
      </c>
      <c r="D1161" s="3" t="s">
        <v>1690</v>
      </c>
      <c r="E1161" s="10" t="s">
        <v>1691</v>
      </c>
      <c r="F1161" s="3">
        <f>SUM(4,16,3)</f>
        <v>23</v>
      </c>
      <c r="L1161" s="3" t="s">
        <v>1684</v>
      </c>
      <c r="N1161" s="48"/>
    </row>
    <row r="1162" spans="1:14" x14ac:dyDescent="0.45">
      <c r="A1162" s="3" t="s">
        <v>1603</v>
      </c>
      <c r="B1162" s="39">
        <v>43056</v>
      </c>
      <c r="C1162" s="7" t="s">
        <v>12</v>
      </c>
      <c r="D1162" s="3" t="s">
        <v>1692</v>
      </c>
      <c r="E1162" s="10" t="s">
        <v>1693</v>
      </c>
      <c r="F1162" s="3">
        <f>SUM(4,2,1,59)</f>
        <v>66</v>
      </c>
      <c r="L1162" s="3" t="s">
        <v>1694</v>
      </c>
      <c r="N1162" s="48"/>
    </row>
    <row r="1163" spans="1:14" x14ac:dyDescent="0.45">
      <c r="A1163" s="3" t="s">
        <v>1603</v>
      </c>
      <c r="B1163" s="39">
        <v>43137</v>
      </c>
      <c r="C1163" s="7" t="s">
        <v>12</v>
      </c>
      <c r="D1163" s="3" t="s">
        <v>1695</v>
      </c>
      <c r="E1163" s="10" t="s">
        <v>1696</v>
      </c>
      <c r="F1163" s="3">
        <v>5</v>
      </c>
      <c r="L1163" s="3" t="s">
        <v>1697</v>
      </c>
      <c r="N1163" s="48"/>
    </row>
    <row r="1164" spans="1:14" x14ac:dyDescent="0.45">
      <c r="A1164" s="3" t="s">
        <v>1603</v>
      </c>
      <c r="B1164" s="39">
        <v>43220</v>
      </c>
      <c r="C1164" s="7" t="s">
        <v>12</v>
      </c>
      <c r="D1164" s="3" t="s">
        <v>1698</v>
      </c>
      <c r="E1164" s="10" t="s">
        <v>1699</v>
      </c>
      <c r="F1164" s="3">
        <v>6</v>
      </c>
      <c r="L1164" s="3" t="s">
        <v>1689</v>
      </c>
      <c r="N1164" s="48"/>
    </row>
    <row r="1165" spans="1:14" x14ac:dyDescent="0.45">
      <c r="A1165" s="3" t="s">
        <v>1603</v>
      </c>
      <c r="B1165" s="39">
        <v>43220</v>
      </c>
      <c r="C1165" s="7" t="s">
        <v>12</v>
      </c>
      <c r="D1165" s="3" t="s">
        <v>1700</v>
      </c>
      <c r="E1165" s="10" t="s">
        <v>1701</v>
      </c>
      <c r="F1165" s="3">
        <v>26</v>
      </c>
      <c r="L1165" s="3" t="s">
        <v>1689</v>
      </c>
      <c r="N1165" s="48"/>
    </row>
    <row r="1166" spans="1:14" x14ac:dyDescent="0.45">
      <c r="A1166" s="3" t="s">
        <v>1603</v>
      </c>
      <c r="B1166" s="39">
        <v>42576</v>
      </c>
      <c r="C1166" s="7" t="s">
        <v>12</v>
      </c>
      <c r="D1166" s="3" t="s">
        <v>1702</v>
      </c>
      <c r="E1166" s="10" t="s">
        <v>1703</v>
      </c>
      <c r="F1166" s="3">
        <f>SUM(4,1)</f>
        <v>5</v>
      </c>
      <c r="L1166" s="3" t="s">
        <v>1681</v>
      </c>
      <c r="N1166" s="48"/>
    </row>
    <row r="1167" spans="1:14" x14ac:dyDescent="0.45">
      <c r="A1167" s="3" t="s">
        <v>1603</v>
      </c>
      <c r="B1167" s="39">
        <v>42723</v>
      </c>
      <c r="C1167" s="7" t="s">
        <v>12</v>
      </c>
      <c r="D1167" s="3" t="s">
        <v>1704</v>
      </c>
      <c r="E1167" s="10" t="s">
        <v>1705</v>
      </c>
      <c r="F1167" s="3">
        <f>SUM(6,23)</f>
        <v>29</v>
      </c>
      <c r="L1167" s="3" t="s">
        <v>1612</v>
      </c>
      <c r="N1167" s="48"/>
    </row>
    <row r="1168" spans="1:14" x14ac:dyDescent="0.45">
      <c r="A1168" s="3" t="s">
        <v>1603</v>
      </c>
      <c r="B1168" s="39">
        <v>42754</v>
      </c>
      <c r="C1168" s="7" t="s">
        <v>12</v>
      </c>
      <c r="D1168" s="3" t="s">
        <v>1706</v>
      </c>
      <c r="E1168" s="10" t="s">
        <v>1707</v>
      </c>
      <c r="F1168" s="3">
        <v>4</v>
      </c>
      <c r="L1168" s="3" t="s">
        <v>1689</v>
      </c>
      <c r="N1168" s="48"/>
    </row>
    <row r="1169" spans="1:14" x14ac:dyDescent="0.45">
      <c r="A1169" s="3" t="s">
        <v>1603</v>
      </c>
      <c r="B1169" s="39">
        <v>42978</v>
      </c>
      <c r="C1169" s="7" t="s">
        <v>12</v>
      </c>
      <c r="D1169" s="3" t="s">
        <v>1708</v>
      </c>
      <c r="E1169" s="10" t="s">
        <v>1709</v>
      </c>
      <c r="F1169" s="3">
        <v>7</v>
      </c>
      <c r="L1169" s="3" t="s">
        <v>1689</v>
      </c>
      <c r="N1169" s="48"/>
    </row>
    <row r="1170" spans="1:14" x14ac:dyDescent="0.45">
      <c r="A1170" s="3" t="s">
        <v>1603</v>
      </c>
      <c r="B1170" s="39">
        <v>42318</v>
      </c>
      <c r="C1170" s="7" t="s">
        <v>12</v>
      </c>
      <c r="D1170" s="3" t="s">
        <v>1710</v>
      </c>
      <c r="E1170" s="10" t="s">
        <v>1711</v>
      </c>
      <c r="F1170" s="3">
        <f>SUM(3,1)</f>
        <v>4</v>
      </c>
      <c r="L1170" s="3" t="s">
        <v>1681</v>
      </c>
      <c r="N1170" s="48"/>
    </row>
    <row r="1171" spans="1:14" x14ac:dyDescent="0.45">
      <c r="A1171" s="3" t="s">
        <v>1603</v>
      </c>
      <c r="B1171" s="39">
        <v>42338</v>
      </c>
      <c r="C1171" s="7" t="s">
        <v>12</v>
      </c>
      <c r="D1171" s="3" t="s">
        <v>1712</v>
      </c>
      <c r="E1171" s="10" t="s">
        <v>1713</v>
      </c>
      <c r="F1171" s="3">
        <f>SUM(5,16,3)</f>
        <v>24</v>
      </c>
      <c r="L1171" s="3" t="s">
        <v>1684</v>
      </c>
      <c r="N1171" s="48"/>
    </row>
    <row r="1172" spans="1:14" x14ac:dyDescent="0.45">
      <c r="A1172" s="3" t="s">
        <v>1603</v>
      </c>
      <c r="B1172" s="39">
        <v>42373</v>
      </c>
      <c r="C1172" s="7" t="s">
        <v>12</v>
      </c>
      <c r="D1172" s="3" t="s">
        <v>1714</v>
      </c>
      <c r="E1172" s="10" t="s">
        <v>1715</v>
      </c>
      <c r="F1172" s="3">
        <f>SUM(5,20)</f>
        <v>25</v>
      </c>
      <c r="L1172" s="3" t="s">
        <v>1681</v>
      </c>
      <c r="N1172" s="48"/>
    </row>
    <row r="1173" spans="1:14" x14ac:dyDescent="0.45">
      <c r="A1173" s="3" t="s">
        <v>1603</v>
      </c>
      <c r="B1173" s="39">
        <v>42465</v>
      </c>
      <c r="C1173" s="7" t="s">
        <v>12</v>
      </c>
      <c r="D1173" s="3" t="s">
        <v>1716</v>
      </c>
      <c r="E1173" s="10" t="s">
        <v>1717</v>
      </c>
      <c r="F1173" s="3">
        <f>SUM(3,21)</f>
        <v>24</v>
      </c>
      <c r="L1173" s="3" t="s">
        <v>1681</v>
      </c>
      <c r="N1173" s="48"/>
    </row>
    <row r="1174" spans="1:14" x14ac:dyDescent="0.45">
      <c r="A1174" s="3" t="s">
        <v>1603</v>
      </c>
      <c r="B1174" s="39">
        <v>42465</v>
      </c>
      <c r="C1174" s="7" t="s">
        <v>12</v>
      </c>
      <c r="D1174" s="3" t="s">
        <v>1718</v>
      </c>
      <c r="E1174" s="10" t="s">
        <v>1719</v>
      </c>
      <c r="F1174" s="3">
        <f>SUM(3,2)</f>
        <v>5</v>
      </c>
      <c r="L1174" s="3" t="s">
        <v>1681</v>
      </c>
      <c r="N1174" s="48"/>
    </row>
    <row r="1175" spans="1:14" x14ac:dyDescent="0.45">
      <c r="A1175" s="3" t="s">
        <v>1603</v>
      </c>
      <c r="B1175" s="39">
        <v>42552</v>
      </c>
      <c r="C1175" s="7" t="s">
        <v>12</v>
      </c>
      <c r="D1175" s="3" t="s">
        <v>1720</v>
      </c>
      <c r="E1175" s="10" t="s">
        <v>1721</v>
      </c>
      <c r="F1175" s="3">
        <v>7</v>
      </c>
      <c r="L1175" s="3" t="s">
        <v>1689</v>
      </c>
      <c r="N1175" s="48"/>
    </row>
    <row r="1176" spans="1:14" x14ac:dyDescent="0.45">
      <c r="A1176" s="3" t="s">
        <v>1603</v>
      </c>
      <c r="B1176" s="39">
        <v>41890</v>
      </c>
      <c r="C1176" s="7" t="s">
        <v>12</v>
      </c>
      <c r="D1176" s="3" t="s">
        <v>1722</v>
      </c>
      <c r="E1176" s="10" t="s">
        <v>1723</v>
      </c>
      <c r="F1176" s="3">
        <v>3</v>
      </c>
      <c r="L1176" s="3" t="s">
        <v>1697</v>
      </c>
      <c r="N1176" s="48"/>
    </row>
    <row r="1177" spans="1:14" x14ac:dyDescent="0.45">
      <c r="A1177" s="3" t="s">
        <v>1603</v>
      </c>
      <c r="B1177" s="39">
        <v>42009</v>
      </c>
      <c r="C1177" s="7" t="s">
        <v>12</v>
      </c>
      <c r="D1177" s="3" t="s">
        <v>1724</v>
      </c>
      <c r="E1177" s="10" t="s">
        <v>1725</v>
      </c>
      <c r="F1177" s="3">
        <f>SUM(5,20)</f>
        <v>25</v>
      </c>
      <c r="L1177" s="3" t="s">
        <v>1726</v>
      </c>
      <c r="N1177" s="48"/>
    </row>
    <row r="1178" spans="1:14" x14ac:dyDescent="0.45">
      <c r="A1178" s="3" t="s">
        <v>1603</v>
      </c>
      <c r="B1178" s="39">
        <v>42179</v>
      </c>
      <c r="C1178" s="7" t="s">
        <v>12</v>
      </c>
      <c r="D1178" s="3" t="s">
        <v>1727</v>
      </c>
      <c r="E1178" s="10" t="s">
        <v>1728</v>
      </c>
      <c r="F1178" s="3">
        <v>8</v>
      </c>
      <c r="L1178" s="3" t="s">
        <v>1689</v>
      </c>
      <c r="N1178" s="48"/>
    </row>
    <row r="1179" spans="1:14" x14ac:dyDescent="0.45">
      <c r="A1179" s="3" t="s">
        <v>1603</v>
      </c>
      <c r="B1179" s="39">
        <v>41612</v>
      </c>
      <c r="C1179" s="7" t="s">
        <v>12</v>
      </c>
      <c r="D1179" s="3" t="s">
        <v>1729</v>
      </c>
      <c r="E1179" s="10" t="s">
        <v>1730</v>
      </c>
      <c r="F1179" s="3">
        <v>5</v>
      </c>
      <c r="L1179" s="3" t="s">
        <v>1697</v>
      </c>
      <c r="N1179" s="48"/>
    </row>
    <row r="1180" spans="1:14" x14ac:dyDescent="0.45">
      <c r="A1180" s="3" t="s">
        <v>1603</v>
      </c>
      <c r="B1180" s="39">
        <v>41834</v>
      </c>
      <c r="C1180" s="7" t="s">
        <v>12</v>
      </c>
      <c r="D1180" s="3" t="s">
        <v>1731</v>
      </c>
      <c r="E1180" s="10" t="s">
        <v>1732</v>
      </c>
      <c r="F1180" s="3">
        <f>SUM(5,1,59)</f>
        <v>65</v>
      </c>
      <c r="L1180" s="3" t="s">
        <v>1733</v>
      </c>
      <c r="N1180" s="48"/>
    </row>
    <row r="1181" spans="1:14" x14ac:dyDescent="0.45">
      <c r="A1181" s="3" t="s">
        <v>1603</v>
      </c>
      <c r="B1181" s="39">
        <v>41837</v>
      </c>
      <c r="C1181" s="7" t="s">
        <v>12</v>
      </c>
      <c r="D1181" s="3" t="s">
        <v>1734</v>
      </c>
      <c r="E1181" s="10" t="s">
        <v>1735</v>
      </c>
      <c r="F1181" s="3">
        <v>7</v>
      </c>
      <c r="L1181" s="3" t="s">
        <v>1697</v>
      </c>
      <c r="N1181" s="48"/>
    </row>
    <row r="1182" spans="1:14" x14ac:dyDescent="0.45">
      <c r="A1182" s="3" t="s">
        <v>1603</v>
      </c>
      <c r="B1182" s="39">
        <v>41877</v>
      </c>
      <c r="C1182" s="7" t="s">
        <v>12</v>
      </c>
      <c r="D1182" s="3" t="s">
        <v>1736</v>
      </c>
      <c r="E1182" s="10" t="s">
        <v>1737</v>
      </c>
      <c r="F1182" s="3">
        <v>3</v>
      </c>
      <c r="L1182" s="3" t="s">
        <v>1697</v>
      </c>
      <c r="N1182" s="48"/>
    </row>
    <row r="1183" spans="1:14" x14ac:dyDescent="0.45">
      <c r="A1183" s="3" t="s">
        <v>1603</v>
      </c>
      <c r="B1183" s="39">
        <v>41878</v>
      </c>
      <c r="C1183" s="7" t="s">
        <v>12</v>
      </c>
      <c r="D1183" s="3" t="s">
        <v>1738</v>
      </c>
      <c r="E1183" s="10" t="s">
        <v>1739</v>
      </c>
      <c r="F1183" s="3">
        <f>SUM(4,16,3)</f>
        <v>23</v>
      </c>
      <c r="L1183" s="3" t="s">
        <v>1684</v>
      </c>
      <c r="N1183" s="48"/>
    </row>
    <row r="1184" spans="1:14" x14ac:dyDescent="0.45">
      <c r="A1184" s="3" t="s">
        <v>1603</v>
      </c>
      <c r="B1184" s="41">
        <v>41247</v>
      </c>
      <c r="C1184" s="7" t="s">
        <v>12</v>
      </c>
      <c r="D1184" s="3" t="s">
        <v>1740</v>
      </c>
      <c r="E1184" s="10" t="s">
        <v>1741</v>
      </c>
      <c r="F1184" s="3">
        <f>SUM(4,9,3)</f>
        <v>16</v>
      </c>
      <c r="L1184" s="3" t="s">
        <v>1742</v>
      </c>
      <c r="N1184" s="48"/>
    </row>
    <row r="1185" spans="1:14" x14ac:dyDescent="0.45">
      <c r="A1185" s="3" t="s">
        <v>1603</v>
      </c>
      <c r="B1185" s="41">
        <v>41264</v>
      </c>
      <c r="C1185" s="7" t="s">
        <v>12</v>
      </c>
      <c r="D1185" s="3" t="s">
        <v>1743</v>
      </c>
      <c r="E1185" s="10" t="s">
        <v>1744</v>
      </c>
      <c r="F1185" s="3">
        <f>SUM(4,1,5,2)</f>
        <v>12</v>
      </c>
      <c r="L1185" s="3" t="s">
        <v>1694</v>
      </c>
      <c r="N1185" s="48"/>
    </row>
    <row r="1186" spans="1:14" x14ac:dyDescent="0.45">
      <c r="A1186" s="3" t="s">
        <v>1603</v>
      </c>
      <c r="B1186" s="41">
        <v>41479</v>
      </c>
      <c r="C1186" s="7" t="s">
        <v>12</v>
      </c>
      <c r="D1186" s="3" t="s">
        <v>1745</v>
      </c>
      <c r="E1186" s="10" t="s">
        <v>1746</v>
      </c>
      <c r="F1186" s="3">
        <f>SUM(4,2)</f>
        <v>6</v>
      </c>
      <c r="L1186" s="3" t="s">
        <v>1747</v>
      </c>
      <c r="N1186" s="48"/>
    </row>
    <row r="1187" spans="1:14" x14ac:dyDescent="0.45">
      <c r="A1187" s="3" t="s">
        <v>1603</v>
      </c>
      <c r="B1187" s="41">
        <v>41508</v>
      </c>
      <c r="C1187" s="7" t="s">
        <v>12</v>
      </c>
      <c r="D1187" s="3" t="s">
        <v>1748</v>
      </c>
      <c r="E1187" s="10" t="s">
        <v>1749</v>
      </c>
      <c r="F1187" s="3">
        <f>SUM(4,3,10)</f>
        <v>17</v>
      </c>
      <c r="L1187" s="3" t="s">
        <v>1750</v>
      </c>
      <c r="N1187" s="48"/>
    </row>
    <row r="1188" spans="1:14" x14ac:dyDescent="0.45">
      <c r="A1188" s="3" t="s">
        <v>1603</v>
      </c>
      <c r="B1188" s="41">
        <v>41509</v>
      </c>
      <c r="C1188" s="7" t="s">
        <v>12</v>
      </c>
      <c r="D1188" s="3" t="s">
        <v>1751</v>
      </c>
      <c r="E1188" s="10" t="s">
        <v>1752</v>
      </c>
      <c r="F1188" s="3">
        <f>SUM(5,3,2)</f>
        <v>10</v>
      </c>
      <c r="L1188" s="3" t="s">
        <v>1750</v>
      </c>
      <c r="N1188" s="48"/>
    </row>
    <row r="1189" spans="1:14" x14ac:dyDescent="0.45">
      <c r="A1189" s="3" t="s">
        <v>1603</v>
      </c>
      <c r="B1189" s="41">
        <v>41509</v>
      </c>
      <c r="C1189" s="7" t="s">
        <v>12</v>
      </c>
      <c r="D1189" s="3" t="s">
        <v>1753</v>
      </c>
      <c r="E1189" s="10" t="s">
        <v>1754</v>
      </c>
      <c r="F1189" s="3">
        <v>2</v>
      </c>
      <c r="L1189" s="3" t="s">
        <v>1697</v>
      </c>
      <c r="N1189" s="48"/>
    </row>
    <row r="1190" spans="1:14" x14ac:dyDescent="0.45">
      <c r="A1190" s="3" t="s">
        <v>1603</v>
      </c>
      <c r="B1190" s="41">
        <v>40830</v>
      </c>
      <c r="C1190" s="7" t="s">
        <v>12</v>
      </c>
      <c r="D1190" s="3" t="s">
        <v>1755</v>
      </c>
      <c r="E1190" s="10" t="s">
        <v>1756</v>
      </c>
      <c r="F1190" s="3">
        <f>SUM(4,1,5,2)</f>
        <v>12</v>
      </c>
      <c r="L1190" s="3" t="s">
        <v>1694</v>
      </c>
      <c r="N1190" s="48"/>
    </row>
    <row r="1191" spans="1:14" x14ac:dyDescent="0.45">
      <c r="A1191" s="3" t="s">
        <v>1603</v>
      </c>
      <c r="B1191" s="41">
        <v>40877</v>
      </c>
      <c r="C1191" s="7" t="s">
        <v>12</v>
      </c>
      <c r="D1191" s="3" t="s">
        <v>1757</v>
      </c>
      <c r="E1191" s="10" t="s">
        <v>1758</v>
      </c>
      <c r="F1191" s="3">
        <v>3</v>
      </c>
      <c r="L1191" s="3" t="s">
        <v>1759</v>
      </c>
      <c r="N1191" s="48"/>
    </row>
    <row r="1192" spans="1:14" x14ac:dyDescent="0.45">
      <c r="A1192" s="3" t="s">
        <v>1603</v>
      </c>
      <c r="B1192" s="41">
        <v>40939</v>
      </c>
      <c r="C1192" s="7" t="s">
        <v>12</v>
      </c>
      <c r="D1192" s="3" t="s">
        <v>1760</v>
      </c>
      <c r="E1192" s="10" t="s">
        <v>1761</v>
      </c>
      <c r="F1192" s="3">
        <f>SUM(4,5,7)</f>
        <v>16</v>
      </c>
      <c r="L1192" s="3" t="s">
        <v>1684</v>
      </c>
      <c r="N1192" s="48"/>
    </row>
    <row r="1193" spans="1:14" x14ac:dyDescent="0.45">
      <c r="A1193" s="3" t="s">
        <v>1603</v>
      </c>
      <c r="B1193" s="41">
        <v>41102</v>
      </c>
      <c r="C1193" s="7" t="s">
        <v>12</v>
      </c>
      <c r="D1193" s="3" t="s">
        <v>1762</v>
      </c>
      <c r="E1193" s="10" t="s">
        <v>1746</v>
      </c>
      <c r="F1193" s="3">
        <f>SUM(3,1,1)</f>
        <v>5</v>
      </c>
      <c r="L1193" s="3" t="s">
        <v>1763</v>
      </c>
      <c r="N1193" s="48"/>
    </row>
    <row r="1194" spans="1:14" x14ac:dyDescent="0.45">
      <c r="A1194" s="3" t="s">
        <v>1603</v>
      </c>
      <c r="B1194" s="41">
        <v>41102</v>
      </c>
      <c r="C1194" s="7" t="s">
        <v>12</v>
      </c>
      <c r="D1194" s="3" t="s">
        <v>1764</v>
      </c>
      <c r="E1194" s="10" t="s">
        <v>1765</v>
      </c>
      <c r="F1194" s="3">
        <f>SUM(5,1,4)</f>
        <v>10</v>
      </c>
      <c r="L1194" s="3" t="s">
        <v>1684</v>
      </c>
      <c r="N1194" s="48"/>
    </row>
    <row r="1195" spans="1:14" x14ac:dyDescent="0.45">
      <c r="A1195" s="3" t="s">
        <v>1603</v>
      </c>
      <c r="B1195" s="41">
        <v>41102</v>
      </c>
      <c r="C1195" s="7" t="s">
        <v>12</v>
      </c>
      <c r="D1195" s="3" t="s">
        <v>1766</v>
      </c>
      <c r="E1195" s="10" t="s">
        <v>1754</v>
      </c>
      <c r="F1195" s="3">
        <v>2</v>
      </c>
      <c r="L1195" s="3" t="s">
        <v>1767</v>
      </c>
      <c r="N1195" s="48"/>
    </row>
    <row r="1196" spans="1:14" x14ac:dyDescent="0.45">
      <c r="A1196" s="3" t="s">
        <v>1603</v>
      </c>
      <c r="B1196" s="41">
        <v>41124</v>
      </c>
      <c r="C1196" s="7" t="s">
        <v>12</v>
      </c>
      <c r="D1196" s="3" t="s">
        <v>1768</v>
      </c>
      <c r="E1196" s="10" t="s">
        <v>1769</v>
      </c>
      <c r="F1196" s="3">
        <f>SUM(3,3,15)</f>
        <v>21</v>
      </c>
      <c r="L1196" s="3" t="s">
        <v>1770</v>
      </c>
      <c r="N1196" s="48"/>
    </row>
    <row r="1197" spans="1:14" x14ac:dyDescent="0.45">
      <c r="A1197" s="3" t="s">
        <v>1603</v>
      </c>
      <c r="B1197" s="41">
        <v>40511</v>
      </c>
      <c r="C1197" s="7" t="s">
        <v>12</v>
      </c>
      <c r="D1197" s="3" t="s">
        <v>1771</v>
      </c>
      <c r="E1197" s="10" t="s">
        <v>1772</v>
      </c>
      <c r="F1197" s="3">
        <f>SUM(3,8)</f>
        <v>11</v>
      </c>
      <c r="L1197" s="3" t="s">
        <v>1773</v>
      </c>
      <c r="N1197" s="48"/>
    </row>
    <row r="1198" spans="1:14" x14ac:dyDescent="0.45">
      <c r="A1198" s="3" t="s">
        <v>1603</v>
      </c>
      <c r="B1198" s="41">
        <v>40526</v>
      </c>
      <c r="C1198" s="7" t="s">
        <v>12</v>
      </c>
      <c r="D1198" s="3" t="s">
        <v>1774</v>
      </c>
      <c r="E1198" s="10" t="s">
        <v>1775</v>
      </c>
      <c r="F1198" s="3">
        <v>4</v>
      </c>
      <c r="L1198" s="3" t="s">
        <v>1759</v>
      </c>
      <c r="N1198" s="48"/>
    </row>
    <row r="1199" spans="1:14" x14ac:dyDescent="0.45">
      <c r="A1199" s="3" t="s">
        <v>1603</v>
      </c>
      <c r="B1199" s="41">
        <v>40718</v>
      </c>
      <c r="C1199" s="7" t="s">
        <v>12</v>
      </c>
      <c r="D1199" s="3" t="s">
        <v>1776</v>
      </c>
      <c r="E1199" s="10" t="s">
        <v>1777</v>
      </c>
      <c r="F1199" s="3">
        <f>SUM(3,1,1)</f>
        <v>5</v>
      </c>
      <c r="L1199" s="3" t="s">
        <v>1763</v>
      </c>
      <c r="N1199" s="48"/>
    </row>
    <row r="1200" spans="1:14" x14ac:dyDescent="0.45">
      <c r="A1200" s="3" t="s">
        <v>1603</v>
      </c>
      <c r="B1200" s="41">
        <v>40745</v>
      </c>
      <c r="C1200" s="7" t="s">
        <v>12</v>
      </c>
      <c r="D1200" s="3" t="s">
        <v>1778</v>
      </c>
      <c r="E1200" s="10" t="s">
        <v>1779</v>
      </c>
      <c r="F1200" s="3">
        <v>5</v>
      </c>
      <c r="L1200" s="3" t="s">
        <v>1759</v>
      </c>
      <c r="N1200" s="48"/>
    </row>
    <row r="1201" spans="1:14" x14ac:dyDescent="0.45">
      <c r="A1201" s="3" t="s">
        <v>1603</v>
      </c>
      <c r="B1201" s="41">
        <v>40745</v>
      </c>
      <c r="C1201" s="7" t="s">
        <v>12</v>
      </c>
      <c r="D1201" s="3" t="s">
        <v>1780</v>
      </c>
      <c r="E1201" s="10" t="s">
        <v>1781</v>
      </c>
      <c r="F1201" s="3">
        <v>3</v>
      </c>
      <c r="L1201" s="3" t="s">
        <v>1759</v>
      </c>
      <c r="N1201" s="48"/>
    </row>
    <row r="1202" spans="1:14" x14ac:dyDescent="0.45">
      <c r="A1202" s="3" t="s">
        <v>1603</v>
      </c>
      <c r="B1202" s="41">
        <v>40749</v>
      </c>
      <c r="C1202" s="7" t="s">
        <v>12</v>
      </c>
      <c r="D1202" s="3" t="s">
        <v>1782</v>
      </c>
      <c r="E1202" s="10" t="s">
        <v>1783</v>
      </c>
      <c r="F1202" s="3">
        <f>SUM(4,15)</f>
        <v>19</v>
      </c>
      <c r="L1202" s="3" t="s">
        <v>1784</v>
      </c>
      <c r="N1202" s="48"/>
    </row>
    <row r="1203" spans="1:14" x14ac:dyDescent="0.45">
      <c r="A1203" s="3" t="s">
        <v>1603</v>
      </c>
      <c r="B1203" s="41">
        <v>40094</v>
      </c>
      <c r="C1203" s="7" t="s">
        <v>12</v>
      </c>
      <c r="D1203" s="3" t="s">
        <v>1785</v>
      </c>
      <c r="E1203" s="10" t="s">
        <v>1786</v>
      </c>
      <c r="F1203" s="3">
        <f>SUM(3,1)</f>
        <v>4</v>
      </c>
      <c r="L1203" s="3" t="s">
        <v>1787</v>
      </c>
      <c r="N1203" s="48"/>
    </row>
    <row r="1204" spans="1:14" x14ac:dyDescent="0.45">
      <c r="A1204" s="3" t="s">
        <v>1603</v>
      </c>
      <c r="B1204" s="41">
        <v>40144</v>
      </c>
      <c r="C1204" s="7" t="s">
        <v>12</v>
      </c>
      <c r="D1204" s="3" t="s">
        <v>1788</v>
      </c>
      <c r="E1204" s="10" t="s">
        <v>1789</v>
      </c>
      <c r="F1204" s="3">
        <f>SUM(2,7)</f>
        <v>9</v>
      </c>
      <c r="L1204" s="3" t="s">
        <v>1681</v>
      </c>
      <c r="N1204" s="48"/>
    </row>
    <row r="1205" spans="1:14" x14ac:dyDescent="0.45">
      <c r="A1205" s="3" t="s">
        <v>1603</v>
      </c>
      <c r="B1205" s="41">
        <v>40185</v>
      </c>
      <c r="C1205" s="7" t="s">
        <v>12</v>
      </c>
      <c r="D1205" s="3" t="s">
        <v>1790</v>
      </c>
      <c r="E1205" s="10" t="s">
        <v>1791</v>
      </c>
      <c r="F1205" s="3">
        <v>4</v>
      </c>
      <c r="L1205" s="3" t="s">
        <v>1759</v>
      </c>
      <c r="N1205" s="48"/>
    </row>
    <row r="1206" spans="1:14" x14ac:dyDescent="0.45">
      <c r="A1206" s="3" t="s">
        <v>1603</v>
      </c>
      <c r="B1206" s="41">
        <v>40254</v>
      </c>
      <c r="C1206" s="7" t="s">
        <v>12</v>
      </c>
      <c r="D1206" s="3" t="s">
        <v>1792</v>
      </c>
      <c r="E1206" s="10" t="s">
        <v>1793</v>
      </c>
      <c r="F1206" s="3">
        <f>SUM(4,28,1,9)</f>
        <v>42</v>
      </c>
      <c r="L1206" s="3" t="s">
        <v>1794</v>
      </c>
      <c r="N1206" s="48"/>
    </row>
    <row r="1207" spans="1:14" x14ac:dyDescent="0.45">
      <c r="A1207" s="3" t="s">
        <v>1603</v>
      </c>
      <c r="B1207" s="41">
        <v>40270</v>
      </c>
      <c r="C1207" s="7" t="s">
        <v>12</v>
      </c>
      <c r="D1207" s="3" t="s">
        <v>1795</v>
      </c>
      <c r="E1207" s="10" t="s">
        <v>1796</v>
      </c>
      <c r="F1207" s="3">
        <f>SUM(2,1)</f>
        <v>3</v>
      </c>
      <c r="L1207" s="3" t="s">
        <v>1681</v>
      </c>
      <c r="N1207" s="48"/>
    </row>
    <row r="1208" spans="1:14" x14ac:dyDescent="0.45">
      <c r="A1208" s="3" t="s">
        <v>1603</v>
      </c>
      <c r="B1208" s="41">
        <v>40337</v>
      </c>
      <c r="C1208" s="7" t="s">
        <v>12</v>
      </c>
      <c r="D1208" s="3" t="s">
        <v>1797</v>
      </c>
      <c r="E1208" s="10" t="s">
        <v>1798</v>
      </c>
      <c r="F1208" s="3">
        <f>SUM(3,6)</f>
        <v>9</v>
      </c>
      <c r="L1208" s="3" t="s">
        <v>1799</v>
      </c>
      <c r="N1208" s="48"/>
    </row>
    <row r="1209" spans="1:14" x14ac:dyDescent="0.45">
      <c r="A1209" s="3" t="s">
        <v>1603</v>
      </c>
      <c r="B1209" s="41">
        <v>40347</v>
      </c>
      <c r="C1209" s="7" t="s">
        <v>12</v>
      </c>
      <c r="D1209" s="3" t="s">
        <v>1800</v>
      </c>
      <c r="E1209" s="10" t="s">
        <v>1801</v>
      </c>
      <c r="F1209" s="3">
        <v>4</v>
      </c>
      <c r="L1209" s="3" t="s">
        <v>1689</v>
      </c>
      <c r="N1209" s="48"/>
    </row>
    <row r="1210" spans="1:14" x14ac:dyDescent="0.45">
      <c r="A1210" s="3" t="s">
        <v>1603</v>
      </c>
      <c r="B1210" s="41">
        <v>40373</v>
      </c>
      <c r="C1210" s="7" t="s">
        <v>12</v>
      </c>
      <c r="D1210" s="3" t="s">
        <v>1785</v>
      </c>
      <c r="E1210" s="10" t="s">
        <v>1777</v>
      </c>
      <c r="F1210" s="3">
        <v>3</v>
      </c>
      <c r="L1210" s="3" t="s">
        <v>1759</v>
      </c>
      <c r="N1210" s="48"/>
    </row>
    <row r="1211" spans="1:14" x14ac:dyDescent="0.45">
      <c r="A1211" s="3" t="s">
        <v>1603</v>
      </c>
      <c r="B1211" s="41">
        <v>40381</v>
      </c>
      <c r="C1211" s="7" t="s">
        <v>12</v>
      </c>
      <c r="D1211" s="3" t="s">
        <v>1802</v>
      </c>
      <c r="E1211" s="10" t="s">
        <v>1803</v>
      </c>
      <c r="F1211" s="3">
        <v>5</v>
      </c>
      <c r="L1211" s="3" t="s">
        <v>1759</v>
      </c>
      <c r="N1211" s="48"/>
    </row>
    <row r="1212" spans="1:14" x14ac:dyDescent="0.45">
      <c r="A1212" s="3" t="s">
        <v>1603</v>
      </c>
      <c r="B1212" s="41">
        <v>40386</v>
      </c>
      <c r="C1212" s="7" t="s">
        <v>12</v>
      </c>
      <c r="E1212" s="10" t="s">
        <v>1804</v>
      </c>
      <c r="F1212" s="3" t="s">
        <v>1041</v>
      </c>
      <c r="L1212" s="3" t="s">
        <v>1805</v>
      </c>
      <c r="N1212" s="48"/>
    </row>
    <row r="1213" spans="1:14" x14ac:dyDescent="0.45">
      <c r="A1213" s="3" t="s">
        <v>1603</v>
      </c>
      <c r="B1213" s="41">
        <v>40388</v>
      </c>
      <c r="C1213" s="7" t="s">
        <v>12</v>
      </c>
      <c r="D1213" s="3" t="s">
        <v>1806</v>
      </c>
      <c r="E1213" s="10" t="s">
        <v>1807</v>
      </c>
      <c r="F1213" s="3">
        <v>3</v>
      </c>
      <c r="L1213" s="3" t="s">
        <v>1808</v>
      </c>
      <c r="N1213" s="48"/>
    </row>
    <row r="1214" spans="1:14" x14ac:dyDescent="0.45">
      <c r="A1214" s="3" t="s">
        <v>1603</v>
      </c>
      <c r="B1214" s="41">
        <v>40395</v>
      </c>
      <c r="C1214" s="7" t="s">
        <v>12</v>
      </c>
      <c r="D1214" s="3" t="s">
        <v>1809</v>
      </c>
      <c r="E1214" s="10" t="s">
        <v>1810</v>
      </c>
      <c r="F1214" s="3">
        <f>SUM(6,10,4)</f>
        <v>20</v>
      </c>
      <c r="L1214" s="3" t="s">
        <v>1763</v>
      </c>
      <c r="N1214" s="48"/>
    </row>
    <row r="1215" spans="1:14" x14ac:dyDescent="0.45">
      <c r="A1215" s="3" t="s">
        <v>1603</v>
      </c>
      <c r="B1215" s="39">
        <v>45596</v>
      </c>
      <c r="C1215" s="7" t="s">
        <v>587</v>
      </c>
      <c r="D1215" s="3" t="s">
        <v>1811</v>
      </c>
      <c r="E1215" s="10" t="s">
        <v>1812</v>
      </c>
      <c r="F1215" s="3">
        <f>SUM(3,2,5)</f>
        <v>10</v>
      </c>
      <c r="L1215" s="3" t="s">
        <v>1813</v>
      </c>
      <c r="N1215" s="48"/>
    </row>
    <row r="1216" spans="1:14" x14ac:dyDescent="0.45">
      <c r="A1216" s="3" t="s">
        <v>1603</v>
      </c>
      <c r="B1216" s="39">
        <v>45778</v>
      </c>
      <c r="C1216" s="7" t="s">
        <v>587</v>
      </c>
      <c r="D1216" s="3" t="s">
        <v>1814</v>
      </c>
      <c r="E1216" s="10" t="s">
        <v>1815</v>
      </c>
      <c r="F1216" s="3">
        <f>SUM(2,6,3)</f>
        <v>11</v>
      </c>
      <c r="L1216" s="3" t="s">
        <v>1813</v>
      </c>
      <c r="N1216" s="48"/>
    </row>
    <row r="1217" spans="1:14" x14ac:dyDescent="0.45">
      <c r="A1217" s="3" t="s">
        <v>1603</v>
      </c>
      <c r="B1217" s="39">
        <v>45210</v>
      </c>
      <c r="C1217" s="7" t="s">
        <v>587</v>
      </c>
      <c r="D1217" s="3" t="s">
        <v>1816</v>
      </c>
      <c r="E1217" s="10" t="s">
        <v>1817</v>
      </c>
      <c r="F1217" s="3">
        <f>SUM(2,9,46)</f>
        <v>57</v>
      </c>
      <c r="L1217" s="3" t="s">
        <v>1813</v>
      </c>
      <c r="N1217" s="48"/>
    </row>
    <row r="1218" spans="1:14" x14ac:dyDescent="0.45">
      <c r="A1218" s="3" t="s">
        <v>1603</v>
      </c>
      <c r="B1218" s="39">
        <v>45223</v>
      </c>
      <c r="C1218" s="7" t="s">
        <v>587</v>
      </c>
      <c r="D1218" s="3" t="s">
        <v>1818</v>
      </c>
      <c r="E1218" s="10" t="s">
        <v>1819</v>
      </c>
      <c r="F1218" s="3">
        <f>SUM(2,2,6)</f>
        <v>10</v>
      </c>
      <c r="L1218" s="3" t="s">
        <v>1813</v>
      </c>
      <c r="N1218" s="48"/>
    </row>
    <row r="1219" spans="1:14" x14ac:dyDescent="0.45">
      <c r="A1219" s="3" t="s">
        <v>1603</v>
      </c>
      <c r="B1219" s="39">
        <v>45230</v>
      </c>
      <c r="C1219" s="7" t="s">
        <v>587</v>
      </c>
      <c r="E1219" s="10" t="s">
        <v>1820</v>
      </c>
      <c r="F1219" s="3" t="s">
        <v>1041</v>
      </c>
      <c r="L1219" s="3" t="s">
        <v>1821</v>
      </c>
      <c r="N1219" s="48"/>
    </row>
    <row r="1220" spans="1:14" x14ac:dyDescent="0.45">
      <c r="A1220" s="3" t="s">
        <v>1603</v>
      </c>
      <c r="B1220" s="39">
        <v>45323</v>
      </c>
      <c r="C1220" s="7" t="s">
        <v>587</v>
      </c>
      <c r="D1220" s="3" t="s">
        <v>1822</v>
      </c>
      <c r="E1220" s="10" t="s">
        <v>1823</v>
      </c>
      <c r="F1220" s="3">
        <v>2</v>
      </c>
      <c r="N1220" s="48"/>
    </row>
    <row r="1221" spans="1:14" x14ac:dyDescent="0.45">
      <c r="A1221" s="3" t="s">
        <v>1603</v>
      </c>
      <c r="B1221" s="39">
        <v>45362</v>
      </c>
      <c r="C1221" s="7" t="s">
        <v>587</v>
      </c>
      <c r="E1221" s="10" t="s">
        <v>1824</v>
      </c>
      <c r="F1221" s="3" t="s">
        <v>1041</v>
      </c>
      <c r="L1221" s="3" t="s">
        <v>1821</v>
      </c>
      <c r="N1221" s="48"/>
    </row>
    <row r="1222" spans="1:14" x14ac:dyDescent="0.45">
      <c r="A1222" s="3" t="s">
        <v>1603</v>
      </c>
      <c r="B1222" s="39">
        <v>45404</v>
      </c>
      <c r="C1222" s="7" t="s">
        <v>587</v>
      </c>
      <c r="D1222" s="3" t="s">
        <v>1825</v>
      </c>
      <c r="E1222" s="10" t="s">
        <v>1826</v>
      </c>
      <c r="F1222" s="3">
        <f>SUM(2,2,6)</f>
        <v>10</v>
      </c>
      <c r="L1222" s="3" t="s">
        <v>1813</v>
      </c>
      <c r="N1222" s="48"/>
    </row>
    <row r="1223" spans="1:14" x14ac:dyDescent="0.45">
      <c r="A1223" s="3" t="s">
        <v>1603</v>
      </c>
      <c r="B1223" s="39">
        <v>45469</v>
      </c>
      <c r="C1223" s="7" t="s">
        <v>587</v>
      </c>
      <c r="D1223" s="3" t="s">
        <v>1827</v>
      </c>
      <c r="E1223" s="10" t="s">
        <v>1828</v>
      </c>
      <c r="F1223" s="3">
        <f>SUM(2,3,7)</f>
        <v>12</v>
      </c>
      <c r="L1223" s="3" t="s">
        <v>1813</v>
      </c>
      <c r="N1223" s="48"/>
    </row>
    <row r="1224" spans="1:14" x14ac:dyDescent="0.45">
      <c r="A1224" s="3" t="s">
        <v>1603</v>
      </c>
      <c r="B1224" s="39">
        <v>45539</v>
      </c>
      <c r="C1224" s="7" t="s">
        <v>587</v>
      </c>
      <c r="D1224" s="3" t="s">
        <v>1829</v>
      </c>
      <c r="E1224" s="10" t="s">
        <v>1830</v>
      </c>
      <c r="F1224" s="3">
        <v>3</v>
      </c>
      <c r="N1224" s="48"/>
    </row>
    <row r="1225" spans="1:14" x14ac:dyDescent="0.45">
      <c r="A1225" s="3" t="s">
        <v>1603</v>
      </c>
      <c r="B1225" s="39">
        <v>45558</v>
      </c>
      <c r="C1225" s="7" t="s">
        <v>587</v>
      </c>
      <c r="D1225" s="3" t="s">
        <v>1831</v>
      </c>
      <c r="E1225" s="10" t="s">
        <v>1832</v>
      </c>
      <c r="F1225" s="3">
        <f>SUM(3,3,5)</f>
        <v>11</v>
      </c>
      <c r="L1225" s="3" t="s">
        <v>1813</v>
      </c>
      <c r="N1225" s="48"/>
    </row>
    <row r="1226" spans="1:14" x14ac:dyDescent="0.45">
      <c r="A1226" s="3" t="s">
        <v>1603</v>
      </c>
      <c r="B1226" s="39">
        <v>44867</v>
      </c>
      <c r="C1226" s="7" t="s">
        <v>587</v>
      </c>
      <c r="D1226" s="3" t="s">
        <v>1833</v>
      </c>
      <c r="E1226" s="10" t="s">
        <v>1834</v>
      </c>
      <c r="F1226" s="3">
        <f>SUM(2,2,5)</f>
        <v>9</v>
      </c>
      <c r="L1226" s="3" t="s">
        <v>1813</v>
      </c>
      <c r="N1226" s="48"/>
    </row>
    <row r="1227" spans="1:14" x14ac:dyDescent="0.45">
      <c r="A1227" s="3" t="s">
        <v>1603</v>
      </c>
      <c r="B1227" s="39">
        <v>44880</v>
      </c>
      <c r="C1227" s="7" t="s">
        <v>587</v>
      </c>
      <c r="E1227" s="10" t="s">
        <v>1835</v>
      </c>
      <c r="F1227" s="3" t="s">
        <v>1041</v>
      </c>
      <c r="L1227" s="3" t="s">
        <v>1821</v>
      </c>
      <c r="N1227" s="48"/>
    </row>
    <row r="1228" spans="1:14" x14ac:dyDescent="0.45">
      <c r="A1228" s="3" t="s">
        <v>1603</v>
      </c>
      <c r="B1228" s="39">
        <v>44979</v>
      </c>
      <c r="C1228" s="7" t="s">
        <v>587</v>
      </c>
      <c r="D1228" s="3" t="s">
        <v>1836</v>
      </c>
      <c r="E1228" s="10" t="s">
        <v>1837</v>
      </c>
      <c r="F1228" s="3">
        <f>SUM(4,2,5)</f>
        <v>11</v>
      </c>
      <c r="L1228" s="3" t="s">
        <v>1813</v>
      </c>
      <c r="N1228" s="48"/>
    </row>
    <row r="1229" spans="1:14" x14ac:dyDescent="0.45">
      <c r="A1229" s="3" t="s">
        <v>1603</v>
      </c>
      <c r="B1229" s="39">
        <v>44984</v>
      </c>
      <c r="C1229" s="7" t="s">
        <v>587</v>
      </c>
      <c r="D1229" s="3" t="s">
        <v>1838</v>
      </c>
      <c r="E1229" s="10" t="s">
        <v>1839</v>
      </c>
      <c r="F1229" s="3">
        <v>3</v>
      </c>
      <c r="N1229" s="48"/>
    </row>
    <row r="1230" spans="1:14" x14ac:dyDescent="0.45">
      <c r="A1230" s="3" t="s">
        <v>1603</v>
      </c>
      <c r="B1230" s="39">
        <v>45001</v>
      </c>
      <c r="C1230" s="7" t="s">
        <v>587</v>
      </c>
      <c r="D1230" s="3" t="s">
        <v>1840</v>
      </c>
      <c r="E1230" s="10" t="s">
        <v>1841</v>
      </c>
      <c r="F1230" s="3">
        <f>SUM(3,2,6)</f>
        <v>11</v>
      </c>
      <c r="L1230" s="3" t="s">
        <v>1813</v>
      </c>
      <c r="N1230" s="48"/>
    </row>
    <row r="1231" spans="1:14" x14ac:dyDescent="0.45">
      <c r="A1231" s="3" t="s">
        <v>1603</v>
      </c>
      <c r="B1231" s="39">
        <v>45006</v>
      </c>
      <c r="C1231" s="7" t="s">
        <v>587</v>
      </c>
      <c r="D1231" s="3" t="s">
        <v>1842</v>
      </c>
      <c r="E1231" s="10" t="s">
        <v>1843</v>
      </c>
      <c r="F1231" s="3">
        <v>2</v>
      </c>
      <c r="N1231" s="48"/>
    </row>
    <row r="1232" spans="1:14" x14ac:dyDescent="0.45">
      <c r="A1232" s="3" t="s">
        <v>1603</v>
      </c>
      <c r="B1232" s="39">
        <v>45006</v>
      </c>
      <c r="C1232" s="7" t="s">
        <v>587</v>
      </c>
      <c r="D1232" s="3" t="s">
        <v>1844</v>
      </c>
      <c r="E1232" s="10" t="s">
        <v>1845</v>
      </c>
      <c r="F1232" s="3">
        <v>2</v>
      </c>
      <c r="N1232" s="48"/>
    </row>
    <row r="1233" spans="1:14" x14ac:dyDescent="0.45">
      <c r="A1233" s="3" t="s">
        <v>1603</v>
      </c>
      <c r="B1233" s="39">
        <v>45078</v>
      </c>
      <c r="C1233" s="7" t="s">
        <v>587</v>
      </c>
      <c r="D1233" s="3" t="s">
        <v>1846</v>
      </c>
      <c r="E1233" s="10" t="s">
        <v>1847</v>
      </c>
      <c r="F1233" s="3">
        <v>6</v>
      </c>
      <c r="N1233" s="48"/>
    </row>
    <row r="1234" spans="1:14" x14ac:dyDescent="0.45">
      <c r="A1234" s="3" t="s">
        <v>1603</v>
      </c>
      <c r="B1234" s="39">
        <v>45084</v>
      </c>
      <c r="C1234" s="7" t="s">
        <v>587</v>
      </c>
      <c r="E1234" s="10" t="s">
        <v>1848</v>
      </c>
      <c r="F1234" s="3" t="s">
        <v>1041</v>
      </c>
      <c r="L1234" s="3" t="s">
        <v>1821</v>
      </c>
      <c r="N1234" s="48"/>
    </row>
    <row r="1235" spans="1:14" x14ac:dyDescent="0.45">
      <c r="A1235" s="3" t="s">
        <v>1603</v>
      </c>
      <c r="B1235" s="39">
        <v>45098</v>
      </c>
      <c r="C1235" s="7" t="s">
        <v>587</v>
      </c>
      <c r="D1235" s="3" t="s">
        <v>1849</v>
      </c>
      <c r="E1235" s="10" t="s">
        <v>1850</v>
      </c>
      <c r="F1235" s="3">
        <v>3</v>
      </c>
      <c r="N1235" s="48"/>
    </row>
    <row r="1236" spans="1:14" x14ac:dyDescent="0.45">
      <c r="A1236" s="3" t="s">
        <v>1603</v>
      </c>
      <c r="B1236" s="39">
        <v>45147</v>
      </c>
      <c r="C1236" s="7" t="s">
        <v>587</v>
      </c>
      <c r="D1236" s="3" t="s">
        <v>1851</v>
      </c>
      <c r="E1236" s="10" t="s">
        <v>1852</v>
      </c>
      <c r="F1236" s="3">
        <f>SUM(2,2,5)</f>
        <v>9</v>
      </c>
      <c r="L1236" s="3" t="s">
        <v>1813</v>
      </c>
      <c r="N1236" s="48"/>
    </row>
    <row r="1237" spans="1:14" x14ac:dyDescent="0.45">
      <c r="A1237" s="3" t="s">
        <v>1603</v>
      </c>
      <c r="B1237" s="39">
        <v>45168</v>
      </c>
      <c r="C1237" s="7" t="s">
        <v>587</v>
      </c>
      <c r="D1237" s="3" t="s">
        <v>1853</v>
      </c>
      <c r="E1237" s="10" t="s">
        <v>1854</v>
      </c>
      <c r="F1237" s="3">
        <v>1</v>
      </c>
      <c r="N1237" s="48"/>
    </row>
    <row r="1238" spans="1:14" x14ac:dyDescent="0.45">
      <c r="A1238" s="3" t="s">
        <v>1603</v>
      </c>
      <c r="B1238" s="39">
        <v>45197</v>
      </c>
      <c r="C1238" s="7" t="s">
        <v>587</v>
      </c>
      <c r="D1238" s="3" t="s">
        <v>1855</v>
      </c>
      <c r="E1238" s="10" t="s">
        <v>1856</v>
      </c>
      <c r="F1238" s="3">
        <v>2</v>
      </c>
      <c r="L1238" s="3" t="s">
        <v>1857</v>
      </c>
      <c r="N1238" s="48"/>
    </row>
    <row r="1239" spans="1:14" x14ac:dyDescent="0.45">
      <c r="A1239" s="3" t="s">
        <v>1603</v>
      </c>
      <c r="B1239" s="39">
        <v>45198</v>
      </c>
      <c r="C1239" s="7" t="s">
        <v>587</v>
      </c>
      <c r="E1239" s="10" t="s">
        <v>1858</v>
      </c>
      <c r="F1239" s="3" t="s">
        <v>1041</v>
      </c>
      <c r="L1239" s="3" t="s">
        <v>1821</v>
      </c>
      <c r="N1239" s="48"/>
    </row>
    <row r="1240" spans="1:14" x14ac:dyDescent="0.45">
      <c r="A1240" s="3" t="s">
        <v>1603</v>
      </c>
      <c r="B1240" s="39">
        <v>45198</v>
      </c>
      <c r="C1240" s="7" t="s">
        <v>587</v>
      </c>
      <c r="D1240" s="3" t="s">
        <v>1859</v>
      </c>
      <c r="E1240" s="10" t="s">
        <v>1860</v>
      </c>
      <c r="F1240" s="3">
        <f>SUM(3,2,5)</f>
        <v>10</v>
      </c>
      <c r="L1240" s="3" t="s">
        <v>1813</v>
      </c>
      <c r="N1240" s="48"/>
    </row>
    <row r="1241" spans="1:14" x14ac:dyDescent="0.45">
      <c r="A1241" s="3" t="s">
        <v>1603</v>
      </c>
      <c r="B1241" s="39">
        <v>44501</v>
      </c>
      <c r="C1241" s="7" t="s">
        <v>587</v>
      </c>
      <c r="D1241" s="3" t="s">
        <v>1861</v>
      </c>
      <c r="E1241" s="10" t="s">
        <v>1862</v>
      </c>
      <c r="F1241" s="3">
        <f>SUM(2,2,5)</f>
        <v>9</v>
      </c>
      <c r="L1241" s="3" t="s">
        <v>1813</v>
      </c>
      <c r="N1241" s="48"/>
    </row>
    <row r="1242" spans="1:14" x14ac:dyDescent="0.45">
      <c r="A1242" s="3" t="s">
        <v>1603</v>
      </c>
      <c r="B1242" s="39">
        <v>44532</v>
      </c>
      <c r="C1242" s="7" t="s">
        <v>587</v>
      </c>
      <c r="E1242" s="10" t="s">
        <v>1863</v>
      </c>
      <c r="F1242" s="3" t="s">
        <v>1041</v>
      </c>
      <c r="L1242" s="3" t="s">
        <v>1821</v>
      </c>
      <c r="N1242" s="48"/>
    </row>
    <row r="1243" spans="1:14" x14ac:dyDescent="0.45">
      <c r="A1243" s="3" t="s">
        <v>1603</v>
      </c>
      <c r="B1243" s="39">
        <v>44572</v>
      </c>
      <c r="C1243" s="7" t="s">
        <v>587</v>
      </c>
      <c r="D1243" s="3" t="s">
        <v>1864</v>
      </c>
      <c r="E1243" s="10" t="s">
        <v>1865</v>
      </c>
      <c r="F1243" s="3">
        <v>5</v>
      </c>
      <c r="N1243" s="48"/>
    </row>
    <row r="1244" spans="1:14" x14ac:dyDescent="0.45">
      <c r="A1244" s="3" t="s">
        <v>1603</v>
      </c>
      <c r="B1244" s="42">
        <v>44573</v>
      </c>
      <c r="C1244" s="7" t="s">
        <v>587</v>
      </c>
      <c r="D1244" s="3" t="s">
        <v>1866</v>
      </c>
      <c r="E1244" s="10" t="s">
        <v>1867</v>
      </c>
      <c r="F1244" s="3">
        <v>2</v>
      </c>
      <c r="N1244" s="48"/>
    </row>
    <row r="1245" spans="1:14" x14ac:dyDescent="0.45">
      <c r="A1245" s="3" t="s">
        <v>1603</v>
      </c>
      <c r="B1245" s="39">
        <v>44586</v>
      </c>
      <c r="C1245" s="7" t="s">
        <v>587</v>
      </c>
      <c r="D1245" s="3" t="s">
        <v>1868</v>
      </c>
      <c r="E1245" s="10" t="s">
        <v>1869</v>
      </c>
      <c r="F1245" s="3">
        <f>SUM(2,2,5)</f>
        <v>9</v>
      </c>
      <c r="L1245" s="3" t="s">
        <v>1813</v>
      </c>
      <c r="N1245" s="48"/>
    </row>
    <row r="1246" spans="1:14" x14ac:dyDescent="0.45">
      <c r="A1246" s="3" t="s">
        <v>1603</v>
      </c>
      <c r="B1246" s="39">
        <v>44592</v>
      </c>
      <c r="C1246" s="7" t="s">
        <v>587</v>
      </c>
      <c r="D1246" s="3" t="s">
        <v>1870</v>
      </c>
      <c r="E1246" s="10" t="s">
        <v>1871</v>
      </c>
      <c r="F1246" s="3">
        <v>2</v>
      </c>
      <c r="N1246" s="48"/>
    </row>
    <row r="1247" spans="1:14" x14ac:dyDescent="0.45">
      <c r="A1247" s="3" t="s">
        <v>1603</v>
      </c>
      <c r="B1247" s="39">
        <v>44600</v>
      </c>
      <c r="C1247" s="7" t="s">
        <v>587</v>
      </c>
      <c r="D1247" s="3" t="s">
        <v>1872</v>
      </c>
      <c r="E1247" s="10" t="s">
        <v>1873</v>
      </c>
      <c r="F1247" s="3">
        <v>2</v>
      </c>
      <c r="L1247" s="3" t="s">
        <v>1857</v>
      </c>
      <c r="N1247" s="48"/>
    </row>
    <row r="1248" spans="1:14" x14ac:dyDescent="0.45">
      <c r="A1248" s="3" t="s">
        <v>1603</v>
      </c>
      <c r="B1248" s="39">
        <v>44608</v>
      </c>
      <c r="C1248" s="7" t="s">
        <v>587</v>
      </c>
      <c r="D1248" s="3" t="s">
        <v>1874</v>
      </c>
      <c r="E1248" s="10" t="s">
        <v>1875</v>
      </c>
      <c r="F1248" s="3">
        <f>SUM(3,7)</f>
        <v>10</v>
      </c>
      <c r="L1248" s="3" t="s">
        <v>1876</v>
      </c>
      <c r="N1248" s="48"/>
    </row>
    <row r="1249" spans="1:14" x14ac:dyDescent="0.45">
      <c r="A1249" s="3" t="s">
        <v>1603</v>
      </c>
      <c r="B1249" s="39">
        <v>44638</v>
      </c>
      <c r="C1249" s="7" t="s">
        <v>587</v>
      </c>
      <c r="D1249" s="3" t="s">
        <v>1877</v>
      </c>
      <c r="E1249" s="10" t="s">
        <v>1878</v>
      </c>
      <c r="F1249" s="3">
        <v>2</v>
      </c>
      <c r="N1249" s="48"/>
    </row>
    <row r="1250" spans="1:14" x14ac:dyDescent="0.45">
      <c r="A1250" s="3" t="s">
        <v>1603</v>
      </c>
      <c r="B1250" s="39">
        <v>44672</v>
      </c>
      <c r="C1250" s="7" t="s">
        <v>587</v>
      </c>
      <c r="D1250" s="3" t="s">
        <v>1879</v>
      </c>
      <c r="E1250" s="10" t="s">
        <v>1880</v>
      </c>
      <c r="F1250" s="3">
        <f>SUM(2,3,4)</f>
        <v>9</v>
      </c>
      <c r="L1250" s="3" t="s">
        <v>1813</v>
      </c>
      <c r="N1250" s="48"/>
    </row>
    <row r="1251" spans="1:14" x14ac:dyDescent="0.45">
      <c r="A1251" s="3" t="s">
        <v>1603</v>
      </c>
      <c r="B1251" s="39">
        <v>44673</v>
      </c>
      <c r="C1251" s="7" t="s">
        <v>587</v>
      </c>
      <c r="E1251" s="10" t="s">
        <v>1881</v>
      </c>
      <c r="F1251" s="3" t="s">
        <v>1041</v>
      </c>
      <c r="L1251" s="3" t="s">
        <v>1821</v>
      </c>
      <c r="N1251" s="48"/>
    </row>
    <row r="1252" spans="1:14" x14ac:dyDescent="0.45">
      <c r="A1252" s="3" t="s">
        <v>1603</v>
      </c>
      <c r="B1252" s="39">
        <v>44678</v>
      </c>
      <c r="C1252" s="7" t="s">
        <v>587</v>
      </c>
      <c r="E1252" s="10" t="s">
        <v>1882</v>
      </c>
      <c r="F1252" s="3" t="s">
        <v>1041</v>
      </c>
      <c r="L1252" s="3" t="s">
        <v>1821</v>
      </c>
      <c r="N1252" s="48"/>
    </row>
    <row r="1253" spans="1:14" x14ac:dyDescent="0.45">
      <c r="A1253" s="3" t="s">
        <v>1603</v>
      </c>
      <c r="B1253" s="39">
        <v>44788</v>
      </c>
      <c r="C1253" s="7" t="s">
        <v>587</v>
      </c>
      <c r="D1253" s="3" t="s">
        <v>1883</v>
      </c>
      <c r="E1253" s="10" t="s">
        <v>1884</v>
      </c>
      <c r="F1253" s="3">
        <f>SUM(2,2,5)</f>
        <v>9</v>
      </c>
      <c r="L1253" s="3" t="s">
        <v>1813</v>
      </c>
      <c r="N1253" s="48"/>
    </row>
    <row r="1254" spans="1:14" x14ac:dyDescent="0.45">
      <c r="A1254" s="3" t="s">
        <v>1603</v>
      </c>
      <c r="B1254" s="39">
        <v>44832</v>
      </c>
      <c r="C1254" s="7" t="s">
        <v>587</v>
      </c>
      <c r="D1254" s="3" t="s">
        <v>1885</v>
      </c>
      <c r="E1254" s="10" t="s">
        <v>1886</v>
      </c>
      <c r="F1254" s="3">
        <f>SUM(2,2,5)</f>
        <v>9</v>
      </c>
      <c r="L1254" s="3" t="s">
        <v>1813</v>
      </c>
      <c r="N1254" s="48"/>
    </row>
    <row r="1255" spans="1:14" x14ac:dyDescent="0.45">
      <c r="A1255" s="3" t="s">
        <v>1603</v>
      </c>
      <c r="B1255" s="39">
        <v>44945</v>
      </c>
      <c r="C1255" s="7" t="s">
        <v>587</v>
      </c>
      <c r="D1255" s="3" t="s">
        <v>1887</v>
      </c>
      <c r="E1255" s="10" t="s">
        <v>1888</v>
      </c>
      <c r="F1255" s="3">
        <v>2</v>
      </c>
      <c r="N1255" s="48"/>
    </row>
    <row r="1256" spans="1:14" x14ac:dyDescent="0.45">
      <c r="A1256" s="3" t="s">
        <v>1603</v>
      </c>
      <c r="B1256" s="39">
        <v>44770</v>
      </c>
      <c r="C1256" s="7" t="s">
        <v>587</v>
      </c>
      <c r="D1256" s="3" t="s">
        <v>1889</v>
      </c>
      <c r="E1256" s="10" t="s">
        <v>1890</v>
      </c>
      <c r="F1256" s="3">
        <v>2</v>
      </c>
      <c r="N1256" s="48"/>
    </row>
    <row r="1257" spans="1:14" x14ac:dyDescent="0.45">
      <c r="A1257" s="3" t="s">
        <v>1603</v>
      </c>
      <c r="B1257" s="39">
        <v>44140</v>
      </c>
      <c r="C1257" s="7" t="s">
        <v>587</v>
      </c>
      <c r="D1257" s="3" t="s">
        <v>1891</v>
      </c>
      <c r="E1257" s="10" t="s">
        <v>1892</v>
      </c>
      <c r="F1257" s="3">
        <f>SUM(2,3,4)</f>
        <v>9</v>
      </c>
      <c r="L1257" s="3" t="s">
        <v>1893</v>
      </c>
      <c r="N1257" s="48"/>
    </row>
    <row r="1258" spans="1:14" x14ac:dyDescent="0.45">
      <c r="A1258" s="3" t="s">
        <v>1603</v>
      </c>
      <c r="B1258" s="39">
        <v>44202</v>
      </c>
      <c r="C1258" s="7" t="s">
        <v>587</v>
      </c>
      <c r="D1258" s="3" t="s">
        <v>1894</v>
      </c>
      <c r="E1258" s="10" t="s">
        <v>1895</v>
      </c>
      <c r="F1258" s="3">
        <v>2</v>
      </c>
      <c r="N1258" s="48"/>
    </row>
    <row r="1259" spans="1:14" x14ac:dyDescent="0.45">
      <c r="A1259" s="3" t="s">
        <v>1603</v>
      </c>
      <c r="B1259" s="39">
        <v>44252</v>
      </c>
      <c r="C1259" s="7" t="s">
        <v>587</v>
      </c>
      <c r="D1259" s="3" t="s">
        <v>1896</v>
      </c>
      <c r="E1259" s="10" t="s">
        <v>1897</v>
      </c>
      <c r="F1259" s="3">
        <v>4</v>
      </c>
      <c r="N1259" s="48"/>
    </row>
    <row r="1260" spans="1:14" x14ac:dyDescent="0.45">
      <c r="A1260" s="3" t="s">
        <v>1603</v>
      </c>
      <c r="B1260" s="39">
        <v>44253</v>
      </c>
      <c r="C1260" s="7" t="s">
        <v>587</v>
      </c>
      <c r="D1260" s="3" t="s">
        <v>1898</v>
      </c>
      <c r="E1260" s="10" t="s">
        <v>1899</v>
      </c>
      <c r="F1260" s="3">
        <f>SUM(2,3,4)</f>
        <v>9</v>
      </c>
      <c r="L1260" s="3" t="s">
        <v>1813</v>
      </c>
      <c r="N1260" s="48"/>
    </row>
    <row r="1261" spans="1:14" x14ac:dyDescent="0.45">
      <c r="A1261" s="3" t="s">
        <v>1603</v>
      </c>
      <c r="B1261" s="39">
        <v>44320</v>
      </c>
      <c r="C1261" s="7" t="s">
        <v>587</v>
      </c>
      <c r="D1261" s="3" t="s">
        <v>1900</v>
      </c>
      <c r="E1261" s="10" t="s">
        <v>1901</v>
      </c>
      <c r="F1261" s="3">
        <f>SUM(4,2,5)</f>
        <v>11</v>
      </c>
      <c r="L1261" s="3" t="s">
        <v>1813</v>
      </c>
      <c r="N1261" s="48"/>
    </row>
    <row r="1262" spans="1:14" x14ac:dyDescent="0.45">
      <c r="A1262" s="3" t="s">
        <v>1603</v>
      </c>
      <c r="B1262" s="39">
        <v>44419</v>
      </c>
      <c r="C1262" s="7" t="s">
        <v>587</v>
      </c>
      <c r="D1262" s="3" t="s">
        <v>1902</v>
      </c>
      <c r="E1262" s="10" t="s">
        <v>1903</v>
      </c>
      <c r="F1262" s="3">
        <v>3</v>
      </c>
      <c r="N1262" s="48"/>
    </row>
    <row r="1263" spans="1:14" x14ac:dyDescent="0.45">
      <c r="A1263" s="3" t="s">
        <v>1603</v>
      </c>
      <c r="B1263" s="39">
        <v>44469</v>
      </c>
      <c r="C1263" s="7" t="s">
        <v>587</v>
      </c>
      <c r="D1263" s="3" t="s">
        <v>1904</v>
      </c>
      <c r="E1263" s="10" t="s">
        <v>1905</v>
      </c>
      <c r="F1263" s="3">
        <f>SUM(2,2,5)</f>
        <v>9</v>
      </c>
      <c r="L1263" s="3" t="s">
        <v>1813</v>
      </c>
      <c r="N1263" s="48"/>
    </row>
    <row r="1264" spans="1:14" x14ac:dyDescent="0.45">
      <c r="A1264" s="3" t="s">
        <v>1603</v>
      </c>
      <c r="B1264" s="39">
        <v>44454</v>
      </c>
      <c r="C1264" s="7" t="s">
        <v>587</v>
      </c>
      <c r="D1264" s="3" t="s">
        <v>1906</v>
      </c>
      <c r="E1264" s="10" t="s">
        <v>1907</v>
      </c>
      <c r="F1264" s="3">
        <v>5</v>
      </c>
      <c r="N1264" s="48"/>
    </row>
    <row r="1265" spans="1:14" x14ac:dyDescent="0.45">
      <c r="A1265" s="3" t="s">
        <v>1603</v>
      </c>
      <c r="B1265" s="39">
        <v>43767</v>
      </c>
      <c r="C1265" s="7" t="s">
        <v>587</v>
      </c>
      <c r="D1265" s="3" t="s">
        <v>1908</v>
      </c>
      <c r="E1265" s="10" t="s">
        <v>1909</v>
      </c>
      <c r="F1265" s="3">
        <v>2</v>
      </c>
      <c r="N1265" s="48"/>
    </row>
    <row r="1266" spans="1:14" x14ac:dyDescent="0.45">
      <c r="A1266" s="3" t="s">
        <v>1603</v>
      </c>
      <c r="B1266" s="39">
        <v>43770</v>
      </c>
      <c r="C1266" s="7" t="s">
        <v>587</v>
      </c>
      <c r="D1266" s="3" t="s">
        <v>1910</v>
      </c>
      <c r="E1266" s="10" t="s">
        <v>1911</v>
      </c>
      <c r="F1266" s="3">
        <f>SUM(2,3,5)</f>
        <v>10</v>
      </c>
      <c r="L1266" s="3" t="s">
        <v>1912</v>
      </c>
      <c r="N1266" s="48"/>
    </row>
    <row r="1267" spans="1:14" x14ac:dyDescent="0.45">
      <c r="A1267" s="3" t="s">
        <v>1603</v>
      </c>
      <c r="B1267" s="39">
        <v>43847</v>
      </c>
      <c r="C1267" s="7" t="s">
        <v>587</v>
      </c>
      <c r="D1267" s="3" t="s">
        <v>1913</v>
      </c>
      <c r="E1267" s="10" t="s">
        <v>1914</v>
      </c>
      <c r="F1267" s="3">
        <v>4</v>
      </c>
      <c r="N1267" s="48"/>
    </row>
    <row r="1268" spans="1:14" x14ac:dyDescent="0.45">
      <c r="A1268" s="3" t="s">
        <v>1603</v>
      </c>
      <c r="B1268" s="39">
        <v>43888</v>
      </c>
      <c r="C1268" s="7" t="s">
        <v>587</v>
      </c>
      <c r="D1268" s="3" t="s">
        <v>1915</v>
      </c>
      <c r="E1268" s="10" t="s">
        <v>1916</v>
      </c>
      <c r="F1268" s="3">
        <f>SUM(2,3,4)</f>
        <v>9</v>
      </c>
      <c r="L1268" s="3" t="s">
        <v>1813</v>
      </c>
      <c r="N1268" s="48"/>
    </row>
    <row r="1269" spans="1:14" x14ac:dyDescent="0.45">
      <c r="A1269" s="3" t="s">
        <v>1603</v>
      </c>
      <c r="B1269" s="39">
        <v>43924</v>
      </c>
      <c r="C1269" s="7" t="s">
        <v>587</v>
      </c>
      <c r="D1269" s="3" t="s">
        <v>1917</v>
      </c>
      <c r="E1269" s="10" t="s">
        <v>1918</v>
      </c>
      <c r="F1269" s="3">
        <f>SUM(2,3,4)</f>
        <v>9</v>
      </c>
      <c r="L1269" s="3" t="s">
        <v>1813</v>
      </c>
      <c r="N1269" s="48"/>
    </row>
    <row r="1270" spans="1:14" x14ac:dyDescent="0.45">
      <c r="A1270" s="3" t="s">
        <v>1603</v>
      </c>
      <c r="B1270" s="39">
        <v>43959</v>
      </c>
      <c r="C1270" s="7" t="s">
        <v>587</v>
      </c>
      <c r="D1270" s="3" t="s">
        <v>1919</v>
      </c>
      <c r="E1270" s="10" t="s">
        <v>1920</v>
      </c>
      <c r="F1270" s="3">
        <f>SUM(4,2,5)</f>
        <v>11</v>
      </c>
      <c r="L1270" s="3" t="s">
        <v>1813</v>
      </c>
      <c r="N1270" s="48"/>
    </row>
    <row r="1271" spans="1:14" x14ac:dyDescent="0.45">
      <c r="A1271" s="3" t="s">
        <v>1603</v>
      </c>
      <c r="B1271" s="39">
        <v>44104</v>
      </c>
      <c r="C1271" s="7" t="s">
        <v>587</v>
      </c>
      <c r="D1271" s="3" t="s">
        <v>1921</v>
      </c>
      <c r="E1271" s="10" t="s">
        <v>1922</v>
      </c>
      <c r="F1271" s="3">
        <f>SUM(2,2,5)</f>
        <v>9</v>
      </c>
      <c r="L1271" s="3" t="s">
        <v>1813</v>
      </c>
      <c r="N1271" s="48"/>
    </row>
    <row r="1272" spans="1:14" x14ac:dyDescent="0.45">
      <c r="A1272" s="3" t="s">
        <v>1603</v>
      </c>
      <c r="B1272" s="39">
        <v>43902</v>
      </c>
      <c r="C1272" s="7" t="s">
        <v>587</v>
      </c>
      <c r="D1272" s="3" t="s">
        <v>1923</v>
      </c>
      <c r="E1272" s="10" t="s">
        <v>1924</v>
      </c>
      <c r="F1272" s="3">
        <v>3</v>
      </c>
      <c r="N1272" s="48"/>
    </row>
    <row r="1273" spans="1:14" x14ac:dyDescent="0.45">
      <c r="A1273" s="3" t="s">
        <v>1603</v>
      </c>
      <c r="B1273" s="39">
        <v>43921</v>
      </c>
      <c r="C1273" s="7" t="s">
        <v>587</v>
      </c>
      <c r="D1273" s="3" t="s">
        <v>1925</v>
      </c>
      <c r="E1273" s="10" t="s">
        <v>1926</v>
      </c>
      <c r="F1273" s="3">
        <f>SUM(2,5)</f>
        <v>7</v>
      </c>
      <c r="L1273" s="3" t="s">
        <v>1927</v>
      </c>
      <c r="N1273" s="48"/>
    </row>
    <row r="1274" spans="1:14" x14ac:dyDescent="0.45">
      <c r="A1274" s="3" t="s">
        <v>1603</v>
      </c>
      <c r="B1274" s="39">
        <v>43922</v>
      </c>
      <c r="C1274" s="7" t="s">
        <v>587</v>
      </c>
      <c r="D1274" s="3" t="s">
        <v>1928</v>
      </c>
      <c r="E1274" s="10" t="s">
        <v>1929</v>
      </c>
      <c r="F1274" s="3">
        <v>9</v>
      </c>
      <c r="N1274" s="48"/>
    </row>
    <row r="1275" spans="1:14" x14ac:dyDescent="0.45">
      <c r="A1275" s="3" t="s">
        <v>1603</v>
      </c>
      <c r="B1275" s="39">
        <v>44053</v>
      </c>
      <c r="C1275" s="7" t="s">
        <v>587</v>
      </c>
      <c r="E1275" s="10" t="s">
        <v>1930</v>
      </c>
      <c r="F1275" s="3" t="s">
        <v>1041</v>
      </c>
      <c r="L1275" s="3" t="s">
        <v>1821</v>
      </c>
      <c r="N1275" s="48"/>
    </row>
    <row r="1276" spans="1:14" x14ac:dyDescent="0.45">
      <c r="A1276" s="3" t="s">
        <v>1603</v>
      </c>
      <c r="B1276" s="39">
        <v>43399</v>
      </c>
      <c r="C1276" s="7" t="s">
        <v>587</v>
      </c>
      <c r="E1276" s="10" t="s">
        <v>1931</v>
      </c>
      <c r="F1276" s="3">
        <f>SUM(2,2,5)</f>
        <v>9</v>
      </c>
      <c r="L1276" s="3" t="s">
        <v>1912</v>
      </c>
      <c r="N1276" s="48"/>
    </row>
    <row r="1277" spans="1:14" x14ac:dyDescent="0.45">
      <c r="A1277" s="3" t="s">
        <v>1603</v>
      </c>
      <c r="B1277" s="39">
        <v>43455</v>
      </c>
      <c r="C1277" s="7" t="s">
        <v>587</v>
      </c>
      <c r="E1277" s="10" t="s">
        <v>1932</v>
      </c>
      <c r="F1277" s="3">
        <v>3</v>
      </c>
      <c r="N1277" s="48"/>
    </row>
    <row r="1278" spans="1:14" x14ac:dyDescent="0.45">
      <c r="A1278" s="3" t="s">
        <v>1603</v>
      </c>
      <c r="B1278" s="39">
        <v>43468</v>
      </c>
      <c r="C1278" s="7" t="s">
        <v>587</v>
      </c>
      <c r="D1278" s="3" t="s">
        <v>1933</v>
      </c>
      <c r="E1278" s="10" t="s">
        <v>1934</v>
      </c>
      <c r="F1278" s="3">
        <v>2</v>
      </c>
      <c r="N1278" s="48"/>
    </row>
    <row r="1279" spans="1:14" x14ac:dyDescent="0.45">
      <c r="A1279" s="3" t="s">
        <v>1603</v>
      </c>
      <c r="B1279" s="39">
        <v>43511</v>
      </c>
      <c r="C1279" s="7" t="s">
        <v>587</v>
      </c>
      <c r="D1279" s="3" t="s">
        <v>1935</v>
      </c>
      <c r="E1279" s="10" t="s">
        <v>1936</v>
      </c>
      <c r="F1279" s="3">
        <f>SUM(2,4)</f>
        <v>6</v>
      </c>
      <c r="L1279" s="3" t="s">
        <v>1927</v>
      </c>
      <c r="N1279" s="48"/>
    </row>
    <row r="1280" spans="1:14" x14ac:dyDescent="0.45">
      <c r="A1280" s="3" t="s">
        <v>1603</v>
      </c>
      <c r="B1280" s="39">
        <v>43028</v>
      </c>
      <c r="C1280" s="7" t="s">
        <v>587</v>
      </c>
      <c r="E1280" s="10" t="s">
        <v>1937</v>
      </c>
      <c r="F1280" s="3">
        <f>SUM(2,2,5,1)</f>
        <v>10</v>
      </c>
      <c r="L1280" s="3" t="s">
        <v>1938</v>
      </c>
      <c r="N1280" s="48"/>
    </row>
    <row r="1281" spans="1:14" x14ac:dyDescent="0.45">
      <c r="A1281" s="3" t="s">
        <v>1603</v>
      </c>
      <c r="B1281" s="39">
        <v>43038</v>
      </c>
      <c r="C1281" s="7" t="s">
        <v>587</v>
      </c>
      <c r="E1281" s="10" t="s">
        <v>1939</v>
      </c>
      <c r="F1281" s="3">
        <v>2</v>
      </c>
      <c r="L1281" s="3" t="s">
        <v>1857</v>
      </c>
      <c r="N1281" s="48"/>
    </row>
    <row r="1282" spans="1:14" x14ac:dyDescent="0.45">
      <c r="A1282" s="3" t="s">
        <v>1603</v>
      </c>
      <c r="B1282" s="39">
        <v>43153</v>
      </c>
      <c r="C1282" s="7" t="s">
        <v>587</v>
      </c>
      <c r="E1282" s="10" t="s">
        <v>1940</v>
      </c>
      <c r="F1282" s="3">
        <v>2</v>
      </c>
      <c r="L1282" s="3" t="s">
        <v>1857</v>
      </c>
      <c r="N1282" s="48"/>
    </row>
    <row r="1283" spans="1:14" x14ac:dyDescent="0.45">
      <c r="A1283" s="3" t="s">
        <v>1603</v>
      </c>
      <c r="B1283" s="39">
        <v>43213</v>
      </c>
      <c r="C1283" s="7" t="s">
        <v>587</v>
      </c>
      <c r="E1283" s="10" t="s">
        <v>1941</v>
      </c>
      <c r="F1283" s="3">
        <f>SUM(2,2,4)</f>
        <v>8</v>
      </c>
      <c r="L1283" s="3" t="s">
        <v>1912</v>
      </c>
      <c r="N1283" s="48"/>
    </row>
    <row r="1284" spans="1:14" x14ac:dyDescent="0.45">
      <c r="A1284" s="3" t="s">
        <v>1603</v>
      </c>
      <c r="B1284" s="39">
        <v>43236</v>
      </c>
      <c r="C1284" s="7" t="s">
        <v>587</v>
      </c>
      <c r="E1284" s="10" t="s">
        <v>1942</v>
      </c>
      <c r="F1284" s="3">
        <v>2</v>
      </c>
      <c r="L1284" s="3" t="s">
        <v>1857</v>
      </c>
      <c r="N1284" s="48"/>
    </row>
    <row r="1285" spans="1:14" x14ac:dyDescent="0.45">
      <c r="A1285" s="3" t="s">
        <v>1603</v>
      </c>
      <c r="B1285" s="39">
        <v>43313</v>
      </c>
      <c r="C1285" s="7" t="s">
        <v>587</v>
      </c>
      <c r="E1285" s="10" t="s">
        <v>1943</v>
      </c>
      <c r="F1285" s="3">
        <f>SUM(2,2,5)</f>
        <v>9</v>
      </c>
      <c r="L1285" s="3" t="s">
        <v>1912</v>
      </c>
      <c r="N1285" s="48"/>
    </row>
    <row r="1286" spans="1:14" x14ac:dyDescent="0.45">
      <c r="A1286" s="3" t="s">
        <v>1603</v>
      </c>
      <c r="B1286" s="39">
        <v>43332</v>
      </c>
      <c r="C1286" s="7" t="s">
        <v>587</v>
      </c>
      <c r="E1286" s="10" t="s">
        <v>1944</v>
      </c>
      <c r="F1286" s="3">
        <v>5</v>
      </c>
      <c r="N1286" s="48"/>
    </row>
    <row r="1287" spans="1:14" x14ac:dyDescent="0.45">
      <c r="A1287" s="3" t="s">
        <v>1603</v>
      </c>
      <c r="B1287" s="39">
        <v>42668</v>
      </c>
      <c r="C1287" s="7" t="s">
        <v>587</v>
      </c>
      <c r="E1287" s="10" t="s">
        <v>1945</v>
      </c>
      <c r="F1287" s="3">
        <f>SUM(2,2,5)</f>
        <v>9</v>
      </c>
      <c r="L1287" s="3" t="s">
        <v>1912</v>
      </c>
      <c r="N1287" s="48"/>
    </row>
    <row r="1288" spans="1:14" x14ac:dyDescent="0.45">
      <c r="A1288" s="3" t="s">
        <v>1603</v>
      </c>
      <c r="B1288" s="39">
        <v>42676</v>
      </c>
      <c r="C1288" s="7" t="s">
        <v>587</v>
      </c>
      <c r="E1288" s="10" t="s">
        <v>1946</v>
      </c>
      <c r="F1288" s="3">
        <v>3</v>
      </c>
      <c r="L1288" s="3" t="s">
        <v>1857</v>
      </c>
      <c r="N1288" s="48"/>
    </row>
    <row r="1289" spans="1:14" x14ac:dyDescent="0.45">
      <c r="A1289" s="3" t="s">
        <v>1603</v>
      </c>
      <c r="B1289" s="39">
        <v>42745</v>
      </c>
      <c r="C1289" s="7" t="s">
        <v>587</v>
      </c>
      <c r="E1289" s="10" t="s">
        <v>1947</v>
      </c>
      <c r="F1289" s="3">
        <v>2</v>
      </c>
      <c r="L1289" s="3" t="s">
        <v>1857</v>
      </c>
      <c r="N1289" s="48"/>
    </row>
    <row r="1290" spans="1:14" x14ac:dyDescent="0.45">
      <c r="A1290" s="3" t="s">
        <v>1603</v>
      </c>
      <c r="B1290" s="39">
        <v>42747</v>
      </c>
      <c r="C1290" s="7" t="s">
        <v>587</v>
      </c>
      <c r="E1290" s="10" t="s">
        <v>1948</v>
      </c>
      <c r="F1290" s="3">
        <v>2</v>
      </c>
      <c r="L1290" s="3" t="s">
        <v>1857</v>
      </c>
      <c r="N1290" s="48"/>
    </row>
    <row r="1291" spans="1:14" x14ac:dyDescent="0.45">
      <c r="A1291" s="3" t="s">
        <v>1603</v>
      </c>
      <c r="B1291" s="39">
        <v>42900</v>
      </c>
      <c r="C1291" s="7" t="s">
        <v>587</v>
      </c>
      <c r="E1291" s="10" t="s">
        <v>1949</v>
      </c>
      <c r="F1291" s="3">
        <f>SUM(2,2,5)</f>
        <v>9</v>
      </c>
      <c r="L1291" s="3" t="s">
        <v>1912</v>
      </c>
      <c r="N1291" s="48"/>
    </row>
    <row r="1292" spans="1:14" x14ac:dyDescent="0.45">
      <c r="A1292" s="3" t="s">
        <v>1603</v>
      </c>
      <c r="B1292" s="39">
        <v>42986</v>
      </c>
      <c r="C1292" s="7" t="s">
        <v>587</v>
      </c>
      <c r="E1292" s="10" t="s">
        <v>1950</v>
      </c>
      <c r="F1292" s="3" t="s">
        <v>1041</v>
      </c>
      <c r="L1292" s="3" t="s">
        <v>1951</v>
      </c>
      <c r="N1292" s="48"/>
    </row>
    <row r="1293" spans="1:14" x14ac:dyDescent="0.45">
      <c r="A1293" s="3" t="s">
        <v>1603</v>
      </c>
      <c r="B1293" s="39">
        <v>42277</v>
      </c>
      <c r="C1293" s="7" t="s">
        <v>587</v>
      </c>
      <c r="E1293" s="10" t="s">
        <v>1952</v>
      </c>
      <c r="F1293" s="3">
        <f>SUM(2,2,4)</f>
        <v>8</v>
      </c>
      <c r="L1293" s="3" t="s">
        <v>1912</v>
      </c>
      <c r="N1293" s="48"/>
    </row>
    <row r="1294" spans="1:14" x14ac:dyDescent="0.45">
      <c r="A1294" s="3" t="s">
        <v>1603</v>
      </c>
      <c r="B1294" s="39">
        <v>42300</v>
      </c>
      <c r="C1294" s="7" t="s">
        <v>587</v>
      </c>
      <c r="E1294" s="10" t="s">
        <v>1953</v>
      </c>
      <c r="F1294" s="3">
        <f>SUM(2,2,5)</f>
        <v>9</v>
      </c>
      <c r="L1294" s="3" t="s">
        <v>1912</v>
      </c>
      <c r="N1294" s="48"/>
    </row>
    <row r="1295" spans="1:14" x14ac:dyDescent="0.45">
      <c r="A1295" s="3" t="s">
        <v>1603</v>
      </c>
      <c r="B1295" s="39">
        <v>42333</v>
      </c>
      <c r="C1295" s="7" t="s">
        <v>587</v>
      </c>
      <c r="E1295" s="10" t="s">
        <v>1954</v>
      </c>
      <c r="F1295" s="3">
        <v>2</v>
      </c>
      <c r="L1295" s="3" t="s">
        <v>1857</v>
      </c>
      <c r="N1295" s="48"/>
    </row>
    <row r="1296" spans="1:14" x14ac:dyDescent="0.45">
      <c r="A1296" s="3" t="s">
        <v>1603</v>
      </c>
      <c r="B1296" s="39">
        <v>42338</v>
      </c>
      <c r="C1296" s="7" t="s">
        <v>587</v>
      </c>
      <c r="E1296" s="6" t="s">
        <v>1955</v>
      </c>
      <c r="F1296" s="3">
        <f>SUM(2,3,6)</f>
        <v>11</v>
      </c>
      <c r="L1296" s="3" t="s">
        <v>1912</v>
      </c>
      <c r="N1296" s="48"/>
    </row>
    <row r="1297" spans="1:14" x14ac:dyDescent="0.45">
      <c r="A1297" s="3" t="s">
        <v>1603</v>
      </c>
      <c r="B1297" s="39">
        <v>42383</v>
      </c>
      <c r="C1297" s="7" t="s">
        <v>587</v>
      </c>
      <c r="E1297" s="10" t="s">
        <v>1956</v>
      </c>
      <c r="F1297" s="3">
        <v>2</v>
      </c>
      <c r="L1297" s="3" t="s">
        <v>1857</v>
      </c>
      <c r="N1297" s="48"/>
    </row>
    <row r="1298" spans="1:14" x14ac:dyDescent="0.45">
      <c r="A1298" s="3" t="s">
        <v>1603</v>
      </c>
      <c r="B1298" s="39">
        <v>42389</v>
      </c>
      <c r="C1298" s="7" t="s">
        <v>587</v>
      </c>
      <c r="E1298" s="10" t="s">
        <v>1957</v>
      </c>
      <c r="F1298" s="3" t="s">
        <v>1041</v>
      </c>
      <c r="L1298" s="3" t="s">
        <v>1821</v>
      </c>
      <c r="N1298" s="48"/>
    </row>
    <row r="1299" spans="1:14" x14ac:dyDescent="0.45">
      <c r="A1299" s="3" t="s">
        <v>1603</v>
      </c>
      <c r="B1299" s="39">
        <v>42433</v>
      </c>
      <c r="C1299" s="7" t="s">
        <v>587</v>
      </c>
      <c r="E1299" s="10" t="s">
        <v>1958</v>
      </c>
      <c r="F1299" s="3">
        <v>2</v>
      </c>
      <c r="L1299" s="3" t="s">
        <v>1857</v>
      </c>
      <c r="N1299" s="48"/>
    </row>
    <row r="1300" spans="1:14" x14ac:dyDescent="0.45">
      <c r="A1300" s="3" t="s">
        <v>1603</v>
      </c>
      <c r="B1300" s="39">
        <v>42461</v>
      </c>
      <c r="C1300" s="7" t="s">
        <v>587</v>
      </c>
      <c r="E1300" s="10" t="s">
        <v>1959</v>
      </c>
      <c r="F1300" s="3">
        <f>SUM(2,4,4)</f>
        <v>10</v>
      </c>
      <c r="L1300" s="3" t="s">
        <v>1912</v>
      </c>
      <c r="N1300" s="48"/>
    </row>
    <row r="1301" spans="1:14" x14ac:dyDescent="0.45">
      <c r="A1301" s="3" t="s">
        <v>1603</v>
      </c>
      <c r="B1301" s="39">
        <v>42514</v>
      </c>
      <c r="C1301" s="7" t="s">
        <v>587</v>
      </c>
      <c r="E1301" s="10" t="s">
        <v>1960</v>
      </c>
      <c r="F1301" s="3">
        <f>SUM(1,1)</f>
        <v>2</v>
      </c>
      <c r="L1301" s="3" t="s">
        <v>1961</v>
      </c>
      <c r="N1301" s="48"/>
    </row>
    <row r="1302" spans="1:14" x14ac:dyDescent="0.45">
      <c r="A1302" s="3" t="s">
        <v>1603</v>
      </c>
      <c r="B1302" s="39">
        <v>42559</v>
      </c>
      <c r="C1302" s="7" t="s">
        <v>587</v>
      </c>
      <c r="E1302" s="10" t="s">
        <v>1962</v>
      </c>
      <c r="F1302" s="3">
        <v>4</v>
      </c>
      <c r="L1302" s="3" t="s">
        <v>1857</v>
      </c>
      <c r="N1302" s="48"/>
    </row>
    <row r="1303" spans="1:14" x14ac:dyDescent="0.45">
      <c r="A1303" s="3" t="s">
        <v>1603</v>
      </c>
      <c r="B1303" s="39">
        <v>42566</v>
      </c>
      <c r="C1303" s="7" t="s">
        <v>587</v>
      </c>
      <c r="E1303" s="10" t="s">
        <v>1963</v>
      </c>
      <c r="F1303" s="3">
        <v>2</v>
      </c>
      <c r="L1303" s="3" t="s">
        <v>1857</v>
      </c>
      <c r="N1303" s="48"/>
    </row>
    <row r="1304" spans="1:14" x14ac:dyDescent="0.45">
      <c r="A1304" s="3" t="s">
        <v>1603</v>
      </c>
      <c r="B1304" s="39">
        <v>42572</v>
      </c>
      <c r="C1304" s="7" t="s">
        <v>587</v>
      </c>
      <c r="E1304" s="10" t="s">
        <v>1964</v>
      </c>
      <c r="F1304" s="3">
        <v>2</v>
      </c>
      <c r="L1304" s="3" t="s">
        <v>1857</v>
      </c>
      <c r="N1304" s="48"/>
    </row>
    <row r="1305" spans="1:14" x14ac:dyDescent="0.45">
      <c r="A1305" s="3" t="s">
        <v>1603</v>
      </c>
      <c r="B1305" s="39">
        <v>42607</v>
      </c>
      <c r="C1305" s="7" t="s">
        <v>587</v>
      </c>
      <c r="E1305" s="10" t="s">
        <v>1965</v>
      </c>
      <c r="F1305" s="3">
        <v>2</v>
      </c>
      <c r="L1305" s="3" t="s">
        <v>1857</v>
      </c>
      <c r="N1305" s="48"/>
    </row>
    <row r="1306" spans="1:14" x14ac:dyDescent="0.45">
      <c r="A1306" s="3" t="s">
        <v>1603</v>
      </c>
      <c r="B1306" s="39">
        <v>42629</v>
      </c>
      <c r="C1306" s="7" t="s">
        <v>587</v>
      </c>
      <c r="E1306" s="10" t="s">
        <v>1966</v>
      </c>
      <c r="F1306" s="3">
        <f>SUM(2,2,4,1,3)</f>
        <v>12</v>
      </c>
      <c r="L1306" s="3" t="s">
        <v>1967</v>
      </c>
      <c r="N1306" s="48"/>
    </row>
    <row r="1307" spans="1:14" x14ac:dyDescent="0.45">
      <c r="A1307" s="3" t="s">
        <v>1603</v>
      </c>
      <c r="B1307" s="39">
        <v>42640</v>
      </c>
      <c r="C1307" s="7" t="s">
        <v>587</v>
      </c>
      <c r="E1307" s="10" t="s">
        <v>1968</v>
      </c>
      <c r="F1307" s="3">
        <v>1</v>
      </c>
      <c r="L1307" s="3" t="s">
        <v>1857</v>
      </c>
      <c r="N1307" s="48"/>
    </row>
    <row r="1308" spans="1:14" x14ac:dyDescent="0.45">
      <c r="A1308" s="3" t="s">
        <v>1603</v>
      </c>
      <c r="B1308" s="39">
        <v>42646</v>
      </c>
      <c r="C1308" s="7" t="s">
        <v>587</v>
      </c>
      <c r="E1308" s="10" t="s">
        <v>1969</v>
      </c>
      <c r="F1308" s="3">
        <f>SUM(2,1,3)</f>
        <v>6</v>
      </c>
      <c r="L1308" s="3" t="s">
        <v>1912</v>
      </c>
      <c r="N1308" s="48"/>
    </row>
    <row r="1309" spans="1:14" x14ac:dyDescent="0.45">
      <c r="A1309" s="3" t="s">
        <v>1603</v>
      </c>
      <c r="B1309" s="39">
        <v>42662</v>
      </c>
      <c r="C1309" s="7" t="s">
        <v>587</v>
      </c>
      <c r="E1309" s="10" t="s">
        <v>1970</v>
      </c>
      <c r="F1309" s="3">
        <v>3</v>
      </c>
      <c r="L1309" s="3" t="s">
        <v>1857</v>
      </c>
      <c r="N1309" s="48"/>
    </row>
    <row r="1310" spans="1:14" x14ac:dyDescent="0.45">
      <c r="A1310" s="3" t="s">
        <v>1603</v>
      </c>
      <c r="B1310" s="39">
        <v>42213</v>
      </c>
      <c r="C1310" s="7" t="s">
        <v>587</v>
      </c>
      <c r="E1310" s="10" t="s">
        <v>1971</v>
      </c>
      <c r="F1310" s="3">
        <v>2</v>
      </c>
      <c r="L1310" s="3" t="s">
        <v>1857</v>
      </c>
      <c r="N1310" s="48"/>
    </row>
    <row r="1311" spans="1:14" x14ac:dyDescent="0.45">
      <c r="A1311" s="3" t="s">
        <v>1603</v>
      </c>
      <c r="B1311" s="39">
        <v>42159</v>
      </c>
      <c r="C1311" s="7" t="s">
        <v>587</v>
      </c>
      <c r="E1311" s="10" t="s">
        <v>1972</v>
      </c>
      <c r="F1311" s="3">
        <f>SUM(2,3,7)</f>
        <v>12</v>
      </c>
      <c r="L1311" s="3" t="s">
        <v>1912</v>
      </c>
      <c r="N1311" s="48"/>
    </row>
    <row r="1312" spans="1:14" x14ac:dyDescent="0.45">
      <c r="A1312" s="3" t="s">
        <v>1603</v>
      </c>
      <c r="B1312" s="39">
        <v>42151</v>
      </c>
      <c r="C1312" s="7" t="s">
        <v>587</v>
      </c>
      <c r="E1312" s="10" t="s">
        <v>1973</v>
      </c>
      <c r="F1312" s="3">
        <v>1</v>
      </c>
      <c r="L1312" s="3" t="s">
        <v>1857</v>
      </c>
      <c r="N1312" s="48"/>
    </row>
    <row r="1313" spans="1:14" x14ac:dyDescent="0.45">
      <c r="A1313" s="3" t="s">
        <v>1603</v>
      </c>
      <c r="B1313" s="39">
        <v>42125</v>
      </c>
      <c r="C1313" s="7" t="s">
        <v>587</v>
      </c>
      <c r="E1313" s="10" t="s">
        <v>1974</v>
      </c>
      <c r="F1313" s="3">
        <v>6</v>
      </c>
      <c r="L1313" s="3" t="s">
        <v>1857</v>
      </c>
      <c r="N1313" s="48"/>
    </row>
    <row r="1314" spans="1:14" x14ac:dyDescent="0.45">
      <c r="A1314" s="3" t="s">
        <v>1603</v>
      </c>
      <c r="B1314" s="39">
        <v>42067</v>
      </c>
      <c r="C1314" s="7" t="s">
        <v>587</v>
      </c>
      <c r="E1314" s="10" t="s">
        <v>1975</v>
      </c>
      <c r="F1314" s="3">
        <v>1</v>
      </c>
      <c r="L1314" s="3" t="s">
        <v>1857</v>
      </c>
      <c r="N1314" s="48"/>
    </row>
    <row r="1315" spans="1:14" x14ac:dyDescent="0.45">
      <c r="A1315" s="3" t="s">
        <v>1603</v>
      </c>
      <c r="B1315" s="39">
        <v>42065</v>
      </c>
      <c r="C1315" s="7" t="s">
        <v>587</v>
      </c>
      <c r="E1315" s="10" t="s">
        <v>1976</v>
      </c>
      <c r="F1315" s="3">
        <f>SUM(2,1,1)</f>
        <v>4</v>
      </c>
      <c r="L1315" s="3" t="s">
        <v>1912</v>
      </c>
      <c r="N1315" s="48"/>
    </row>
    <row r="1316" spans="1:14" x14ac:dyDescent="0.45">
      <c r="A1316" s="3" t="s">
        <v>1603</v>
      </c>
      <c r="B1316" s="39">
        <v>42046</v>
      </c>
      <c r="C1316" s="7" t="s">
        <v>587</v>
      </c>
      <c r="E1316" s="10" t="s">
        <v>1977</v>
      </c>
      <c r="F1316" s="3">
        <v>2</v>
      </c>
      <c r="L1316" s="3" t="s">
        <v>1857</v>
      </c>
      <c r="N1316" s="48"/>
    </row>
    <row r="1317" spans="1:14" x14ac:dyDescent="0.45">
      <c r="A1317" s="3" t="s">
        <v>1603</v>
      </c>
      <c r="B1317" s="39">
        <v>42025</v>
      </c>
      <c r="C1317" s="7" t="s">
        <v>587</v>
      </c>
      <c r="E1317" s="10" t="s">
        <v>1978</v>
      </c>
      <c r="F1317" s="3">
        <f>SUM(2,8,3)</f>
        <v>13</v>
      </c>
      <c r="L1317" s="3" t="s">
        <v>1912</v>
      </c>
      <c r="N1317" s="48"/>
    </row>
    <row r="1318" spans="1:14" x14ac:dyDescent="0.45">
      <c r="A1318" s="3" t="s">
        <v>1603</v>
      </c>
      <c r="B1318" s="39">
        <v>41985</v>
      </c>
      <c r="C1318" s="7" t="s">
        <v>587</v>
      </c>
      <c r="E1318" s="10" t="s">
        <v>1979</v>
      </c>
      <c r="F1318" s="3">
        <v>2</v>
      </c>
      <c r="L1318" s="3" t="s">
        <v>1857</v>
      </c>
      <c r="N1318" s="48"/>
    </row>
    <row r="1319" spans="1:14" x14ac:dyDescent="0.45">
      <c r="A1319" s="3" t="s">
        <v>1603</v>
      </c>
      <c r="B1319" s="39">
        <v>41969</v>
      </c>
      <c r="C1319" s="7" t="s">
        <v>587</v>
      </c>
      <c r="E1319" s="10" t="s">
        <v>1980</v>
      </c>
      <c r="F1319" s="3">
        <v>2</v>
      </c>
      <c r="L1319" s="3" t="s">
        <v>1857</v>
      </c>
      <c r="N1319" s="48"/>
    </row>
    <row r="1320" spans="1:14" x14ac:dyDescent="0.45">
      <c r="A1320" s="3" t="s">
        <v>1603</v>
      </c>
      <c r="B1320" s="39">
        <v>41961</v>
      </c>
      <c r="C1320" s="7" t="s">
        <v>587</v>
      </c>
      <c r="E1320" s="10" t="s">
        <v>1981</v>
      </c>
      <c r="F1320" s="3">
        <v>2</v>
      </c>
      <c r="L1320" s="3" t="s">
        <v>1857</v>
      </c>
      <c r="N1320" s="48"/>
    </row>
    <row r="1321" spans="1:14" x14ac:dyDescent="0.45">
      <c r="A1321" s="3" t="s">
        <v>1603</v>
      </c>
      <c r="B1321" s="39">
        <v>41953</v>
      </c>
      <c r="C1321" s="7" t="s">
        <v>587</v>
      </c>
      <c r="E1321" s="10" t="s">
        <v>1982</v>
      </c>
      <c r="F1321" s="3">
        <v>2</v>
      </c>
      <c r="L1321" s="3" t="s">
        <v>1857</v>
      </c>
      <c r="N1321" s="48"/>
    </row>
    <row r="1322" spans="1:14" x14ac:dyDescent="0.45">
      <c r="A1322" s="3" t="s">
        <v>1603</v>
      </c>
      <c r="B1322" s="39">
        <v>41934</v>
      </c>
      <c r="C1322" s="7" t="s">
        <v>587</v>
      </c>
      <c r="E1322" s="10" t="s">
        <v>1983</v>
      </c>
      <c r="F1322" s="3">
        <v>6</v>
      </c>
      <c r="L1322" s="3" t="s">
        <v>1857</v>
      </c>
      <c r="N1322" s="48"/>
    </row>
    <row r="1323" spans="1:14" x14ac:dyDescent="0.45">
      <c r="A1323" s="3" t="s">
        <v>1603</v>
      </c>
      <c r="B1323" s="39">
        <v>41927</v>
      </c>
      <c r="C1323" s="7" t="s">
        <v>587</v>
      </c>
      <c r="E1323" s="10" t="s">
        <v>1984</v>
      </c>
      <c r="F1323" s="3">
        <f>SUM(2,2,6)</f>
        <v>10</v>
      </c>
      <c r="L1323" s="3" t="s">
        <v>1912</v>
      </c>
      <c r="N1323" s="48"/>
    </row>
    <row r="1324" spans="1:14" x14ac:dyDescent="0.45">
      <c r="A1324" s="3" t="s">
        <v>1603</v>
      </c>
      <c r="B1324" s="39">
        <v>41922</v>
      </c>
      <c r="C1324" s="7" t="s">
        <v>587</v>
      </c>
      <c r="E1324" s="10" t="s">
        <v>1985</v>
      </c>
      <c r="F1324" s="3">
        <v>2</v>
      </c>
      <c r="L1324" s="3" t="s">
        <v>1857</v>
      </c>
      <c r="N1324" s="48"/>
    </row>
    <row r="1325" spans="1:14" x14ac:dyDescent="0.45">
      <c r="A1325" s="3" t="s">
        <v>1603</v>
      </c>
      <c r="B1325" s="39">
        <v>41866</v>
      </c>
      <c r="C1325" s="7" t="s">
        <v>587</v>
      </c>
      <c r="E1325" s="10" t="s">
        <v>1986</v>
      </c>
      <c r="F1325" s="3">
        <v>2</v>
      </c>
      <c r="L1325" s="3" t="s">
        <v>1857</v>
      </c>
      <c r="N1325" s="48"/>
    </row>
    <row r="1326" spans="1:14" x14ac:dyDescent="0.45">
      <c r="A1326" s="3" t="s">
        <v>1603</v>
      </c>
      <c r="B1326" s="39">
        <v>44994</v>
      </c>
      <c r="C1326" s="7" t="s">
        <v>587</v>
      </c>
      <c r="E1326" s="10" t="s">
        <v>1987</v>
      </c>
      <c r="F1326" s="3" t="s">
        <v>1041</v>
      </c>
      <c r="L1326" s="3" t="s">
        <v>1821</v>
      </c>
      <c r="N1326" s="48"/>
    </row>
    <row r="1327" spans="1:14" x14ac:dyDescent="0.45">
      <c r="A1327" s="3" t="s">
        <v>1603</v>
      </c>
      <c r="B1327" s="39">
        <v>44574</v>
      </c>
      <c r="C1327" s="7" t="s">
        <v>587</v>
      </c>
      <c r="D1327" s="3" t="s">
        <v>1988</v>
      </c>
      <c r="E1327" s="10" t="s">
        <v>1989</v>
      </c>
      <c r="F1327" s="3">
        <f>SUM(6,2,2)</f>
        <v>10</v>
      </c>
      <c r="L1327" s="3" t="s">
        <v>1813</v>
      </c>
      <c r="N1327" s="48"/>
    </row>
    <row r="1328" spans="1:14" x14ac:dyDescent="0.45">
      <c r="A1328" s="3" t="s">
        <v>1603</v>
      </c>
      <c r="B1328" s="39">
        <v>44645</v>
      </c>
      <c r="C1328" s="7" t="s">
        <v>587</v>
      </c>
      <c r="E1328" s="10" t="s">
        <v>1990</v>
      </c>
      <c r="F1328" s="3" t="s">
        <v>1041</v>
      </c>
      <c r="L1328" s="3" t="s">
        <v>1821</v>
      </c>
      <c r="N1328" s="48"/>
    </row>
    <row r="1329" spans="1:14" x14ac:dyDescent="0.45">
      <c r="A1329" s="3" t="s">
        <v>1603</v>
      </c>
      <c r="B1329" s="39">
        <v>41792</v>
      </c>
      <c r="C1329" s="7" t="s">
        <v>587</v>
      </c>
      <c r="E1329" s="10" t="s">
        <v>1991</v>
      </c>
      <c r="F1329" s="3">
        <v>16</v>
      </c>
      <c r="L1329" s="3" t="s">
        <v>1857</v>
      </c>
      <c r="N1329" s="48"/>
    </row>
    <row r="1330" spans="1:14" x14ac:dyDescent="0.45">
      <c r="A1330" s="3" t="s">
        <v>1603</v>
      </c>
      <c r="B1330" s="39">
        <v>41751</v>
      </c>
      <c r="C1330" s="7" t="s">
        <v>587</v>
      </c>
      <c r="E1330" s="10" t="s">
        <v>1992</v>
      </c>
      <c r="F1330" s="3">
        <v>2</v>
      </c>
      <c r="L1330" s="3" t="s">
        <v>1857</v>
      </c>
      <c r="N1330" s="48"/>
    </row>
    <row r="1331" spans="1:14" x14ac:dyDescent="0.45">
      <c r="A1331" s="3" t="s">
        <v>1603</v>
      </c>
      <c r="B1331" s="39">
        <v>41724</v>
      </c>
      <c r="C1331" s="7" t="s">
        <v>587</v>
      </c>
      <c r="E1331" s="10" t="s">
        <v>1993</v>
      </c>
      <c r="F1331" s="3">
        <f>SUM(1,3,7)</f>
        <v>11</v>
      </c>
      <c r="L1331" s="3" t="s">
        <v>1912</v>
      </c>
      <c r="N1331" s="48"/>
    </row>
    <row r="1332" spans="1:14" x14ac:dyDescent="0.45">
      <c r="A1332" s="3" t="s">
        <v>1603</v>
      </c>
      <c r="B1332" s="39">
        <v>41691</v>
      </c>
      <c r="C1332" s="7" t="s">
        <v>587</v>
      </c>
      <c r="E1332" s="10" t="s">
        <v>1994</v>
      </c>
      <c r="F1332" s="3">
        <v>1</v>
      </c>
      <c r="L1332" s="3" t="s">
        <v>1857</v>
      </c>
      <c r="N1332" s="48"/>
    </row>
    <row r="1333" spans="1:14" x14ac:dyDescent="0.45">
      <c r="A1333" s="3" t="s">
        <v>1603</v>
      </c>
      <c r="B1333" s="39">
        <v>41690</v>
      </c>
      <c r="C1333" s="7" t="s">
        <v>587</v>
      </c>
      <c r="E1333" s="10" t="s">
        <v>1995</v>
      </c>
      <c r="F1333" s="3">
        <v>1</v>
      </c>
      <c r="L1333" s="3" t="s">
        <v>1857</v>
      </c>
      <c r="N1333" s="48"/>
    </row>
    <row r="1334" spans="1:14" x14ac:dyDescent="0.45">
      <c r="A1334" s="3" t="s">
        <v>1603</v>
      </c>
      <c r="B1334" s="39">
        <v>41681</v>
      </c>
      <c r="C1334" s="7" t="s">
        <v>587</v>
      </c>
      <c r="E1334" s="10" t="s">
        <v>1996</v>
      </c>
      <c r="F1334" s="3">
        <v>1</v>
      </c>
      <c r="L1334" s="3" t="s">
        <v>1857</v>
      </c>
      <c r="N1334" s="48"/>
    </row>
    <row r="1335" spans="1:14" x14ac:dyDescent="0.45">
      <c r="A1335" s="3" t="s">
        <v>1603</v>
      </c>
      <c r="B1335" s="39">
        <v>41669</v>
      </c>
      <c r="C1335" s="7" t="s">
        <v>587</v>
      </c>
      <c r="E1335" s="10" t="s">
        <v>1997</v>
      </c>
      <c r="F1335" s="3">
        <f>SUM(2,3,7)</f>
        <v>12</v>
      </c>
      <c r="L1335" s="3" t="s">
        <v>1912</v>
      </c>
      <c r="N1335" s="48"/>
    </row>
    <row r="1336" spans="1:14" x14ac:dyDescent="0.45">
      <c r="A1336" s="3" t="s">
        <v>1603</v>
      </c>
      <c r="B1336" s="39">
        <v>41646</v>
      </c>
      <c r="C1336" s="7" t="s">
        <v>587</v>
      </c>
      <c r="E1336" s="10" t="s">
        <v>1998</v>
      </c>
      <c r="F1336" s="3">
        <v>2</v>
      </c>
      <c r="L1336" s="3" t="s">
        <v>1857</v>
      </c>
      <c r="N1336" s="48"/>
    </row>
    <row r="1337" spans="1:14" x14ac:dyDescent="0.45">
      <c r="A1337" s="3" t="s">
        <v>1603</v>
      </c>
      <c r="B1337" s="39">
        <v>41642</v>
      </c>
      <c r="C1337" s="7" t="s">
        <v>587</v>
      </c>
      <c r="E1337" s="10" t="s">
        <v>1999</v>
      </c>
      <c r="F1337" s="3">
        <v>2</v>
      </c>
      <c r="L1337" s="3" t="s">
        <v>1857</v>
      </c>
      <c r="N1337" s="48"/>
    </row>
    <row r="1338" spans="1:14" x14ac:dyDescent="0.45">
      <c r="A1338" s="3" t="s">
        <v>1603</v>
      </c>
      <c r="B1338" s="39">
        <v>41625</v>
      </c>
      <c r="C1338" s="7" t="s">
        <v>587</v>
      </c>
      <c r="E1338" s="10" t="s">
        <v>2000</v>
      </c>
      <c r="F1338" s="3">
        <f>SUM(5,7)</f>
        <v>12</v>
      </c>
      <c r="L1338" s="3" t="s">
        <v>2001</v>
      </c>
      <c r="N1338" s="48"/>
    </row>
    <row r="1339" spans="1:14" x14ac:dyDescent="0.45">
      <c r="A1339" s="3" t="s">
        <v>1603</v>
      </c>
      <c r="B1339" s="39">
        <v>41607</v>
      </c>
      <c r="C1339" s="7" t="s">
        <v>587</v>
      </c>
      <c r="E1339" s="10" t="s">
        <v>2002</v>
      </c>
      <c r="F1339" s="3">
        <v>2</v>
      </c>
      <c r="L1339" s="3" t="s">
        <v>1857</v>
      </c>
      <c r="N1339" s="48"/>
    </row>
    <row r="1340" spans="1:14" x14ac:dyDescent="0.45">
      <c r="A1340" s="3" t="s">
        <v>1603</v>
      </c>
      <c r="B1340" s="39">
        <v>41600</v>
      </c>
      <c r="C1340" s="7" t="s">
        <v>587</v>
      </c>
      <c r="E1340" s="10" t="s">
        <v>2003</v>
      </c>
      <c r="F1340" s="3">
        <v>3</v>
      </c>
      <c r="L1340" s="3" t="s">
        <v>1857</v>
      </c>
      <c r="N1340" s="48"/>
    </row>
    <row r="1341" spans="1:14" x14ac:dyDescent="0.45">
      <c r="A1341" s="3" t="s">
        <v>1603</v>
      </c>
      <c r="B1341" s="39">
        <v>41582</v>
      </c>
      <c r="C1341" s="7" t="s">
        <v>587</v>
      </c>
      <c r="E1341" s="10" t="s">
        <v>2004</v>
      </c>
      <c r="F1341" s="3">
        <f>SUM(2,2)</f>
        <v>4</v>
      </c>
      <c r="L1341" s="3" t="s">
        <v>1961</v>
      </c>
      <c r="N1341" s="48"/>
    </row>
    <row r="1342" spans="1:14" x14ac:dyDescent="0.45">
      <c r="A1342" s="3" t="s">
        <v>1603</v>
      </c>
      <c r="B1342" s="39">
        <v>41264</v>
      </c>
      <c r="C1342" s="7" t="s">
        <v>587</v>
      </c>
      <c r="E1342" s="10" t="s">
        <v>2005</v>
      </c>
      <c r="F1342" s="3">
        <v>1</v>
      </c>
      <c r="L1342" s="3" t="s">
        <v>1857</v>
      </c>
      <c r="N1342" s="48"/>
    </row>
    <row r="1343" spans="1:14" x14ac:dyDescent="0.45">
      <c r="A1343" s="3" t="s">
        <v>1603</v>
      </c>
      <c r="B1343" s="39">
        <v>41629</v>
      </c>
      <c r="C1343" s="7" t="s">
        <v>587</v>
      </c>
      <c r="E1343" s="10" t="s">
        <v>2006</v>
      </c>
      <c r="F1343" s="3">
        <v>1</v>
      </c>
      <c r="L1343" s="3" t="s">
        <v>2007</v>
      </c>
      <c r="N1343" s="48"/>
    </row>
    <row r="1344" spans="1:14" x14ac:dyDescent="0.45">
      <c r="A1344" s="3" t="s">
        <v>1603</v>
      </c>
      <c r="B1344" s="39">
        <v>41234</v>
      </c>
      <c r="C1344" s="7" t="s">
        <v>587</v>
      </c>
      <c r="E1344" s="10" t="s">
        <v>2008</v>
      </c>
      <c r="F1344" s="3">
        <v>2</v>
      </c>
      <c r="L1344" s="3" t="s">
        <v>1857</v>
      </c>
      <c r="N1344" s="48"/>
    </row>
    <row r="1345" spans="1:14" x14ac:dyDescent="0.45">
      <c r="A1345" s="3" t="s">
        <v>1603</v>
      </c>
      <c r="B1345" s="39">
        <v>41205</v>
      </c>
      <c r="C1345" s="7" t="s">
        <v>587</v>
      </c>
      <c r="E1345" s="10" t="s">
        <v>2009</v>
      </c>
      <c r="F1345" s="3">
        <v>3</v>
      </c>
      <c r="L1345" s="3" t="s">
        <v>1857</v>
      </c>
      <c r="N1345" s="48"/>
    </row>
    <row r="1346" spans="1:14" x14ac:dyDescent="0.45">
      <c r="A1346" s="3" t="s">
        <v>1603</v>
      </c>
      <c r="B1346" s="39">
        <v>41127</v>
      </c>
      <c r="C1346" s="7" t="s">
        <v>587</v>
      </c>
      <c r="E1346" s="6" t="s">
        <v>2010</v>
      </c>
      <c r="F1346" s="3">
        <v>1</v>
      </c>
      <c r="L1346" s="3" t="s">
        <v>1857</v>
      </c>
      <c r="N1346" s="48"/>
    </row>
    <row r="1347" spans="1:14" x14ac:dyDescent="0.45">
      <c r="A1347" s="3" t="s">
        <v>1603</v>
      </c>
      <c r="B1347" s="39">
        <v>41110</v>
      </c>
      <c r="C1347" s="7" t="s">
        <v>587</v>
      </c>
      <c r="E1347" s="6" t="s">
        <v>2011</v>
      </c>
      <c r="F1347" s="3">
        <v>2</v>
      </c>
      <c r="L1347" s="3" t="s">
        <v>1857</v>
      </c>
      <c r="N1347" s="48"/>
    </row>
    <row r="1348" spans="1:14" x14ac:dyDescent="0.45">
      <c r="A1348" s="3" t="s">
        <v>1603</v>
      </c>
      <c r="B1348" s="39">
        <v>41093</v>
      </c>
      <c r="C1348" s="7" t="s">
        <v>587</v>
      </c>
      <c r="E1348" s="10" t="s">
        <v>2012</v>
      </c>
      <c r="F1348" s="3">
        <v>5</v>
      </c>
      <c r="L1348" s="3" t="s">
        <v>1857</v>
      </c>
      <c r="N1348" s="48"/>
    </row>
    <row r="1349" spans="1:14" x14ac:dyDescent="0.45">
      <c r="A1349" s="3" t="s">
        <v>1603</v>
      </c>
      <c r="B1349" s="39">
        <v>41068</v>
      </c>
      <c r="C1349" s="7" t="s">
        <v>587</v>
      </c>
      <c r="E1349" s="6" t="s">
        <v>2013</v>
      </c>
      <c r="F1349" s="3">
        <v>1</v>
      </c>
      <c r="L1349" s="3" t="s">
        <v>1857</v>
      </c>
      <c r="N1349" s="48"/>
    </row>
    <row r="1350" spans="1:14" x14ac:dyDescent="0.45">
      <c r="A1350" s="3" t="s">
        <v>1603</v>
      </c>
      <c r="B1350" s="39">
        <v>40982</v>
      </c>
      <c r="C1350" s="7" t="s">
        <v>587</v>
      </c>
      <c r="E1350" s="10" t="s">
        <v>2014</v>
      </c>
      <c r="F1350" s="3">
        <f>SUM(2,34,9)</f>
        <v>45</v>
      </c>
      <c r="L1350" s="3" t="s">
        <v>1912</v>
      </c>
      <c r="N1350" s="48"/>
    </row>
    <row r="1351" spans="1:14" x14ac:dyDescent="0.45">
      <c r="A1351" s="3" t="s">
        <v>1603</v>
      </c>
      <c r="B1351" s="39">
        <v>40982</v>
      </c>
      <c r="C1351" s="7" t="s">
        <v>587</v>
      </c>
      <c r="E1351" s="10" t="s">
        <v>2015</v>
      </c>
      <c r="F1351" s="3">
        <f>SUM(2,33,5,11,9)</f>
        <v>60</v>
      </c>
      <c r="L1351" s="3" t="s">
        <v>2016</v>
      </c>
      <c r="N1351" s="48"/>
    </row>
    <row r="1352" spans="1:14" x14ac:dyDescent="0.45">
      <c r="A1352" s="3" t="s">
        <v>1603</v>
      </c>
      <c r="B1352" s="39">
        <v>40927</v>
      </c>
      <c r="C1352" s="7" t="s">
        <v>587</v>
      </c>
      <c r="E1352" s="10" t="s">
        <v>2017</v>
      </c>
      <c r="F1352" s="3">
        <f>SUM(2,11)</f>
        <v>13</v>
      </c>
      <c r="L1352" s="3" t="s">
        <v>2018</v>
      </c>
      <c r="N1352" s="48"/>
    </row>
    <row r="1353" spans="1:14" x14ac:dyDescent="0.45">
      <c r="A1353" s="3" t="s">
        <v>1603</v>
      </c>
      <c r="B1353" s="39">
        <v>40900</v>
      </c>
      <c r="C1353" s="7" t="s">
        <v>587</v>
      </c>
      <c r="E1353" s="10" t="s">
        <v>2019</v>
      </c>
      <c r="F1353" s="3">
        <f>SUM(1,8)</f>
        <v>9</v>
      </c>
      <c r="L1353" s="3" t="s">
        <v>2018</v>
      </c>
      <c r="N1353" s="48"/>
    </row>
    <row r="1354" spans="1:14" x14ac:dyDescent="0.45">
      <c r="A1354" s="3" t="s">
        <v>1603</v>
      </c>
      <c r="B1354" s="39">
        <v>40899</v>
      </c>
      <c r="C1354" s="7" t="s">
        <v>587</v>
      </c>
      <c r="E1354" s="10" t="s">
        <v>2020</v>
      </c>
      <c r="F1354" s="3">
        <f>SUM(2,6)</f>
        <v>8</v>
      </c>
      <c r="L1354" s="3" t="s">
        <v>2018</v>
      </c>
      <c r="N1354" s="48"/>
    </row>
    <row r="1355" spans="1:14" x14ac:dyDescent="0.45">
      <c r="A1355" s="3" t="s">
        <v>1603</v>
      </c>
      <c r="B1355" s="39">
        <v>40878</v>
      </c>
      <c r="C1355" s="7" t="s">
        <v>587</v>
      </c>
      <c r="E1355" s="6" t="s">
        <v>2021</v>
      </c>
      <c r="F1355" s="3">
        <v>3</v>
      </c>
      <c r="L1355" s="3" t="s">
        <v>1857</v>
      </c>
      <c r="N1355" s="48"/>
    </row>
    <row r="1356" spans="1:14" x14ac:dyDescent="0.45">
      <c r="A1356" s="3" t="s">
        <v>1603</v>
      </c>
      <c r="B1356" s="39">
        <v>40844</v>
      </c>
      <c r="C1356" s="7" t="s">
        <v>587</v>
      </c>
      <c r="E1356" s="10" t="s">
        <v>2022</v>
      </c>
      <c r="F1356" s="3">
        <f>SUM(2,120)</f>
        <v>122</v>
      </c>
      <c r="L1356" s="3" t="s">
        <v>1961</v>
      </c>
      <c r="N1356" s="48"/>
    </row>
    <row r="1357" spans="1:14" x14ac:dyDescent="0.45">
      <c r="A1357" s="3" t="s">
        <v>1603</v>
      </c>
      <c r="B1357" s="39">
        <v>40844</v>
      </c>
      <c r="C1357" s="7" t="s">
        <v>587</v>
      </c>
      <c r="E1357" s="10" t="s">
        <v>2023</v>
      </c>
      <c r="F1357" s="3">
        <f>SUM(2,120)</f>
        <v>122</v>
      </c>
      <c r="L1357" s="3" t="s">
        <v>1961</v>
      </c>
      <c r="N1357" s="48"/>
    </row>
    <row r="1358" spans="1:14" x14ac:dyDescent="0.45">
      <c r="A1358" s="3" t="s">
        <v>1603</v>
      </c>
      <c r="B1358" s="39">
        <v>40829</v>
      </c>
      <c r="C1358" s="7" t="s">
        <v>587</v>
      </c>
      <c r="E1358" s="10" t="s">
        <v>2024</v>
      </c>
      <c r="F1358" s="3">
        <v>1</v>
      </c>
      <c r="L1358" s="3" t="s">
        <v>1857</v>
      </c>
      <c r="N1358" s="48"/>
    </row>
    <row r="1359" spans="1:14" x14ac:dyDescent="0.45">
      <c r="A1359" s="3" t="s">
        <v>1603</v>
      </c>
      <c r="B1359" s="39">
        <v>45614</v>
      </c>
      <c r="C1359" s="7" t="s">
        <v>25</v>
      </c>
      <c r="D1359" s="3" t="s">
        <v>2025</v>
      </c>
      <c r="E1359" s="10" t="s">
        <v>2026</v>
      </c>
      <c r="F1359" s="3">
        <v>8</v>
      </c>
      <c r="N1359" s="48"/>
    </row>
    <row r="1360" spans="1:14" x14ac:dyDescent="0.45">
      <c r="A1360" s="3" t="s">
        <v>1603</v>
      </c>
      <c r="B1360" s="42">
        <v>45719</v>
      </c>
      <c r="C1360" s="7" t="s">
        <v>25</v>
      </c>
      <c r="D1360" s="3" t="s">
        <v>2027</v>
      </c>
      <c r="E1360" s="10" t="s">
        <v>2028</v>
      </c>
      <c r="F1360" s="3">
        <f>SUM(5,2,3,2,6)</f>
        <v>18</v>
      </c>
      <c r="L1360" s="3" t="s">
        <v>2029</v>
      </c>
      <c r="N1360" s="48"/>
    </row>
    <row r="1361" spans="1:14" x14ac:dyDescent="0.45">
      <c r="A1361" s="3" t="s">
        <v>1603</v>
      </c>
      <c r="B1361" s="39">
        <v>45321</v>
      </c>
      <c r="C1361" s="7" t="s">
        <v>25</v>
      </c>
      <c r="D1361" s="3" t="s">
        <v>2030</v>
      </c>
      <c r="E1361" s="10" t="s">
        <v>2031</v>
      </c>
      <c r="F1361" s="3">
        <v>8</v>
      </c>
      <c r="N1361" s="48"/>
    </row>
    <row r="1362" spans="1:14" x14ac:dyDescent="0.45">
      <c r="A1362" s="3" t="s">
        <v>1603</v>
      </c>
      <c r="B1362" s="39">
        <v>45380</v>
      </c>
      <c r="C1362" s="7" t="s">
        <v>25</v>
      </c>
      <c r="D1362" s="3" t="s">
        <v>2032</v>
      </c>
      <c r="E1362" s="10" t="s">
        <v>2033</v>
      </c>
      <c r="F1362" s="3">
        <f>SUM(5,3,3,2,6)</f>
        <v>19</v>
      </c>
      <c r="L1362" s="3" t="s">
        <v>2029</v>
      </c>
      <c r="N1362" s="48"/>
    </row>
    <row r="1363" spans="1:14" x14ac:dyDescent="0.45">
      <c r="A1363" s="3" t="s">
        <v>1603</v>
      </c>
      <c r="B1363" s="39">
        <v>45455</v>
      </c>
      <c r="C1363" s="7" t="s">
        <v>25</v>
      </c>
      <c r="D1363" s="3" t="s">
        <v>2034</v>
      </c>
      <c r="E1363" s="10" t="s">
        <v>2035</v>
      </c>
      <c r="F1363" s="3">
        <v>2</v>
      </c>
      <c r="N1363" s="48"/>
    </row>
    <row r="1364" spans="1:14" x14ac:dyDescent="0.45">
      <c r="A1364" s="3" t="s">
        <v>1603</v>
      </c>
      <c r="B1364" s="39">
        <v>45517</v>
      </c>
      <c r="C1364" s="7" t="s">
        <v>25</v>
      </c>
      <c r="D1364" s="3" t="s">
        <v>2036</v>
      </c>
      <c r="E1364" s="10" t="s">
        <v>2037</v>
      </c>
      <c r="F1364" s="3">
        <v>7</v>
      </c>
      <c r="N1364" s="48"/>
    </row>
    <row r="1365" spans="1:14" x14ac:dyDescent="0.45">
      <c r="A1365" s="3" t="s">
        <v>1603</v>
      </c>
      <c r="B1365" s="39">
        <v>45070</v>
      </c>
      <c r="C1365" s="7" t="s">
        <v>25</v>
      </c>
      <c r="D1365" s="3" t="s">
        <v>2038</v>
      </c>
      <c r="E1365" s="10" t="s">
        <v>2039</v>
      </c>
      <c r="F1365" s="3">
        <f>SUM(4,2,3,2)</f>
        <v>11</v>
      </c>
      <c r="L1365" s="3" t="s">
        <v>2040</v>
      </c>
      <c r="N1365" s="48"/>
    </row>
    <row r="1366" spans="1:14" x14ac:dyDescent="0.45">
      <c r="A1366" s="3" t="s">
        <v>1603</v>
      </c>
      <c r="B1366" s="39">
        <v>45070</v>
      </c>
      <c r="C1366" s="7" t="s">
        <v>25</v>
      </c>
      <c r="D1366" s="3" t="s">
        <v>2041</v>
      </c>
      <c r="E1366" s="10" t="s">
        <v>2042</v>
      </c>
      <c r="F1366" s="3">
        <f>SUM(4,6)</f>
        <v>10</v>
      </c>
      <c r="L1366" s="3" t="s">
        <v>428</v>
      </c>
      <c r="N1366" s="48"/>
    </row>
    <row r="1367" spans="1:14" x14ac:dyDescent="0.45">
      <c r="A1367" s="3" t="s">
        <v>1603</v>
      </c>
      <c r="B1367" s="39">
        <v>45078</v>
      </c>
      <c r="C1367" s="7" t="s">
        <v>25</v>
      </c>
      <c r="D1367" s="3" t="s">
        <v>2043</v>
      </c>
      <c r="E1367" s="10" t="s">
        <v>2044</v>
      </c>
      <c r="F1367" s="3">
        <v>3</v>
      </c>
      <c r="N1367" s="48"/>
    </row>
    <row r="1368" spans="1:14" x14ac:dyDescent="0.45">
      <c r="A1368" s="3" t="s">
        <v>1603</v>
      </c>
      <c r="B1368" s="39">
        <v>45092</v>
      </c>
      <c r="C1368" s="7" t="s">
        <v>25</v>
      </c>
      <c r="E1368" s="10" t="s">
        <v>2045</v>
      </c>
      <c r="F1368" s="3" t="s">
        <v>1041</v>
      </c>
      <c r="L1368" s="3" t="s">
        <v>1821</v>
      </c>
      <c r="N1368" s="48"/>
    </row>
    <row r="1369" spans="1:14" x14ac:dyDescent="0.45">
      <c r="A1369" s="3" t="s">
        <v>1603</v>
      </c>
      <c r="B1369" s="39">
        <v>44518</v>
      </c>
      <c r="C1369" s="7" t="s">
        <v>25</v>
      </c>
      <c r="D1369" s="3" t="s">
        <v>2046</v>
      </c>
      <c r="E1369" s="10" t="s">
        <v>2047</v>
      </c>
      <c r="F1369" s="3">
        <v>9</v>
      </c>
      <c r="N1369" s="48"/>
    </row>
    <row r="1370" spans="1:14" x14ac:dyDescent="0.45">
      <c r="A1370" s="3" t="s">
        <v>1603</v>
      </c>
      <c r="B1370" s="39">
        <v>44547</v>
      </c>
      <c r="C1370" s="7" t="s">
        <v>25</v>
      </c>
      <c r="D1370" s="3" t="s">
        <v>2048</v>
      </c>
      <c r="E1370" s="10" t="s">
        <v>2049</v>
      </c>
      <c r="F1370" s="3">
        <v>3</v>
      </c>
      <c r="N1370" s="48"/>
    </row>
    <row r="1371" spans="1:14" x14ac:dyDescent="0.45">
      <c r="A1371" s="3" t="s">
        <v>1603</v>
      </c>
      <c r="B1371" s="39">
        <v>44685</v>
      </c>
      <c r="C1371" s="7" t="s">
        <v>25</v>
      </c>
      <c r="D1371" s="3" t="s">
        <v>2050</v>
      </c>
      <c r="E1371" s="10" t="s">
        <v>2051</v>
      </c>
      <c r="F1371" s="3">
        <f>SUM(4,1,2,1)</f>
        <v>8</v>
      </c>
      <c r="L1371" s="3" t="s">
        <v>2040</v>
      </c>
      <c r="N1371" s="48"/>
    </row>
    <row r="1372" spans="1:14" x14ac:dyDescent="0.45">
      <c r="A1372" s="3" t="s">
        <v>1603</v>
      </c>
      <c r="B1372" s="39">
        <v>44685</v>
      </c>
      <c r="C1372" s="7" t="s">
        <v>25</v>
      </c>
      <c r="D1372" s="3" t="s">
        <v>2052</v>
      </c>
      <c r="E1372" s="10" t="s">
        <v>2053</v>
      </c>
      <c r="F1372" s="3">
        <f>SUM(3,4)</f>
        <v>7</v>
      </c>
      <c r="L1372" s="3" t="s">
        <v>428</v>
      </c>
      <c r="N1372" s="48"/>
    </row>
    <row r="1373" spans="1:14" x14ac:dyDescent="0.45">
      <c r="A1373" s="3" t="s">
        <v>1603</v>
      </c>
      <c r="B1373" s="42">
        <v>44715</v>
      </c>
      <c r="C1373" s="7" t="s">
        <v>25</v>
      </c>
      <c r="D1373" s="3" t="s">
        <v>2054</v>
      </c>
      <c r="E1373" s="10" t="s">
        <v>2055</v>
      </c>
      <c r="F1373" s="3">
        <v>4</v>
      </c>
      <c r="L1373" s="3" t="s">
        <v>2056</v>
      </c>
      <c r="N1373" s="48"/>
    </row>
    <row r="1374" spans="1:14" x14ac:dyDescent="0.45">
      <c r="A1374" s="3" t="s">
        <v>1603</v>
      </c>
      <c r="B1374" s="39">
        <v>44761</v>
      </c>
      <c r="C1374" s="7" t="s">
        <v>25</v>
      </c>
      <c r="E1374" s="10" t="s">
        <v>2057</v>
      </c>
      <c r="F1374" s="3" t="s">
        <v>1041</v>
      </c>
      <c r="L1374" s="3" t="s">
        <v>1821</v>
      </c>
      <c r="N1374" s="48"/>
    </row>
    <row r="1375" spans="1:14" x14ac:dyDescent="0.45">
      <c r="A1375" s="3" t="s">
        <v>1603</v>
      </c>
      <c r="B1375" s="39">
        <v>44799</v>
      </c>
      <c r="C1375" s="7" t="s">
        <v>25</v>
      </c>
      <c r="D1375" s="3" t="s">
        <v>2058</v>
      </c>
      <c r="E1375" s="10" t="s">
        <v>2059</v>
      </c>
      <c r="F1375" s="3">
        <v>5</v>
      </c>
      <c r="N1375" s="48"/>
    </row>
    <row r="1376" spans="1:14" x14ac:dyDescent="0.45">
      <c r="A1376" s="3" t="s">
        <v>1603</v>
      </c>
      <c r="B1376" s="39">
        <v>44378</v>
      </c>
      <c r="C1376" s="7" t="s">
        <v>25</v>
      </c>
      <c r="E1376" s="10" t="s">
        <v>2060</v>
      </c>
      <c r="F1376" s="3" t="s">
        <v>1041</v>
      </c>
      <c r="L1376" s="3" t="s">
        <v>1821</v>
      </c>
      <c r="N1376" s="48"/>
    </row>
    <row r="1377" spans="1:14" x14ac:dyDescent="0.45">
      <c r="A1377" s="3" t="s">
        <v>1603</v>
      </c>
      <c r="B1377" s="39">
        <v>44383</v>
      </c>
      <c r="C1377" s="7" t="s">
        <v>25</v>
      </c>
      <c r="D1377" s="3" t="s">
        <v>2061</v>
      </c>
      <c r="E1377" s="10" t="s">
        <v>2062</v>
      </c>
      <c r="F1377" s="3">
        <f>SUM(4,3,2,2)</f>
        <v>11</v>
      </c>
      <c r="L1377" s="3" t="s">
        <v>2040</v>
      </c>
      <c r="N1377" s="48"/>
    </row>
    <row r="1378" spans="1:14" x14ac:dyDescent="0.45">
      <c r="A1378" s="3" t="s">
        <v>1603</v>
      </c>
      <c r="B1378" s="39">
        <v>44383</v>
      </c>
      <c r="C1378" s="7" t="s">
        <v>25</v>
      </c>
      <c r="D1378" s="3" t="s">
        <v>2063</v>
      </c>
      <c r="E1378" s="10" t="s">
        <v>2064</v>
      </c>
      <c r="F1378" s="3">
        <f>SUM(3,3)</f>
        <v>6</v>
      </c>
      <c r="L1378" s="3" t="s">
        <v>428</v>
      </c>
      <c r="N1378" s="48"/>
    </row>
    <row r="1379" spans="1:14" x14ac:dyDescent="0.45">
      <c r="A1379" s="3" t="s">
        <v>1603</v>
      </c>
      <c r="B1379" s="39">
        <v>43980</v>
      </c>
      <c r="C1379" s="7" t="s">
        <v>25</v>
      </c>
      <c r="D1379" s="3" t="s">
        <v>2065</v>
      </c>
      <c r="E1379" s="10" t="s">
        <v>2066</v>
      </c>
      <c r="F1379" s="3">
        <f>SUM(4,6,3,2)</f>
        <v>15</v>
      </c>
      <c r="L1379" s="3" t="s">
        <v>2040</v>
      </c>
      <c r="N1379" s="48"/>
    </row>
    <row r="1380" spans="1:14" x14ac:dyDescent="0.45">
      <c r="A1380" s="3" t="s">
        <v>1603</v>
      </c>
      <c r="B1380" s="39">
        <v>43980</v>
      </c>
      <c r="C1380" s="7" t="s">
        <v>25</v>
      </c>
      <c r="D1380" s="3" t="s">
        <v>2067</v>
      </c>
      <c r="E1380" s="10" t="s">
        <v>2068</v>
      </c>
      <c r="F1380" s="3">
        <f>SUM(3,3)</f>
        <v>6</v>
      </c>
      <c r="L1380" s="3" t="s">
        <v>428</v>
      </c>
      <c r="N1380" s="48"/>
    </row>
    <row r="1381" spans="1:14" x14ac:dyDescent="0.45">
      <c r="A1381" s="3" t="s">
        <v>1603</v>
      </c>
      <c r="B1381" s="39">
        <v>43684</v>
      </c>
      <c r="C1381" s="7" t="s">
        <v>25</v>
      </c>
      <c r="D1381" s="3" t="s">
        <v>2069</v>
      </c>
      <c r="E1381" s="10" t="s">
        <v>2070</v>
      </c>
      <c r="F1381" s="3">
        <f>SUM(4,10)</f>
        <v>14</v>
      </c>
      <c r="L1381" s="3" t="s">
        <v>2071</v>
      </c>
      <c r="N1381" s="48"/>
    </row>
    <row r="1382" spans="1:14" x14ac:dyDescent="0.45">
      <c r="A1382" s="3" t="s">
        <v>1603</v>
      </c>
      <c r="B1382" s="39">
        <v>43684</v>
      </c>
      <c r="C1382" s="7" t="s">
        <v>25</v>
      </c>
      <c r="D1382" s="3" t="s">
        <v>2072</v>
      </c>
      <c r="E1382" s="10" t="s">
        <v>2073</v>
      </c>
      <c r="F1382" s="3">
        <f>SUM(3,3)</f>
        <v>6</v>
      </c>
      <c r="L1382" s="3" t="s">
        <v>2074</v>
      </c>
      <c r="N1382" s="48"/>
    </row>
    <row r="1383" spans="1:14" x14ac:dyDescent="0.45">
      <c r="A1383" s="3" t="s">
        <v>1603</v>
      </c>
      <c r="B1383" s="39">
        <v>43133</v>
      </c>
      <c r="C1383" s="7" t="s">
        <v>25</v>
      </c>
      <c r="D1383" s="3" t="s">
        <v>2075</v>
      </c>
      <c r="E1383" s="10" t="s">
        <v>2076</v>
      </c>
      <c r="F1383" s="3">
        <v>4</v>
      </c>
      <c r="L1383" s="3" t="s">
        <v>2056</v>
      </c>
      <c r="N1383" s="48"/>
    </row>
    <row r="1384" spans="1:14" x14ac:dyDescent="0.45">
      <c r="A1384" s="3" t="s">
        <v>1603</v>
      </c>
      <c r="B1384" s="39">
        <v>43265</v>
      </c>
      <c r="C1384" s="7" t="s">
        <v>25</v>
      </c>
      <c r="D1384" s="3" t="s">
        <v>2077</v>
      </c>
      <c r="E1384" s="10" t="s">
        <v>2078</v>
      </c>
      <c r="F1384" s="3">
        <v>11</v>
      </c>
      <c r="L1384" s="3" t="s">
        <v>2056</v>
      </c>
      <c r="N1384" s="48"/>
    </row>
    <row r="1385" spans="1:14" x14ac:dyDescent="0.45">
      <c r="A1385" s="3" t="s">
        <v>1603</v>
      </c>
      <c r="B1385" s="39">
        <v>43266</v>
      </c>
      <c r="C1385" s="7" t="s">
        <v>25</v>
      </c>
      <c r="D1385" s="3" t="s">
        <v>2079</v>
      </c>
      <c r="E1385" s="10" t="s">
        <v>2080</v>
      </c>
      <c r="F1385" s="3">
        <v>5</v>
      </c>
      <c r="L1385" s="3" t="s">
        <v>2056</v>
      </c>
      <c r="N1385" s="48"/>
    </row>
    <row r="1386" spans="1:14" x14ac:dyDescent="0.45">
      <c r="A1386" s="3" t="s">
        <v>1603</v>
      </c>
      <c r="B1386" s="39">
        <v>42754</v>
      </c>
      <c r="C1386" s="7" t="s">
        <v>25</v>
      </c>
      <c r="D1386" s="3" t="s">
        <v>2081</v>
      </c>
      <c r="E1386" s="10" t="s">
        <v>2082</v>
      </c>
      <c r="F1386" s="3">
        <v>4</v>
      </c>
      <c r="L1386" s="3" t="s">
        <v>2056</v>
      </c>
      <c r="N1386" s="48"/>
    </row>
    <row r="1387" spans="1:14" x14ac:dyDescent="0.45">
      <c r="A1387" s="3" t="s">
        <v>1603</v>
      </c>
      <c r="B1387" s="39">
        <v>42912</v>
      </c>
      <c r="C1387" s="7" t="s">
        <v>25</v>
      </c>
      <c r="D1387" s="3" t="s">
        <v>2083</v>
      </c>
      <c r="E1387" s="10" t="s">
        <v>2084</v>
      </c>
      <c r="F1387" s="3">
        <v>10</v>
      </c>
      <c r="N1387" s="48"/>
    </row>
    <row r="1388" spans="1:14" x14ac:dyDescent="0.45">
      <c r="A1388" s="3" t="s">
        <v>1603</v>
      </c>
      <c r="B1388" s="39">
        <v>42912</v>
      </c>
      <c r="C1388" s="7" t="s">
        <v>25</v>
      </c>
      <c r="D1388" s="3" t="s">
        <v>2085</v>
      </c>
      <c r="E1388" s="10" t="s">
        <v>2086</v>
      </c>
      <c r="F1388" s="3">
        <v>6</v>
      </c>
      <c r="N1388" s="48"/>
    </row>
    <row r="1389" spans="1:14" x14ac:dyDescent="0.45">
      <c r="A1389" s="3" t="s">
        <v>1603</v>
      </c>
      <c r="B1389" s="39">
        <v>42424</v>
      </c>
      <c r="C1389" s="7" t="s">
        <v>25</v>
      </c>
      <c r="D1389" s="3" t="s">
        <v>2087</v>
      </c>
      <c r="E1389" s="10" t="s">
        <v>2088</v>
      </c>
      <c r="F1389" s="3">
        <v>3</v>
      </c>
      <c r="N1389" s="48"/>
    </row>
    <row r="1390" spans="1:14" x14ac:dyDescent="0.45">
      <c r="A1390" s="3" t="s">
        <v>1603</v>
      </c>
      <c r="B1390" s="39">
        <v>42552</v>
      </c>
      <c r="C1390" s="7" t="s">
        <v>25</v>
      </c>
      <c r="D1390" s="3" t="s">
        <v>2089</v>
      </c>
      <c r="E1390" s="10" t="s">
        <v>2090</v>
      </c>
      <c r="F1390" s="3">
        <v>10</v>
      </c>
      <c r="L1390" s="3" t="s">
        <v>2056</v>
      </c>
      <c r="N1390" s="48"/>
    </row>
    <row r="1391" spans="1:14" x14ac:dyDescent="0.45">
      <c r="A1391" s="3" t="s">
        <v>1603</v>
      </c>
      <c r="B1391" s="39">
        <v>42556</v>
      </c>
      <c r="C1391" s="7" t="s">
        <v>25</v>
      </c>
      <c r="D1391" s="3" t="s">
        <v>2091</v>
      </c>
      <c r="E1391" s="10" t="s">
        <v>2092</v>
      </c>
      <c r="F1391" s="3">
        <v>6</v>
      </c>
      <c r="L1391" s="3" t="s">
        <v>2056</v>
      </c>
      <c r="N1391" s="48"/>
    </row>
    <row r="1392" spans="1:14" x14ac:dyDescent="0.45">
      <c r="A1392" s="3" t="s">
        <v>1603</v>
      </c>
      <c r="B1392" s="39">
        <v>41985</v>
      </c>
      <c r="C1392" s="7" t="s">
        <v>25</v>
      </c>
      <c r="D1392" s="3" t="s">
        <v>2093</v>
      </c>
      <c r="E1392" s="10" t="s">
        <v>2094</v>
      </c>
      <c r="F1392" s="3">
        <v>6</v>
      </c>
      <c r="N1392" s="48"/>
    </row>
    <row r="1393" spans="1:14" x14ac:dyDescent="0.45">
      <c r="A1393" s="3" t="s">
        <v>1603</v>
      </c>
      <c r="B1393" s="39">
        <v>42010</v>
      </c>
      <c r="C1393" s="7" t="s">
        <v>25</v>
      </c>
      <c r="D1393" s="3" t="s">
        <v>2095</v>
      </c>
      <c r="E1393" s="10" t="s">
        <v>2096</v>
      </c>
      <c r="F1393" s="3">
        <v>4</v>
      </c>
      <c r="L1393" s="3" t="s">
        <v>2056</v>
      </c>
      <c r="N1393" s="48"/>
    </row>
    <row r="1394" spans="1:14" x14ac:dyDescent="0.45">
      <c r="A1394" s="3" t="s">
        <v>1603</v>
      </c>
      <c r="B1394" s="39">
        <v>42151</v>
      </c>
      <c r="C1394" s="7" t="s">
        <v>25</v>
      </c>
      <c r="D1394" s="3" t="s">
        <v>2097</v>
      </c>
      <c r="E1394" s="10" t="s">
        <v>2098</v>
      </c>
      <c r="F1394" s="3">
        <f>SUM(3,2)</f>
        <v>5</v>
      </c>
      <c r="L1394" s="3" t="s">
        <v>2074</v>
      </c>
      <c r="N1394" s="48"/>
    </row>
    <row r="1395" spans="1:14" x14ac:dyDescent="0.45">
      <c r="A1395" s="3" t="s">
        <v>1603</v>
      </c>
      <c r="B1395" s="39">
        <v>42179</v>
      </c>
      <c r="C1395" s="7" t="s">
        <v>25</v>
      </c>
      <c r="D1395" s="3" t="s">
        <v>2099</v>
      </c>
      <c r="E1395" s="10" t="s">
        <v>2100</v>
      </c>
      <c r="F1395" s="3">
        <v>3</v>
      </c>
      <c r="L1395" s="3" t="s">
        <v>2056</v>
      </c>
      <c r="N1395" s="48"/>
    </row>
    <row r="1396" spans="1:14" x14ac:dyDescent="0.45">
      <c r="A1396" s="3" t="s">
        <v>1603</v>
      </c>
      <c r="B1396" s="39">
        <v>41603</v>
      </c>
      <c r="C1396" s="7" t="s">
        <v>25</v>
      </c>
      <c r="D1396" s="3" t="s">
        <v>2101</v>
      </c>
      <c r="E1396" s="10" t="s">
        <v>2102</v>
      </c>
      <c r="F1396" s="3">
        <v>4</v>
      </c>
      <c r="L1396" s="3" t="s">
        <v>2056</v>
      </c>
      <c r="N1396" s="48"/>
    </row>
    <row r="1397" spans="1:14" x14ac:dyDescent="0.45">
      <c r="A1397" s="3" t="s">
        <v>1603</v>
      </c>
      <c r="B1397" s="39">
        <v>41604</v>
      </c>
      <c r="C1397" s="7" t="s">
        <v>25</v>
      </c>
      <c r="D1397" s="3" t="s">
        <v>2103</v>
      </c>
      <c r="E1397" s="10" t="s">
        <v>2104</v>
      </c>
      <c r="F1397" s="3">
        <v>4</v>
      </c>
      <c r="L1397" s="3" t="s">
        <v>2056</v>
      </c>
      <c r="N1397" s="48"/>
    </row>
    <row r="1398" spans="1:14" x14ac:dyDescent="0.45">
      <c r="A1398" s="3" t="s">
        <v>1603</v>
      </c>
      <c r="B1398" s="39">
        <v>41605</v>
      </c>
      <c r="C1398" s="7" t="s">
        <v>25</v>
      </c>
      <c r="D1398" s="3" t="s">
        <v>2105</v>
      </c>
      <c r="E1398" s="10" t="s">
        <v>2106</v>
      </c>
      <c r="F1398" s="3">
        <f>SUM(4,1)</f>
        <v>5</v>
      </c>
      <c r="L1398" s="3" t="s">
        <v>2107</v>
      </c>
      <c r="N1398" s="48"/>
    </row>
    <row r="1399" spans="1:14" x14ac:dyDescent="0.45">
      <c r="A1399" s="3" t="s">
        <v>1603</v>
      </c>
      <c r="B1399" s="39">
        <v>41732</v>
      </c>
      <c r="C1399" s="7" t="s">
        <v>25</v>
      </c>
      <c r="D1399" s="3" t="s">
        <v>2108</v>
      </c>
      <c r="E1399" s="10" t="s">
        <v>2109</v>
      </c>
      <c r="F1399" s="3">
        <f>SUM(4,2,50,1)</f>
        <v>57</v>
      </c>
      <c r="L1399" s="3" t="s">
        <v>2110</v>
      </c>
      <c r="N1399" s="48"/>
    </row>
    <row r="1400" spans="1:14" x14ac:dyDescent="0.45">
      <c r="A1400" s="3" t="s">
        <v>1603</v>
      </c>
      <c r="B1400" s="39">
        <v>41843</v>
      </c>
      <c r="C1400" s="7" t="s">
        <v>25</v>
      </c>
      <c r="D1400" s="3" t="s">
        <v>2111</v>
      </c>
      <c r="E1400" s="10" t="s">
        <v>2112</v>
      </c>
      <c r="F1400" s="3">
        <v>11</v>
      </c>
      <c r="N1400" s="48"/>
    </row>
    <row r="1401" spans="1:14" x14ac:dyDescent="0.45">
      <c r="A1401" s="3" t="s">
        <v>1603</v>
      </c>
      <c r="B1401" s="39">
        <v>41878</v>
      </c>
      <c r="C1401" s="7" t="s">
        <v>25</v>
      </c>
      <c r="D1401" s="3" t="s">
        <v>2113</v>
      </c>
      <c r="E1401" s="10" t="s">
        <v>2114</v>
      </c>
      <c r="F1401" s="3">
        <v>9</v>
      </c>
      <c r="L1401" s="3" t="s">
        <v>2056</v>
      </c>
      <c r="N1401" s="48"/>
    </row>
    <row r="1402" spans="1:14" x14ac:dyDescent="0.45">
      <c r="A1402" s="3" t="s">
        <v>1603</v>
      </c>
      <c r="B1402" s="41">
        <v>41368</v>
      </c>
      <c r="C1402" s="7" t="s">
        <v>25</v>
      </c>
      <c r="D1402" s="3" t="s">
        <v>2115</v>
      </c>
      <c r="E1402" s="10" t="s">
        <v>2116</v>
      </c>
      <c r="F1402" s="3">
        <f>SUM(8,3,3,29,8,7)</f>
        <v>58</v>
      </c>
      <c r="L1402" s="3" t="s">
        <v>2117</v>
      </c>
      <c r="N1402" s="48"/>
    </row>
    <row r="1403" spans="1:14" x14ac:dyDescent="0.45">
      <c r="A1403" s="3" t="s">
        <v>1603</v>
      </c>
      <c r="B1403" s="41">
        <v>41396</v>
      </c>
      <c r="C1403" s="7" t="s">
        <v>25</v>
      </c>
      <c r="D1403" s="3" t="s">
        <v>2118</v>
      </c>
      <c r="E1403" s="10" t="s">
        <v>2119</v>
      </c>
      <c r="F1403" s="3">
        <v>7</v>
      </c>
      <c r="L1403" s="3" t="s">
        <v>2120</v>
      </c>
      <c r="N1403" s="48"/>
    </row>
    <row r="1404" spans="1:14" x14ac:dyDescent="0.45">
      <c r="A1404" s="3" t="s">
        <v>1603</v>
      </c>
      <c r="B1404" s="41">
        <v>41416</v>
      </c>
      <c r="C1404" s="7" t="s">
        <v>25</v>
      </c>
      <c r="D1404" s="3" t="s">
        <v>2121</v>
      </c>
      <c r="E1404" s="10" t="s">
        <v>2122</v>
      </c>
      <c r="F1404" s="3">
        <f>SUM(3,6,4)</f>
        <v>13</v>
      </c>
      <c r="L1404" s="3" t="s">
        <v>2123</v>
      </c>
      <c r="N1404" s="48"/>
    </row>
    <row r="1405" spans="1:14" x14ac:dyDescent="0.45">
      <c r="A1405" s="3" t="s">
        <v>1603</v>
      </c>
      <c r="B1405" s="41">
        <v>40940</v>
      </c>
      <c r="C1405" s="7" t="s">
        <v>25</v>
      </c>
      <c r="D1405" s="3" t="s">
        <v>2124</v>
      </c>
      <c r="E1405" s="10" t="s">
        <v>2125</v>
      </c>
      <c r="F1405" s="3">
        <v>2</v>
      </c>
      <c r="L1405" s="3" t="s">
        <v>2056</v>
      </c>
      <c r="N1405" s="48"/>
    </row>
    <row r="1406" spans="1:14" x14ac:dyDescent="0.45">
      <c r="A1406" s="3" t="s">
        <v>1603</v>
      </c>
      <c r="B1406" s="41">
        <v>40940</v>
      </c>
      <c r="C1406" s="7" t="s">
        <v>25</v>
      </c>
      <c r="D1406" s="3" t="s">
        <v>2126</v>
      </c>
      <c r="E1406" s="10" t="s">
        <v>2127</v>
      </c>
      <c r="F1406" s="3">
        <f>SUM(7,1,13)</f>
        <v>21</v>
      </c>
      <c r="L1406" s="3" t="s">
        <v>2128</v>
      </c>
      <c r="N1406" s="48"/>
    </row>
    <row r="1407" spans="1:14" x14ac:dyDescent="0.45">
      <c r="A1407" s="3" t="s">
        <v>1603</v>
      </c>
      <c r="B1407" s="41">
        <v>40956</v>
      </c>
      <c r="C1407" s="7" t="s">
        <v>25</v>
      </c>
      <c r="D1407" s="3" t="s">
        <v>2129</v>
      </c>
      <c r="E1407" s="10" t="s">
        <v>2130</v>
      </c>
      <c r="F1407" s="3">
        <f>SUM(4,14,8)</f>
        <v>26</v>
      </c>
      <c r="L1407" s="3" t="s">
        <v>2123</v>
      </c>
      <c r="N1407" s="48"/>
    </row>
    <row r="1408" spans="1:14" x14ac:dyDescent="0.45">
      <c r="A1408" s="3" t="s">
        <v>1603</v>
      </c>
      <c r="B1408" s="41">
        <v>40963</v>
      </c>
      <c r="C1408" s="7" t="s">
        <v>25</v>
      </c>
      <c r="D1408" s="3" t="s">
        <v>2131</v>
      </c>
      <c r="E1408" s="10" t="s">
        <v>2132</v>
      </c>
      <c r="F1408" s="3">
        <f>SUM(2,4)</f>
        <v>6</v>
      </c>
      <c r="L1408" s="3" t="s">
        <v>2120</v>
      </c>
      <c r="N1408" s="48"/>
    </row>
    <row r="1409" spans="1:14" x14ac:dyDescent="0.45">
      <c r="A1409" s="3" t="s">
        <v>1603</v>
      </c>
      <c r="B1409" s="41">
        <v>40990</v>
      </c>
      <c r="C1409" s="7" t="s">
        <v>25</v>
      </c>
      <c r="D1409" s="3" t="s">
        <v>2133</v>
      </c>
      <c r="E1409" s="10" t="s">
        <v>2134</v>
      </c>
      <c r="F1409" s="3">
        <f>SUM(7,4,1,29,8,7)</f>
        <v>56</v>
      </c>
      <c r="L1409" s="3" t="s">
        <v>2135</v>
      </c>
      <c r="N1409" s="48"/>
    </row>
    <row r="1410" spans="1:14" x14ac:dyDescent="0.45">
      <c r="A1410" s="3" t="s">
        <v>1603</v>
      </c>
      <c r="B1410" s="41">
        <v>40983</v>
      </c>
      <c r="C1410" s="7" t="s">
        <v>25</v>
      </c>
      <c r="D1410" s="3" t="s">
        <v>2136</v>
      </c>
      <c r="E1410" s="10" t="s">
        <v>2137</v>
      </c>
      <c r="F1410" s="3">
        <f>SUM(3,4,3)</f>
        <v>10</v>
      </c>
      <c r="L1410" s="3" t="s">
        <v>2138</v>
      </c>
      <c r="N1410" s="48"/>
    </row>
    <row r="1411" spans="1:14" x14ac:dyDescent="0.45">
      <c r="A1411" s="3" t="s">
        <v>1603</v>
      </c>
      <c r="B1411" s="41">
        <v>41180</v>
      </c>
      <c r="C1411" s="7" t="s">
        <v>25</v>
      </c>
      <c r="D1411" s="3" t="s">
        <v>2139</v>
      </c>
      <c r="E1411" s="10" t="s">
        <v>2140</v>
      </c>
      <c r="F1411" s="3">
        <f>SUM(2,2,4)</f>
        <v>8</v>
      </c>
      <c r="L1411" s="3" t="s">
        <v>2123</v>
      </c>
      <c r="N1411" s="48"/>
    </row>
    <row r="1412" spans="1:14" x14ac:dyDescent="0.45">
      <c r="A1412" s="3" t="s">
        <v>1603</v>
      </c>
      <c r="B1412" s="41">
        <v>41186</v>
      </c>
      <c r="C1412" s="7" t="s">
        <v>25</v>
      </c>
      <c r="D1412" s="3" t="s">
        <v>2141</v>
      </c>
      <c r="E1412" s="10" t="s">
        <v>2142</v>
      </c>
      <c r="F1412" s="3">
        <f>SUM(3,4,4)</f>
        <v>11</v>
      </c>
      <c r="L1412" s="3" t="s">
        <v>2143</v>
      </c>
      <c r="N1412" s="48"/>
    </row>
    <row r="1413" spans="1:14" x14ac:dyDescent="0.45">
      <c r="A1413" s="3" t="s">
        <v>1603</v>
      </c>
      <c r="B1413" s="41">
        <v>40480</v>
      </c>
      <c r="C1413" s="7" t="s">
        <v>25</v>
      </c>
      <c r="D1413" s="3" t="s">
        <v>2144</v>
      </c>
      <c r="E1413" s="10" t="s">
        <v>2145</v>
      </c>
      <c r="F1413" s="3">
        <f>SUM(3,6)</f>
        <v>9</v>
      </c>
      <c r="L1413" s="3" t="s">
        <v>2146</v>
      </c>
      <c r="N1413" s="48"/>
    </row>
    <row r="1414" spans="1:14" x14ac:dyDescent="0.45">
      <c r="A1414" s="3" t="s">
        <v>1603</v>
      </c>
      <c r="B1414" s="41">
        <v>40534</v>
      </c>
      <c r="C1414" s="7" t="s">
        <v>25</v>
      </c>
      <c r="D1414" s="3" t="s">
        <v>2147</v>
      </c>
      <c r="E1414" s="10" t="s">
        <v>2148</v>
      </c>
      <c r="F1414" s="3">
        <v>2</v>
      </c>
      <c r="L1414" s="3" t="s">
        <v>2056</v>
      </c>
      <c r="N1414" s="48"/>
    </row>
    <row r="1415" spans="1:14" x14ac:dyDescent="0.45">
      <c r="A1415" s="3" t="s">
        <v>1603</v>
      </c>
      <c r="B1415" s="41">
        <v>40575</v>
      </c>
      <c r="C1415" s="7" t="s">
        <v>25</v>
      </c>
      <c r="D1415" s="3" t="s">
        <v>2149</v>
      </c>
      <c r="E1415" s="10" t="s">
        <v>2150</v>
      </c>
      <c r="F1415" s="3">
        <v>4</v>
      </c>
      <c r="L1415" s="3" t="s">
        <v>2056</v>
      </c>
      <c r="N1415" s="48"/>
    </row>
    <row r="1416" spans="1:14" x14ac:dyDescent="0.45">
      <c r="A1416" s="3" t="s">
        <v>1603</v>
      </c>
      <c r="B1416" s="41">
        <v>40598</v>
      </c>
      <c r="C1416" s="7" t="s">
        <v>25</v>
      </c>
      <c r="D1416" s="3" t="s">
        <v>2151</v>
      </c>
      <c r="E1416" s="10" t="s">
        <v>2152</v>
      </c>
      <c r="F1416" s="3">
        <v>4</v>
      </c>
      <c r="L1416" s="3" t="s">
        <v>2056</v>
      </c>
      <c r="N1416" s="48"/>
    </row>
    <row r="1417" spans="1:14" x14ac:dyDescent="0.45">
      <c r="A1417" s="3" t="s">
        <v>1603</v>
      </c>
      <c r="B1417" s="41">
        <v>40626</v>
      </c>
      <c r="C1417" s="7" t="s">
        <v>25</v>
      </c>
      <c r="D1417" s="3" t="s">
        <v>2153</v>
      </c>
      <c r="E1417" s="10" t="s">
        <v>2154</v>
      </c>
      <c r="F1417" s="3">
        <f>SUM(2,1,1)</f>
        <v>4</v>
      </c>
      <c r="L1417" s="3" t="s">
        <v>2155</v>
      </c>
      <c r="N1417" s="48"/>
    </row>
    <row r="1418" spans="1:14" x14ac:dyDescent="0.45">
      <c r="A1418" s="3" t="s">
        <v>1603</v>
      </c>
      <c r="B1418" s="41">
        <v>40624</v>
      </c>
      <c r="C1418" s="7" t="s">
        <v>25</v>
      </c>
      <c r="E1418" s="10" t="s">
        <v>2156</v>
      </c>
      <c r="F1418" s="3" t="s">
        <v>1041</v>
      </c>
      <c r="L1418" s="3" t="s">
        <v>2157</v>
      </c>
      <c r="N1418" s="48"/>
    </row>
    <row r="1419" spans="1:14" x14ac:dyDescent="0.45">
      <c r="A1419" s="3" t="s">
        <v>1603</v>
      </c>
      <c r="B1419" s="41">
        <v>40639</v>
      </c>
      <c r="C1419" s="7" t="s">
        <v>25</v>
      </c>
      <c r="D1419" s="3" t="s">
        <v>2158</v>
      </c>
      <c r="E1419" s="10" t="s">
        <v>2159</v>
      </c>
      <c r="F1419" s="3">
        <v>7</v>
      </c>
      <c r="L1419" s="3" t="s">
        <v>2160</v>
      </c>
      <c r="N1419" s="48"/>
    </row>
    <row r="1420" spans="1:14" x14ac:dyDescent="0.45">
      <c r="A1420" s="3" t="s">
        <v>1603</v>
      </c>
      <c r="B1420" s="41">
        <v>40646</v>
      </c>
      <c r="C1420" s="7" t="s">
        <v>25</v>
      </c>
      <c r="D1420" s="3" t="s">
        <v>2161</v>
      </c>
      <c r="E1420" s="10" t="s">
        <v>2162</v>
      </c>
      <c r="F1420" s="3">
        <f>SUM(3,5,3)</f>
        <v>11</v>
      </c>
      <c r="L1420" s="3" t="s">
        <v>2123</v>
      </c>
      <c r="N1420" s="48"/>
    </row>
    <row r="1421" spans="1:14" x14ac:dyDescent="0.45">
      <c r="A1421" s="3" t="s">
        <v>1603</v>
      </c>
      <c r="B1421" s="41">
        <v>40696</v>
      </c>
      <c r="C1421" s="7" t="s">
        <v>25</v>
      </c>
      <c r="D1421" s="3" t="s">
        <v>2163</v>
      </c>
      <c r="E1421" s="10" t="s">
        <v>2164</v>
      </c>
      <c r="F1421" s="3">
        <f>SUM(2,6,4)</f>
        <v>12</v>
      </c>
      <c r="L1421" s="3" t="s">
        <v>2123</v>
      </c>
      <c r="N1421" s="48"/>
    </row>
    <row r="1422" spans="1:14" x14ac:dyDescent="0.45">
      <c r="A1422" s="3" t="s">
        <v>1603</v>
      </c>
      <c r="B1422" s="41">
        <v>40742</v>
      </c>
      <c r="C1422" s="7" t="s">
        <v>25</v>
      </c>
      <c r="D1422" s="3" t="s">
        <v>2165</v>
      </c>
      <c r="E1422" s="10" t="s">
        <v>2166</v>
      </c>
      <c r="F1422" s="3">
        <v>2</v>
      </c>
      <c r="L1422" s="3" t="s">
        <v>2167</v>
      </c>
      <c r="N1422" s="48"/>
    </row>
    <row r="1423" spans="1:14" x14ac:dyDescent="0.45">
      <c r="A1423" s="3" t="s">
        <v>1603</v>
      </c>
      <c r="B1423" s="41">
        <v>40808</v>
      </c>
      <c r="C1423" s="7" t="s">
        <v>25</v>
      </c>
      <c r="D1423" s="3" t="s">
        <v>2168</v>
      </c>
      <c r="E1423" s="10" t="s">
        <v>2169</v>
      </c>
      <c r="F1423" s="3">
        <v>2</v>
      </c>
      <c r="L1423" s="3" t="s">
        <v>2056</v>
      </c>
      <c r="N1423" s="48"/>
    </row>
    <row r="1424" spans="1:14" x14ac:dyDescent="0.45">
      <c r="A1424" s="3" t="s">
        <v>1603</v>
      </c>
      <c r="B1424" s="41">
        <v>40812</v>
      </c>
      <c r="C1424" s="7" t="s">
        <v>25</v>
      </c>
      <c r="D1424" s="3" t="s">
        <v>2170</v>
      </c>
      <c r="E1424" s="10" t="s">
        <v>2171</v>
      </c>
      <c r="F1424" s="3">
        <f>SUM(3,3,13)</f>
        <v>19</v>
      </c>
      <c r="L1424" s="3" t="s">
        <v>2123</v>
      </c>
      <c r="N1424" s="48"/>
    </row>
    <row r="1425" spans="1:14" x14ac:dyDescent="0.45">
      <c r="A1425" s="3" t="s">
        <v>1603</v>
      </c>
      <c r="B1425" s="41">
        <v>40812</v>
      </c>
      <c r="C1425" s="7" t="s">
        <v>25</v>
      </c>
      <c r="D1425" s="3" t="s">
        <v>2172</v>
      </c>
      <c r="E1425" s="10" t="s">
        <v>2173</v>
      </c>
      <c r="F1425" s="3">
        <f>SUM(2,14)</f>
        <v>16</v>
      </c>
      <c r="L1425" s="3" t="s">
        <v>2174</v>
      </c>
      <c r="N1425" s="48"/>
    </row>
    <row r="1426" spans="1:14" x14ac:dyDescent="0.45">
      <c r="A1426" s="3" t="s">
        <v>1603</v>
      </c>
      <c r="B1426" s="41">
        <v>40231</v>
      </c>
      <c r="C1426" s="7" t="s">
        <v>25</v>
      </c>
      <c r="D1426" s="3" t="s">
        <v>2175</v>
      </c>
      <c r="E1426" s="10" t="s">
        <v>2176</v>
      </c>
      <c r="F1426" s="3">
        <v>4</v>
      </c>
      <c r="L1426" s="3" t="s">
        <v>2056</v>
      </c>
      <c r="N1426" s="48"/>
    </row>
    <row r="1427" spans="1:14" x14ac:dyDescent="0.45">
      <c r="A1427" s="3" t="s">
        <v>1603</v>
      </c>
      <c r="B1427" s="41">
        <v>40232</v>
      </c>
      <c r="C1427" s="7" t="s">
        <v>25</v>
      </c>
      <c r="D1427" s="3" t="s">
        <v>2177</v>
      </c>
      <c r="E1427" s="10" t="s">
        <v>2178</v>
      </c>
      <c r="F1427" s="3">
        <v>3</v>
      </c>
      <c r="L1427" s="3" t="s">
        <v>2056</v>
      </c>
      <c r="N1427" s="48"/>
    </row>
    <row r="1428" spans="1:14" x14ac:dyDescent="0.45">
      <c r="A1428" s="3" t="s">
        <v>1603</v>
      </c>
      <c r="B1428" s="41">
        <v>40253</v>
      </c>
      <c r="C1428" s="7" t="s">
        <v>25</v>
      </c>
      <c r="D1428" s="3" t="s">
        <v>2179</v>
      </c>
      <c r="E1428" s="10" t="s">
        <v>2180</v>
      </c>
      <c r="F1428" s="3">
        <v>7</v>
      </c>
      <c r="L1428" s="3" t="s">
        <v>2056</v>
      </c>
      <c r="N1428" s="48"/>
    </row>
    <row r="1429" spans="1:14" x14ac:dyDescent="0.45">
      <c r="A1429" s="3" t="s">
        <v>1603</v>
      </c>
      <c r="B1429" s="41">
        <v>40254</v>
      </c>
      <c r="C1429" s="7" t="s">
        <v>25</v>
      </c>
      <c r="D1429" s="3" t="s">
        <v>2181</v>
      </c>
      <c r="E1429" s="10" t="s">
        <v>2182</v>
      </c>
      <c r="F1429" s="3">
        <v>4</v>
      </c>
      <c r="L1429" s="3" t="s">
        <v>2056</v>
      </c>
      <c r="N1429" s="48"/>
    </row>
    <row r="1430" spans="1:14" x14ac:dyDescent="0.45">
      <c r="A1430" s="3" t="s">
        <v>1603</v>
      </c>
      <c r="B1430" s="41">
        <v>40262</v>
      </c>
      <c r="C1430" s="7" t="s">
        <v>25</v>
      </c>
      <c r="D1430" s="3" t="s">
        <v>2183</v>
      </c>
      <c r="E1430" s="10" t="s">
        <v>2184</v>
      </c>
      <c r="F1430" s="3">
        <v>6</v>
      </c>
      <c r="L1430" s="3" t="s">
        <v>2185</v>
      </c>
      <c r="N1430" s="48"/>
    </row>
    <row r="1431" spans="1:14" x14ac:dyDescent="0.45">
      <c r="A1431" s="3" t="s">
        <v>1603</v>
      </c>
      <c r="B1431" s="41">
        <v>40303</v>
      </c>
      <c r="C1431" s="7" t="s">
        <v>25</v>
      </c>
      <c r="D1431" s="3" t="s">
        <v>2186</v>
      </c>
      <c r="E1431" s="10" t="s">
        <v>2187</v>
      </c>
      <c r="F1431" s="3">
        <v>3</v>
      </c>
      <c r="L1431" s="3" t="s">
        <v>2056</v>
      </c>
      <c r="N1431" s="48"/>
    </row>
    <row r="1432" spans="1:14" x14ac:dyDescent="0.45">
      <c r="A1432" s="3" t="s">
        <v>1603</v>
      </c>
      <c r="B1432" s="41">
        <v>40304</v>
      </c>
      <c r="C1432" s="7" t="s">
        <v>25</v>
      </c>
      <c r="D1432" s="3" t="s">
        <v>2188</v>
      </c>
      <c r="E1432" s="10" t="s">
        <v>2189</v>
      </c>
      <c r="F1432" s="3">
        <f>SUM(3,2)</f>
        <v>5</v>
      </c>
      <c r="L1432" s="3" t="s">
        <v>2174</v>
      </c>
      <c r="N1432" s="48"/>
    </row>
    <row r="1433" spans="1:14" x14ac:dyDescent="0.45">
      <c r="A1433" s="3" t="s">
        <v>1603</v>
      </c>
      <c r="B1433" s="41">
        <v>40309</v>
      </c>
      <c r="C1433" s="7" t="s">
        <v>25</v>
      </c>
      <c r="D1433" s="3" t="s">
        <v>2190</v>
      </c>
      <c r="E1433" s="10" t="s">
        <v>2191</v>
      </c>
      <c r="F1433" s="3">
        <v>2</v>
      </c>
      <c r="L1433" s="3" t="s">
        <v>2185</v>
      </c>
      <c r="N1433" s="48"/>
    </row>
    <row r="1434" spans="1:14" x14ac:dyDescent="0.45">
      <c r="A1434" s="3" t="s">
        <v>1603</v>
      </c>
      <c r="B1434" s="41">
        <v>40310</v>
      </c>
      <c r="C1434" s="7" t="s">
        <v>25</v>
      </c>
      <c r="D1434" s="3" t="s">
        <v>2192</v>
      </c>
      <c r="E1434" s="10" t="s">
        <v>2193</v>
      </c>
      <c r="F1434" s="3">
        <f>SUM(2,8)</f>
        <v>10</v>
      </c>
      <c r="L1434" s="3" t="s">
        <v>2194</v>
      </c>
      <c r="N1434" s="48"/>
    </row>
    <row r="1435" spans="1:14" x14ac:dyDescent="0.45">
      <c r="A1435" s="3" t="s">
        <v>1603</v>
      </c>
      <c r="B1435" s="41">
        <v>40333</v>
      </c>
      <c r="C1435" s="7" t="s">
        <v>25</v>
      </c>
      <c r="D1435" s="3" t="s">
        <v>2195</v>
      </c>
      <c r="E1435" s="10" t="s">
        <v>2196</v>
      </c>
      <c r="F1435" s="3">
        <v>4</v>
      </c>
      <c r="L1435" s="3" t="s">
        <v>2197</v>
      </c>
      <c r="N1435" s="48"/>
    </row>
    <row r="1436" spans="1:14" x14ac:dyDescent="0.45">
      <c r="A1436" s="3" t="s">
        <v>1603</v>
      </c>
      <c r="B1436" s="41">
        <v>40340</v>
      </c>
      <c r="C1436" s="7" t="s">
        <v>25</v>
      </c>
      <c r="D1436" s="3" t="s">
        <v>2198</v>
      </c>
      <c r="E1436" s="10" t="s">
        <v>2199</v>
      </c>
      <c r="F1436" s="3">
        <f>SUM(2,127)</f>
        <v>129</v>
      </c>
      <c r="L1436" s="3" t="s">
        <v>2200</v>
      </c>
      <c r="N1436" s="48"/>
    </row>
    <row r="1437" spans="1:14" x14ac:dyDescent="0.45">
      <c r="A1437" s="3" t="s">
        <v>1603</v>
      </c>
      <c r="B1437" s="41">
        <v>40354</v>
      </c>
      <c r="C1437" s="7" t="s">
        <v>25</v>
      </c>
      <c r="D1437" s="3" t="s">
        <v>2201</v>
      </c>
      <c r="E1437" s="10" t="s">
        <v>2202</v>
      </c>
      <c r="F1437" s="3">
        <f>SUM(3,3)</f>
        <v>6</v>
      </c>
      <c r="L1437" s="3" t="s">
        <v>2203</v>
      </c>
      <c r="N1437" s="48"/>
    </row>
    <row r="1438" spans="1:14" x14ac:dyDescent="0.45">
      <c r="A1438" s="3" t="s">
        <v>1603</v>
      </c>
      <c r="B1438" s="41">
        <v>40380</v>
      </c>
      <c r="C1438" s="7" t="s">
        <v>25</v>
      </c>
      <c r="D1438" s="3" t="s">
        <v>2204</v>
      </c>
      <c r="E1438" s="10" t="s">
        <v>2205</v>
      </c>
      <c r="F1438" s="3">
        <v>4</v>
      </c>
      <c r="L1438" s="3" t="s">
        <v>2056</v>
      </c>
      <c r="N1438" s="48"/>
    </row>
    <row r="1439" spans="1:14" x14ac:dyDescent="0.45">
      <c r="A1439" s="3" t="s">
        <v>1603</v>
      </c>
      <c r="B1439" s="41">
        <v>40396</v>
      </c>
      <c r="C1439" s="7" t="s">
        <v>25</v>
      </c>
      <c r="D1439" s="3" t="s">
        <v>2206</v>
      </c>
      <c r="E1439" s="10" t="s">
        <v>2207</v>
      </c>
      <c r="F1439" s="3">
        <v>9</v>
      </c>
      <c r="L1439" s="3" t="s">
        <v>2185</v>
      </c>
      <c r="N1439" s="48"/>
    </row>
    <row r="1440" spans="1:14" x14ac:dyDescent="0.45">
      <c r="A1440" s="3" t="s">
        <v>1603</v>
      </c>
      <c r="B1440" s="41">
        <v>40465</v>
      </c>
      <c r="C1440" s="7" t="s">
        <v>25</v>
      </c>
      <c r="D1440" s="3" t="s">
        <v>2208</v>
      </c>
      <c r="E1440" s="10" t="s">
        <v>2209</v>
      </c>
      <c r="F1440" s="3">
        <v>9</v>
      </c>
      <c r="L1440" s="3" t="s">
        <v>2210</v>
      </c>
      <c r="N1440" s="48"/>
    </row>
    <row r="1441" spans="1:14" x14ac:dyDescent="0.45">
      <c r="A1441" s="3" t="s">
        <v>1603</v>
      </c>
      <c r="B1441" s="14">
        <v>37803</v>
      </c>
      <c r="C1441" s="7" t="s">
        <v>592</v>
      </c>
      <c r="E1441" s="10" t="s">
        <v>2211</v>
      </c>
      <c r="F1441" s="3">
        <f>SUM(2,28,20,8,14,9,8,13,5,3,12,34,2,4)</f>
        <v>162</v>
      </c>
      <c r="N1441" s="48"/>
    </row>
    <row r="1442" spans="1:14" x14ac:dyDescent="0.45">
      <c r="A1442" s="3" t="s">
        <v>1603</v>
      </c>
      <c r="B1442" s="16">
        <v>41099</v>
      </c>
      <c r="C1442" s="7" t="s">
        <v>302</v>
      </c>
      <c r="E1442" s="10" t="s">
        <v>2212</v>
      </c>
      <c r="F1442" s="3">
        <v>9</v>
      </c>
      <c r="L1442" s="3" t="s">
        <v>1697</v>
      </c>
      <c r="N1442" s="48"/>
    </row>
    <row r="1443" spans="1:14" x14ac:dyDescent="0.45">
      <c r="A1443" s="3" t="s">
        <v>1603</v>
      </c>
      <c r="B1443" s="16">
        <v>40898</v>
      </c>
      <c r="C1443" s="7" t="s">
        <v>575</v>
      </c>
      <c r="E1443" s="10" t="s">
        <v>2213</v>
      </c>
      <c r="F1443" s="3">
        <v>2</v>
      </c>
      <c r="L1443" s="3" t="s">
        <v>1697</v>
      </c>
      <c r="N1443" s="48"/>
    </row>
    <row r="1444" spans="1:14" x14ac:dyDescent="0.45">
      <c r="A1444" s="3" t="s">
        <v>1603</v>
      </c>
      <c r="B1444" s="16">
        <v>42380</v>
      </c>
      <c r="C1444" s="7" t="s">
        <v>575</v>
      </c>
      <c r="E1444" s="10" t="s">
        <v>2214</v>
      </c>
      <c r="F1444" s="3">
        <v>2</v>
      </c>
      <c r="L1444" s="3" t="s">
        <v>1697</v>
      </c>
      <c r="N1444" s="48"/>
    </row>
    <row r="1445" spans="1:14" x14ac:dyDescent="0.45">
      <c r="A1445" s="3" t="s">
        <v>1603</v>
      </c>
      <c r="B1445" s="32">
        <v>45533</v>
      </c>
      <c r="C1445" s="7" t="s">
        <v>575</v>
      </c>
      <c r="E1445" s="10" t="s">
        <v>2215</v>
      </c>
      <c r="F1445" s="3">
        <v>20</v>
      </c>
      <c r="N1445" s="48"/>
    </row>
    <row r="1446" spans="1:14" x14ac:dyDescent="0.45">
      <c r="A1446" s="3" t="s">
        <v>1603</v>
      </c>
      <c r="B1446" s="32">
        <v>45533</v>
      </c>
      <c r="C1446" s="7" t="s">
        <v>575</v>
      </c>
      <c r="E1446" s="10" t="s">
        <v>2216</v>
      </c>
      <c r="F1446" s="3">
        <v>7</v>
      </c>
      <c r="N1446" s="48"/>
    </row>
    <row r="1447" spans="1:14" x14ac:dyDescent="0.45">
      <c r="A1447" s="3" t="s">
        <v>1603</v>
      </c>
      <c r="B1447" s="3" t="s">
        <v>966</v>
      </c>
      <c r="C1447" s="7" t="s">
        <v>575</v>
      </c>
      <c r="E1447" s="10" t="s">
        <v>2217</v>
      </c>
      <c r="F1447" s="3">
        <v>3</v>
      </c>
      <c r="N1447" s="48"/>
    </row>
    <row r="1448" spans="1:14" x14ac:dyDescent="0.45">
      <c r="A1448" s="3" t="s">
        <v>1603</v>
      </c>
      <c r="B1448" s="3" t="s">
        <v>966</v>
      </c>
      <c r="C1448" s="7" t="s">
        <v>575</v>
      </c>
      <c r="E1448" s="10" t="s">
        <v>2218</v>
      </c>
      <c r="F1448" s="3">
        <v>34</v>
      </c>
      <c r="N1448" s="48"/>
    </row>
    <row r="1449" spans="1:14" x14ac:dyDescent="0.45">
      <c r="A1449" s="3" t="s">
        <v>1603</v>
      </c>
      <c r="B1449" s="3" t="s">
        <v>966</v>
      </c>
      <c r="C1449" s="7" t="s">
        <v>575</v>
      </c>
      <c r="E1449" s="10" t="s">
        <v>2219</v>
      </c>
      <c r="F1449" s="3">
        <v>8</v>
      </c>
      <c r="N1449" s="48"/>
    </row>
    <row r="1450" spans="1:14" x14ac:dyDescent="0.45">
      <c r="A1450" s="3" t="s">
        <v>1603</v>
      </c>
      <c r="B1450" s="32">
        <v>44470</v>
      </c>
      <c r="C1450" s="7" t="s">
        <v>575</v>
      </c>
      <c r="E1450" s="10" t="s">
        <v>2220</v>
      </c>
      <c r="F1450" s="3">
        <v>3</v>
      </c>
      <c r="N1450" s="48"/>
    </row>
    <row r="1451" spans="1:14" x14ac:dyDescent="0.45">
      <c r="A1451" s="3" t="s">
        <v>1603</v>
      </c>
      <c r="B1451" s="41">
        <v>36600</v>
      </c>
      <c r="C1451" s="7" t="s">
        <v>25</v>
      </c>
      <c r="D1451" s="3" t="s">
        <v>2221</v>
      </c>
      <c r="E1451" s="6" t="s">
        <v>2222</v>
      </c>
      <c r="F1451" s="3">
        <v>5</v>
      </c>
      <c r="L1451" s="3" t="s">
        <v>2056</v>
      </c>
      <c r="N1451" s="48"/>
    </row>
    <row r="1452" spans="1:14" x14ac:dyDescent="0.45">
      <c r="A1452" s="3" t="s">
        <v>1603</v>
      </c>
      <c r="B1452" s="16">
        <v>37746</v>
      </c>
      <c r="C1452" s="7" t="s">
        <v>25</v>
      </c>
      <c r="D1452" s="3" t="s">
        <v>2223</v>
      </c>
      <c r="E1452" s="10" t="s">
        <v>1129</v>
      </c>
      <c r="F1452" s="3">
        <v>1</v>
      </c>
      <c r="L1452" s="3" t="s">
        <v>2056</v>
      </c>
      <c r="N1452" s="48"/>
    </row>
    <row r="1453" spans="1:14" x14ac:dyDescent="0.45">
      <c r="A1453" s="3" t="s">
        <v>1603</v>
      </c>
      <c r="B1453" s="16">
        <v>35670</v>
      </c>
      <c r="C1453" s="7" t="s">
        <v>25</v>
      </c>
      <c r="D1453" s="3" t="s">
        <v>2224</v>
      </c>
      <c r="E1453" s="10" t="s">
        <v>2225</v>
      </c>
      <c r="F1453" s="3">
        <v>5</v>
      </c>
      <c r="L1453" s="3" t="s">
        <v>2056</v>
      </c>
      <c r="N1453" s="48"/>
    </row>
    <row r="1454" spans="1:14" x14ac:dyDescent="0.45">
      <c r="A1454" s="3" t="s">
        <v>1603</v>
      </c>
      <c r="B1454" s="16">
        <v>36326</v>
      </c>
      <c r="C1454" s="7" t="s">
        <v>25</v>
      </c>
      <c r="D1454" s="3" t="s">
        <v>2226</v>
      </c>
      <c r="E1454" s="10" t="s">
        <v>2227</v>
      </c>
      <c r="F1454" s="3">
        <v>3</v>
      </c>
      <c r="L1454" s="3" t="s">
        <v>2056</v>
      </c>
      <c r="N1454" s="48"/>
    </row>
    <row r="1455" spans="1:14" x14ac:dyDescent="0.45">
      <c r="A1455" s="3" t="s">
        <v>1603</v>
      </c>
      <c r="B1455" s="16">
        <v>36013</v>
      </c>
      <c r="C1455" s="7" t="s">
        <v>25</v>
      </c>
      <c r="D1455" s="3" t="s">
        <v>2228</v>
      </c>
      <c r="E1455" s="10" t="s">
        <v>2229</v>
      </c>
      <c r="F1455" s="3">
        <v>16</v>
      </c>
      <c r="L1455" s="3" t="s">
        <v>2056</v>
      </c>
      <c r="N1455" s="48"/>
    </row>
    <row r="1456" spans="1:14" x14ac:dyDescent="0.45">
      <c r="A1456" s="3" t="s">
        <v>1603</v>
      </c>
      <c r="B1456" s="16">
        <v>36923</v>
      </c>
      <c r="C1456" s="7" t="s">
        <v>25</v>
      </c>
      <c r="D1456" s="3" t="s">
        <v>2230</v>
      </c>
      <c r="E1456" s="10" t="s">
        <v>2231</v>
      </c>
      <c r="F1456" s="3">
        <v>3</v>
      </c>
      <c r="L1456" s="3" t="s">
        <v>2056</v>
      </c>
      <c r="N1456" s="48"/>
    </row>
    <row r="1457" spans="1:14" x14ac:dyDescent="0.45">
      <c r="A1457" s="3" t="s">
        <v>1603</v>
      </c>
      <c r="B1457" s="16">
        <v>44813</v>
      </c>
      <c r="C1457" s="7" t="s">
        <v>302</v>
      </c>
      <c r="E1457" s="10" t="s">
        <v>2232</v>
      </c>
      <c r="F1457" s="3">
        <v>5</v>
      </c>
      <c r="L1457" s="3" t="s">
        <v>2056</v>
      </c>
      <c r="N1457" s="48"/>
    </row>
    <row r="1458" spans="1:14" x14ac:dyDescent="0.45">
      <c r="A1458" s="3" t="s">
        <v>1603</v>
      </c>
      <c r="B1458" s="16">
        <v>36326</v>
      </c>
      <c r="C1458" s="7" t="s">
        <v>25</v>
      </c>
      <c r="D1458" s="3" t="s">
        <v>2233</v>
      </c>
      <c r="E1458" s="10" t="s">
        <v>2234</v>
      </c>
      <c r="F1458" s="3">
        <v>7</v>
      </c>
      <c r="L1458" s="3" t="s">
        <v>2056</v>
      </c>
      <c r="N1458" s="48"/>
    </row>
    <row r="1459" spans="1:14" x14ac:dyDescent="0.45">
      <c r="A1459" s="3" t="s">
        <v>1603</v>
      </c>
      <c r="B1459" s="16">
        <v>36809</v>
      </c>
      <c r="C1459" s="7" t="s">
        <v>25</v>
      </c>
      <c r="D1459" s="3" t="s">
        <v>2235</v>
      </c>
      <c r="E1459" s="10" t="s">
        <v>2236</v>
      </c>
      <c r="F1459" s="3">
        <v>46</v>
      </c>
      <c r="L1459" s="3" t="s">
        <v>2056</v>
      </c>
      <c r="N1459" s="48"/>
    </row>
    <row r="1460" spans="1:14" x14ac:dyDescent="0.45">
      <c r="A1460" s="3" t="s">
        <v>1603</v>
      </c>
      <c r="B1460" s="16">
        <v>35481</v>
      </c>
      <c r="C1460" s="7" t="s">
        <v>25</v>
      </c>
      <c r="D1460" s="3" t="s">
        <v>2237</v>
      </c>
      <c r="E1460" s="10" t="s">
        <v>2238</v>
      </c>
      <c r="F1460" s="3">
        <f>SUM(2,2)</f>
        <v>4</v>
      </c>
      <c r="L1460" s="3" t="s">
        <v>2174</v>
      </c>
      <c r="N1460" s="48"/>
    </row>
    <row r="1461" spans="1:14" x14ac:dyDescent="0.45">
      <c r="A1461" s="3" t="s">
        <v>1603</v>
      </c>
      <c r="B1461" s="16">
        <v>36901</v>
      </c>
      <c r="C1461" s="7" t="s">
        <v>25</v>
      </c>
      <c r="D1461" s="3" t="s">
        <v>2239</v>
      </c>
      <c r="E1461" s="10" t="s">
        <v>2240</v>
      </c>
      <c r="F1461" s="3">
        <v>3</v>
      </c>
      <c r="L1461" s="3" t="s">
        <v>2056</v>
      </c>
      <c r="N1461" s="48"/>
    </row>
    <row r="1462" spans="1:14" x14ac:dyDescent="0.45">
      <c r="A1462" s="3" t="s">
        <v>1603</v>
      </c>
      <c r="B1462" s="14">
        <v>33339</v>
      </c>
      <c r="C1462" s="7" t="s">
        <v>25</v>
      </c>
      <c r="D1462" s="3" t="s">
        <v>2241</v>
      </c>
      <c r="E1462" s="10" t="s">
        <v>2242</v>
      </c>
      <c r="F1462" s="3">
        <v>27</v>
      </c>
      <c r="N1462" s="48"/>
    </row>
    <row r="1463" spans="1:14" x14ac:dyDescent="0.45">
      <c r="A1463" s="3" t="s">
        <v>1603</v>
      </c>
      <c r="B1463" s="14">
        <v>33234</v>
      </c>
      <c r="C1463" s="7" t="s">
        <v>25</v>
      </c>
      <c r="D1463" s="3" t="s">
        <v>2243</v>
      </c>
      <c r="E1463" s="10" t="s">
        <v>2244</v>
      </c>
      <c r="F1463" s="3">
        <v>10</v>
      </c>
      <c r="N1463" s="48"/>
    </row>
    <row r="1464" spans="1:14" x14ac:dyDescent="0.45">
      <c r="A1464" s="3" t="s">
        <v>1603</v>
      </c>
      <c r="B1464" s="4">
        <v>42388</v>
      </c>
      <c r="C1464" s="7" t="s">
        <v>302</v>
      </c>
      <c r="E1464" s="6" t="s">
        <v>2245</v>
      </c>
      <c r="F1464" s="3">
        <v>6</v>
      </c>
      <c r="L1464" s="3" t="s">
        <v>1697</v>
      </c>
      <c r="N1464" s="48"/>
    </row>
    <row r="1465" spans="1:14" x14ac:dyDescent="0.45">
      <c r="A1465" s="3" t="s">
        <v>1603</v>
      </c>
      <c r="B1465" s="4">
        <v>41099</v>
      </c>
      <c r="C1465" s="7" t="s">
        <v>302</v>
      </c>
      <c r="E1465" s="6" t="s">
        <v>2246</v>
      </c>
      <c r="F1465" s="3">
        <v>9</v>
      </c>
      <c r="L1465" s="3" t="s">
        <v>1697</v>
      </c>
      <c r="N1465" s="48"/>
    </row>
    <row r="1466" spans="1:14" x14ac:dyDescent="0.45">
      <c r="A1466" s="3" t="s">
        <v>1603</v>
      </c>
      <c r="B1466" s="4">
        <v>38671</v>
      </c>
      <c r="C1466" s="7" t="s">
        <v>302</v>
      </c>
      <c r="E1466" s="6" t="s">
        <v>2247</v>
      </c>
      <c r="F1466" s="3">
        <v>3</v>
      </c>
      <c r="L1466" s="3" t="s">
        <v>1697</v>
      </c>
      <c r="N1466" s="48"/>
    </row>
    <row r="1467" spans="1:14" x14ac:dyDescent="0.45">
      <c r="A1467" s="3" t="s">
        <v>1603</v>
      </c>
      <c r="B1467" s="39">
        <v>41080</v>
      </c>
      <c r="C1467" s="7" t="s">
        <v>592</v>
      </c>
      <c r="E1467" s="10" t="s">
        <v>2248</v>
      </c>
      <c r="F1467" s="3">
        <v>3</v>
      </c>
      <c r="L1467" s="3" t="s">
        <v>1697</v>
      </c>
      <c r="N1467" s="48"/>
    </row>
    <row r="1468" spans="1:14" x14ac:dyDescent="0.45">
      <c r="A1468" s="3" t="s">
        <v>1603</v>
      </c>
      <c r="B1468" s="4">
        <v>43945</v>
      </c>
      <c r="C1468" s="7" t="s">
        <v>587</v>
      </c>
      <c r="E1468" s="6" t="s">
        <v>2249</v>
      </c>
      <c r="F1468" s="3" t="s">
        <v>1041</v>
      </c>
      <c r="L1468" s="3" t="s">
        <v>2250</v>
      </c>
      <c r="N1468" s="48"/>
    </row>
    <row r="1469" spans="1:14" x14ac:dyDescent="0.45">
      <c r="A1469" s="3" t="s">
        <v>1603</v>
      </c>
      <c r="B1469" s="4">
        <v>43906</v>
      </c>
      <c r="C1469" s="7" t="s">
        <v>575</v>
      </c>
      <c r="E1469" s="6" t="s">
        <v>2251</v>
      </c>
      <c r="F1469" s="3">
        <v>3</v>
      </c>
      <c r="L1469" s="3" t="s">
        <v>1697</v>
      </c>
      <c r="N1469" s="48"/>
    </row>
    <row r="1470" spans="1:14" x14ac:dyDescent="0.45">
      <c r="A1470" s="3" t="s">
        <v>1603</v>
      </c>
      <c r="B1470" s="4">
        <v>42643</v>
      </c>
      <c r="C1470" s="7" t="s">
        <v>587</v>
      </c>
      <c r="E1470" s="6" t="s">
        <v>2252</v>
      </c>
      <c r="F1470" s="3">
        <f>SUM(1,1,3)</f>
        <v>5</v>
      </c>
      <c r="L1470" s="3" t="s">
        <v>2253</v>
      </c>
      <c r="N1470" s="48"/>
    </row>
    <row r="1471" spans="1:14" x14ac:dyDescent="0.45">
      <c r="A1471" s="3" t="s">
        <v>1603</v>
      </c>
      <c r="B1471" s="4">
        <v>42304</v>
      </c>
      <c r="C1471" s="7" t="s">
        <v>575</v>
      </c>
      <c r="E1471" s="6" t="s">
        <v>2254</v>
      </c>
      <c r="F1471" s="3">
        <v>2</v>
      </c>
      <c r="L1471" s="3" t="s">
        <v>1697</v>
      </c>
      <c r="N1471" s="48"/>
    </row>
    <row r="1472" spans="1:14" x14ac:dyDescent="0.45">
      <c r="A1472" s="3" t="s">
        <v>1603</v>
      </c>
      <c r="B1472" s="4">
        <v>41922</v>
      </c>
      <c r="C1472" s="7" t="s">
        <v>575</v>
      </c>
      <c r="E1472" s="6" t="s">
        <v>2255</v>
      </c>
      <c r="F1472" s="3">
        <v>6</v>
      </c>
      <c r="L1472" s="3" t="s">
        <v>2256</v>
      </c>
      <c r="N1472" s="48"/>
    </row>
    <row r="1473" spans="1:14" x14ac:dyDescent="0.45">
      <c r="A1473" s="3" t="s">
        <v>1603</v>
      </c>
      <c r="B1473" s="4">
        <v>41582</v>
      </c>
      <c r="C1473" s="7" t="s">
        <v>575</v>
      </c>
      <c r="E1473" s="6" t="s">
        <v>2257</v>
      </c>
      <c r="F1473" s="3">
        <v>2</v>
      </c>
      <c r="L1473" s="3" t="s">
        <v>2258</v>
      </c>
      <c r="N1473" s="48"/>
    </row>
    <row r="1474" spans="1:14" x14ac:dyDescent="0.45">
      <c r="A1474" s="3" t="s">
        <v>1603</v>
      </c>
      <c r="B1474" s="4">
        <v>41582</v>
      </c>
      <c r="C1474" s="7" t="s">
        <v>575</v>
      </c>
      <c r="E1474" s="6" t="s">
        <v>2259</v>
      </c>
      <c r="F1474" s="3">
        <v>2</v>
      </c>
      <c r="L1474" s="3" t="s">
        <v>1697</v>
      </c>
      <c r="N1474" s="48"/>
    </row>
    <row r="1475" spans="1:14" x14ac:dyDescent="0.45">
      <c r="A1475" s="3" t="s">
        <v>1603</v>
      </c>
      <c r="B1475" s="4">
        <v>41576</v>
      </c>
      <c r="C1475" s="7" t="s">
        <v>587</v>
      </c>
      <c r="E1475" s="6" t="s">
        <v>2260</v>
      </c>
      <c r="F1475" s="3">
        <v>1</v>
      </c>
      <c r="L1475" s="3" t="s">
        <v>2261</v>
      </c>
      <c r="N1475" s="48"/>
    </row>
    <row r="1476" spans="1:14" x14ac:dyDescent="0.45">
      <c r="A1476" s="3" t="s">
        <v>1603</v>
      </c>
      <c r="B1476" s="4">
        <v>41458</v>
      </c>
      <c r="C1476" s="7" t="s">
        <v>587</v>
      </c>
      <c r="E1476" s="6" t="s">
        <v>2262</v>
      </c>
      <c r="F1476" s="3">
        <v>2</v>
      </c>
      <c r="L1476" s="3" t="s">
        <v>2261</v>
      </c>
      <c r="N1476" s="48"/>
    </row>
    <row r="1477" spans="1:14" x14ac:dyDescent="0.45">
      <c r="A1477" s="3" t="s">
        <v>1603</v>
      </c>
      <c r="B1477" s="4">
        <v>41430</v>
      </c>
      <c r="C1477" s="7" t="s">
        <v>587</v>
      </c>
      <c r="E1477" s="6" t="s">
        <v>2263</v>
      </c>
      <c r="F1477" s="3">
        <v>1</v>
      </c>
      <c r="L1477" s="3" t="s">
        <v>2261</v>
      </c>
      <c r="N1477" s="48"/>
    </row>
    <row r="1478" spans="1:14" x14ac:dyDescent="0.45">
      <c r="A1478" s="3" t="s">
        <v>1603</v>
      </c>
      <c r="B1478" s="4">
        <v>41430</v>
      </c>
      <c r="C1478" s="7" t="s">
        <v>587</v>
      </c>
      <c r="E1478" s="6" t="s">
        <v>2264</v>
      </c>
      <c r="F1478" s="3">
        <v>5</v>
      </c>
      <c r="L1478" s="3" t="s">
        <v>2261</v>
      </c>
      <c r="N1478" s="48"/>
    </row>
    <row r="1479" spans="1:14" x14ac:dyDescent="0.45">
      <c r="A1479" s="3" t="s">
        <v>1603</v>
      </c>
      <c r="B1479" s="4">
        <v>41389</v>
      </c>
      <c r="C1479" s="7" t="s">
        <v>587</v>
      </c>
      <c r="E1479" s="6" t="s">
        <v>2265</v>
      </c>
      <c r="F1479" s="3">
        <v>2</v>
      </c>
      <c r="L1479" s="3" t="s">
        <v>2261</v>
      </c>
      <c r="N1479" s="48"/>
    </row>
    <row r="1480" spans="1:14" x14ac:dyDescent="0.45">
      <c r="A1480" s="3" t="s">
        <v>1603</v>
      </c>
      <c r="B1480" s="4">
        <v>41373</v>
      </c>
      <c r="C1480" s="7" t="s">
        <v>587</v>
      </c>
      <c r="E1480" s="6" t="s">
        <v>2266</v>
      </c>
      <c r="F1480" s="3">
        <v>2</v>
      </c>
      <c r="L1480" s="3" t="s">
        <v>2261</v>
      </c>
      <c r="N1480" s="48"/>
    </row>
    <row r="1481" spans="1:14" x14ac:dyDescent="0.45">
      <c r="A1481" s="3" t="s">
        <v>1603</v>
      </c>
      <c r="B1481" s="4">
        <v>41366</v>
      </c>
      <c r="C1481" s="7" t="s">
        <v>587</v>
      </c>
      <c r="E1481" s="6" t="s">
        <v>2267</v>
      </c>
      <c r="F1481" s="3">
        <v>2</v>
      </c>
      <c r="L1481" s="3" t="s">
        <v>2261</v>
      </c>
      <c r="N1481" s="48"/>
    </row>
    <row r="1482" spans="1:14" x14ac:dyDescent="0.45">
      <c r="A1482" s="3" t="s">
        <v>1603</v>
      </c>
      <c r="B1482" s="4">
        <v>41337</v>
      </c>
      <c r="C1482" s="7" t="s">
        <v>587</v>
      </c>
      <c r="E1482" s="6" t="s">
        <v>2268</v>
      </c>
      <c r="F1482" s="3">
        <v>1</v>
      </c>
      <c r="L1482" s="3" t="s">
        <v>2261</v>
      </c>
      <c r="N1482" s="48"/>
    </row>
    <row r="1483" spans="1:14" x14ac:dyDescent="0.45">
      <c r="A1483" s="3" t="s">
        <v>1603</v>
      </c>
      <c r="B1483" s="4">
        <v>41316</v>
      </c>
      <c r="C1483" s="7" t="s">
        <v>587</v>
      </c>
      <c r="E1483" s="6" t="s">
        <v>2269</v>
      </c>
      <c r="F1483" s="3">
        <v>2</v>
      </c>
      <c r="L1483" s="3" t="s">
        <v>2261</v>
      </c>
      <c r="N1483" s="48"/>
    </row>
    <row r="1484" spans="1:14" x14ac:dyDescent="0.45">
      <c r="A1484" s="3" t="s">
        <v>1603</v>
      </c>
      <c r="B1484" s="4">
        <v>41221</v>
      </c>
      <c r="C1484" s="7" t="s">
        <v>587</v>
      </c>
      <c r="E1484" s="6" t="s">
        <v>2270</v>
      </c>
      <c r="F1484" s="3">
        <f>SUM(1,4)</f>
        <v>5</v>
      </c>
      <c r="L1484" s="3" t="s">
        <v>2271</v>
      </c>
      <c r="N1484" s="48"/>
    </row>
    <row r="1485" spans="1:14" x14ac:dyDescent="0.45">
      <c r="A1485" s="3" t="s">
        <v>1603</v>
      </c>
      <c r="B1485" s="4">
        <v>41142</v>
      </c>
      <c r="C1485" s="7" t="s">
        <v>587</v>
      </c>
      <c r="E1485" s="6" t="s">
        <v>2272</v>
      </c>
      <c r="F1485" s="3">
        <v>1</v>
      </c>
      <c r="L1485" s="3" t="s">
        <v>2261</v>
      </c>
      <c r="N1485" s="48"/>
    </row>
    <row r="1486" spans="1:14" x14ac:dyDescent="0.45">
      <c r="A1486" s="3" t="s">
        <v>1603</v>
      </c>
      <c r="B1486" s="4">
        <v>41138</v>
      </c>
      <c r="C1486" s="7" t="s">
        <v>587</v>
      </c>
      <c r="E1486" s="6" t="s">
        <v>2273</v>
      </c>
      <c r="F1486" s="3">
        <v>3</v>
      </c>
      <c r="L1486" s="3" t="s">
        <v>2261</v>
      </c>
      <c r="N1486" s="48"/>
    </row>
    <row r="1487" spans="1:14" x14ac:dyDescent="0.45">
      <c r="A1487" s="3" t="s">
        <v>1603</v>
      </c>
      <c r="B1487" s="4">
        <v>41135</v>
      </c>
      <c r="C1487" s="7" t="s">
        <v>587</v>
      </c>
      <c r="E1487" s="6" t="s">
        <v>2274</v>
      </c>
      <c r="F1487" s="3">
        <f>SUM(1,2)</f>
        <v>3</v>
      </c>
      <c r="L1487" s="3" t="s">
        <v>2271</v>
      </c>
      <c r="N1487" s="48"/>
    </row>
    <row r="1488" spans="1:14" x14ac:dyDescent="0.45">
      <c r="A1488" s="3" t="s">
        <v>1603</v>
      </c>
      <c r="B1488" s="4">
        <v>41127</v>
      </c>
      <c r="C1488" s="7" t="s">
        <v>587</v>
      </c>
      <c r="E1488" s="6" t="s">
        <v>2275</v>
      </c>
      <c r="F1488" s="3">
        <v>1</v>
      </c>
      <c r="L1488" s="3" t="s">
        <v>2261</v>
      </c>
      <c r="N1488" s="48"/>
    </row>
    <row r="1489" spans="1:14" x14ac:dyDescent="0.45">
      <c r="A1489" s="3" t="s">
        <v>1603</v>
      </c>
      <c r="B1489" s="4">
        <v>41110</v>
      </c>
      <c r="C1489" s="7" t="s">
        <v>587</v>
      </c>
      <c r="E1489" s="6" t="s">
        <v>2276</v>
      </c>
      <c r="F1489" s="3">
        <v>2</v>
      </c>
      <c r="L1489" s="3" t="s">
        <v>2261</v>
      </c>
      <c r="N1489" s="48"/>
    </row>
    <row r="1490" spans="1:14" x14ac:dyDescent="0.45">
      <c r="A1490" s="3" t="s">
        <v>1603</v>
      </c>
      <c r="B1490" s="4">
        <v>41109</v>
      </c>
      <c r="C1490" s="7" t="s">
        <v>21</v>
      </c>
      <c r="E1490" s="6" t="s">
        <v>2277</v>
      </c>
      <c r="F1490" s="3">
        <v>9</v>
      </c>
      <c r="L1490" s="3" t="s">
        <v>2278</v>
      </c>
      <c r="N1490" s="48"/>
    </row>
    <row r="1491" spans="1:14" x14ac:dyDescent="0.45">
      <c r="A1491" s="3" t="s">
        <v>1603</v>
      </c>
      <c r="B1491" s="4">
        <v>40990</v>
      </c>
      <c r="C1491" s="7" t="s">
        <v>25</v>
      </c>
      <c r="D1491" s="3" t="s">
        <v>2133</v>
      </c>
      <c r="E1491" s="6" t="s">
        <v>2279</v>
      </c>
      <c r="F1491" s="3" t="s">
        <v>1041</v>
      </c>
      <c r="L1491" s="3" t="s">
        <v>2280</v>
      </c>
      <c r="N1491" s="48"/>
    </row>
    <row r="1492" spans="1:14" x14ac:dyDescent="0.45">
      <c r="A1492" s="3" t="s">
        <v>1603</v>
      </c>
      <c r="B1492" s="4">
        <v>40848</v>
      </c>
      <c r="C1492" s="7" t="s">
        <v>247</v>
      </c>
      <c r="E1492" s="6" t="s">
        <v>2281</v>
      </c>
      <c r="F1492" s="3">
        <v>120</v>
      </c>
      <c r="L1492" s="3" t="s">
        <v>2282</v>
      </c>
      <c r="N1492" s="48"/>
    </row>
    <row r="1493" spans="1:14" x14ac:dyDescent="0.45">
      <c r="A1493" s="3" t="s">
        <v>1603</v>
      </c>
      <c r="B1493" s="4">
        <v>40812</v>
      </c>
      <c r="C1493" s="7" t="s">
        <v>25</v>
      </c>
      <c r="D1493" s="3" t="s">
        <v>2172</v>
      </c>
      <c r="E1493" s="6" t="s">
        <v>2283</v>
      </c>
      <c r="F1493" s="3" t="s">
        <v>1041</v>
      </c>
      <c r="L1493" s="3" t="s">
        <v>2284</v>
      </c>
      <c r="N1493" s="48"/>
    </row>
    <row r="1494" spans="1:14" x14ac:dyDescent="0.45">
      <c r="A1494" s="3" t="s">
        <v>1603</v>
      </c>
      <c r="B1494" s="4">
        <v>40808</v>
      </c>
      <c r="C1494" s="7" t="s">
        <v>25</v>
      </c>
      <c r="D1494" s="3" t="s">
        <v>2168</v>
      </c>
      <c r="E1494" s="6" t="s">
        <v>2285</v>
      </c>
      <c r="F1494" s="3" t="s">
        <v>1041</v>
      </c>
      <c r="L1494" s="3" t="s">
        <v>2284</v>
      </c>
      <c r="N1494" s="48"/>
    </row>
    <row r="1495" spans="1:14" x14ac:dyDescent="0.45">
      <c r="A1495" s="3" t="s">
        <v>1603</v>
      </c>
      <c r="B1495" s="4">
        <v>40715</v>
      </c>
      <c r="C1495" s="7" t="s">
        <v>12</v>
      </c>
      <c r="D1495" s="3" t="s">
        <v>1778</v>
      </c>
      <c r="E1495" s="6" t="s">
        <v>2286</v>
      </c>
      <c r="F1495" s="3" t="s">
        <v>1041</v>
      </c>
      <c r="L1495" s="3" t="s">
        <v>2280</v>
      </c>
      <c r="N1495" s="48"/>
    </row>
    <row r="1496" spans="1:14" x14ac:dyDescent="0.45">
      <c r="A1496" s="3" t="s">
        <v>1603</v>
      </c>
      <c r="B1496" s="4">
        <v>40646</v>
      </c>
      <c r="C1496" s="7" t="s">
        <v>25</v>
      </c>
      <c r="D1496" s="3" t="s">
        <v>2161</v>
      </c>
      <c r="E1496" s="6" t="s">
        <v>2287</v>
      </c>
      <c r="F1496" s="3" t="s">
        <v>1041</v>
      </c>
      <c r="L1496" s="3" t="s">
        <v>2284</v>
      </c>
      <c r="N1496" s="48"/>
    </row>
    <row r="1497" spans="1:14" x14ac:dyDescent="0.45">
      <c r="A1497" s="3" t="s">
        <v>1603</v>
      </c>
      <c r="B1497" s="4">
        <v>40639</v>
      </c>
      <c r="C1497" s="7" t="s">
        <v>25</v>
      </c>
      <c r="D1497" s="3" t="s">
        <v>2158</v>
      </c>
      <c r="E1497" s="6" t="s">
        <v>2288</v>
      </c>
      <c r="F1497" s="3" t="s">
        <v>1041</v>
      </c>
      <c r="L1497" s="3" t="s">
        <v>2280</v>
      </c>
      <c r="N1497" s="48"/>
    </row>
    <row r="1498" spans="1:14" x14ac:dyDescent="0.45">
      <c r="A1498" s="3" t="s">
        <v>1603</v>
      </c>
      <c r="B1498" s="4">
        <v>40626</v>
      </c>
      <c r="C1498" s="7" t="s">
        <v>25</v>
      </c>
      <c r="D1498" s="3" t="s">
        <v>2153</v>
      </c>
      <c r="E1498" s="6" t="s">
        <v>2289</v>
      </c>
      <c r="F1498" s="3" t="s">
        <v>1041</v>
      </c>
      <c r="L1498" s="3" t="s">
        <v>2280</v>
      </c>
      <c r="N1498" s="48"/>
    </row>
    <row r="1499" spans="1:14" x14ac:dyDescent="0.45">
      <c r="A1499" s="3" t="s">
        <v>1603</v>
      </c>
      <c r="B1499" s="4">
        <v>40624</v>
      </c>
      <c r="C1499" s="7" t="s">
        <v>25</v>
      </c>
      <c r="D1499" s="3" t="s">
        <v>2290</v>
      </c>
      <c r="E1499" s="6" t="s">
        <v>2291</v>
      </c>
      <c r="F1499" s="3">
        <v>2</v>
      </c>
      <c r="L1499" s="3" t="s">
        <v>2292</v>
      </c>
      <c r="N1499" s="48"/>
    </row>
    <row r="1500" spans="1:14" x14ac:dyDescent="0.45">
      <c r="A1500" s="3" t="s">
        <v>1603</v>
      </c>
      <c r="B1500" s="4">
        <v>40624</v>
      </c>
      <c r="C1500" s="7" t="s">
        <v>25</v>
      </c>
      <c r="D1500" s="3" t="s">
        <v>2290</v>
      </c>
      <c r="E1500" s="6" t="s">
        <v>2293</v>
      </c>
      <c r="F1500" s="3" t="s">
        <v>1041</v>
      </c>
      <c r="L1500" s="3" t="s">
        <v>2284</v>
      </c>
      <c r="N1500" s="48"/>
    </row>
    <row r="1501" spans="1:14" x14ac:dyDescent="0.45">
      <c r="A1501" s="3" t="s">
        <v>1603</v>
      </c>
      <c r="B1501" s="4">
        <v>40526</v>
      </c>
      <c r="C1501" s="7" t="s">
        <v>12</v>
      </c>
      <c r="D1501" s="3" t="s">
        <v>1774</v>
      </c>
      <c r="E1501" s="6" t="s">
        <v>2294</v>
      </c>
      <c r="F1501" s="3">
        <f>SUM(4,2,1,2)</f>
        <v>9</v>
      </c>
      <c r="L1501" s="3" t="s">
        <v>2295</v>
      </c>
      <c r="N1501" s="48"/>
    </row>
    <row r="1502" spans="1:14" x14ac:dyDescent="0.45">
      <c r="A1502" s="3" t="s">
        <v>1603</v>
      </c>
      <c r="B1502" s="4">
        <v>40380</v>
      </c>
      <c r="C1502" s="7" t="s">
        <v>25</v>
      </c>
      <c r="D1502" s="3" t="s">
        <v>2204</v>
      </c>
      <c r="E1502" s="6" t="s">
        <v>2296</v>
      </c>
      <c r="F1502" s="3" t="s">
        <v>1041</v>
      </c>
      <c r="L1502" s="3" t="s">
        <v>2297</v>
      </c>
      <c r="N1502" s="48"/>
    </row>
    <row r="1503" spans="1:14" x14ac:dyDescent="0.45">
      <c r="A1503" s="3" t="s">
        <v>1603</v>
      </c>
      <c r="B1503" s="4">
        <v>40373</v>
      </c>
      <c r="C1503" s="7" t="s">
        <v>12</v>
      </c>
      <c r="D1503" s="3" t="s">
        <v>1785</v>
      </c>
      <c r="E1503" s="6" t="s">
        <v>2298</v>
      </c>
      <c r="F1503" s="3" t="s">
        <v>1041</v>
      </c>
      <c r="L1503" s="3" t="s">
        <v>2299</v>
      </c>
      <c r="N1503" s="48"/>
    </row>
    <row r="1504" spans="1:14" x14ac:dyDescent="0.45">
      <c r="A1504" s="3" t="s">
        <v>1603</v>
      </c>
      <c r="B1504" s="4">
        <v>40347</v>
      </c>
      <c r="C1504" s="7" t="s">
        <v>12</v>
      </c>
      <c r="D1504" s="3" t="s">
        <v>1800</v>
      </c>
      <c r="E1504" s="6" t="s">
        <v>2300</v>
      </c>
      <c r="F1504" s="3" t="s">
        <v>1041</v>
      </c>
      <c r="L1504" s="3" t="s">
        <v>2299</v>
      </c>
      <c r="N1504" s="48"/>
    </row>
    <row r="1505" spans="1:14" x14ac:dyDescent="0.45">
      <c r="A1505" s="3" t="s">
        <v>1603</v>
      </c>
      <c r="B1505" s="4">
        <v>40185</v>
      </c>
      <c r="C1505" s="7" t="s">
        <v>12</v>
      </c>
      <c r="D1505" s="3" t="s">
        <v>1790</v>
      </c>
      <c r="E1505" s="6" t="s">
        <v>2301</v>
      </c>
      <c r="F1505" s="3" t="s">
        <v>1041</v>
      </c>
      <c r="L1505" s="3" t="s">
        <v>2299</v>
      </c>
      <c r="N1505" s="48"/>
    </row>
    <row r="1506" spans="1:14" ht="15.75" x14ac:dyDescent="0.45">
      <c r="A1506" s="3" t="s">
        <v>2302</v>
      </c>
      <c r="B1506" s="18">
        <v>45868</v>
      </c>
      <c r="C1506" s="7" t="s">
        <v>12</v>
      </c>
      <c r="D1506" s="20" t="s">
        <v>2303</v>
      </c>
      <c r="E1506" s="6" t="s">
        <v>2304</v>
      </c>
      <c r="F1506" s="3">
        <f>SUM(2,13)</f>
        <v>15</v>
      </c>
      <c r="L1506" s="3" t="s">
        <v>2305</v>
      </c>
      <c r="N1506" s="48"/>
    </row>
    <row r="1507" spans="1:14" ht="15.75" x14ac:dyDescent="0.45">
      <c r="A1507" s="3" t="s">
        <v>2302</v>
      </c>
      <c r="B1507" s="18">
        <v>45783</v>
      </c>
      <c r="C1507" s="7" t="s">
        <v>12</v>
      </c>
      <c r="D1507" s="20" t="s">
        <v>2306</v>
      </c>
      <c r="E1507" s="6" t="s">
        <v>2307</v>
      </c>
      <c r="F1507" s="3">
        <f>SUM(2,5,5)</f>
        <v>12</v>
      </c>
      <c r="L1507" s="3" t="s">
        <v>2308</v>
      </c>
      <c r="N1507" s="48"/>
    </row>
    <row r="1508" spans="1:14" ht="15.75" x14ac:dyDescent="0.45">
      <c r="A1508" s="3" t="s">
        <v>2302</v>
      </c>
      <c r="B1508" s="18">
        <v>45646</v>
      </c>
      <c r="C1508" s="7" t="s">
        <v>12</v>
      </c>
      <c r="D1508" s="20" t="s">
        <v>2309</v>
      </c>
      <c r="E1508" s="6" t="s">
        <v>2310</v>
      </c>
      <c r="F1508" s="3">
        <f>SUM(3,2,11,2,15)</f>
        <v>33</v>
      </c>
      <c r="L1508" s="3" t="s">
        <v>2311</v>
      </c>
      <c r="N1508" s="48"/>
    </row>
    <row r="1509" spans="1:14" ht="15.75" x14ac:dyDescent="0.45">
      <c r="A1509" s="3" t="s">
        <v>2302</v>
      </c>
      <c r="B1509" s="18">
        <v>45602</v>
      </c>
      <c r="C1509" s="7" t="s">
        <v>12</v>
      </c>
      <c r="D1509" s="20" t="s">
        <v>2312</v>
      </c>
      <c r="E1509" s="6" t="s">
        <v>2313</v>
      </c>
      <c r="F1509" s="3">
        <v>2</v>
      </c>
      <c r="L1509" s="3" t="s">
        <v>2314</v>
      </c>
      <c r="N1509" s="48"/>
    </row>
    <row r="1510" spans="1:14" ht="15.75" x14ac:dyDescent="0.45">
      <c r="A1510" s="3" t="s">
        <v>2302</v>
      </c>
      <c r="B1510" s="18">
        <v>45545</v>
      </c>
      <c r="C1510" s="7" t="s">
        <v>12</v>
      </c>
      <c r="D1510" s="20" t="s">
        <v>2315</v>
      </c>
      <c r="E1510" s="6" t="s">
        <v>2316</v>
      </c>
      <c r="F1510" s="3">
        <v>2</v>
      </c>
      <c r="L1510" s="3" t="s">
        <v>2314</v>
      </c>
      <c r="N1510" s="48"/>
    </row>
    <row r="1511" spans="1:14" ht="15.75" x14ac:dyDescent="0.45">
      <c r="A1511" s="3" t="s">
        <v>2302</v>
      </c>
      <c r="B1511" s="18">
        <v>45475</v>
      </c>
      <c r="C1511" s="7" t="s">
        <v>12</v>
      </c>
      <c r="D1511" s="20" t="s">
        <v>2317</v>
      </c>
      <c r="E1511" s="6" t="s">
        <v>2318</v>
      </c>
      <c r="F1511" s="3">
        <v>2</v>
      </c>
      <c r="L1511" s="3" t="s">
        <v>2314</v>
      </c>
      <c r="N1511" s="48"/>
    </row>
    <row r="1512" spans="1:14" ht="15.75" x14ac:dyDescent="0.45">
      <c r="A1512" s="3" t="s">
        <v>2302</v>
      </c>
      <c r="B1512" s="18">
        <v>45461</v>
      </c>
      <c r="C1512" s="7" t="s">
        <v>12</v>
      </c>
      <c r="D1512" s="20" t="s">
        <v>2319</v>
      </c>
      <c r="E1512" s="6" t="s">
        <v>2320</v>
      </c>
      <c r="F1512" s="3">
        <f>SUM(2,4,6)</f>
        <v>12</v>
      </c>
      <c r="L1512" s="3" t="s">
        <v>2308</v>
      </c>
      <c r="N1512" s="48"/>
    </row>
    <row r="1513" spans="1:14" ht="15.75" x14ac:dyDescent="0.45">
      <c r="A1513" s="3" t="s">
        <v>2302</v>
      </c>
      <c r="B1513" s="18">
        <v>45443</v>
      </c>
      <c r="C1513" s="7" t="s">
        <v>12</v>
      </c>
      <c r="D1513" s="20" t="s">
        <v>2321</v>
      </c>
      <c r="E1513" s="6" t="s">
        <v>2322</v>
      </c>
      <c r="F1513" s="3">
        <f>SUM(2,12)</f>
        <v>14</v>
      </c>
      <c r="L1513" s="3" t="s">
        <v>2305</v>
      </c>
      <c r="N1513" s="48"/>
    </row>
    <row r="1514" spans="1:14" ht="15.75" x14ac:dyDescent="0.45">
      <c r="A1514" s="3" t="s">
        <v>2302</v>
      </c>
      <c r="B1514" s="18">
        <v>45433</v>
      </c>
      <c r="C1514" s="7" t="s">
        <v>12</v>
      </c>
      <c r="D1514" s="20" t="s">
        <v>2323</v>
      </c>
      <c r="E1514" s="6" t="s">
        <v>2324</v>
      </c>
      <c r="F1514" s="3">
        <v>2</v>
      </c>
      <c r="L1514" s="3" t="s">
        <v>2314</v>
      </c>
      <c r="N1514" s="48"/>
    </row>
    <row r="1515" spans="1:14" ht="15.75" x14ac:dyDescent="0.45">
      <c r="A1515" s="3" t="s">
        <v>2302</v>
      </c>
      <c r="B1515" s="18">
        <v>45369</v>
      </c>
      <c r="C1515" s="7" t="s">
        <v>12</v>
      </c>
      <c r="D1515" s="20" t="s">
        <v>2325</v>
      </c>
      <c r="E1515" s="6" t="s">
        <v>2326</v>
      </c>
      <c r="F1515" s="3">
        <f>SUM(2,12)</f>
        <v>14</v>
      </c>
      <c r="L1515" s="3" t="s">
        <v>2327</v>
      </c>
      <c r="N1515" s="48"/>
    </row>
    <row r="1516" spans="1:14" ht="15.75" x14ac:dyDescent="0.45">
      <c r="A1516" s="3" t="s">
        <v>2302</v>
      </c>
      <c r="B1516" s="18">
        <v>45355</v>
      </c>
      <c r="C1516" s="7" t="s">
        <v>12</v>
      </c>
      <c r="D1516" s="20" t="s">
        <v>2328</v>
      </c>
      <c r="E1516" s="6" t="s">
        <v>2329</v>
      </c>
      <c r="F1516" s="3">
        <v>3</v>
      </c>
      <c r="L1516" s="3" t="s">
        <v>2314</v>
      </c>
      <c r="N1516" s="48"/>
    </row>
    <row r="1517" spans="1:14" ht="15.75" x14ac:dyDescent="0.45">
      <c r="A1517" s="3" t="s">
        <v>2302</v>
      </c>
      <c r="B1517" s="18">
        <v>45334</v>
      </c>
      <c r="C1517" s="7" t="s">
        <v>12</v>
      </c>
      <c r="D1517" s="20" t="s">
        <v>2330</v>
      </c>
      <c r="E1517" s="6" t="s">
        <v>2331</v>
      </c>
      <c r="F1517" s="3">
        <v>2</v>
      </c>
      <c r="L1517" s="3" t="s">
        <v>2314</v>
      </c>
      <c r="N1517" s="48"/>
    </row>
    <row r="1518" spans="1:14" ht="15.75" x14ac:dyDescent="0.45">
      <c r="A1518" s="3" t="s">
        <v>2302</v>
      </c>
      <c r="B1518" s="18">
        <v>45315</v>
      </c>
      <c r="C1518" s="7" t="s">
        <v>12</v>
      </c>
      <c r="D1518" s="20" t="s">
        <v>2332</v>
      </c>
      <c r="E1518" s="6" t="s">
        <v>2333</v>
      </c>
      <c r="F1518" s="3">
        <f>SUM(2,1)</f>
        <v>3</v>
      </c>
      <c r="L1518" s="3" t="s">
        <v>2305</v>
      </c>
      <c r="N1518" s="48"/>
    </row>
    <row r="1519" spans="1:14" ht="15.75" x14ac:dyDescent="0.45">
      <c r="A1519" s="3" t="s">
        <v>2302</v>
      </c>
      <c r="B1519" s="18">
        <v>45215</v>
      </c>
      <c r="C1519" s="7" t="s">
        <v>12</v>
      </c>
      <c r="D1519" s="20" t="s">
        <v>2334</v>
      </c>
      <c r="E1519" s="6" t="s">
        <v>2335</v>
      </c>
      <c r="F1519" s="3">
        <v>2</v>
      </c>
      <c r="L1519" s="3" t="s">
        <v>2314</v>
      </c>
      <c r="N1519" s="48"/>
    </row>
    <row r="1520" spans="1:14" ht="15.75" x14ac:dyDescent="0.45">
      <c r="A1520" s="3" t="s">
        <v>2302</v>
      </c>
      <c r="B1520" s="18">
        <v>45204</v>
      </c>
      <c r="C1520" s="7" t="s">
        <v>12</v>
      </c>
      <c r="D1520" s="20" t="s">
        <v>2336</v>
      </c>
      <c r="E1520" s="6" t="s">
        <v>2337</v>
      </c>
      <c r="F1520" s="3">
        <f>SUM(2,4,7,4)</f>
        <v>17</v>
      </c>
      <c r="L1520" s="3" t="s">
        <v>2338</v>
      </c>
      <c r="N1520" s="48"/>
    </row>
    <row r="1521" spans="1:14" ht="15.75" x14ac:dyDescent="0.45">
      <c r="A1521" s="3" t="s">
        <v>2302</v>
      </c>
      <c r="B1521" s="18">
        <v>45138</v>
      </c>
      <c r="C1521" s="7" t="s">
        <v>12</v>
      </c>
      <c r="D1521" s="20" t="s">
        <v>2339</v>
      </c>
      <c r="E1521" s="6" t="s">
        <v>2340</v>
      </c>
      <c r="F1521" s="3">
        <v>2</v>
      </c>
      <c r="L1521" s="3" t="s">
        <v>2314</v>
      </c>
      <c r="N1521" s="48"/>
    </row>
    <row r="1522" spans="1:14" ht="15.75" x14ac:dyDescent="0.45">
      <c r="A1522" s="3" t="s">
        <v>2302</v>
      </c>
      <c r="B1522" s="18">
        <v>45121</v>
      </c>
      <c r="C1522" s="7" t="s">
        <v>12</v>
      </c>
      <c r="D1522" s="20" t="s">
        <v>2341</v>
      </c>
      <c r="E1522" s="6" t="s">
        <v>2342</v>
      </c>
      <c r="F1522" s="3">
        <f>SUM(2,5)</f>
        <v>7</v>
      </c>
      <c r="L1522" s="3" t="s">
        <v>2305</v>
      </c>
      <c r="N1522" s="48"/>
    </row>
    <row r="1523" spans="1:14" ht="15.75" x14ac:dyDescent="0.45">
      <c r="A1523" s="3" t="s">
        <v>2302</v>
      </c>
      <c r="B1523" s="18">
        <v>45092</v>
      </c>
      <c r="C1523" s="7" t="s">
        <v>12</v>
      </c>
      <c r="D1523" s="20" t="s">
        <v>2343</v>
      </c>
      <c r="E1523" s="6" t="s">
        <v>2344</v>
      </c>
      <c r="F1523" s="3">
        <f>SUM(2,13)</f>
        <v>15</v>
      </c>
      <c r="L1523" s="3" t="s">
        <v>2327</v>
      </c>
      <c r="N1523" s="48"/>
    </row>
    <row r="1524" spans="1:14" ht="15.75" x14ac:dyDescent="0.45">
      <c r="A1524" s="3" t="s">
        <v>2302</v>
      </c>
      <c r="B1524" s="18">
        <v>45083</v>
      </c>
      <c r="C1524" s="7" t="s">
        <v>12</v>
      </c>
      <c r="D1524" s="20" t="s">
        <v>2345</v>
      </c>
      <c r="E1524" s="6" t="s">
        <v>2346</v>
      </c>
      <c r="F1524" s="3">
        <f>SUM(2,1,1,3)</f>
        <v>7</v>
      </c>
      <c r="L1524" s="3" t="s">
        <v>2338</v>
      </c>
      <c r="N1524" s="48"/>
    </row>
    <row r="1525" spans="1:14" ht="15.75" x14ac:dyDescent="0.45">
      <c r="A1525" s="3" t="s">
        <v>2302</v>
      </c>
      <c r="B1525" s="18">
        <v>45037</v>
      </c>
      <c r="C1525" s="7" t="s">
        <v>12</v>
      </c>
      <c r="D1525" s="20" t="s">
        <v>2347</v>
      </c>
      <c r="E1525" s="6" t="s">
        <v>2348</v>
      </c>
      <c r="F1525" s="3">
        <f>SUM(2,10,2)</f>
        <v>14</v>
      </c>
      <c r="L1525" s="3" t="s">
        <v>2308</v>
      </c>
      <c r="N1525" s="48"/>
    </row>
    <row r="1526" spans="1:14" ht="15.75" x14ac:dyDescent="0.45">
      <c r="A1526" s="3" t="s">
        <v>2302</v>
      </c>
      <c r="B1526" s="18">
        <v>45021</v>
      </c>
      <c r="C1526" s="7" t="s">
        <v>12</v>
      </c>
      <c r="D1526" s="20" t="s">
        <v>2349</v>
      </c>
      <c r="E1526" s="6" t="s">
        <v>2350</v>
      </c>
      <c r="F1526" s="3">
        <f>SUM(2,10,2,SUM(2,1,1,1,1,1,1,1,1,1,1,1,1,1,1,1))</f>
        <v>31</v>
      </c>
      <c r="L1526" s="3" t="s">
        <v>2308</v>
      </c>
      <c r="N1526" s="48"/>
    </row>
    <row r="1527" spans="1:14" ht="15.75" x14ac:dyDescent="0.45">
      <c r="A1527" s="3" t="s">
        <v>2302</v>
      </c>
      <c r="B1527" s="18">
        <v>45013</v>
      </c>
      <c r="C1527" s="7" t="s">
        <v>12</v>
      </c>
      <c r="D1527" s="20" t="s">
        <v>2351</v>
      </c>
      <c r="E1527" s="6" t="s">
        <v>2352</v>
      </c>
      <c r="F1527" s="3">
        <f>SUM(2,3,SUM(3,2,6,8,1,2,4,5,3,5,4,6,3,7,7,3))</f>
        <v>74</v>
      </c>
      <c r="L1527" s="3" t="s">
        <v>2305</v>
      </c>
      <c r="N1527" s="48"/>
    </row>
    <row r="1528" spans="1:14" ht="15.75" x14ac:dyDescent="0.45">
      <c r="A1528" s="3" t="s">
        <v>2302</v>
      </c>
      <c r="B1528" s="18">
        <v>44970</v>
      </c>
      <c r="C1528" s="7" t="s">
        <v>12</v>
      </c>
      <c r="D1528" s="20" t="s">
        <v>2353</v>
      </c>
      <c r="E1528" s="6" t="s">
        <v>2354</v>
      </c>
      <c r="F1528" s="3">
        <f>SUM(2,2,SUM(6,3,10,10,10,5,5,4,5,8,7,4,6,7,6,6))</f>
        <v>106</v>
      </c>
      <c r="L1528" s="3" t="s">
        <v>2305</v>
      </c>
      <c r="N1528" s="48"/>
    </row>
    <row r="1529" spans="1:14" ht="15.75" x14ac:dyDescent="0.45">
      <c r="A1529" s="3" t="s">
        <v>2302</v>
      </c>
      <c r="B1529" s="18">
        <v>44943</v>
      </c>
      <c r="C1529" s="7" t="s">
        <v>12</v>
      </c>
      <c r="D1529" s="20" t="s">
        <v>2355</v>
      </c>
      <c r="E1529" s="6" t="s">
        <v>2356</v>
      </c>
      <c r="F1529" s="3">
        <f>SUM(2,2,SUM(6,7,5,11,6,85))</f>
        <v>124</v>
      </c>
      <c r="L1529" s="3" t="s">
        <v>2305</v>
      </c>
      <c r="N1529" s="48"/>
    </row>
    <row r="1530" spans="1:14" ht="15.75" x14ac:dyDescent="0.45">
      <c r="A1530" s="3" t="s">
        <v>2302</v>
      </c>
      <c r="B1530" s="18">
        <v>44825</v>
      </c>
      <c r="C1530" s="7" t="s">
        <v>12</v>
      </c>
      <c r="D1530" s="20" t="s">
        <v>2357</v>
      </c>
      <c r="E1530" s="6" t="s">
        <v>2358</v>
      </c>
      <c r="F1530" s="3">
        <f>SUM(2,25)</f>
        <v>27</v>
      </c>
      <c r="L1530" s="3" t="s">
        <v>2305</v>
      </c>
      <c r="N1530" s="48"/>
    </row>
    <row r="1531" spans="1:14" ht="15.75" x14ac:dyDescent="0.45">
      <c r="A1531" s="3" t="s">
        <v>2302</v>
      </c>
      <c r="B1531" s="18">
        <v>44708</v>
      </c>
      <c r="C1531" s="7" t="s">
        <v>12</v>
      </c>
      <c r="D1531" s="20" t="s">
        <v>2359</v>
      </c>
      <c r="E1531" s="6" t="s">
        <v>2360</v>
      </c>
      <c r="F1531" s="3">
        <v>3</v>
      </c>
      <c r="L1531" s="3" t="s">
        <v>2314</v>
      </c>
      <c r="N1531" s="48"/>
    </row>
    <row r="1532" spans="1:14" ht="15.75" x14ac:dyDescent="0.45">
      <c r="A1532" s="3" t="s">
        <v>2302</v>
      </c>
      <c r="B1532" s="18">
        <v>44701</v>
      </c>
      <c r="C1532" s="7" t="s">
        <v>12</v>
      </c>
      <c r="D1532" s="20" t="s">
        <v>2361</v>
      </c>
      <c r="E1532" s="6" t="s">
        <v>2362</v>
      </c>
      <c r="F1532" s="3">
        <f>SUM(2,13)</f>
        <v>15</v>
      </c>
      <c r="L1532" s="3" t="s">
        <v>2305</v>
      </c>
      <c r="N1532" s="48"/>
    </row>
    <row r="1533" spans="1:14" ht="15.75" x14ac:dyDescent="0.45">
      <c r="A1533" s="3" t="s">
        <v>2302</v>
      </c>
      <c r="B1533" s="18">
        <v>44581</v>
      </c>
      <c r="C1533" s="7" t="s">
        <v>12</v>
      </c>
      <c r="D1533" s="20" t="s">
        <v>2363</v>
      </c>
      <c r="E1533" s="6" t="s">
        <v>2364</v>
      </c>
      <c r="F1533" s="3">
        <f>SUM(2,2,11,2,15)</f>
        <v>32</v>
      </c>
      <c r="L1533" s="3" t="s">
        <v>2311</v>
      </c>
      <c r="N1533" s="48"/>
    </row>
    <row r="1534" spans="1:14" ht="15.75" x14ac:dyDescent="0.45">
      <c r="A1534" s="3" t="s">
        <v>2302</v>
      </c>
      <c r="B1534" s="18">
        <v>44488</v>
      </c>
      <c r="C1534" s="7" t="s">
        <v>12</v>
      </c>
      <c r="D1534" s="20" t="s">
        <v>2365</v>
      </c>
      <c r="E1534" s="6" t="s">
        <v>2366</v>
      </c>
      <c r="F1534" s="3">
        <f>SUM(2,4)</f>
        <v>6</v>
      </c>
      <c r="L1534" s="3" t="s">
        <v>2305</v>
      </c>
      <c r="N1534" s="48"/>
    </row>
    <row r="1535" spans="1:14" ht="15.75" x14ac:dyDescent="0.45">
      <c r="A1535" s="3" t="s">
        <v>2302</v>
      </c>
      <c r="B1535" s="18">
        <v>44235</v>
      </c>
      <c r="C1535" s="7" t="s">
        <v>12</v>
      </c>
      <c r="D1535" s="20" t="s">
        <v>2367</v>
      </c>
      <c r="E1535" s="6" t="s">
        <v>2368</v>
      </c>
      <c r="F1535" s="3">
        <f>SUM(2,1)</f>
        <v>3</v>
      </c>
      <c r="L1535" s="3" t="s">
        <v>2305</v>
      </c>
      <c r="N1535" s="48"/>
    </row>
    <row r="1536" spans="1:14" ht="15.75" x14ac:dyDescent="0.45">
      <c r="A1536" s="3" t="s">
        <v>2302</v>
      </c>
      <c r="B1536" s="18">
        <v>44181</v>
      </c>
      <c r="C1536" s="7" t="s">
        <v>12</v>
      </c>
      <c r="D1536" s="20" t="s">
        <v>2369</v>
      </c>
      <c r="E1536" s="6" t="s">
        <v>2370</v>
      </c>
      <c r="F1536" s="3">
        <f>SUM(2,99,39)</f>
        <v>140</v>
      </c>
      <c r="L1536" s="3" t="s">
        <v>2371</v>
      </c>
      <c r="N1536" s="48"/>
    </row>
    <row r="1537" spans="1:14" ht="15.75" x14ac:dyDescent="0.45">
      <c r="A1537" s="3" t="s">
        <v>2302</v>
      </c>
      <c r="B1537" s="18">
        <v>44167</v>
      </c>
      <c r="C1537" s="7" t="s">
        <v>12</v>
      </c>
      <c r="D1537" s="20" t="s">
        <v>2372</v>
      </c>
      <c r="E1537" s="6" t="s">
        <v>2373</v>
      </c>
      <c r="F1537" s="3">
        <f>SUM(2,14)</f>
        <v>16</v>
      </c>
      <c r="L1537" s="3" t="s">
        <v>2305</v>
      </c>
      <c r="N1537" s="48"/>
    </row>
    <row r="1538" spans="1:14" ht="15.75" x14ac:dyDescent="0.45">
      <c r="A1538" s="3" t="s">
        <v>2302</v>
      </c>
      <c r="B1538" s="18">
        <v>44153</v>
      </c>
      <c r="C1538" s="7" t="s">
        <v>12</v>
      </c>
      <c r="D1538" s="20" t="s">
        <v>2374</v>
      </c>
      <c r="E1538" s="6" t="s">
        <v>2375</v>
      </c>
      <c r="F1538" s="3">
        <f>SUM(2,43)</f>
        <v>45</v>
      </c>
      <c r="L1538" s="3" t="s">
        <v>2305</v>
      </c>
      <c r="N1538" s="48"/>
    </row>
    <row r="1539" spans="1:14" ht="15.75" x14ac:dyDescent="0.45">
      <c r="A1539" s="3" t="s">
        <v>2302</v>
      </c>
      <c r="B1539" s="18">
        <v>44105</v>
      </c>
      <c r="C1539" s="7" t="s">
        <v>12</v>
      </c>
      <c r="D1539" s="20" t="s">
        <v>2376</v>
      </c>
      <c r="E1539" s="6" t="s">
        <v>2377</v>
      </c>
      <c r="F1539" s="3">
        <f>SUM(2,7,4)</f>
        <v>13</v>
      </c>
      <c r="L1539" s="3" t="s">
        <v>2308</v>
      </c>
      <c r="N1539" s="48"/>
    </row>
    <row r="1540" spans="1:14" ht="15.75" x14ac:dyDescent="0.45">
      <c r="A1540" s="3" t="s">
        <v>2302</v>
      </c>
      <c r="B1540" s="18">
        <v>44097</v>
      </c>
      <c r="C1540" s="7" t="s">
        <v>12</v>
      </c>
      <c r="D1540" s="20" t="s">
        <v>2378</v>
      </c>
      <c r="E1540" s="6" t="s">
        <v>2379</v>
      </c>
      <c r="F1540" s="3">
        <f>SUM(2,4)</f>
        <v>6</v>
      </c>
      <c r="L1540" s="3" t="s">
        <v>2305</v>
      </c>
      <c r="N1540" s="48"/>
    </row>
    <row r="1541" spans="1:14" ht="15.75" x14ac:dyDescent="0.45">
      <c r="A1541" s="3" t="s">
        <v>2302</v>
      </c>
      <c r="B1541" s="18">
        <v>43994</v>
      </c>
      <c r="C1541" s="7" t="s">
        <v>12</v>
      </c>
      <c r="D1541" s="20" t="s">
        <v>2380</v>
      </c>
      <c r="E1541" s="6" t="s">
        <v>2381</v>
      </c>
      <c r="F1541" s="3">
        <f>SUM(2,1)</f>
        <v>3</v>
      </c>
      <c r="L1541" s="3" t="s">
        <v>2305</v>
      </c>
      <c r="N1541" s="48"/>
    </row>
    <row r="1542" spans="1:14" ht="15.75" x14ac:dyDescent="0.45">
      <c r="A1542" s="3" t="s">
        <v>2302</v>
      </c>
      <c r="B1542" s="18">
        <v>43991</v>
      </c>
      <c r="C1542" s="7" t="s">
        <v>12</v>
      </c>
      <c r="D1542" s="20" t="s">
        <v>2382</v>
      </c>
      <c r="E1542" s="6" t="s">
        <v>2383</v>
      </c>
      <c r="F1542" s="3">
        <f>SUM(3,8)</f>
        <v>11</v>
      </c>
      <c r="L1542" s="3" t="s">
        <v>2305</v>
      </c>
      <c r="N1542" s="48"/>
    </row>
    <row r="1543" spans="1:14" ht="15.75" x14ac:dyDescent="0.45">
      <c r="A1543" s="3" t="s">
        <v>2302</v>
      </c>
      <c r="B1543" s="18">
        <v>43978</v>
      </c>
      <c r="C1543" s="7" t="s">
        <v>12</v>
      </c>
      <c r="D1543" s="20" t="s">
        <v>2384</v>
      </c>
      <c r="E1543" s="6" t="s">
        <v>2385</v>
      </c>
      <c r="F1543" s="3">
        <f>SUM(4,25)</f>
        <v>29</v>
      </c>
      <c r="L1543" s="3" t="s">
        <v>2305</v>
      </c>
      <c r="N1543" s="48"/>
    </row>
    <row r="1544" spans="1:14" ht="15.75" x14ac:dyDescent="0.45">
      <c r="A1544" s="3" t="s">
        <v>2302</v>
      </c>
      <c r="B1544" s="18">
        <v>43952</v>
      </c>
      <c r="C1544" s="7" t="s">
        <v>12</v>
      </c>
      <c r="D1544" s="20" t="s">
        <v>2386</v>
      </c>
      <c r="E1544" s="6" t="s">
        <v>2387</v>
      </c>
      <c r="F1544" s="3">
        <v>2</v>
      </c>
      <c r="L1544" s="3" t="s">
        <v>2314</v>
      </c>
      <c r="N1544" s="48"/>
    </row>
    <row r="1545" spans="1:14" ht="15.75" x14ac:dyDescent="0.45">
      <c r="A1545" s="3" t="s">
        <v>2302</v>
      </c>
      <c r="B1545" s="18">
        <v>43917</v>
      </c>
      <c r="C1545" s="7" t="s">
        <v>12</v>
      </c>
      <c r="D1545" s="20" t="s">
        <v>2388</v>
      </c>
      <c r="E1545" s="6" t="s">
        <v>2389</v>
      </c>
      <c r="F1545" s="3">
        <f>SUM(2,10)</f>
        <v>12</v>
      </c>
      <c r="L1545" s="3" t="s">
        <v>2305</v>
      </c>
      <c r="N1545" s="48"/>
    </row>
    <row r="1546" spans="1:14" ht="15.75" x14ac:dyDescent="0.45">
      <c r="A1546" s="3" t="s">
        <v>2302</v>
      </c>
      <c r="B1546" s="18">
        <v>43864</v>
      </c>
      <c r="C1546" s="7" t="s">
        <v>12</v>
      </c>
      <c r="D1546" s="20" t="s">
        <v>2390</v>
      </c>
      <c r="E1546" s="6" t="s">
        <v>2391</v>
      </c>
      <c r="F1546" s="3">
        <f>SUM(2,1,1)</f>
        <v>4</v>
      </c>
      <c r="L1546" s="3" t="s">
        <v>2308</v>
      </c>
      <c r="N1546" s="48"/>
    </row>
    <row r="1547" spans="1:14" ht="15.75" x14ac:dyDescent="0.45">
      <c r="A1547" s="3" t="s">
        <v>2302</v>
      </c>
      <c r="B1547" s="18">
        <v>43861</v>
      </c>
      <c r="C1547" s="7" t="s">
        <v>12</v>
      </c>
      <c r="D1547" s="20" t="s">
        <v>2392</v>
      </c>
      <c r="E1547" s="6" t="s">
        <v>2393</v>
      </c>
      <c r="F1547" s="3">
        <v>4</v>
      </c>
      <c r="L1547" s="3" t="s">
        <v>2314</v>
      </c>
      <c r="N1547" s="48"/>
    </row>
    <row r="1548" spans="1:14" ht="15.75" x14ac:dyDescent="0.45">
      <c r="A1548" s="3" t="s">
        <v>2302</v>
      </c>
      <c r="B1548" s="18">
        <v>43810</v>
      </c>
      <c r="C1548" s="7" t="s">
        <v>12</v>
      </c>
      <c r="D1548" s="20" t="s">
        <v>2394</v>
      </c>
      <c r="E1548" s="6" t="s">
        <v>2395</v>
      </c>
      <c r="F1548" s="3">
        <f>SUM(2,7)</f>
        <v>9</v>
      </c>
      <c r="L1548" s="3" t="s">
        <v>2305</v>
      </c>
      <c r="N1548" s="48"/>
    </row>
    <row r="1549" spans="1:14" ht="15.75" x14ac:dyDescent="0.45">
      <c r="A1549" s="3" t="s">
        <v>2302</v>
      </c>
      <c r="B1549" s="18">
        <v>43802</v>
      </c>
      <c r="C1549" s="7" t="s">
        <v>12</v>
      </c>
      <c r="D1549" s="20" t="s">
        <v>2396</v>
      </c>
      <c r="E1549" s="6" t="s">
        <v>2397</v>
      </c>
      <c r="F1549" s="3">
        <v>2</v>
      </c>
      <c r="L1549" s="3" t="s">
        <v>2314</v>
      </c>
      <c r="N1549" s="48"/>
    </row>
    <row r="1550" spans="1:14" ht="15.75" x14ac:dyDescent="0.45">
      <c r="A1550" s="3" t="s">
        <v>2302</v>
      </c>
      <c r="B1550" s="18">
        <v>43768</v>
      </c>
      <c r="C1550" s="7" t="s">
        <v>12</v>
      </c>
      <c r="D1550" s="20" t="s">
        <v>2398</v>
      </c>
      <c r="E1550" s="6" t="s">
        <v>2399</v>
      </c>
      <c r="F1550" s="3">
        <f>SUM(2,5)</f>
        <v>7</v>
      </c>
      <c r="L1550" s="3" t="s">
        <v>2305</v>
      </c>
      <c r="N1550" s="48"/>
    </row>
    <row r="1551" spans="1:14" ht="15.75" x14ac:dyDescent="0.45">
      <c r="A1551" s="3" t="s">
        <v>2302</v>
      </c>
      <c r="B1551" s="18">
        <v>43614</v>
      </c>
      <c r="C1551" s="7" t="s">
        <v>12</v>
      </c>
      <c r="D1551" s="20" t="s">
        <v>2400</v>
      </c>
      <c r="E1551" s="6" t="s">
        <v>2401</v>
      </c>
      <c r="F1551" s="3">
        <v>2</v>
      </c>
      <c r="L1551" s="3" t="s">
        <v>2314</v>
      </c>
      <c r="N1551" s="48"/>
    </row>
    <row r="1552" spans="1:14" ht="15.75" x14ac:dyDescent="0.45">
      <c r="A1552" s="3" t="s">
        <v>2302</v>
      </c>
      <c r="B1552" s="18">
        <v>43453</v>
      </c>
      <c r="C1552" s="7" t="s">
        <v>12</v>
      </c>
      <c r="D1552" s="20" t="s">
        <v>2402</v>
      </c>
      <c r="E1552" s="6" t="s">
        <v>2403</v>
      </c>
      <c r="F1552" s="3">
        <f>SUM(2,5)</f>
        <v>7</v>
      </c>
      <c r="L1552" s="3" t="s">
        <v>2305</v>
      </c>
      <c r="N1552" s="48"/>
    </row>
    <row r="1553" spans="1:14" ht="15.75" x14ac:dyDescent="0.45">
      <c r="A1553" s="3" t="s">
        <v>2302</v>
      </c>
      <c r="B1553" s="18">
        <v>43313</v>
      </c>
      <c r="C1553" s="7" t="s">
        <v>12</v>
      </c>
      <c r="D1553" s="20" t="s">
        <v>2404</v>
      </c>
      <c r="E1553" s="6" t="s">
        <v>2405</v>
      </c>
      <c r="F1553" s="3">
        <v>2</v>
      </c>
      <c r="L1553" s="3" t="s">
        <v>2314</v>
      </c>
      <c r="N1553" s="48"/>
    </row>
    <row r="1554" spans="1:14" ht="15.75" x14ac:dyDescent="0.45">
      <c r="A1554" s="3" t="s">
        <v>2302</v>
      </c>
      <c r="B1554" s="18">
        <v>43280</v>
      </c>
      <c r="C1554" s="7" t="s">
        <v>12</v>
      </c>
      <c r="D1554" s="20" t="s">
        <v>2406</v>
      </c>
      <c r="E1554" s="6" t="s">
        <v>2407</v>
      </c>
      <c r="F1554" s="3">
        <v>3</v>
      </c>
      <c r="L1554" s="3" t="s">
        <v>2314</v>
      </c>
      <c r="N1554" s="48"/>
    </row>
    <row r="1555" spans="1:14" ht="15.75" x14ac:dyDescent="0.45">
      <c r="A1555" s="3" t="s">
        <v>2302</v>
      </c>
      <c r="B1555" s="18">
        <v>43154</v>
      </c>
      <c r="C1555" s="7" t="s">
        <v>12</v>
      </c>
      <c r="D1555" s="20" t="s">
        <v>2408</v>
      </c>
      <c r="E1555" s="6" t="s">
        <v>2409</v>
      </c>
      <c r="F1555" s="3">
        <f>SUM(2,1)</f>
        <v>3</v>
      </c>
      <c r="L1555" s="3" t="s">
        <v>2305</v>
      </c>
      <c r="N1555" s="48"/>
    </row>
    <row r="1556" spans="1:14" ht="15.75" x14ac:dyDescent="0.45">
      <c r="A1556" s="3" t="s">
        <v>2302</v>
      </c>
      <c r="B1556" s="18">
        <v>43119</v>
      </c>
      <c r="C1556" s="7" t="s">
        <v>12</v>
      </c>
      <c r="D1556" s="20" t="s">
        <v>2410</v>
      </c>
      <c r="E1556" s="6" t="s">
        <v>2411</v>
      </c>
      <c r="F1556" s="3">
        <f>SUM(2,2,15,2,11)</f>
        <v>32</v>
      </c>
      <c r="L1556" s="3" t="s">
        <v>2311</v>
      </c>
      <c r="N1556" s="48"/>
    </row>
    <row r="1557" spans="1:14" ht="15.75" x14ac:dyDescent="0.45">
      <c r="A1557" s="3" t="s">
        <v>2302</v>
      </c>
      <c r="B1557" s="18">
        <v>43046</v>
      </c>
      <c r="C1557" s="7" t="s">
        <v>12</v>
      </c>
      <c r="D1557" s="20" t="s">
        <v>2412</v>
      </c>
      <c r="E1557" s="6" t="s">
        <v>2413</v>
      </c>
      <c r="F1557" s="3">
        <v>2</v>
      </c>
      <c r="L1557" s="3" t="s">
        <v>2314</v>
      </c>
      <c r="N1557" s="48"/>
    </row>
    <row r="1558" spans="1:14" ht="15.75" x14ac:dyDescent="0.45">
      <c r="A1558" s="3" t="s">
        <v>2302</v>
      </c>
      <c r="B1558" s="18">
        <v>42997</v>
      </c>
      <c r="C1558" s="7" t="s">
        <v>12</v>
      </c>
      <c r="D1558" s="20" t="s">
        <v>2414</v>
      </c>
      <c r="E1558" s="6" t="s">
        <v>2415</v>
      </c>
      <c r="F1558" s="3">
        <f>SUM(2,109)</f>
        <v>111</v>
      </c>
      <c r="L1558" s="3" t="s">
        <v>2305</v>
      </c>
      <c r="N1558" s="48"/>
    </row>
    <row r="1559" spans="1:14" ht="15.75" x14ac:dyDescent="0.45">
      <c r="A1559" s="3" t="s">
        <v>2302</v>
      </c>
      <c r="B1559" s="18">
        <v>42991</v>
      </c>
      <c r="C1559" s="7" t="s">
        <v>12</v>
      </c>
      <c r="D1559" s="20" t="s">
        <v>2416</v>
      </c>
      <c r="E1559" s="6" t="s">
        <v>2417</v>
      </c>
      <c r="F1559" s="3">
        <f>SUM(2,2,23)</f>
        <v>27</v>
      </c>
      <c r="L1559" s="3" t="s">
        <v>2308</v>
      </c>
      <c r="N1559" s="48"/>
    </row>
    <row r="1560" spans="1:14" ht="15.75" x14ac:dyDescent="0.45">
      <c r="A1560" s="3" t="s">
        <v>2302</v>
      </c>
      <c r="B1560" s="18">
        <v>42933</v>
      </c>
      <c r="C1560" s="7" t="s">
        <v>12</v>
      </c>
      <c r="D1560" s="20" t="s">
        <v>2418</v>
      </c>
      <c r="E1560" s="6" t="s">
        <v>2419</v>
      </c>
      <c r="F1560" s="3">
        <f>SUM(1,22)</f>
        <v>23</v>
      </c>
      <c r="L1560" s="3" t="s">
        <v>2305</v>
      </c>
      <c r="N1560" s="48"/>
    </row>
    <row r="1561" spans="1:14" ht="15.75" x14ac:dyDescent="0.45">
      <c r="A1561" s="3" t="s">
        <v>2302</v>
      </c>
      <c r="B1561" s="18">
        <v>42927</v>
      </c>
      <c r="C1561" s="7" t="s">
        <v>12</v>
      </c>
      <c r="D1561" s="20" t="s">
        <v>2420</v>
      </c>
      <c r="E1561" s="6" t="s">
        <v>2421</v>
      </c>
      <c r="F1561" s="3">
        <v>2</v>
      </c>
      <c r="L1561" s="3" t="s">
        <v>2314</v>
      </c>
      <c r="N1561" s="48"/>
    </row>
    <row r="1562" spans="1:14" ht="15.75" x14ac:dyDescent="0.45">
      <c r="A1562" s="3" t="s">
        <v>2302</v>
      </c>
      <c r="B1562" s="18">
        <v>42878</v>
      </c>
      <c r="C1562" s="7" t="s">
        <v>12</v>
      </c>
      <c r="D1562" s="20" t="s">
        <v>2422</v>
      </c>
      <c r="E1562" s="6" t="s">
        <v>2423</v>
      </c>
      <c r="F1562" s="3">
        <f>SUM(2,12)</f>
        <v>14</v>
      </c>
      <c r="L1562" s="3" t="s">
        <v>2305</v>
      </c>
      <c r="N1562" s="48"/>
    </row>
    <row r="1563" spans="1:14" ht="15.75" x14ac:dyDescent="0.45">
      <c r="A1563" s="3" t="s">
        <v>2302</v>
      </c>
      <c r="B1563" s="18">
        <v>42835</v>
      </c>
      <c r="C1563" s="7" t="s">
        <v>12</v>
      </c>
      <c r="D1563" s="20" t="s">
        <v>2424</v>
      </c>
      <c r="E1563" s="6" t="s">
        <v>2425</v>
      </c>
      <c r="F1563" s="3">
        <v>4</v>
      </c>
      <c r="L1563" s="3" t="s">
        <v>2314</v>
      </c>
      <c r="N1563" s="48"/>
    </row>
    <row r="1564" spans="1:14" ht="15.75" x14ac:dyDescent="0.45">
      <c r="A1564" s="3" t="s">
        <v>2302</v>
      </c>
      <c r="B1564" s="18">
        <v>42724</v>
      </c>
      <c r="C1564" s="7" t="s">
        <v>12</v>
      </c>
      <c r="D1564" s="20" t="s">
        <v>2426</v>
      </c>
      <c r="E1564" s="6" t="s">
        <v>2427</v>
      </c>
      <c r="F1564" s="3">
        <f>SUM(3,2)</f>
        <v>5</v>
      </c>
      <c r="L1564" s="3" t="s">
        <v>2305</v>
      </c>
      <c r="N1564" s="48"/>
    </row>
    <row r="1565" spans="1:14" ht="15.75" x14ac:dyDescent="0.45">
      <c r="A1565" s="3" t="s">
        <v>2302</v>
      </c>
      <c r="B1565" s="18">
        <v>42475</v>
      </c>
      <c r="C1565" s="7" t="s">
        <v>12</v>
      </c>
      <c r="D1565" s="20" t="s">
        <v>2428</v>
      </c>
      <c r="E1565" s="6" t="s">
        <v>2429</v>
      </c>
      <c r="F1565" s="3">
        <v>3</v>
      </c>
      <c r="L1565" s="3" t="s">
        <v>2314</v>
      </c>
      <c r="N1565" s="48"/>
    </row>
    <row r="1566" spans="1:14" ht="15.75" x14ac:dyDescent="0.45">
      <c r="A1566" s="3" t="s">
        <v>2302</v>
      </c>
      <c r="B1566" s="18">
        <v>42438</v>
      </c>
      <c r="C1566" s="7" t="s">
        <v>12</v>
      </c>
      <c r="D1566" s="20" t="s">
        <v>2430</v>
      </c>
      <c r="E1566" s="6" t="s">
        <v>2431</v>
      </c>
      <c r="F1566" s="3">
        <v>2</v>
      </c>
      <c r="L1566" s="3" t="s">
        <v>2314</v>
      </c>
      <c r="N1566" s="48"/>
    </row>
    <row r="1567" spans="1:14" ht="15.75" x14ac:dyDescent="0.45">
      <c r="A1567" s="3" t="s">
        <v>2302</v>
      </c>
      <c r="B1567" s="18">
        <v>42117</v>
      </c>
      <c r="C1567" s="7" t="s">
        <v>12</v>
      </c>
      <c r="D1567" s="20" t="s">
        <v>2432</v>
      </c>
      <c r="E1567" s="6" t="s">
        <v>2433</v>
      </c>
      <c r="F1567" s="3">
        <f>SUM(2,4,30)</f>
        <v>36</v>
      </c>
      <c r="L1567" s="3" t="s">
        <v>2308</v>
      </c>
      <c r="N1567" s="48"/>
    </row>
    <row r="1568" spans="1:14" ht="15.75" x14ac:dyDescent="0.45">
      <c r="A1568" s="3" t="s">
        <v>2302</v>
      </c>
      <c r="B1568" s="18">
        <v>41960</v>
      </c>
      <c r="C1568" s="7" t="s">
        <v>12</v>
      </c>
      <c r="D1568" s="20" t="s">
        <v>2434</v>
      </c>
      <c r="E1568" s="6" t="s">
        <v>2435</v>
      </c>
      <c r="F1568" s="3">
        <f>SUM(3,40)</f>
        <v>43</v>
      </c>
      <c r="L1568" s="3" t="s">
        <v>2305</v>
      </c>
      <c r="N1568" s="48"/>
    </row>
    <row r="1569" spans="1:14" ht="15.75" x14ac:dyDescent="0.45">
      <c r="A1569" s="3" t="s">
        <v>2302</v>
      </c>
      <c r="B1569" s="18">
        <v>41927</v>
      </c>
      <c r="C1569" s="7" t="s">
        <v>12</v>
      </c>
      <c r="D1569" s="20" t="s">
        <v>2436</v>
      </c>
      <c r="E1569" s="6" t="s">
        <v>2437</v>
      </c>
      <c r="F1569" s="3">
        <f>SUM(3,1)</f>
        <v>4</v>
      </c>
      <c r="L1569" s="3" t="s">
        <v>2305</v>
      </c>
      <c r="N1569" s="48"/>
    </row>
    <row r="1570" spans="1:14" ht="15.75" x14ac:dyDescent="0.45">
      <c r="A1570" s="3" t="s">
        <v>2302</v>
      </c>
      <c r="B1570" s="18">
        <v>41921</v>
      </c>
      <c r="C1570" s="7" t="s">
        <v>12</v>
      </c>
      <c r="D1570" s="20" t="s">
        <v>2438</v>
      </c>
      <c r="E1570" s="6" t="s">
        <v>2439</v>
      </c>
      <c r="F1570" s="3">
        <v>3</v>
      </c>
      <c r="L1570" s="3" t="s">
        <v>2314</v>
      </c>
      <c r="N1570" s="48"/>
    </row>
    <row r="1571" spans="1:14" ht="15.75" x14ac:dyDescent="0.45">
      <c r="A1571" s="3" t="s">
        <v>2302</v>
      </c>
      <c r="B1571" s="18">
        <v>41912</v>
      </c>
      <c r="C1571" s="7" t="s">
        <v>12</v>
      </c>
      <c r="D1571" s="20" t="s">
        <v>2440</v>
      </c>
      <c r="E1571" s="6" t="s">
        <v>2441</v>
      </c>
      <c r="F1571" s="3">
        <f>SUM(5,7)</f>
        <v>12</v>
      </c>
      <c r="L1571" s="3" t="s">
        <v>2305</v>
      </c>
      <c r="N1571" s="48"/>
    </row>
    <row r="1572" spans="1:14" ht="15.75" x14ac:dyDescent="0.45">
      <c r="A1572" s="3" t="s">
        <v>2302</v>
      </c>
      <c r="B1572" s="18">
        <v>41864</v>
      </c>
      <c r="C1572" s="7" t="s">
        <v>12</v>
      </c>
      <c r="D1572" s="20" t="s">
        <v>2442</v>
      </c>
      <c r="E1572" s="6" t="s">
        <v>2443</v>
      </c>
      <c r="F1572" s="3">
        <f>SUM(2,5,1)</f>
        <v>8</v>
      </c>
      <c r="L1572" s="3" t="s">
        <v>2308</v>
      </c>
      <c r="N1572" s="48"/>
    </row>
    <row r="1573" spans="1:14" ht="15.75" x14ac:dyDescent="0.45">
      <c r="A1573" s="3" t="s">
        <v>2302</v>
      </c>
      <c r="B1573" s="18">
        <v>41628</v>
      </c>
      <c r="C1573" s="7" t="s">
        <v>12</v>
      </c>
      <c r="D1573" s="20" t="s">
        <v>2444</v>
      </c>
      <c r="E1573" s="6" t="s">
        <v>2445</v>
      </c>
      <c r="F1573" s="3">
        <f>SUM(2,13)</f>
        <v>15</v>
      </c>
      <c r="L1573" s="3" t="s">
        <v>2305</v>
      </c>
      <c r="N1573" s="48"/>
    </row>
    <row r="1574" spans="1:14" ht="15.75" x14ac:dyDescent="0.45">
      <c r="A1574" s="3" t="s">
        <v>2302</v>
      </c>
      <c r="B1574" s="18">
        <v>41078</v>
      </c>
      <c r="C1574" s="7" t="s">
        <v>12</v>
      </c>
      <c r="D1574" s="20" t="s">
        <v>2446</v>
      </c>
      <c r="E1574" s="6" t="s">
        <v>2447</v>
      </c>
      <c r="F1574" s="3">
        <v>10</v>
      </c>
      <c r="L1574" s="3" t="s">
        <v>2314</v>
      </c>
      <c r="N1574" s="48"/>
    </row>
    <row r="1575" spans="1:14" ht="15.75" x14ac:dyDescent="0.45">
      <c r="A1575" s="3" t="s">
        <v>2302</v>
      </c>
      <c r="B1575" s="18">
        <v>40886</v>
      </c>
      <c r="C1575" s="7" t="s">
        <v>12</v>
      </c>
      <c r="D1575" s="20" t="s">
        <v>2448</v>
      </c>
      <c r="E1575" s="6" t="s">
        <v>2449</v>
      </c>
      <c r="F1575" s="3">
        <v>3</v>
      </c>
      <c r="L1575" s="3" t="s">
        <v>2314</v>
      </c>
      <c r="N1575" s="48"/>
    </row>
    <row r="1576" spans="1:14" ht="15.75" x14ac:dyDescent="0.45">
      <c r="A1576" s="3" t="s">
        <v>2302</v>
      </c>
      <c r="B1576" s="18">
        <v>40833</v>
      </c>
      <c r="C1576" s="7" t="s">
        <v>12</v>
      </c>
      <c r="D1576" s="20" t="s">
        <v>2450</v>
      </c>
      <c r="E1576" s="6" t="s">
        <v>2451</v>
      </c>
      <c r="F1576" s="3">
        <f>SUM(3,24,3)</f>
        <v>30</v>
      </c>
      <c r="L1576" s="3" t="s">
        <v>2308</v>
      </c>
      <c r="N1576" s="48"/>
    </row>
    <row r="1577" spans="1:14" ht="15.75" x14ac:dyDescent="0.45">
      <c r="A1577" s="3" t="s">
        <v>2302</v>
      </c>
      <c r="B1577" s="18">
        <v>40569</v>
      </c>
      <c r="C1577" s="7" t="s">
        <v>12</v>
      </c>
      <c r="D1577" s="20" t="s">
        <v>2452</v>
      </c>
      <c r="E1577" s="6" t="s">
        <v>2453</v>
      </c>
      <c r="F1577" s="3">
        <f>SUM(3,3,4,7)</f>
        <v>17</v>
      </c>
      <c r="L1577" s="3" t="s">
        <v>2338</v>
      </c>
      <c r="N1577" s="48"/>
    </row>
    <row r="1578" spans="1:14" ht="15.75" x14ac:dyDescent="0.45">
      <c r="A1578" s="3" t="s">
        <v>2302</v>
      </c>
      <c r="B1578" s="18">
        <v>40541</v>
      </c>
      <c r="C1578" s="7" t="s">
        <v>12</v>
      </c>
      <c r="D1578" s="20" t="s">
        <v>2454</v>
      </c>
      <c r="E1578" s="6" t="s">
        <v>2455</v>
      </c>
      <c r="F1578" s="3">
        <f>SUM(2,15)</f>
        <v>17</v>
      </c>
      <c r="L1578" s="3" t="s">
        <v>2305</v>
      </c>
      <c r="N1578" s="48"/>
    </row>
    <row r="1579" spans="1:14" ht="15.75" x14ac:dyDescent="0.45">
      <c r="A1579" s="3" t="s">
        <v>2302</v>
      </c>
      <c r="B1579" s="18">
        <v>40500</v>
      </c>
      <c r="C1579" s="7" t="s">
        <v>12</v>
      </c>
      <c r="D1579" s="20" t="s">
        <v>2456</v>
      </c>
      <c r="E1579" s="6" t="s">
        <v>2457</v>
      </c>
      <c r="F1579" s="3">
        <v>3</v>
      </c>
      <c r="L1579" s="3" t="s">
        <v>2314</v>
      </c>
      <c r="N1579" s="48"/>
    </row>
    <row r="1580" spans="1:14" ht="15.75" x14ac:dyDescent="0.45">
      <c r="A1580" s="3" t="s">
        <v>2302</v>
      </c>
      <c r="B1580" s="18">
        <v>40479</v>
      </c>
      <c r="C1580" s="7" t="s">
        <v>12</v>
      </c>
      <c r="D1580" s="20" t="s">
        <v>2458</v>
      </c>
      <c r="E1580" s="6" t="s">
        <v>2459</v>
      </c>
      <c r="F1580" s="3">
        <f>SUM(2,23)</f>
        <v>25</v>
      </c>
      <c r="L1580" s="3" t="s">
        <v>2305</v>
      </c>
      <c r="N1580" s="48"/>
    </row>
    <row r="1581" spans="1:14" ht="15.75" x14ac:dyDescent="0.45">
      <c r="A1581" s="3" t="s">
        <v>2302</v>
      </c>
      <c r="B1581" s="18">
        <v>40361</v>
      </c>
      <c r="C1581" s="7" t="s">
        <v>12</v>
      </c>
      <c r="D1581" s="20" t="s">
        <v>2460</v>
      </c>
      <c r="E1581" s="6" t="s">
        <v>2461</v>
      </c>
      <c r="F1581" s="3">
        <f>SUM(2,34)</f>
        <v>36</v>
      </c>
      <c r="L1581" s="3" t="s">
        <v>2305</v>
      </c>
      <c r="N1581" s="48"/>
    </row>
    <row r="1582" spans="1:14" ht="15.75" x14ac:dyDescent="0.45">
      <c r="A1582" s="3" t="s">
        <v>2302</v>
      </c>
      <c r="B1582" s="18">
        <v>40340</v>
      </c>
      <c r="C1582" s="7" t="s">
        <v>12</v>
      </c>
      <c r="D1582" s="20" t="s">
        <v>2462</v>
      </c>
      <c r="E1582" s="6" t="s">
        <v>2463</v>
      </c>
      <c r="F1582" s="3">
        <v>2</v>
      </c>
      <c r="L1582" s="3" t="s">
        <v>2314</v>
      </c>
      <c r="N1582" s="48"/>
    </row>
    <row r="1583" spans="1:14" ht="15.75" x14ac:dyDescent="0.45">
      <c r="A1583" s="3" t="s">
        <v>2302</v>
      </c>
      <c r="B1583" s="18">
        <v>40340</v>
      </c>
      <c r="C1583" s="7" t="s">
        <v>12</v>
      </c>
      <c r="D1583" s="20" t="s">
        <v>2464</v>
      </c>
      <c r="E1583" s="6" t="s">
        <v>2465</v>
      </c>
      <c r="F1583" s="3">
        <f>SUM(3,43)</f>
        <v>46</v>
      </c>
      <c r="L1583" s="3" t="s">
        <v>2305</v>
      </c>
      <c r="N1583" s="48"/>
    </row>
    <row r="1584" spans="1:14" ht="15.75" x14ac:dyDescent="0.45">
      <c r="A1584" s="3" t="s">
        <v>2302</v>
      </c>
      <c r="B1584" s="18">
        <v>40339</v>
      </c>
      <c r="C1584" s="7" t="s">
        <v>12</v>
      </c>
      <c r="D1584" s="20" t="s">
        <v>2466</v>
      </c>
      <c r="E1584" s="6" t="s">
        <v>2467</v>
      </c>
      <c r="F1584" s="3">
        <f>SUM(2,13)</f>
        <v>15</v>
      </c>
      <c r="L1584" s="3" t="s">
        <v>2305</v>
      </c>
      <c r="N1584" s="48"/>
    </row>
    <row r="1585" spans="1:14" ht="15.75" x14ac:dyDescent="0.45">
      <c r="A1585" s="3" t="s">
        <v>2302</v>
      </c>
      <c r="B1585" s="18">
        <v>40235</v>
      </c>
      <c r="C1585" s="7" t="s">
        <v>12</v>
      </c>
      <c r="D1585" s="20" t="s">
        <v>2468</v>
      </c>
      <c r="E1585" s="6" t="s">
        <v>2469</v>
      </c>
      <c r="F1585" s="3">
        <f>SUM(2,17)</f>
        <v>19</v>
      </c>
      <c r="L1585" s="3" t="s">
        <v>2305</v>
      </c>
      <c r="N1585" s="48"/>
    </row>
    <row r="1586" spans="1:14" ht="15.75" x14ac:dyDescent="0.45">
      <c r="A1586" s="3" t="s">
        <v>2302</v>
      </c>
      <c r="B1586" s="18">
        <v>39793</v>
      </c>
      <c r="C1586" s="7" t="s">
        <v>12</v>
      </c>
      <c r="D1586" s="20" t="s">
        <v>2470</v>
      </c>
      <c r="E1586" s="6" t="s">
        <v>2471</v>
      </c>
      <c r="F1586" s="3">
        <f>SUM(2,24)</f>
        <v>26</v>
      </c>
      <c r="L1586" s="3" t="s">
        <v>2305</v>
      </c>
      <c r="N1586" s="48"/>
    </row>
    <row r="1587" spans="1:14" ht="15.75" x14ac:dyDescent="0.45">
      <c r="A1587" s="3" t="s">
        <v>2302</v>
      </c>
      <c r="B1587" s="18">
        <v>39793</v>
      </c>
      <c r="C1587" s="7" t="s">
        <v>12</v>
      </c>
      <c r="D1587" s="20" t="s">
        <v>2472</v>
      </c>
      <c r="E1587" s="6" t="s">
        <v>2473</v>
      </c>
      <c r="F1587" s="3">
        <f>SUM(2,19)</f>
        <v>21</v>
      </c>
      <c r="L1587" s="3" t="s">
        <v>2305</v>
      </c>
      <c r="N1587" s="48"/>
    </row>
    <row r="1588" spans="1:14" ht="15.75" x14ac:dyDescent="0.45">
      <c r="A1588" s="3" t="s">
        <v>2302</v>
      </c>
      <c r="B1588" s="18">
        <v>39721</v>
      </c>
      <c r="C1588" s="7" t="s">
        <v>12</v>
      </c>
      <c r="D1588" s="20" t="s">
        <v>2474</v>
      </c>
      <c r="E1588" s="6" t="s">
        <v>2475</v>
      </c>
      <c r="F1588" s="3">
        <f>SUM(2,26,4)</f>
        <v>32</v>
      </c>
      <c r="L1588" s="3" t="s">
        <v>2476</v>
      </c>
      <c r="N1588" s="48"/>
    </row>
    <row r="1589" spans="1:14" ht="15.75" x14ac:dyDescent="0.45">
      <c r="A1589" s="3" t="s">
        <v>2302</v>
      </c>
      <c r="B1589" s="18">
        <v>39653</v>
      </c>
      <c r="C1589" s="7" t="s">
        <v>12</v>
      </c>
      <c r="D1589" s="20" t="s">
        <v>2477</v>
      </c>
      <c r="E1589" s="6" t="s">
        <v>2478</v>
      </c>
      <c r="F1589" s="3">
        <f>SUM(2,28)</f>
        <v>30</v>
      </c>
      <c r="L1589" s="3" t="s">
        <v>2305</v>
      </c>
      <c r="N1589" s="48"/>
    </row>
    <row r="1590" spans="1:14" ht="15.75" x14ac:dyDescent="0.45">
      <c r="A1590" s="3" t="s">
        <v>2302</v>
      </c>
      <c r="B1590" s="18">
        <v>39610</v>
      </c>
      <c r="C1590" s="7" t="s">
        <v>12</v>
      </c>
      <c r="D1590" s="20" t="s">
        <v>2479</v>
      </c>
      <c r="E1590" s="6" t="s">
        <v>2480</v>
      </c>
      <c r="F1590" s="3">
        <f>SUM(3,17)</f>
        <v>20</v>
      </c>
      <c r="L1590" s="3" t="s">
        <v>2305</v>
      </c>
      <c r="N1590" s="48"/>
    </row>
    <row r="1591" spans="1:14" ht="15.75" x14ac:dyDescent="0.45">
      <c r="A1591" s="3" t="s">
        <v>2302</v>
      </c>
      <c r="B1591" s="18">
        <v>39584</v>
      </c>
      <c r="C1591" s="7" t="s">
        <v>12</v>
      </c>
      <c r="D1591" s="20" t="s">
        <v>2481</v>
      </c>
      <c r="E1591" s="6" t="s">
        <v>2482</v>
      </c>
      <c r="F1591" s="3">
        <f>SUM(2,9)</f>
        <v>11</v>
      </c>
      <c r="L1591" s="3" t="s">
        <v>2483</v>
      </c>
      <c r="N1591" s="48"/>
    </row>
    <row r="1592" spans="1:14" ht="15.75" x14ac:dyDescent="0.45">
      <c r="A1592" s="3" t="s">
        <v>2302</v>
      </c>
      <c r="B1592" s="18">
        <v>39514</v>
      </c>
      <c r="C1592" s="7" t="s">
        <v>12</v>
      </c>
      <c r="D1592" s="20" t="s">
        <v>2484</v>
      </c>
      <c r="E1592" s="6" t="s">
        <v>2485</v>
      </c>
      <c r="F1592" s="3">
        <f>SUM(2,14)</f>
        <v>16</v>
      </c>
      <c r="L1592" s="3" t="s">
        <v>2305</v>
      </c>
      <c r="N1592" s="48"/>
    </row>
    <row r="1593" spans="1:14" ht="15.75" x14ac:dyDescent="0.45">
      <c r="A1593" s="3" t="s">
        <v>2302</v>
      </c>
      <c r="B1593" s="18">
        <v>39274</v>
      </c>
      <c r="C1593" s="7" t="s">
        <v>12</v>
      </c>
      <c r="D1593" s="20" t="s">
        <v>2486</v>
      </c>
      <c r="E1593" s="6" t="s">
        <v>2487</v>
      </c>
      <c r="F1593" s="3">
        <f>SUM(3,48)</f>
        <v>51</v>
      </c>
      <c r="L1593" s="3" t="s">
        <v>2305</v>
      </c>
      <c r="N1593" s="48"/>
    </row>
    <row r="1594" spans="1:14" ht="15.75" x14ac:dyDescent="0.45">
      <c r="A1594" s="3" t="s">
        <v>2302</v>
      </c>
      <c r="B1594" s="18">
        <v>39272</v>
      </c>
      <c r="C1594" s="7" t="s">
        <v>12</v>
      </c>
      <c r="D1594" s="20" t="s">
        <v>2488</v>
      </c>
      <c r="E1594" s="6" t="s">
        <v>2489</v>
      </c>
      <c r="F1594" s="3">
        <f>SUM(2,17)</f>
        <v>19</v>
      </c>
      <c r="L1594" s="3" t="s">
        <v>2305</v>
      </c>
      <c r="N1594" s="48"/>
    </row>
    <row r="1595" spans="1:14" ht="15.75" x14ac:dyDescent="0.45">
      <c r="A1595" s="3" t="s">
        <v>2302</v>
      </c>
      <c r="B1595" s="18">
        <v>39220</v>
      </c>
      <c r="C1595" s="7" t="s">
        <v>12</v>
      </c>
      <c r="D1595" s="20" t="s">
        <v>2490</v>
      </c>
      <c r="E1595" s="6" t="s">
        <v>2491</v>
      </c>
      <c r="F1595" s="3">
        <v>7</v>
      </c>
      <c r="N1595" s="48"/>
    </row>
    <row r="1596" spans="1:14" ht="15.75" x14ac:dyDescent="0.45">
      <c r="A1596" s="3" t="s">
        <v>2302</v>
      </c>
      <c r="B1596" s="18">
        <v>39106</v>
      </c>
      <c r="C1596" s="7" t="s">
        <v>12</v>
      </c>
      <c r="D1596" s="20" t="s">
        <v>2492</v>
      </c>
      <c r="E1596" s="6" t="s">
        <v>2493</v>
      </c>
      <c r="F1596" s="3">
        <f>SUM(2,10)</f>
        <v>12</v>
      </c>
      <c r="L1596" s="3" t="s">
        <v>2305</v>
      </c>
      <c r="N1596" s="48"/>
    </row>
    <row r="1597" spans="1:14" ht="15.75" x14ac:dyDescent="0.45">
      <c r="A1597" s="3" t="s">
        <v>2302</v>
      </c>
      <c r="B1597" s="18">
        <v>39037</v>
      </c>
      <c r="C1597" s="7" t="s">
        <v>12</v>
      </c>
      <c r="D1597" s="20" t="s">
        <v>2494</v>
      </c>
      <c r="E1597" s="6" t="s">
        <v>2495</v>
      </c>
      <c r="F1597" s="3">
        <v>3</v>
      </c>
      <c r="L1597" s="3" t="s">
        <v>2314</v>
      </c>
      <c r="N1597" s="48"/>
    </row>
    <row r="1598" spans="1:14" ht="15.75" x14ac:dyDescent="0.45">
      <c r="A1598" s="3" t="s">
        <v>2302</v>
      </c>
      <c r="B1598" s="18">
        <v>38982</v>
      </c>
      <c r="C1598" s="7" t="s">
        <v>12</v>
      </c>
      <c r="D1598" s="20" t="s">
        <v>2496</v>
      </c>
      <c r="E1598" s="6" t="s">
        <v>2497</v>
      </c>
      <c r="F1598" s="3">
        <f>SUM(2,6,2,5)</f>
        <v>15</v>
      </c>
      <c r="L1598" s="3" t="s">
        <v>2338</v>
      </c>
      <c r="N1598" s="48"/>
    </row>
    <row r="1599" spans="1:14" ht="15.75" x14ac:dyDescent="0.45">
      <c r="A1599" s="3" t="s">
        <v>2302</v>
      </c>
      <c r="B1599" s="18">
        <v>38980</v>
      </c>
      <c r="C1599" s="7" t="s">
        <v>12</v>
      </c>
      <c r="D1599" s="20" t="s">
        <v>2498</v>
      </c>
      <c r="E1599" s="6" t="s">
        <v>2499</v>
      </c>
      <c r="F1599" s="3">
        <f>SUM(2,10)</f>
        <v>12</v>
      </c>
      <c r="L1599" s="3" t="s">
        <v>2305</v>
      </c>
      <c r="N1599" s="48"/>
    </row>
    <row r="1600" spans="1:14" ht="15.75" x14ac:dyDescent="0.45">
      <c r="A1600" s="3" t="s">
        <v>2302</v>
      </c>
      <c r="B1600" s="18">
        <v>38940</v>
      </c>
      <c r="C1600" s="7" t="s">
        <v>12</v>
      </c>
      <c r="D1600" s="20" t="s">
        <v>2500</v>
      </c>
      <c r="E1600" s="6" t="s">
        <v>2501</v>
      </c>
      <c r="F1600" s="3">
        <v>16</v>
      </c>
      <c r="L1600" s="3" t="s">
        <v>2314</v>
      </c>
      <c r="N1600" s="48"/>
    </row>
    <row r="1601" spans="1:14" ht="15.75" x14ac:dyDescent="0.45">
      <c r="A1601" s="3" t="s">
        <v>2302</v>
      </c>
      <c r="B1601" s="18">
        <v>38862</v>
      </c>
      <c r="C1601" s="7" t="s">
        <v>12</v>
      </c>
      <c r="D1601" s="20" t="s">
        <v>2502</v>
      </c>
      <c r="E1601" s="6" t="s">
        <v>2503</v>
      </c>
      <c r="F1601" s="3">
        <f>SUM(2,3)</f>
        <v>5</v>
      </c>
      <c r="L1601" s="3" t="s">
        <v>2305</v>
      </c>
      <c r="N1601" s="48"/>
    </row>
    <row r="1602" spans="1:14" ht="15.75" x14ac:dyDescent="0.45">
      <c r="A1602" s="3" t="s">
        <v>2302</v>
      </c>
      <c r="B1602" s="18">
        <v>38783</v>
      </c>
      <c r="C1602" s="7" t="s">
        <v>12</v>
      </c>
      <c r="D1602" s="20" t="s">
        <v>2504</v>
      </c>
      <c r="E1602" s="6" t="s">
        <v>2505</v>
      </c>
      <c r="F1602" s="3">
        <f>SUM(5,9)</f>
        <v>14</v>
      </c>
      <c r="L1602" s="3" t="s">
        <v>2305</v>
      </c>
      <c r="N1602" s="48"/>
    </row>
    <row r="1603" spans="1:14" ht="15.75" x14ac:dyDescent="0.45">
      <c r="A1603" s="3" t="s">
        <v>2302</v>
      </c>
      <c r="B1603" s="18">
        <v>38646</v>
      </c>
      <c r="C1603" s="7" t="s">
        <v>12</v>
      </c>
      <c r="D1603" s="20" t="s">
        <v>2506</v>
      </c>
      <c r="E1603" s="6" t="s">
        <v>2507</v>
      </c>
      <c r="F1603" s="3">
        <f>SUM(2,14)</f>
        <v>16</v>
      </c>
      <c r="L1603" s="3" t="s">
        <v>2305</v>
      </c>
      <c r="N1603" s="48"/>
    </row>
    <row r="1604" spans="1:14" ht="15.75" x14ac:dyDescent="0.45">
      <c r="A1604" s="3" t="s">
        <v>2302</v>
      </c>
      <c r="B1604" s="18">
        <v>38601</v>
      </c>
      <c r="C1604" s="7" t="s">
        <v>12</v>
      </c>
      <c r="D1604" s="20" t="s">
        <v>2508</v>
      </c>
      <c r="E1604" s="6" t="s">
        <v>2509</v>
      </c>
      <c r="F1604" s="3">
        <v>4</v>
      </c>
      <c r="L1604" s="3" t="s">
        <v>2314</v>
      </c>
      <c r="N1604" s="48"/>
    </row>
    <row r="1605" spans="1:14" ht="15.75" x14ac:dyDescent="0.45">
      <c r="A1605" s="3" t="s">
        <v>2302</v>
      </c>
      <c r="B1605" s="18">
        <v>38484</v>
      </c>
      <c r="C1605" s="7" t="s">
        <v>12</v>
      </c>
      <c r="D1605" s="20" t="s">
        <v>2510</v>
      </c>
      <c r="E1605" s="6" t="s">
        <v>2511</v>
      </c>
      <c r="F1605" s="3">
        <f>SUM(3,3,19)</f>
        <v>25</v>
      </c>
      <c r="L1605" s="3" t="s">
        <v>2308</v>
      </c>
      <c r="N1605" s="48"/>
    </row>
    <row r="1606" spans="1:14" ht="15.75" x14ac:dyDescent="0.45">
      <c r="A1606" s="3" t="s">
        <v>2302</v>
      </c>
      <c r="B1606" s="18">
        <v>38371</v>
      </c>
      <c r="C1606" s="7" t="s">
        <v>12</v>
      </c>
      <c r="D1606" s="20" t="s">
        <v>2512</v>
      </c>
      <c r="E1606" s="6" t="s">
        <v>2513</v>
      </c>
      <c r="F1606" s="3">
        <f>SUM(2,11)</f>
        <v>13</v>
      </c>
      <c r="L1606" s="3" t="s">
        <v>2305</v>
      </c>
      <c r="N1606" s="48"/>
    </row>
    <row r="1607" spans="1:14" ht="15.75" x14ac:dyDescent="0.45">
      <c r="A1607" s="3" t="s">
        <v>2302</v>
      </c>
      <c r="B1607" s="18">
        <v>38355</v>
      </c>
      <c r="C1607" s="7" t="s">
        <v>12</v>
      </c>
      <c r="D1607" s="20" t="s">
        <v>2514</v>
      </c>
      <c r="E1607" s="6" t="s">
        <v>2515</v>
      </c>
      <c r="F1607" s="3">
        <f>SUM(2,3)</f>
        <v>5</v>
      </c>
      <c r="L1607" s="3" t="s">
        <v>2305</v>
      </c>
      <c r="N1607" s="48"/>
    </row>
    <row r="1608" spans="1:14" ht="15.75" x14ac:dyDescent="0.45">
      <c r="A1608" s="3" t="s">
        <v>2302</v>
      </c>
      <c r="B1608" s="18">
        <v>38351</v>
      </c>
      <c r="C1608" s="7" t="s">
        <v>12</v>
      </c>
      <c r="D1608" s="20" t="s">
        <v>2516</v>
      </c>
      <c r="E1608" s="6" t="s">
        <v>2517</v>
      </c>
      <c r="F1608" s="3">
        <f>SUM(2,7)</f>
        <v>9</v>
      </c>
      <c r="L1608" s="3" t="s">
        <v>2305</v>
      </c>
      <c r="N1608" s="48"/>
    </row>
    <row r="1609" spans="1:14" ht="15.75" x14ac:dyDescent="0.45">
      <c r="A1609" s="3" t="s">
        <v>2302</v>
      </c>
      <c r="B1609" s="18">
        <v>38296</v>
      </c>
      <c r="C1609" s="7" t="s">
        <v>12</v>
      </c>
      <c r="D1609" s="20" t="s">
        <v>2518</v>
      </c>
      <c r="E1609" s="6" t="s">
        <v>2519</v>
      </c>
      <c r="F1609" s="3">
        <f>SUM(2,3)</f>
        <v>5</v>
      </c>
      <c r="L1609" s="3" t="s">
        <v>2305</v>
      </c>
      <c r="N1609" s="48"/>
    </row>
    <row r="1610" spans="1:14" ht="15.75" x14ac:dyDescent="0.45">
      <c r="A1610" s="3" t="s">
        <v>2302</v>
      </c>
      <c r="B1610" s="18">
        <v>38076</v>
      </c>
      <c r="C1610" s="7" t="s">
        <v>12</v>
      </c>
      <c r="D1610" s="20" t="s">
        <v>2520</v>
      </c>
      <c r="E1610" s="6" t="s">
        <v>2521</v>
      </c>
      <c r="F1610" s="3">
        <f>SUM(2,46,7)</f>
        <v>55</v>
      </c>
      <c r="L1610" s="3" t="s">
        <v>2308</v>
      </c>
      <c r="N1610" s="48"/>
    </row>
    <row r="1611" spans="1:14" ht="15.75" x14ac:dyDescent="0.45">
      <c r="A1611" s="3" t="s">
        <v>2302</v>
      </c>
      <c r="B1611" s="18">
        <v>37977</v>
      </c>
      <c r="C1611" s="7" t="s">
        <v>12</v>
      </c>
      <c r="D1611" s="20" t="s">
        <v>2522</v>
      </c>
      <c r="E1611" s="6" t="s">
        <v>2523</v>
      </c>
      <c r="F1611" s="3">
        <v>5</v>
      </c>
      <c r="L1611" s="3" t="s">
        <v>2314</v>
      </c>
      <c r="N1611" s="48"/>
    </row>
    <row r="1612" spans="1:14" ht="15.75" x14ac:dyDescent="0.45">
      <c r="A1612" s="3" t="s">
        <v>2302</v>
      </c>
      <c r="B1612" s="18">
        <v>37874</v>
      </c>
      <c r="C1612" s="7" t="s">
        <v>12</v>
      </c>
      <c r="D1612" s="20" t="s">
        <v>2524</v>
      </c>
      <c r="E1612" s="6" t="s">
        <v>2525</v>
      </c>
      <c r="F1612" s="3">
        <f>SUM(3,14)</f>
        <v>17</v>
      </c>
      <c r="L1612" s="3" t="s">
        <v>2305</v>
      </c>
      <c r="N1612" s="48"/>
    </row>
    <row r="1613" spans="1:14" ht="15.75" x14ac:dyDescent="0.45">
      <c r="A1613" s="3" t="s">
        <v>2302</v>
      </c>
      <c r="B1613" s="18">
        <v>37816</v>
      </c>
      <c r="C1613" s="7" t="s">
        <v>12</v>
      </c>
      <c r="D1613" s="20" t="s">
        <v>2526</v>
      </c>
      <c r="E1613" s="6" t="s">
        <v>2527</v>
      </c>
      <c r="F1613" s="3">
        <f>SUM(2,17)</f>
        <v>19</v>
      </c>
      <c r="L1613" s="3" t="s">
        <v>2305</v>
      </c>
      <c r="N1613" s="48"/>
    </row>
    <row r="1614" spans="1:14" ht="15.75" x14ac:dyDescent="0.45">
      <c r="A1614" s="3" t="s">
        <v>2302</v>
      </c>
      <c r="B1614" s="18">
        <v>37788</v>
      </c>
      <c r="C1614" s="7" t="s">
        <v>12</v>
      </c>
      <c r="D1614" s="20" t="s">
        <v>2528</v>
      </c>
      <c r="E1614" s="6" t="s">
        <v>2529</v>
      </c>
      <c r="F1614" s="3">
        <f>SUM(2,71)</f>
        <v>73</v>
      </c>
      <c r="L1614" s="3" t="s">
        <v>2305</v>
      </c>
      <c r="N1614" s="48"/>
    </row>
    <row r="1615" spans="1:14" ht="15.75" x14ac:dyDescent="0.45">
      <c r="A1615" s="3" t="s">
        <v>2302</v>
      </c>
      <c r="B1615" s="18">
        <v>37594</v>
      </c>
      <c r="C1615" s="7" t="s">
        <v>12</v>
      </c>
      <c r="E1615" s="6" t="s">
        <v>2530</v>
      </c>
      <c r="F1615" s="3">
        <v>4</v>
      </c>
      <c r="L1615" s="3" t="s">
        <v>2314</v>
      </c>
      <c r="N1615" s="48"/>
    </row>
    <row r="1616" spans="1:14" ht="15.75" x14ac:dyDescent="0.45">
      <c r="A1616" s="3" t="s">
        <v>2302</v>
      </c>
      <c r="B1616" s="18">
        <v>37404</v>
      </c>
      <c r="C1616" s="7" t="s">
        <v>12</v>
      </c>
      <c r="D1616" s="20" t="s">
        <v>2531</v>
      </c>
      <c r="E1616" s="6" t="s">
        <v>2532</v>
      </c>
      <c r="F1616" s="3">
        <v>4</v>
      </c>
      <c r="L1616" s="3" t="s">
        <v>2314</v>
      </c>
      <c r="N1616" s="48"/>
    </row>
    <row r="1617" spans="1:14" ht="15.75" x14ac:dyDescent="0.45">
      <c r="A1617" s="3" t="s">
        <v>2302</v>
      </c>
      <c r="B1617" s="18">
        <v>37393</v>
      </c>
      <c r="C1617" s="7" t="s">
        <v>12</v>
      </c>
      <c r="D1617" s="20" t="s">
        <v>2533</v>
      </c>
      <c r="E1617" s="6" t="s">
        <v>2534</v>
      </c>
      <c r="F1617" s="3">
        <v>4</v>
      </c>
      <c r="L1617" s="3" t="s">
        <v>2314</v>
      </c>
      <c r="N1617" s="48"/>
    </row>
    <row r="1618" spans="1:14" ht="15.75" x14ac:dyDescent="0.45">
      <c r="A1618" s="3" t="s">
        <v>2302</v>
      </c>
      <c r="B1618" s="18">
        <v>37168</v>
      </c>
      <c r="C1618" s="7" t="s">
        <v>12</v>
      </c>
      <c r="D1618" s="20" t="s">
        <v>2535</v>
      </c>
      <c r="E1618" s="6" t="s">
        <v>2536</v>
      </c>
      <c r="F1618" s="3">
        <v>2</v>
      </c>
      <c r="L1618" s="3" t="s">
        <v>2314</v>
      </c>
      <c r="N1618" s="48"/>
    </row>
    <row r="1619" spans="1:14" ht="15.75" x14ac:dyDescent="0.45">
      <c r="A1619" s="3" t="s">
        <v>2302</v>
      </c>
      <c r="B1619" s="18">
        <v>36924</v>
      </c>
      <c r="C1619" s="7" t="s">
        <v>12</v>
      </c>
      <c r="D1619" s="20" t="s">
        <v>2537</v>
      </c>
      <c r="E1619" s="6" t="s">
        <v>2538</v>
      </c>
      <c r="F1619" s="3">
        <v>5</v>
      </c>
      <c r="L1619" s="3" t="s">
        <v>2314</v>
      </c>
      <c r="N1619" s="48"/>
    </row>
    <row r="1620" spans="1:14" ht="15.75" x14ac:dyDescent="0.45">
      <c r="A1620" s="3" t="s">
        <v>2302</v>
      </c>
      <c r="B1620" s="18">
        <v>36899</v>
      </c>
      <c r="C1620" s="7" t="s">
        <v>12</v>
      </c>
      <c r="D1620" s="20" t="s">
        <v>2539</v>
      </c>
      <c r="E1620" s="6" t="s">
        <v>2540</v>
      </c>
      <c r="F1620" s="3">
        <f>SUM(2,27,23)</f>
        <v>52</v>
      </c>
      <c r="L1620" s="3" t="s">
        <v>2308</v>
      </c>
      <c r="N1620" s="48"/>
    </row>
    <row r="1621" spans="1:14" ht="15.75" x14ac:dyDescent="0.45">
      <c r="A1621" s="3" t="s">
        <v>2302</v>
      </c>
      <c r="B1621" s="18">
        <v>36894</v>
      </c>
      <c r="C1621" s="7" t="s">
        <v>12</v>
      </c>
      <c r="D1621" s="20" t="s">
        <v>2541</v>
      </c>
      <c r="E1621" s="6" t="s">
        <v>2542</v>
      </c>
      <c r="F1621" s="3">
        <f>SUM(2,66)</f>
        <v>68</v>
      </c>
      <c r="L1621" s="3" t="s">
        <v>2543</v>
      </c>
      <c r="N1621" s="48"/>
    </row>
    <row r="1622" spans="1:14" ht="15.75" x14ac:dyDescent="0.45">
      <c r="A1622" s="3" t="s">
        <v>2302</v>
      </c>
      <c r="B1622" s="18">
        <v>36872</v>
      </c>
      <c r="C1622" s="7" t="s">
        <v>12</v>
      </c>
      <c r="D1622" s="20" t="s">
        <v>2544</v>
      </c>
      <c r="E1622" s="6" t="s">
        <v>2545</v>
      </c>
      <c r="F1622" s="3">
        <v>33</v>
      </c>
      <c r="L1622" s="3" t="s">
        <v>2546</v>
      </c>
      <c r="N1622" s="48"/>
    </row>
    <row r="1623" spans="1:14" ht="15.75" x14ac:dyDescent="0.45">
      <c r="A1623" s="3" t="s">
        <v>2302</v>
      </c>
      <c r="B1623" s="18">
        <v>36784</v>
      </c>
      <c r="C1623" s="7" t="s">
        <v>12</v>
      </c>
      <c r="D1623" s="20" t="s">
        <v>2547</v>
      </c>
      <c r="E1623" s="6" t="s">
        <v>2548</v>
      </c>
      <c r="F1623" s="3">
        <v>7</v>
      </c>
      <c r="L1623" s="3" t="s">
        <v>2314</v>
      </c>
      <c r="N1623" s="48"/>
    </row>
    <row r="1624" spans="1:14" ht="15.75" x14ac:dyDescent="0.45">
      <c r="A1624" s="3" t="s">
        <v>2302</v>
      </c>
      <c r="B1624" s="18">
        <v>36760</v>
      </c>
      <c r="C1624" s="7" t="s">
        <v>12</v>
      </c>
      <c r="D1624" s="20" t="s">
        <v>2549</v>
      </c>
      <c r="E1624" s="6" t="s">
        <v>2550</v>
      </c>
      <c r="F1624" s="3">
        <f>SUM(7,40)</f>
        <v>47</v>
      </c>
      <c r="L1624" s="3" t="s">
        <v>2543</v>
      </c>
      <c r="N1624" s="48"/>
    </row>
    <row r="1625" spans="1:14" ht="15.75" x14ac:dyDescent="0.45">
      <c r="A1625" s="3" t="s">
        <v>2302</v>
      </c>
      <c r="B1625" s="18">
        <v>36598</v>
      </c>
      <c r="C1625" s="7" t="s">
        <v>12</v>
      </c>
      <c r="D1625" s="20" t="s">
        <v>232</v>
      </c>
      <c r="E1625" s="6" t="s">
        <v>2551</v>
      </c>
      <c r="F1625" s="3">
        <v>7</v>
      </c>
      <c r="N1625" s="48"/>
    </row>
    <row r="1626" spans="1:14" ht="15.75" x14ac:dyDescent="0.45">
      <c r="A1626" s="3" t="s">
        <v>2302</v>
      </c>
      <c r="B1626" s="18">
        <v>36479</v>
      </c>
      <c r="C1626" s="7" t="s">
        <v>12</v>
      </c>
      <c r="D1626" s="20" t="s">
        <v>2552</v>
      </c>
      <c r="E1626" s="6" t="s">
        <v>2553</v>
      </c>
      <c r="F1626" s="3">
        <f>SUM(2,14)</f>
        <v>16</v>
      </c>
      <c r="L1626" s="3" t="s">
        <v>2543</v>
      </c>
      <c r="N1626" s="48"/>
    </row>
    <row r="1627" spans="1:14" ht="15.75" x14ac:dyDescent="0.45">
      <c r="A1627" s="3" t="s">
        <v>2302</v>
      </c>
      <c r="B1627" s="18">
        <v>36445</v>
      </c>
      <c r="C1627" s="7" t="s">
        <v>12</v>
      </c>
      <c r="D1627" s="20" t="s">
        <v>2554</v>
      </c>
      <c r="E1627" s="6" t="s">
        <v>2555</v>
      </c>
      <c r="F1627" s="3">
        <v>61</v>
      </c>
      <c r="L1627" s="3" t="s">
        <v>2314</v>
      </c>
      <c r="N1627" s="48"/>
    </row>
    <row r="1628" spans="1:14" ht="15.75" x14ac:dyDescent="0.45">
      <c r="A1628" s="3" t="s">
        <v>2302</v>
      </c>
      <c r="B1628" s="18">
        <v>36418</v>
      </c>
      <c r="C1628" s="7" t="s">
        <v>12</v>
      </c>
      <c r="D1628" s="20" t="s">
        <v>2556</v>
      </c>
      <c r="E1628" s="6" t="s">
        <v>2557</v>
      </c>
      <c r="F1628" s="3">
        <v>4</v>
      </c>
      <c r="L1628" s="3" t="s">
        <v>2314</v>
      </c>
      <c r="N1628" s="48"/>
    </row>
    <row r="1629" spans="1:14" ht="15.75" x14ac:dyDescent="0.45">
      <c r="A1629" s="3" t="s">
        <v>2302</v>
      </c>
      <c r="B1629" s="18">
        <v>36327</v>
      </c>
      <c r="C1629" s="7" t="s">
        <v>12</v>
      </c>
      <c r="D1629" s="20" t="s">
        <v>2558</v>
      </c>
      <c r="E1629" s="6" t="s">
        <v>2559</v>
      </c>
      <c r="F1629" s="3">
        <v>16</v>
      </c>
      <c r="L1629" s="3" t="s">
        <v>2314</v>
      </c>
      <c r="N1629" s="48"/>
    </row>
    <row r="1630" spans="1:14" ht="15.75" x14ac:dyDescent="0.45">
      <c r="A1630" s="3" t="s">
        <v>2302</v>
      </c>
      <c r="B1630" s="18">
        <v>36313</v>
      </c>
      <c r="C1630" s="7" t="s">
        <v>12</v>
      </c>
      <c r="D1630" s="20" t="s">
        <v>2560</v>
      </c>
      <c r="E1630" s="6" t="s">
        <v>2561</v>
      </c>
      <c r="F1630" s="3">
        <v>3</v>
      </c>
      <c r="L1630" s="3" t="s">
        <v>2314</v>
      </c>
      <c r="N1630" s="48"/>
    </row>
    <row r="1631" spans="1:14" ht="15.75" x14ac:dyDescent="0.45">
      <c r="A1631" s="3" t="s">
        <v>2302</v>
      </c>
      <c r="B1631" s="18">
        <v>36278</v>
      </c>
      <c r="C1631" s="7" t="s">
        <v>12</v>
      </c>
      <c r="D1631" s="20" t="s">
        <v>2562</v>
      </c>
      <c r="E1631" s="6" t="s">
        <v>2563</v>
      </c>
      <c r="F1631" s="3">
        <v>12</v>
      </c>
      <c r="L1631" s="3" t="s">
        <v>2314</v>
      </c>
      <c r="N1631" s="48"/>
    </row>
    <row r="1632" spans="1:14" ht="15.75" x14ac:dyDescent="0.45">
      <c r="A1632" s="3" t="s">
        <v>2302</v>
      </c>
      <c r="B1632" s="18">
        <v>36243</v>
      </c>
      <c r="C1632" s="7" t="s">
        <v>12</v>
      </c>
      <c r="D1632" s="20" t="s">
        <v>2564</v>
      </c>
      <c r="E1632" s="6" t="s">
        <v>2565</v>
      </c>
      <c r="F1632" s="3">
        <v>21</v>
      </c>
      <c r="L1632" s="3" t="s">
        <v>2314</v>
      </c>
      <c r="N1632" s="48"/>
    </row>
    <row r="1633" spans="1:14" ht="15.75" x14ac:dyDescent="0.45">
      <c r="A1633" s="3" t="s">
        <v>2302</v>
      </c>
      <c r="B1633" s="18">
        <v>36235</v>
      </c>
      <c r="C1633" s="7" t="s">
        <v>12</v>
      </c>
      <c r="D1633" s="20" t="s">
        <v>2566</v>
      </c>
      <c r="E1633" s="6" t="s">
        <v>2567</v>
      </c>
      <c r="F1633" s="3">
        <v>16</v>
      </c>
      <c r="L1633" s="3" t="s">
        <v>2314</v>
      </c>
      <c r="N1633" s="48"/>
    </row>
    <row r="1634" spans="1:14" ht="15.75" x14ac:dyDescent="0.45">
      <c r="A1634" s="3" t="s">
        <v>2302</v>
      </c>
      <c r="B1634" s="18">
        <v>36230</v>
      </c>
      <c r="C1634" s="7" t="s">
        <v>12</v>
      </c>
      <c r="D1634" s="20" t="s">
        <v>2568</v>
      </c>
      <c r="E1634" s="6" t="s">
        <v>2569</v>
      </c>
      <c r="F1634" s="3">
        <v>20</v>
      </c>
      <c r="L1634" s="3" t="s">
        <v>2314</v>
      </c>
      <c r="N1634" s="48"/>
    </row>
    <row r="1635" spans="1:14" ht="15.75" x14ac:dyDescent="0.45">
      <c r="A1635" s="3" t="s">
        <v>2302</v>
      </c>
      <c r="B1635" s="18">
        <v>36229</v>
      </c>
      <c r="C1635" s="7" t="s">
        <v>12</v>
      </c>
      <c r="D1635" s="20" t="s">
        <v>2570</v>
      </c>
      <c r="E1635" s="6" t="s">
        <v>2571</v>
      </c>
      <c r="F1635" s="3">
        <v>20</v>
      </c>
      <c r="L1635" s="3" t="s">
        <v>2314</v>
      </c>
      <c r="N1635" s="48"/>
    </row>
    <row r="1636" spans="1:14" ht="15.75" x14ac:dyDescent="0.45">
      <c r="A1636" s="3" t="s">
        <v>2302</v>
      </c>
      <c r="B1636" s="18">
        <v>36201</v>
      </c>
      <c r="C1636" s="7" t="s">
        <v>12</v>
      </c>
      <c r="D1636" s="20" t="s">
        <v>2572</v>
      </c>
      <c r="E1636" s="6" t="s">
        <v>2573</v>
      </c>
      <c r="F1636" s="3">
        <v>42</v>
      </c>
      <c r="L1636" s="3" t="s">
        <v>2314</v>
      </c>
      <c r="N1636" s="48"/>
    </row>
    <row r="1637" spans="1:14" ht="15.75" x14ac:dyDescent="0.45">
      <c r="A1637" s="3" t="s">
        <v>2302</v>
      </c>
      <c r="B1637" s="18">
        <v>36055</v>
      </c>
      <c r="C1637" s="7" t="s">
        <v>12</v>
      </c>
      <c r="D1637" s="20" t="s">
        <v>2574</v>
      </c>
      <c r="E1637" s="6" t="s">
        <v>2575</v>
      </c>
      <c r="F1637" s="3">
        <v>11</v>
      </c>
      <c r="L1637" s="3" t="s">
        <v>2314</v>
      </c>
      <c r="N1637" s="48"/>
    </row>
    <row r="1638" spans="1:14" ht="15.75" x14ac:dyDescent="0.45">
      <c r="A1638" s="3" t="s">
        <v>2302</v>
      </c>
      <c r="B1638" s="18">
        <v>36033</v>
      </c>
      <c r="C1638" s="7" t="s">
        <v>12</v>
      </c>
      <c r="D1638" s="20" t="s">
        <v>2576</v>
      </c>
      <c r="E1638" s="6" t="s">
        <v>2577</v>
      </c>
      <c r="F1638" s="3">
        <f>SUM(2,23)</f>
        <v>25</v>
      </c>
      <c r="L1638" s="3" t="s">
        <v>2543</v>
      </c>
      <c r="N1638" s="48"/>
    </row>
    <row r="1639" spans="1:14" ht="15.75" x14ac:dyDescent="0.45">
      <c r="A1639" s="3" t="s">
        <v>2302</v>
      </c>
      <c r="B1639" s="18">
        <v>36033</v>
      </c>
      <c r="C1639" s="7" t="s">
        <v>12</v>
      </c>
      <c r="D1639" s="20" t="s">
        <v>2578</v>
      </c>
      <c r="E1639" s="6" t="s">
        <v>2579</v>
      </c>
      <c r="F1639" s="3">
        <f>SUM(2,23)</f>
        <v>25</v>
      </c>
      <c r="L1639" s="3" t="s">
        <v>2543</v>
      </c>
      <c r="N1639" s="48"/>
    </row>
    <row r="1640" spans="1:14" ht="15.75" x14ac:dyDescent="0.45">
      <c r="A1640" s="3" t="s">
        <v>2302</v>
      </c>
      <c r="B1640" s="18">
        <v>36026</v>
      </c>
      <c r="C1640" s="7" t="s">
        <v>12</v>
      </c>
      <c r="D1640" s="20" t="s">
        <v>2580</v>
      </c>
      <c r="E1640" s="6" t="s">
        <v>2581</v>
      </c>
      <c r="F1640" s="3">
        <v>19</v>
      </c>
      <c r="L1640" s="3" t="s">
        <v>2314</v>
      </c>
      <c r="N1640" s="48"/>
    </row>
    <row r="1641" spans="1:14" ht="15.75" x14ac:dyDescent="0.45">
      <c r="A1641" s="3" t="s">
        <v>2302</v>
      </c>
      <c r="B1641" s="18">
        <v>36010</v>
      </c>
      <c r="C1641" s="7" t="s">
        <v>12</v>
      </c>
      <c r="D1641" s="20" t="s">
        <v>2582</v>
      </c>
      <c r="E1641" s="6" t="s">
        <v>2583</v>
      </c>
      <c r="F1641" s="3">
        <f>SUM(2,6)</f>
        <v>8</v>
      </c>
      <c r="L1641" s="3" t="s">
        <v>2543</v>
      </c>
      <c r="N1641" s="48"/>
    </row>
    <row r="1642" spans="1:14" ht="15.75" x14ac:dyDescent="0.45">
      <c r="A1642" s="3" t="s">
        <v>2302</v>
      </c>
      <c r="B1642" s="18">
        <v>36007</v>
      </c>
      <c r="C1642" s="7" t="s">
        <v>12</v>
      </c>
      <c r="D1642" s="20" t="s">
        <v>2584</v>
      </c>
      <c r="E1642" s="6" t="s">
        <v>2585</v>
      </c>
      <c r="F1642" s="3">
        <v>7</v>
      </c>
      <c r="L1642" s="3" t="s">
        <v>2314</v>
      </c>
      <c r="N1642" s="48"/>
    </row>
    <row r="1643" spans="1:14" ht="15.75" x14ac:dyDescent="0.45">
      <c r="A1643" s="3" t="s">
        <v>2302</v>
      </c>
      <c r="B1643" s="18">
        <v>36007</v>
      </c>
      <c r="C1643" s="7" t="s">
        <v>12</v>
      </c>
      <c r="D1643" s="20" t="s">
        <v>2586</v>
      </c>
      <c r="E1643" s="6" t="s">
        <v>2587</v>
      </c>
      <c r="F1643" s="3">
        <v>12</v>
      </c>
      <c r="L1643" s="3" t="s">
        <v>2314</v>
      </c>
      <c r="N1643" s="48"/>
    </row>
    <row r="1644" spans="1:14" ht="15.75" x14ac:dyDescent="0.45">
      <c r="A1644" s="3" t="s">
        <v>2302</v>
      </c>
      <c r="B1644" s="18">
        <v>36004</v>
      </c>
      <c r="C1644" s="7" t="s">
        <v>12</v>
      </c>
      <c r="D1644" s="20" t="s">
        <v>2588</v>
      </c>
      <c r="E1644" s="6" t="s">
        <v>2589</v>
      </c>
      <c r="F1644" s="3">
        <v>13</v>
      </c>
      <c r="L1644" s="3" t="s">
        <v>2314</v>
      </c>
      <c r="N1644" s="48"/>
    </row>
    <row r="1645" spans="1:14" ht="15.75" x14ac:dyDescent="0.45">
      <c r="A1645" s="3" t="s">
        <v>2302</v>
      </c>
      <c r="B1645" s="18">
        <v>35986</v>
      </c>
      <c r="C1645" s="7" t="s">
        <v>12</v>
      </c>
      <c r="D1645" s="20" t="s">
        <v>2590</v>
      </c>
      <c r="E1645" s="6" t="s">
        <v>2591</v>
      </c>
      <c r="F1645" s="3">
        <v>3</v>
      </c>
      <c r="L1645" s="3" t="s">
        <v>2314</v>
      </c>
      <c r="N1645" s="48"/>
    </row>
    <row r="1646" spans="1:14" ht="15.75" x14ac:dyDescent="0.45">
      <c r="A1646" s="3" t="s">
        <v>2302</v>
      </c>
      <c r="B1646" s="18">
        <v>35986</v>
      </c>
      <c r="C1646" s="7" t="s">
        <v>12</v>
      </c>
      <c r="D1646" s="20" t="s">
        <v>2592</v>
      </c>
      <c r="E1646" s="6" t="s">
        <v>2593</v>
      </c>
      <c r="F1646" s="3">
        <v>19</v>
      </c>
      <c r="L1646" s="3" t="s">
        <v>2314</v>
      </c>
      <c r="N1646" s="48"/>
    </row>
    <row r="1647" spans="1:14" ht="15.75" x14ac:dyDescent="0.45">
      <c r="A1647" s="3" t="s">
        <v>2302</v>
      </c>
      <c r="B1647" s="18">
        <v>35909</v>
      </c>
      <c r="C1647" s="7" t="s">
        <v>12</v>
      </c>
      <c r="D1647" s="20" t="s">
        <v>2594</v>
      </c>
      <c r="E1647" s="6" t="s">
        <v>2595</v>
      </c>
      <c r="F1647" s="3">
        <v>7</v>
      </c>
      <c r="L1647" s="3" t="s">
        <v>2314</v>
      </c>
      <c r="N1647" s="48"/>
    </row>
    <row r="1648" spans="1:14" ht="15.75" x14ac:dyDescent="0.45">
      <c r="A1648" s="3" t="s">
        <v>2302</v>
      </c>
      <c r="B1648" s="18">
        <v>35893</v>
      </c>
      <c r="C1648" s="7" t="s">
        <v>12</v>
      </c>
      <c r="D1648" s="20" t="s">
        <v>2596</v>
      </c>
      <c r="E1648" s="6" t="s">
        <v>2597</v>
      </c>
      <c r="F1648" s="3">
        <v>2</v>
      </c>
      <c r="L1648" s="3" t="s">
        <v>2314</v>
      </c>
      <c r="N1648" s="48"/>
    </row>
    <row r="1649" spans="1:14" ht="15.75" x14ac:dyDescent="0.45">
      <c r="A1649" s="3" t="s">
        <v>2302</v>
      </c>
      <c r="B1649" s="18">
        <v>35879</v>
      </c>
      <c r="C1649" s="7" t="s">
        <v>12</v>
      </c>
      <c r="D1649" s="20" t="s">
        <v>2598</v>
      </c>
      <c r="E1649" s="6" t="s">
        <v>2599</v>
      </c>
      <c r="F1649" s="3">
        <v>60</v>
      </c>
      <c r="L1649" s="3" t="s">
        <v>2314</v>
      </c>
      <c r="N1649" s="48"/>
    </row>
    <row r="1650" spans="1:14" ht="15.75" x14ac:dyDescent="0.45">
      <c r="A1650" s="3" t="s">
        <v>2302</v>
      </c>
      <c r="B1650" s="18">
        <v>35874</v>
      </c>
      <c r="C1650" s="7" t="s">
        <v>12</v>
      </c>
      <c r="D1650" s="20" t="s">
        <v>2600</v>
      </c>
      <c r="E1650" s="6" t="s">
        <v>2601</v>
      </c>
      <c r="F1650" s="3">
        <v>2</v>
      </c>
      <c r="L1650" s="3" t="s">
        <v>2314</v>
      </c>
      <c r="N1650" s="48"/>
    </row>
    <row r="1651" spans="1:14" ht="15.75" x14ac:dyDescent="0.45">
      <c r="A1651" s="3" t="s">
        <v>2302</v>
      </c>
      <c r="B1651" s="18">
        <v>35865</v>
      </c>
      <c r="C1651" s="7" t="s">
        <v>12</v>
      </c>
      <c r="D1651" s="20" t="s">
        <v>2602</v>
      </c>
      <c r="E1651" s="6" t="s">
        <v>2603</v>
      </c>
      <c r="F1651" s="3">
        <v>16</v>
      </c>
      <c r="L1651" s="3" t="s">
        <v>2314</v>
      </c>
      <c r="N1651" s="48"/>
    </row>
    <row r="1652" spans="1:14" ht="15.75" x14ac:dyDescent="0.45">
      <c r="A1652" s="3" t="s">
        <v>2302</v>
      </c>
      <c r="B1652" s="18">
        <v>35859</v>
      </c>
      <c r="C1652" s="7" t="s">
        <v>12</v>
      </c>
      <c r="D1652" s="20" t="s">
        <v>2604</v>
      </c>
      <c r="E1652" s="6" t="s">
        <v>2605</v>
      </c>
      <c r="F1652" s="3">
        <v>12</v>
      </c>
      <c r="L1652" s="3" t="s">
        <v>2314</v>
      </c>
      <c r="N1652" s="48"/>
    </row>
    <row r="1653" spans="1:14" ht="15.75" x14ac:dyDescent="0.45">
      <c r="A1653" s="3" t="s">
        <v>2302</v>
      </c>
      <c r="B1653" s="18">
        <v>35856</v>
      </c>
      <c r="C1653" s="7" t="s">
        <v>12</v>
      </c>
      <c r="D1653" s="20" t="s">
        <v>2606</v>
      </c>
      <c r="E1653" s="6" t="s">
        <v>2607</v>
      </c>
      <c r="F1653" s="3">
        <v>11</v>
      </c>
      <c r="L1653" s="3" t="s">
        <v>2314</v>
      </c>
      <c r="N1653" s="48"/>
    </row>
    <row r="1654" spans="1:14" ht="15.75" x14ac:dyDescent="0.45">
      <c r="A1654" s="3" t="s">
        <v>2302</v>
      </c>
      <c r="B1654" s="18">
        <v>35803</v>
      </c>
      <c r="C1654" s="7" t="s">
        <v>12</v>
      </c>
      <c r="D1654" s="20" t="s">
        <v>2608</v>
      </c>
      <c r="E1654" s="6" t="s">
        <v>2609</v>
      </c>
      <c r="F1654" s="3">
        <v>14</v>
      </c>
      <c r="L1654" s="3" t="s">
        <v>2314</v>
      </c>
      <c r="N1654" s="48"/>
    </row>
    <row r="1655" spans="1:14" ht="15.75" x14ac:dyDescent="0.45">
      <c r="A1655" s="3" t="s">
        <v>2302</v>
      </c>
      <c r="B1655" s="18">
        <v>35731</v>
      </c>
      <c r="C1655" s="7" t="s">
        <v>12</v>
      </c>
      <c r="D1655" s="20" t="s">
        <v>2610</v>
      </c>
      <c r="E1655" s="6" t="s">
        <v>2611</v>
      </c>
      <c r="F1655" s="3">
        <v>11</v>
      </c>
      <c r="L1655" s="3" t="s">
        <v>2314</v>
      </c>
      <c r="N1655" s="48"/>
    </row>
    <row r="1656" spans="1:14" ht="15.75" x14ac:dyDescent="0.45">
      <c r="A1656" s="3" t="s">
        <v>2302</v>
      </c>
      <c r="B1656" s="18">
        <v>35724</v>
      </c>
      <c r="C1656" s="7" t="s">
        <v>12</v>
      </c>
      <c r="D1656" s="20" t="s">
        <v>2612</v>
      </c>
      <c r="E1656" s="6" t="s">
        <v>2613</v>
      </c>
      <c r="F1656" s="3">
        <v>29</v>
      </c>
      <c r="L1656" s="3" t="s">
        <v>2314</v>
      </c>
      <c r="N1656" s="48"/>
    </row>
    <row r="1657" spans="1:14" ht="15.75" x14ac:dyDescent="0.45">
      <c r="A1657" s="3" t="s">
        <v>2302</v>
      </c>
      <c r="B1657" s="18">
        <v>35688</v>
      </c>
      <c r="C1657" s="7" t="s">
        <v>12</v>
      </c>
      <c r="D1657" s="20" t="s">
        <v>2614</v>
      </c>
      <c r="E1657" s="6" t="s">
        <v>2615</v>
      </c>
      <c r="F1657" s="3">
        <v>24</v>
      </c>
      <c r="L1657" s="3" t="s">
        <v>2314</v>
      </c>
      <c r="N1657" s="48"/>
    </row>
    <row r="1658" spans="1:14" ht="15.75" x14ac:dyDescent="0.45">
      <c r="A1658" s="3" t="s">
        <v>2302</v>
      </c>
      <c r="B1658" s="18">
        <v>35641</v>
      </c>
      <c r="C1658" s="7" t="s">
        <v>12</v>
      </c>
      <c r="D1658" s="20" t="s">
        <v>2616</v>
      </c>
      <c r="E1658" s="6" t="s">
        <v>2617</v>
      </c>
      <c r="F1658" s="3">
        <v>22</v>
      </c>
      <c r="L1658" s="3" t="s">
        <v>2314</v>
      </c>
      <c r="N1658" s="48"/>
    </row>
    <row r="1659" spans="1:14" ht="15.75" x14ac:dyDescent="0.45">
      <c r="A1659" s="3" t="s">
        <v>2302</v>
      </c>
      <c r="B1659" s="18">
        <v>35628</v>
      </c>
      <c r="C1659" s="7" t="s">
        <v>12</v>
      </c>
      <c r="D1659" s="20" t="s">
        <v>2618</v>
      </c>
      <c r="E1659" s="6" t="s">
        <v>2619</v>
      </c>
      <c r="F1659" s="3">
        <v>23</v>
      </c>
      <c r="L1659" s="3" t="s">
        <v>2314</v>
      </c>
      <c r="N1659" s="48"/>
    </row>
    <row r="1660" spans="1:14" ht="15.75" x14ac:dyDescent="0.45">
      <c r="A1660" s="3" t="s">
        <v>2302</v>
      </c>
      <c r="B1660" s="18">
        <v>35564</v>
      </c>
      <c r="C1660" s="7" t="s">
        <v>12</v>
      </c>
      <c r="D1660" s="20" t="s">
        <v>2620</v>
      </c>
      <c r="E1660" s="6" t="s">
        <v>2621</v>
      </c>
      <c r="F1660" s="3">
        <v>5</v>
      </c>
      <c r="L1660" s="3" t="s">
        <v>2314</v>
      </c>
      <c r="N1660" s="48"/>
    </row>
    <row r="1661" spans="1:14" ht="15.75" x14ac:dyDescent="0.45">
      <c r="A1661" s="3" t="s">
        <v>2302</v>
      </c>
      <c r="B1661" s="18">
        <v>35548</v>
      </c>
      <c r="C1661" s="7" t="s">
        <v>12</v>
      </c>
      <c r="D1661" s="20" t="s">
        <v>2622</v>
      </c>
      <c r="E1661" s="6" t="s">
        <v>2623</v>
      </c>
      <c r="F1661" s="3">
        <v>6</v>
      </c>
      <c r="L1661" s="3" t="s">
        <v>2314</v>
      </c>
      <c r="N1661" s="48"/>
    </row>
    <row r="1662" spans="1:14" ht="15.75" x14ac:dyDescent="0.45">
      <c r="A1662" s="3" t="s">
        <v>2302</v>
      </c>
      <c r="B1662" s="18">
        <v>35471</v>
      </c>
      <c r="C1662" s="7" t="s">
        <v>12</v>
      </c>
      <c r="D1662" s="20" t="s">
        <v>2624</v>
      </c>
      <c r="E1662" s="6" t="s">
        <v>2625</v>
      </c>
      <c r="F1662" s="3">
        <v>8</v>
      </c>
      <c r="L1662" s="3" t="s">
        <v>2314</v>
      </c>
      <c r="N1662" s="48"/>
    </row>
    <row r="1663" spans="1:14" ht="15.75" x14ac:dyDescent="0.45">
      <c r="A1663" s="3" t="s">
        <v>2302</v>
      </c>
      <c r="B1663" s="18">
        <v>35436</v>
      </c>
      <c r="C1663" s="7" t="s">
        <v>12</v>
      </c>
      <c r="D1663" s="20" t="s">
        <v>2626</v>
      </c>
      <c r="E1663" s="6" t="s">
        <v>2627</v>
      </c>
      <c r="F1663" s="3">
        <v>3</v>
      </c>
      <c r="L1663" s="3" t="s">
        <v>2314</v>
      </c>
      <c r="N1663" s="48"/>
    </row>
    <row r="1664" spans="1:14" ht="15.75" x14ac:dyDescent="0.45">
      <c r="A1664" s="3" t="s">
        <v>2302</v>
      </c>
      <c r="B1664" s="18">
        <v>35422</v>
      </c>
      <c r="C1664" s="7" t="s">
        <v>12</v>
      </c>
      <c r="D1664" s="20" t="s">
        <v>2628</v>
      </c>
      <c r="E1664" s="6" t="s">
        <v>2629</v>
      </c>
      <c r="F1664" s="3">
        <v>7</v>
      </c>
      <c r="L1664" s="3" t="s">
        <v>2314</v>
      </c>
      <c r="N1664" s="48"/>
    </row>
    <row r="1665" spans="1:14" ht="15.75" x14ac:dyDescent="0.45">
      <c r="A1665" s="3" t="s">
        <v>2302</v>
      </c>
      <c r="B1665" s="18">
        <v>35422</v>
      </c>
      <c r="C1665" s="7" t="s">
        <v>12</v>
      </c>
      <c r="D1665" s="20" t="s">
        <v>2630</v>
      </c>
      <c r="E1665" s="6" t="s">
        <v>2631</v>
      </c>
      <c r="F1665" s="3">
        <v>15</v>
      </c>
      <c r="L1665" s="3" t="s">
        <v>2314</v>
      </c>
      <c r="N1665" s="48"/>
    </row>
    <row r="1666" spans="1:14" ht="15.75" x14ac:dyDescent="0.45">
      <c r="A1666" s="3" t="s">
        <v>2302</v>
      </c>
      <c r="B1666" s="18">
        <v>35381</v>
      </c>
      <c r="C1666" s="7" t="s">
        <v>12</v>
      </c>
      <c r="D1666" s="20" t="s">
        <v>2632</v>
      </c>
      <c r="E1666" s="6" t="s">
        <v>2633</v>
      </c>
      <c r="F1666" s="3">
        <v>3</v>
      </c>
      <c r="L1666" s="3" t="s">
        <v>2314</v>
      </c>
      <c r="N1666" s="48"/>
    </row>
    <row r="1667" spans="1:14" ht="15.75" x14ac:dyDescent="0.45">
      <c r="A1667" s="3" t="s">
        <v>2302</v>
      </c>
      <c r="B1667" s="18">
        <v>35293</v>
      </c>
      <c r="C1667" s="7" t="s">
        <v>12</v>
      </c>
      <c r="D1667" s="20" t="s">
        <v>2634</v>
      </c>
      <c r="E1667" s="6" t="s">
        <v>2635</v>
      </c>
      <c r="F1667" s="3">
        <v>4</v>
      </c>
      <c r="L1667" s="3" t="s">
        <v>2314</v>
      </c>
      <c r="N1667" s="48"/>
    </row>
    <row r="1668" spans="1:14" ht="15.75" x14ac:dyDescent="0.45">
      <c r="A1668" s="3" t="s">
        <v>2302</v>
      </c>
      <c r="B1668" s="18">
        <v>35292</v>
      </c>
      <c r="C1668" s="7" t="s">
        <v>12</v>
      </c>
      <c r="D1668" s="20" t="s">
        <v>2636</v>
      </c>
      <c r="E1668" s="6" t="s">
        <v>2637</v>
      </c>
      <c r="F1668" s="3">
        <v>14</v>
      </c>
      <c r="L1668" s="3" t="s">
        <v>2314</v>
      </c>
      <c r="N1668" s="48"/>
    </row>
    <row r="1669" spans="1:14" ht="15.75" x14ac:dyDescent="0.45">
      <c r="A1669" s="3" t="s">
        <v>2302</v>
      </c>
      <c r="B1669" s="18">
        <v>35095</v>
      </c>
      <c r="C1669" s="7" t="s">
        <v>12</v>
      </c>
      <c r="D1669" s="20" t="s">
        <v>2638</v>
      </c>
      <c r="E1669" s="6" t="s">
        <v>2639</v>
      </c>
      <c r="F1669" s="3">
        <v>19</v>
      </c>
      <c r="L1669" s="3" t="s">
        <v>2314</v>
      </c>
      <c r="N1669" s="48"/>
    </row>
    <row r="1670" spans="1:14" ht="15.75" x14ac:dyDescent="0.45">
      <c r="A1670" s="3" t="s">
        <v>2302</v>
      </c>
      <c r="B1670" s="18">
        <v>35002</v>
      </c>
      <c r="C1670" s="7" t="s">
        <v>12</v>
      </c>
      <c r="D1670" s="20" t="s">
        <v>2640</v>
      </c>
      <c r="E1670" s="6" t="s">
        <v>2641</v>
      </c>
      <c r="F1670" s="3">
        <v>7</v>
      </c>
      <c r="L1670" s="3" t="s">
        <v>2314</v>
      </c>
      <c r="N1670" s="48"/>
    </row>
    <row r="1671" spans="1:14" ht="15.75" x14ac:dyDescent="0.45">
      <c r="A1671" s="3" t="s">
        <v>2302</v>
      </c>
      <c r="B1671" s="18">
        <v>34829</v>
      </c>
      <c r="C1671" s="7" t="s">
        <v>12</v>
      </c>
      <c r="D1671" s="20" t="s">
        <v>2642</v>
      </c>
      <c r="E1671" s="6" t="s">
        <v>2643</v>
      </c>
      <c r="F1671" s="3">
        <v>3</v>
      </c>
      <c r="L1671" s="3" t="s">
        <v>2644</v>
      </c>
      <c r="N1671" s="48"/>
    </row>
    <row r="1672" spans="1:14" ht="15.75" x14ac:dyDescent="0.45">
      <c r="A1672" s="3" t="s">
        <v>2302</v>
      </c>
      <c r="B1672" s="18">
        <v>34691</v>
      </c>
      <c r="C1672" s="7" t="s">
        <v>12</v>
      </c>
      <c r="D1672" s="20" t="s">
        <v>2645</v>
      </c>
      <c r="E1672" s="6" t="s">
        <v>2646</v>
      </c>
      <c r="F1672" s="3">
        <v>38</v>
      </c>
      <c r="L1672" s="3" t="s">
        <v>2314</v>
      </c>
      <c r="N1672" s="48"/>
    </row>
    <row r="1673" spans="1:14" ht="15.75" x14ac:dyDescent="0.45">
      <c r="A1673" s="3" t="s">
        <v>2302</v>
      </c>
      <c r="B1673" s="18">
        <v>34569</v>
      </c>
      <c r="C1673" s="7" t="s">
        <v>12</v>
      </c>
      <c r="D1673" s="20" t="s">
        <v>158</v>
      </c>
      <c r="E1673" s="6" t="s">
        <v>2647</v>
      </c>
      <c r="F1673" s="3">
        <v>14</v>
      </c>
      <c r="L1673" s="3" t="s">
        <v>2314</v>
      </c>
      <c r="N1673" s="48"/>
    </row>
    <row r="1674" spans="1:14" ht="15.75" x14ac:dyDescent="0.45">
      <c r="A1674" s="3" t="s">
        <v>2302</v>
      </c>
      <c r="B1674" s="18">
        <v>34493</v>
      </c>
      <c r="C1674" s="7" t="s">
        <v>12</v>
      </c>
      <c r="D1674" s="20" t="s">
        <v>2648</v>
      </c>
      <c r="E1674" s="6" t="s">
        <v>2649</v>
      </c>
      <c r="F1674" s="3">
        <v>3</v>
      </c>
      <c r="L1674" s="3" t="s">
        <v>2314</v>
      </c>
      <c r="N1674" s="48"/>
    </row>
    <row r="1675" spans="1:14" ht="15.75" x14ac:dyDescent="0.45">
      <c r="A1675" s="3" t="s">
        <v>2302</v>
      </c>
      <c r="B1675" s="18">
        <v>34487</v>
      </c>
      <c r="C1675" s="7" t="s">
        <v>12</v>
      </c>
      <c r="D1675" s="20" t="s">
        <v>2650</v>
      </c>
      <c r="E1675" s="6" t="s">
        <v>2651</v>
      </c>
      <c r="F1675" s="3">
        <v>8</v>
      </c>
      <c r="L1675" s="3" t="s">
        <v>2314</v>
      </c>
      <c r="N1675" s="48"/>
    </row>
    <row r="1676" spans="1:14" ht="15.75" x14ac:dyDescent="0.45">
      <c r="A1676" s="3" t="s">
        <v>2302</v>
      </c>
      <c r="B1676" s="18">
        <v>34404</v>
      </c>
      <c r="C1676" s="7" t="s">
        <v>12</v>
      </c>
      <c r="D1676" s="20" t="s">
        <v>2652</v>
      </c>
      <c r="E1676" s="6" t="s">
        <v>2653</v>
      </c>
      <c r="F1676" s="3">
        <v>9</v>
      </c>
      <c r="L1676" s="3" t="s">
        <v>2314</v>
      </c>
      <c r="N1676" s="48"/>
    </row>
    <row r="1677" spans="1:14" ht="15.75" x14ac:dyDescent="0.45">
      <c r="A1677" s="3" t="s">
        <v>2302</v>
      </c>
      <c r="B1677" s="18">
        <v>34303</v>
      </c>
      <c r="C1677" s="7" t="s">
        <v>12</v>
      </c>
      <c r="D1677" s="20" t="s">
        <v>2654</v>
      </c>
      <c r="E1677" s="6" t="s">
        <v>2655</v>
      </c>
      <c r="F1677" s="3">
        <v>37</v>
      </c>
      <c r="L1677" s="3" t="s">
        <v>2314</v>
      </c>
      <c r="N1677" s="48"/>
    </row>
    <row r="1678" spans="1:14" ht="15.75" x14ac:dyDescent="0.45">
      <c r="A1678" s="3" t="s">
        <v>2302</v>
      </c>
      <c r="B1678" s="18">
        <v>34221</v>
      </c>
      <c r="C1678" s="7" t="s">
        <v>12</v>
      </c>
      <c r="D1678" s="20" t="s">
        <v>2656</v>
      </c>
      <c r="E1678" s="6" t="s">
        <v>2657</v>
      </c>
      <c r="F1678" s="3">
        <v>22</v>
      </c>
      <c r="L1678" s="3" t="s">
        <v>2314</v>
      </c>
      <c r="N1678" s="48"/>
    </row>
    <row r="1679" spans="1:14" ht="15.75" x14ac:dyDescent="0.45">
      <c r="A1679" s="3" t="s">
        <v>2302</v>
      </c>
      <c r="B1679" s="18">
        <v>34197</v>
      </c>
      <c r="C1679" s="7" t="s">
        <v>12</v>
      </c>
      <c r="D1679" s="20" t="s">
        <v>2658</v>
      </c>
      <c r="E1679" s="6" t="s">
        <v>2659</v>
      </c>
      <c r="F1679" s="3">
        <v>2</v>
      </c>
      <c r="L1679" s="3" t="s">
        <v>2314</v>
      </c>
      <c r="N1679" s="48"/>
    </row>
    <row r="1680" spans="1:14" ht="15.75" x14ac:dyDescent="0.45">
      <c r="A1680" s="3" t="s">
        <v>2302</v>
      </c>
      <c r="B1680" s="18">
        <v>34176</v>
      </c>
      <c r="C1680" s="7" t="s">
        <v>12</v>
      </c>
      <c r="D1680" s="20" t="s">
        <v>2660</v>
      </c>
      <c r="E1680" s="6" t="s">
        <v>2643</v>
      </c>
      <c r="F1680" s="3">
        <v>66</v>
      </c>
      <c r="L1680" s="3" t="s">
        <v>2314</v>
      </c>
      <c r="N1680" s="48"/>
    </row>
    <row r="1681" spans="1:14" ht="15.75" x14ac:dyDescent="0.45">
      <c r="A1681" s="3" t="s">
        <v>2302</v>
      </c>
      <c r="B1681" s="18">
        <v>34146</v>
      </c>
      <c r="C1681" s="7" t="s">
        <v>12</v>
      </c>
      <c r="D1681" s="20" t="s">
        <v>2661</v>
      </c>
      <c r="E1681" s="6" t="s">
        <v>2662</v>
      </c>
      <c r="F1681" s="3">
        <v>2</v>
      </c>
      <c r="L1681" s="3" t="s">
        <v>2314</v>
      </c>
      <c r="N1681" s="48"/>
    </row>
    <row r="1682" spans="1:14" ht="15.75" x14ac:dyDescent="0.45">
      <c r="A1682" s="3" t="s">
        <v>2302</v>
      </c>
      <c r="B1682" s="18">
        <v>34064</v>
      </c>
      <c r="C1682" s="7" t="s">
        <v>12</v>
      </c>
      <c r="D1682" s="20" t="s">
        <v>2663</v>
      </c>
      <c r="E1682" s="6" t="s">
        <v>2664</v>
      </c>
      <c r="F1682" s="3">
        <v>8</v>
      </c>
      <c r="L1682" s="3" t="s">
        <v>2314</v>
      </c>
      <c r="N1682" s="48"/>
    </row>
    <row r="1683" spans="1:14" ht="15.75" x14ac:dyDescent="0.45">
      <c r="A1683" s="3" t="s">
        <v>2302</v>
      </c>
      <c r="B1683" s="18">
        <v>34050</v>
      </c>
      <c r="C1683" s="7" t="s">
        <v>12</v>
      </c>
      <c r="D1683" s="20" t="s">
        <v>2665</v>
      </c>
      <c r="E1683" s="6" t="s">
        <v>2666</v>
      </c>
      <c r="F1683" s="3">
        <v>5</v>
      </c>
      <c r="L1683" s="3" t="s">
        <v>2314</v>
      </c>
      <c r="N1683" s="48"/>
    </row>
    <row r="1684" spans="1:14" ht="15.75" x14ac:dyDescent="0.45">
      <c r="A1684" s="3" t="s">
        <v>2302</v>
      </c>
      <c r="B1684" s="18">
        <v>34046</v>
      </c>
      <c r="C1684" s="7" t="s">
        <v>12</v>
      </c>
      <c r="D1684" s="20" t="s">
        <v>140</v>
      </c>
      <c r="E1684" s="6" t="s">
        <v>2667</v>
      </c>
      <c r="F1684" s="3">
        <v>13</v>
      </c>
      <c r="L1684" s="3" t="s">
        <v>2314</v>
      </c>
      <c r="N1684" s="48"/>
    </row>
    <row r="1685" spans="1:14" ht="15.75" x14ac:dyDescent="0.45">
      <c r="A1685" s="3" t="s">
        <v>2302</v>
      </c>
      <c r="B1685" s="18">
        <v>34016</v>
      </c>
      <c r="C1685" s="7" t="s">
        <v>12</v>
      </c>
      <c r="D1685" s="20" t="s">
        <v>2668</v>
      </c>
      <c r="E1685" s="6" t="s">
        <v>2669</v>
      </c>
      <c r="F1685" s="3">
        <v>2</v>
      </c>
      <c r="L1685" s="3" t="s">
        <v>2314</v>
      </c>
      <c r="N1685" s="48"/>
    </row>
    <row r="1686" spans="1:14" ht="15.75" x14ac:dyDescent="0.45">
      <c r="A1686" s="3" t="s">
        <v>2302</v>
      </c>
      <c r="B1686" s="18">
        <v>33995</v>
      </c>
      <c r="C1686" s="7" t="s">
        <v>12</v>
      </c>
      <c r="D1686" s="20" t="s">
        <v>2670</v>
      </c>
      <c r="E1686" s="6" t="s">
        <v>2671</v>
      </c>
      <c r="F1686" s="3">
        <v>3</v>
      </c>
      <c r="L1686" s="3" t="s">
        <v>2314</v>
      </c>
      <c r="N1686" s="48"/>
    </row>
    <row r="1687" spans="1:14" ht="15.75" x14ac:dyDescent="0.45">
      <c r="A1687" s="3" t="s">
        <v>2302</v>
      </c>
      <c r="B1687" s="18">
        <v>33966</v>
      </c>
      <c r="C1687" s="7" t="s">
        <v>12</v>
      </c>
      <c r="D1687" s="20" t="s">
        <v>2672</v>
      </c>
      <c r="E1687" s="6" t="s">
        <v>2673</v>
      </c>
      <c r="F1687" s="3">
        <v>71</v>
      </c>
      <c r="L1687" s="3" t="s">
        <v>2314</v>
      </c>
      <c r="N1687" s="48"/>
    </row>
    <row r="1688" spans="1:14" ht="15.75" x14ac:dyDescent="0.45">
      <c r="A1688" s="3" t="s">
        <v>2302</v>
      </c>
      <c r="B1688" s="18">
        <v>33928</v>
      </c>
      <c r="C1688" s="7" t="s">
        <v>12</v>
      </c>
      <c r="D1688" s="20" t="s">
        <v>2674</v>
      </c>
      <c r="E1688" s="6" t="s">
        <v>2675</v>
      </c>
      <c r="F1688" s="3">
        <v>19</v>
      </c>
      <c r="L1688" s="3" t="s">
        <v>2314</v>
      </c>
      <c r="N1688" s="48"/>
    </row>
    <row r="1689" spans="1:14" ht="15.75" x14ac:dyDescent="0.45">
      <c r="A1689" s="3" t="s">
        <v>2302</v>
      </c>
      <c r="B1689" s="18">
        <v>33928</v>
      </c>
      <c r="C1689" s="7" t="s">
        <v>12</v>
      </c>
      <c r="D1689" s="20" t="s">
        <v>2676</v>
      </c>
      <c r="E1689" s="6" t="s">
        <v>2677</v>
      </c>
      <c r="F1689" s="3">
        <v>13</v>
      </c>
      <c r="L1689" s="3" t="s">
        <v>2314</v>
      </c>
      <c r="N1689" s="48"/>
    </row>
    <row r="1690" spans="1:14" ht="15.75" x14ac:dyDescent="0.45">
      <c r="A1690" s="3" t="s">
        <v>2302</v>
      </c>
      <c r="B1690" s="18">
        <v>33876</v>
      </c>
      <c r="C1690" s="7" t="s">
        <v>12</v>
      </c>
      <c r="D1690" s="20" t="s">
        <v>2678</v>
      </c>
      <c r="E1690" s="6" t="s">
        <v>2679</v>
      </c>
      <c r="F1690" s="3">
        <v>6</v>
      </c>
      <c r="L1690" s="3" t="s">
        <v>2314</v>
      </c>
      <c r="N1690" s="48"/>
    </row>
    <row r="1691" spans="1:14" ht="15.75" x14ac:dyDescent="0.45">
      <c r="A1691" s="3" t="s">
        <v>2302</v>
      </c>
      <c r="B1691" s="18">
        <v>33829</v>
      </c>
      <c r="C1691" s="7" t="s">
        <v>12</v>
      </c>
      <c r="D1691" s="20" t="s">
        <v>131</v>
      </c>
      <c r="E1691" s="6" t="s">
        <v>2680</v>
      </c>
      <c r="F1691" s="3">
        <v>8</v>
      </c>
      <c r="L1691" s="3" t="s">
        <v>2314</v>
      </c>
      <c r="N1691" s="48"/>
    </row>
    <row r="1692" spans="1:14" ht="15.75" x14ac:dyDescent="0.45">
      <c r="A1692" s="3" t="s">
        <v>2302</v>
      </c>
      <c r="B1692" s="18">
        <v>33828</v>
      </c>
      <c r="C1692" s="7" t="s">
        <v>12</v>
      </c>
      <c r="D1692" s="20" t="s">
        <v>2681</v>
      </c>
      <c r="E1692" s="6" t="s">
        <v>2682</v>
      </c>
      <c r="F1692" s="3">
        <v>4</v>
      </c>
      <c r="L1692" s="3" t="s">
        <v>2314</v>
      </c>
      <c r="N1692" s="48"/>
    </row>
    <row r="1693" spans="1:14" ht="15.75" x14ac:dyDescent="0.45">
      <c r="A1693" s="3" t="s">
        <v>2302</v>
      </c>
      <c r="B1693" s="18">
        <v>33795</v>
      </c>
      <c r="C1693" s="7" t="s">
        <v>12</v>
      </c>
      <c r="D1693" s="20" t="s">
        <v>2683</v>
      </c>
      <c r="E1693" s="6" t="s">
        <v>2684</v>
      </c>
      <c r="F1693" s="3">
        <v>72</v>
      </c>
      <c r="L1693" s="3" t="s">
        <v>2314</v>
      </c>
      <c r="N1693" s="48"/>
    </row>
    <row r="1694" spans="1:14" ht="15.75" x14ac:dyDescent="0.45">
      <c r="A1694" s="3" t="s">
        <v>2302</v>
      </c>
      <c r="B1694" s="18">
        <v>33761</v>
      </c>
      <c r="C1694" s="7" t="s">
        <v>12</v>
      </c>
      <c r="D1694" s="20" t="s">
        <v>2685</v>
      </c>
      <c r="E1694" s="6" t="s">
        <v>2686</v>
      </c>
      <c r="F1694" s="3">
        <v>22</v>
      </c>
      <c r="L1694" s="3" t="s">
        <v>2314</v>
      </c>
      <c r="N1694" s="48"/>
    </row>
    <row r="1695" spans="1:14" ht="15.75" x14ac:dyDescent="0.45">
      <c r="A1695" s="3" t="s">
        <v>2302</v>
      </c>
      <c r="B1695" s="18">
        <v>33576</v>
      </c>
      <c r="C1695" s="7" t="s">
        <v>12</v>
      </c>
      <c r="D1695" s="20" t="s">
        <v>2687</v>
      </c>
      <c r="E1695" s="6" t="s">
        <v>2688</v>
      </c>
      <c r="F1695" s="3">
        <v>7</v>
      </c>
      <c r="L1695" s="3" t="s">
        <v>2314</v>
      </c>
      <c r="N1695" s="48"/>
    </row>
    <row r="1696" spans="1:14" ht="15.75" x14ac:dyDescent="0.45">
      <c r="A1696" s="3" t="s">
        <v>2302</v>
      </c>
      <c r="B1696" s="18">
        <v>33493</v>
      </c>
      <c r="C1696" s="7" t="s">
        <v>12</v>
      </c>
      <c r="D1696" s="20" t="s">
        <v>2689</v>
      </c>
      <c r="E1696" s="6" t="s">
        <v>2690</v>
      </c>
      <c r="F1696" s="3">
        <v>3</v>
      </c>
      <c r="L1696" s="3" t="s">
        <v>2314</v>
      </c>
      <c r="N1696" s="48"/>
    </row>
    <row r="1697" spans="1:14" ht="15.75" x14ac:dyDescent="0.45">
      <c r="A1697" s="3" t="s">
        <v>2302</v>
      </c>
      <c r="B1697" s="18">
        <v>33456</v>
      </c>
      <c r="C1697" s="7" t="s">
        <v>12</v>
      </c>
      <c r="D1697" s="20" t="s">
        <v>2691</v>
      </c>
      <c r="E1697" s="6" t="s">
        <v>2692</v>
      </c>
      <c r="F1697" s="3">
        <v>2</v>
      </c>
      <c r="L1697" s="3" t="s">
        <v>2693</v>
      </c>
      <c r="N1697" s="48"/>
    </row>
    <row r="1698" spans="1:14" ht="15.75" x14ac:dyDescent="0.45">
      <c r="A1698" s="3" t="s">
        <v>2302</v>
      </c>
      <c r="B1698" s="18">
        <v>33456</v>
      </c>
      <c r="C1698" s="7" t="s">
        <v>12</v>
      </c>
      <c r="D1698" s="20" t="s">
        <v>2694</v>
      </c>
      <c r="E1698" s="6" t="s">
        <v>2695</v>
      </c>
      <c r="F1698" s="3">
        <v>2</v>
      </c>
      <c r="L1698" s="3" t="s">
        <v>2314</v>
      </c>
      <c r="N1698" s="48"/>
    </row>
    <row r="1699" spans="1:14" ht="15.75" x14ac:dyDescent="0.45">
      <c r="A1699" s="3" t="s">
        <v>2302</v>
      </c>
      <c r="B1699" s="18">
        <v>33455</v>
      </c>
      <c r="C1699" s="7" t="s">
        <v>12</v>
      </c>
      <c r="D1699" s="20" t="s">
        <v>2696</v>
      </c>
      <c r="E1699" s="6" t="s">
        <v>2697</v>
      </c>
      <c r="F1699" s="3">
        <v>11</v>
      </c>
      <c r="L1699" s="3" t="s">
        <v>2314</v>
      </c>
      <c r="N1699" s="48"/>
    </row>
    <row r="1700" spans="1:14" ht="15.75" x14ac:dyDescent="0.45">
      <c r="A1700" s="3" t="s">
        <v>2302</v>
      </c>
      <c r="B1700" s="18">
        <v>33416</v>
      </c>
      <c r="C1700" s="7" t="s">
        <v>12</v>
      </c>
      <c r="D1700" s="20" t="s">
        <v>2698</v>
      </c>
      <c r="E1700" s="6" t="s">
        <v>2699</v>
      </c>
      <c r="F1700" s="3">
        <v>36</v>
      </c>
      <c r="L1700" s="3" t="s">
        <v>2314</v>
      </c>
      <c r="N1700" s="48"/>
    </row>
    <row r="1701" spans="1:14" ht="15.75" x14ac:dyDescent="0.45">
      <c r="A1701" s="3" t="s">
        <v>2302</v>
      </c>
      <c r="B1701" s="18">
        <v>33416</v>
      </c>
      <c r="C1701" s="7" t="s">
        <v>12</v>
      </c>
      <c r="D1701" s="20" t="s">
        <v>2700</v>
      </c>
      <c r="E1701" s="6" t="s">
        <v>2701</v>
      </c>
      <c r="F1701" s="3">
        <v>6</v>
      </c>
      <c r="L1701" s="3" t="s">
        <v>2314</v>
      </c>
      <c r="N1701" s="48"/>
    </row>
    <row r="1702" spans="1:14" ht="15.75" x14ac:dyDescent="0.45">
      <c r="A1702" s="3" t="s">
        <v>2302</v>
      </c>
      <c r="B1702" s="18">
        <v>33374</v>
      </c>
      <c r="C1702" s="7" t="s">
        <v>12</v>
      </c>
      <c r="D1702" s="20" t="s">
        <v>2702</v>
      </c>
      <c r="E1702" s="6" t="s">
        <v>2703</v>
      </c>
      <c r="F1702" s="3">
        <v>54</v>
      </c>
      <c r="L1702" s="3" t="s">
        <v>2314</v>
      </c>
      <c r="N1702" s="48"/>
    </row>
    <row r="1703" spans="1:14" ht="15.75" x14ac:dyDescent="0.45">
      <c r="A1703" s="3" t="s">
        <v>2302</v>
      </c>
      <c r="B1703" s="18">
        <v>33305</v>
      </c>
      <c r="C1703" s="7" t="s">
        <v>12</v>
      </c>
      <c r="D1703" s="20" t="s">
        <v>2704</v>
      </c>
      <c r="E1703" s="6" t="s">
        <v>2705</v>
      </c>
      <c r="F1703" s="3">
        <v>51</v>
      </c>
      <c r="L1703" s="3" t="s">
        <v>2314</v>
      </c>
      <c r="N1703" s="48"/>
    </row>
    <row r="1704" spans="1:14" ht="15.75" x14ac:dyDescent="0.45">
      <c r="A1704" s="3" t="s">
        <v>2302</v>
      </c>
      <c r="B1704" s="18">
        <v>33226</v>
      </c>
      <c r="C1704" s="7" t="s">
        <v>12</v>
      </c>
      <c r="D1704" s="20" t="s">
        <v>2706</v>
      </c>
      <c r="E1704" s="6" t="s">
        <v>2707</v>
      </c>
      <c r="F1704" s="3">
        <v>7</v>
      </c>
      <c r="L1704" s="3" t="s">
        <v>2314</v>
      </c>
      <c r="N1704" s="48"/>
    </row>
    <row r="1705" spans="1:14" ht="15.75" x14ac:dyDescent="0.45">
      <c r="A1705" s="3" t="s">
        <v>2302</v>
      </c>
      <c r="B1705" s="18">
        <v>33185</v>
      </c>
      <c r="C1705" s="7" t="s">
        <v>12</v>
      </c>
      <c r="D1705" s="20" t="s">
        <v>2708</v>
      </c>
      <c r="E1705" s="6" t="s">
        <v>2709</v>
      </c>
      <c r="F1705" s="3">
        <v>3</v>
      </c>
      <c r="L1705" s="3" t="s">
        <v>2710</v>
      </c>
      <c r="N1705" s="48"/>
    </row>
    <row r="1706" spans="1:14" ht="15.75" x14ac:dyDescent="0.45">
      <c r="A1706" s="3" t="s">
        <v>2302</v>
      </c>
      <c r="B1706" s="18">
        <v>33155</v>
      </c>
      <c r="C1706" s="7" t="s">
        <v>12</v>
      </c>
      <c r="D1706" s="20" t="s">
        <v>2711</v>
      </c>
      <c r="E1706" s="6" t="s">
        <v>2712</v>
      </c>
      <c r="F1706" s="3">
        <v>10</v>
      </c>
      <c r="L1706" s="3" t="s">
        <v>2314</v>
      </c>
      <c r="N1706" s="48"/>
    </row>
    <row r="1707" spans="1:14" ht="15.75" x14ac:dyDescent="0.45">
      <c r="A1707" s="3" t="s">
        <v>2302</v>
      </c>
      <c r="B1707" s="18">
        <v>33147</v>
      </c>
      <c r="C1707" s="7" t="s">
        <v>12</v>
      </c>
      <c r="D1707" s="20" t="s">
        <v>2713</v>
      </c>
      <c r="E1707" s="6" t="s">
        <v>2714</v>
      </c>
      <c r="F1707" s="3">
        <v>5</v>
      </c>
      <c r="L1707" s="3" t="s">
        <v>2314</v>
      </c>
      <c r="N1707" s="48"/>
    </row>
    <row r="1708" spans="1:14" ht="15.75" x14ac:dyDescent="0.45">
      <c r="A1708" s="3" t="s">
        <v>2302</v>
      </c>
      <c r="B1708" s="18">
        <v>33144</v>
      </c>
      <c r="C1708" s="7" t="s">
        <v>12</v>
      </c>
      <c r="D1708" s="20" t="s">
        <v>2715</v>
      </c>
      <c r="E1708" s="6" t="s">
        <v>2716</v>
      </c>
      <c r="F1708" s="3">
        <v>3</v>
      </c>
      <c r="L1708" s="3" t="s">
        <v>2314</v>
      </c>
      <c r="N1708" s="48"/>
    </row>
    <row r="1709" spans="1:14" ht="15.75" x14ac:dyDescent="0.45">
      <c r="A1709" s="3" t="s">
        <v>2302</v>
      </c>
      <c r="B1709" s="18">
        <v>33114</v>
      </c>
      <c r="C1709" s="7" t="s">
        <v>12</v>
      </c>
      <c r="D1709" s="20" t="s">
        <v>2717</v>
      </c>
      <c r="E1709" s="6" t="s">
        <v>2718</v>
      </c>
      <c r="F1709" s="3">
        <v>2</v>
      </c>
      <c r="L1709" s="3" t="s">
        <v>2314</v>
      </c>
      <c r="N1709" s="48"/>
    </row>
    <row r="1710" spans="1:14" ht="15.75" x14ac:dyDescent="0.45">
      <c r="A1710" s="3" t="s">
        <v>2302</v>
      </c>
      <c r="B1710" s="18">
        <v>33102</v>
      </c>
      <c r="C1710" s="7" t="s">
        <v>12</v>
      </c>
      <c r="D1710" s="20" t="s">
        <v>2719</v>
      </c>
      <c r="E1710" s="6" t="s">
        <v>2720</v>
      </c>
      <c r="F1710" s="3">
        <v>33</v>
      </c>
      <c r="L1710" s="3" t="s">
        <v>2314</v>
      </c>
      <c r="N1710" s="48"/>
    </row>
    <row r="1711" spans="1:14" ht="15.75" x14ac:dyDescent="0.45">
      <c r="A1711" s="3" t="s">
        <v>2302</v>
      </c>
      <c r="B1711" s="18">
        <v>33060</v>
      </c>
      <c r="C1711" s="7" t="s">
        <v>12</v>
      </c>
      <c r="D1711" s="20" t="s">
        <v>2721</v>
      </c>
      <c r="E1711" s="6" t="s">
        <v>2722</v>
      </c>
      <c r="F1711" s="3">
        <v>3</v>
      </c>
      <c r="L1711" s="3" t="s">
        <v>2314</v>
      </c>
      <c r="N1711" s="48"/>
    </row>
    <row r="1712" spans="1:14" ht="15.75" x14ac:dyDescent="0.45">
      <c r="A1712" s="3" t="s">
        <v>2302</v>
      </c>
      <c r="B1712" s="18">
        <v>32997</v>
      </c>
      <c r="C1712" s="7" t="s">
        <v>12</v>
      </c>
      <c r="D1712" s="20" t="s">
        <v>2723</v>
      </c>
      <c r="E1712" s="6" t="s">
        <v>2724</v>
      </c>
      <c r="F1712" s="3">
        <v>3</v>
      </c>
      <c r="L1712" s="3" t="s">
        <v>2314</v>
      </c>
      <c r="N1712" s="48"/>
    </row>
    <row r="1713" spans="1:14" ht="15.75" x14ac:dyDescent="0.45">
      <c r="A1713" s="3" t="s">
        <v>2302</v>
      </c>
      <c r="B1713" s="18">
        <v>32958</v>
      </c>
      <c r="C1713" s="7" t="s">
        <v>12</v>
      </c>
      <c r="D1713" s="20" t="s">
        <v>2725</v>
      </c>
      <c r="E1713" s="6" t="s">
        <v>2726</v>
      </c>
      <c r="F1713" s="3">
        <v>8</v>
      </c>
      <c r="L1713" s="3" t="s">
        <v>2314</v>
      </c>
      <c r="N1713" s="48"/>
    </row>
    <row r="1714" spans="1:14" ht="15.75" x14ac:dyDescent="0.45">
      <c r="A1714" s="3" t="s">
        <v>2302</v>
      </c>
      <c r="B1714" s="18">
        <v>32933</v>
      </c>
      <c r="C1714" s="7" t="s">
        <v>12</v>
      </c>
      <c r="D1714" s="20" t="s">
        <v>2727</v>
      </c>
      <c r="E1714" s="6" t="s">
        <v>2728</v>
      </c>
      <c r="F1714" s="3">
        <v>5</v>
      </c>
      <c r="L1714" s="3" t="s">
        <v>2314</v>
      </c>
      <c r="N1714" s="48"/>
    </row>
    <row r="1715" spans="1:14" ht="15.75" x14ac:dyDescent="0.45">
      <c r="A1715" s="3" t="s">
        <v>2302</v>
      </c>
      <c r="B1715" s="18">
        <v>32919</v>
      </c>
      <c r="C1715" s="7" t="s">
        <v>12</v>
      </c>
      <c r="D1715" s="20" t="s">
        <v>2729</v>
      </c>
      <c r="E1715" s="6" t="s">
        <v>2643</v>
      </c>
      <c r="F1715" s="3">
        <v>30</v>
      </c>
      <c r="L1715" s="3" t="s">
        <v>2314</v>
      </c>
      <c r="N1715" s="48"/>
    </row>
    <row r="1716" spans="1:14" ht="15.75" x14ac:dyDescent="0.45">
      <c r="A1716" s="3" t="s">
        <v>2302</v>
      </c>
      <c r="B1716" s="18">
        <v>32764</v>
      </c>
      <c r="C1716" s="7" t="s">
        <v>12</v>
      </c>
      <c r="D1716" s="20" t="s">
        <v>2730</v>
      </c>
      <c r="E1716" s="6" t="s">
        <v>2731</v>
      </c>
      <c r="F1716" s="3">
        <v>19</v>
      </c>
      <c r="L1716" s="3" t="s">
        <v>2314</v>
      </c>
      <c r="N1716" s="48"/>
    </row>
    <row r="1717" spans="1:14" ht="15.75" x14ac:dyDescent="0.45">
      <c r="A1717" s="3" t="s">
        <v>2302</v>
      </c>
      <c r="B1717" s="18">
        <v>32735</v>
      </c>
      <c r="C1717" s="7" t="s">
        <v>12</v>
      </c>
      <c r="D1717" s="20" t="s">
        <v>2732</v>
      </c>
      <c r="E1717" s="6" t="s">
        <v>2733</v>
      </c>
      <c r="F1717" s="3">
        <v>3</v>
      </c>
      <c r="L1717" s="3" t="s">
        <v>2314</v>
      </c>
      <c r="N1717" s="48"/>
    </row>
    <row r="1718" spans="1:14" ht="15.75" x14ac:dyDescent="0.45">
      <c r="A1718" s="3" t="s">
        <v>2302</v>
      </c>
      <c r="B1718" s="18">
        <v>32724</v>
      </c>
      <c r="C1718" s="7" t="s">
        <v>12</v>
      </c>
      <c r="D1718" s="20" t="s">
        <v>2734</v>
      </c>
      <c r="E1718" s="6" t="s">
        <v>2735</v>
      </c>
      <c r="F1718" s="3">
        <v>67</v>
      </c>
      <c r="L1718" s="3" t="s">
        <v>2314</v>
      </c>
      <c r="N1718" s="48"/>
    </row>
    <row r="1719" spans="1:14" ht="15.75" x14ac:dyDescent="0.45">
      <c r="A1719" s="3" t="s">
        <v>2302</v>
      </c>
      <c r="B1719" s="18">
        <v>32710</v>
      </c>
      <c r="C1719" s="7" t="s">
        <v>12</v>
      </c>
      <c r="D1719" s="20" t="s">
        <v>2736</v>
      </c>
      <c r="E1719" s="6" t="s">
        <v>2737</v>
      </c>
      <c r="F1719" s="3">
        <v>19</v>
      </c>
      <c r="L1719" s="3" t="s">
        <v>2314</v>
      </c>
      <c r="N1719" s="48"/>
    </row>
    <row r="1720" spans="1:14" ht="15.75" x14ac:dyDescent="0.45">
      <c r="A1720" s="3" t="s">
        <v>2302</v>
      </c>
      <c r="B1720" s="18">
        <v>32668</v>
      </c>
      <c r="C1720" s="7" t="s">
        <v>12</v>
      </c>
      <c r="D1720" s="20" t="s">
        <v>2738</v>
      </c>
      <c r="E1720" s="6" t="s">
        <v>2739</v>
      </c>
      <c r="F1720" s="3">
        <v>12</v>
      </c>
      <c r="L1720" s="3" t="s">
        <v>2314</v>
      </c>
      <c r="N1720" s="48"/>
    </row>
    <row r="1721" spans="1:14" ht="15.75" x14ac:dyDescent="0.45">
      <c r="A1721" s="3" t="s">
        <v>2302</v>
      </c>
      <c r="B1721" s="18">
        <v>32654</v>
      </c>
      <c r="C1721" s="7" t="s">
        <v>12</v>
      </c>
      <c r="D1721" s="20" t="s">
        <v>2740</v>
      </c>
      <c r="E1721" s="6" t="s">
        <v>2741</v>
      </c>
      <c r="F1721" s="3">
        <v>26</v>
      </c>
      <c r="L1721" s="3" t="s">
        <v>2314</v>
      </c>
      <c r="N1721" s="48"/>
    </row>
    <row r="1722" spans="1:14" ht="15.75" x14ac:dyDescent="0.45">
      <c r="A1722" s="3" t="s">
        <v>2302</v>
      </c>
      <c r="B1722" s="18">
        <v>32646</v>
      </c>
      <c r="C1722" s="7" t="s">
        <v>12</v>
      </c>
      <c r="D1722" s="20" t="s">
        <v>2742</v>
      </c>
      <c r="E1722" s="6" t="s">
        <v>2743</v>
      </c>
      <c r="F1722" s="3">
        <v>6</v>
      </c>
      <c r="L1722" s="3" t="s">
        <v>2314</v>
      </c>
      <c r="N1722" s="48"/>
    </row>
    <row r="1723" spans="1:14" ht="15.75" x14ac:dyDescent="0.45">
      <c r="A1723" s="3" t="s">
        <v>2302</v>
      </c>
      <c r="B1723" s="18">
        <v>32617</v>
      </c>
      <c r="C1723" s="7" t="s">
        <v>12</v>
      </c>
      <c r="D1723" s="20" t="s">
        <v>2744</v>
      </c>
      <c r="E1723" s="6" t="s">
        <v>2745</v>
      </c>
      <c r="F1723" s="3">
        <v>47</v>
      </c>
      <c r="L1723" s="3" t="s">
        <v>2314</v>
      </c>
      <c r="N1723" s="48"/>
    </row>
    <row r="1724" spans="1:14" ht="15.75" x14ac:dyDescent="0.45">
      <c r="A1724" s="3" t="s">
        <v>2302</v>
      </c>
      <c r="B1724" s="18">
        <v>32597</v>
      </c>
      <c r="C1724" s="7" t="s">
        <v>12</v>
      </c>
      <c r="D1724" s="20" t="s">
        <v>2746</v>
      </c>
      <c r="E1724" s="6" t="s">
        <v>2747</v>
      </c>
      <c r="F1724" s="3">
        <v>3</v>
      </c>
      <c r="L1724" s="3" t="s">
        <v>2314</v>
      </c>
      <c r="N1724" s="48"/>
    </row>
    <row r="1725" spans="1:14" ht="15.75" x14ac:dyDescent="0.45">
      <c r="A1725" s="3" t="s">
        <v>2302</v>
      </c>
      <c r="B1725" s="18">
        <v>32549</v>
      </c>
      <c r="C1725" s="7" t="s">
        <v>12</v>
      </c>
      <c r="D1725" s="20" t="s">
        <v>2748</v>
      </c>
      <c r="E1725" s="6" t="s">
        <v>2749</v>
      </c>
      <c r="F1725" s="3">
        <v>49</v>
      </c>
      <c r="L1725" s="3" t="s">
        <v>2314</v>
      </c>
      <c r="N1725" s="48"/>
    </row>
    <row r="1726" spans="1:14" ht="15.75" x14ac:dyDescent="0.45">
      <c r="A1726" s="3" t="s">
        <v>2302</v>
      </c>
      <c r="B1726" s="18">
        <v>32525</v>
      </c>
      <c r="C1726" s="7" t="s">
        <v>12</v>
      </c>
      <c r="D1726" s="20" t="s">
        <v>2750</v>
      </c>
      <c r="E1726" s="6" t="s">
        <v>2751</v>
      </c>
      <c r="F1726" s="3">
        <v>3</v>
      </c>
      <c r="L1726" s="3" t="s">
        <v>2314</v>
      </c>
      <c r="N1726" s="48"/>
    </row>
    <row r="1727" spans="1:14" ht="15.75" x14ac:dyDescent="0.45">
      <c r="A1727" s="3" t="s">
        <v>2302</v>
      </c>
      <c r="B1727" s="18">
        <v>32483</v>
      </c>
      <c r="C1727" s="7" t="s">
        <v>12</v>
      </c>
      <c r="D1727" s="20" t="s">
        <v>2752</v>
      </c>
      <c r="E1727" s="6" t="s">
        <v>2753</v>
      </c>
      <c r="F1727" s="3">
        <v>9</v>
      </c>
      <c r="L1727" s="3" t="s">
        <v>2314</v>
      </c>
      <c r="N1727" s="48"/>
    </row>
    <row r="1728" spans="1:14" ht="15.75" x14ac:dyDescent="0.45">
      <c r="A1728" s="3" t="s">
        <v>2302</v>
      </c>
      <c r="B1728" s="18">
        <v>32465</v>
      </c>
      <c r="C1728" s="7" t="s">
        <v>12</v>
      </c>
      <c r="D1728" s="20" t="s">
        <v>2754</v>
      </c>
      <c r="E1728" s="6" t="s">
        <v>2755</v>
      </c>
      <c r="F1728" s="3">
        <v>3</v>
      </c>
      <c r="L1728" s="3" t="s">
        <v>2710</v>
      </c>
      <c r="N1728" s="48"/>
    </row>
    <row r="1729" spans="1:14" ht="15.75" x14ac:dyDescent="0.45">
      <c r="A1729" s="3" t="s">
        <v>2302</v>
      </c>
      <c r="B1729" s="18">
        <v>32435</v>
      </c>
      <c r="C1729" s="7" t="s">
        <v>12</v>
      </c>
      <c r="D1729" s="20" t="s">
        <v>2756</v>
      </c>
      <c r="E1729" s="6" t="s">
        <v>2757</v>
      </c>
      <c r="F1729" s="3">
        <v>12</v>
      </c>
      <c r="L1729" s="3" t="s">
        <v>2314</v>
      </c>
      <c r="N1729" s="48"/>
    </row>
    <row r="1730" spans="1:14" ht="15.75" x14ac:dyDescent="0.45">
      <c r="A1730" s="3" t="s">
        <v>2302</v>
      </c>
      <c r="B1730" s="18">
        <v>32409</v>
      </c>
      <c r="C1730" s="7" t="s">
        <v>12</v>
      </c>
      <c r="D1730" s="20" t="s">
        <v>2758</v>
      </c>
      <c r="E1730" s="6" t="s">
        <v>2759</v>
      </c>
      <c r="F1730" s="3">
        <v>1</v>
      </c>
      <c r="L1730" s="3" t="s">
        <v>2314</v>
      </c>
      <c r="N1730" s="48"/>
    </row>
    <row r="1731" spans="1:14" ht="15.75" x14ac:dyDescent="0.45">
      <c r="A1731" s="3" t="s">
        <v>2302</v>
      </c>
      <c r="B1731" s="18">
        <v>32378</v>
      </c>
      <c r="C1731" s="7" t="s">
        <v>12</v>
      </c>
      <c r="D1731" s="20" t="s">
        <v>2760</v>
      </c>
      <c r="E1731" s="6" t="s">
        <v>2761</v>
      </c>
      <c r="F1731" s="3">
        <v>3</v>
      </c>
      <c r="L1731" s="3" t="s">
        <v>2314</v>
      </c>
      <c r="N1731" s="48"/>
    </row>
    <row r="1732" spans="1:14" ht="15.75" x14ac:dyDescent="0.45">
      <c r="A1732" s="3" t="s">
        <v>2302</v>
      </c>
      <c r="B1732" s="18">
        <v>32325</v>
      </c>
      <c r="C1732" s="7" t="s">
        <v>12</v>
      </c>
      <c r="D1732" s="20" t="s">
        <v>2762</v>
      </c>
      <c r="E1732" s="6" t="s">
        <v>2763</v>
      </c>
      <c r="F1732" s="3">
        <v>11</v>
      </c>
      <c r="L1732" s="3" t="s">
        <v>2314</v>
      </c>
      <c r="N1732" s="48"/>
    </row>
    <row r="1733" spans="1:14" ht="15.75" x14ac:dyDescent="0.45">
      <c r="A1733" s="3" t="s">
        <v>2302</v>
      </c>
      <c r="B1733" s="18">
        <v>32311</v>
      </c>
      <c r="C1733" s="7" t="s">
        <v>12</v>
      </c>
      <c r="D1733" s="20" t="s">
        <v>2764</v>
      </c>
      <c r="E1733" s="6" t="s">
        <v>2765</v>
      </c>
      <c r="F1733" s="3">
        <v>3</v>
      </c>
      <c r="L1733" s="3" t="s">
        <v>2314</v>
      </c>
      <c r="N1733" s="48"/>
    </row>
    <row r="1734" spans="1:14" ht="15.75" x14ac:dyDescent="0.45">
      <c r="A1734" s="3" t="s">
        <v>2302</v>
      </c>
      <c r="B1734" s="18">
        <v>32237</v>
      </c>
      <c r="C1734" s="7" t="s">
        <v>12</v>
      </c>
      <c r="D1734" s="20" t="s">
        <v>2766</v>
      </c>
      <c r="E1734" s="6" t="s">
        <v>2767</v>
      </c>
      <c r="F1734" s="3">
        <v>4</v>
      </c>
      <c r="L1734" s="3" t="s">
        <v>2314</v>
      </c>
      <c r="N1734" s="48"/>
    </row>
    <row r="1735" spans="1:14" ht="15.75" x14ac:dyDescent="0.45">
      <c r="A1735" s="3" t="s">
        <v>2302</v>
      </c>
      <c r="B1735" s="18">
        <v>32203</v>
      </c>
      <c r="C1735" s="7" t="s">
        <v>12</v>
      </c>
      <c r="D1735" s="20" t="s">
        <v>2768</v>
      </c>
      <c r="E1735" s="6" t="s">
        <v>2769</v>
      </c>
      <c r="F1735" s="3">
        <v>32</v>
      </c>
      <c r="L1735" s="3" t="s">
        <v>2314</v>
      </c>
      <c r="N1735" s="48"/>
    </row>
    <row r="1736" spans="1:14" ht="15.75" x14ac:dyDescent="0.45">
      <c r="A1736" s="3" t="s">
        <v>2302</v>
      </c>
      <c r="B1736" s="18">
        <v>32162</v>
      </c>
      <c r="C1736" s="7" t="s">
        <v>12</v>
      </c>
      <c r="D1736" s="20" t="s">
        <v>2770</v>
      </c>
      <c r="E1736" s="6" t="s">
        <v>2771</v>
      </c>
      <c r="F1736" s="3">
        <v>6</v>
      </c>
      <c r="L1736" s="3" t="s">
        <v>2314</v>
      </c>
      <c r="N1736" s="48"/>
    </row>
    <row r="1737" spans="1:14" ht="15.75" x14ac:dyDescent="0.45">
      <c r="A1737" s="3" t="s">
        <v>2302</v>
      </c>
      <c r="B1737" s="18">
        <v>32148</v>
      </c>
      <c r="C1737" s="7" t="s">
        <v>12</v>
      </c>
      <c r="D1737" s="20" t="s">
        <v>2772</v>
      </c>
      <c r="E1737" s="6" t="s">
        <v>2773</v>
      </c>
      <c r="F1737" s="3">
        <v>26</v>
      </c>
      <c r="L1737" s="3" t="s">
        <v>2314</v>
      </c>
      <c r="N1737" s="48"/>
    </row>
    <row r="1738" spans="1:14" ht="15.75" x14ac:dyDescent="0.45">
      <c r="A1738" s="3" t="s">
        <v>2302</v>
      </c>
      <c r="B1738" s="18">
        <v>32073</v>
      </c>
      <c r="C1738" s="7" t="s">
        <v>12</v>
      </c>
      <c r="D1738" s="20" t="s">
        <v>2774</v>
      </c>
      <c r="E1738" s="6" t="s">
        <v>2775</v>
      </c>
      <c r="F1738" s="3">
        <v>2</v>
      </c>
      <c r="L1738" s="3" t="s">
        <v>2710</v>
      </c>
      <c r="N1738" s="48"/>
    </row>
    <row r="1739" spans="1:14" ht="15.75" x14ac:dyDescent="0.45">
      <c r="A1739" s="3" t="s">
        <v>2302</v>
      </c>
      <c r="B1739" s="18">
        <v>32028</v>
      </c>
      <c r="C1739" s="7" t="s">
        <v>12</v>
      </c>
      <c r="D1739" s="20" t="s">
        <v>2776</v>
      </c>
      <c r="E1739" s="6" t="s">
        <v>2777</v>
      </c>
      <c r="F1739" s="3">
        <v>6</v>
      </c>
      <c r="L1739" s="3" t="s">
        <v>2314</v>
      </c>
      <c r="N1739" s="48"/>
    </row>
    <row r="1740" spans="1:14" ht="15.75" x14ac:dyDescent="0.45">
      <c r="A1740" s="3" t="s">
        <v>2302</v>
      </c>
      <c r="B1740" s="18">
        <v>32016</v>
      </c>
      <c r="C1740" s="7" t="s">
        <v>12</v>
      </c>
      <c r="D1740" s="20" t="s">
        <v>2778</v>
      </c>
      <c r="E1740" s="6" t="s">
        <v>2779</v>
      </c>
      <c r="F1740" s="3">
        <v>3</v>
      </c>
      <c r="L1740" s="3" t="s">
        <v>2314</v>
      </c>
      <c r="N1740" s="48"/>
    </row>
    <row r="1741" spans="1:14" ht="15.75" x14ac:dyDescent="0.45">
      <c r="A1741" s="3" t="s">
        <v>2302</v>
      </c>
      <c r="B1741" s="18">
        <v>31889</v>
      </c>
      <c r="C1741" s="7" t="s">
        <v>12</v>
      </c>
      <c r="D1741" s="20" t="s">
        <v>2780</v>
      </c>
      <c r="E1741" s="6" t="s">
        <v>2781</v>
      </c>
      <c r="F1741" s="3">
        <v>4</v>
      </c>
      <c r="L1741" s="3" t="s">
        <v>2314</v>
      </c>
      <c r="N1741" s="48"/>
    </row>
    <row r="1742" spans="1:14" ht="15.75" x14ac:dyDescent="0.45">
      <c r="A1742" s="3" t="s">
        <v>2302</v>
      </c>
      <c r="B1742" s="18">
        <v>31792</v>
      </c>
      <c r="C1742" s="7" t="s">
        <v>12</v>
      </c>
      <c r="D1742" s="20" t="s">
        <v>2782</v>
      </c>
      <c r="E1742" s="6" t="s">
        <v>2783</v>
      </c>
      <c r="F1742" s="3">
        <v>29</v>
      </c>
      <c r="L1742" s="3" t="s">
        <v>2314</v>
      </c>
      <c r="N1742" s="48"/>
    </row>
    <row r="1743" spans="1:14" ht="15.75" x14ac:dyDescent="0.45">
      <c r="A1743" s="3" t="s">
        <v>2302</v>
      </c>
      <c r="B1743" s="18">
        <v>31792</v>
      </c>
      <c r="C1743" s="7" t="s">
        <v>12</v>
      </c>
      <c r="D1743" s="20" t="s">
        <v>2784</v>
      </c>
      <c r="E1743" s="6" t="s">
        <v>2785</v>
      </c>
      <c r="F1743" s="3">
        <v>3</v>
      </c>
      <c r="L1743" s="3" t="s">
        <v>2314</v>
      </c>
      <c r="N1743" s="48"/>
    </row>
    <row r="1744" spans="1:14" ht="15.75" x14ac:dyDescent="0.45">
      <c r="A1744" s="3" t="s">
        <v>2302</v>
      </c>
      <c r="B1744" s="18">
        <v>31777</v>
      </c>
      <c r="C1744" s="7" t="s">
        <v>12</v>
      </c>
      <c r="D1744" s="20" t="s">
        <v>2786</v>
      </c>
      <c r="E1744" s="6" t="s">
        <v>2787</v>
      </c>
      <c r="F1744" s="3">
        <v>7</v>
      </c>
      <c r="L1744" s="3" t="s">
        <v>2314</v>
      </c>
      <c r="N1744" s="48"/>
    </row>
    <row r="1745" spans="1:14" ht="15.75" x14ac:dyDescent="0.45">
      <c r="A1745" s="3" t="s">
        <v>2302</v>
      </c>
      <c r="B1745" s="18">
        <v>31761</v>
      </c>
      <c r="C1745" s="7" t="s">
        <v>12</v>
      </c>
      <c r="D1745" s="20" t="s">
        <v>2788</v>
      </c>
      <c r="E1745" s="6" t="s">
        <v>2789</v>
      </c>
      <c r="F1745" s="3">
        <v>24</v>
      </c>
      <c r="L1745" s="3" t="s">
        <v>2314</v>
      </c>
      <c r="N1745" s="48"/>
    </row>
    <row r="1746" spans="1:14" ht="15.75" x14ac:dyDescent="0.45">
      <c r="A1746" s="3" t="s">
        <v>2302</v>
      </c>
      <c r="B1746" s="18">
        <v>31761</v>
      </c>
      <c r="C1746" s="7" t="s">
        <v>12</v>
      </c>
      <c r="D1746" s="20" t="s">
        <v>2790</v>
      </c>
      <c r="E1746" s="6" t="s">
        <v>2791</v>
      </c>
      <c r="F1746" s="3">
        <v>2</v>
      </c>
      <c r="L1746" s="3" t="s">
        <v>2314</v>
      </c>
      <c r="N1746" s="48"/>
    </row>
    <row r="1747" spans="1:14" ht="15.75" x14ac:dyDescent="0.45">
      <c r="A1747" s="3" t="s">
        <v>2302</v>
      </c>
      <c r="B1747" s="18">
        <v>31663</v>
      </c>
      <c r="C1747" s="7" t="s">
        <v>12</v>
      </c>
      <c r="D1747" s="20" t="s">
        <v>2792</v>
      </c>
      <c r="E1747" s="6" t="s">
        <v>2793</v>
      </c>
      <c r="F1747" s="3">
        <v>26</v>
      </c>
      <c r="L1747" s="3" t="s">
        <v>2314</v>
      </c>
      <c r="N1747" s="48"/>
    </row>
    <row r="1748" spans="1:14" ht="15.75" x14ac:dyDescent="0.45">
      <c r="A1748" s="3" t="s">
        <v>2302</v>
      </c>
      <c r="B1748" s="18">
        <v>31625</v>
      </c>
      <c r="C1748" s="7" t="s">
        <v>12</v>
      </c>
      <c r="D1748" s="20" t="s">
        <v>2794</v>
      </c>
      <c r="E1748" s="6" t="s">
        <v>2795</v>
      </c>
      <c r="F1748" s="3">
        <v>3</v>
      </c>
      <c r="L1748" s="3" t="s">
        <v>2314</v>
      </c>
      <c r="N1748" s="48"/>
    </row>
    <row r="1749" spans="1:14" ht="15.75" x14ac:dyDescent="0.45">
      <c r="A1749" s="3" t="s">
        <v>2302</v>
      </c>
      <c r="B1749" s="18">
        <v>31608</v>
      </c>
      <c r="C1749" s="7" t="s">
        <v>12</v>
      </c>
      <c r="D1749" s="20" t="s">
        <v>2796</v>
      </c>
      <c r="E1749" s="6" t="s">
        <v>2797</v>
      </c>
      <c r="F1749" s="3">
        <v>10</v>
      </c>
      <c r="L1749" s="3" t="s">
        <v>2314</v>
      </c>
      <c r="N1749" s="48"/>
    </row>
    <row r="1750" spans="1:14" ht="15.75" x14ac:dyDescent="0.45">
      <c r="A1750" s="3" t="s">
        <v>2302</v>
      </c>
      <c r="B1750" s="18">
        <v>31576</v>
      </c>
      <c r="C1750" s="7" t="s">
        <v>12</v>
      </c>
      <c r="D1750" s="20" t="s">
        <v>2798</v>
      </c>
      <c r="E1750" s="6" t="s">
        <v>2799</v>
      </c>
      <c r="F1750" s="3">
        <v>5</v>
      </c>
      <c r="L1750" s="3" t="s">
        <v>2314</v>
      </c>
      <c r="N1750" s="48"/>
    </row>
    <row r="1751" spans="1:14" ht="15.75" x14ac:dyDescent="0.45">
      <c r="A1751" s="3" t="s">
        <v>2302</v>
      </c>
      <c r="B1751" s="18">
        <v>31548</v>
      </c>
      <c r="C1751" s="7" t="s">
        <v>12</v>
      </c>
      <c r="D1751" s="20" t="s">
        <v>2800</v>
      </c>
      <c r="E1751" s="6" t="s">
        <v>2801</v>
      </c>
      <c r="F1751" s="3">
        <v>6</v>
      </c>
      <c r="L1751" s="3" t="s">
        <v>2314</v>
      </c>
      <c r="N1751" s="48"/>
    </row>
    <row r="1752" spans="1:14" ht="15.75" x14ac:dyDescent="0.45">
      <c r="A1752" s="3" t="s">
        <v>2302</v>
      </c>
      <c r="B1752" s="18">
        <v>31548</v>
      </c>
      <c r="C1752" s="7" t="s">
        <v>12</v>
      </c>
      <c r="D1752" s="20" t="s">
        <v>2802</v>
      </c>
      <c r="E1752" s="6" t="s">
        <v>2803</v>
      </c>
      <c r="F1752" s="3">
        <v>19</v>
      </c>
      <c r="L1752" s="3" t="s">
        <v>2314</v>
      </c>
      <c r="N1752" s="48"/>
    </row>
    <row r="1753" spans="1:14" ht="15.75" x14ac:dyDescent="0.45">
      <c r="A1753" s="3" t="s">
        <v>2302</v>
      </c>
      <c r="B1753" s="18">
        <v>31531</v>
      </c>
      <c r="C1753" s="7" t="s">
        <v>12</v>
      </c>
      <c r="D1753" s="20" t="s">
        <v>2804</v>
      </c>
      <c r="E1753" s="6" t="s">
        <v>2805</v>
      </c>
      <c r="F1753" s="3">
        <v>4</v>
      </c>
      <c r="L1753" s="3" t="s">
        <v>2314</v>
      </c>
      <c r="N1753" s="48"/>
    </row>
    <row r="1754" spans="1:14" ht="15.75" x14ac:dyDescent="0.45">
      <c r="A1754" s="3" t="s">
        <v>2302</v>
      </c>
      <c r="B1754" s="18">
        <v>31502</v>
      </c>
      <c r="C1754" s="7" t="s">
        <v>12</v>
      </c>
      <c r="D1754" s="20" t="s">
        <v>2806</v>
      </c>
      <c r="E1754" s="6" t="s">
        <v>2807</v>
      </c>
      <c r="F1754" s="3">
        <v>3</v>
      </c>
      <c r="L1754" s="3" t="s">
        <v>2314</v>
      </c>
      <c r="N1754" s="48"/>
    </row>
    <row r="1755" spans="1:14" ht="15.75" x14ac:dyDescent="0.45">
      <c r="A1755" s="3" t="s">
        <v>2302</v>
      </c>
      <c r="B1755" s="18">
        <v>31498</v>
      </c>
      <c r="C1755" s="7" t="s">
        <v>12</v>
      </c>
      <c r="D1755" s="20" t="s">
        <v>2808</v>
      </c>
      <c r="E1755" s="6" t="s">
        <v>2809</v>
      </c>
      <c r="F1755" s="3">
        <v>7</v>
      </c>
      <c r="L1755" s="3" t="s">
        <v>2314</v>
      </c>
      <c r="N1755" s="48"/>
    </row>
    <row r="1756" spans="1:14" ht="15.75" x14ac:dyDescent="0.45">
      <c r="A1756" s="3" t="s">
        <v>2302</v>
      </c>
      <c r="B1756" s="18">
        <v>31496</v>
      </c>
      <c r="C1756" s="7" t="s">
        <v>12</v>
      </c>
      <c r="D1756" s="20" t="s">
        <v>2810</v>
      </c>
      <c r="E1756" s="6" t="s">
        <v>2811</v>
      </c>
      <c r="F1756" s="3">
        <v>93</v>
      </c>
      <c r="L1756" s="3" t="s">
        <v>2314</v>
      </c>
      <c r="N1756" s="48"/>
    </row>
    <row r="1757" spans="1:14" ht="15.75" x14ac:dyDescent="0.45">
      <c r="A1757" s="3" t="s">
        <v>2302</v>
      </c>
      <c r="B1757" s="18">
        <v>31455</v>
      </c>
      <c r="C1757" s="7" t="s">
        <v>12</v>
      </c>
      <c r="D1757" s="20" t="s">
        <v>2812</v>
      </c>
      <c r="E1757" s="6" t="s">
        <v>2813</v>
      </c>
      <c r="F1757" s="3">
        <v>10</v>
      </c>
      <c r="L1757" s="3" t="s">
        <v>2314</v>
      </c>
      <c r="N1757" s="48"/>
    </row>
    <row r="1758" spans="1:14" ht="15.75" x14ac:dyDescent="0.45">
      <c r="A1758" s="3" t="s">
        <v>2302</v>
      </c>
      <c r="B1758" s="18">
        <v>31420</v>
      </c>
      <c r="C1758" s="7" t="s">
        <v>12</v>
      </c>
      <c r="D1758" s="20" t="s">
        <v>2814</v>
      </c>
      <c r="E1758" s="6" t="s">
        <v>2815</v>
      </c>
      <c r="F1758" s="3">
        <v>35</v>
      </c>
      <c r="L1758" s="3" t="s">
        <v>2314</v>
      </c>
      <c r="N1758" s="48"/>
    </row>
    <row r="1759" spans="1:14" ht="15.75" x14ac:dyDescent="0.45">
      <c r="A1759" s="3" t="s">
        <v>2302</v>
      </c>
      <c r="B1759" s="18">
        <v>31392</v>
      </c>
      <c r="C1759" s="7" t="s">
        <v>12</v>
      </c>
      <c r="D1759" s="20" t="s">
        <v>2816</v>
      </c>
      <c r="E1759" s="6" t="s">
        <v>2817</v>
      </c>
      <c r="F1759" s="3">
        <v>3</v>
      </c>
      <c r="L1759" s="3" t="s">
        <v>2314</v>
      </c>
      <c r="N1759" s="48"/>
    </row>
    <row r="1760" spans="1:14" ht="15.75" x14ac:dyDescent="0.45">
      <c r="A1760" s="3" t="s">
        <v>2302</v>
      </c>
      <c r="B1760" s="18">
        <v>31341</v>
      </c>
      <c r="C1760" s="7" t="s">
        <v>12</v>
      </c>
      <c r="D1760" s="20" t="s">
        <v>2818</v>
      </c>
      <c r="E1760" s="6" t="s">
        <v>2819</v>
      </c>
      <c r="F1760" s="3">
        <v>25</v>
      </c>
      <c r="L1760" s="3" t="s">
        <v>2314</v>
      </c>
      <c r="N1760" s="48"/>
    </row>
    <row r="1761" spans="1:14" ht="15.75" x14ac:dyDescent="0.45">
      <c r="A1761" s="3" t="s">
        <v>2302</v>
      </c>
      <c r="B1761" s="18">
        <v>31321</v>
      </c>
      <c r="C1761" s="7" t="s">
        <v>12</v>
      </c>
      <c r="D1761" s="20" t="s">
        <v>2820</v>
      </c>
      <c r="E1761" s="6" t="s">
        <v>2821</v>
      </c>
      <c r="F1761" s="3">
        <v>122</v>
      </c>
      <c r="L1761" s="3" t="s">
        <v>2314</v>
      </c>
      <c r="N1761" s="48"/>
    </row>
    <row r="1762" spans="1:14" ht="15.75" x14ac:dyDescent="0.45">
      <c r="A1762" s="3" t="s">
        <v>2302</v>
      </c>
      <c r="B1762" s="18">
        <v>31280</v>
      </c>
      <c r="C1762" s="7" t="s">
        <v>12</v>
      </c>
      <c r="D1762" s="20" t="s">
        <v>2822</v>
      </c>
      <c r="E1762" s="6" t="s">
        <v>2823</v>
      </c>
      <c r="F1762" s="3">
        <v>5</v>
      </c>
      <c r="L1762" s="3" t="s">
        <v>2314</v>
      </c>
      <c r="N1762" s="48"/>
    </row>
    <row r="1763" spans="1:14" ht="15.75" x14ac:dyDescent="0.45">
      <c r="A1763" s="3" t="s">
        <v>2302</v>
      </c>
      <c r="B1763" s="18">
        <v>31236</v>
      </c>
      <c r="C1763" s="7" t="s">
        <v>12</v>
      </c>
      <c r="D1763" s="20" t="s">
        <v>2824</v>
      </c>
      <c r="E1763" s="6" t="s">
        <v>2825</v>
      </c>
      <c r="F1763" s="3">
        <v>4</v>
      </c>
      <c r="L1763" s="3" t="s">
        <v>2314</v>
      </c>
      <c r="N1763" s="48"/>
    </row>
    <row r="1764" spans="1:14" ht="15.75" x14ac:dyDescent="0.45">
      <c r="A1764" s="3" t="s">
        <v>2302</v>
      </c>
      <c r="B1764" s="18">
        <v>31176</v>
      </c>
      <c r="C1764" s="7" t="s">
        <v>12</v>
      </c>
      <c r="D1764" s="20" t="s">
        <v>2826</v>
      </c>
      <c r="E1764" s="6" t="s">
        <v>2827</v>
      </c>
      <c r="F1764" s="3">
        <v>109</v>
      </c>
      <c r="L1764" s="3" t="s">
        <v>2314</v>
      </c>
      <c r="N1764" s="48"/>
    </row>
    <row r="1765" spans="1:14" ht="15.75" x14ac:dyDescent="0.45">
      <c r="A1765" s="3" t="s">
        <v>2302</v>
      </c>
      <c r="B1765" s="18">
        <v>31112</v>
      </c>
      <c r="C1765" s="7" t="s">
        <v>12</v>
      </c>
      <c r="D1765" s="20" t="s">
        <v>2828</v>
      </c>
      <c r="E1765" s="6" t="s">
        <v>2829</v>
      </c>
      <c r="F1765" s="3">
        <v>15</v>
      </c>
      <c r="L1765" s="3" t="s">
        <v>2314</v>
      </c>
      <c r="N1765" s="48"/>
    </row>
    <row r="1766" spans="1:14" ht="15.75" x14ac:dyDescent="0.45">
      <c r="A1766" s="3" t="s">
        <v>2302</v>
      </c>
      <c r="B1766" s="18">
        <v>31065</v>
      </c>
      <c r="C1766" s="7" t="s">
        <v>12</v>
      </c>
      <c r="D1766" s="20" t="s">
        <v>2830</v>
      </c>
      <c r="E1766" s="6" t="s">
        <v>2831</v>
      </c>
      <c r="F1766" s="3">
        <v>14</v>
      </c>
      <c r="L1766" s="3" t="s">
        <v>2314</v>
      </c>
      <c r="N1766" s="48"/>
    </row>
    <row r="1767" spans="1:14" ht="15.75" x14ac:dyDescent="0.45">
      <c r="A1767" s="3" t="s">
        <v>2302</v>
      </c>
      <c r="B1767" s="18">
        <v>31009</v>
      </c>
      <c r="C1767" s="7" t="s">
        <v>12</v>
      </c>
      <c r="D1767" s="20" t="s">
        <v>2832</v>
      </c>
      <c r="E1767" s="6" t="s">
        <v>2833</v>
      </c>
      <c r="F1767" s="3">
        <v>16</v>
      </c>
      <c r="L1767" s="3" t="s">
        <v>2314</v>
      </c>
      <c r="N1767" s="48"/>
    </row>
    <row r="1768" spans="1:14" ht="15.75" x14ac:dyDescent="0.45">
      <c r="A1768" s="3" t="s">
        <v>2302</v>
      </c>
      <c r="B1768" s="18">
        <v>30944</v>
      </c>
      <c r="C1768" s="7" t="s">
        <v>12</v>
      </c>
      <c r="D1768" s="20" t="s">
        <v>2834</v>
      </c>
      <c r="E1768" s="6" t="s">
        <v>2835</v>
      </c>
      <c r="F1768" s="3">
        <v>32</v>
      </c>
      <c r="L1768" s="3" t="s">
        <v>2314</v>
      </c>
      <c r="N1768" s="48"/>
    </row>
    <row r="1769" spans="1:14" ht="15.75" x14ac:dyDescent="0.45">
      <c r="A1769" s="3" t="s">
        <v>2302</v>
      </c>
      <c r="B1769" s="18">
        <v>30944</v>
      </c>
      <c r="C1769" s="7" t="s">
        <v>12</v>
      </c>
      <c r="D1769" s="20" t="s">
        <v>2836</v>
      </c>
      <c r="E1769" s="6" t="s">
        <v>2837</v>
      </c>
      <c r="F1769" s="3">
        <v>47</v>
      </c>
      <c r="L1769" s="3" t="s">
        <v>2314</v>
      </c>
      <c r="N1769" s="48"/>
    </row>
    <row r="1770" spans="1:14" ht="15.75" x14ac:dyDescent="0.45">
      <c r="A1770" s="3" t="s">
        <v>2302</v>
      </c>
      <c r="B1770" s="18">
        <v>30925</v>
      </c>
      <c r="C1770" s="7" t="s">
        <v>12</v>
      </c>
      <c r="D1770" s="20" t="s">
        <v>2838</v>
      </c>
      <c r="E1770" s="6" t="s">
        <v>2839</v>
      </c>
      <c r="F1770" s="3">
        <v>22</v>
      </c>
      <c r="L1770" s="3" t="s">
        <v>2314</v>
      </c>
      <c r="N1770" s="48"/>
    </row>
    <row r="1771" spans="1:14" ht="15.75" x14ac:dyDescent="0.45">
      <c r="A1771" s="3" t="s">
        <v>2302</v>
      </c>
      <c r="B1771" s="18">
        <v>30924</v>
      </c>
      <c r="C1771" s="7" t="s">
        <v>12</v>
      </c>
      <c r="D1771" s="20" t="s">
        <v>2840</v>
      </c>
      <c r="E1771" s="6" t="s">
        <v>2841</v>
      </c>
      <c r="F1771" s="3">
        <v>5</v>
      </c>
      <c r="L1771" s="3" t="s">
        <v>2314</v>
      </c>
      <c r="N1771" s="48"/>
    </row>
    <row r="1772" spans="1:14" ht="15.75" x14ac:dyDescent="0.45">
      <c r="A1772" s="3" t="s">
        <v>2302</v>
      </c>
      <c r="B1772" s="18">
        <v>30840</v>
      </c>
      <c r="C1772" s="7" t="s">
        <v>12</v>
      </c>
      <c r="D1772" s="20" t="s">
        <v>2842</v>
      </c>
      <c r="E1772" s="6" t="s">
        <v>2843</v>
      </c>
      <c r="F1772" s="3">
        <v>6</v>
      </c>
      <c r="L1772" s="3" t="s">
        <v>2314</v>
      </c>
      <c r="N1772" s="48"/>
    </row>
    <row r="1773" spans="1:14" ht="15.75" x14ac:dyDescent="0.45">
      <c r="A1773" s="3" t="s">
        <v>2302</v>
      </c>
      <c r="B1773" s="18">
        <v>30768</v>
      </c>
      <c r="C1773" s="7" t="s">
        <v>12</v>
      </c>
      <c r="D1773" s="20" t="s">
        <v>2844</v>
      </c>
      <c r="E1773" s="6" t="s">
        <v>2845</v>
      </c>
      <c r="F1773" s="3">
        <v>16</v>
      </c>
      <c r="L1773" s="3" t="s">
        <v>2314</v>
      </c>
      <c r="N1773" s="48"/>
    </row>
    <row r="1774" spans="1:14" ht="15.75" x14ac:dyDescent="0.45">
      <c r="A1774" s="3" t="s">
        <v>2302</v>
      </c>
      <c r="B1774" s="18">
        <v>30749</v>
      </c>
      <c r="C1774" s="7" t="s">
        <v>12</v>
      </c>
      <c r="D1774" s="20" t="s">
        <v>2846</v>
      </c>
      <c r="E1774" s="6" t="s">
        <v>2847</v>
      </c>
      <c r="F1774" s="3">
        <v>10</v>
      </c>
      <c r="L1774" s="3" t="s">
        <v>2314</v>
      </c>
      <c r="N1774" s="48"/>
    </row>
    <row r="1775" spans="1:14" ht="15.75" x14ac:dyDescent="0.45">
      <c r="A1775" s="3" t="s">
        <v>2302</v>
      </c>
      <c r="B1775" s="18">
        <v>30571</v>
      </c>
      <c r="C1775" s="7" t="s">
        <v>12</v>
      </c>
      <c r="D1775" s="20" t="s">
        <v>2848</v>
      </c>
      <c r="E1775" s="6" t="s">
        <v>2849</v>
      </c>
      <c r="F1775" s="3">
        <v>13</v>
      </c>
      <c r="L1775" s="3" t="s">
        <v>2314</v>
      </c>
      <c r="N1775" s="48"/>
    </row>
    <row r="1776" spans="1:14" ht="15.75" x14ac:dyDescent="0.45">
      <c r="A1776" s="3" t="s">
        <v>2302</v>
      </c>
      <c r="B1776" s="18">
        <v>30517</v>
      </c>
      <c r="C1776" s="7" t="s">
        <v>12</v>
      </c>
      <c r="D1776" s="20" t="s">
        <v>2850</v>
      </c>
      <c r="E1776" s="6" t="s">
        <v>2851</v>
      </c>
      <c r="F1776" s="3">
        <v>10</v>
      </c>
      <c r="L1776" s="3" t="s">
        <v>2314</v>
      </c>
      <c r="N1776" s="48"/>
    </row>
    <row r="1777" spans="1:14" ht="15.75" x14ac:dyDescent="0.45">
      <c r="A1777" s="3" t="s">
        <v>2302</v>
      </c>
      <c r="B1777" s="18">
        <v>30488</v>
      </c>
      <c r="C1777" s="7" t="s">
        <v>12</v>
      </c>
      <c r="D1777" s="20" t="s">
        <v>2852</v>
      </c>
      <c r="E1777" s="6" t="s">
        <v>2643</v>
      </c>
      <c r="F1777" s="3">
        <v>52</v>
      </c>
      <c r="L1777" s="3" t="s">
        <v>2314</v>
      </c>
      <c r="N1777" s="48"/>
    </row>
    <row r="1778" spans="1:14" ht="15.75" x14ac:dyDescent="0.45">
      <c r="A1778" s="3" t="s">
        <v>2302</v>
      </c>
      <c r="B1778" s="18">
        <v>30363</v>
      </c>
      <c r="C1778" s="7" t="s">
        <v>12</v>
      </c>
      <c r="D1778" s="20" t="s">
        <v>2853</v>
      </c>
      <c r="E1778" s="6" t="s">
        <v>2854</v>
      </c>
      <c r="F1778" s="3">
        <v>4</v>
      </c>
      <c r="L1778" s="3" t="s">
        <v>2314</v>
      </c>
      <c r="N1778" s="48"/>
    </row>
    <row r="1779" spans="1:14" ht="15.75" x14ac:dyDescent="0.45">
      <c r="A1779" s="3" t="s">
        <v>2302</v>
      </c>
      <c r="B1779" s="18">
        <v>30350</v>
      </c>
      <c r="C1779" s="7" t="s">
        <v>12</v>
      </c>
      <c r="D1779" s="20" t="s">
        <v>2855</v>
      </c>
      <c r="E1779" s="6" t="s">
        <v>2856</v>
      </c>
      <c r="F1779" s="3">
        <v>12</v>
      </c>
      <c r="L1779" s="3" t="s">
        <v>2314</v>
      </c>
      <c r="N1779" s="48"/>
    </row>
    <row r="1780" spans="1:14" ht="15.75" x14ac:dyDescent="0.45">
      <c r="A1780" s="3" t="s">
        <v>2302</v>
      </c>
      <c r="B1780" s="18">
        <v>30323</v>
      </c>
      <c r="C1780" s="7" t="s">
        <v>12</v>
      </c>
      <c r="D1780" s="20" t="s">
        <v>2857</v>
      </c>
      <c r="E1780" s="6" t="s">
        <v>2858</v>
      </c>
      <c r="F1780" s="3">
        <v>16</v>
      </c>
      <c r="L1780" s="3" t="s">
        <v>2314</v>
      </c>
      <c r="N1780" s="48"/>
    </row>
    <row r="1781" spans="1:14" ht="15.75" x14ac:dyDescent="0.45">
      <c r="A1781" s="3" t="s">
        <v>2302</v>
      </c>
      <c r="B1781" s="18">
        <v>30303</v>
      </c>
      <c r="C1781" s="7" t="s">
        <v>12</v>
      </c>
      <c r="D1781" s="20" t="s">
        <v>2859</v>
      </c>
      <c r="E1781" s="6" t="s">
        <v>2860</v>
      </c>
      <c r="F1781" s="3">
        <v>13</v>
      </c>
      <c r="L1781" s="3" t="s">
        <v>2314</v>
      </c>
      <c r="N1781" s="48"/>
    </row>
    <row r="1782" spans="1:14" ht="15.75" x14ac:dyDescent="0.45">
      <c r="A1782" s="3" t="s">
        <v>2302</v>
      </c>
      <c r="B1782" s="18">
        <v>30242</v>
      </c>
      <c r="C1782" s="7" t="s">
        <v>12</v>
      </c>
      <c r="D1782" s="20" t="s">
        <v>2861</v>
      </c>
      <c r="E1782" s="6" t="s">
        <v>2862</v>
      </c>
      <c r="F1782" s="3">
        <v>8</v>
      </c>
      <c r="L1782" s="3" t="s">
        <v>2314</v>
      </c>
      <c r="N1782" s="48"/>
    </row>
    <row r="1783" spans="1:14" ht="15.75" x14ac:dyDescent="0.45">
      <c r="A1783" s="3" t="s">
        <v>2302</v>
      </c>
      <c r="B1783" s="18">
        <v>30242</v>
      </c>
      <c r="C1783" s="7" t="s">
        <v>12</v>
      </c>
      <c r="D1783" s="20" t="s">
        <v>2863</v>
      </c>
      <c r="E1783" s="6" t="s">
        <v>2864</v>
      </c>
      <c r="F1783" s="3">
        <v>12</v>
      </c>
      <c r="L1783" s="3" t="s">
        <v>2314</v>
      </c>
      <c r="N1783" s="48"/>
    </row>
    <row r="1784" spans="1:14" ht="15.75" x14ac:dyDescent="0.45">
      <c r="A1784" s="3" t="s">
        <v>2302</v>
      </c>
      <c r="B1784" s="18">
        <v>30209</v>
      </c>
      <c r="C1784" s="7" t="s">
        <v>12</v>
      </c>
      <c r="D1784" s="20" t="s">
        <v>2865</v>
      </c>
      <c r="E1784" s="6" t="s">
        <v>2866</v>
      </c>
      <c r="F1784" s="3">
        <v>10</v>
      </c>
      <c r="L1784" s="3" t="s">
        <v>2314</v>
      </c>
      <c r="N1784" s="48"/>
    </row>
    <row r="1785" spans="1:14" ht="15.75" x14ac:dyDescent="0.45">
      <c r="A1785" s="3" t="s">
        <v>2302</v>
      </c>
      <c r="B1785" s="18">
        <v>30083</v>
      </c>
      <c r="C1785" s="7" t="s">
        <v>12</v>
      </c>
      <c r="D1785" s="20" t="s">
        <v>2867</v>
      </c>
      <c r="E1785" s="6" t="s">
        <v>2868</v>
      </c>
      <c r="F1785" s="3">
        <v>15</v>
      </c>
      <c r="L1785" s="3" t="s">
        <v>2314</v>
      </c>
      <c r="N1785" s="48"/>
    </row>
    <row r="1786" spans="1:14" ht="15.75" x14ac:dyDescent="0.45">
      <c r="A1786" s="3" t="s">
        <v>2302</v>
      </c>
      <c r="B1786" s="18">
        <v>30069</v>
      </c>
      <c r="C1786" s="7" t="s">
        <v>12</v>
      </c>
      <c r="D1786" s="20" t="s">
        <v>2869</v>
      </c>
      <c r="E1786" s="6" t="s">
        <v>2870</v>
      </c>
      <c r="F1786" s="3">
        <v>9</v>
      </c>
      <c r="L1786" s="3" t="s">
        <v>2314</v>
      </c>
      <c r="N1786" s="48"/>
    </row>
    <row r="1787" spans="1:14" ht="15.75" x14ac:dyDescent="0.45">
      <c r="A1787" s="3" t="s">
        <v>2302</v>
      </c>
      <c r="B1787" s="18">
        <v>30040</v>
      </c>
      <c r="C1787" s="7" t="s">
        <v>12</v>
      </c>
      <c r="D1787" s="20" t="s">
        <v>2871</v>
      </c>
      <c r="E1787" s="6" t="s">
        <v>2872</v>
      </c>
      <c r="F1787" s="3">
        <v>22</v>
      </c>
      <c r="L1787" s="3" t="s">
        <v>2314</v>
      </c>
      <c r="N1787" s="48"/>
    </row>
    <row r="1788" spans="1:14" ht="15.75" x14ac:dyDescent="0.45">
      <c r="A1788" s="3" t="s">
        <v>2302</v>
      </c>
      <c r="B1788" s="18">
        <v>30020</v>
      </c>
      <c r="C1788" s="7" t="s">
        <v>12</v>
      </c>
      <c r="D1788" s="20" t="s">
        <v>2873</v>
      </c>
      <c r="E1788" s="6" t="s">
        <v>2874</v>
      </c>
      <c r="F1788" s="3">
        <v>7</v>
      </c>
      <c r="L1788" s="3" t="s">
        <v>2314</v>
      </c>
      <c r="N1788" s="48"/>
    </row>
    <row r="1789" spans="1:14" ht="15.75" x14ac:dyDescent="0.45">
      <c r="A1789" s="3" t="s">
        <v>2302</v>
      </c>
      <c r="B1789" s="18">
        <v>30011</v>
      </c>
      <c r="C1789" s="7" t="s">
        <v>12</v>
      </c>
      <c r="D1789" s="20" t="s">
        <v>2875</v>
      </c>
      <c r="E1789" s="6" t="s">
        <v>2876</v>
      </c>
      <c r="F1789" s="3">
        <v>21</v>
      </c>
      <c r="L1789" s="3" t="s">
        <v>2314</v>
      </c>
      <c r="N1789" s="48"/>
    </row>
    <row r="1790" spans="1:14" ht="15.75" x14ac:dyDescent="0.45">
      <c r="A1790" s="3" t="s">
        <v>2302</v>
      </c>
      <c r="B1790" s="18">
        <v>29861</v>
      </c>
      <c r="C1790" s="7" t="s">
        <v>12</v>
      </c>
      <c r="D1790" s="20" t="s">
        <v>2877</v>
      </c>
      <c r="E1790" s="6" t="s">
        <v>2878</v>
      </c>
      <c r="F1790" s="3">
        <v>5</v>
      </c>
      <c r="L1790" s="3" t="s">
        <v>2314</v>
      </c>
      <c r="N1790" s="48"/>
    </row>
    <row r="1791" spans="1:14" ht="15.75" x14ac:dyDescent="0.45">
      <c r="A1791" s="3" t="s">
        <v>2302</v>
      </c>
      <c r="B1791" s="18">
        <v>29843</v>
      </c>
      <c r="C1791" s="7" t="s">
        <v>12</v>
      </c>
      <c r="D1791" s="20" t="s">
        <v>2879</v>
      </c>
      <c r="E1791" s="6" t="s">
        <v>2880</v>
      </c>
      <c r="F1791" s="3">
        <v>2</v>
      </c>
      <c r="L1791" s="3" t="s">
        <v>2314</v>
      </c>
      <c r="N1791" s="48"/>
    </row>
    <row r="1792" spans="1:14" ht="15.75" x14ac:dyDescent="0.45">
      <c r="A1792" s="3" t="s">
        <v>2302</v>
      </c>
      <c r="B1792" s="18">
        <v>29840</v>
      </c>
      <c r="C1792" s="7" t="s">
        <v>12</v>
      </c>
      <c r="D1792" s="20" t="s">
        <v>2881</v>
      </c>
      <c r="E1792" s="6" t="s">
        <v>2882</v>
      </c>
      <c r="F1792" s="3">
        <v>2</v>
      </c>
      <c r="L1792" s="3" t="s">
        <v>2314</v>
      </c>
      <c r="N1792" s="48"/>
    </row>
    <row r="1793" spans="1:14" ht="15.75" x14ac:dyDescent="0.45">
      <c r="A1793" s="3" t="s">
        <v>2302</v>
      </c>
      <c r="B1793" s="18">
        <v>29780</v>
      </c>
      <c r="C1793" s="7" t="s">
        <v>12</v>
      </c>
      <c r="D1793" s="20" t="s">
        <v>2883</v>
      </c>
      <c r="E1793" s="6" t="s">
        <v>2884</v>
      </c>
      <c r="F1793" s="3">
        <v>6</v>
      </c>
      <c r="L1793" s="3" t="s">
        <v>2314</v>
      </c>
      <c r="N1793" s="48"/>
    </row>
    <row r="1794" spans="1:14" ht="15.75" x14ac:dyDescent="0.45">
      <c r="A1794" s="3" t="s">
        <v>2302</v>
      </c>
      <c r="B1794" s="18">
        <v>29752</v>
      </c>
      <c r="C1794" s="7" t="s">
        <v>12</v>
      </c>
      <c r="D1794" s="20" t="s">
        <v>2885</v>
      </c>
      <c r="E1794" s="6" t="s">
        <v>2886</v>
      </c>
      <c r="F1794" s="3">
        <v>14</v>
      </c>
      <c r="L1794" s="3" t="s">
        <v>2314</v>
      </c>
      <c r="N1794" s="48"/>
    </row>
    <row r="1795" spans="1:14" ht="15.75" x14ac:dyDescent="0.45">
      <c r="A1795" s="3" t="s">
        <v>2302</v>
      </c>
      <c r="B1795" s="18">
        <v>29734</v>
      </c>
      <c r="C1795" s="7" t="s">
        <v>12</v>
      </c>
      <c r="D1795" s="20" t="s">
        <v>2887</v>
      </c>
      <c r="E1795" s="6" t="s">
        <v>2888</v>
      </c>
      <c r="F1795" s="3">
        <v>3</v>
      </c>
      <c r="L1795" s="3" t="s">
        <v>2314</v>
      </c>
      <c r="N1795" s="48"/>
    </row>
    <row r="1796" spans="1:14" ht="15.75" x14ac:dyDescent="0.45">
      <c r="A1796" s="3" t="s">
        <v>2302</v>
      </c>
      <c r="B1796" s="18">
        <v>29643</v>
      </c>
      <c r="C1796" s="7" t="s">
        <v>12</v>
      </c>
      <c r="D1796" s="20" t="s">
        <v>2889</v>
      </c>
      <c r="E1796" s="6" t="s">
        <v>2890</v>
      </c>
      <c r="F1796" s="3">
        <v>12</v>
      </c>
      <c r="L1796" s="3" t="s">
        <v>2314</v>
      </c>
      <c r="N1796" s="48"/>
    </row>
    <row r="1797" spans="1:14" ht="15.75" x14ac:dyDescent="0.45">
      <c r="A1797" s="3" t="s">
        <v>2302</v>
      </c>
      <c r="B1797" s="18">
        <v>29627</v>
      </c>
      <c r="C1797" s="7" t="s">
        <v>12</v>
      </c>
      <c r="D1797" s="20" t="s">
        <v>2891</v>
      </c>
      <c r="E1797" s="6" t="s">
        <v>2892</v>
      </c>
      <c r="F1797" s="3">
        <v>5</v>
      </c>
      <c r="L1797" s="3" t="s">
        <v>2314</v>
      </c>
      <c r="N1797" s="48"/>
    </row>
    <row r="1798" spans="1:14" ht="15.75" x14ac:dyDescent="0.45">
      <c r="A1798" s="3" t="s">
        <v>2302</v>
      </c>
      <c r="B1798" s="18">
        <v>29615</v>
      </c>
      <c r="C1798" s="7" t="s">
        <v>12</v>
      </c>
      <c r="D1798" s="20" t="s">
        <v>19</v>
      </c>
      <c r="E1798" s="6" t="s">
        <v>2893</v>
      </c>
      <c r="F1798" s="3">
        <v>3</v>
      </c>
      <c r="L1798" s="3" t="s">
        <v>2314</v>
      </c>
      <c r="N1798" s="48"/>
    </row>
    <row r="1799" spans="1:14" ht="15.75" x14ac:dyDescent="0.45">
      <c r="A1799" s="3" t="s">
        <v>2302</v>
      </c>
      <c r="B1799" s="18">
        <v>29570</v>
      </c>
      <c r="C1799" s="7" t="s">
        <v>12</v>
      </c>
      <c r="D1799" s="20" t="s">
        <v>2894</v>
      </c>
      <c r="E1799" s="6" t="s">
        <v>2895</v>
      </c>
      <c r="F1799" s="3">
        <v>2</v>
      </c>
      <c r="L1799" s="3" t="s">
        <v>2314</v>
      </c>
      <c r="N1799" s="48"/>
    </row>
    <row r="1800" spans="1:14" ht="15.75" x14ac:dyDescent="0.45">
      <c r="A1800" s="3" t="s">
        <v>2302</v>
      </c>
      <c r="B1800" s="18">
        <v>29560</v>
      </c>
      <c r="C1800" s="7" t="s">
        <v>12</v>
      </c>
      <c r="D1800" s="20" t="s">
        <v>2896</v>
      </c>
      <c r="E1800" s="6" t="s">
        <v>2897</v>
      </c>
      <c r="F1800" s="3">
        <v>6</v>
      </c>
      <c r="L1800" s="3" t="s">
        <v>2314</v>
      </c>
      <c r="N1800" s="48"/>
    </row>
    <row r="1801" spans="1:14" ht="15.75" x14ac:dyDescent="0.45">
      <c r="A1801" s="3" t="s">
        <v>2302</v>
      </c>
      <c r="B1801" s="18">
        <v>29462</v>
      </c>
      <c r="C1801" s="7" t="s">
        <v>12</v>
      </c>
      <c r="D1801" s="20" t="s">
        <v>2898</v>
      </c>
      <c r="E1801" s="6" t="s">
        <v>2899</v>
      </c>
      <c r="F1801" s="3">
        <v>5</v>
      </c>
      <c r="L1801" s="3" t="s">
        <v>2314</v>
      </c>
      <c r="N1801" s="48"/>
    </row>
    <row r="1802" spans="1:14" ht="15.75" x14ac:dyDescent="0.45">
      <c r="A1802" s="3" t="s">
        <v>2302</v>
      </c>
      <c r="B1802" s="18">
        <v>29440</v>
      </c>
      <c r="C1802" s="7" t="s">
        <v>12</v>
      </c>
      <c r="D1802" s="20" t="s">
        <v>2900</v>
      </c>
      <c r="E1802" s="6" t="s">
        <v>2901</v>
      </c>
      <c r="F1802" s="3">
        <v>23</v>
      </c>
      <c r="L1802" s="3" t="s">
        <v>2314</v>
      </c>
      <c r="N1802" s="48"/>
    </row>
    <row r="1803" spans="1:14" ht="15.75" x14ac:dyDescent="0.45">
      <c r="A1803" s="3" t="s">
        <v>2302</v>
      </c>
      <c r="B1803" s="18">
        <v>29336</v>
      </c>
      <c r="C1803" s="7" t="s">
        <v>12</v>
      </c>
      <c r="D1803" s="20" t="s">
        <v>2902</v>
      </c>
      <c r="E1803" s="6" t="s">
        <v>2903</v>
      </c>
      <c r="F1803" s="3">
        <v>3</v>
      </c>
      <c r="L1803" s="3" t="s">
        <v>2314</v>
      </c>
      <c r="N1803" s="48"/>
    </row>
    <row r="1804" spans="1:14" ht="15.75" x14ac:dyDescent="0.45">
      <c r="A1804" s="3" t="s">
        <v>2302</v>
      </c>
      <c r="B1804" s="18">
        <v>29319</v>
      </c>
      <c r="C1804" s="7" t="s">
        <v>12</v>
      </c>
      <c r="D1804" s="20" t="s">
        <v>2904</v>
      </c>
      <c r="E1804" s="6" t="s">
        <v>2905</v>
      </c>
      <c r="F1804" s="3">
        <v>6</v>
      </c>
      <c r="L1804" s="3" t="s">
        <v>2314</v>
      </c>
      <c r="N1804" s="48"/>
    </row>
    <row r="1805" spans="1:14" ht="15.75" x14ac:dyDescent="0.45">
      <c r="A1805" s="3" t="s">
        <v>2302</v>
      </c>
      <c r="B1805" s="18">
        <v>29278</v>
      </c>
      <c r="C1805" s="7" t="s">
        <v>12</v>
      </c>
      <c r="D1805" s="20" t="s">
        <v>17</v>
      </c>
      <c r="E1805" s="6" t="s">
        <v>2906</v>
      </c>
      <c r="F1805" s="3">
        <v>20</v>
      </c>
      <c r="L1805" s="3" t="s">
        <v>2314</v>
      </c>
      <c r="N1805" s="48"/>
    </row>
    <row r="1806" spans="1:14" ht="15.75" x14ac:dyDescent="0.45">
      <c r="A1806" s="3" t="s">
        <v>2302</v>
      </c>
      <c r="B1806" s="18">
        <v>29244</v>
      </c>
      <c r="C1806" s="7" t="s">
        <v>12</v>
      </c>
      <c r="D1806" s="20" t="s">
        <v>14</v>
      </c>
      <c r="E1806" s="6" t="s">
        <v>2907</v>
      </c>
      <c r="F1806" s="3">
        <v>2</v>
      </c>
      <c r="L1806" s="3" t="s">
        <v>2314</v>
      </c>
      <c r="N1806" s="48"/>
    </row>
    <row r="1807" spans="1:14" ht="15.75" x14ac:dyDescent="0.45">
      <c r="A1807" s="3" t="s">
        <v>2302</v>
      </c>
      <c r="B1807" s="18">
        <v>29157</v>
      </c>
      <c r="C1807" s="7" t="s">
        <v>12</v>
      </c>
      <c r="D1807" s="20" t="s">
        <v>2908</v>
      </c>
      <c r="E1807" s="6" t="s">
        <v>2909</v>
      </c>
      <c r="F1807" s="3">
        <v>3</v>
      </c>
      <c r="L1807" s="3" t="s">
        <v>2314</v>
      </c>
      <c r="N1807" s="48"/>
    </row>
    <row r="1808" spans="1:14" ht="15.75" x14ac:dyDescent="0.45">
      <c r="A1808" s="3" t="s">
        <v>2302</v>
      </c>
      <c r="B1808" s="18">
        <v>29021</v>
      </c>
      <c r="C1808" s="7" t="s">
        <v>12</v>
      </c>
      <c r="D1808" s="20" t="s">
        <v>2910</v>
      </c>
      <c r="E1808" s="6" t="s">
        <v>2911</v>
      </c>
      <c r="F1808" s="3">
        <v>5</v>
      </c>
      <c r="L1808" s="3" t="s">
        <v>2314</v>
      </c>
      <c r="N1808" s="48"/>
    </row>
    <row r="1809" spans="1:14" ht="15.75" x14ac:dyDescent="0.45">
      <c r="A1809" s="3" t="s">
        <v>2302</v>
      </c>
      <c r="B1809" s="18">
        <v>28811</v>
      </c>
      <c r="C1809" s="7" t="s">
        <v>12</v>
      </c>
      <c r="D1809" s="20" t="s">
        <v>2912</v>
      </c>
      <c r="E1809" s="6" t="s">
        <v>2913</v>
      </c>
      <c r="F1809" s="3">
        <v>18</v>
      </c>
      <c r="L1809" s="3" t="s">
        <v>2314</v>
      </c>
      <c r="N1809" s="48"/>
    </row>
    <row r="1810" spans="1:14" ht="15.75" x14ac:dyDescent="0.45">
      <c r="A1810" s="3" t="s">
        <v>2302</v>
      </c>
      <c r="B1810" s="18">
        <v>28794</v>
      </c>
      <c r="C1810" s="7" t="s">
        <v>12</v>
      </c>
      <c r="D1810" s="20" t="s">
        <v>2914</v>
      </c>
      <c r="E1810" s="6" t="s">
        <v>2915</v>
      </c>
      <c r="F1810" s="3">
        <v>34</v>
      </c>
      <c r="L1810" s="3" t="s">
        <v>2314</v>
      </c>
      <c r="N1810" s="48"/>
    </row>
    <row r="1811" spans="1:14" ht="15.75" x14ac:dyDescent="0.45">
      <c r="A1811" s="3" t="s">
        <v>2302</v>
      </c>
      <c r="B1811" s="18">
        <v>28779</v>
      </c>
      <c r="C1811" s="7" t="s">
        <v>12</v>
      </c>
      <c r="D1811" s="20" t="s">
        <v>2916</v>
      </c>
      <c r="E1811" s="6" t="s">
        <v>2917</v>
      </c>
      <c r="F1811" s="3">
        <v>4</v>
      </c>
      <c r="L1811" s="3" t="s">
        <v>2314</v>
      </c>
      <c r="N1811" s="48"/>
    </row>
    <row r="1812" spans="1:14" ht="15.75" x14ac:dyDescent="0.45">
      <c r="A1812" s="3" t="s">
        <v>2302</v>
      </c>
      <c r="B1812" s="18">
        <v>28585</v>
      </c>
      <c r="C1812" s="7" t="s">
        <v>12</v>
      </c>
      <c r="D1812" s="20" t="s">
        <v>2918</v>
      </c>
      <c r="E1812" s="6" t="s">
        <v>2919</v>
      </c>
      <c r="F1812" s="3">
        <v>5</v>
      </c>
      <c r="L1812" s="3" t="s">
        <v>2314</v>
      </c>
      <c r="N1812" s="48"/>
    </row>
    <row r="1813" spans="1:14" ht="15.75" x14ac:dyDescent="0.45">
      <c r="A1813" s="3" t="s">
        <v>2302</v>
      </c>
      <c r="B1813" s="18">
        <v>28468</v>
      </c>
      <c r="C1813" s="7" t="s">
        <v>12</v>
      </c>
      <c r="D1813" s="20" t="s">
        <v>2920</v>
      </c>
      <c r="E1813" s="6" t="s">
        <v>2921</v>
      </c>
      <c r="F1813" s="3">
        <v>41</v>
      </c>
      <c r="L1813" s="3" t="s">
        <v>2314</v>
      </c>
      <c r="N1813" s="48"/>
    </row>
    <row r="1814" spans="1:14" ht="15.75" x14ac:dyDescent="0.45">
      <c r="A1814" s="3" t="s">
        <v>2302</v>
      </c>
      <c r="B1814" s="18">
        <v>28425</v>
      </c>
      <c r="C1814" s="7" t="s">
        <v>12</v>
      </c>
      <c r="D1814" s="20" t="s">
        <v>2922</v>
      </c>
      <c r="E1814" s="6" t="s">
        <v>2923</v>
      </c>
      <c r="F1814" s="3">
        <v>4</v>
      </c>
      <c r="L1814" s="3" t="s">
        <v>2314</v>
      </c>
      <c r="N1814" s="48"/>
    </row>
    <row r="1815" spans="1:14" ht="15.75" x14ac:dyDescent="0.45">
      <c r="A1815" s="3" t="s">
        <v>2302</v>
      </c>
      <c r="B1815" s="18">
        <v>28417</v>
      </c>
      <c r="C1815" s="7" t="s">
        <v>12</v>
      </c>
      <c r="D1815" s="20" t="s">
        <v>2924</v>
      </c>
      <c r="E1815" s="6" t="s">
        <v>2866</v>
      </c>
      <c r="F1815" s="3">
        <v>3</v>
      </c>
      <c r="L1815" s="3" t="s">
        <v>2314</v>
      </c>
      <c r="N1815" s="48"/>
    </row>
    <row r="1816" spans="1:14" ht="15.75" x14ac:dyDescent="0.45">
      <c r="A1816" s="3" t="s">
        <v>2302</v>
      </c>
      <c r="B1816" s="18">
        <v>28334</v>
      </c>
      <c r="C1816" s="7" t="s">
        <v>12</v>
      </c>
      <c r="D1816" s="20" t="s">
        <v>2925</v>
      </c>
      <c r="E1816" s="6" t="s">
        <v>2926</v>
      </c>
      <c r="F1816" s="3">
        <v>2</v>
      </c>
      <c r="L1816" s="3" t="s">
        <v>2314</v>
      </c>
      <c r="N1816" s="48"/>
    </row>
    <row r="1817" spans="1:14" ht="15.75" x14ac:dyDescent="0.45">
      <c r="A1817" s="3" t="s">
        <v>2302</v>
      </c>
      <c r="B1817" s="18">
        <v>28291</v>
      </c>
      <c r="C1817" s="7" t="s">
        <v>12</v>
      </c>
      <c r="D1817" s="20" t="s">
        <v>2927</v>
      </c>
      <c r="E1817" s="6" t="s">
        <v>2928</v>
      </c>
      <c r="F1817" s="3">
        <v>4</v>
      </c>
      <c r="L1817" s="3" t="s">
        <v>2314</v>
      </c>
      <c r="N1817" s="48"/>
    </row>
    <row r="1818" spans="1:14" ht="15.75" x14ac:dyDescent="0.45">
      <c r="A1818" s="3" t="s">
        <v>2302</v>
      </c>
      <c r="B1818" s="18">
        <v>28277</v>
      </c>
      <c r="C1818" s="7" t="s">
        <v>12</v>
      </c>
      <c r="D1818" s="20" t="s">
        <v>2929</v>
      </c>
      <c r="E1818" s="6" t="s">
        <v>2930</v>
      </c>
      <c r="F1818" s="3">
        <v>3</v>
      </c>
      <c r="L1818" s="3" t="s">
        <v>2314</v>
      </c>
      <c r="N1818" s="48"/>
    </row>
    <row r="1819" spans="1:14" ht="15.75" x14ac:dyDescent="0.45">
      <c r="A1819" s="3" t="s">
        <v>2302</v>
      </c>
      <c r="B1819" s="18">
        <v>28164</v>
      </c>
      <c r="C1819" s="7" t="s">
        <v>12</v>
      </c>
      <c r="D1819" s="20" t="s">
        <v>2931</v>
      </c>
      <c r="E1819" s="6" t="s">
        <v>2932</v>
      </c>
      <c r="F1819" s="3">
        <v>3</v>
      </c>
      <c r="L1819" s="3" t="s">
        <v>2314</v>
      </c>
      <c r="N1819" s="48"/>
    </row>
    <row r="1820" spans="1:14" ht="15.75" x14ac:dyDescent="0.45">
      <c r="A1820" s="3" t="s">
        <v>2302</v>
      </c>
      <c r="B1820" s="18">
        <v>28153</v>
      </c>
      <c r="C1820" s="7" t="s">
        <v>12</v>
      </c>
      <c r="D1820" s="20" t="s">
        <v>2933</v>
      </c>
      <c r="E1820" s="6" t="s">
        <v>2934</v>
      </c>
      <c r="F1820" s="3">
        <v>4</v>
      </c>
      <c r="L1820" s="3" t="s">
        <v>2314</v>
      </c>
      <c r="N1820" s="48"/>
    </row>
    <row r="1821" spans="1:14" ht="15.75" x14ac:dyDescent="0.45">
      <c r="A1821" s="3" t="s">
        <v>2302</v>
      </c>
      <c r="B1821" s="18">
        <v>28129</v>
      </c>
      <c r="C1821" s="7" t="s">
        <v>12</v>
      </c>
      <c r="D1821" s="20" t="s">
        <v>2935</v>
      </c>
      <c r="E1821" s="6" t="s">
        <v>2936</v>
      </c>
      <c r="F1821" s="3">
        <v>2</v>
      </c>
      <c r="L1821" s="3" t="s">
        <v>2314</v>
      </c>
      <c r="N1821" s="48"/>
    </row>
    <row r="1822" spans="1:14" ht="15.75" x14ac:dyDescent="0.45">
      <c r="A1822" s="3" t="s">
        <v>2302</v>
      </c>
      <c r="B1822" s="18">
        <v>27892</v>
      </c>
      <c r="C1822" s="7" t="s">
        <v>12</v>
      </c>
      <c r="D1822" s="20" t="s">
        <v>2937</v>
      </c>
      <c r="E1822" s="6" t="s">
        <v>2938</v>
      </c>
      <c r="F1822" s="3">
        <f>SUM(3,1)</f>
        <v>4</v>
      </c>
      <c r="L1822" s="3" t="s">
        <v>2543</v>
      </c>
      <c r="N1822" s="48"/>
    </row>
    <row r="1823" spans="1:14" ht="15.75" x14ac:dyDescent="0.45">
      <c r="A1823" s="3" t="s">
        <v>2302</v>
      </c>
      <c r="B1823" s="18">
        <v>27809</v>
      </c>
      <c r="C1823" s="7" t="s">
        <v>12</v>
      </c>
      <c r="D1823" s="20" t="s">
        <v>2939</v>
      </c>
      <c r="E1823" s="6" t="s">
        <v>2940</v>
      </c>
      <c r="F1823" s="3">
        <v>3</v>
      </c>
      <c r="L1823" s="3" t="s">
        <v>2314</v>
      </c>
      <c r="N1823" s="48"/>
    </row>
    <row r="1824" spans="1:14" ht="15.75" x14ac:dyDescent="0.45">
      <c r="A1824" s="3" t="s">
        <v>2302</v>
      </c>
      <c r="B1824" s="18">
        <v>27796</v>
      </c>
      <c r="C1824" s="7" t="s">
        <v>12</v>
      </c>
      <c r="D1824" s="20" t="s">
        <v>2941</v>
      </c>
      <c r="E1824" s="6" t="s">
        <v>2942</v>
      </c>
      <c r="F1824" s="3">
        <v>4</v>
      </c>
      <c r="L1824" s="3" t="s">
        <v>2314</v>
      </c>
      <c r="N1824" s="48"/>
    </row>
    <row r="1825" spans="1:14" ht="15.75" x14ac:dyDescent="0.45">
      <c r="A1825" s="3" t="s">
        <v>2302</v>
      </c>
      <c r="B1825" s="18">
        <v>45931</v>
      </c>
      <c r="C1825" s="7" t="s">
        <v>587</v>
      </c>
      <c r="D1825" s="20" t="s">
        <v>2943</v>
      </c>
      <c r="E1825" s="6" t="s">
        <v>2944</v>
      </c>
      <c r="F1825" s="3">
        <f>SUM(2,3,SUM(3,2,6,8,1,2,4,5,3,5,4,6,3,7,7,3))</f>
        <v>74</v>
      </c>
      <c r="L1825" s="3" t="s">
        <v>2945</v>
      </c>
      <c r="N1825" s="48"/>
    </row>
    <row r="1826" spans="1:14" ht="15.75" x14ac:dyDescent="0.45">
      <c r="A1826" s="3" t="s">
        <v>2302</v>
      </c>
      <c r="B1826" s="18">
        <v>45929</v>
      </c>
      <c r="C1826" s="7" t="s">
        <v>587</v>
      </c>
      <c r="D1826" s="20" t="s">
        <v>2946</v>
      </c>
      <c r="E1826" s="6" t="s">
        <v>2947</v>
      </c>
      <c r="F1826" s="3">
        <f>SUM(2,20,21)</f>
        <v>43</v>
      </c>
      <c r="L1826" s="3" t="s">
        <v>2948</v>
      </c>
      <c r="N1826" s="48"/>
    </row>
    <row r="1827" spans="1:14" ht="15.75" x14ac:dyDescent="0.45">
      <c r="A1827" s="3" t="s">
        <v>2302</v>
      </c>
      <c r="B1827" s="18">
        <v>45895</v>
      </c>
      <c r="C1827" s="7" t="s">
        <v>587</v>
      </c>
      <c r="D1827" s="20" t="s">
        <v>2949</v>
      </c>
      <c r="E1827" s="6" t="s">
        <v>2950</v>
      </c>
      <c r="F1827" s="3">
        <f>SUM(2,3)</f>
        <v>5</v>
      </c>
      <c r="L1827" s="3" t="s">
        <v>2945</v>
      </c>
      <c r="N1827" s="48"/>
    </row>
    <row r="1828" spans="1:14" ht="15.75" x14ac:dyDescent="0.45">
      <c r="A1828" s="3" t="s">
        <v>2302</v>
      </c>
      <c r="B1828" s="18">
        <v>45881</v>
      </c>
      <c r="C1828" s="7" t="s">
        <v>587</v>
      </c>
      <c r="D1828" s="20" t="s">
        <v>2951</v>
      </c>
      <c r="E1828" s="6" t="s">
        <v>2952</v>
      </c>
      <c r="F1828" s="3">
        <v>3</v>
      </c>
      <c r="L1828" s="3" t="s">
        <v>2953</v>
      </c>
      <c r="N1828" s="48"/>
    </row>
    <row r="1829" spans="1:14" ht="15.75" x14ac:dyDescent="0.45">
      <c r="A1829" s="3" t="s">
        <v>2302</v>
      </c>
      <c r="B1829" s="18">
        <v>45869</v>
      </c>
      <c r="C1829" s="7" t="s">
        <v>587</v>
      </c>
      <c r="D1829" s="20" t="s">
        <v>2954</v>
      </c>
      <c r="E1829" s="6" t="s">
        <v>2955</v>
      </c>
      <c r="F1829" s="3">
        <f>SUM(2,2,SUM(6,3,10,10,10,5,5,4,5,8,7,4,6,7,6,6))</f>
        <v>106</v>
      </c>
      <c r="L1829" s="3" t="s">
        <v>2945</v>
      </c>
      <c r="N1829" s="48"/>
    </row>
    <row r="1830" spans="1:14" ht="15.75" x14ac:dyDescent="0.45">
      <c r="A1830" s="3" t="s">
        <v>2302</v>
      </c>
      <c r="B1830" s="18">
        <v>45868</v>
      </c>
      <c r="C1830" s="7" t="s">
        <v>587</v>
      </c>
      <c r="D1830" s="20" t="s">
        <v>2956</v>
      </c>
      <c r="E1830" s="6" t="s">
        <v>2957</v>
      </c>
      <c r="F1830" s="3">
        <v>2</v>
      </c>
      <c r="L1830" s="3" t="s">
        <v>2958</v>
      </c>
      <c r="N1830" s="48"/>
    </row>
    <row r="1831" spans="1:14" ht="15.75" x14ac:dyDescent="0.45">
      <c r="A1831" s="3" t="s">
        <v>2302</v>
      </c>
      <c r="B1831" s="18">
        <v>45855</v>
      </c>
      <c r="C1831" s="7" t="s">
        <v>587</v>
      </c>
      <c r="D1831" s="20" t="s">
        <v>2959</v>
      </c>
      <c r="E1831" s="6" t="s">
        <v>2960</v>
      </c>
      <c r="F1831" s="3">
        <f>SUM(2,137)</f>
        <v>139</v>
      </c>
      <c r="L1831" s="3" t="s">
        <v>2961</v>
      </c>
      <c r="N1831" s="48"/>
    </row>
    <row r="1832" spans="1:14" ht="15.75" x14ac:dyDescent="0.45">
      <c r="A1832" s="3" t="s">
        <v>2302</v>
      </c>
      <c r="B1832" s="18">
        <v>45833</v>
      </c>
      <c r="C1832" s="7" t="s">
        <v>587</v>
      </c>
      <c r="D1832" s="20" t="s">
        <v>2962</v>
      </c>
      <c r="E1832" s="6" t="s">
        <v>2963</v>
      </c>
      <c r="F1832" s="3">
        <v>2</v>
      </c>
      <c r="L1832" s="3" t="s">
        <v>2958</v>
      </c>
      <c r="N1832" s="48"/>
    </row>
    <row r="1833" spans="1:14" ht="15.75" x14ac:dyDescent="0.45">
      <c r="A1833" s="3" t="s">
        <v>2302</v>
      </c>
      <c r="B1833" s="18">
        <v>45769</v>
      </c>
      <c r="C1833" s="7" t="s">
        <v>587</v>
      </c>
      <c r="D1833" s="20" t="s">
        <v>2964</v>
      </c>
      <c r="E1833" s="6" t="s">
        <v>2965</v>
      </c>
      <c r="F1833" s="3">
        <f>SUM(2,4)</f>
        <v>6</v>
      </c>
      <c r="L1833" s="3" t="s">
        <v>2945</v>
      </c>
      <c r="N1833" s="48"/>
    </row>
    <row r="1834" spans="1:14" ht="15.75" x14ac:dyDescent="0.45">
      <c r="A1834" s="3" t="s">
        <v>2302</v>
      </c>
      <c r="B1834" s="18">
        <v>45673</v>
      </c>
      <c r="C1834" s="7" t="s">
        <v>587</v>
      </c>
      <c r="D1834" s="20" t="s">
        <v>2966</v>
      </c>
      <c r="E1834" s="6" t="s">
        <v>2967</v>
      </c>
      <c r="F1834" s="3">
        <v>2</v>
      </c>
      <c r="L1834" s="3" t="s">
        <v>2958</v>
      </c>
      <c r="N1834" s="48"/>
    </row>
    <row r="1835" spans="1:14" ht="15.75" x14ac:dyDescent="0.45">
      <c r="A1835" s="3" t="s">
        <v>2302</v>
      </c>
      <c r="B1835" s="18">
        <v>45673</v>
      </c>
      <c r="C1835" s="7" t="s">
        <v>587</v>
      </c>
      <c r="D1835" s="20" t="s">
        <v>2968</v>
      </c>
      <c r="E1835" s="6" t="s">
        <v>2969</v>
      </c>
      <c r="F1835" s="3">
        <f>SUM(1,2)</f>
        <v>3</v>
      </c>
      <c r="L1835" s="3" t="s">
        <v>2945</v>
      </c>
      <c r="N1835" s="48"/>
    </row>
    <row r="1836" spans="1:14" ht="15.75" x14ac:dyDescent="0.45">
      <c r="A1836" s="3" t="s">
        <v>2302</v>
      </c>
      <c r="B1836" s="18">
        <v>45673</v>
      </c>
      <c r="C1836" s="7" t="s">
        <v>587</v>
      </c>
      <c r="D1836" s="20" t="s">
        <v>2970</v>
      </c>
      <c r="E1836" s="6" t="s">
        <v>2971</v>
      </c>
      <c r="F1836" s="3">
        <f>SUM(1,5)</f>
        <v>6</v>
      </c>
      <c r="L1836" s="3" t="s">
        <v>2945</v>
      </c>
      <c r="N1836" s="48"/>
    </row>
    <row r="1837" spans="1:14" ht="15.75" x14ac:dyDescent="0.45">
      <c r="A1837" s="3" t="s">
        <v>2302</v>
      </c>
      <c r="B1837" s="18">
        <v>45657</v>
      </c>
      <c r="C1837" s="7" t="s">
        <v>587</v>
      </c>
      <c r="D1837" s="20" t="s">
        <v>2972</v>
      </c>
      <c r="E1837" s="6" t="s">
        <v>2973</v>
      </c>
      <c r="F1837" s="3">
        <v>2</v>
      </c>
      <c r="L1837" s="3" t="s">
        <v>2958</v>
      </c>
      <c r="N1837" s="48"/>
    </row>
    <row r="1838" spans="1:14" ht="15.75" x14ac:dyDescent="0.45">
      <c r="A1838" s="3" t="s">
        <v>2302</v>
      </c>
      <c r="B1838" s="18">
        <v>45639</v>
      </c>
      <c r="C1838" s="7" t="s">
        <v>587</v>
      </c>
      <c r="D1838" s="20" t="s">
        <v>2974</v>
      </c>
      <c r="E1838" s="6" t="s">
        <v>2975</v>
      </c>
      <c r="F1838" s="3">
        <v>2</v>
      </c>
      <c r="L1838" s="3" t="s">
        <v>2958</v>
      </c>
      <c r="N1838" s="48"/>
    </row>
    <row r="1839" spans="1:14" ht="15.75" x14ac:dyDescent="0.45">
      <c r="A1839" s="3" t="s">
        <v>2302</v>
      </c>
      <c r="B1839" s="18">
        <v>45636</v>
      </c>
      <c r="C1839" s="7" t="s">
        <v>587</v>
      </c>
      <c r="D1839" s="20" t="s">
        <v>2976</v>
      </c>
      <c r="E1839" s="6" t="s">
        <v>2977</v>
      </c>
      <c r="F1839" s="3">
        <v>1</v>
      </c>
      <c r="L1839" s="3" t="s">
        <v>2958</v>
      </c>
      <c r="N1839" s="48"/>
    </row>
    <row r="1840" spans="1:14" ht="15.75" x14ac:dyDescent="0.45">
      <c r="A1840" s="3" t="s">
        <v>2302</v>
      </c>
      <c r="B1840" s="18">
        <v>45631</v>
      </c>
      <c r="C1840" s="7" t="s">
        <v>587</v>
      </c>
      <c r="D1840" s="20" t="s">
        <v>2978</v>
      </c>
      <c r="E1840" s="6" t="s">
        <v>2979</v>
      </c>
      <c r="F1840" s="3">
        <v>2</v>
      </c>
      <c r="L1840" s="3" t="s">
        <v>2958</v>
      </c>
      <c r="N1840" s="48"/>
    </row>
    <row r="1841" spans="1:14" ht="15.75" x14ac:dyDescent="0.45">
      <c r="A1841" s="3" t="s">
        <v>2302</v>
      </c>
      <c r="B1841" s="18">
        <v>45603</v>
      </c>
      <c r="C1841" s="7" t="s">
        <v>587</v>
      </c>
      <c r="D1841" s="20" t="s">
        <v>2980</v>
      </c>
      <c r="E1841" s="6" t="s">
        <v>2981</v>
      </c>
      <c r="F1841" s="3">
        <v>2</v>
      </c>
      <c r="L1841" s="3" t="s">
        <v>2958</v>
      </c>
      <c r="N1841" s="48"/>
    </row>
    <row r="1842" spans="1:14" ht="15.75" x14ac:dyDescent="0.45">
      <c r="A1842" s="3" t="s">
        <v>2302</v>
      </c>
      <c r="B1842" s="18">
        <v>45602</v>
      </c>
      <c r="C1842" s="7" t="s">
        <v>587</v>
      </c>
      <c r="D1842" s="20" t="s">
        <v>2982</v>
      </c>
      <c r="E1842" s="6" t="s">
        <v>2983</v>
      </c>
      <c r="F1842" s="3">
        <v>4</v>
      </c>
      <c r="L1842" s="3" t="s">
        <v>2958</v>
      </c>
      <c r="N1842" s="48"/>
    </row>
    <row r="1843" spans="1:14" ht="15.75" x14ac:dyDescent="0.45">
      <c r="A1843" s="3" t="s">
        <v>2302</v>
      </c>
      <c r="B1843" s="18">
        <v>45588</v>
      </c>
      <c r="C1843" s="7" t="s">
        <v>587</v>
      </c>
      <c r="D1843" s="20" t="s">
        <v>2984</v>
      </c>
      <c r="E1843" s="6" t="s">
        <v>2985</v>
      </c>
      <c r="F1843" s="3">
        <v>2</v>
      </c>
      <c r="L1843" s="3" t="s">
        <v>2958</v>
      </c>
      <c r="N1843" s="48"/>
    </row>
    <row r="1844" spans="1:14" ht="15.75" x14ac:dyDescent="0.45">
      <c r="A1844" s="3" t="s">
        <v>2302</v>
      </c>
      <c r="B1844" s="18">
        <v>45565</v>
      </c>
      <c r="C1844" s="7" t="s">
        <v>587</v>
      </c>
      <c r="D1844" s="20" t="s">
        <v>2986</v>
      </c>
      <c r="E1844" s="6" t="s">
        <v>2987</v>
      </c>
      <c r="F1844" s="3">
        <v>2</v>
      </c>
      <c r="L1844" s="3" t="s">
        <v>2958</v>
      </c>
      <c r="N1844" s="48"/>
    </row>
    <row r="1845" spans="1:14" ht="15.75" x14ac:dyDescent="0.45">
      <c r="A1845" s="3" t="s">
        <v>2302</v>
      </c>
      <c r="B1845" s="18">
        <v>45545</v>
      </c>
      <c r="C1845" s="7" t="s">
        <v>587</v>
      </c>
      <c r="D1845" s="20" t="s">
        <v>2988</v>
      </c>
      <c r="E1845" s="6" t="s">
        <v>2989</v>
      </c>
      <c r="F1845" s="3">
        <v>3</v>
      </c>
      <c r="L1845" s="3" t="s">
        <v>2953</v>
      </c>
      <c r="N1845" s="48"/>
    </row>
    <row r="1846" spans="1:14" ht="15.75" x14ac:dyDescent="0.45">
      <c r="A1846" s="3" t="s">
        <v>2302</v>
      </c>
      <c r="B1846" s="18">
        <v>45534</v>
      </c>
      <c r="C1846" s="7" t="s">
        <v>587</v>
      </c>
      <c r="D1846" s="20" t="s">
        <v>2990</v>
      </c>
      <c r="E1846" s="6" t="s">
        <v>2991</v>
      </c>
      <c r="F1846" s="3">
        <f>SUM(2,3)</f>
        <v>5</v>
      </c>
      <c r="L1846" s="3" t="s">
        <v>2945</v>
      </c>
      <c r="N1846" s="48"/>
    </row>
    <row r="1847" spans="1:14" ht="15.75" x14ac:dyDescent="0.45">
      <c r="A1847" s="3" t="s">
        <v>2302</v>
      </c>
      <c r="B1847" s="18">
        <v>45520</v>
      </c>
      <c r="C1847" s="7" t="s">
        <v>587</v>
      </c>
      <c r="D1847" s="20" t="s">
        <v>2992</v>
      </c>
      <c r="E1847" s="6" t="s">
        <v>2993</v>
      </c>
      <c r="F1847" s="3">
        <v>2</v>
      </c>
      <c r="L1847" s="3" t="s">
        <v>2958</v>
      </c>
      <c r="N1847" s="48"/>
    </row>
    <row r="1848" spans="1:14" ht="15.75" x14ac:dyDescent="0.45">
      <c r="A1848" s="3" t="s">
        <v>2302</v>
      </c>
      <c r="B1848" s="18">
        <v>45516</v>
      </c>
      <c r="C1848" s="7" t="s">
        <v>587</v>
      </c>
      <c r="D1848" s="20" t="s">
        <v>2994</v>
      </c>
      <c r="E1848" s="6" t="s">
        <v>2995</v>
      </c>
      <c r="F1848" s="3">
        <v>2</v>
      </c>
      <c r="L1848" s="3" t="s">
        <v>2958</v>
      </c>
      <c r="N1848" s="48"/>
    </row>
    <row r="1849" spans="1:14" ht="15.75" x14ac:dyDescent="0.45">
      <c r="A1849" s="3" t="s">
        <v>2302</v>
      </c>
      <c r="B1849" s="18">
        <v>45488</v>
      </c>
      <c r="C1849" s="7" t="s">
        <v>587</v>
      </c>
      <c r="D1849" s="20" t="s">
        <v>2996</v>
      </c>
      <c r="E1849" s="6" t="s">
        <v>2997</v>
      </c>
      <c r="F1849" s="3">
        <v>2</v>
      </c>
      <c r="L1849" s="3" t="s">
        <v>2958</v>
      </c>
      <c r="N1849" s="48"/>
    </row>
    <row r="1850" spans="1:14" ht="15.75" x14ac:dyDescent="0.45">
      <c r="A1850" s="3" t="s">
        <v>2302</v>
      </c>
      <c r="B1850" s="18">
        <v>45475</v>
      </c>
      <c r="C1850" s="7" t="s">
        <v>587</v>
      </c>
      <c r="D1850" s="20" t="s">
        <v>2998</v>
      </c>
      <c r="E1850" s="6" t="s">
        <v>2999</v>
      </c>
      <c r="F1850" s="3">
        <f>SUM(2,2)</f>
        <v>4</v>
      </c>
      <c r="L1850" s="3" t="s">
        <v>2945</v>
      </c>
      <c r="N1850" s="48"/>
    </row>
    <row r="1851" spans="1:14" ht="15.75" x14ac:dyDescent="0.45">
      <c r="A1851" s="3" t="s">
        <v>2302</v>
      </c>
      <c r="B1851" s="18">
        <v>45464</v>
      </c>
      <c r="C1851" s="7" t="s">
        <v>587</v>
      </c>
      <c r="D1851" s="20" t="s">
        <v>3000</v>
      </c>
      <c r="E1851" s="6" t="s">
        <v>3001</v>
      </c>
      <c r="F1851" s="3">
        <f>SUM(2,137)</f>
        <v>139</v>
      </c>
      <c r="L1851" s="3" t="s">
        <v>2961</v>
      </c>
      <c r="N1851" s="48"/>
    </row>
    <row r="1852" spans="1:14" ht="15.75" x14ac:dyDescent="0.45">
      <c r="A1852" s="3" t="s">
        <v>2302</v>
      </c>
      <c r="B1852" s="18">
        <v>45419</v>
      </c>
      <c r="C1852" s="7" t="s">
        <v>587</v>
      </c>
      <c r="D1852" s="20" t="s">
        <v>3002</v>
      </c>
      <c r="E1852" s="6" t="s">
        <v>3003</v>
      </c>
      <c r="F1852" s="3">
        <v>2</v>
      </c>
      <c r="L1852" s="3" t="s">
        <v>2958</v>
      </c>
      <c r="N1852" s="48"/>
    </row>
    <row r="1853" spans="1:14" ht="15.75" x14ac:dyDescent="0.45">
      <c r="A1853" s="3" t="s">
        <v>2302</v>
      </c>
      <c r="B1853" s="18">
        <v>45411</v>
      </c>
      <c r="C1853" s="7" t="s">
        <v>587</v>
      </c>
      <c r="D1853" s="20" t="s">
        <v>3004</v>
      </c>
      <c r="E1853" s="6" t="s">
        <v>3005</v>
      </c>
      <c r="F1853" s="3">
        <v>2</v>
      </c>
      <c r="L1853" s="3" t="s">
        <v>2958</v>
      </c>
      <c r="N1853" s="48"/>
    </row>
    <row r="1854" spans="1:14" ht="15.75" x14ac:dyDescent="0.45">
      <c r="A1854" s="3" t="s">
        <v>2302</v>
      </c>
      <c r="B1854" s="18">
        <v>45401</v>
      </c>
      <c r="C1854" s="7" t="s">
        <v>587</v>
      </c>
      <c r="D1854" s="20" t="s">
        <v>3006</v>
      </c>
      <c r="E1854" s="6" t="s">
        <v>3007</v>
      </c>
      <c r="F1854" s="3">
        <f>SUM(2,4)</f>
        <v>6</v>
      </c>
      <c r="L1854" s="3" t="s">
        <v>2945</v>
      </c>
      <c r="N1854" s="48"/>
    </row>
    <row r="1855" spans="1:14" ht="15.75" x14ac:dyDescent="0.45">
      <c r="A1855" s="3" t="s">
        <v>2302</v>
      </c>
      <c r="B1855" s="18">
        <v>45378</v>
      </c>
      <c r="C1855" s="7" t="s">
        <v>587</v>
      </c>
      <c r="D1855" s="20" t="s">
        <v>3008</v>
      </c>
      <c r="E1855" s="6" t="s">
        <v>3009</v>
      </c>
      <c r="F1855" s="3">
        <f>SUM(2,4)</f>
        <v>6</v>
      </c>
      <c r="L1855" s="3" t="s">
        <v>2945</v>
      </c>
      <c r="N1855" s="48"/>
    </row>
    <row r="1856" spans="1:14" ht="15.75" x14ac:dyDescent="0.45">
      <c r="A1856" s="3" t="s">
        <v>2302</v>
      </c>
      <c r="B1856" s="18">
        <v>45278</v>
      </c>
      <c r="C1856" s="7" t="s">
        <v>587</v>
      </c>
      <c r="D1856" s="20" t="s">
        <v>3010</v>
      </c>
      <c r="E1856" s="6" t="s">
        <v>3011</v>
      </c>
      <c r="F1856" s="3">
        <f>SUM(2,4,6)</f>
        <v>12</v>
      </c>
      <c r="L1856" s="3" t="s">
        <v>2948</v>
      </c>
      <c r="N1856" s="48"/>
    </row>
    <row r="1857" spans="1:14" ht="15.75" x14ac:dyDescent="0.45">
      <c r="A1857" s="3" t="s">
        <v>2302</v>
      </c>
      <c r="B1857" s="18">
        <v>45260</v>
      </c>
      <c r="C1857" s="7" t="s">
        <v>587</v>
      </c>
      <c r="D1857" s="20" t="s">
        <v>3012</v>
      </c>
      <c r="E1857" s="6" t="s">
        <v>3013</v>
      </c>
      <c r="F1857" s="3">
        <v>1</v>
      </c>
      <c r="L1857" s="3" t="s">
        <v>2958</v>
      </c>
      <c r="N1857" s="48"/>
    </row>
    <row r="1858" spans="1:14" ht="15.75" x14ac:dyDescent="0.45">
      <c r="A1858" s="3" t="s">
        <v>2302</v>
      </c>
      <c r="B1858" s="18">
        <v>45259</v>
      </c>
      <c r="C1858" s="7" t="s">
        <v>587</v>
      </c>
      <c r="D1858" s="20" t="s">
        <v>3014</v>
      </c>
      <c r="E1858" s="6" t="s">
        <v>3015</v>
      </c>
      <c r="F1858" s="3">
        <f>SUM(3,1)</f>
        <v>4</v>
      </c>
      <c r="L1858" s="3" t="s">
        <v>2945</v>
      </c>
      <c r="N1858" s="48"/>
    </row>
    <row r="1859" spans="1:14" ht="15.75" x14ac:dyDescent="0.45">
      <c r="A1859" s="3" t="s">
        <v>2302</v>
      </c>
      <c r="B1859" s="18">
        <v>45211</v>
      </c>
      <c r="C1859" s="7" t="s">
        <v>587</v>
      </c>
      <c r="D1859" s="20" t="s">
        <v>3016</v>
      </c>
      <c r="E1859" s="6" t="s">
        <v>3017</v>
      </c>
      <c r="F1859" s="3">
        <v>2</v>
      </c>
      <c r="L1859" s="3" t="s">
        <v>2958</v>
      </c>
      <c r="N1859" s="48"/>
    </row>
    <row r="1860" spans="1:14" ht="15.75" x14ac:dyDescent="0.45">
      <c r="A1860" s="3" t="s">
        <v>2302</v>
      </c>
      <c r="B1860" s="18">
        <v>45201</v>
      </c>
      <c r="C1860" s="7" t="s">
        <v>587</v>
      </c>
      <c r="D1860" s="20" t="s">
        <v>3018</v>
      </c>
      <c r="E1860" s="6" t="s">
        <v>3019</v>
      </c>
      <c r="F1860" s="3">
        <v>2</v>
      </c>
      <c r="L1860" s="3" t="s">
        <v>2958</v>
      </c>
      <c r="N1860" s="48"/>
    </row>
    <row r="1861" spans="1:14" ht="15.75" x14ac:dyDescent="0.45">
      <c r="A1861" s="3" t="s">
        <v>2302</v>
      </c>
      <c r="B1861" s="18">
        <v>45188</v>
      </c>
      <c r="C1861" s="7" t="s">
        <v>587</v>
      </c>
      <c r="D1861" s="20" t="s">
        <v>3020</v>
      </c>
      <c r="E1861" s="6" t="s">
        <v>3021</v>
      </c>
      <c r="F1861" s="3">
        <v>2</v>
      </c>
      <c r="L1861" s="3" t="s">
        <v>2958</v>
      </c>
      <c r="N1861" s="48"/>
    </row>
    <row r="1862" spans="1:14" ht="15.75" x14ac:dyDescent="0.45">
      <c r="A1862" s="3" t="s">
        <v>2302</v>
      </c>
      <c r="B1862" s="18">
        <v>45168</v>
      </c>
      <c r="C1862" s="7" t="s">
        <v>587</v>
      </c>
      <c r="D1862" s="20" t="s">
        <v>3022</v>
      </c>
      <c r="E1862" s="6" t="s">
        <v>3023</v>
      </c>
      <c r="F1862" s="3">
        <f>SUM(2,3)</f>
        <v>5</v>
      </c>
      <c r="L1862" s="3" t="s">
        <v>2945</v>
      </c>
      <c r="N1862" s="48"/>
    </row>
    <row r="1863" spans="1:14" ht="15.75" x14ac:dyDescent="0.45">
      <c r="A1863" s="3" t="s">
        <v>2302</v>
      </c>
      <c r="B1863" s="18">
        <v>45162</v>
      </c>
      <c r="C1863" s="7" t="s">
        <v>587</v>
      </c>
      <c r="D1863" s="20" t="s">
        <v>3024</v>
      </c>
      <c r="E1863" s="6" t="s">
        <v>3025</v>
      </c>
      <c r="F1863" s="3">
        <f>SUM(2,3)</f>
        <v>5</v>
      </c>
      <c r="L1863" s="3" t="s">
        <v>2945</v>
      </c>
      <c r="N1863" s="48"/>
    </row>
    <row r="1864" spans="1:14" ht="15.75" x14ac:dyDescent="0.45">
      <c r="A1864" s="3" t="s">
        <v>2302</v>
      </c>
      <c r="B1864" s="18">
        <v>45153</v>
      </c>
      <c r="C1864" s="7" t="s">
        <v>587</v>
      </c>
      <c r="D1864" s="20" t="s">
        <v>3026</v>
      </c>
      <c r="E1864" s="6" t="s">
        <v>3027</v>
      </c>
      <c r="F1864" s="3">
        <f>SUM(3,1)</f>
        <v>4</v>
      </c>
      <c r="L1864" s="3" t="s">
        <v>2945</v>
      </c>
      <c r="N1864" s="48"/>
    </row>
    <row r="1865" spans="1:14" ht="15.75" x14ac:dyDescent="0.45">
      <c r="A1865" s="3" t="s">
        <v>2302</v>
      </c>
      <c r="B1865" s="18">
        <v>45145</v>
      </c>
      <c r="C1865" s="7" t="s">
        <v>587</v>
      </c>
      <c r="D1865" s="20" t="s">
        <v>3028</v>
      </c>
      <c r="E1865" s="6" t="s">
        <v>3029</v>
      </c>
      <c r="F1865" s="3">
        <v>2</v>
      </c>
      <c r="L1865" s="3" t="s">
        <v>2958</v>
      </c>
      <c r="N1865" s="48"/>
    </row>
    <row r="1866" spans="1:14" ht="15.75" x14ac:dyDescent="0.45">
      <c r="A1866" s="3" t="s">
        <v>2302</v>
      </c>
      <c r="B1866" s="18">
        <v>45112</v>
      </c>
      <c r="C1866" s="7" t="s">
        <v>587</v>
      </c>
      <c r="D1866" s="20" t="s">
        <v>3030</v>
      </c>
      <c r="E1866" s="6" t="s">
        <v>3031</v>
      </c>
      <c r="F1866" s="3">
        <f>SUM(2,1)</f>
        <v>3</v>
      </c>
      <c r="L1866" s="3" t="s">
        <v>2945</v>
      </c>
      <c r="N1866" s="48"/>
    </row>
    <row r="1867" spans="1:14" ht="15.75" x14ac:dyDescent="0.45">
      <c r="A1867" s="3" t="s">
        <v>2302</v>
      </c>
      <c r="B1867" s="18">
        <v>45092</v>
      </c>
      <c r="C1867" s="7" t="s">
        <v>587</v>
      </c>
      <c r="D1867" s="20" t="s">
        <v>3032</v>
      </c>
      <c r="E1867" s="6" t="s">
        <v>3033</v>
      </c>
      <c r="F1867" s="3">
        <f>SUM(1,3)</f>
        <v>4</v>
      </c>
      <c r="L1867" s="3" t="s">
        <v>2945</v>
      </c>
      <c r="N1867" s="48"/>
    </row>
    <row r="1868" spans="1:14" ht="15.75" x14ac:dyDescent="0.45">
      <c r="A1868" s="3" t="s">
        <v>2302</v>
      </c>
      <c r="B1868" s="18">
        <v>45092</v>
      </c>
      <c r="C1868" s="7" t="s">
        <v>587</v>
      </c>
      <c r="D1868" s="20" t="s">
        <v>3034</v>
      </c>
      <c r="E1868" s="6" t="s">
        <v>3035</v>
      </c>
      <c r="F1868" s="3">
        <f>SUM(2,136)</f>
        <v>138</v>
      </c>
      <c r="L1868" s="3" t="s">
        <v>2961</v>
      </c>
      <c r="N1868" s="48"/>
    </row>
    <row r="1869" spans="1:14" ht="15.75" x14ac:dyDescent="0.45">
      <c r="A1869" s="3" t="s">
        <v>2302</v>
      </c>
      <c r="B1869" s="18">
        <v>45084</v>
      </c>
      <c r="C1869" s="7" t="s">
        <v>587</v>
      </c>
      <c r="D1869" s="20" t="s">
        <v>3036</v>
      </c>
      <c r="E1869" s="6" t="s">
        <v>3037</v>
      </c>
      <c r="F1869" s="3">
        <f>SUM(2,31)</f>
        <v>33</v>
      </c>
      <c r="L1869" s="3" t="s">
        <v>2945</v>
      </c>
      <c r="N1869" s="48"/>
    </row>
    <row r="1870" spans="1:14" ht="15.75" x14ac:dyDescent="0.45">
      <c r="A1870" s="3" t="s">
        <v>2302</v>
      </c>
      <c r="B1870" s="18">
        <v>44978</v>
      </c>
      <c r="C1870" s="7" t="s">
        <v>587</v>
      </c>
      <c r="D1870" s="20" t="s">
        <v>3038</v>
      </c>
      <c r="E1870" s="6" t="s">
        <v>3039</v>
      </c>
      <c r="F1870" s="3">
        <v>2</v>
      </c>
      <c r="L1870" s="3" t="s">
        <v>2958</v>
      </c>
      <c r="N1870" s="48"/>
    </row>
    <row r="1871" spans="1:14" ht="15.75" x14ac:dyDescent="0.45">
      <c r="A1871" s="3" t="s">
        <v>2302</v>
      </c>
      <c r="B1871" s="18">
        <v>44964</v>
      </c>
      <c r="C1871" s="7" t="s">
        <v>587</v>
      </c>
      <c r="D1871" s="20" t="s">
        <v>3040</v>
      </c>
      <c r="E1871" s="6" t="s">
        <v>3041</v>
      </c>
      <c r="F1871" s="3">
        <f>SUM(2,2)</f>
        <v>4</v>
      </c>
      <c r="L1871" s="3" t="s">
        <v>3042</v>
      </c>
      <c r="N1871" s="48"/>
    </row>
    <row r="1872" spans="1:14" ht="15.75" x14ac:dyDescent="0.45">
      <c r="A1872" s="3" t="s">
        <v>2302</v>
      </c>
      <c r="B1872" s="18">
        <v>44956</v>
      </c>
      <c r="C1872" s="7" t="s">
        <v>587</v>
      </c>
      <c r="D1872" s="20" t="s">
        <v>3043</v>
      </c>
      <c r="E1872" s="6" t="s">
        <v>3044</v>
      </c>
      <c r="F1872" s="3">
        <f>SUM(2,4,7)</f>
        <v>13</v>
      </c>
      <c r="L1872" s="3" t="s">
        <v>2948</v>
      </c>
      <c r="N1872" s="48"/>
    </row>
    <row r="1873" spans="1:14" ht="15.75" x14ac:dyDescent="0.45">
      <c r="A1873" s="3" t="s">
        <v>2302</v>
      </c>
      <c r="B1873" s="18">
        <v>44952</v>
      </c>
      <c r="C1873" s="7" t="s">
        <v>587</v>
      </c>
      <c r="D1873" s="20" t="s">
        <v>3045</v>
      </c>
      <c r="E1873" s="6" t="s">
        <v>3046</v>
      </c>
      <c r="F1873" s="3">
        <v>2</v>
      </c>
      <c r="L1873" s="3" t="s">
        <v>2958</v>
      </c>
      <c r="N1873" s="48"/>
    </row>
    <row r="1874" spans="1:14" ht="15.75" x14ac:dyDescent="0.45">
      <c r="A1874" s="3" t="s">
        <v>2302</v>
      </c>
      <c r="B1874" s="18">
        <v>44945</v>
      </c>
      <c r="C1874" s="7" t="s">
        <v>587</v>
      </c>
      <c r="D1874" s="20" t="s">
        <v>3047</v>
      </c>
      <c r="E1874" s="6" t="s">
        <v>3048</v>
      </c>
      <c r="F1874" s="3">
        <f>SUM(2,1,1)</f>
        <v>4</v>
      </c>
      <c r="L1874" s="3" t="s">
        <v>2948</v>
      </c>
      <c r="N1874" s="48"/>
    </row>
    <row r="1875" spans="1:14" ht="15.75" x14ac:dyDescent="0.45">
      <c r="A1875" s="3" t="s">
        <v>2302</v>
      </c>
      <c r="B1875" s="18">
        <v>44900</v>
      </c>
      <c r="C1875" s="7" t="s">
        <v>587</v>
      </c>
      <c r="D1875" s="20" t="s">
        <v>3049</v>
      </c>
      <c r="E1875" s="6" t="s">
        <v>3050</v>
      </c>
      <c r="F1875" s="3">
        <f>SUM(2,4,2)</f>
        <v>8</v>
      </c>
      <c r="L1875" s="3" t="s">
        <v>2948</v>
      </c>
      <c r="N1875" s="48"/>
    </row>
    <row r="1876" spans="1:14" ht="15.75" x14ac:dyDescent="0.45">
      <c r="A1876" s="3" t="s">
        <v>2302</v>
      </c>
      <c r="B1876" s="18">
        <v>44887</v>
      </c>
      <c r="C1876" s="7" t="s">
        <v>587</v>
      </c>
      <c r="D1876" s="20" t="s">
        <v>3051</v>
      </c>
      <c r="E1876" s="6" t="s">
        <v>3052</v>
      </c>
      <c r="F1876" s="3">
        <v>3</v>
      </c>
      <c r="L1876" s="3" t="s">
        <v>2958</v>
      </c>
      <c r="N1876" s="48"/>
    </row>
    <row r="1877" spans="1:14" ht="15.75" x14ac:dyDescent="0.45">
      <c r="A1877" s="3" t="s">
        <v>2302</v>
      </c>
      <c r="B1877" s="18">
        <v>44879</v>
      </c>
      <c r="C1877" s="7" t="s">
        <v>587</v>
      </c>
      <c r="D1877" s="20" t="s">
        <v>3053</v>
      </c>
      <c r="E1877" s="6" t="s">
        <v>3054</v>
      </c>
      <c r="F1877" s="3">
        <v>2</v>
      </c>
      <c r="L1877" s="3" t="s">
        <v>2958</v>
      </c>
      <c r="N1877" s="48"/>
    </row>
    <row r="1878" spans="1:14" ht="15.75" x14ac:dyDescent="0.45">
      <c r="A1878" s="3" t="s">
        <v>2302</v>
      </c>
      <c r="B1878" s="18">
        <v>44854</v>
      </c>
      <c r="C1878" s="7" t="s">
        <v>587</v>
      </c>
      <c r="D1878" s="20" t="s">
        <v>3055</v>
      </c>
      <c r="E1878" s="6" t="s">
        <v>3056</v>
      </c>
      <c r="F1878" s="3">
        <v>2</v>
      </c>
      <c r="L1878" s="3" t="s">
        <v>2958</v>
      </c>
      <c r="N1878" s="48"/>
    </row>
    <row r="1879" spans="1:14" ht="15.75" x14ac:dyDescent="0.45">
      <c r="A1879" s="3" t="s">
        <v>2302</v>
      </c>
      <c r="B1879" s="18">
        <v>44848</v>
      </c>
      <c r="C1879" s="7" t="s">
        <v>587</v>
      </c>
      <c r="D1879" s="20" t="s">
        <v>3057</v>
      </c>
      <c r="E1879" s="6" t="s">
        <v>3058</v>
      </c>
      <c r="F1879" s="3">
        <v>2</v>
      </c>
      <c r="L1879" s="3" t="s">
        <v>2958</v>
      </c>
      <c r="N1879" s="48"/>
    </row>
    <row r="1880" spans="1:14" ht="15.75" x14ac:dyDescent="0.45">
      <c r="A1880" s="3" t="s">
        <v>2302</v>
      </c>
      <c r="B1880" s="18">
        <v>44834</v>
      </c>
      <c r="C1880" s="7" t="s">
        <v>587</v>
      </c>
      <c r="D1880" s="20" t="s">
        <v>3059</v>
      </c>
      <c r="E1880" s="6" t="s">
        <v>3060</v>
      </c>
      <c r="F1880" s="3">
        <f>SUM(2,3)</f>
        <v>5</v>
      </c>
      <c r="L1880" s="3" t="s">
        <v>2945</v>
      </c>
      <c r="N1880" s="48"/>
    </row>
    <row r="1881" spans="1:14" ht="15.75" x14ac:dyDescent="0.45">
      <c r="A1881" s="3" t="s">
        <v>2302</v>
      </c>
      <c r="B1881" s="18">
        <v>44823</v>
      </c>
      <c r="C1881" s="7" t="s">
        <v>587</v>
      </c>
      <c r="D1881" s="20" t="s">
        <v>3061</v>
      </c>
      <c r="E1881" s="6" t="s">
        <v>3062</v>
      </c>
      <c r="F1881" s="3">
        <v>2</v>
      </c>
      <c r="L1881" s="3" t="s">
        <v>2958</v>
      </c>
      <c r="N1881" s="48"/>
    </row>
    <row r="1882" spans="1:14" ht="15.75" x14ac:dyDescent="0.45">
      <c r="A1882" s="3" t="s">
        <v>2302</v>
      </c>
      <c r="B1882" s="18">
        <v>44812</v>
      </c>
      <c r="C1882" s="7" t="s">
        <v>587</v>
      </c>
      <c r="D1882" s="20" t="s">
        <v>3063</v>
      </c>
      <c r="E1882" s="6" t="s">
        <v>3064</v>
      </c>
      <c r="F1882" s="3">
        <f>SUM(3,1)</f>
        <v>4</v>
      </c>
      <c r="L1882" s="3" t="s">
        <v>2945</v>
      </c>
      <c r="N1882" s="48"/>
    </row>
    <row r="1883" spans="1:14" ht="15.75" x14ac:dyDescent="0.45">
      <c r="A1883" s="3" t="s">
        <v>2302</v>
      </c>
      <c r="B1883" s="18">
        <v>44803</v>
      </c>
      <c r="C1883" s="7" t="s">
        <v>587</v>
      </c>
      <c r="D1883" s="20" t="s">
        <v>3065</v>
      </c>
      <c r="E1883" s="6" t="s">
        <v>3066</v>
      </c>
      <c r="F1883" s="3">
        <f>SUM(2,3)</f>
        <v>5</v>
      </c>
      <c r="L1883" s="3" t="s">
        <v>2945</v>
      </c>
      <c r="N1883" s="48"/>
    </row>
    <row r="1884" spans="1:14" ht="15.75" x14ac:dyDescent="0.45">
      <c r="A1884" s="3" t="s">
        <v>2302</v>
      </c>
      <c r="B1884" s="18">
        <v>44792</v>
      </c>
      <c r="C1884" s="7" t="s">
        <v>587</v>
      </c>
      <c r="D1884" s="20" t="s">
        <v>3067</v>
      </c>
      <c r="E1884" s="6" t="s">
        <v>3068</v>
      </c>
      <c r="F1884" s="3">
        <v>2</v>
      </c>
      <c r="L1884" s="3" t="s">
        <v>2958</v>
      </c>
      <c r="N1884" s="48"/>
    </row>
    <row r="1885" spans="1:14" ht="15.75" x14ac:dyDescent="0.45">
      <c r="A1885" s="3" t="s">
        <v>2302</v>
      </c>
      <c r="B1885" s="18">
        <v>44776</v>
      </c>
      <c r="C1885" s="7" t="s">
        <v>587</v>
      </c>
      <c r="D1885" s="20" t="s">
        <v>3069</v>
      </c>
      <c r="E1885" s="6" t="s">
        <v>3070</v>
      </c>
      <c r="F1885" s="3">
        <f>SUM(2,7,3)</f>
        <v>12</v>
      </c>
      <c r="L1885" s="3" t="s">
        <v>2948</v>
      </c>
      <c r="N1885" s="48"/>
    </row>
    <row r="1886" spans="1:14" ht="15.75" x14ac:dyDescent="0.45">
      <c r="A1886" s="3" t="s">
        <v>2302</v>
      </c>
      <c r="B1886" s="18">
        <v>44771</v>
      </c>
      <c r="C1886" s="7" t="s">
        <v>587</v>
      </c>
      <c r="D1886" s="20" t="s">
        <v>3071</v>
      </c>
      <c r="E1886" s="6" t="s">
        <v>3072</v>
      </c>
      <c r="F1886" s="3">
        <f>SUM(1,2)</f>
        <v>3</v>
      </c>
      <c r="L1886" s="3" t="s">
        <v>2945</v>
      </c>
      <c r="N1886" s="48"/>
    </row>
    <row r="1887" spans="1:14" ht="15.75" x14ac:dyDescent="0.45">
      <c r="A1887" s="3" t="s">
        <v>2302</v>
      </c>
      <c r="B1887" s="18">
        <v>44692</v>
      </c>
      <c r="C1887" s="7" t="s">
        <v>587</v>
      </c>
      <c r="D1887" s="20" t="s">
        <v>3073</v>
      </c>
      <c r="E1887" s="6" t="s">
        <v>3074</v>
      </c>
      <c r="F1887" s="3">
        <f>SUM(2,136)</f>
        <v>138</v>
      </c>
      <c r="L1887" s="3" t="s">
        <v>2961</v>
      </c>
      <c r="N1887" s="48"/>
    </row>
    <row r="1888" spans="1:14" ht="15.75" x14ac:dyDescent="0.45">
      <c r="A1888" s="3" t="s">
        <v>2302</v>
      </c>
      <c r="B1888" s="18">
        <v>44566</v>
      </c>
      <c r="C1888" s="7" t="s">
        <v>587</v>
      </c>
      <c r="D1888" s="20" t="s">
        <v>3075</v>
      </c>
      <c r="E1888" s="6" t="s">
        <v>3076</v>
      </c>
      <c r="F1888" s="3">
        <v>2</v>
      </c>
      <c r="L1888" s="3" t="s">
        <v>2958</v>
      </c>
      <c r="N1888" s="48"/>
    </row>
    <row r="1889" spans="1:14" ht="15.75" x14ac:dyDescent="0.45">
      <c r="A1889" s="3" t="s">
        <v>2302</v>
      </c>
      <c r="B1889" s="18">
        <v>44538</v>
      </c>
      <c r="C1889" s="7" t="s">
        <v>587</v>
      </c>
      <c r="D1889" s="20" t="s">
        <v>3077</v>
      </c>
      <c r="E1889" s="6" t="s">
        <v>3078</v>
      </c>
      <c r="F1889" s="3">
        <f>SUM(2,13,15)</f>
        <v>30</v>
      </c>
      <c r="L1889" s="3" t="s">
        <v>2948</v>
      </c>
      <c r="N1889" s="48"/>
    </row>
    <row r="1890" spans="1:14" ht="15.75" x14ac:dyDescent="0.45">
      <c r="A1890" s="3" t="s">
        <v>2302</v>
      </c>
      <c r="B1890" s="18">
        <v>44522</v>
      </c>
      <c r="C1890" s="7" t="s">
        <v>587</v>
      </c>
      <c r="D1890" s="20" t="s">
        <v>3079</v>
      </c>
      <c r="E1890" s="6" t="s">
        <v>3080</v>
      </c>
      <c r="F1890" s="3">
        <v>2</v>
      </c>
      <c r="L1890" s="3" t="s">
        <v>2958</v>
      </c>
      <c r="N1890" s="48"/>
    </row>
    <row r="1891" spans="1:14" ht="15.75" x14ac:dyDescent="0.45">
      <c r="A1891" s="3" t="s">
        <v>2302</v>
      </c>
      <c r="B1891" s="18">
        <v>44510</v>
      </c>
      <c r="C1891" s="7" t="s">
        <v>587</v>
      </c>
      <c r="D1891" s="20" t="s">
        <v>3081</v>
      </c>
      <c r="E1891" s="6" t="s">
        <v>3082</v>
      </c>
      <c r="F1891" s="3">
        <f>SUM(2,2)</f>
        <v>4</v>
      </c>
      <c r="L1891" s="3" t="s">
        <v>2945</v>
      </c>
      <c r="N1891" s="48"/>
    </row>
    <row r="1892" spans="1:14" ht="15.75" x14ac:dyDescent="0.45">
      <c r="A1892" s="3" t="s">
        <v>2302</v>
      </c>
      <c r="B1892" s="18">
        <v>44490</v>
      </c>
      <c r="C1892" s="7" t="s">
        <v>587</v>
      </c>
      <c r="D1892" s="20" t="s">
        <v>3083</v>
      </c>
      <c r="E1892" s="6" t="s">
        <v>3084</v>
      </c>
      <c r="F1892" s="3">
        <v>2</v>
      </c>
      <c r="L1892" s="3" t="s">
        <v>2958</v>
      </c>
      <c r="N1892" s="48"/>
    </row>
    <row r="1893" spans="1:14" ht="15.75" x14ac:dyDescent="0.45">
      <c r="A1893" s="3" t="s">
        <v>2302</v>
      </c>
      <c r="B1893" s="18">
        <v>44440</v>
      </c>
      <c r="C1893" s="7" t="s">
        <v>587</v>
      </c>
      <c r="D1893" s="20" t="s">
        <v>3085</v>
      </c>
      <c r="E1893" s="6" t="s">
        <v>3086</v>
      </c>
      <c r="F1893" s="3">
        <f>SUM(3,1)</f>
        <v>4</v>
      </c>
      <c r="L1893" s="3" t="s">
        <v>2945</v>
      </c>
      <c r="N1893" s="48"/>
    </row>
    <row r="1894" spans="1:14" ht="15.75" x14ac:dyDescent="0.45">
      <c r="A1894" s="3" t="s">
        <v>2302</v>
      </c>
      <c r="B1894" s="18">
        <v>44425</v>
      </c>
      <c r="C1894" s="7" t="s">
        <v>587</v>
      </c>
      <c r="D1894" s="20" t="s">
        <v>3087</v>
      </c>
      <c r="E1894" s="6" t="s">
        <v>3088</v>
      </c>
      <c r="F1894" s="3">
        <f>SUM(2,3)</f>
        <v>5</v>
      </c>
      <c r="L1894" s="3" t="s">
        <v>2945</v>
      </c>
      <c r="N1894" s="48"/>
    </row>
    <row r="1895" spans="1:14" ht="15.75" x14ac:dyDescent="0.45">
      <c r="A1895" s="3" t="s">
        <v>2302</v>
      </c>
      <c r="B1895" s="18">
        <v>44417</v>
      </c>
      <c r="C1895" s="7" t="s">
        <v>587</v>
      </c>
      <c r="D1895" s="20" t="s">
        <v>3089</v>
      </c>
      <c r="E1895" s="6" t="s">
        <v>3090</v>
      </c>
      <c r="F1895" s="3">
        <v>2</v>
      </c>
      <c r="L1895" s="3" t="s">
        <v>3091</v>
      </c>
      <c r="N1895" s="48"/>
    </row>
    <row r="1896" spans="1:14" ht="15.75" x14ac:dyDescent="0.45">
      <c r="A1896" s="3" t="s">
        <v>2302</v>
      </c>
      <c r="B1896" s="18">
        <v>44417</v>
      </c>
      <c r="C1896" s="7" t="s">
        <v>587</v>
      </c>
      <c r="D1896" s="20" t="s">
        <v>3092</v>
      </c>
      <c r="E1896" s="6" t="s">
        <v>2993</v>
      </c>
      <c r="F1896" s="3">
        <v>2</v>
      </c>
      <c r="L1896" s="3" t="s">
        <v>2958</v>
      </c>
      <c r="N1896" s="48"/>
    </row>
    <row r="1897" spans="1:14" ht="15.75" x14ac:dyDescent="0.45">
      <c r="A1897" s="3" t="s">
        <v>2302</v>
      </c>
      <c r="B1897" s="18">
        <v>44417</v>
      </c>
      <c r="C1897" s="7" t="s">
        <v>587</v>
      </c>
      <c r="D1897" s="20" t="s">
        <v>3093</v>
      </c>
      <c r="E1897" s="6" t="s">
        <v>3094</v>
      </c>
      <c r="F1897" s="3">
        <v>2</v>
      </c>
      <c r="L1897" s="3" t="s">
        <v>2958</v>
      </c>
      <c r="N1897" s="48"/>
    </row>
    <row r="1898" spans="1:14" ht="15.75" x14ac:dyDescent="0.45">
      <c r="A1898" s="3" t="s">
        <v>2302</v>
      </c>
      <c r="B1898" s="18">
        <v>44398</v>
      </c>
      <c r="C1898" s="7" t="s">
        <v>587</v>
      </c>
      <c r="D1898" s="20" t="s">
        <v>3095</v>
      </c>
      <c r="E1898" s="6" t="s">
        <v>3096</v>
      </c>
      <c r="F1898" s="3">
        <f>SUM(2,13,14)</f>
        <v>29</v>
      </c>
      <c r="L1898" s="3" t="s">
        <v>2948</v>
      </c>
      <c r="N1898" s="48"/>
    </row>
    <row r="1899" spans="1:14" ht="15.75" x14ac:dyDescent="0.45">
      <c r="A1899" s="3" t="s">
        <v>2302</v>
      </c>
      <c r="B1899" s="18">
        <v>44285</v>
      </c>
      <c r="C1899" s="7" t="s">
        <v>587</v>
      </c>
      <c r="D1899" s="20" t="s">
        <v>3097</v>
      </c>
      <c r="E1899" s="6" t="s">
        <v>3098</v>
      </c>
      <c r="F1899" s="3">
        <f>SUM(2,10,15)</f>
        <v>27</v>
      </c>
      <c r="L1899" s="3" t="s">
        <v>2948</v>
      </c>
      <c r="N1899" s="48"/>
    </row>
    <row r="1900" spans="1:14" ht="15.75" x14ac:dyDescent="0.45">
      <c r="A1900" s="3" t="s">
        <v>2302</v>
      </c>
      <c r="B1900" s="18">
        <v>44203</v>
      </c>
      <c r="C1900" s="7" t="s">
        <v>587</v>
      </c>
      <c r="D1900" s="20" t="s">
        <v>3099</v>
      </c>
      <c r="E1900" s="6" t="s">
        <v>3100</v>
      </c>
      <c r="F1900" s="3">
        <f>SUM(2,4,6)</f>
        <v>12</v>
      </c>
      <c r="L1900" s="3" t="s">
        <v>2948</v>
      </c>
      <c r="N1900" s="48"/>
    </row>
    <row r="1901" spans="1:14" ht="15.75" x14ac:dyDescent="0.45">
      <c r="A1901" s="3" t="s">
        <v>2302</v>
      </c>
      <c r="B1901" s="18">
        <v>44151</v>
      </c>
      <c r="C1901" s="7" t="s">
        <v>587</v>
      </c>
      <c r="D1901" s="20" t="s">
        <v>3101</v>
      </c>
      <c r="E1901" s="6" t="s">
        <v>3102</v>
      </c>
      <c r="F1901" s="3">
        <v>2</v>
      </c>
      <c r="L1901" s="3" t="s">
        <v>2958</v>
      </c>
      <c r="N1901" s="48"/>
    </row>
    <row r="1902" spans="1:14" ht="15.75" x14ac:dyDescent="0.45">
      <c r="A1902" s="3" t="s">
        <v>2302</v>
      </c>
      <c r="B1902" s="18">
        <v>44151</v>
      </c>
      <c r="C1902" s="7" t="s">
        <v>587</v>
      </c>
      <c r="D1902" s="20" t="s">
        <v>3103</v>
      </c>
      <c r="E1902" s="6" t="s">
        <v>3104</v>
      </c>
      <c r="F1902" s="3">
        <v>2</v>
      </c>
      <c r="L1902" s="3" t="s">
        <v>2958</v>
      </c>
      <c r="N1902" s="48"/>
    </row>
    <row r="1903" spans="1:14" ht="15.75" x14ac:dyDescent="0.45">
      <c r="A1903" s="3" t="s">
        <v>2302</v>
      </c>
      <c r="B1903" s="18">
        <v>44105</v>
      </c>
      <c r="C1903" s="7" t="s">
        <v>587</v>
      </c>
      <c r="D1903" s="20" t="s">
        <v>3105</v>
      </c>
      <c r="E1903" s="6" t="s">
        <v>3106</v>
      </c>
      <c r="F1903" s="3">
        <f>SUM(3,1)</f>
        <v>4</v>
      </c>
      <c r="L1903" s="3" t="s">
        <v>2945</v>
      </c>
      <c r="N1903" s="48"/>
    </row>
    <row r="1904" spans="1:14" ht="15.75" x14ac:dyDescent="0.45">
      <c r="A1904" s="3" t="s">
        <v>2302</v>
      </c>
      <c r="B1904" s="18">
        <v>44097</v>
      </c>
      <c r="C1904" s="7" t="s">
        <v>587</v>
      </c>
      <c r="D1904" s="20" t="s">
        <v>3107</v>
      </c>
      <c r="E1904" s="6" t="s">
        <v>3108</v>
      </c>
      <c r="F1904" s="3">
        <v>2</v>
      </c>
      <c r="L1904" s="3" t="s">
        <v>2958</v>
      </c>
      <c r="N1904" s="48"/>
    </row>
    <row r="1905" spans="1:14" ht="15.75" x14ac:dyDescent="0.45">
      <c r="A1905" s="3" t="s">
        <v>2302</v>
      </c>
      <c r="B1905" s="18">
        <v>44097</v>
      </c>
      <c r="C1905" s="7" t="s">
        <v>587</v>
      </c>
      <c r="D1905" s="20" t="s">
        <v>3109</v>
      </c>
      <c r="E1905" s="6" t="s">
        <v>3110</v>
      </c>
      <c r="F1905" s="3">
        <v>2</v>
      </c>
      <c r="L1905" s="3" t="s">
        <v>2958</v>
      </c>
      <c r="N1905" s="48"/>
    </row>
    <row r="1906" spans="1:14" ht="15.75" x14ac:dyDescent="0.45">
      <c r="A1906" s="3" t="s">
        <v>2302</v>
      </c>
      <c r="B1906" s="18">
        <v>44076</v>
      </c>
      <c r="C1906" s="7" t="s">
        <v>587</v>
      </c>
      <c r="D1906" s="20" t="s">
        <v>3111</v>
      </c>
      <c r="E1906" s="6" t="s">
        <v>3112</v>
      </c>
      <c r="F1906" s="3">
        <f>SUM(2,3)</f>
        <v>5</v>
      </c>
      <c r="L1906" s="3" t="s">
        <v>2945</v>
      </c>
      <c r="N1906" s="48"/>
    </row>
    <row r="1907" spans="1:14" ht="15.75" x14ac:dyDescent="0.45">
      <c r="A1907" s="3" t="s">
        <v>2302</v>
      </c>
      <c r="B1907" s="18">
        <v>44070</v>
      </c>
      <c r="C1907" s="7" t="s">
        <v>587</v>
      </c>
      <c r="D1907" s="20" t="s">
        <v>3113</v>
      </c>
      <c r="E1907" s="6" t="s">
        <v>3114</v>
      </c>
      <c r="F1907" s="3">
        <v>2</v>
      </c>
      <c r="L1907" s="3" t="s">
        <v>2958</v>
      </c>
      <c r="N1907" s="48"/>
    </row>
    <row r="1908" spans="1:14" ht="15.75" x14ac:dyDescent="0.45">
      <c r="A1908" s="3" t="s">
        <v>2302</v>
      </c>
      <c r="B1908" s="18">
        <v>43948</v>
      </c>
      <c r="C1908" s="7" t="s">
        <v>587</v>
      </c>
      <c r="D1908" s="20" t="s">
        <v>3115</v>
      </c>
      <c r="E1908" s="6" t="s">
        <v>3116</v>
      </c>
      <c r="F1908" s="3">
        <f>SUM(3,3)</f>
        <v>6</v>
      </c>
      <c r="L1908" s="3" t="s">
        <v>2945</v>
      </c>
      <c r="N1908" s="48"/>
    </row>
    <row r="1909" spans="1:14" ht="15.75" x14ac:dyDescent="0.45">
      <c r="A1909" s="3" t="s">
        <v>2302</v>
      </c>
      <c r="B1909" s="18">
        <v>43871</v>
      </c>
      <c r="C1909" s="7" t="s">
        <v>587</v>
      </c>
      <c r="D1909" s="20" t="s">
        <v>3117</v>
      </c>
      <c r="E1909" s="6" t="s">
        <v>3118</v>
      </c>
      <c r="F1909" s="3">
        <f>SUM(2,13,18)</f>
        <v>33</v>
      </c>
      <c r="L1909" s="3" t="s">
        <v>3119</v>
      </c>
      <c r="N1909" s="48"/>
    </row>
    <row r="1910" spans="1:14" ht="15.75" x14ac:dyDescent="0.45">
      <c r="A1910" s="3" t="s">
        <v>2302</v>
      </c>
      <c r="B1910" s="18">
        <v>43818</v>
      </c>
      <c r="C1910" s="7" t="s">
        <v>587</v>
      </c>
      <c r="D1910" s="20" t="s">
        <v>3120</v>
      </c>
      <c r="E1910" s="6" t="s">
        <v>3121</v>
      </c>
      <c r="F1910" s="3">
        <f>SUM(2,4,7)</f>
        <v>13</v>
      </c>
      <c r="L1910" s="3" t="s">
        <v>2948</v>
      </c>
      <c r="N1910" s="48"/>
    </row>
    <row r="1911" spans="1:14" ht="15.75" x14ac:dyDescent="0.45">
      <c r="A1911" s="3" t="s">
        <v>2302</v>
      </c>
      <c r="B1911" s="18">
        <v>43815</v>
      </c>
      <c r="C1911" s="7" t="s">
        <v>587</v>
      </c>
      <c r="D1911" s="20" t="s">
        <v>3122</v>
      </c>
      <c r="E1911" s="6" t="s">
        <v>2993</v>
      </c>
      <c r="F1911" s="3">
        <v>2</v>
      </c>
      <c r="L1911" s="3" t="s">
        <v>2958</v>
      </c>
      <c r="N1911" s="48"/>
    </row>
    <row r="1912" spans="1:14" ht="15.75" x14ac:dyDescent="0.45">
      <c r="A1912" s="3" t="s">
        <v>2302</v>
      </c>
      <c r="B1912" s="18">
        <v>43696</v>
      </c>
      <c r="C1912" s="7" t="s">
        <v>587</v>
      </c>
      <c r="D1912" s="20" t="s">
        <v>3123</v>
      </c>
      <c r="E1912" s="6" t="s">
        <v>3124</v>
      </c>
      <c r="F1912" s="3">
        <v>2</v>
      </c>
      <c r="L1912" s="3" t="s">
        <v>2958</v>
      </c>
      <c r="N1912" s="48"/>
    </row>
    <row r="1913" spans="1:14" ht="15.75" x14ac:dyDescent="0.45">
      <c r="A1913" s="3" t="s">
        <v>2302</v>
      </c>
      <c r="B1913" s="18">
        <v>43690</v>
      </c>
      <c r="C1913" s="7" t="s">
        <v>587</v>
      </c>
      <c r="D1913" s="20" t="s">
        <v>3125</v>
      </c>
      <c r="E1913" s="6" t="s">
        <v>3126</v>
      </c>
      <c r="F1913" s="3">
        <v>3</v>
      </c>
      <c r="L1913" s="3" t="s">
        <v>2958</v>
      </c>
      <c r="N1913" s="48"/>
    </row>
    <row r="1914" spans="1:14" ht="15.75" x14ac:dyDescent="0.45">
      <c r="A1914" s="3" t="s">
        <v>2302</v>
      </c>
      <c r="B1914" s="18">
        <v>43684</v>
      </c>
      <c r="C1914" s="7" t="s">
        <v>587</v>
      </c>
      <c r="D1914" s="20" t="s">
        <v>3127</v>
      </c>
      <c r="E1914" s="6" t="s">
        <v>3128</v>
      </c>
      <c r="F1914" s="3">
        <v>2</v>
      </c>
      <c r="L1914" s="3" t="s">
        <v>2958</v>
      </c>
      <c r="N1914" s="48"/>
    </row>
    <row r="1915" spans="1:14" ht="15.75" x14ac:dyDescent="0.45">
      <c r="A1915" s="3" t="s">
        <v>2302</v>
      </c>
      <c r="B1915" s="18">
        <v>43676</v>
      </c>
      <c r="C1915" s="7" t="s">
        <v>587</v>
      </c>
      <c r="D1915" s="20" t="s">
        <v>3129</v>
      </c>
      <c r="E1915" s="6" t="s">
        <v>3130</v>
      </c>
      <c r="F1915" s="3">
        <f>SUM(3,3)</f>
        <v>6</v>
      </c>
      <c r="L1915" s="3" t="s">
        <v>2945</v>
      </c>
      <c r="N1915" s="48"/>
    </row>
    <row r="1916" spans="1:14" ht="15.75" x14ac:dyDescent="0.45">
      <c r="A1916" s="3" t="s">
        <v>2302</v>
      </c>
      <c r="B1916" s="18">
        <v>43676</v>
      </c>
      <c r="C1916" s="7" t="s">
        <v>587</v>
      </c>
      <c r="D1916" s="20" t="s">
        <v>3131</v>
      </c>
      <c r="E1916" s="6" t="s">
        <v>3132</v>
      </c>
      <c r="F1916" s="3">
        <v>2</v>
      </c>
      <c r="L1916" s="3" t="s">
        <v>2958</v>
      </c>
      <c r="N1916" s="48"/>
    </row>
    <row r="1917" spans="1:14" ht="15.75" x14ac:dyDescent="0.45">
      <c r="A1917" s="3" t="s">
        <v>2302</v>
      </c>
      <c r="B1917" s="18">
        <v>43669</v>
      </c>
      <c r="C1917" s="7" t="s">
        <v>587</v>
      </c>
      <c r="D1917" s="20" t="s">
        <v>3133</v>
      </c>
      <c r="E1917" s="6" t="s">
        <v>3134</v>
      </c>
      <c r="F1917" s="3">
        <v>3</v>
      </c>
      <c r="L1917" s="3" t="s">
        <v>2958</v>
      </c>
      <c r="N1917" s="48"/>
    </row>
    <row r="1918" spans="1:14" ht="15.75" x14ac:dyDescent="0.45">
      <c r="A1918" s="3" t="s">
        <v>2302</v>
      </c>
      <c r="B1918" s="18">
        <v>43609</v>
      </c>
      <c r="C1918" s="7" t="s">
        <v>587</v>
      </c>
      <c r="D1918" s="20" t="s">
        <v>3135</v>
      </c>
      <c r="E1918" s="6" t="s">
        <v>3136</v>
      </c>
      <c r="F1918" s="3">
        <v>2</v>
      </c>
      <c r="L1918" s="3" t="s">
        <v>2958</v>
      </c>
      <c r="N1918" s="48"/>
    </row>
    <row r="1919" spans="1:14" ht="15.75" x14ac:dyDescent="0.45">
      <c r="A1919" s="3" t="s">
        <v>2302</v>
      </c>
      <c r="B1919" s="18">
        <v>43258</v>
      </c>
      <c r="C1919" s="7" t="s">
        <v>587</v>
      </c>
      <c r="D1919" s="20" t="s">
        <v>3137</v>
      </c>
      <c r="E1919" s="6" t="s">
        <v>3138</v>
      </c>
      <c r="F1919" s="3">
        <v>2</v>
      </c>
      <c r="L1919" s="3" t="s">
        <v>2958</v>
      </c>
      <c r="N1919" s="48"/>
    </row>
    <row r="1920" spans="1:14" ht="15.75" x14ac:dyDescent="0.45">
      <c r="A1920" s="3" t="s">
        <v>2302</v>
      </c>
      <c r="B1920" s="18">
        <v>43136</v>
      </c>
      <c r="C1920" s="7" t="s">
        <v>587</v>
      </c>
      <c r="D1920" s="20" t="s">
        <v>3139</v>
      </c>
      <c r="E1920" s="6" t="s">
        <v>3140</v>
      </c>
      <c r="F1920" s="3">
        <v>2</v>
      </c>
      <c r="L1920" s="3" t="s">
        <v>2958</v>
      </c>
      <c r="N1920" s="48"/>
    </row>
    <row r="1921" spans="1:14" ht="15.75" x14ac:dyDescent="0.45">
      <c r="A1921" s="3" t="s">
        <v>2302</v>
      </c>
      <c r="B1921" s="18">
        <v>42950</v>
      </c>
      <c r="C1921" s="7" t="s">
        <v>587</v>
      </c>
      <c r="D1921" s="20" t="s">
        <v>3141</v>
      </c>
      <c r="E1921" s="6" t="s">
        <v>3142</v>
      </c>
      <c r="F1921" s="3">
        <v>3</v>
      </c>
      <c r="L1921" s="3" t="s">
        <v>2958</v>
      </c>
      <c r="N1921" s="48"/>
    </row>
    <row r="1922" spans="1:14" ht="15.75" x14ac:dyDescent="0.45">
      <c r="A1922" s="3" t="s">
        <v>2302</v>
      </c>
      <c r="B1922" s="18">
        <v>42772</v>
      </c>
      <c r="C1922" s="7" t="s">
        <v>587</v>
      </c>
      <c r="D1922" s="20" t="s">
        <v>3143</v>
      </c>
      <c r="E1922" s="6" t="s">
        <v>3144</v>
      </c>
      <c r="F1922" s="3">
        <f>SUM(2,72)</f>
        <v>74</v>
      </c>
      <c r="L1922" s="3" t="s">
        <v>2945</v>
      </c>
      <c r="N1922" s="48"/>
    </row>
    <row r="1923" spans="1:14" ht="15.75" x14ac:dyDescent="0.45">
      <c r="A1923" s="3" t="s">
        <v>2302</v>
      </c>
      <c r="B1923" s="18">
        <v>42740</v>
      </c>
      <c r="C1923" s="7" t="s">
        <v>587</v>
      </c>
      <c r="D1923" s="20" t="s">
        <v>3145</v>
      </c>
      <c r="E1923" s="6" t="s">
        <v>3146</v>
      </c>
      <c r="F1923" s="3">
        <f>SUM(2,2,2,2,2,1)</f>
        <v>11</v>
      </c>
      <c r="L1923" s="3" t="s">
        <v>3147</v>
      </c>
      <c r="N1923" s="48"/>
    </row>
    <row r="1924" spans="1:14" ht="15.75" x14ac:dyDescent="0.45">
      <c r="A1924" s="3" t="s">
        <v>2302</v>
      </c>
      <c r="B1924" s="18">
        <v>42620</v>
      </c>
      <c r="C1924" s="7" t="s">
        <v>587</v>
      </c>
      <c r="D1924" s="20" t="s">
        <v>3148</v>
      </c>
      <c r="E1924" s="6" t="s">
        <v>3149</v>
      </c>
      <c r="F1924" s="3">
        <v>2</v>
      </c>
      <c r="L1924" s="3" t="s">
        <v>2958</v>
      </c>
      <c r="N1924" s="48"/>
    </row>
    <row r="1925" spans="1:14" ht="15.75" x14ac:dyDescent="0.45">
      <c r="A1925" s="3" t="s">
        <v>2302</v>
      </c>
      <c r="B1925" s="18">
        <v>42612</v>
      </c>
      <c r="C1925" s="7" t="s">
        <v>587</v>
      </c>
      <c r="D1925" s="20" t="s">
        <v>3150</v>
      </c>
      <c r="E1925" s="6" t="s">
        <v>3151</v>
      </c>
      <c r="F1925" s="3">
        <v>2</v>
      </c>
      <c r="L1925" s="3" t="s">
        <v>2958</v>
      </c>
      <c r="N1925" s="48"/>
    </row>
    <row r="1926" spans="1:14" ht="15.75" x14ac:dyDescent="0.45">
      <c r="A1926" s="3" t="s">
        <v>2302</v>
      </c>
      <c r="B1926" s="18">
        <v>42450</v>
      </c>
      <c r="C1926" s="7" t="s">
        <v>587</v>
      </c>
      <c r="D1926" s="20" t="s">
        <v>3152</v>
      </c>
      <c r="E1926" s="6" t="s">
        <v>3153</v>
      </c>
      <c r="F1926" s="3">
        <v>3</v>
      </c>
      <c r="L1926" s="3" t="s">
        <v>2958</v>
      </c>
      <c r="N1926" s="48"/>
    </row>
    <row r="1927" spans="1:14" ht="15.75" x14ac:dyDescent="0.45">
      <c r="A1927" s="3" t="s">
        <v>2302</v>
      </c>
      <c r="B1927" s="18">
        <v>42433</v>
      </c>
      <c r="C1927" s="7" t="s">
        <v>587</v>
      </c>
      <c r="D1927" s="20" t="s">
        <v>3154</v>
      </c>
      <c r="E1927" s="6" t="s">
        <v>3155</v>
      </c>
      <c r="F1927" s="3">
        <v>3</v>
      </c>
      <c r="L1927" s="3" t="s">
        <v>2958</v>
      </c>
      <c r="N1927" s="48"/>
    </row>
    <row r="1928" spans="1:14" ht="15.75" x14ac:dyDescent="0.45">
      <c r="A1928" s="3" t="s">
        <v>2302</v>
      </c>
      <c r="B1928" s="18">
        <v>42432</v>
      </c>
      <c r="C1928" s="7" t="s">
        <v>587</v>
      </c>
      <c r="D1928" s="20" t="s">
        <v>3156</v>
      </c>
      <c r="E1928" s="6" t="s">
        <v>3157</v>
      </c>
      <c r="F1928" s="3">
        <v>2</v>
      </c>
      <c r="L1928" s="3" t="s">
        <v>2958</v>
      </c>
      <c r="N1928" s="48"/>
    </row>
    <row r="1929" spans="1:14" ht="15.75" x14ac:dyDescent="0.45">
      <c r="A1929" s="3" t="s">
        <v>2302</v>
      </c>
      <c r="B1929" s="18">
        <v>42368</v>
      </c>
      <c r="C1929" s="7" t="s">
        <v>587</v>
      </c>
      <c r="D1929" s="20" t="s">
        <v>3158</v>
      </c>
      <c r="E1929" s="6" t="s">
        <v>3159</v>
      </c>
      <c r="F1929" s="3">
        <f>SUM(2,3)</f>
        <v>5</v>
      </c>
      <c r="L1929" s="3" t="s">
        <v>2945</v>
      </c>
      <c r="N1929" s="48"/>
    </row>
    <row r="1930" spans="1:14" ht="15.75" x14ac:dyDescent="0.45">
      <c r="A1930" s="3" t="s">
        <v>2302</v>
      </c>
      <c r="B1930" s="18">
        <v>42313</v>
      </c>
      <c r="C1930" s="7" t="s">
        <v>587</v>
      </c>
      <c r="D1930" s="20" t="s">
        <v>3160</v>
      </c>
      <c r="E1930" s="6" t="s">
        <v>3161</v>
      </c>
      <c r="F1930" s="3">
        <v>2</v>
      </c>
      <c r="L1930" s="3" t="s">
        <v>2958</v>
      </c>
      <c r="N1930" s="48"/>
    </row>
    <row r="1931" spans="1:14" ht="15.75" x14ac:dyDescent="0.45">
      <c r="A1931" s="3" t="s">
        <v>2302</v>
      </c>
      <c r="B1931" s="18">
        <v>41807</v>
      </c>
      <c r="C1931" s="7" t="s">
        <v>587</v>
      </c>
      <c r="D1931" s="20" t="s">
        <v>3162</v>
      </c>
      <c r="E1931" s="6" t="s">
        <v>3163</v>
      </c>
      <c r="F1931" s="3">
        <f>SUM(2,15)</f>
        <v>17</v>
      </c>
      <c r="L1931" s="3" t="s">
        <v>2945</v>
      </c>
      <c r="N1931" s="48"/>
    </row>
    <row r="1932" spans="1:14" ht="15.75" x14ac:dyDescent="0.45">
      <c r="A1932" s="3" t="s">
        <v>2302</v>
      </c>
      <c r="B1932" s="18">
        <v>41690</v>
      </c>
      <c r="C1932" s="7" t="s">
        <v>587</v>
      </c>
      <c r="D1932" s="20" t="s">
        <v>3164</v>
      </c>
      <c r="E1932" s="6" t="s">
        <v>3165</v>
      </c>
      <c r="F1932" s="3">
        <f>SUM(2,2)</f>
        <v>4</v>
      </c>
      <c r="L1932" s="3" t="s">
        <v>2945</v>
      </c>
      <c r="N1932" s="48"/>
    </row>
    <row r="1933" spans="1:14" ht="15.75" x14ac:dyDescent="0.45">
      <c r="A1933" s="3" t="s">
        <v>2302</v>
      </c>
      <c r="B1933" s="18">
        <v>41521</v>
      </c>
      <c r="C1933" s="7" t="s">
        <v>587</v>
      </c>
      <c r="D1933" s="20" t="s">
        <v>3166</v>
      </c>
      <c r="E1933" s="6" t="s">
        <v>3167</v>
      </c>
      <c r="F1933" s="3">
        <f>SUM(2,2,1)</f>
        <v>5</v>
      </c>
      <c r="L1933" s="3" t="s">
        <v>2948</v>
      </c>
      <c r="N1933" s="48"/>
    </row>
    <row r="1934" spans="1:14" ht="15.75" x14ac:dyDescent="0.45">
      <c r="A1934" s="3" t="s">
        <v>2302</v>
      </c>
      <c r="B1934" s="18">
        <v>41401</v>
      </c>
      <c r="C1934" s="7" t="s">
        <v>587</v>
      </c>
      <c r="D1934" s="20" t="s">
        <v>3168</v>
      </c>
      <c r="E1934" s="6" t="s">
        <v>3169</v>
      </c>
      <c r="F1934" s="3">
        <v>3</v>
      </c>
      <c r="L1934" s="3" t="s">
        <v>2958</v>
      </c>
      <c r="N1934" s="48"/>
    </row>
    <row r="1935" spans="1:14" ht="15.75" x14ac:dyDescent="0.45">
      <c r="A1935" s="3" t="s">
        <v>2302</v>
      </c>
      <c r="B1935" s="18">
        <v>41332</v>
      </c>
      <c r="C1935" s="7" t="s">
        <v>587</v>
      </c>
      <c r="D1935" s="20" t="s">
        <v>3170</v>
      </c>
      <c r="E1935" s="6" t="s">
        <v>3171</v>
      </c>
      <c r="F1935" s="3">
        <v>5</v>
      </c>
      <c r="L1935" s="3" t="s">
        <v>2958</v>
      </c>
      <c r="N1935" s="48"/>
    </row>
    <row r="1936" spans="1:14" ht="15.75" x14ac:dyDescent="0.45">
      <c r="A1936" s="3" t="s">
        <v>2302</v>
      </c>
      <c r="B1936" s="18">
        <v>41311</v>
      </c>
      <c r="C1936" s="7" t="s">
        <v>587</v>
      </c>
      <c r="D1936" s="20" t="s">
        <v>3172</v>
      </c>
      <c r="E1936" s="6" t="s">
        <v>3173</v>
      </c>
      <c r="F1936" s="3">
        <v>2</v>
      </c>
      <c r="L1936" s="3" t="s">
        <v>2958</v>
      </c>
      <c r="N1936" s="48"/>
    </row>
    <row r="1937" spans="1:14" ht="15.75" x14ac:dyDescent="0.45">
      <c r="A1937" s="3" t="s">
        <v>2302</v>
      </c>
      <c r="B1937" s="18">
        <v>40938</v>
      </c>
      <c r="C1937" s="7" t="s">
        <v>587</v>
      </c>
      <c r="D1937" s="20" t="s">
        <v>3174</v>
      </c>
      <c r="E1937" s="6" t="s">
        <v>3175</v>
      </c>
      <c r="F1937" s="3">
        <v>2</v>
      </c>
      <c r="L1937" s="3" t="s">
        <v>2958</v>
      </c>
      <c r="N1937" s="48"/>
    </row>
    <row r="1938" spans="1:14" ht="15.75" x14ac:dyDescent="0.45">
      <c r="A1938" s="3" t="s">
        <v>2302</v>
      </c>
      <c r="B1938" s="18">
        <v>40877</v>
      </c>
      <c r="C1938" s="7" t="s">
        <v>587</v>
      </c>
      <c r="D1938" s="20" t="s">
        <v>3176</v>
      </c>
      <c r="E1938" s="6" t="s">
        <v>3177</v>
      </c>
      <c r="F1938" s="3">
        <v>2</v>
      </c>
      <c r="L1938" s="3" t="s">
        <v>2958</v>
      </c>
      <c r="N1938" s="48"/>
    </row>
    <row r="1939" spans="1:14" ht="15.75" x14ac:dyDescent="0.45">
      <c r="A1939" s="3" t="s">
        <v>2302</v>
      </c>
      <c r="B1939" s="18">
        <v>40840</v>
      </c>
      <c r="C1939" s="7" t="s">
        <v>587</v>
      </c>
      <c r="D1939" s="20" t="s">
        <v>3178</v>
      </c>
      <c r="E1939" s="6" t="s">
        <v>3179</v>
      </c>
      <c r="F1939" s="3">
        <v>2</v>
      </c>
      <c r="L1939" s="3" t="s">
        <v>2958</v>
      </c>
      <c r="N1939" s="48"/>
    </row>
    <row r="1940" spans="1:14" ht="15.75" x14ac:dyDescent="0.45">
      <c r="A1940" s="3" t="s">
        <v>2302</v>
      </c>
      <c r="B1940" s="18">
        <v>40795</v>
      </c>
      <c r="C1940" s="7" t="s">
        <v>587</v>
      </c>
      <c r="D1940" s="20" t="s">
        <v>3180</v>
      </c>
      <c r="E1940" s="6" t="s">
        <v>3181</v>
      </c>
      <c r="F1940" s="3">
        <v>2</v>
      </c>
      <c r="L1940" s="3" t="s">
        <v>2958</v>
      </c>
      <c r="N1940" s="48"/>
    </row>
    <row r="1941" spans="1:14" ht="15.75" x14ac:dyDescent="0.45">
      <c r="A1941" s="3" t="s">
        <v>2302</v>
      </c>
      <c r="B1941" s="18">
        <v>40668</v>
      </c>
      <c r="C1941" s="7" t="s">
        <v>587</v>
      </c>
      <c r="D1941" s="20" t="s">
        <v>3182</v>
      </c>
      <c r="E1941" s="6" t="s">
        <v>3183</v>
      </c>
      <c r="F1941" s="3">
        <v>2</v>
      </c>
      <c r="L1941" s="3" t="s">
        <v>2958</v>
      </c>
      <c r="N1941" s="48"/>
    </row>
    <row r="1942" spans="1:14" ht="15.75" x14ac:dyDescent="0.45">
      <c r="A1942" s="3" t="s">
        <v>2302</v>
      </c>
      <c r="B1942" s="18">
        <v>40644</v>
      </c>
      <c r="C1942" s="7" t="s">
        <v>587</v>
      </c>
      <c r="D1942" s="20" t="s">
        <v>3184</v>
      </c>
      <c r="E1942" s="6" t="s">
        <v>3185</v>
      </c>
      <c r="F1942" s="3">
        <f>SUM(2,2)</f>
        <v>4</v>
      </c>
      <c r="L1942" s="3" t="s">
        <v>2945</v>
      </c>
      <c r="N1942" s="48"/>
    </row>
    <row r="1943" spans="1:14" ht="15.75" x14ac:dyDescent="0.45">
      <c r="A1943" s="3" t="s">
        <v>2302</v>
      </c>
      <c r="B1943" s="18">
        <v>40550</v>
      </c>
      <c r="C1943" s="7" t="s">
        <v>587</v>
      </c>
      <c r="D1943" s="20" t="s">
        <v>3186</v>
      </c>
      <c r="E1943" s="6" t="s">
        <v>3187</v>
      </c>
      <c r="F1943" s="3">
        <v>3</v>
      </c>
      <c r="L1943" s="3" t="s">
        <v>2958</v>
      </c>
      <c r="N1943" s="48"/>
    </row>
    <row r="1944" spans="1:14" ht="15.75" x14ac:dyDescent="0.45">
      <c r="A1944" s="3" t="s">
        <v>2302</v>
      </c>
      <c r="B1944" s="18">
        <v>40463</v>
      </c>
      <c r="C1944" s="7" t="s">
        <v>587</v>
      </c>
      <c r="D1944" s="20" t="s">
        <v>3188</v>
      </c>
      <c r="E1944" s="6" t="s">
        <v>3189</v>
      </c>
      <c r="F1944" s="3">
        <v>2</v>
      </c>
      <c r="L1944" s="3" t="s">
        <v>2958</v>
      </c>
      <c r="N1944" s="48"/>
    </row>
    <row r="1945" spans="1:14" ht="15.75" x14ac:dyDescent="0.45">
      <c r="A1945" s="3" t="s">
        <v>2302</v>
      </c>
      <c r="B1945" s="18">
        <v>40452</v>
      </c>
      <c r="C1945" s="7" t="s">
        <v>587</v>
      </c>
      <c r="D1945" s="20" t="s">
        <v>3190</v>
      </c>
      <c r="E1945" s="6" t="s">
        <v>3191</v>
      </c>
      <c r="F1945" s="3">
        <v>2</v>
      </c>
      <c r="L1945" s="3" t="s">
        <v>2958</v>
      </c>
      <c r="N1945" s="48"/>
    </row>
    <row r="1946" spans="1:14" ht="15.75" x14ac:dyDescent="0.45">
      <c r="A1946" s="3" t="s">
        <v>2302</v>
      </c>
      <c r="B1946" s="18">
        <v>40245</v>
      </c>
      <c r="C1946" s="7" t="s">
        <v>587</v>
      </c>
      <c r="D1946" s="20" t="s">
        <v>3192</v>
      </c>
      <c r="E1946" s="6" t="s">
        <v>3193</v>
      </c>
      <c r="F1946" s="3">
        <v>2</v>
      </c>
      <c r="L1946" s="3" t="s">
        <v>2958</v>
      </c>
      <c r="N1946" s="48"/>
    </row>
    <row r="1947" spans="1:14" ht="15.75" x14ac:dyDescent="0.45">
      <c r="A1947" s="3" t="s">
        <v>2302</v>
      </c>
      <c r="B1947" s="18">
        <v>40148</v>
      </c>
      <c r="C1947" s="7" t="s">
        <v>587</v>
      </c>
      <c r="D1947" s="20" t="s">
        <v>3194</v>
      </c>
      <c r="E1947" s="6" t="s">
        <v>3195</v>
      </c>
      <c r="F1947" s="3">
        <v>2</v>
      </c>
      <c r="L1947" s="3" t="s">
        <v>2958</v>
      </c>
      <c r="N1947" s="48"/>
    </row>
    <row r="1948" spans="1:14" ht="15.75" x14ac:dyDescent="0.45">
      <c r="A1948" s="3" t="s">
        <v>2302</v>
      </c>
      <c r="B1948" s="18">
        <v>40039</v>
      </c>
      <c r="C1948" s="7" t="s">
        <v>587</v>
      </c>
      <c r="D1948" s="20" t="s">
        <v>3196</v>
      </c>
      <c r="E1948" s="6" t="s">
        <v>3197</v>
      </c>
      <c r="F1948" s="3">
        <v>2</v>
      </c>
      <c r="L1948" s="3" t="s">
        <v>2958</v>
      </c>
      <c r="N1948" s="48"/>
    </row>
    <row r="1949" spans="1:14" ht="15.75" x14ac:dyDescent="0.45">
      <c r="A1949" s="3" t="s">
        <v>2302</v>
      </c>
      <c r="B1949" s="18">
        <v>39916</v>
      </c>
      <c r="C1949" s="7" t="s">
        <v>587</v>
      </c>
      <c r="D1949" s="20" t="s">
        <v>3198</v>
      </c>
      <c r="E1949" s="6" t="s">
        <v>3199</v>
      </c>
      <c r="F1949" s="3">
        <f>SUM(2,32)</f>
        <v>34</v>
      </c>
      <c r="L1949" s="3" t="s">
        <v>2945</v>
      </c>
      <c r="N1949" s="48"/>
    </row>
    <row r="1950" spans="1:14" ht="15.75" x14ac:dyDescent="0.45">
      <c r="A1950" s="3" t="s">
        <v>2302</v>
      </c>
      <c r="B1950" s="18">
        <v>39869</v>
      </c>
      <c r="C1950" s="7" t="s">
        <v>587</v>
      </c>
      <c r="D1950" s="20" t="s">
        <v>3200</v>
      </c>
      <c r="E1950" s="6" t="s">
        <v>3201</v>
      </c>
      <c r="F1950" s="3">
        <f>SUM(2,1)</f>
        <v>3</v>
      </c>
      <c r="L1950" s="3" t="s">
        <v>2945</v>
      </c>
      <c r="N1950" s="48"/>
    </row>
    <row r="1951" spans="1:14" ht="15.75" x14ac:dyDescent="0.45">
      <c r="A1951" s="3" t="s">
        <v>2302</v>
      </c>
      <c r="B1951" s="18">
        <v>39699</v>
      </c>
      <c r="C1951" s="7" t="s">
        <v>587</v>
      </c>
      <c r="D1951" s="20" t="s">
        <v>3202</v>
      </c>
      <c r="E1951" s="6" t="s">
        <v>3203</v>
      </c>
      <c r="F1951" s="3">
        <f>SUM(2,43)</f>
        <v>45</v>
      </c>
      <c r="L1951" s="3" t="s">
        <v>2945</v>
      </c>
      <c r="N1951" s="48"/>
    </row>
    <row r="1952" spans="1:14" ht="15.75" x14ac:dyDescent="0.45">
      <c r="A1952" s="3" t="s">
        <v>2302</v>
      </c>
      <c r="B1952" s="18">
        <v>39681</v>
      </c>
      <c r="C1952" s="7" t="s">
        <v>587</v>
      </c>
      <c r="D1952" s="20" t="s">
        <v>3204</v>
      </c>
      <c r="E1952" s="6" t="s">
        <v>3205</v>
      </c>
      <c r="F1952" s="3">
        <v>2</v>
      </c>
      <c r="L1952" s="3" t="s">
        <v>2958</v>
      </c>
      <c r="N1952" s="48"/>
    </row>
    <row r="1953" spans="1:14" ht="15.75" x14ac:dyDescent="0.45">
      <c r="A1953" s="3" t="s">
        <v>2302</v>
      </c>
      <c r="B1953" s="18">
        <v>39570</v>
      </c>
      <c r="C1953" s="7" t="s">
        <v>587</v>
      </c>
      <c r="D1953" s="20" t="s">
        <v>3206</v>
      </c>
      <c r="E1953" s="6" t="s">
        <v>3207</v>
      </c>
      <c r="F1953" s="3">
        <f>SUM(2,2)</f>
        <v>4</v>
      </c>
      <c r="L1953" s="3" t="s">
        <v>3208</v>
      </c>
      <c r="N1953" s="48"/>
    </row>
    <row r="1954" spans="1:14" ht="15.75" x14ac:dyDescent="0.45">
      <c r="A1954" s="3" t="s">
        <v>2302</v>
      </c>
      <c r="B1954" s="18">
        <v>39563</v>
      </c>
      <c r="C1954" s="7" t="s">
        <v>587</v>
      </c>
      <c r="D1954" s="20" t="s">
        <v>3209</v>
      </c>
      <c r="E1954" s="6" t="s">
        <v>3210</v>
      </c>
      <c r="F1954" s="3">
        <f>SUM(3,53)</f>
        <v>56</v>
      </c>
      <c r="L1954" s="3" t="s">
        <v>2945</v>
      </c>
      <c r="N1954" s="48"/>
    </row>
    <row r="1955" spans="1:14" ht="15.75" x14ac:dyDescent="0.45">
      <c r="A1955" s="3" t="s">
        <v>2302</v>
      </c>
      <c r="B1955" s="18">
        <v>39514</v>
      </c>
      <c r="C1955" s="7" t="s">
        <v>587</v>
      </c>
      <c r="D1955" s="20" t="s">
        <v>3211</v>
      </c>
      <c r="E1955" s="6" t="s">
        <v>3212</v>
      </c>
      <c r="F1955" s="3">
        <f>SUM(2,3)</f>
        <v>5</v>
      </c>
      <c r="L1955" s="3" t="s">
        <v>2945</v>
      </c>
      <c r="N1955" s="48"/>
    </row>
    <row r="1956" spans="1:14" ht="15.75" x14ac:dyDescent="0.45">
      <c r="A1956" s="3" t="s">
        <v>2302</v>
      </c>
      <c r="B1956" s="18">
        <v>39504</v>
      </c>
      <c r="C1956" s="7" t="s">
        <v>587</v>
      </c>
      <c r="D1956" s="20" t="s">
        <v>3213</v>
      </c>
      <c r="E1956" s="6" t="s">
        <v>3214</v>
      </c>
      <c r="F1956" s="3">
        <f>SUM(2,3)</f>
        <v>5</v>
      </c>
      <c r="L1956" s="3" t="s">
        <v>2945</v>
      </c>
      <c r="N1956" s="48"/>
    </row>
    <row r="1957" spans="1:14" ht="15.75" x14ac:dyDescent="0.45">
      <c r="A1957" s="3" t="s">
        <v>2302</v>
      </c>
      <c r="B1957" s="18">
        <v>39381</v>
      </c>
      <c r="C1957" s="7" t="s">
        <v>587</v>
      </c>
      <c r="D1957" s="20" t="s">
        <v>3215</v>
      </c>
      <c r="E1957" s="6" t="s">
        <v>3216</v>
      </c>
      <c r="F1957" s="3">
        <f>SUM(2,126)</f>
        <v>128</v>
      </c>
      <c r="L1957" s="3" t="s">
        <v>2945</v>
      </c>
      <c r="N1957" s="48"/>
    </row>
    <row r="1958" spans="1:14" ht="15.75" x14ac:dyDescent="0.45">
      <c r="A1958" s="3" t="s">
        <v>2302</v>
      </c>
      <c r="B1958" s="18">
        <v>39367</v>
      </c>
      <c r="C1958" s="7" t="s">
        <v>587</v>
      </c>
      <c r="D1958" s="20" t="s">
        <v>3217</v>
      </c>
      <c r="E1958" s="6" t="s">
        <v>3218</v>
      </c>
      <c r="F1958" s="3">
        <f>SUM(2,5)</f>
        <v>7</v>
      </c>
      <c r="L1958" s="3" t="s">
        <v>2945</v>
      </c>
      <c r="N1958" s="48"/>
    </row>
    <row r="1959" spans="1:14" ht="15.75" x14ac:dyDescent="0.45">
      <c r="A1959" s="3" t="s">
        <v>2302</v>
      </c>
      <c r="B1959" s="18">
        <v>39360</v>
      </c>
      <c r="C1959" s="7" t="s">
        <v>587</v>
      </c>
      <c r="D1959" s="20" t="s">
        <v>3219</v>
      </c>
      <c r="E1959" s="6" t="s">
        <v>3220</v>
      </c>
      <c r="F1959" s="3">
        <f>SUM(2,60)</f>
        <v>62</v>
      </c>
      <c r="L1959" s="3" t="s">
        <v>2945</v>
      </c>
      <c r="N1959" s="48"/>
    </row>
    <row r="1960" spans="1:14" ht="15.75" x14ac:dyDescent="0.45">
      <c r="A1960" s="3" t="s">
        <v>2302</v>
      </c>
      <c r="B1960" s="18">
        <v>38995</v>
      </c>
      <c r="C1960" s="7" t="s">
        <v>587</v>
      </c>
      <c r="D1960" s="20" t="s">
        <v>3221</v>
      </c>
      <c r="E1960" s="6" t="s">
        <v>3222</v>
      </c>
      <c r="F1960" s="3">
        <v>2</v>
      </c>
      <c r="L1960" s="3" t="s">
        <v>3223</v>
      </c>
      <c r="N1960" s="48"/>
    </row>
    <row r="1961" spans="1:14" ht="15.75" x14ac:dyDescent="0.45">
      <c r="A1961" s="3" t="s">
        <v>2302</v>
      </c>
      <c r="B1961" s="18">
        <v>38981</v>
      </c>
      <c r="C1961" s="7" t="s">
        <v>587</v>
      </c>
      <c r="D1961" s="20" t="s">
        <v>3224</v>
      </c>
      <c r="E1961" s="6" t="s">
        <v>3225</v>
      </c>
      <c r="F1961" s="3">
        <v>2</v>
      </c>
      <c r="L1961" s="3" t="s">
        <v>2958</v>
      </c>
      <c r="N1961" s="48"/>
    </row>
    <row r="1962" spans="1:14" ht="15.75" x14ac:dyDescent="0.45">
      <c r="A1962" s="3" t="s">
        <v>2302</v>
      </c>
      <c r="B1962" s="18">
        <v>38915</v>
      </c>
      <c r="C1962" s="7" t="s">
        <v>587</v>
      </c>
      <c r="D1962" s="20" t="s">
        <v>3226</v>
      </c>
      <c r="E1962" s="6" t="s">
        <v>3227</v>
      </c>
      <c r="F1962" s="3">
        <f>SUM(2,103)</f>
        <v>105</v>
      </c>
      <c r="L1962" s="3" t="s">
        <v>2945</v>
      </c>
      <c r="N1962" s="48"/>
    </row>
    <row r="1963" spans="1:14" ht="15.75" x14ac:dyDescent="0.45">
      <c r="A1963" s="3" t="s">
        <v>2302</v>
      </c>
      <c r="B1963" s="3" t="s">
        <v>966</v>
      </c>
      <c r="C1963" s="7" t="s">
        <v>587</v>
      </c>
      <c r="D1963" s="20" t="s">
        <v>3228</v>
      </c>
      <c r="E1963" s="6" t="s">
        <v>3229</v>
      </c>
      <c r="F1963" s="3">
        <v>2</v>
      </c>
      <c r="L1963" s="3" t="s">
        <v>2958</v>
      </c>
      <c r="N1963" s="48"/>
    </row>
    <row r="1964" spans="1:14" ht="15.75" x14ac:dyDescent="0.45">
      <c r="A1964" s="3" t="s">
        <v>2302</v>
      </c>
      <c r="B1964" s="18">
        <v>38875</v>
      </c>
      <c r="C1964" s="7" t="s">
        <v>587</v>
      </c>
      <c r="D1964" s="20" t="s">
        <v>3230</v>
      </c>
      <c r="E1964" s="6" t="s">
        <v>3231</v>
      </c>
      <c r="F1964" s="3">
        <f>SUM(2,2)</f>
        <v>4</v>
      </c>
      <c r="L1964" s="3" t="s">
        <v>2945</v>
      </c>
      <c r="N1964" s="48"/>
    </row>
    <row r="1965" spans="1:14" ht="15.75" x14ac:dyDescent="0.45">
      <c r="A1965" s="3" t="s">
        <v>2302</v>
      </c>
      <c r="B1965" s="18">
        <v>38805</v>
      </c>
      <c r="C1965" s="7" t="s">
        <v>587</v>
      </c>
      <c r="D1965" s="20" t="s">
        <v>3232</v>
      </c>
      <c r="E1965" s="6" t="s">
        <v>3233</v>
      </c>
      <c r="F1965" s="3">
        <f>SUM(2,2)</f>
        <v>4</v>
      </c>
      <c r="L1965" s="3" t="s">
        <v>2945</v>
      </c>
      <c r="N1965" s="48"/>
    </row>
    <row r="1966" spans="1:14" ht="15.75" x14ac:dyDescent="0.45">
      <c r="A1966" s="3" t="s">
        <v>2302</v>
      </c>
      <c r="B1966" s="18">
        <v>38736</v>
      </c>
      <c r="C1966" s="7" t="s">
        <v>587</v>
      </c>
      <c r="D1966" s="20" t="s">
        <v>3234</v>
      </c>
      <c r="E1966" s="6" t="s">
        <v>3235</v>
      </c>
      <c r="F1966" s="3">
        <f>SUM(2,2)</f>
        <v>4</v>
      </c>
      <c r="L1966" s="3" t="s">
        <v>2945</v>
      </c>
      <c r="N1966" s="48"/>
    </row>
    <row r="1967" spans="1:14" ht="15.75" x14ac:dyDescent="0.45">
      <c r="A1967" s="3" t="s">
        <v>2302</v>
      </c>
      <c r="B1967" s="18">
        <v>38721</v>
      </c>
      <c r="C1967" s="7" t="s">
        <v>587</v>
      </c>
      <c r="D1967" s="20" t="s">
        <v>3236</v>
      </c>
      <c r="E1967" s="6" t="s">
        <v>3237</v>
      </c>
      <c r="F1967" s="3">
        <v>2</v>
      </c>
      <c r="L1967" s="3" t="s">
        <v>2958</v>
      </c>
      <c r="N1967" s="48"/>
    </row>
    <row r="1968" spans="1:14" ht="15.75" x14ac:dyDescent="0.45">
      <c r="A1968" s="3" t="s">
        <v>2302</v>
      </c>
      <c r="B1968" s="18">
        <v>38685</v>
      </c>
      <c r="C1968" s="7" t="s">
        <v>587</v>
      </c>
      <c r="D1968" s="20" t="s">
        <v>3238</v>
      </c>
      <c r="E1968" s="6" t="s">
        <v>3239</v>
      </c>
      <c r="F1968" s="3">
        <f>SUM(2,3)</f>
        <v>5</v>
      </c>
      <c r="L1968" s="3" t="s">
        <v>2945</v>
      </c>
      <c r="N1968" s="48"/>
    </row>
    <row r="1969" spans="1:14" ht="15.75" x14ac:dyDescent="0.45">
      <c r="A1969" s="3" t="s">
        <v>2302</v>
      </c>
      <c r="B1969" s="18">
        <v>38604</v>
      </c>
      <c r="C1969" s="7" t="s">
        <v>587</v>
      </c>
      <c r="D1969" s="20" t="s">
        <v>3240</v>
      </c>
      <c r="E1969" s="6" t="s">
        <v>3241</v>
      </c>
      <c r="F1969" s="3">
        <f>SUM(3,2)</f>
        <v>5</v>
      </c>
      <c r="L1969" s="3" t="s">
        <v>3208</v>
      </c>
      <c r="N1969" s="48"/>
    </row>
    <row r="1970" spans="1:14" ht="15.75" x14ac:dyDescent="0.45">
      <c r="A1970" s="3" t="s">
        <v>2302</v>
      </c>
      <c r="B1970" s="18">
        <v>38601</v>
      </c>
      <c r="C1970" s="7" t="s">
        <v>587</v>
      </c>
      <c r="D1970" s="20" t="s">
        <v>3242</v>
      </c>
      <c r="E1970" s="6" t="s">
        <v>3243</v>
      </c>
      <c r="F1970" s="3">
        <v>2</v>
      </c>
      <c r="L1970" s="3" t="s">
        <v>2958</v>
      </c>
      <c r="N1970" s="48"/>
    </row>
    <row r="1971" spans="1:14" ht="15.75" x14ac:dyDescent="0.45">
      <c r="A1971" s="3" t="s">
        <v>2302</v>
      </c>
      <c r="B1971" s="18">
        <v>38546</v>
      </c>
      <c r="C1971" s="7" t="s">
        <v>587</v>
      </c>
      <c r="D1971" s="20" t="s">
        <v>3244</v>
      </c>
      <c r="E1971" s="6" t="s">
        <v>3245</v>
      </c>
      <c r="F1971" s="3">
        <v>2</v>
      </c>
      <c r="L1971" s="3" t="s">
        <v>2958</v>
      </c>
      <c r="N1971" s="48"/>
    </row>
    <row r="1972" spans="1:14" ht="15.75" x14ac:dyDescent="0.45">
      <c r="A1972" s="3" t="s">
        <v>2302</v>
      </c>
      <c r="B1972" s="18">
        <v>38538</v>
      </c>
      <c r="C1972" s="7" t="s">
        <v>587</v>
      </c>
      <c r="D1972" s="20" t="s">
        <v>3246</v>
      </c>
      <c r="E1972" s="6" t="s">
        <v>3247</v>
      </c>
      <c r="F1972" s="3">
        <f>SUM(2,5)</f>
        <v>7</v>
      </c>
      <c r="L1972" s="3" t="s">
        <v>2945</v>
      </c>
      <c r="N1972" s="48"/>
    </row>
    <row r="1973" spans="1:14" ht="15.75" x14ac:dyDescent="0.45">
      <c r="A1973" s="3" t="s">
        <v>2302</v>
      </c>
      <c r="B1973" s="18">
        <v>38518</v>
      </c>
      <c r="C1973" s="7" t="s">
        <v>587</v>
      </c>
      <c r="D1973" s="20" t="s">
        <v>3248</v>
      </c>
      <c r="E1973" s="6" t="s">
        <v>3249</v>
      </c>
      <c r="F1973" s="3">
        <v>2</v>
      </c>
      <c r="L1973" s="3" t="s">
        <v>2958</v>
      </c>
      <c r="N1973" s="48"/>
    </row>
    <row r="1974" spans="1:14" ht="15.75" x14ac:dyDescent="0.45">
      <c r="A1974" s="3" t="s">
        <v>2302</v>
      </c>
      <c r="B1974" s="18">
        <v>38257</v>
      </c>
      <c r="C1974" s="7" t="s">
        <v>587</v>
      </c>
      <c r="D1974" s="20" t="s">
        <v>3250</v>
      </c>
      <c r="E1974" s="6" t="s">
        <v>3251</v>
      </c>
      <c r="F1974" s="3">
        <v>2</v>
      </c>
      <c r="L1974" s="3" t="s">
        <v>2958</v>
      </c>
      <c r="N1974" s="48"/>
    </row>
    <row r="1975" spans="1:14" ht="15.75" x14ac:dyDescent="0.45">
      <c r="A1975" s="3" t="s">
        <v>2302</v>
      </c>
      <c r="B1975" s="18">
        <v>38096</v>
      </c>
      <c r="C1975" s="7" t="s">
        <v>587</v>
      </c>
      <c r="D1975" s="20" t="s">
        <v>3252</v>
      </c>
      <c r="E1975" s="6" t="s">
        <v>3253</v>
      </c>
      <c r="F1975" s="3">
        <v>2</v>
      </c>
      <c r="L1975" s="3" t="s">
        <v>2958</v>
      </c>
      <c r="N1975" s="48"/>
    </row>
    <row r="1976" spans="1:14" ht="15.75" x14ac:dyDescent="0.45">
      <c r="A1976" s="3" t="s">
        <v>2302</v>
      </c>
      <c r="B1976" s="18">
        <v>38065</v>
      </c>
      <c r="C1976" s="7" t="s">
        <v>587</v>
      </c>
      <c r="D1976" s="20" t="s">
        <v>3254</v>
      </c>
      <c r="E1976" s="6" t="s">
        <v>3255</v>
      </c>
      <c r="F1976" s="3">
        <f>SUM(2,2)</f>
        <v>4</v>
      </c>
      <c r="L1976" s="3" t="s">
        <v>2945</v>
      </c>
      <c r="N1976" s="48"/>
    </row>
    <row r="1977" spans="1:14" ht="15.75" x14ac:dyDescent="0.45">
      <c r="A1977" s="3" t="s">
        <v>2302</v>
      </c>
      <c r="B1977" s="18">
        <v>38007</v>
      </c>
      <c r="C1977" s="7" t="s">
        <v>587</v>
      </c>
      <c r="D1977" s="20" t="s">
        <v>3256</v>
      </c>
      <c r="E1977" s="6" t="s">
        <v>3257</v>
      </c>
      <c r="F1977" s="3">
        <v>3</v>
      </c>
      <c r="L1977" s="3" t="s">
        <v>2958</v>
      </c>
      <c r="N1977" s="48"/>
    </row>
    <row r="1978" spans="1:14" ht="15.75" x14ac:dyDescent="0.45">
      <c r="A1978" s="3" t="s">
        <v>2302</v>
      </c>
      <c r="B1978" s="18">
        <v>38002</v>
      </c>
      <c r="C1978" s="7" t="s">
        <v>587</v>
      </c>
      <c r="D1978" s="20" t="s">
        <v>3258</v>
      </c>
      <c r="E1978" s="6" t="s">
        <v>3259</v>
      </c>
      <c r="F1978" s="3">
        <v>2</v>
      </c>
      <c r="L1978" s="3" t="s">
        <v>2958</v>
      </c>
      <c r="N1978" s="48"/>
    </row>
    <row r="1979" spans="1:14" ht="15.75" x14ac:dyDescent="0.45">
      <c r="A1979" s="3" t="s">
        <v>2302</v>
      </c>
      <c r="B1979" s="18">
        <v>37971</v>
      </c>
      <c r="C1979" s="7" t="s">
        <v>587</v>
      </c>
      <c r="D1979" s="20" t="s">
        <v>3260</v>
      </c>
      <c r="E1979" s="6" t="s">
        <v>3261</v>
      </c>
      <c r="F1979" s="3">
        <v>2</v>
      </c>
      <c r="L1979" s="3" t="s">
        <v>2958</v>
      </c>
      <c r="N1979" s="48"/>
    </row>
    <row r="1980" spans="1:14" ht="15.75" x14ac:dyDescent="0.45">
      <c r="A1980" s="3" t="s">
        <v>2302</v>
      </c>
      <c r="B1980" s="18">
        <v>37960</v>
      </c>
      <c r="C1980" s="7" t="s">
        <v>587</v>
      </c>
      <c r="D1980" s="20" t="s">
        <v>3262</v>
      </c>
      <c r="E1980" s="6" t="s">
        <v>3263</v>
      </c>
      <c r="F1980" s="3">
        <f>SUM(2,17)</f>
        <v>19</v>
      </c>
      <c r="L1980" s="3" t="s">
        <v>2961</v>
      </c>
      <c r="N1980" s="48"/>
    </row>
    <row r="1981" spans="1:14" ht="15.75" x14ac:dyDescent="0.45">
      <c r="A1981" s="3" t="s">
        <v>2302</v>
      </c>
      <c r="B1981" s="18">
        <v>37925</v>
      </c>
      <c r="C1981" s="7" t="s">
        <v>587</v>
      </c>
      <c r="D1981" s="20" t="s">
        <v>3264</v>
      </c>
      <c r="E1981" s="6" t="s">
        <v>3265</v>
      </c>
      <c r="F1981" s="3">
        <v>2</v>
      </c>
      <c r="L1981" s="3" t="s">
        <v>2958</v>
      </c>
      <c r="N1981" s="48"/>
    </row>
    <row r="1982" spans="1:14" ht="15.75" x14ac:dyDescent="0.45">
      <c r="A1982" s="3" t="s">
        <v>2302</v>
      </c>
      <c r="B1982" s="18">
        <v>37788</v>
      </c>
      <c r="C1982" s="7" t="s">
        <v>587</v>
      </c>
      <c r="D1982" s="20" t="s">
        <v>3266</v>
      </c>
      <c r="E1982" s="6" t="s">
        <v>3267</v>
      </c>
      <c r="F1982" s="3">
        <f>SUM(5,18)</f>
        <v>23</v>
      </c>
      <c r="L1982" s="3" t="s">
        <v>2945</v>
      </c>
      <c r="N1982" s="48"/>
    </row>
    <row r="1983" spans="1:14" ht="15.75" x14ac:dyDescent="0.45">
      <c r="A1983" s="3" t="s">
        <v>2302</v>
      </c>
      <c r="B1983" s="18">
        <v>37764</v>
      </c>
      <c r="C1983" s="7" t="s">
        <v>587</v>
      </c>
      <c r="D1983" s="20" t="s">
        <v>3268</v>
      </c>
      <c r="E1983" s="6" t="s">
        <v>3269</v>
      </c>
      <c r="F1983" s="3">
        <f>SUM(3,74)</f>
        <v>77</v>
      </c>
      <c r="L1983" s="3" t="s">
        <v>2945</v>
      </c>
      <c r="N1983" s="48"/>
    </row>
    <row r="1984" spans="1:14" ht="15.75" x14ac:dyDescent="0.45">
      <c r="A1984" s="3" t="s">
        <v>2302</v>
      </c>
      <c r="B1984" s="18">
        <v>37727</v>
      </c>
      <c r="C1984" s="7" t="s">
        <v>587</v>
      </c>
      <c r="D1984" s="20" t="s">
        <v>3270</v>
      </c>
      <c r="E1984" s="6" t="s">
        <v>3271</v>
      </c>
      <c r="F1984" s="3">
        <v>3</v>
      </c>
      <c r="L1984" s="3" t="s">
        <v>2958</v>
      </c>
      <c r="N1984" s="48"/>
    </row>
    <row r="1985" spans="1:14" ht="15.75" x14ac:dyDescent="0.45">
      <c r="A1985" s="3" t="s">
        <v>2302</v>
      </c>
      <c r="B1985" s="18">
        <v>37469</v>
      </c>
      <c r="C1985" s="7" t="s">
        <v>587</v>
      </c>
      <c r="D1985" s="20" t="s">
        <v>3272</v>
      </c>
      <c r="E1985" s="6" t="s">
        <v>3273</v>
      </c>
      <c r="F1985" s="3">
        <f>SUM(2,15)</f>
        <v>17</v>
      </c>
      <c r="L1985" s="3" t="s">
        <v>2945</v>
      </c>
      <c r="N1985" s="48"/>
    </row>
    <row r="1986" spans="1:14" ht="15.75" x14ac:dyDescent="0.45">
      <c r="A1986" s="3" t="s">
        <v>2302</v>
      </c>
      <c r="B1986" s="18">
        <v>37246</v>
      </c>
      <c r="C1986" s="7" t="s">
        <v>587</v>
      </c>
      <c r="D1986" s="20" t="s">
        <v>3274</v>
      </c>
      <c r="E1986" s="6" t="s">
        <v>3275</v>
      </c>
      <c r="F1986" s="3">
        <v>2</v>
      </c>
      <c r="L1986" s="3" t="s">
        <v>3223</v>
      </c>
      <c r="N1986" s="48"/>
    </row>
    <row r="1987" spans="1:14" ht="15.75" x14ac:dyDescent="0.45">
      <c r="A1987" s="3" t="s">
        <v>2302</v>
      </c>
      <c r="B1987" s="18">
        <v>36831</v>
      </c>
      <c r="C1987" s="7" t="s">
        <v>587</v>
      </c>
      <c r="D1987" s="20" t="s">
        <v>3276</v>
      </c>
      <c r="E1987" s="6" t="s">
        <v>3277</v>
      </c>
      <c r="F1987" s="3">
        <v>2</v>
      </c>
      <c r="L1987" s="3" t="s">
        <v>2958</v>
      </c>
      <c r="N1987" s="48"/>
    </row>
    <row r="1988" spans="1:14" ht="15.75" x14ac:dyDescent="0.45">
      <c r="A1988" s="3" t="s">
        <v>2302</v>
      </c>
      <c r="B1988" s="18">
        <v>36805</v>
      </c>
      <c r="C1988" s="7" t="s">
        <v>587</v>
      </c>
      <c r="D1988" s="20" t="s">
        <v>3278</v>
      </c>
      <c r="E1988" s="6" t="s">
        <v>3279</v>
      </c>
      <c r="F1988" s="3">
        <v>2</v>
      </c>
      <c r="L1988" s="3" t="s">
        <v>2958</v>
      </c>
      <c r="N1988" s="48"/>
    </row>
    <row r="1989" spans="1:14" ht="15.75" x14ac:dyDescent="0.45">
      <c r="A1989" s="3" t="s">
        <v>2302</v>
      </c>
      <c r="B1989" s="18">
        <v>36731</v>
      </c>
      <c r="C1989" s="7" t="s">
        <v>587</v>
      </c>
      <c r="D1989" s="20" t="s">
        <v>3280</v>
      </c>
      <c r="E1989" s="6" t="s">
        <v>3281</v>
      </c>
      <c r="F1989" s="3">
        <v>2</v>
      </c>
      <c r="L1989" s="3" t="s">
        <v>2958</v>
      </c>
      <c r="N1989" s="48"/>
    </row>
    <row r="1990" spans="1:14" ht="15.75" x14ac:dyDescent="0.45">
      <c r="A1990" s="3" t="s">
        <v>2302</v>
      </c>
      <c r="B1990" s="18">
        <v>36731</v>
      </c>
      <c r="C1990" s="7" t="s">
        <v>587</v>
      </c>
      <c r="D1990" s="20" t="s">
        <v>3282</v>
      </c>
      <c r="E1990" s="6" t="s">
        <v>3283</v>
      </c>
      <c r="F1990" s="3">
        <v>2</v>
      </c>
      <c r="L1990" s="3" t="s">
        <v>2958</v>
      </c>
      <c r="N1990" s="48"/>
    </row>
    <row r="1991" spans="1:14" ht="15.75" x14ac:dyDescent="0.45">
      <c r="A1991" s="3" t="s">
        <v>2302</v>
      </c>
      <c r="B1991" s="18">
        <v>36731</v>
      </c>
      <c r="C1991" s="7" t="s">
        <v>587</v>
      </c>
      <c r="D1991" s="20" t="s">
        <v>3284</v>
      </c>
      <c r="E1991" s="6" t="s">
        <v>3285</v>
      </c>
      <c r="F1991" s="3">
        <f>SUM(2,2,1,1)</f>
        <v>6</v>
      </c>
      <c r="L1991" s="3" t="s">
        <v>3286</v>
      </c>
      <c r="N1991" s="48"/>
    </row>
    <row r="1992" spans="1:14" ht="15.75" x14ac:dyDescent="0.45">
      <c r="A1992" s="3" t="s">
        <v>2302</v>
      </c>
      <c r="B1992" s="18">
        <v>36668</v>
      </c>
      <c r="C1992" s="7" t="s">
        <v>587</v>
      </c>
      <c r="D1992" s="20" t="s">
        <v>3287</v>
      </c>
      <c r="E1992" s="6" t="s">
        <v>3288</v>
      </c>
      <c r="F1992" s="3">
        <v>2</v>
      </c>
      <c r="L1992" s="3" t="s">
        <v>2958</v>
      </c>
      <c r="N1992" s="48"/>
    </row>
    <row r="1993" spans="1:14" ht="15.75" x14ac:dyDescent="0.45">
      <c r="A1993" s="3" t="s">
        <v>2302</v>
      </c>
      <c r="B1993" s="18">
        <v>36581</v>
      </c>
      <c r="C1993" s="7" t="s">
        <v>587</v>
      </c>
      <c r="D1993" s="20" t="s">
        <v>3289</v>
      </c>
      <c r="E1993" s="6" t="s">
        <v>3290</v>
      </c>
      <c r="F1993" s="3">
        <f>SUM(2,2,2,2,2,2,2,1)</f>
        <v>15</v>
      </c>
      <c r="L1993" s="3" t="s">
        <v>3291</v>
      </c>
      <c r="N1993" s="48"/>
    </row>
    <row r="1994" spans="1:14" ht="15.75" x14ac:dyDescent="0.45">
      <c r="A1994" s="3" t="s">
        <v>2302</v>
      </c>
      <c r="B1994" s="18">
        <v>36495</v>
      </c>
      <c r="C1994" s="7" t="s">
        <v>587</v>
      </c>
      <c r="D1994" s="20" t="s">
        <v>3292</v>
      </c>
      <c r="E1994" s="6" t="s">
        <v>3293</v>
      </c>
      <c r="F1994" s="3">
        <v>3</v>
      </c>
      <c r="L1994" s="3" t="s">
        <v>2958</v>
      </c>
      <c r="N1994" s="48"/>
    </row>
    <row r="1995" spans="1:14" ht="15.75" x14ac:dyDescent="0.45">
      <c r="A1995" s="3" t="s">
        <v>2302</v>
      </c>
      <c r="B1995" s="18">
        <v>36416</v>
      </c>
      <c r="C1995" s="7" t="s">
        <v>587</v>
      </c>
      <c r="D1995" s="20" t="s">
        <v>3294</v>
      </c>
      <c r="E1995" s="6" t="s">
        <v>3295</v>
      </c>
      <c r="F1995" s="3">
        <v>14</v>
      </c>
      <c r="L1995" s="3" t="s">
        <v>2958</v>
      </c>
      <c r="N1995" s="48"/>
    </row>
    <row r="1996" spans="1:14" ht="15.75" x14ac:dyDescent="0.45">
      <c r="A1996" s="3" t="s">
        <v>2302</v>
      </c>
      <c r="B1996" s="18">
        <v>36216</v>
      </c>
      <c r="C1996" s="7" t="s">
        <v>587</v>
      </c>
      <c r="D1996" s="20" t="s">
        <v>3296</v>
      </c>
      <c r="E1996" s="6" t="s">
        <v>3297</v>
      </c>
      <c r="F1996" s="3">
        <v>2</v>
      </c>
      <c r="L1996" s="3" t="s">
        <v>2958</v>
      </c>
      <c r="N1996" s="48"/>
    </row>
    <row r="1997" spans="1:14" ht="15.75" x14ac:dyDescent="0.45">
      <c r="A1997" s="3" t="s">
        <v>2302</v>
      </c>
      <c r="B1997" s="18">
        <v>36014</v>
      </c>
      <c r="C1997" s="7" t="s">
        <v>587</v>
      </c>
      <c r="D1997" s="20" t="s">
        <v>3298</v>
      </c>
      <c r="E1997" s="6" t="s">
        <v>3299</v>
      </c>
      <c r="F1997" s="3">
        <v>2</v>
      </c>
      <c r="L1997" s="3" t="s">
        <v>2958</v>
      </c>
      <c r="N1997" s="48"/>
    </row>
    <row r="1998" spans="1:14" ht="15.75" x14ac:dyDescent="0.45">
      <c r="A1998" s="3" t="s">
        <v>2302</v>
      </c>
      <c r="B1998" s="18">
        <v>35705</v>
      </c>
      <c r="C1998" s="7" t="s">
        <v>587</v>
      </c>
      <c r="D1998" s="20" t="s">
        <v>3300</v>
      </c>
      <c r="E1998" s="6" t="s">
        <v>3301</v>
      </c>
      <c r="F1998" s="3">
        <v>4</v>
      </c>
      <c r="L1998" s="3" t="s">
        <v>2958</v>
      </c>
      <c r="N1998" s="48"/>
    </row>
    <row r="1999" spans="1:14" ht="15.75" x14ac:dyDescent="0.45">
      <c r="A1999" s="3" t="s">
        <v>2302</v>
      </c>
      <c r="B1999" s="18">
        <v>35585</v>
      </c>
      <c r="C1999" s="7" t="s">
        <v>587</v>
      </c>
      <c r="D1999" s="20" t="s">
        <v>3302</v>
      </c>
      <c r="E1999" s="6" t="s">
        <v>3303</v>
      </c>
      <c r="F1999" s="3">
        <v>2</v>
      </c>
      <c r="L1999" s="3" t="s">
        <v>2958</v>
      </c>
      <c r="N1999" s="48"/>
    </row>
    <row r="2000" spans="1:14" ht="15.75" x14ac:dyDescent="0.45">
      <c r="A2000" s="3" t="s">
        <v>2302</v>
      </c>
      <c r="B2000" s="18">
        <v>35241</v>
      </c>
      <c r="C2000" s="7" t="s">
        <v>587</v>
      </c>
      <c r="D2000" s="20" t="s">
        <v>3304</v>
      </c>
      <c r="E2000" s="6" t="s">
        <v>3305</v>
      </c>
      <c r="F2000" s="3">
        <v>2</v>
      </c>
      <c r="L2000" s="3" t="s">
        <v>2958</v>
      </c>
      <c r="N2000" s="48"/>
    </row>
    <row r="2001" spans="1:14" ht="15.75" x14ac:dyDescent="0.45">
      <c r="A2001" s="3" t="s">
        <v>2302</v>
      </c>
      <c r="B2001" s="18">
        <v>35195</v>
      </c>
      <c r="C2001" s="7" t="s">
        <v>587</v>
      </c>
      <c r="D2001" s="20" t="s">
        <v>3306</v>
      </c>
      <c r="E2001" s="6" t="s">
        <v>3307</v>
      </c>
      <c r="F2001" s="3">
        <v>6</v>
      </c>
      <c r="L2001" s="3" t="s">
        <v>2958</v>
      </c>
      <c r="N2001" s="48"/>
    </row>
    <row r="2002" spans="1:14" ht="15.75" x14ac:dyDescent="0.45">
      <c r="A2002" s="3" t="s">
        <v>2302</v>
      </c>
      <c r="B2002" s="18">
        <v>34992</v>
      </c>
      <c r="C2002" s="7" t="s">
        <v>587</v>
      </c>
      <c r="D2002" s="20" t="s">
        <v>3308</v>
      </c>
      <c r="E2002" s="6" t="s">
        <v>3309</v>
      </c>
      <c r="F2002" s="3">
        <v>1</v>
      </c>
      <c r="L2002" s="3" t="s">
        <v>2958</v>
      </c>
      <c r="N2002" s="48"/>
    </row>
    <row r="2003" spans="1:14" ht="15.75" x14ac:dyDescent="0.45">
      <c r="A2003" s="3" t="s">
        <v>2302</v>
      </c>
      <c r="B2003" s="18">
        <v>34809</v>
      </c>
      <c r="C2003" s="7" t="s">
        <v>587</v>
      </c>
      <c r="D2003" s="20" t="s">
        <v>3310</v>
      </c>
      <c r="E2003" s="6" t="s">
        <v>3311</v>
      </c>
      <c r="F2003" s="3">
        <v>3</v>
      </c>
      <c r="L2003" s="3" t="s">
        <v>2958</v>
      </c>
      <c r="N2003" s="48"/>
    </row>
    <row r="2004" spans="1:14" ht="15.75" x14ac:dyDescent="0.45">
      <c r="A2004" s="3" t="s">
        <v>2302</v>
      </c>
      <c r="B2004" s="18">
        <v>34726</v>
      </c>
      <c r="C2004" s="7" t="s">
        <v>587</v>
      </c>
      <c r="D2004" s="20" t="s">
        <v>3312</v>
      </c>
      <c r="E2004" s="6" t="s">
        <v>3313</v>
      </c>
      <c r="F2004" s="3">
        <v>3</v>
      </c>
      <c r="L2004" s="3" t="s">
        <v>2958</v>
      </c>
      <c r="N2004" s="48"/>
    </row>
    <row r="2005" spans="1:14" ht="15.75" x14ac:dyDescent="0.45">
      <c r="A2005" s="3" t="s">
        <v>2302</v>
      </c>
      <c r="B2005" s="18">
        <v>34675</v>
      </c>
      <c r="C2005" s="7" t="s">
        <v>587</v>
      </c>
      <c r="D2005" s="20" t="s">
        <v>3314</v>
      </c>
      <c r="E2005" s="6" t="s">
        <v>3315</v>
      </c>
      <c r="F2005" s="3">
        <v>2</v>
      </c>
      <c r="L2005" s="3" t="s">
        <v>2958</v>
      </c>
      <c r="N2005" s="48"/>
    </row>
    <row r="2006" spans="1:14" ht="15.75" x14ac:dyDescent="0.45">
      <c r="A2006" s="3" t="s">
        <v>2302</v>
      </c>
      <c r="B2006" s="18">
        <v>34668</v>
      </c>
      <c r="C2006" s="7" t="s">
        <v>587</v>
      </c>
      <c r="D2006" s="20" t="s">
        <v>3316</v>
      </c>
      <c r="E2006" s="6" t="s">
        <v>3317</v>
      </c>
      <c r="F2006" s="3">
        <v>11</v>
      </c>
      <c r="L2006" s="3" t="s">
        <v>2958</v>
      </c>
      <c r="N2006" s="48"/>
    </row>
    <row r="2007" spans="1:14" ht="15.75" x14ac:dyDescent="0.45">
      <c r="A2007" s="3" t="s">
        <v>2302</v>
      </c>
      <c r="B2007" s="18">
        <v>34542</v>
      </c>
      <c r="C2007" s="7" t="s">
        <v>587</v>
      </c>
      <c r="D2007" s="20" t="s">
        <v>3318</v>
      </c>
      <c r="E2007" s="6" t="s">
        <v>3319</v>
      </c>
      <c r="F2007" s="3">
        <v>2</v>
      </c>
      <c r="L2007" s="3" t="s">
        <v>2958</v>
      </c>
      <c r="N2007" s="48"/>
    </row>
    <row r="2008" spans="1:14" ht="15.75" x14ac:dyDescent="0.45">
      <c r="A2008" s="3" t="s">
        <v>2302</v>
      </c>
      <c r="B2008" s="18">
        <v>34338</v>
      </c>
      <c r="C2008" s="7" t="s">
        <v>587</v>
      </c>
      <c r="D2008" s="20" t="s">
        <v>3320</v>
      </c>
      <c r="E2008" s="6" t="s">
        <v>3321</v>
      </c>
      <c r="F2008" s="3">
        <v>2</v>
      </c>
      <c r="L2008" s="3" t="s">
        <v>2958</v>
      </c>
      <c r="N2008" s="48"/>
    </row>
    <row r="2009" spans="1:14" ht="15.75" x14ac:dyDescent="0.45">
      <c r="A2009" s="3" t="s">
        <v>2302</v>
      </c>
      <c r="B2009" s="18">
        <v>34320</v>
      </c>
      <c r="C2009" s="7" t="s">
        <v>587</v>
      </c>
      <c r="D2009" s="20" t="s">
        <v>3322</v>
      </c>
      <c r="E2009" s="6" t="s">
        <v>3323</v>
      </c>
      <c r="F2009" s="3">
        <v>5</v>
      </c>
      <c r="L2009" s="3" t="s">
        <v>2958</v>
      </c>
      <c r="N2009" s="48"/>
    </row>
    <row r="2010" spans="1:14" ht="15.75" x14ac:dyDescent="0.45">
      <c r="A2010" s="3" t="s">
        <v>2302</v>
      </c>
      <c r="B2010" s="18">
        <v>34305</v>
      </c>
      <c r="C2010" s="7" t="s">
        <v>587</v>
      </c>
      <c r="D2010" s="20" t="s">
        <v>3324</v>
      </c>
      <c r="E2010" s="6" t="s">
        <v>3325</v>
      </c>
      <c r="F2010" s="3">
        <v>19</v>
      </c>
      <c r="L2010" s="3" t="s">
        <v>2958</v>
      </c>
      <c r="N2010" s="48"/>
    </row>
    <row r="2011" spans="1:14" ht="15.75" x14ac:dyDescent="0.45">
      <c r="A2011" s="3" t="s">
        <v>2302</v>
      </c>
      <c r="B2011" s="18">
        <v>34194</v>
      </c>
      <c r="C2011" s="7" t="s">
        <v>587</v>
      </c>
      <c r="D2011" s="20" t="s">
        <v>3326</v>
      </c>
      <c r="E2011" s="6" t="s">
        <v>3327</v>
      </c>
      <c r="F2011" s="3">
        <v>8</v>
      </c>
      <c r="L2011" s="3" t="s">
        <v>2958</v>
      </c>
      <c r="N2011" s="48"/>
    </row>
    <row r="2012" spans="1:14" ht="15.75" x14ac:dyDescent="0.45">
      <c r="A2012" s="3" t="s">
        <v>2302</v>
      </c>
      <c r="B2012" s="18">
        <v>34023</v>
      </c>
      <c r="C2012" s="7" t="s">
        <v>587</v>
      </c>
      <c r="D2012" s="20" t="s">
        <v>3328</v>
      </c>
      <c r="E2012" s="6" t="s">
        <v>3329</v>
      </c>
      <c r="F2012" s="3">
        <v>11</v>
      </c>
      <c r="L2012" s="3" t="s">
        <v>2958</v>
      </c>
      <c r="N2012" s="48"/>
    </row>
    <row r="2013" spans="1:14" ht="15.75" x14ac:dyDescent="0.45">
      <c r="A2013" s="3" t="s">
        <v>2302</v>
      </c>
      <c r="B2013" s="18">
        <v>33828</v>
      </c>
      <c r="C2013" s="7" t="s">
        <v>587</v>
      </c>
      <c r="D2013" s="20" t="s">
        <v>3330</v>
      </c>
      <c r="E2013" s="6" t="s">
        <v>3331</v>
      </c>
      <c r="F2013" s="3">
        <v>2</v>
      </c>
      <c r="L2013" s="3" t="s">
        <v>2958</v>
      </c>
      <c r="N2013" s="48"/>
    </row>
    <row r="2014" spans="1:14" ht="15.75" x14ac:dyDescent="0.45">
      <c r="A2014" s="3" t="s">
        <v>2302</v>
      </c>
      <c r="B2014" s="18">
        <v>33017</v>
      </c>
      <c r="C2014" s="7" t="s">
        <v>587</v>
      </c>
      <c r="D2014" s="20" t="s">
        <v>3332</v>
      </c>
      <c r="E2014" s="6" t="s">
        <v>3333</v>
      </c>
      <c r="F2014" s="3">
        <v>2</v>
      </c>
      <c r="L2014" s="3" t="s">
        <v>2958</v>
      </c>
      <c r="N2014" s="48"/>
    </row>
    <row r="2015" spans="1:14" ht="15.75" x14ac:dyDescent="0.45">
      <c r="A2015" s="3" t="s">
        <v>2302</v>
      </c>
      <c r="B2015" s="18">
        <v>45673</v>
      </c>
      <c r="C2015" s="7" t="s">
        <v>25</v>
      </c>
      <c r="D2015" s="20" t="s">
        <v>3334</v>
      </c>
      <c r="E2015" s="6" t="s">
        <v>3335</v>
      </c>
      <c r="F2015" s="3">
        <v>4</v>
      </c>
      <c r="L2015" s="3" t="s">
        <v>3336</v>
      </c>
      <c r="N2015" s="48"/>
    </row>
    <row r="2016" spans="1:14" ht="15.75" x14ac:dyDescent="0.45">
      <c r="A2016" s="3" t="s">
        <v>2302</v>
      </c>
      <c r="B2016" s="18">
        <v>45517</v>
      </c>
      <c r="C2016" s="7" t="s">
        <v>25</v>
      </c>
      <c r="D2016" s="20" t="s">
        <v>3337</v>
      </c>
      <c r="E2016" s="6" t="s">
        <v>3338</v>
      </c>
      <c r="F2016" s="3">
        <v>2</v>
      </c>
      <c r="L2016" s="3" t="s">
        <v>3336</v>
      </c>
      <c r="N2016" s="48"/>
    </row>
    <row r="2017" spans="1:14" ht="15.75" x14ac:dyDescent="0.45">
      <c r="A2017" s="3" t="s">
        <v>2302</v>
      </c>
      <c r="B2017" s="18">
        <v>45453</v>
      </c>
      <c r="C2017" s="7" t="s">
        <v>25</v>
      </c>
      <c r="D2017" s="20" t="s">
        <v>3339</v>
      </c>
      <c r="E2017" s="6" t="s">
        <v>3340</v>
      </c>
      <c r="F2017" s="3">
        <v>3</v>
      </c>
      <c r="L2017" s="3" t="s">
        <v>3336</v>
      </c>
      <c r="N2017" s="48"/>
    </row>
    <row r="2018" spans="1:14" ht="15.75" x14ac:dyDescent="0.45">
      <c r="A2018" s="3" t="s">
        <v>2302</v>
      </c>
      <c r="B2018" s="18">
        <v>45413</v>
      </c>
      <c r="C2018" s="7" t="s">
        <v>25</v>
      </c>
      <c r="D2018" s="20" t="s">
        <v>3341</v>
      </c>
      <c r="E2018" s="6" t="s">
        <v>3342</v>
      </c>
      <c r="F2018" s="3">
        <v>3</v>
      </c>
      <c r="L2018" s="3" t="s">
        <v>3336</v>
      </c>
      <c r="N2018" s="48"/>
    </row>
    <row r="2019" spans="1:14" ht="15.75" x14ac:dyDescent="0.45">
      <c r="A2019" s="3" t="s">
        <v>2302</v>
      </c>
      <c r="B2019" s="18">
        <v>45369</v>
      </c>
      <c r="C2019" s="7" t="s">
        <v>25</v>
      </c>
      <c r="D2019" s="20" t="s">
        <v>3343</v>
      </c>
      <c r="E2019" s="6" t="s">
        <v>3344</v>
      </c>
      <c r="F2019" s="3">
        <v>2</v>
      </c>
      <c r="L2019" s="3" t="s">
        <v>3336</v>
      </c>
      <c r="N2019" s="48"/>
    </row>
    <row r="2020" spans="1:14" ht="15.75" x14ac:dyDescent="0.45">
      <c r="A2020" s="3" t="s">
        <v>2302</v>
      </c>
      <c r="B2020" s="18">
        <v>45362</v>
      </c>
      <c r="C2020" s="7" t="s">
        <v>25</v>
      </c>
      <c r="D2020" s="20" t="s">
        <v>3345</v>
      </c>
      <c r="E2020" s="6" t="s">
        <v>3346</v>
      </c>
      <c r="F2020" s="3">
        <f>SUM(2,10,36,35)</f>
        <v>83</v>
      </c>
      <c r="L2020" s="3" t="s">
        <v>3347</v>
      </c>
      <c r="N2020" s="48"/>
    </row>
    <row r="2021" spans="1:14" ht="15.75" x14ac:dyDescent="0.45">
      <c r="A2021" s="3" t="s">
        <v>2302</v>
      </c>
      <c r="B2021" s="18">
        <v>45212</v>
      </c>
      <c r="C2021" s="7" t="s">
        <v>25</v>
      </c>
      <c r="D2021" s="20" t="s">
        <v>820</v>
      </c>
      <c r="E2021" s="6" t="s">
        <v>3348</v>
      </c>
      <c r="F2021" s="3">
        <v>2</v>
      </c>
      <c r="L2021" s="3" t="s">
        <v>3336</v>
      </c>
      <c r="N2021" s="48"/>
    </row>
    <row r="2022" spans="1:14" ht="15.75" x14ac:dyDescent="0.45">
      <c r="A2022" s="3" t="s">
        <v>2302</v>
      </c>
      <c r="B2022" s="18">
        <v>45082</v>
      </c>
      <c r="C2022" s="7" t="s">
        <v>25</v>
      </c>
      <c r="D2022" s="20" t="s">
        <v>816</v>
      </c>
      <c r="E2022" s="6" t="s">
        <v>3349</v>
      </c>
      <c r="F2022" s="3">
        <v>2</v>
      </c>
      <c r="L2022" s="3" t="s">
        <v>3336</v>
      </c>
      <c r="N2022" s="48"/>
    </row>
    <row r="2023" spans="1:14" ht="15.75" x14ac:dyDescent="0.45">
      <c r="A2023" s="3" t="s">
        <v>2302</v>
      </c>
      <c r="B2023" s="18">
        <v>45005</v>
      </c>
      <c r="C2023" s="7" t="s">
        <v>25</v>
      </c>
      <c r="D2023" s="20" t="s">
        <v>807</v>
      </c>
      <c r="E2023" s="6" t="s">
        <v>3350</v>
      </c>
      <c r="F2023" s="3">
        <v>2</v>
      </c>
      <c r="L2023" s="3" t="s">
        <v>3336</v>
      </c>
      <c r="N2023" s="48"/>
    </row>
    <row r="2024" spans="1:14" ht="15.75" x14ac:dyDescent="0.45">
      <c r="A2024" s="3" t="s">
        <v>2302</v>
      </c>
      <c r="B2024" s="18">
        <v>44729</v>
      </c>
      <c r="C2024" s="7" t="s">
        <v>25</v>
      </c>
      <c r="D2024" s="20" t="s">
        <v>783</v>
      </c>
      <c r="E2024" s="6" t="s">
        <v>3351</v>
      </c>
      <c r="F2024" s="3">
        <v>2</v>
      </c>
      <c r="L2024" s="3" t="s">
        <v>3336</v>
      </c>
      <c r="N2024" s="48"/>
    </row>
    <row r="2025" spans="1:14" ht="15.75" x14ac:dyDescent="0.45">
      <c r="A2025" s="3" t="s">
        <v>2302</v>
      </c>
      <c r="B2025" s="18">
        <v>44453</v>
      </c>
      <c r="C2025" s="7" t="s">
        <v>25</v>
      </c>
      <c r="D2025" s="20" t="s">
        <v>718</v>
      </c>
      <c r="E2025" s="6" t="s">
        <v>3352</v>
      </c>
      <c r="F2025" s="3">
        <v>2</v>
      </c>
      <c r="L2025" s="3" t="s">
        <v>3336</v>
      </c>
      <c r="N2025" s="48"/>
    </row>
    <row r="2026" spans="1:14" ht="15.75" x14ac:dyDescent="0.45">
      <c r="A2026" s="3" t="s">
        <v>2302</v>
      </c>
      <c r="B2026" s="18">
        <v>44393</v>
      </c>
      <c r="C2026" s="7" t="s">
        <v>25</v>
      </c>
      <c r="D2026" s="20" t="s">
        <v>3353</v>
      </c>
      <c r="E2026" s="6" t="s">
        <v>3354</v>
      </c>
      <c r="F2026" s="3">
        <f>SUM(2,24)</f>
        <v>26</v>
      </c>
      <c r="L2026" s="3" t="s">
        <v>3355</v>
      </c>
      <c r="N2026" s="48"/>
    </row>
    <row r="2027" spans="1:14" ht="15.75" x14ac:dyDescent="0.45">
      <c r="A2027" s="3" t="s">
        <v>2302</v>
      </c>
      <c r="B2027" s="18">
        <v>44383</v>
      </c>
      <c r="C2027" s="7" t="s">
        <v>25</v>
      </c>
      <c r="D2027" s="20" t="s">
        <v>3356</v>
      </c>
      <c r="E2027" s="6" t="s">
        <v>3357</v>
      </c>
      <c r="F2027" s="3">
        <f>SUM(2,9)</f>
        <v>11</v>
      </c>
      <c r="L2027" s="3" t="s">
        <v>3358</v>
      </c>
      <c r="N2027" s="48"/>
    </row>
    <row r="2028" spans="1:14" ht="15.75" x14ac:dyDescent="0.45">
      <c r="A2028" s="3" t="s">
        <v>2302</v>
      </c>
      <c r="B2028" s="18">
        <v>44251</v>
      </c>
      <c r="C2028" s="7" t="s">
        <v>25</v>
      </c>
      <c r="D2028" s="20" t="s">
        <v>716</v>
      </c>
      <c r="E2028" s="6" t="s">
        <v>3359</v>
      </c>
      <c r="F2028" s="3">
        <v>1</v>
      </c>
      <c r="L2028" s="3" t="s">
        <v>3336</v>
      </c>
      <c r="N2028" s="48"/>
    </row>
    <row r="2029" spans="1:14" ht="15.75" x14ac:dyDescent="0.45">
      <c r="A2029" s="3" t="s">
        <v>2302</v>
      </c>
      <c r="B2029" s="18">
        <v>44225</v>
      </c>
      <c r="C2029" s="7" t="s">
        <v>25</v>
      </c>
      <c r="D2029" s="20" t="s">
        <v>714</v>
      </c>
      <c r="E2029" s="6" t="s">
        <v>3360</v>
      </c>
      <c r="F2029" s="3">
        <v>3</v>
      </c>
      <c r="L2029" s="3" t="s">
        <v>3336</v>
      </c>
      <c r="N2029" s="48"/>
    </row>
    <row r="2030" spans="1:14" ht="15.75" x14ac:dyDescent="0.45">
      <c r="A2030" s="3" t="s">
        <v>2302</v>
      </c>
      <c r="B2030" s="18">
        <v>44167</v>
      </c>
      <c r="C2030" s="7" t="s">
        <v>25</v>
      </c>
      <c r="D2030" s="20" t="s">
        <v>682</v>
      </c>
      <c r="E2030" s="6" t="s">
        <v>3361</v>
      </c>
      <c r="F2030" s="3">
        <v>3</v>
      </c>
      <c r="L2030" s="3" t="s">
        <v>3336</v>
      </c>
      <c r="N2030" s="48"/>
    </row>
    <row r="2031" spans="1:14" ht="15.75" x14ac:dyDescent="0.45">
      <c r="A2031" s="3" t="s">
        <v>2302</v>
      </c>
      <c r="B2031" s="18">
        <v>44021</v>
      </c>
      <c r="C2031" s="7" t="s">
        <v>25</v>
      </c>
      <c r="D2031" s="20" t="s">
        <v>671</v>
      </c>
      <c r="E2031" s="6" t="s">
        <v>3362</v>
      </c>
      <c r="F2031" s="3">
        <v>3</v>
      </c>
      <c r="L2031" s="3" t="s">
        <v>3336</v>
      </c>
      <c r="N2031" s="48"/>
    </row>
    <row r="2032" spans="1:14" ht="15.75" x14ac:dyDescent="0.45">
      <c r="A2032" s="3" t="s">
        <v>2302</v>
      </c>
      <c r="B2032" s="18">
        <v>43907</v>
      </c>
      <c r="C2032" s="7" t="s">
        <v>25</v>
      </c>
      <c r="D2032" s="20" t="s">
        <v>646</v>
      </c>
      <c r="E2032" s="6" t="s">
        <v>3363</v>
      </c>
      <c r="F2032" s="3">
        <v>3</v>
      </c>
      <c r="L2032" s="3" t="s">
        <v>3336</v>
      </c>
      <c r="N2032" s="48"/>
    </row>
    <row r="2033" spans="1:14" ht="15.75" x14ac:dyDescent="0.45">
      <c r="A2033" s="3" t="s">
        <v>2302</v>
      </c>
      <c r="B2033" s="18">
        <v>43886</v>
      </c>
      <c r="C2033" s="7" t="s">
        <v>25</v>
      </c>
      <c r="D2033" s="20" t="s">
        <v>641</v>
      </c>
      <c r="E2033" s="6" t="s">
        <v>3364</v>
      </c>
      <c r="F2033" s="3">
        <f>SUM(2,9)</f>
        <v>11</v>
      </c>
      <c r="L2033" s="3" t="s">
        <v>3355</v>
      </c>
      <c r="N2033" s="48"/>
    </row>
    <row r="2034" spans="1:14" ht="15.75" x14ac:dyDescent="0.45">
      <c r="A2034" s="3" t="s">
        <v>2302</v>
      </c>
      <c r="B2034" s="18">
        <v>43767</v>
      </c>
      <c r="C2034" s="7" t="s">
        <v>25</v>
      </c>
      <c r="D2034" s="20" t="s">
        <v>3365</v>
      </c>
      <c r="E2034" s="6" t="s">
        <v>3366</v>
      </c>
      <c r="F2034" s="3">
        <v>2</v>
      </c>
      <c r="L2034" s="3" t="s">
        <v>3336</v>
      </c>
      <c r="N2034" s="48"/>
    </row>
    <row r="2035" spans="1:14" ht="15.75" x14ac:dyDescent="0.45">
      <c r="A2035" s="3" t="s">
        <v>2302</v>
      </c>
      <c r="B2035" s="18">
        <v>43698</v>
      </c>
      <c r="C2035" s="7" t="s">
        <v>25</v>
      </c>
      <c r="D2035" s="20" t="s">
        <v>3367</v>
      </c>
      <c r="E2035" s="6" t="s">
        <v>3368</v>
      </c>
      <c r="F2035" s="3">
        <f>SUM(4,1)</f>
        <v>5</v>
      </c>
      <c r="L2035" s="3" t="s">
        <v>3355</v>
      </c>
      <c r="N2035" s="48"/>
    </row>
    <row r="2036" spans="1:14" ht="15.75" x14ac:dyDescent="0.45">
      <c r="A2036" s="3" t="s">
        <v>2302</v>
      </c>
      <c r="B2036" s="18">
        <v>43679</v>
      </c>
      <c r="C2036" s="7" t="s">
        <v>25</v>
      </c>
      <c r="D2036" s="20" t="s">
        <v>3369</v>
      </c>
      <c r="E2036" s="6" t="s">
        <v>3370</v>
      </c>
      <c r="F2036" s="3">
        <f>SUM(2,2,4,3,6,2)</f>
        <v>19</v>
      </c>
      <c r="L2036" s="3" t="s">
        <v>2135</v>
      </c>
      <c r="N2036" s="48"/>
    </row>
    <row r="2037" spans="1:14" ht="15.75" x14ac:dyDescent="0.45">
      <c r="A2037" s="3" t="s">
        <v>2302</v>
      </c>
      <c r="B2037" s="18">
        <v>43651</v>
      </c>
      <c r="C2037" s="7" t="s">
        <v>25</v>
      </c>
      <c r="D2037" s="20" t="s">
        <v>623</v>
      </c>
      <c r="E2037" s="6" t="s">
        <v>3371</v>
      </c>
      <c r="F2037" s="3">
        <v>2</v>
      </c>
      <c r="L2037" s="3" t="s">
        <v>3336</v>
      </c>
      <c r="N2037" s="48"/>
    </row>
    <row r="2038" spans="1:14" ht="15.75" x14ac:dyDescent="0.45">
      <c r="A2038" s="3" t="s">
        <v>2302</v>
      </c>
      <c r="B2038" s="18">
        <v>43570</v>
      </c>
      <c r="C2038" s="7" t="s">
        <v>25</v>
      </c>
      <c r="D2038" s="20" t="s">
        <v>609</v>
      </c>
      <c r="E2038" s="6" t="s">
        <v>3372</v>
      </c>
      <c r="F2038" s="3">
        <v>2</v>
      </c>
      <c r="L2038" s="3" t="s">
        <v>3336</v>
      </c>
      <c r="N2038" s="48"/>
    </row>
    <row r="2039" spans="1:14" ht="15.75" x14ac:dyDescent="0.45">
      <c r="A2039" s="3" t="s">
        <v>2302</v>
      </c>
      <c r="B2039" s="18">
        <v>43559</v>
      </c>
      <c r="C2039" s="7" t="s">
        <v>25</v>
      </c>
      <c r="D2039" s="20" t="s">
        <v>596</v>
      </c>
      <c r="E2039" s="6" t="s">
        <v>3373</v>
      </c>
      <c r="F2039" s="3">
        <v>2</v>
      </c>
      <c r="L2039" s="3" t="s">
        <v>3336</v>
      </c>
      <c r="N2039" s="48"/>
    </row>
    <row r="2040" spans="1:14" ht="15.75" x14ac:dyDescent="0.45">
      <c r="A2040" s="3" t="s">
        <v>2302</v>
      </c>
      <c r="B2040" s="18">
        <v>43440</v>
      </c>
      <c r="C2040" s="7" t="s">
        <v>25</v>
      </c>
      <c r="D2040" s="20" t="s">
        <v>3374</v>
      </c>
      <c r="E2040" s="6" t="s">
        <v>3375</v>
      </c>
      <c r="F2040" s="3">
        <v>2</v>
      </c>
      <c r="L2040" s="3" t="s">
        <v>3336</v>
      </c>
      <c r="N2040" s="48"/>
    </row>
    <row r="2041" spans="1:14" ht="15.75" x14ac:dyDescent="0.45">
      <c r="A2041" s="3" t="s">
        <v>2302</v>
      </c>
      <c r="B2041" s="18">
        <v>43340</v>
      </c>
      <c r="C2041" s="7" t="s">
        <v>25</v>
      </c>
      <c r="D2041" s="20" t="s">
        <v>3376</v>
      </c>
      <c r="E2041" s="6" t="s">
        <v>3377</v>
      </c>
      <c r="F2041" s="3">
        <v>2</v>
      </c>
      <c r="L2041" s="3" t="s">
        <v>3336</v>
      </c>
      <c r="N2041" s="48"/>
    </row>
    <row r="2042" spans="1:14" ht="15.75" x14ac:dyDescent="0.45">
      <c r="A2042" s="3" t="s">
        <v>2302</v>
      </c>
      <c r="B2042" s="18">
        <v>43242</v>
      </c>
      <c r="C2042" s="7" t="s">
        <v>25</v>
      </c>
      <c r="D2042" s="20" t="s">
        <v>3378</v>
      </c>
      <c r="E2042" s="6" t="s">
        <v>3379</v>
      </c>
      <c r="F2042" s="3">
        <f>SUM(2,70)</f>
        <v>72</v>
      </c>
      <c r="L2042" s="3" t="s">
        <v>3355</v>
      </c>
      <c r="N2042" s="48"/>
    </row>
    <row r="2043" spans="1:14" ht="15.75" x14ac:dyDescent="0.45">
      <c r="A2043" s="3" t="s">
        <v>2302</v>
      </c>
      <c r="B2043" s="18">
        <v>43227</v>
      </c>
      <c r="C2043" s="7" t="s">
        <v>25</v>
      </c>
      <c r="D2043" s="20" t="s">
        <v>3380</v>
      </c>
      <c r="E2043" s="6" t="s">
        <v>3381</v>
      </c>
      <c r="F2043" s="3">
        <f>SUM(2,25)</f>
        <v>27</v>
      </c>
      <c r="L2043" s="3" t="s">
        <v>3355</v>
      </c>
      <c r="N2043" s="48"/>
    </row>
    <row r="2044" spans="1:14" ht="15.75" x14ac:dyDescent="0.45">
      <c r="A2044" s="3" t="s">
        <v>2302</v>
      </c>
      <c r="B2044" s="18">
        <v>43222</v>
      </c>
      <c r="C2044" s="7" t="s">
        <v>25</v>
      </c>
      <c r="D2044" s="20" t="s">
        <v>3382</v>
      </c>
      <c r="E2044" s="6" t="s">
        <v>3383</v>
      </c>
      <c r="F2044" s="3">
        <v>2</v>
      </c>
      <c r="L2044" s="3" t="s">
        <v>3336</v>
      </c>
      <c r="N2044" s="48"/>
    </row>
    <row r="2045" spans="1:14" ht="15.75" x14ac:dyDescent="0.45">
      <c r="A2045" s="3" t="s">
        <v>2302</v>
      </c>
      <c r="B2045" s="18">
        <v>43179</v>
      </c>
      <c r="C2045" s="7" t="s">
        <v>25</v>
      </c>
      <c r="D2045" s="20" t="s">
        <v>567</v>
      </c>
      <c r="E2045" s="6" t="s">
        <v>3384</v>
      </c>
      <c r="F2045" s="3">
        <f>SUM(2,29,56)</f>
        <v>87</v>
      </c>
      <c r="L2045" s="3" t="s">
        <v>2155</v>
      </c>
      <c r="N2045" s="48"/>
    </row>
    <row r="2046" spans="1:14" ht="15.75" x14ac:dyDescent="0.45">
      <c r="A2046" s="3" t="s">
        <v>2302</v>
      </c>
      <c r="B2046" s="18">
        <v>43146</v>
      </c>
      <c r="C2046" s="7" t="s">
        <v>25</v>
      </c>
      <c r="D2046" s="20" t="s">
        <v>551</v>
      </c>
      <c r="E2046" s="6" t="s">
        <v>3385</v>
      </c>
      <c r="F2046" s="3">
        <v>2</v>
      </c>
      <c r="L2046" s="3" t="s">
        <v>3336</v>
      </c>
      <c r="N2046" s="48"/>
    </row>
    <row r="2047" spans="1:14" ht="15.75" x14ac:dyDescent="0.45">
      <c r="A2047" s="3" t="s">
        <v>2302</v>
      </c>
      <c r="B2047" s="18">
        <v>43125</v>
      </c>
      <c r="C2047" s="7" t="s">
        <v>25</v>
      </c>
      <c r="D2047" s="20" t="s">
        <v>549</v>
      </c>
      <c r="E2047" s="6" t="s">
        <v>3386</v>
      </c>
      <c r="F2047" s="3">
        <v>2</v>
      </c>
      <c r="L2047" s="3" t="s">
        <v>3336</v>
      </c>
      <c r="N2047" s="48"/>
    </row>
    <row r="2048" spans="1:14" ht="15.75" x14ac:dyDescent="0.45">
      <c r="A2048" s="3" t="s">
        <v>2302</v>
      </c>
      <c r="B2048" s="18">
        <v>43042</v>
      </c>
      <c r="C2048" s="7" t="s">
        <v>25</v>
      </c>
      <c r="D2048" s="20" t="s">
        <v>3387</v>
      </c>
      <c r="E2048" s="6" t="s">
        <v>3388</v>
      </c>
      <c r="F2048" s="3">
        <v>2</v>
      </c>
      <c r="L2048" s="3" t="s">
        <v>3336</v>
      </c>
      <c r="N2048" s="48"/>
    </row>
    <row r="2049" spans="1:14" ht="15.75" x14ac:dyDescent="0.45">
      <c r="A2049" s="3" t="s">
        <v>2302</v>
      </c>
      <c r="B2049" s="18">
        <v>42842</v>
      </c>
      <c r="C2049" s="7" t="s">
        <v>25</v>
      </c>
      <c r="D2049" s="20" t="s">
        <v>525</v>
      </c>
      <c r="E2049" s="6" t="s">
        <v>3389</v>
      </c>
      <c r="F2049" s="3">
        <f>SUM(1,1,3,SUM(44,36,42,42))</f>
        <v>169</v>
      </c>
      <c r="L2049" s="3" t="s">
        <v>3390</v>
      </c>
      <c r="N2049" s="48"/>
    </row>
    <row r="2050" spans="1:14" ht="15.75" x14ac:dyDescent="0.45">
      <c r="A2050" s="3" t="s">
        <v>2302</v>
      </c>
      <c r="B2050" s="18">
        <v>42704</v>
      </c>
      <c r="C2050" s="7" t="s">
        <v>25</v>
      </c>
      <c r="D2050" s="20" t="s">
        <v>511</v>
      </c>
      <c r="E2050" s="6" t="s">
        <v>3391</v>
      </c>
      <c r="F2050" s="3">
        <f>SUM(1,4,SUM(32,29,26,28,69,52,75,103,89,66,72,56,65,52,53,73,58,45))</f>
        <v>1048</v>
      </c>
      <c r="L2050" s="3" t="s">
        <v>3392</v>
      </c>
      <c r="N2050" s="48"/>
    </row>
    <row r="2051" spans="1:14" ht="15.75" x14ac:dyDescent="0.45">
      <c r="A2051" s="3" t="s">
        <v>2302</v>
      </c>
      <c r="B2051" s="18">
        <v>42600</v>
      </c>
      <c r="C2051" s="7" t="s">
        <v>25</v>
      </c>
      <c r="D2051" s="20" t="s">
        <v>508</v>
      </c>
      <c r="E2051" s="6" t="s">
        <v>3393</v>
      </c>
      <c r="F2051" s="3">
        <v>2</v>
      </c>
      <c r="L2051" s="3" t="s">
        <v>3336</v>
      </c>
      <c r="N2051" s="48"/>
    </row>
    <row r="2052" spans="1:14" ht="15.75" x14ac:dyDescent="0.45">
      <c r="A2052" s="3" t="s">
        <v>2302</v>
      </c>
      <c r="B2052" s="18">
        <v>42577</v>
      </c>
      <c r="C2052" s="7" t="s">
        <v>25</v>
      </c>
      <c r="D2052" s="20" t="s">
        <v>506</v>
      </c>
      <c r="E2052" s="6" t="s">
        <v>3394</v>
      </c>
      <c r="F2052" s="3">
        <f>SUM(2,3,54)</f>
        <v>59</v>
      </c>
      <c r="L2052" s="3" t="s">
        <v>2155</v>
      </c>
      <c r="N2052" s="48"/>
    </row>
    <row r="2053" spans="1:14" ht="15.75" x14ac:dyDescent="0.45">
      <c r="A2053" s="3" t="s">
        <v>2302</v>
      </c>
      <c r="B2053" s="18">
        <v>42523</v>
      </c>
      <c r="C2053" s="7" t="s">
        <v>25</v>
      </c>
      <c r="D2053" s="20" t="s">
        <v>500</v>
      </c>
      <c r="E2053" s="6" t="s">
        <v>3395</v>
      </c>
      <c r="F2053" s="3">
        <f>SUM(2,26)</f>
        <v>28</v>
      </c>
      <c r="L2053" s="3" t="s">
        <v>3355</v>
      </c>
      <c r="N2053" s="48"/>
    </row>
    <row r="2054" spans="1:14" ht="15.75" x14ac:dyDescent="0.45">
      <c r="A2054" s="3" t="s">
        <v>2302</v>
      </c>
      <c r="B2054" s="18">
        <v>42495</v>
      </c>
      <c r="C2054" s="7" t="s">
        <v>25</v>
      </c>
      <c r="D2054" s="20" t="s">
        <v>493</v>
      </c>
      <c r="E2054" s="6" t="s">
        <v>3396</v>
      </c>
      <c r="F2054" s="3">
        <v>2</v>
      </c>
      <c r="L2054" s="3" t="s">
        <v>3336</v>
      </c>
      <c r="N2054" s="48"/>
    </row>
    <row r="2055" spans="1:14" ht="15.75" x14ac:dyDescent="0.45">
      <c r="A2055" s="3" t="s">
        <v>2302</v>
      </c>
      <c r="B2055" s="18">
        <v>42347</v>
      </c>
      <c r="C2055" s="7" t="s">
        <v>25</v>
      </c>
      <c r="D2055" s="20" t="s">
        <v>472</v>
      </c>
      <c r="E2055" s="6" t="s">
        <v>3397</v>
      </c>
      <c r="F2055" s="3">
        <v>2</v>
      </c>
      <c r="L2055" s="3" t="s">
        <v>3336</v>
      </c>
      <c r="N2055" s="48"/>
    </row>
    <row r="2056" spans="1:14" ht="15.75" x14ac:dyDescent="0.45">
      <c r="A2056" s="3" t="s">
        <v>2302</v>
      </c>
      <c r="B2056" s="18">
        <v>42298</v>
      </c>
      <c r="C2056" s="7" t="s">
        <v>25</v>
      </c>
      <c r="D2056" s="20" t="s">
        <v>467</v>
      </c>
      <c r="E2056" s="6" t="s">
        <v>3398</v>
      </c>
      <c r="F2056" s="3">
        <f>SUM(4,9)</f>
        <v>13</v>
      </c>
      <c r="L2056" s="3" t="s">
        <v>3355</v>
      </c>
      <c r="N2056" s="48"/>
    </row>
    <row r="2057" spans="1:14" ht="15.75" x14ac:dyDescent="0.45">
      <c r="A2057" s="3" t="s">
        <v>2302</v>
      </c>
      <c r="B2057" s="18">
        <v>42107</v>
      </c>
      <c r="C2057" s="7" t="s">
        <v>25</v>
      </c>
      <c r="D2057" s="20" t="s">
        <v>466</v>
      </c>
      <c r="E2057" s="6" t="s">
        <v>3399</v>
      </c>
      <c r="F2057" s="3">
        <v>8</v>
      </c>
      <c r="L2057" s="3" t="s">
        <v>3336</v>
      </c>
      <c r="N2057" s="48"/>
    </row>
    <row r="2058" spans="1:14" ht="15.75" x14ac:dyDescent="0.45">
      <c r="A2058" s="3" t="s">
        <v>2302</v>
      </c>
      <c r="B2058" s="18">
        <v>41915</v>
      </c>
      <c r="C2058" s="7" t="s">
        <v>25</v>
      </c>
      <c r="D2058" s="20" t="s">
        <v>461</v>
      </c>
      <c r="E2058" s="6" t="s">
        <v>3400</v>
      </c>
      <c r="F2058" s="3">
        <v>7</v>
      </c>
      <c r="L2058" s="3" t="s">
        <v>3336</v>
      </c>
      <c r="N2058" s="48"/>
    </row>
    <row r="2059" spans="1:14" ht="15.75" x14ac:dyDescent="0.45">
      <c r="A2059" s="3" t="s">
        <v>2302</v>
      </c>
      <c r="B2059" s="18">
        <v>41711</v>
      </c>
      <c r="C2059" s="7" t="s">
        <v>25</v>
      </c>
      <c r="D2059" s="20" t="s">
        <v>451</v>
      </c>
      <c r="E2059" s="6" t="s">
        <v>3401</v>
      </c>
      <c r="F2059" s="3">
        <v>5</v>
      </c>
      <c r="L2059" s="3" t="s">
        <v>3336</v>
      </c>
      <c r="N2059" s="48"/>
    </row>
    <row r="2060" spans="1:14" ht="15.75" x14ac:dyDescent="0.45">
      <c r="A2060" s="3" t="s">
        <v>2302</v>
      </c>
      <c r="B2060" s="18">
        <v>41564</v>
      </c>
      <c r="C2060" s="7" t="s">
        <v>25</v>
      </c>
      <c r="D2060" s="20" t="s">
        <v>3402</v>
      </c>
      <c r="E2060" s="6" t="s">
        <v>3403</v>
      </c>
      <c r="F2060" s="3">
        <f>SUM(2,3)</f>
        <v>5</v>
      </c>
      <c r="L2060" s="3" t="s">
        <v>3355</v>
      </c>
      <c r="N2060" s="48"/>
    </row>
    <row r="2061" spans="1:14" ht="15.75" x14ac:dyDescent="0.45">
      <c r="A2061" s="3" t="s">
        <v>2302</v>
      </c>
      <c r="B2061" s="18">
        <v>41380</v>
      </c>
      <c r="C2061" s="7" t="s">
        <v>25</v>
      </c>
      <c r="D2061" s="20" t="s">
        <v>448</v>
      </c>
      <c r="E2061" s="6" t="s">
        <v>3404</v>
      </c>
      <c r="F2061" s="3">
        <f>SUM(2,83)</f>
        <v>85</v>
      </c>
      <c r="L2061" s="3" t="s">
        <v>3355</v>
      </c>
      <c r="N2061" s="48"/>
    </row>
    <row r="2062" spans="1:14" ht="15.75" x14ac:dyDescent="0.45">
      <c r="A2062" s="3" t="s">
        <v>2302</v>
      </c>
      <c r="B2062" s="18">
        <v>41332</v>
      </c>
      <c r="C2062" s="7" t="s">
        <v>25</v>
      </c>
      <c r="E2062" s="6" t="s">
        <v>3405</v>
      </c>
      <c r="F2062" s="3">
        <v>2</v>
      </c>
      <c r="L2062" s="3" t="s">
        <v>3406</v>
      </c>
      <c r="N2062" s="48"/>
    </row>
    <row r="2063" spans="1:14" ht="15.75" x14ac:dyDescent="0.45">
      <c r="A2063" s="3" t="s">
        <v>2302</v>
      </c>
      <c r="B2063" s="18">
        <v>41122</v>
      </c>
      <c r="C2063" s="7" t="s">
        <v>25</v>
      </c>
      <c r="D2063" s="20" t="s">
        <v>408</v>
      </c>
      <c r="E2063" s="6" t="s">
        <v>3407</v>
      </c>
      <c r="F2063" s="3">
        <f>SUM(8,1,1)</f>
        <v>10</v>
      </c>
      <c r="L2063" s="3" t="s">
        <v>2155</v>
      </c>
      <c r="N2063" s="48"/>
    </row>
    <row r="2064" spans="1:14" ht="15.75" x14ac:dyDescent="0.45">
      <c r="A2064" s="3" t="s">
        <v>2302</v>
      </c>
      <c r="B2064" s="18">
        <v>41078</v>
      </c>
      <c r="C2064" s="7" t="s">
        <v>25</v>
      </c>
      <c r="D2064" s="20" t="s">
        <v>405</v>
      </c>
      <c r="E2064" s="6" t="s">
        <v>3408</v>
      </c>
      <c r="F2064" s="3">
        <v>14</v>
      </c>
      <c r="L2064" s="3" t="s">
        <v>3336</v>
      </c>
      <c r="N2064" s="48"/>
    </row>
    <row r="2065" spans="1:14" ht="15.75" x14ac:dyDescent="0.45">
      <c r="A2065" s="3" t="s">
        <v>2302</v>
      </c>
      <c r="B2065" s="18">
        <v>40381</v>
      </c>
      <c r="C2065" s="7" t="s">
        <v>25</v>
      </c>
      <c r="D2065" s="20" t="s">
        <v>387</v>
      </c>
      <c r="E2065" s="6" t="s">
        <v>3409</v>
      </c>
      <c r="F2065" s="3">
        <f>SUM(2,11)</f>
        <v>13</v>
      </c>
      <c r="L2065" s="3" t="s">
        <v>3410</v>
      </c>
      <c r="N2065" s="48"/>
    </row>
    <row r="2066" spans="1:14" ht="15.75" x14ac:dyDescent="0.45">
      <c r="A2066" s="3" t="s">
        <v>2302</v>
      </c>
      <c r="B2066" s="18">
        <v>39861</v>
      </c>
      <c r="C2066" s="7" t="s">
        <v>25</v>
      </c>
      <c r="D2066" s="20" t="s">
        <v>367</v>
      </c>
      <c r="E2066" s="6" t="s">
        <v>3411</v>
      </c>
      <c r="F2066" s="3">
        <f>SUM(2,57)</f>
        <v>59</v>
      </c>
      <c r="L2066" s="3" t="s">
        <v>3355</v>
      </c>
      <c r="N2066" s="48"/>
    </row>
    <row r="2067" spans="1:14" ht="15.75" x14ac:dyDescent="0.45">
      <c r="A2067" s="3" t="s">
        <v>2302</v>
      </c>
      <c r="B2067" s="18">
        <v>39826</v>
      </c>
      <c r="C2067" s="7" t="s">
        <v>25</v>
      </c>
      <c r="D2067" s="20" t="s">
        <v>361</v>
      </c>
      <c r="E2067" s="6" t="s">
        <v>3412</v>
      </c>
      <c r="F2067" s="3">
        <f>SUM(2,26)</f>
        <v>28</v>
      </c>
      <c r="L2067" s="3" t="s">
        <v>3355</v>
      </c>
      <c r="N2067" s="48"/>
    </row>
    <row r="2068" spans="1:14" ht="15.75" x14ac:dyDescent="0.45">
      <c r="A2068" s="3" t="s">
        <v>2302</v>
      </c>
      <c r="B2068" s="18">
        <v>39797</v>
      </c>
      <c r="C2068" s="7" t="s">
        <v>25</v>
      </c>
      <c r="D2068" s="3" t="s">
        <v>349</v>
      </c>
      <c r="E2068" s="6" t="s">
        <v>3413</v>
      </c>
      <c r="F2068" s="3">
        <v>10</v>
      </c>
      <c r="N2068" s="48"/>
    </row>
    <row r="2069" spans="1:14" ht="15.75" x14ac:dyDescent="0.45">
      <c r="A2069" s="3" t="s">
        <v>2302</v>
      </c>
      <c r="B2069" s="18">
        <v>39605</v>
      </c>
      <c r="C2069" s="7" t="s">
        <v>25</v>
      </c>
      <c r="D2069" s="20" t="s">
        <v>3414</v>
      </c>
      <c r="E2069" s="6" t="s">
        <v>3415</v>
      </c>
      <c r="F2069" s="3">
        <f>SUM(2,29)</f>
        <v>31</v>
      </c>
      <c r="L2069" s="3" t="s">
        <v>3355</v>
      </c>
      <c r="N2069" s="48"/>
    </row>
    <row r="2070" spans="1:14" ht="15.75" x14ac:dyDescent="0.45">
      <c r="A2070" s="3" t="s">
        <v>2302</v>
      </c>
      <c r="B2070" s="18">
        <v>39573</v>
      </c>
      <c r="C2070" s="7" t="s">
        <v>25</v>
      </c>
      <c r="D2070" s="20" t="s">
        <v>3416</v>
      </c>
      <c r="E2070" s="6" t="s">
        <v>3417</v>
      </c>
      <c r="F2070" s="3">
        <f>SUM(2,4)</f>
        <v>6</v>
      </c>
      <c r="L2070" s="3" t="s">
        <v>3355</v>
      </c>
      <c r="N2070" s="48"/>
    </row>
    <row r="2071" spans="1:14" ht="15.75" x14ac:dyDescent="0.45">
      <c r="A2071" s="3" t="s">
        <v>2302</v>
      </c>
      <c r="B2071" s="18">
        <v>39560</v>
      </c>
      <c r="C2071" s="7" t="s">
        <v>25</v>
      </c>
      <c r="D2071" s="20" t="s">
        <v>355</v>
      </c>
      <c r="E2071" s="6" t="s">
        <v>3418</v>
      </c>
      <c r="F2071" s="3">
        <v>4</v>
      </c>
      <c r="L2071" s="3" t="s">
        <v>3336</v>
      </c>
      <c r="N2071" s="48"/>
    </row>
    <row r="2072" spans="1:14" ht="15.75" x14ac:dyDescent="0.45">
      <c r="A2072" s="3" t="s">
        <v>2302</v>
      </c>
      <c r="B2072" s="18">
        <v>39353</v>
      </c>
      <c r="C2072" s="7" t="s">
        <v>25</v>
      </c>
      <c r="D2072" s="20" t="s">
        <v>3419</v>
      </c>
      <c r="E2072" s="6" t="s">
        <v>3420</v>
      </c>
      <c r="F2072" s="3">
        <v>2</v>
      </c>
      <c r="L2072" s="3" t="s">
        <v>3336</v>
      </c>
      <c r="N2072" s="48"/>
    </row>
    <row r="2073" spans="1:14" ht="15.75" x14ac:dyDescent="0.45">
      <c r="A2073" s="3" t="s">
        <v>2302</v>
      </c>
      <c r="B2073" s="18">
        <v>39349</v>
      </c>
      <c r="C2073" s="7" t="s">
        <v>25</v>
      </c>
      <c r="D2073" s="20" t="s">
        <v>347</v>
      </c>
      <c r="E2073" s="6" t="s">
        <v>3421</v>
      </c>
      <c r="F2073" s="3">
        <f>SUM(2,5)</f>
        <v>7</v>
      </c>
      <c r="L2073" s="3" t="s">
        <v>3355</v>
      </c>
      <c r="N2073" s="48"/>
    </row>
    <row r="2074" spans="1:14" ht="15.75" x14ac:dyDescent="0.45">
      <c r="A2074" s="3" t="s">
        <v>2302</v>
      </c>
      <c r="B2074" s="18">
        <v>39335</v>
      </c>
      <c r="C2074" s="7" t="s">
        <v>25</v>
      </c>
      <c r="D2074" s="20" t="s">
        <v>345</v>
      </c>
      <c r="E2074" s="6" t="s">
        <v>3422</v>
      </c>
      <c r="F2074" s="3">
        <v>14</v>
      </c>
      <c r="L2074" s="3" t="s">
        <v>3423</v>
      </c>
      <c r="N2074" s="48"/>
    </row>
    <row r="2075" spans="1:14" ht="15.75" x14ac:dyDescent="0.45">
      <c r="A2075" s="3" t="s">
        <v>2302</v>
      </c>
      <c r="B2075" s="18">
        <v>39182</v>
      </c>
      <c r="C2075" s="7" t="s">
        <v>25</v>
      </c>
      <c r="D2075" s="20" t="s">
        <v>344</v>
      </c>
      <c r="E2075" s="6" t="s">
        <v>3424</v>
      </c>
      <c r="F2075" s="3">
        <f>SUM(2,34)</f>
        <v>36</v>
      </c>
      <c r="L2075" s="3" t="s">
        <v>3355</v>
      </c>
      <c r="N2075" s="48"/>
    </row>
    <row r="2076" spans="1:14" ht="15.75" x14ac:dyDescent="0.45">
      <c r="A2076" s="3" t="s">
        <v>2302</v>
      </c>
      <c r="B2076" s="18">
        <v>39153</v>
      </c>
      <c r="C2076" s="7" t="s">
        <v>25</v>
      </c>
      <c r="D2076" s="20" t="s">
        <v>339</v>
      </c>
      <c r="E2076" s="6" t="s">
        <v>3425</v>
      </c>
      <c r="F2076" s="3">
        <f>SUM(2,147)</f>
        <v>149</v>
      </c>
      <c r="L2076" s="3" t="s">
        <v>3355</v>
      </c>
      <c r="N2076" s="48"/>
    </row>
    <row r="2077" spans="1:14" ht="15.75" x14ac:dyDescent="0.45">
      <c r="A2077" s="3" t="s">
        <v>2302</v>
      </c>
      <c r="B2077" s="18">
        <v>38978</v>
      </c>
      <c r="C2077" s="7" t="s">
        <v>25</v>
      </c>
      <c r="D2077" s="20" t="s">
        <v>328</v>
      </c>
      <c r="E2077" s="6" t="s">
        <v>3426</v>
      </c>
      <c r="F2077" s="3">
        <v>2</v>
      </c>
      <c r="L2077" s="3" t="s">
        <v>3427</v>
      </c>
      <c r="N2077" s="48"/>
    </row>
    <row r="2078" spans="1:14" ht="15.75" x14ac:dyDescent="0.45">
      <c r="A2078" s="3" t="s">
        <v>2302</v>
      </c>
      <c r="B2078" s="18">
        <v>38799</v>
      </c>
      <c r="C2078" s="7" t="s">
        <v>25</v>
      </c>
      <c r="D2078" s="20" t="s">
        <v>326</v>
      </c>
      <c r="E2078" s="6" t="s">
        <v>3428</v>
      </c>
      <c r="F2078" s="3">
        <v>3</v>
      </c>
      <c r="L2078" s="3" t="s">
        <v>3336</v>
      </c>
      <c r="N2078" s="48"/>
    </row>
    <row r="2079" spans="1:14" ht="15.75" x14ac:dyDescent="0.45">
      <c r="A2079" s="3" t="s">
        <v>2302</v>
      </c>
      <c r="B2079" s="18">
        <v>38757</v>
      </c>
      <c r="C2079" s="7" t="s">
        <v>25</v>
      </c>
      <c r="D2079" s="20" t="s">
        <v>324</v>
      </c>
      <c r="E2079" s="6" t="s">
        <v>3429</v>
      </c>
      <c r="F2079" s="3">
        <f>SUM(2,27)</f>
        <v>29</v>
      </c>
      <c r="L2079" s="3" t="s">
        <v>3355</v>
      </c>
      <c r="N2079" s="48"/>
    </row>
    <row r="2080" spans="1:14" ht="15.75" x14ac:dyDescent="0.45">
      <c r="A2080" s="3" t="s">
        <v>2302</v>
      </c>
      <c r="B2080" s="18">
        <v>38674</v>
      </c>
      <c r="C2080" s="7" t="s">
        <v>25</v>
      </c>
      <c r="D2080" s="20" t="s">
        <v>3430</v>
      </c>
      <c r="E2080" s="6" t="s">
        <v>3431</v>
      </c>
      <c r="F2080" s="3">
        <v>2</v>
      </c>
      <c r="L2080" s="3" t="s">
        <v>3336</v>
      </c>
      <c r="N2080" s="48"/>
    </row>
    <row r="2081" spans="1:14" ht="15.75" x14ac:dyDescent="0.45">
      <c r="A2081" s="3" t="s">
        <v>2302</v>
      </c>
      <c r="B2081" s="18">
        <v>38546</v>
      </c>
      <c r="C2081" s="7" t="s">
        <v>25</v>
      </c>
      <c r="D2081" s="20" t="s">
        <v>315</v>
      </c>
      <c r="E2081" s="6" t="s">
        <v>3432</v>
      </c>
      <c r="F2081" s="3">
        <f>SUM(2,4)</f>
        <v>6</v>
      </c>
      <c r="L2081" s="3" t="s">
        <v>3355</v>
      </c>
      <c r="N2081" s="48"/>
    </row>
    <row r="2082" spans="1:14" ht="15.75" x14ac:dyDescent="0.45">
      <c r="A2082" s="3" t="s">
        <v>2302</v>
      </c>
      <c r="B2082" s="18">
        <v>38476</v>
      </c>
      <c r="C2082" s="7" t="s">
        <v>25</v>
      </c>
      <c r="D2082" s="20" t="s">
        <v>312</v>
      </c>
      <c r="E2082" s="6" t="s">
        <v>3433</v>
      </c>
      <c r="F2082" s="3">
        <f>SUM(3,5,10)</f>
        <v>18</v>
      </c>
      <c r="L2082" s="3" t="s">
        <v>2155</v>
      </c>
      <c r="N2082" s="48"/>
    </row>
    <row r="2083" spans="1:14" ht="15.75" x14ac:dyDescent="0.45">
      <c r="A2083" s="3" t="s">
        <v>2302</v>
      </c>
      <c r="B2083" s="18">
        <v>38474</v>
      </c>
      <c r="C2083" s="7" t="s">
        <v>25</v>
      </c>
      <c r="D2083" s="20" t="s">
        <v>3434</v>
      </c>
      <c r="E2083" s="6" t="s">
        <v>3435</v>
      </c>
      <c r="F2083" s="3">
        <f>SUM(2,3)</f>
        <v>5</v>
      </c>
      <c r="L2083" s="3" t="s">
        <v>3355</v>
      </c>
      <c r="N2083" s="48"/>
    </row>
    <row r="2084" spans="1:14" ht="15.75" x14ac:dyDescent="0.45">
      <c r="A2084" s="3" t="s">
        <v>2302</v>
      </c>
      <c r="B2084" s="18">
        <v>38474</v>
      </c>
      <c r="C2084" s="7" t="s">
        <v>25</v>
      </c>
      <c r="D2084" s="20" t="s">
        <v>311</v>
      </c>
      <c r="E2084" s="6" t="s">
        <v>3436</v>
      </c>
      <c r="F2084" s="3">
        <v>4</v>
      </c>
      <c r="L2084" s="3" t="s">
        <v>3336</v>
      </c>
      <c r="N2084" s="48"/>
    </row>
    <row r="2085" spans="1:14" ht="15.75" x14ac:dyDescent="0.45">
      <c r="A2085" s="3" t="s">
        <v>2302</v>
      </c>
      <c r="B2085" s="18">
        <v>38474</v>
      </c>
      <c r="C2085" s="7" t="s">
        <v>25</v>
      </c>
      <c r="D2085" s="20" t="s">
        <v>310</v>
      </c>
      <c r="E2085" s="6" t="s">
        <v>3437</v>
      </c>
      <c r="F2085" s="3">
        <v>3</v>
      </c>
      <c r="L2085" s="3" t="s">
        <v>3336</v>
      </c>
      <c r="N2085" s="48"/>
    </row>
    <row r="2086" spans="1:14" ht="15.75" x14ac:dyDescent="0.45">
      <c r="A2086" s="3" t="s">
        <v>2302</v>
      </c>
      <c r="B2086" s="18">
        <v>38212</v>
      </c>
      <c r="C2086" s="7" t="s">
        <v>25</v>
      </c>
      <c r="D2086" s="20" t="s">
        <v>293</v>
      </c>
      <c r="E2086" s="6" t="s">
        <v>3438</v>
      </c>
      <c r="F2086" s="3">
        <f>SUM(2,3)</f>
        <v>5</v>
      </c>
      <c r="L2086" s="3" t="s">
        <v>3355</v>
      </c>
      <c r="N2086" s="48"/>
    </row>
    <row r="2087" spans="1:14" ht="15.75" x14ac:dyDescent="0.45">
      <c r="A2087" s="3" t="s">
        <v>2302</v>
      </c>
      <c r="B2087" s="18">
        <v>37798</v>
      </c>
      <c r="C2087" s="7" t="s">
        <v>25</v>
      </c>
      <c r="D2087" s="20" t="s">
        <v>288</v>
      </c>
      <c r="E2087" s="6" t="s">
        <v>3439</v>
      </c>
      <c r="F2087" s="3">
        <f>SUM(3,2)</f>
        <v>5</v>
      </c>
      <c r="L2087" s="3" t="s">
        <v>3355</v>
      </c>
      <c r="N2087" s="48"/>
    </row>
    <row r="2088" spans="1:14" ht="15.75" x14ac:dyDescent="0.45">
      <c r="A2088" s="3" t="s">
        <v>2302</v>
      </c>
      <c r="B2088" s="18">
        <v>37727</v>
      </c>
      <c r="C2088" s="7" t="s">
        <v>25</v>
      </c>
      <c r="D2088" s="20" t="s">
        <v>285</v>
      </c>
      <c r="E2088" s="6" t="s">
        <v>3440</v>
      </c>
      <c r="F2088" s="3">
        <f>SUM(2,2,1,9)</f>
        <v>14</v>
      </c>
      <c r="L2088" s="3" t="s">
        <v>3347</v>
      </c>
      <c r="N2088" s="48"/>
    </row>
    <row r="2089" spans="1:14" ht="15.75" x14ac:dyDescent="0.45">
      <c r="A2089" s="3" t="s">
        <v>2302</v>
      </c>
      <c r="B2089" s="18">
        <v>37648</v>
      </c>
      <c r="C2089" s="7" t="s">
        <v>25</v>
      </c>
      <c r="D2089" s="20" t="s">
        <v>283</v>
      </c>
      <c r="E2089" s="6" t="s">
        <v>3441</v>
      </c>
      <c r="F2089" s="3">
        <v>2</v>
      </c>
      <c r="L2089" s="3" t="s">
        <v>3336</v>
      </c>
      <c r="N2089" s="48"/>
    </row>
    <row r="2090" spans="1:14" ht="15.75" x14ac:dyDescent="0.45">
      <c r="A2090" s="3" t="s">
        <v>2302</v>
      </c>
      <c r="B2090" s="18">
        <v>37552</v>
      </c>
      <c r="C2090" s="7" t="s">
        <v>25</v>
      </c>
      <c r="D2090" s="20" t="s">
        <v>3442</v>
      </c>
      <c r="E2090" s="6" t="s">
        <v>3443</v>
      </c>
      <c r="F2090" s="3">
        <f>SUM(2,1)</f>
        <v>3</v>
      </c>
      <c r="L2090" s="3" t="s">
        <v>3444</v>
      </c>
      <c r="N2090" s="48"/>
    </row>
    <row r="2091" spans="1:14" ht="15.75" x14ac:dyDescent="0.45">
      <c r="A2091" s="3" t="s">
        <v>2302</v>
      </c>
      <c r="B2091" s="18">
        <v>37526</v>
      </c>
      <c r="C2091" s="7" t="s">
        <v>25</v>
      </c>
      <c r="D2091" s="20" t="s">
        <v>265</v>
      </c>
      <c r="E2091" s="6" t="s">
        <v>3445</v>
      </c>
      <c r="F2091" s="3">
        <v>2</v>
      </c>
      <c r="L2091" s="3" t="s">
        <v>3336</v>
      </c>
      <c r="N2091" s="48"/>
    </row>
    <row r="2092" spans="1:14" ht="15.75" x14ac:dyDescent="0.45">
      <c r="A2092" s="3" t="s">
        <v>2302</v>
      </c>
      <c r="B2092" s="18">
        <v>37481</v>
      </c>
      <c r="C2092" s="7" t="s">
        <v>25</v>
      </c>
      <c r="D2092" s="20" t="s">
        <v>262</v>
      </c>
      <c r="E2092" s="6" t="s">
        <v>3446</v>
      </c>
      <c r="F2092" s="3">
        <f>SUM(2,28,27,17)</f>
        <v>74</v>
      </c>
      <c r="L2092" s="3" t="s">
        <v>3347</v>
      </c>
      <c r="N2092" s="48"/>
    </row>
    <row r="2093" spans="1:14" ht="15.75" x14ac:dyDescent="0.45">
      <c r="A2093" s="3" t="s">
        <v>2302</v>
      </c>
      <c r="B2093" s="18">
        <v>37469</v>
      </c>
      <c r="C2093" s="7" t="s">
        <v>25</v>
      </c>
      <c r="D2093" s="20" t="s">
        <v>263</v>
      </c>
      <c r="E2093" s="6" t="s">
        <v>3447</v>
      </c>
      <c r="F2093" s="3">
        <f>SUM(2,3,2,3)</f>
        <v>10</v>
      </c>
      <c r="L2093" s="3" t="s">
        <v>3448</v>
      </c>
      <c r="N2093" s="48"/>
    </row>
    <row r="2094" spans="1:14" ht="15.75" x14ac:dyDescent="0.45">
      <c r="A2094" s="3" t="s">
        <v>2302</v>
      </c>
      <c r="B2094" s="18">
        <v>37298</v>
      </c>
      <c r="C2094" s="7" t="s">
        <v>25</v>
      </c>
      <c r="D2094" s="20" t="s">
        <v>261</v>
      </c>
      <c r="E2094" s="6" t="s">
        <v>3449</v>
      </c>
      <c r="F2094" s="3">
        <v>2</v>
      </c>
      <c r="L2094" s="3" t="s">
        <v>3336</v>
      </c>
      <c r="N2094" s="48"/>
    </row>
    <row r="2095" spans="1:14" ht="15.75" x14ac:dyDescent="0.45">
      <c r="A2095" s="3" t="s">
        <v>2302</v>
      </c>
      <c r="B2095" s="18">
        <v>37133</v>
      </c>
      <c r="C2095" s="7" t="s">
        <v>25</v>
      </c>
      <c r="D2095" s="20" t="s">
        <v>253</v>
      </c>
      <c r="E2095" s="6" t="s">
        <v>3450</v>
      </c>
      <c r="F2095" s="3">
        <f>SUM(3,1,1)</f>
        <v>5</v>
      </c>
      <c r="L2095" s="3" t="s">
        <v>3451</v>
      </c>
      <c r="N2095" s="48"/>
    </row>
    <row r="2096" spans="1:14" ht="15.75" x14ac:dyDescent="0.45">
      <c r="A2096" s="3" t="s">
        <v>2302</v>
      </c>
      <c r="B2096" s="18">
        <v>37124</v>
      </c>
      <c r="C2096" s="7" t="s">
        <v>25</v>
      </c>
      <c r="D2096" s="20" t="s">
        <v>256</v>
      </c>
      <c r="E2096" s="6" t="s">
        <v>3452</v>
      </c>
      <c r="F2096" s="3">
        <f>SUM(2,19)</f>
        <v>21</v>
      </c>
      <c r="L2096" s="3" t="s">
        <v>3444</v>
      </c>
      <c r="N2096" s="48"/>
    </row>
    <row r="2097" spans="1:14" ht="15.75" x14ac:dyDescent="0.45">
      <c r="A2097" s="3" t="s">
        <v>2302</v>
      </c>
      <c r="B2097" s="18">
        <v>37111</v>
      </c>
      <c r="C2097" s="7" t="s">
        <v>25</v>
      </c>
      <c r="D2097" s="20" t="s">
        <v>252</v>
      </c>
      <c r="E2097" s="6" t="s">
        <v>3453</v>
      </c>
      <c r="F2097" s="3">
        <f>SUM(2,12)</f>
        <v>14</v>
      </c>
      <c r="L2097" s="3" t="s">
        <v>3444</v>
      </c>
      <c r="N2097" s="48"/>
    </row>
    <row r="2098" spans="1:14" ht="15.75" x14ac:dyDescent="0.45">
      <c r="A2098" s="3" t="s">
        <v>2302</v>
      </c>
      <c r="B2098" s="18">
        <v>37056</v>
      </c>
      <c r="C2098" s="7" t="s">
        <v>25</v>
      </c>
      <c r="D2098" s="20" t="s">
        <v>250</v>
      </c>
      <c r="E2098" s="6" t="s">
        <v>3454</v>
      </c>
      <c r="F2098" s="3">
        <v>1</v>
      </c>
      <c r="L2098" s="3" t="s">
        <v>3336</v>
      </c>
      <c r="N2098" s="48"/>
    </row>
    <row r="2099" spans="1:14" ht="15.75" x14ac:dyDescent="0.45">
      <c r="A2099" s="3" t="s">
        <v>2302</v>
      </c>
      <c r="B2099" s="18">
        <v>36843</v>
      </c>
      <c r="C2099" s="7" t="s">
        <v>25</v>
      </c>
      <c r="D2099" s="20" t="s">
        <v>3455</v>
      </c>
      <c r="E2099" s="6" t="s">
        <v>3456</v>
      </c>
      <c r="F2099" s="3">
        <v>2</v>
      </c>
      <c r="L2099" s="3" t="s">
        <v>3457</v>
      </c>
      <c r="N2099" s="48"/>
    </row>
    <row r="2100" spans="1:14" ht="15.75" x14ac:dyDescent="0.45">
      <c r="A2100" s="3" t="s">
        <v>2302</v>
      </c>
      <c r="B2100" s="18">
        <v>36843</v>
      </c>
      <c r="C2100" s="7" t="s">
        <v>25</v>
      </c>
      <c r="D2100" s="20" t="s">
        <v>240</v>
      </c>
      <c r="E2100" s="6" t="s">
        <v>3458</v>
      </c>
      <c r="F2100" s="3">
        <v>2</v>
      </c>
      <c r="L2100" s="3" t="s">
        <v>3336</v>
      </c>
      <c r="N2100" s="48"/>
    </row>
    <row r="2101" spans="1:14" ht="15.75" x14ac:dyDescent="0.45">
      <c r="A2101" s="3" t="s">
        <v>2302</v>
      </c>
      <c r="B2101" s="18">
        <v>36654</v>
      </c>
      <c r="C2101" s="7" t="s">
        <v>25</v>
      </c>
      <c r="D2101" s="20" t="s">
        <v>235</v>
      </c>
      <c r="E2101" s="6" t="s">
        <v>3459</v>
      </c>
      <c r="F2101" s="3">
        <v>2</v>
      </c>
      <c r="L2101" s="3" t="s">
        <v>3460</v>
      </c>
      <c r="N2101" s="48"/>
    </row>
    <row r="2102" spans="1:14" ht="15.75" x14ac:dyDescent="0.45">
      <c r="A2102" s="3" t="s">
        <v>2302</v>
      </c>
      <c r="B2102" s="18">
        <v>36161</v>
      </c>
      <c r="C2102" s="7" t="s">
        <v>25</v>
      </c>
      <c r="D2102" s="20" t="s">
        <v>220</v>
      </c>
      <c r="E2102" s="6" t="s">
        <v>3461</v>
      </c>
      <c r="F2102" s="3">
        <v>4</v>
      </c>
      <c r="L2102" s="3" t="s">
        <v>3336</v>
      </c>
      <c r="N2102" s="48"/>
    </row>
    <row r="2103" spans="1:14" ht="15.75" x14ac:dyDescent="0.45">
      <c r="A2103" s="3" t="s">
        <v>2302</v>
      </c>
      <c r="B2103" s="18">
        <v>36063</v>
      </c>
      <c r="C2103" s="7" t="s">
        <v>25</v>
      </c>
      <c r="D2103" s="20" t="s">
        <v>208</v>
      </c>
      <c r="E2103" s="6" t="s">
        <v>3462</v>
      </c>
      <c r="F2103" s="3">
        <f>SUM(3,2)</f>
        <v>5</v>
      </c>
      <c r="L2103" s="3" t="s">
        <v>3355</v>
      </c>
      <c r="N2103" s="48"/>
    </row>
    <row r="2104" spans="1:14" ht="15.75" x14ac:dyDescent="0.45">
      <c r="A2104" s="3" t="s">
        <v>2302</v>
      </c>
      <c r="B2104" s="18">
        <v>35913</v>
      </c>
      <c r="C2104" s="7" t="s">
        <v>25</v>
      </c>
      <c r="D2104" s="20" t="s">
        <v>203</v>
      </c>
      <c r="E2104" s="6" t="s">
        <v>3463</v>
      </c>
      <c r="F2104" s="3">
        <v>2</v>
      </c>
      <c r="L2104" s="3" t="s">
        <v>3336</v>
      </c>
      <c r="N2104" s="48"/>
    </row>
    <row r="2105" spans="1:14" ht="15.75" x14ac:dyDescent="0.45">
      <c r="A2105" s="3" t="s">
        <v>2302</v>
      </c>
      <c r="B2105" s="18">
        <v>35774</v>
      </c>
      <c r="C2105" s="7" t="s">
        <v>25</v>
      </c>
      <c r="D2105" s="20" t="s">
        <v>197</v>
      </c>
      <c r="E2105" s="6" t="s">
        <v>3464</v>
      </c>
      <c r="F2105" s="3">
        <v>3</v>
      </c>
      <c r="L2105" s="3" t="s">
        <v>3336</v>
      </c>
      <c r="N2105" s="48"/>
    </row>
    <row r="2106" spans="1:14" ht="15.75" x14ac:dyDescent="0.45">
      <c r="A2106" s="3" t="s">
        <v>2302</v>
      </c>
      <c r="B2106" s="18">
        <v>35530</v>
      </c>
      <c r="C2106" s="7" t="s">
        <v>25</v>
      </c>
      <c r="D2106" s="20" t="s">
        <v>191</v>
      </c>
      <c r="E2106" s="6" t="s">
        <v>3465</v>
      </c>
      <c r="F2106" s="3">
        <v>2</v>
      </c>
      <c r="L2106" s="3" t="s">
        <v>3336</v>
      </c>
      <c r="N2106" s="48"/>
    </row>
    <row r="2107" spans="1:14" ht="15.75" x14ac:dyDescent="0.45">
      <c r="A2107" s="3" t="s">
        <v>2302</v>
      </c>
      <c r="B2107" s="18">
        <v>35298</v>
      </c>
      <c r="C2107" s="7" t="s">
        <v>25</v>
      </c>
      <c r="D2107" s="20" t="s">
        <v>3466</v>
      </c>
      <c r="E2107" s="6" t="s">
        <v>3467</v>
      </c>
      <c r="F2107" s="3">
        <v>6</v>
      </c>
      <c r="L2107" s="3" t="s">
        <v>3427</v>
      </c>
      <c r="N2107" s="48"/>
    </row>
    <row r="2108" spans="1:14" ht="15.75" x14ac:dyDescent="0.45">
      <c r="A2108" s="3" t="s">
        <v>2302</v>
      </c>
      <c r="B2108" s="18">
        <v>35282</v>
      </c>
      <c r="C2108" s="7" t="s">
        <v>25</v>
      </c>
      <c r="D2108" s="20" t="s">
        <v>3468</v>
      </c>
      <c r="E2108" s="6" t="s">
        <v>3469</v>
      </c>
      <c r="F2108" s="3">
        <v>2</v>
      </c>
      <c r="L2108" s="3" t="s">
        <v>3336</v>
      </c>
      <c r="N2108" s="48"/>
    </row>
    <row r="2109" spans="1:14" ht="15.75" x14ac:dyDescent="0.45">
      <c r="A2109" s="3" t="s">
        <v>2302</v>
      </c>
      <c r="B2109" s="18">
        <v>35101</v>
      </c>
      <c r="C2109" s="7" t="s">
        <v>25</v>
      </c>
      <c r="D2109" s="20" t="s">
        <v>175</v>
      </c>
      <c r="E2109" s="6" t="s">
        <v>3470</v>
      </c>
      <c r="F2109" s="3">
        <v>2</v>
      </c>
      <c r="L2109" s="3" t="s">
        <v>3427</v>
      </c>
      <c r="N2109" s="48"/>
    </row>
    <row r="2110" spans="1:14" ht="15.75" x14ac:dyDescent="0.45">
      <c r="A2110" s="3" t="s">
        <v>2302</v>
      </c>
      <c r="B2110" s="18">
        <v>34893</v>
      </c>
      <c r="C2110" s="7" t="s">
        <v>25</v>
      </c>
      <c r="D2110" s="20" t="s">
        <v>3471</v>
      </c>
      <c r="E2110" s="6" t="s">
        <v>3472</v>
      </c>
      <c r="F2110" s="3">
        <f>SUM(2,8)</f>
        <v>10</v>
      </c>
      <c r="L2110" s="3" t="s">
        <v>3444</v>
      </c>
      <c r="N2110" s="48"/>
    </row>
    <row r="2111" spans="1:14" ht="15.75" x14ac:dyDescent="0.45">
      <c r="A2111" s="3" t="s">
        <v>2302</v>
      </c>
      <c r="B2111" s="18">
        <v>34277</v>
      </c>
      <c r="C2111" s="7" t="s">
        <v>25</v>
      </c>
      <c r="D2111" s="20" t="s">
        <v>3473</v>
      </c>
      <c r="E2111" s="6" t="s">
        <v>3474</v>
      </c>
      <c r="F2111" s="3">
        <v>12</v>
      </c>
      <c r="L2111" s="3" t="s">
        <v>3336</v>
      </c>
      <c r="N2111" s="48"/>
    </row>
    <row r="2112" spans="1:14" ht="15.75" x14ac:dyDescent="0.45">
      <c r="A2112" s="3" t="s">
        <v>2302</v>
      </c>
      <c r="B2112" s="18">
        <v>34086</v>
      </c>
      <c r="C2112" s="7" t="s">
        <v>25</v>
      </c>
      <c r="D2112" s="20" t="s">
        <v>3475</v>
      </c>
      <c r="E2112" s="6" t="s">
        <v>3476</v>
      </c>
      <c r="F2112" s="3">
        <v>16</v>
      </c>
      <c r="L2112" s="3" t="s">
        <v>3336</v>
      </c>
      <c r="N2112" s="48"/>
    </row>
    <row r="2113" spans="1:14" ht="15.75" x14ac:dyDescent="0.45">
      <c r="A2113" s="3" t="s">
        <v>2302</v>
      </c>
      <c r="B2113" s="18">
        <v>33969</v>
      </c>
      <c r="C2113" s="7" t="s">
        <v>25</v>
      </c>
      <c r="D2113" s="20" t="s">
        <v>3477</v>
      </c>
      <c r="E2113" s="6" t="s">
        <v>3478</v>
      </c>
      <c r="F2113" s="3">
        <v>2</v>
      </c>
      <c r="L2113" s="3" t="s">
        <v>3460</v>
      </c>
      <c r="N2113" s="48"/>
    </row>
    <row r="2114" spans="1:14" ht="15.75" x14ac:dyDescent="0.45">
      <c r="A2114" s="3" t="s">
        <v>2302</v>
      </c>
      <c r="B2114" s="18">
        <v>32813</v>
      </c>
      <c r="C2114" s="7" t="s">
        <v>25</v>
      </c>
      <c r="D2114" s="20" t="s">
        <v>107</v>
      </c>
      <c r="E2114" s="6" t="s">
        <v>3479</v>
      </c>
      <c r="F2114" s="3">
        <v>2</v>
      </c>
      <c r="L2114" s="3" t="s">
        <v>3336</v>
      </c>
      <c r="N2114" s="48"/>
    </row>
    <row r="2115" spans="1:14" ht="15.75" x14ac:dyDescent="0.45">
      <c r="A2115" s="3" t="s">
        <v>2302</v>
      </c>
      <c r="B2115" s="18">
        <v>45671</v>
      </c>
      <c r="C2115" s="7" t="s">
        <v>1131</v>
      </c>
      <c r="D2115" s="20" t="s">
        <v>3480</v>
      </c>
      <c r="E2115" s="6" t="s">
        <v>3481</v>
      </c>
      <c r="F2115" s="3">
        <v>11</v>
      </c>
      <c r="L2115" s="3" t="s">
        <v>3336</v>
      </c>
      <c r="N2115" s="48"/>
    </row>
    <row r="2116" spans="1:14" ht="15.75" x14ac:dyDescent="0.45">
      <c r="A2116" s="3" t="s">
        <v>2302</v>
      </c>
      <c r="B2116" s="18">
        <v>45181</v>
      </c>
      <c r="C2116" s="7" t="s">
        <v>1131</v>
      </c>
      <c r="D2116" s="20" t="s">
        <v>3482</v>
      </c>
      <c r="E2116" s="6" t="s">
        <v>3483</v>
      </c>
      <c r="F2116" s="3">
        <v>5</v>
      </c>
      <c r="L2116" s="3" t="s">
        <v>3336</v>
      </c>
      <c r="N2116" s="48"/>
    </row>
    <row r="2117" spans="1:14" ht="15.75" x14ac:dyDescent="0.45">
      <c r="A2117" s="3" t="s">
        <v>2302</v>
      </c>
      <c r="B2117" s="18">
        <v>44634</v>
      </c>
      <c r="C2117" s="7" t="s">
        <v>1131</v>
      </c>
      <c r="D2117" s="20" t="s">
        <v>3484</v>
      </c>
      <c r="E2117" s="6" t="s">
        <v>3485</v>
      </c>
      <c r="F2117" s="3">
        <v>4</v>
      </c>
      <c r="L2117" s="3" t="s">
        <v>3336</v>
      </c>
      <c r="N2117" s="48"/>
    </row>
    <row r="2118" spans="1:14" ht="15.75" x14ac:dyDescent="0.45">
      <c r="A2118" s="3" t="s">
        <v>2302</v>
      </c>
      <c r="B2118" s="18">
        <v>44434</v>
      </c>
      <c r="C2118" s="7" t="s">
        <v>1131</v>
      </c>
      <c r="D2118" s="20" t="s">
        <v>3486</v>
      </c>
      <c r="E2118" s="6" t="s">
        <v>3487</v>
      </c>
      <c r="F2118" s="3">
        <v>3</v>
      </c>
      <c r="L2118" s="3" t="s">
        <v>3336</v>
      </c>
      <c r="N2118" s="48"/>
    </row>
    <row r="2119" spans="1:14" ht="15.75" x14ac:dyDescent="0.45">
      <c r="A2119" s="3" t="s">
        <v>2302</v>
      </c>
      <c r="B2119" s="18">
        <v>44342</v>
      </c>
      <c r="C2119" s="7" t="s">
        <v>1131</v>
      </c>
      <c r="D2119" s="20" t="s">
        <v>3488</v>
      </c>
      <c r="E2119" s="6" t="s">
        <v>3489</v>
      </c>
      <c r="F2119" s="3">
        <v>4</v>
      </c>
      <c r="L2119" s="3" t="s">
        <v>3336</v>
      </c>
      <c r="N2119" s="48"/>
    </row>
    <row r="2120" spans="1:14" ht="15.75" x14ac:dyDescent="0.45">
      <c r="A2120" s="3" t="s">
        <v>2302</v>
      </c>
      <c r="B2120" s="18">
        <v>43874</v>
      </c>
      <c r="C2120" s="7" t="s">
        <v>1131</v>
      </c>
      <c r="D2120" s="20" t="s">
        <v>3490</v>
      </c>
      <c r="E2120" s="6" t="s">
        <v>3491</v>
      </c>
      <c r="F2120" s="3">
        <v>6</v>
      </c>
      <c r="L2120" s="3" t="s">
        <v>3336</v>
      </c>
      <c r="N2120" s="48"/>
    </row>
    <row r="2121" spans="1:14" ht="15.75" x14ac:dyDescent="0.45">
      <c r="A2121" s="3" t="s">
        <v>2302</v>
      </c>
      <c r="B2121" s="18">
        <v>43627</v>
      </c>
      <c r="C2121" s="7" t="s">
        <v>1131</v>
      </c>
      <c r="D2121" s="20" t="s">
        <v>3492</v>
      </c>
      <c r="E2121" s="6" t="s">
        <v>3493</v>
      </c>
      <c r="F2121" s="3">
        <v>3</v>
      </c>
      <c r="L2121" s="3" t="s">
        <v>3336</v>
      </c>
      <c r="N2121" s="48"/>
    </row>
    <row r="2122" spans="1:14" ht="15.75" x14ac:dyDescent="0.45">
      <c r="A2122" s="3" t="s">
        <v>2302</v>
      </c>
      <c r="B2122" s="18">
        <v>43598</v>
      </c>
      <c r="C2122" s="7" t="s">
        <v>1131</v>
      </c>
      <c r="D2122" s="20" t="s">
        <v>3494</v>
      </c>
      <c r="E2122" s="6" t="s">
        <v>3495</v>
      </c>
      <c r="F2122" s="3">
        <v>3</v>
      </c>
      <c r="L2122" s="3" t="s">
        <v>3336</v>
      </c>
      <c r="N2122" s="48"/>
    </row>
    <row r="2123" spans="1:14" ht="15.75" x14ac:dyDescent="0.45">
      <c r="A2123" s="3" t="s">
        <v>2302</v>
      </c>
      <c r="B2123" s="18">
        <v>43369</v>
      </c>
      <c r="C2123" s="7" t="s">
        <v>1131</v>
      </c>
      <c r="D2123" s="20" t="s">
        <v>3496</v>
      </c>
      <c r="E2123" s="6" t="s">
        <v>3497</v>
      </c>
      <c r="F2123" s="3">
        <f>SUM(2,7,1)</f>
        <v>10</v>
      </c>
      <c r="L2123" s="3" t="s">
        <v>2155</v>
      </c>
      <c r="N2123" s="48"/>
    </row>
    <row r="2124" spans="1:14" ht="15.75" x14ac:dyDescent="0.45">
      <c r="A2124" s="3" t="s">
        <v>2302</v>
      </c>
      <c r="B2124" s="18">
        <v>43216</v>
      </c>
      <c r="C2124" s="7" t="s">
        <v>1131</v>
      </c>
      <c r="D2124" s="20" t="s">
        <v>3498</v>
      </c>
      <c r="E2124" s="6" t="s">
        <v>3499</v>
      </c>
      <c r="F2124" s="3">
        <v>2</v>
      </c>
      <c r="L2124" s="3" t="s">
        <v>3336</v>
      </c>
      <c r="N2124" s="48"/>
    </row>
    <row r="2125" spans="1:14" ht="15.75" x14ac:dyDescent="0.45">
      <c r="A2125" s="3" t="s">
        <v>2302</v>
      </c>
      <c r="B2125" s="18">
        <v>41250</v>
      </c>
      <c r="C2125" s="7" t="s">
        <v>1131</v>
      </c>
      <c r="D2125" s="20" t="s">
        <v>3500</v>
      </c>
      <c r="E2125" s="6" t="s">
        <v>3501</v>
      </c>
      <c r="F2125" s="3">
        <v>9</v>
      </c>
      <c r="N2125" s="48"/>
    </row>
    <row r="2126" spans="1:14" ht="15.75" x14ac:dyDescent="0.45">
      <c r="A2126" s="3" t="s">
        <v>2302</v>
      </c>
      <c r="B2126" s="18">
        <v>41089</v>
      </c>
      <c r="C2126" s="7" t="s">
        <v>1131</v>
      </c>
      <c r="D2126" s="20" t="s">
        <v>3502</v>
      </c>
      <c r="E2126" s="6" t="s">
        <v>3503</v>
      </c>
      <c r="F2126" s="3">
        <v>2</v>
      </c>
      <c r="L2126" s="3" t="s">
        <v>3336</v>
      </c>
      <c r="N2126" s="48"/>
    </row>
    <row r="2127" spans="1:14" ht="15.75" x14ac:dyDescent="0.45">
      <c r="A2127" s="3" t="s">
        <v>2302</v>
      </c>
      <c r="B2127" s="18">
        <v>40472</v>
      </c>
      <c r="C2127" s="7" t="s">
        <v>1131</v>
      </c>
      <c r="D2127" s="20" t="s">
        <v>3504</v>
      </c>
      <c r="E2127" s="6" t="s">
        <v>3505</v>
      </c>
      <c r="F2127" s="3">
        <v>7</v>
      </c>
      <c r="L2127" s="3" t="s">
        <v>3336</v>
      </c>
      <c r="N2127" s="48"/>
    </row>
    <row r="2128" spans="1:14" ht="15.75" x14ac:dyDescent="0.45">
      <c r="A2128" s="3" t="s">
        <v>2302</v>
      </c>
      <c r="B2128" s="18">
        <v>40050</v>
      </c>
      <c r="C2128" s="7" t="s">
        <v>1131</v>
      </c>
      <c r="D2128" s="20" t="s">
        <v>3506</v>
      </c>
      <c r="E2128" s="6" t="s">
        <v>3507</v>
      </c>
      <c r="F2128" s="3">
        <v>2</v>
      </c>
      <c r="L2128" s="3" t="s">
        <v>3336</v>
      </c>
      <c r="N2128" s="48"/>
    </row>
    <row r="2129" spans="1:14" ht="15.75" x14ac:dyDescent="0.45">
      <c r="A2129" s="3" t="s">
        <v>2302</v>
      </c>
      <c r="B2129" s="18">
        <v>40050</v>
      </c>
      <c r="C2129" s="7" t="s">
        <v>1131</v>
      </c>
      <c r="D2129" s="20" t="s">
        <v>3508</v>
      </c>
      <c r="E2129" s="6" t="s">
        <v>3509</v>
      </c>
      <c r="F2129" s="3">
        <f>SUM(3,4)</f>
        <v>7</v>
      </c>
      <c r="L2129" s="3" t="s">
        <v>3355</v>
      </c>
      <c r="N2129" s="48"/>
    </row>
    <row r="2130" spans="1:14" ht="15.75" x14ac:dyDescent="0.45">
      <c r="A2130" s="3" t="s">
        <v>2302</v>
      </c>
      <c r="B2130" s="18">
        <v>39498</v>
      </c>
      <c r="C2130" s="7" t="s">
        <v>1131</v>
      </c>
      <c r="D2130" s="20" t="s">
        <v>3510</v>
      </c>
      <c r="E2130" s="6" t="s">
        <v>3511</v>
      </c>
      <c r="F2130" s="3">
        <v>2</v>
      </c>
      <c r="L2130" s="3" t="s">
        <v>3336</v>
      </c>
      <c r="N2130" s="48"/>
    </row>
    <row r="2131" spans="1:14" ht="15.75" x14ac:dyDescent="0.45">
      <c r="A2131" s="3" t="s">
        <v>2302</v>
      </c>
      <c r="B2131" s="18">
        <v>39286</v>
      </c>
      <c r="C2131" s="7" t="s">
        <v>1131</v>
      </c>
      <c r="D2131" s="20" t="s">
        <v>3512</v>
      </c>
      <c r="E2131" s="6" t="s">
        <v>3513</v>
      </c>
      <c r="F2131" s="3">
        <v>3</v>
      </c>
      <c r="L2131" s="3" t="s">
        <v>3336</v>
      </c>
      <c r="N2131" s="48"/>
    </row>
    <row r="2132" spans="1:14" ht="15.75" x14ac:dyDescent="0.45">
      <c r="A2132" s="3" t="s">
        <v>2302</v>
      </c>
      <c r="B2132" s="18">
        <v>39213</v>
      </c>
      <c r="C2132" s="7" t="s">
        <v>1131</v>
      </c>
      <c r="D2132" s="20" t="s">
        <v>3514</v>
      </c>
      <c r="E2132" s="6" t="s">
        <v>3515</v>
      </c>
      <c r="F2132" s="3">
        <v>4</v>
      </c>
      <c r="L2132" s="3" t="s">
        <v>3336</v>
      </c>
      <c r="N2132" s="48"/>
    </row>
    <row r="2133" spans="1:14" ht="15.75" x14ac:dyDescent="0.45">
      <c r="A2133" s="3" t="s">
        <v>2302</v>
      </c>
      <c r="B2133" s="18">
        <v>39213</v>
      </c>
      <c r="C2133" s="7" t="s">
        <v>1131</v>
      </c>
      <c r="D2133" s="20" t="s">
        <v>3516</v>
      </c>
      <c r="E2133" s="6" t="s">
        <v>3517</v>
      </c>
      <c r="F2133" s="3">
        <v>4</v>
      </c>
      <c r="L2133" s="3" t="s">
        <v>3336</v>
      </c>
      <c r="N2133" s="48"/>
    </row>
    <row r="2134" spans="1:14" ht="15.75" x14ac:dyDescent="0.45">
      <c r="A2134" s="3" t="s">
        <v>2302</v>
      </c>
      <c r="B2134" s="18">
        <v>39212</v>
      </c>
      <c r="C2134" s="7" t="s">
        <v>1131</v>
      </c>
      <c r="D2134" s="20" t="s">
        <v>3518</v>
      </c>
      <c r="E2134" s="6" t="s">
        <v>3519</v>
      </c>
      <c r="F2134" s="3">
        <v>3</v>
      </c>
      <c r="L2134" s="3" t="s">
        <v>3336</v>
      </c>
      <c r="N2134" s="48"/>
    </row>
    <row r="2135" spans="1:14" ht="15.75" x14ac:dyDescent="0.45">
      <c r="A2135" s="3" t="s">
        <v>2302</v>
      </c>
      <c r="B2135" s="18">
        <v>39192</v>
      </c>
      <c r="C2135" s="7" t="s">
        <v>1131</v>
      </c>
      <c r="D2135" s="20" t="s">
        <v>3520</v>
      </c>
      <c r="E2135" s="6" t="s">
        <v>3521</v>
      </c>
      <c r="F2135" s="3">
        <v>3</v>
      </c>
      <c r="L2135" s="3" t="s">
        <v>3336</v>
      </c>
      <c r="N2135" s="48"/>
    </row>
    <row r="2136" spans="1:14" ht="15.75" x14ac:dyDescent="0.45">
      <c r="A2136" s="3" t="s">
        <v>2302</v>
      </c>
      <c r="B2136" s="18">
        <v>39119</v>
      </c>
      <c r="C2136" s="7" t="s">
        <v>1131</v>
      </c>
      <c r="D2136" s="20" t="s">
        <v>3522</v>
      </c>
      <c r="E2136" s="6" t="s">
        <v>3523</v>
      </c>
      <c r="F2136" s="3">
        <v>2</v>
      </c>
      <c r="L2136" s="3" t="s">
        <v>3336</v>
      </c>
      <c r="N2136" s="48"/>
    </row>
    <row r="2137" spans="1:14" ht="15.75" x14ac:dyDescent="0.45">
      <c r="A2137" s="3" t="s">
        <v>2302</v>
      </c>
      <c r="B2137" s="18">
        <v>38805</v>
      </c>
      <c r="C2137" s="7" t="s">
        <v>1131</v>
      </c>
      <c r="D2137" s="20" t="s">
        <v>3524</v>
      </c>
      <c r="E2137" s="6" t="s">
        <v>3525</v>
      </c>
      <c r="F2137" s="3">
        <v>3</v>
      </c>
      <c r="L2137" s="3" t="s">
        <v>3336</v>
      </c>
      <c r="N2137" s="48"/>
    </row>
    <row r="2138" spans="1:14" ht="15.75" x14ac:dyDescent="0.45">
      <c r="A2138" s="3" t="s">
        <v>2302</v>
      </c>
      <c r="B2138" s="18">
        <v>38708</v>
      </c>
      <c r="C2138" s="7" t="s">
        <v>1131</v>
      </c>
      <c r="D2138" s="20" t="s">
        <v>3526</v>
      </c>
      <c r="E2138" s="6" t="s">
        <v>3527</v>
      </c>
      <c r="F2138" s="3">
        <v>2</v>
      </c>
      <c r="L2138" s="3" t="s">
        <v>3336</v>
      </c>
      <c r="N2138" s="48"/>
    </row>
    <row r="2139" spans="1:14" ht="15.75" x14ac:dyDescent="0.45">
      <c r="A2139" s="3" t="s">
        <v>2302</v>
      </c>
      <c r="B2139" s="18">
        <v>38707</v>
      </c>
      <c r="C2139" s="7" t="s">
        <v>1131</v>
      </c>
      <c r="D2139" s="20" t="s">
        <v>3528</v>
      </c>
      <c r="E2139" s="6" t="s">
        <v>3529</v>
      </c>
      <c r="F2139" s="3">
        <v>2</v>
      </c>
      <c r="L2139" s="3" t="s">
        <v>3336</v>
      </c>
      <c r="N2139" s="48"/>
    </row>
    <row r="2140" spans="1:14" ht="15.75" x14ac:dyDescent="0.45">
      <c r="A2140" s="3" t="s">
        <v>2302</v>
      </c>
      <c r="B2140" s="18">
        <v>38646</v>
      </c>
      <c r="C2140" s="7" t="s">
        <v>1131</v>
      </c>
      <c r="D2140" s="20" t="s">
        <v>3530</v>
      </c>
      <c r="E2140" s="6" t="s">
        <v>3531</v>
      </c>
      <c r="F2140" s="3">
        <v>3</v>
      </c>
      <c r="L2140" s="3" t="s">
        <v>3336</v>
      </c>
      <c r="N2140" s="48"/>
    </row>
    <row r="2141" spans="1:14" ht="15.75" x14ac:dyDescent="0.45">
      <c r="A2141" s="3" t="s">
        <v>2302</v>
      </c>
      <c r="B2141" s="18">
        <v>38546</v>
      </c>
      <c r="C2141" s="7" t="s">
        <v>1131</v>
      </c>
      <c r="D2141" s="20" t="s">
        <v>3532</v>
      </c>
      <c r="E2141" s="6" t="s">
        <v>3533</v>
      </c>
      <c r="F2141" s="3">
        <v>2</v>
      </c>
      <c r="L2141" s="3" t="s">
        <v>3336</v>
      </c>
      <c r="N2141" s="48"/>
    </row>
    <row r="2142" spans="1:14" ht="15.75" x14ac:dyDescent="0.45">
      <c r="A2142" s="3" t="s">
        <v>2302</v>
      </c>
      <c r="B2142" s="18">
        <v>38490</v>
      </c>
      <c r="C2142" s="7" t="s">
        <v>1131</v>
      </c>
      <c r="D2142" s="20" t="s">
        <v>3534</v>
      </c>
      <c r="E2142" s="6" t="s">
        <v>3535</v>
      </c>
      <c r="F2142" s="3">
        <v>2</v>
      </c>
      <c r="L2142" s="3" t="s">
        <v>3336</v>
      </c>
      <c r="N2142" s="48"/>
    </row>
    <row r="2143" spans="1:14" ht="15.75" x14ac:dyDescent="0.45">
      <c r="A2143" s="3" t="s">
        <v>2302</v>
      </c>
      <c r="B2143" s="18">
        <v>38490</v>
      </c>
      <c r="C2143" s="7" t="s">
        <v>1131</v>
      </c>
      <c r="D2143" s="20" t="s">
        <v>3536</v>
      </c>
      <c r="E2143" s="6" t="s">
        <v>3537</v>
      </c>
      <c r="F2143" s="3">
        <v>2</v>
      </c>
      <c r="L2143" s="3" t="s">
        <v>3336</v>
      </c>
      <c r="N2143" s="48"/>
    </row>
    <row r="2144" spans="1:14" ht="15.75" x14ac:dyDescent="0.45">
      <c r="A2144" s="3" t="s">
        <v>2302</v>
      </c>
      <c r="B2144" s="18">
        <v>38468</v>
      </c>
      <c r="C2144" s="7" t="s">
        <v>1131</v>
      </c>
      <c r="D2144" s="20" t="s">
        <v>3538</v>
      </c>
      <c r="E2144" s="6" t="s">
        <v>3539</v>
      </c>
      <c r="F2144" s="3">
        <v>5</v>
      </c>
      <c r="L2144" s="3" t="s">
        <v>3336</v>
      </c>
      <c r="N2144" s="48"/>
    </row>
    <row r="2145" spans="1:14" ht="15.75" x14ac:dyDescent="0.45">
      <c r="A2145" s="3" t="s">
        <v>2302</v>
      </c>
      <c r="B2145" s="18">
        <v>38429</v>
      </c>
      <c r="C2145" s="7" t="s">
        <v>1131</v>
      </c>
      <c r="D2145" s="20" t="s">
        <v>3540</v>
      </c>
      <c r="E2145" s="6" t="s">
        <v>3541</v>
      </c>
      <c r="F2145" s="3">
        <v>2</v>
      </c>
      <c r="L2145" s="3" t="s">
        <v>3336</v>
      </c>
      <c r="N2145" s="48"/>
    </row>
    <row r="2146" spans="1:14" ht="15.75" x14ac:dyDescent="0.45">
      <c r="A2146" s="3" t="s">
        <v>2302</v>
      </c>
      <c r="B2146" s="18">
        <v>38288</v>
      </c>
      <c r="C2146" s="7" t="s">
        <v>1131</v>
      </c>
      <c r="D2146" s="20" t="s">
        <v>3542</v>
      </c>
      <c r="E2146" s="6" t="s">
        <v>3543</v>
      </c>
      <c r="F2146" s="3">
        <v>3</v>
      </c>
      <c r="L2146" s="3" t="s">
        <v>3336</v>
      </c>
      <c r="N2146" s="48"/>
    </row>
    <row r="2147" spans="1:14" ht="15.75" x14ac:dyDescent="0.45">
      <c r="A2147" s="3" t="s">
        <v>2302</v>
      </c>
      <c r="B2147" s="18">
        <v>38170</v>
      </c>
      <c r="C2147" s="7" t="s">
        <v>1131</v>
      </c>
      <c r="D2147" s="20" t="s">
        <v>3544</v>
      </c>
      <c r="E2147" s="6" t="s">
        <v>3545</v>
      </c>
      <c r="F2147" s="3">
        <v>2</v>
      </c>
      <c r="L2147" s="3" t="s">
        <v>3336</v>
      </c>
      <c r="N2147" s="48"/>
    </row>
    <row r="2148" spans="1:14" ht="15.75" x14ac:dyDescent="0.45">
      <c r="A2148" s="3" t="s">
        <v>2302</v>
      </c>
      <c r="B2148" s="18">
        <v>38162</v>
      </c>
      <c r="C2148" s="7" t="s">
        <v>1131</v>
      </c>
      <c r="D2148" s="20" t="s">
        <v>3546</v>
      </c>
      <c r="E2148" s="6" t="s">
        <v>3547</v>
      </c>
      <c r="F2148" s="3">
        <v>2</v>
      </c>
      <c r="L2148" s="3" t="s">
        <v>3336</v>
      </c>
      <c r="N2148" s="48"/>
    </row>
    <row r="2149" spans="1:14" ht="15.75" x14ac:dyDescent="0.45">
      <c r="A2149" s="3" t="s">
        <v>2302</v>
      </c>
      <c r="B2149" s="18">
        <v>37855</v>
      </c>
      <c r="C2149" s="7" t="s">
        <v>1131</v>
      </c>
      <c r="D2149" s="20" t="s">
        <v>3548</v>
      </c>
      <c r="E2149" s="6" t="s">
        <v>3549</v>
      </c>
      <c r="F2149" s="3">
        <v>2</v>
      </c>
      <c r="L2149" s="3" t="s">
        <v>3336</v>
      </c>
      <c r="N2149" s="48"/>
    </row>
    <row r="2150" spans="1:14" ht="15.75" x14ac:dyDescent="0.45">
      <c r="A2150" s="3" t="s">
        <v>2302</v>
      </c>
      <c r="B2150" s="18">
        <v>37827</v>
      </c>
      <c r="C2150" s="7" t="s">
        <v>1131</v>
      </c>
      <c r="D2150" s="20" t="s">
        <v>3550</v>
      </c>
      <c r="E2150" s="6" t="s">
        <v>3551</v>
      </c>
      <c r="F2150" s="3">
        <v>2</v>
      </c>
      <c r="L2150" s="3" t="s">
        <v>3336</v>
      </c>
      <c r="N2150" s="48"/>
    </row>
    <row r="2151" spans="1:14" ht="15.75" x14ac:dyDescent="0.45">
      <c r="A2151" s="3" t="s">
        <v>2302</v>
      </c>
      <c r="B2151" s="18">
        <v>37827</v>
      </c>
      <c r="C2151" s="7" t="s">
        <v>1131</v>
      </c>
      <c r="D2151" s="20" t="s">
        <v>3552</v>
      </c>
      <c r="E2151" s="6" t="s">
        <v>3553</v>
      </c>
      <c r="F2151" s="3">
        <v>2</v>
      </c>
      <c r="L2151" s="3" t="s">
        <v>3336</v>
      </c>
      <c r="N2151" s="48"/>
    </row>
    <row r="2152" spans="1:14" ht="15.75" x14ac:dyDescent="0.45">
      <c r="A2152" s="3" t="s">
        <v>2302</v>
      </c>
      <c r="B2152" s="18">
        <v>37816</v>
      </c>
      <c r="C2152" s="7" t="s">
        <v>1131</v>
      </c>
      <c r="D2152" s="20" t="s">
        <v>3554</v>
      </c>
      <c r="E2152" s="6" t="s">
        <v>3555</v>
      </c>
      <c r="F2152" s="3">
        <v>2</v>
      </c>
      <c r="L2152" s="3" t="s">
        <v>3336</v>
      </c>
      <c r="N2152" s="48"/>
    </row>
    <row r="2153" spans="1:14" ht="15.75" x14ac:dyDescent="0.45">
      <c r="A2153" s="3" t="s">
        <v>2302</v>
      </c>
      <c r="B2153" s="18">
        <v>37776</v>
      </c>
      <c r="C2153" s="7" t="s">
        <v>1131</v>
      </c>
      <c r="D2153" s="20" t="s">
        <v>3556</v>
      </c>
      <c r="E2153" s="6" t="s">
        <v>3557</v>
      </c>
      <c r="F2153" s="3">
        <v>2</v>
      </c>
      <c r="L2153" s="3" t="s">
        <v>3336</v>
      </c>
      <c r="N2153" s="48"/>
    </row>
    <row r="2154" spans="1:14" ht="15.75" x14ac:dyDescent="0.45">
      <c r="A2154" s="3" t="s">
        <v>2302</v>
      </c>
      <c r="B2154" s="18">
        <v>37764</v>
      </c>
      <c r="C2154" s="7" t="s">
        <v>1131</v>
      </c>
      <c r="D2154" s="20" t="s">
        <v>3558</v>
      </c>
      <c r="E2154" s="6" t="s">
        <v>3559</v>
      </c>
      <c r="F2154" s="3">
        <v>3</v>
      </c>
      <c r="L2154" s="3" t="s">
        <v>3336</v>
      </c>
      <c r="N2154" s="48"/>
    </row>
    <row r="2155" spans="1:14" ht="15.75" x14ac:dyDescent="0.45">
      <c r="A2155" s="3" t="s">
        <v>2302</v>
      </c>
      <c r="B2155" s="18">
        <v>37739</v>
      </c>
      <c r="C2155" s="7" t="s">
        <v>1131</v>
      </c>
      <c r="D2155" s="20" t="s">
        <v>3560</v>
      </c>
      <c r="E2155" s="6" t="s">
        <v>3561</v>
      </c>
      <c r="F2155" s="3">
        <v>3</v>
      </c>
      <c r="L2155" s="3" t="s">
        <v>3336</v>
      </c>
      <c r="N2155" s="48"/>
    </row>
    <row r="2156" spans="1:14" ht="15.75" x14ac:dyDescent="0.45">
      <c r="A2156" s="3" t="s">
        <v>2302</v>
      </c>
      <c r="B2156" s="18">
        <v>37727</v>
      </c>
      <c r="C2156" s="7" t="s">
        <v>1131</v>
      </c>
      <c r="D2156" s="20" t="s">
        <v>3562</v>
      </c>
      <c r="E2156" s="6" t="s">
        <v>3563</v>
      </c>
      <c r="F2156" s="3">
        <v>3</v>
      </c>
      <c r="L2156" s="3" t="s">
        <v>3336</v>
      </c>
      <c r="N2156" s="48"/>
    </row>
    <row r="2157" spans="1:14" ht="15.75" x14ac:dyDescent="0.45">
      <c r="A2157" s="3" t="s">
        <v>2302</v>
      </c>
      <c r="B2157" s="18">
        <v>37651</v>
      </c>
      <c r="C2157" s="7" t="s">
        <v>1131</v>
      </c>
      <c r="D2157" s="20" t="s">
        <v>3564</v>
      </c>
      <c r="E2157" s="6" t="s">
        <v>3565</v>
      </c>
      <c r="F2157" s="3">
        <v>2</v>
      </c>
      <c r="L2157" s="3" t="s">
        <v>3336</v>
      </c>
      <c r="N2157" s="48"/>
    </row>
    <row r="2158" spans="1:14" ht="15.75" x14ac:dyDescent="0.45">
      <c r="A2158" s="3" t="s">
        <v>2302</v>
      </c>
      <c r="B2158" s="18">
        <v>37650</v>
      </c>
      <c r="C2158" s="7" t="s">
        <v>1131</v>
      </c>
      <c r="D2158" s="20" t="s">
        <v>3566</v>
      </c>
      <c r="E2158" s="6" t="s">
        <v>3567</v>
      </c>
      <c r="F2158" s="3">
        <v>3</v>
      </c>
      <c r="L2158" s="3" t="s">
        <v>3336</v>
      </c>
      <c r="N2158" s="48"/>
    </row>
    <row r="2159" spans="1:14" ht="15.75" x14ac:dyDescent="0.45">
      <c r="A2159" s="3" t="s">
        <v>2302</v>
      </c>
      <c r="B2159" s="18">
        <v>37610</v>
      </c>
      <c r="C2159" s="7" t="s">
        <v>1131</v>
      </c>
      <c r="D2159" s="20" t="s">
        <v>3568</v>
      </c>
      <c r="E2159" s="6" t="s">
        <v>3569</v>
      </c>
      <c r="F2159" s="3">
        <v>10</v>
      </c>
      <c r="L2159" s="3" t="s">
        <v>3336</v>
      </c>
      <c r="N2159" s="48"/>
    </row>
    <row r="2160" spans="1:14" ht="15.75" x14ac:dyDescent="0.45">
      <c r="A2160" s="3" t="s">
        <v>2302</v>
      </c>
      <c r="B2160" s="18">
        <v>37594</v>
      </c>
      <c r="C2160" s="7" t="s">
        <v>1131</v>
      </c>
      <c r="D2160" s="20" t="s">
        <v>3570</v>
      </c>
      <c r="E2160" s="6" t="s">
        <v>3571</v>
      </c>
      <c r="F2160" s="3">
        <v>3</v>
      </c>
      <c r="L2160" s="3" t="s">
        <v>3336</v>
      </c>
      <c r="N2160" s="48"/>
    </row>
    <row r="2161" spans="1:14" ht="15.75" x14ac:dyDescent="0.45">
      <c r="A2161" s="3" t="s">
        <v>2302</v>
      </c>
      <c r="B2161" s="18">
        <v>37473</v>
      </c>
      <c r="C2161" s="7" t="s">
        <v>1131</v>
      </c>
      <c r="D2161" s="20" t="s">
        <v>3572</v>
      </c>
      <c r="E2161" s="6" t="s">
        <v>3573</v>
      </c>
      <c r="F2161" s="3">
        <v>2</v>
      </c>
      <c r="L2161" s="3" t="s">
        <v>3336</v>
      </c>
      <c r="N2161" s="48"/>
    </row>
    <row r="2162" spans="1:14" ht="15.75" x14ac:dyDescent="0.45">
      <c r="A2162" s="3" t="s">
        <v>2302</v>
      </c>
      <c r="B2162" s="18">
        <v>37139</v>
      </c>
      <c r="C2162" s="7" t="s">
        <v>1131</v>
      </c>
      <c r="D2162" s="20" t="s">
        <v>3574</v>
      </c>
      <c r="E2162" s="6" t="s">
        <v>3575</v>
      </c>
      <c r="F2162" s="3">
        <f>SUM(2,2)</f>
        <v>4</v>
      </c>
      <c r="L2162" s="3" t="s">
        <v>3444</v>
      </c>
      <c r="N2162" s="48"/>
    </row>
    <row r="2163" spans="1:14" ht="15.75" x14ac:dyDescent="0.45">
      <c r="A2163" s="3" t="s">
        <v>2302</v>
      </c>
      <c r="B2163" s="18">
        <v>37081</v>
      </c>
      <c r="C2163" s="7" t="s">
        <v>1131</v>
      </c>
      <c r="D2163" s="20" t="s">
        <v>3576</v>
      </c>
      <c r="E2163" s="6" t="s">
        <v>3577</v>
      </c>
      <c r="F2163" s="3">
        <v>2</v>
      </c>
      <c r="L2163" s="3" t="s">
        <v>3336</v>
      </c>
      <c r="N2163" s="48"/>
    </row>
    <row r="2164" spans="1:14" ht="15.75" x14ac:dyDescent="0.45">
      <c r="A2164" s="3" t="s">
        <v>2302</v>
      </c>
      <c r="B2164" s="18">
        <v>37069</v>
      </c>
      <c r="C2164" s="7" t="s">
        <v>1131</v>
      </c>
      <c r="D2164" s="20" t="s">
        <v>3578</v>
      </c>
      <c r="E2164" s="6" t="s">
        <v>3579</v>
      </c>
      <c r="F2164" s="3">
        <v>2</v>
      </c>
      <c r="L2164" s="3" t="s">
        <v>3336</v>
      </c>
      <c r="N2164" s="48"/>
    </row>
    <row r="2165" spans="1:14" ht="15.75" x14ac:dyDescent="0.45">
      <c r="A2165" s="3" t="s">
        <v>2302</v>
      </c>
      <c r="B2165" s="18">
        <v>36950</v>
      </c>
      <c r="C2165" s="7" t="s">
        <v>1131</v>
      </c>
      <c r="D2165" s="20" t="s">
        <v>3580</v>
      </c>
      <c r="E2165" s="6" t="s">
        <v>3581</v>
      </c>
      <c r="F2165" s="3">
        <v>3</v>
      </c>
      <c r="L2165" s="3" t="s">
        <v>3336</v>
      </c>
      <c r="N2165" s="48"/>
    </row>
    <row r="2166" spans="1:14" ht="15.75" x14ac:dyDescent="0.45">
      <c r="A2166" s="3" t="s">
        <v>2302</v>
      </c>
      <c r="B2166" s="18">
        <v>36924</v>
      </c>
      <c r="C2166" s="7" t="s">
        <v>1131</v>
      </c>
      <c r="D2166" s="20" t="s">
        <v>3582</v>
      </c>
      <c r="E2166" s="6" t="s">
        <v>3583</v>
      </c>
      <c r="F2166" s="3">
        <v>3</v>
      </c>
      <c r="L2166" s="3" t="s">
        <v>3336</v>
      </c>
      <c r="N2166" s="48"/>
    </row>
    <row r="2167" spans="1:14" ht="15.75" x14ac:dyDescent="0.45">
      <c r="A2167" s="3" t="s">
        <v>2302</v>
      </c>
      <c r="B2167" s="18">
        <v>36783</v>
      </c>
      <c r="C2167" s="7" t="s">
        <v>1131</v>
      </c>
      <c r="D2167" s="20" t="s">
        <v>3584</v>
      </c>
      <c r="E2167" s="6" t="s">
        <v>3585</v>
      </c>
      <c r="F2167" s="3">
        <v>7</v>
      </c>
      <c r="L2167" s="3" t="s">
        <v>3336</v>
      </c>
      <c r="N2167" s="48"/>
    </row>
    <row r="2168" spans="1:14" ht="15.75" x14ac:dyDescent="0.45">
      <c r="A2168" s="3" t="s">
        <v>2302</v>
      </c>
      <c r="B2168" s="18">
        <v>36388</v>
      </c>
      <c r="C2168" s="7" t="s">
        <v>1131</v>
      </c>
      <c r="D2168" s="20" t="s">
        <v>3586</v>
      </c>
      <c r="E2168" s="6" t="s">
        <v>3587</v>
      </c>
      <c r="F2168" s="3">
        <v>3</v>
      </c>
      <c r="L2168" s="3" t="s">
        <v>3336</v>
      </c>
      <c r="N2168" s="48"/>
    </row>
    <row r="2169" spans="1:14" ht="15.75" x14ac:dyDescent="0.45">
      <c r="A2169" s="3" t="s">
        <v>2302</v>
      </c>
      <c r="B2169" s="18">
        <v>36355</v>
      </c>
      <c r="C2169" s="7" t="s">
        <v>1131</v>
      </c>
      <c r="D2169" s="20" t="s">
        <v>3588</v>
      </c>
      <c r="E2169" s="6" t="s">
        <v>3589</v>
      </c>
      <c r="F2169" s="3">
        <v>2</v>
      </c>
      <c r="L2169" s="3" t="s">
        <v>3336</v>
      </c>
      <c r="N2169" s="48"/>
    </row>
    <row r="2170" spans="1:14" ht="15.75" x14ac:dyDescent="0.45">
      <c r="A2170" s="3" t="s">
        <v>2302</v>
      </c>
      <c r="B2170" s="18">
        <v>36241</v>
      </c>
      <c r="C2170" s="7" t="s">
        <v>1131</v>
      </c>
      <c r="D2170" s="20" t="s">
        <v>3590</v>
      </c>
      <c r="E2170" s="6" t="s">
        <v>3591</v>
      </c>
      <c r="F2170" s="3">
        <v>3</v>
      </c>
      <c r="L2170" s="3" t="s">
        <v>3336</v>
      </c>
      <c r="N2170" s="48"/>
    </row>
    <row r="2171" spans="1:14" ht="15.75" x14ac:dyDescent="0.45">
      <c r="A2171" s="3" t="s">
        <v>2302</v>
      </c>
      <c r="B2171" s="18">
        <v>36241</v>
      </c>
      <c r="C2171" s="7" t="s">
        <v>1131</v>
      </c>
      <c r="D2171" s="20" t="s">
        <v>3592</v>
      </c>
      <c r="E2171" s="6" t="s">
        <v>3593</v>
      </c>
      <c r="F2171" s="3">
        <v>2</v>
      </c>
      <c r="L2171" s="3" t="s">
        <v>3336</v>
      </c>
      <c r="N2171" s="48"/>
    </row>
    <row r="2172" spans="1:14" ht="15.75" x14ac:dyDescent="0.45">
      <c r="A2172" s="3" t="s">
        <v>2302</v>
      </c>
      <c r="B2172" s="18">
        <v>36199</v>
      </c>
      <c r="C2172" s="7" t="s">
        <v>1131</v>
      </c>
      <c r="D2172" s="20" t="s">
        <v>3594</v>
      </c>
      <c r="E2172" s="6" t="s">
        <v>3595</v>
      </c>
      <c r="F2172" s="3">
        <v>3</v>
      </c>
      <c r="L2172" s="3" t="s">
        <v>3336</v>
      </c>
      <c r="N2172" s="48"/>
    </row>
    <row r="2173" spans="1:14" ht="15.75" x14ac:dyDescent="0.45">
      <c r="A2173" s="3" t="s">
        <v>2302</v>
      </c>
      <c r="B2173" s="18">
        <v>36174</v>
      </c>
      <c r="C2173" s="7" t="s">
        <v>1131</v>
      </c>
      <c r="D2173" s="20" t="s">
        <v>3596</v>
      </c>
      <c r="E2173" s="6" t="s">
        <v>3597</v>
      </c>
      <c r="F2173" s="3">
        <v>2</v>
      </c>
      <c r="L2173" s="3" t="s">
        <v>3336</v>
      </c>
      <c r="N2173" s="48"/>
    </row>
    <row r="2174" spans="1:14" ht="15.75" x14ac:dyDescent="0.45">
      <c r="A2174" s="3" t="s">
        <v>2302</v>
      </c>
      <c r="B2174" s="18">
        <v>45079</v>
      </c>
      <c r="C2174" s="7" t="s">
        <v>302</v>
      </c>
      <c r="E2174" s="6" t="s">
        <v>3598</v>
      </c>
      <c r="F2174" s="3">
        <v>3</v>
      </c>
      <c r="L2174" s="3" t="s">
        <v>3599</v>
      </c>
      <c r="N2174" s="48"/>
    </row>
    <row r="2175" spans="1:14" ht="15.75" x14ac:dyDescent="0.45">
      <c r="A2175" s="3" t="s">
        <v>2302</v>
      </c>
      <c r="B2175" s="18">
        <v>45079</v>
      </c>
      <c r="C2175" s="7" t="s">
        <v>302</v>
      </c>
      <c r="E2175" s="6" t="s">
        <v>3600</v>
      </c>
      <c r="F2175" s="3">
        <v>2</v>
      </c>
      <c r="L2175" s="3" t="s">
        <v>3599</v>
      </c>
      <c r="N2175" s="48"/>
    </row>
    <row r="2176" spans="1:14" ht="15.75" x14ac:dyDescent="0.45">
      <c r="A2176" s="3" t="s">
        <v>2302</v>
      </c>
      <c r="B2176" s="18">
        <v>45079</v>
      </c>
      <c r="C2176" s="7" t="s">
        <v>302</v>
      </c>
      <c r="E2176" s="6" t="s">
        <v>3601</v>
      </c>
      <c r="F2176" s="3">
        <v>1</v>
      </c>
      <c r="L2176" s="3" t="s">
        <v>3599</v>
      </c>
      <c r="N2176" s="48"/>
    </row>
    <row r="2177" spans="1:14" ht="15.75" x14ac:dyDescent="0.45">
      <c r="A2177" s="3" t="s">
        <v>2302</v>
      </c>
      <c r="B2177" s="18">
        <v>45079</v>
      </c>
      <c r="C2177" s="7" t="s">
        <v>302</v>
      </c>
      <c r="E2177" s="6" t="s">
        <v>3602</v>
      </c>
      <c r="F2177" s="3">
        <v>1</v>
      </c>
      <c r="L2177" s="3" t="s">
        <v>3599</v>
      </c>
      <c r="N2177" s="48"/>
    </row>
    <row r="2178" spans="1:14" ht="15.75" x14ac:dyDescent="0.45">
      <c r="A2178" s="3" t="s">
        <v>2302</v>
      </c>
      <c r="B2178" s="18">
        <v>45079</v>
      </c>
      <c r="C2178" s="7" t="s">
        <v>302</v>
      </c>
      <c r="E2178" s="6" t="s">
        <v>3603</v>
      </c>
      <c r="F2178" s="3">
        <f>SUM(2,1)</f>
        <v>3</v>
      </c>
      <c r="L2178" s="3" t="s">
        <v>3604</v>
      </c>
      <c r="N2178" s="48"/>
    </row>
    <row r="2179" spans="1:14" ht="15.75" x14ac:dyDescent="0.45">
      <c r="A2179" s="3" t="s">
        <v>2302</v>
      </c>
      <c r="B2179" s="18">
        <v>45079</v>
      </c>
      <c r="C2179" s="7" t="s">
        <v>302</v>
      </c>
      <c r="E2179" s="6" t="s">
        <v>3605</v>
      </c>
      <c r="F2179" s="3">
        <v>3</v>
      </c>
      <c r="L2179" s="3" t="s">
        <v>3599</v>
      </c>
      <c r="N2179" s="48"/>
    </row>
    <row r="2180" spans="1:14" ht="15.75" x14ac:dyDescent="0.45">
      <c r="A2180" s="3" t="s">
        <v>2302</v>
      </c>
      <c r="B2180" s="18">
        <v>45079</v>
      </c>
      <c r="C2180" s="7" t="s">
        <v>302</v>
      </c>
      <c r="E2180" s="6" t="s">
        <v>3606</v>
      </c>
      <c r="F2180" s="3">
        <v>7</v>
      </c>
      <c r="L2180" s="3" t="s">
        <v>3599</v>
      </c>
      <c r="N2180" s="48"/>
    </row>
    <row r="2181" spans="1:14" ht="15.75" x14ac:dyDescent="0.45">
      <c r="A2181" s="3" t="s">
        <v>2302</v>
      </c>
      <c r="B2181" s="18">
        <v>45079</v>
      </c>
      <c r="C2181" s="7" t="s">
        <v>302</v>
      </c>
      <c r="E2181" s="6" t="s">
        <v>3607</v>
      </c>
      <c r="F2181" s="3">
        <v>2</v>
      </c>
      <c r="L2181" s="3" t="s">
        <v>3599</v>
      </c>
      <c r="N2181" s="48"/>
    </row>
    <row r="2182" spans="1:14" ht="15.75" x14ac:dyDescent="0.45">
      <c r="A2182" s="3" t="s">
        <v>2302</v>
      </c>
      <c r="B2182" s="18">
        <v>45079</v>
      </c>
      <c r="C2182" s="7" t="s">
        <v>302</v>
      </c>
      <c r="E2182" s="6" t="s">
        <v>3608</v>
      </c>
      <c r="F2182" s="3">
        <v>2</v>
      </c>
      <c r="L2182" s="3" t="s">
        <v>3599</v>
      </c>
      <c r="N2182" s="48"/>
    </row>
    <row r="2183" spans="1:14" ht="15.75" x14ac:dyDescent="0.45">
      <c r="A2183" s="3" t="s">
        <v>2302</v>
      </c>
      <c r="B2183" s="18">
        <v>45079</v>
      </c>
      <c r="C2183" s="7" t="s">
        <v>302</v>
      </c>
      <c r="E2183" s="6" t="s">
        <v>3609</v>
      </c>
      <c r="F2183" s="3">
        <v>11</v>
      </c>
      <c r="L2183" s="3" t="s">
        <v>3599</v>
      </c>
      <c r="N2183" s="48"/>
    </row>
    <row r="2184" spans="1:14" ht="15.75" x14ac:dyDescent="0.45">
      <c r="A2184" s="3" t="s">
        <v>2302</v>
      </c>
      <c r="B2184" s="18">
        <v>45079</v>
      </c>
      <c r="C2184" s="7" t="s">
        <v>302</v>
      </c>
      <c r="E2184" s="6" t="s">
        <v>3610</v>
      </c>
      <c r="F2184" s="3">
        <v>1</v>
      </c>
      <c r="L2184" s="3" t="s">
        <v>3599</v>
      </c>
      <c r="N2184" s="48"/>
    </row>
    <row r="2185" spans="1:14" ht="15.75" x14ac:dyDescent="0.45">
      <c r="A2185" s="3" t="s">
        <v>2302</v>
      </c>
      <c r="B2185" s="18">
        <v>45000</v>
      </c>
      <c r="C2185" s="7" t="s">
        <v>302</v>
      </c>
      <c r="E2185" s="6" t="s">
        <v>3611</v>
      </c>
      <c r="F2185" s="3">
        <v>1</v>
      </c>
      <c r="L2185" s="3" t="s">
        <v>3599</v>
      </c>
      <c r="N2185" s="48"/>
    </row>
    <row r="2186" spans="1:14" ht="15.75" x14ac:dyDescent="0.45">
      <c r="A2186" s="3" t="s">
        <v>2302</v>
      </c>
      <c r="B2186" s="18">
        <v>44999</v>
      </c>
      <c r="C2186" s="7" t="s">
        <v>302</v>
      </c>
      <c r="E2186" s="6" t="s">
        <v>3612</v>
      </c>
      <c r="F2186" s="3">
        <v>1</v>
      </c>
      <c r="L2186" s="3" t="s">
        <v>3599</v>
      </c>
      <c r="N2186" s="48"/>
    </row>
    <row r="2187" spans="1:14" ht="15.75" x14ac:dyDescent="0.45">
      <c r="A2187" s="3" t="s">
        <v>2302</v>
      </c>
      <c r="B2187" s="18">
        <v>44999</v>
      </c>
      <c r="C2187" s="7" t="s">
        <v>302</v>
      </c>
      <c r="E2187" s="6" t="s">
        <v>3613</v>
      </c>
      <c r="F2187" s="3">
        <v>1</v>
      </c>
      <c r="L2187" s="3" t="s">
        <v>3599</v>
      </c>
      <c r="N2187" s="48"/>
    </row>
    <row r="2188" spans="1:14" ht="15.75" x14ac:dyDescent="0.45">
      <c r="A2188" s="3" t="s">
        <v>2302</v>
      </c>
      <c r="B2188" s="18">
        <v>44916</v>
      </c>
      <c r="C2188" s="7" t="s">
        <v>302</v>
      </c>
      <c r="E2188" s="6" t="s">
        <v>3614</v>
      </c>
      <c r="F2188" s="3">
        <v>8</v>
      </c>
      <c r="L2188" s="3" t="s">
        <v>3599</v>
      </c>
      <c r="N2188" s="48"/>
    </row>
    <row r="2189" spans="1:14" ht="15.75" x14ac:dyDescent="0.45">
      <c r="A2189" s="3" t="s">
        <v>2302</v>
      </c>
      <c r="B2189" s="18">
        <v>44804</v>
      </c>
      <c r="C2189" s="7" t="s">
        <v>302</v>
      </c>
      <c r="E2189" s="6" t="s">
        <v>3615</v>
      </c>
      <c r="F2189" s="3">
        <v>1</v>
      </c>
      <c r="L2189" s="3" t="s">
        <v>3599</v>
      </c>
      <c r="N2189" s="48"/>
    </row>
    <row r="2190" spans="1:14" ht="15.75" x14ac:dyDescent="0.45">
      <c r="A2190" s="3" t="s">
        <v>2302</v>
      </c>
      <c r="B2190" s="18">
        <v>44804</v>
      </c>
      <c r="C2190" s="7" t="s">
        <v>302</v>
      </c>
      <c r="E2190" s="6" t="s">
        <v>3616</v>
      </c>
      <c r="F2190" s="3">
        <v>1</v>
      </c>
      <c r="L2190" s="3" t="s">
        <v>3599</v>
      </c>
      <c r="N2190" s="48"/>
    </row>
    <row r="2191" spans="1:14" ht="15.75" x14ac:dyDescent="0.45">
      <c r="A2191" s="3" t="s">
        <v>2302</v>
      </c>
      <c r="B2191" s="18">
        <v>44804</v>
      </c>
      <c r="C2191" s="7" t="s">
        <v>302</v>
      </c>
      <c r="E2191" s="6" t="s">
        <v>3617</v>
      </c>
      <c r="F2191" s="3">
        <v>1</v>
      </c>
      <c r="L2191" s="3" t="s">
        <v>3599</v>
      </c>
      <c r="N2191" s="48"/>
    </row>
    <row r="2192" spans="1:14" ht="15.75" x14ac:dyDescent="0.45">
      <c r="A2192" s="3" t="s">
        <v>2302</v>
      </c>
      <c r="B2192" s="18">
        <v>44804</v>
      </c>
      <c r="C2192" s="7" t="s">
        <v>302</v>
      </c>
      <c r="E2192" s="6" t="s">
        <v>3618</v>
      </c>
      <c r="F2192" s="3">
        <v>1</v>
      </c>
      <c r="L2192" s="3" t="s">
        <v>3599</v>
      </c>
      <c r="N2192" s="48"/>
    </row>
    <row r="2193" spans="1:14" ht="15.75" x14ac:dyDescent="0.45">
      <c r="A2193" s="3" t="s">
        <v>2302</v>
      </c>
      <c r="B2193" s="18">
        <v>44804</v>
      </c>
      <c r="C2193" s="7" t="s">
        <v>302</v>
      </c>
      <c r="E2193" s="6" t="s">
        <v>3619</v>
      </c>
      <c r="F2193" s="3">
        <v>1</v>
      </c>
      <c r="L2193" s="3" t="s">
        <v>3599</v>
      </c>
      <c r="N2193" s="48"/>
    </row>
    <row r="2194" spans="1:14" ht="15.75" x14ac:dyDescent="0.45">
      <c r="A2194" s="3" t="s">
        <v>2302</v>
      </c>
      <c r="B2194" s="18">
        <v>44617</v>
      </c>
      <c r="C2194" s="7" t="s">
        <v>302</v>
      </c>
      <c r="E2194" s="6" t="s">
        <v>3620</v>
      </c>
      <c r="F2194" s="3">
        <v>1</v>
      </c>
      <c r="L2194" s="3" t="s">
        <v>3599</v>
      </c>
      <c r="N2194" s="48"/>
    </row>
    <row r="2195" spans="1:14" ht="15.75" x14ac:dyDescent="0.45">
      <c r="A2195" s="3" t="s">
        <v>2302</v>
      </c>
      <c r="B2195" s="18">
        <v>44617</v>
      </c>
      <c r="C2195" s="7" t="s">
        <v>302</v>
      </c>
      <c r="E2195" s="6" t="s">
        <v>3621</v>
      </c>
      <c r="F2195" s="3">
        <v>1</v>
      </c>
      <c r="L2195" s="3" t="s">
        <v>3599</v>
      </c>
      <c r="N2195" s="48"/>
    </row>
    <row r="2196" spans="1:14" ht="15.75" x14ac:dyDescent="0.45">
      <c r="A2196" s="3" t="s">
        <v>2302</v>
      </c>
      <c r="B2196" s="18">
        <v>44617</v>
      </c>
      <c r="C2196" s="7" t="s">
        <v>302</v>
      </c>
      <c r="E2196" s="6" t="s">
        <v>3622</v>
      </c>
      <c r="F2196" s="3">
        <v>1</v>
      </c>
      <c r="L2196" s="3" t="s">
        <v>3599</v>
      </c>
      <c r="N2196" s="48"/>
    </row>
    <row r="2197" spans="1:14" ht="15.75" x14ac:dyDescent="0.45">
      <c r="A2197" s="3" t="s">
        <v>2302</v>
      </c>
      <c r="B2197" s="18">
        <v>44617</v>
      </c>
      <c r="C2197" s="7" t="s">
        <v>302</v>
      </c>
      <c r="E2197" s="6" t="s">
        <v>3623</v>
      </c>
      <c r="F2197" s="3">
        <v>1</v>
      </c>
      <c r="L2197" s="3" t="s">
        <v>3599</v>
      </c>
      <c r="N2197" s="48"/>
    </row>
    <row r="2198" spans="1:14" ht="15.75" x14ac:dyDescent="0.45">
      <c r="A2198" s="3" t="s">
        <v>2302</v>
      </c>
      <c r="B2198" s="18">
        <v>44617</v>
      </c>
      <c r="C2198" s="7" t="s">
        <v>302</v>
      </c>
      <c r="E2198" s="6" t="s">
        <v>3624</v>
      </c>
      <c r="F2198" s="3">
        <v>1</v>
      </c>
      <c r="L2198" s="3" t="s">
        <v>3599</v>
      </c>
      <c r="N2198" s="48"/>
    </row>
    <row r="2199" spans="1:14" ht="15.75" x14ac:dyDescent="0.45">
      <c r="A2199" s="3" t="s">
        <v>2302</v>
      </c>
      <c r="B2199" s="18">
        <v>44617</v>
      </c>
      <c r="C2199" s="7" t="s">
        <v>302</v>
      </c>
      <c r="E2199" s="6" t="s">
        <v>3625</v>
      </c>
      <c r="F2199" s="3">
        <v>1</v>
      </c>
      <c r="L2199" s="3" t="s">
        <v>3599</v>
      </c>
      <c r="N2199" s="48"/>
    </row>
    <row r="2200" spans="1:14" ht="15.75" x14ac:dyDescent="0.45">
      <c r="A2200" s="3" t="s">
        <v>2302</v>
      </c>
      <c r="B2200" s="18">
        <v>44617</v>
      </c>
      <c r="C2200" s="7" t="s">
        <v>302</v>
      </c>
      <c r="E2200" s="6" t="s">
        <v>3626</v>
      </c>
      <c r="F2200" s="3">
        <v>1</v>
      </c>
      <c r="L2200" s="3" t="s">
        <v>3599</v>
      </c>
      <c r="N2200" s="48"/>
    </row>
    <row r="2201" spans="1:14" ht="15.75" x14ac:dyDescent="0.45">
      <c r="A2201" s="3" t="s">
        <v>2302</v>
      </c>
      <c r="B2201" s="18">
        <v>44617</v>
      </c>
      <c r="C2201" s="7" t="s">
        <v>302</v>
      </c>
      <c r="E2201" s="6" t="s">
        <v>3627</v>
      </c>
      <c r="F2201" s="3">
        <v>1</v>
      </c>
      <c r="L2201" s="3" t="s">
        <v>3599</v>
      </c>
      <c r="N2201" s="48"/>
    </row>
    <row r="2202" spans="1:14" ht="15.75" x14ac:dyDescent="0.45">
      <c r="A2202" s="3" t="s">
        <v>2302</v>
      </c>
      <c r="B2202" s="18">
        <v>44617</v>
      </c>
      <c r="C2202" s="7" t="s">
        <v>302</v>
      </c>
      <c r="E2202" s="6" t="s">
        <v>3628</v>
      </c>
      <c r="F2202" s="3">
        <v>1</v>
      </c>
      <c r="L2202" s="3" t="s">
        <v>3599</v>
      </c>
      <c r="N2202" s="48"/>
    </row>
    <row r="2203" spans="1:14" ht="15.75" x14ac:dyDescent="0.45">
      <c r="A2203" s="3" t="s">
        <v>2302</v>
      </c>
      <c r="B2203" s="18">
        <v>44617</v>
      </c>
      <c r="C2203" s="7" t="s">
        <v>302</v>
      </c>
      <c r="E2203" s="6" t="s">
        <v>3629</v>
      </c>
      <c r="F2203" s="3">
        <v>1</v>
      </c>
      <c r="L2203" s="3" t="s">
        <v>3599</v>
      </c>
      <c r="N2203" s="48"/>
    </row>
    <row r="2204" spans="1:14" ht="15.75" x14ac:dyDescent="0.45">
      <c r="A2204" s="3" t="s">
        <v>2302</v>
      </c>
      <c r="B2204" s="18">
        <v>44617</v>
      </c>
      <c r="C2204" s="7" t="s">
        <v>302</v>
      </c>
      <c r="E2204" s="6" t="s">
        <v>3630</v>
      </c>
      <c r="F2204" s="3">
        <v>1</v>
      </c>
      <c r="L2204" s="3" t="s">
        <v>3599</v>
      </c>
      <c r="N2204" s="48"/>
    </row>
    <row r="2205" spans="1:14" ht="15.75" x14ac:dyDescent="0.45">
      <c r="A2205" s="3" t="s">
        <v>2302</v>
      </c>
      <c r="B2205" s="18">
        <v>44617</v>
      </c>
      <c r="C2205" s="7" t="s">
        <v>302</v>
      </c>
      <c r="E2205" s="6" t="s">
        <v>3631</v>
      </c>
      <c r="F2205" s="3">
        <v>1</v>
      </c>
      <c r="L2205" s="3" t="s">
        <v>3599</v>
      </c>
      <c r="N2205" s="48"/>
    </row>
    <row r="2206" spans="1:14" ht="15.75" x14ac:dyDescent="0.45">
      <c r="A2206" s="3" t="s">
        <v>2302</v>
      </c>
      <c r="B2206" s="18">
        <v>44617</v>
      </c>
      <c r="C2206" s="7" t="s">
        <v>302</v>
      </c>
      <c r="E2206" s="6" t="s">
        <v>3632</v>
      </c>
      <c r="F2206" s="3">
        <v>1</v>
      </c>
      <c r="L2206" s="3" t="s">
        <v>3599</v>
      </c>
      <c r="N2206" s="48"/>
    </row>
    <row r="2207" spans="1:14" ht="15.75" x14ac:dyDescent="0.45">
      <c r="A2207" s="3" t="s">
        <v>2302</v>
      </c>
      <c r="B2207" s="18">
        <v>44617</v>
      </c>
      <c r="C2207" s="7" t="s">
        <v>302</v>
      </c>
      <c r="E2207" s="6" t="s">
        <v>3633</v>
      </c>
      <c r="F2207" s="3">
        <v>1</v>
      </c>
      <c r="L2207" s="3" t="s">
        <v>3599</v>
      </c>
      <c r="N2207" s="48"/>
    </row>
    <row r="2208" spans="1:14" ht="15.75" x14ac:dyDescent="0.45">
      <c r="A2208" s="3" t="s">
        <v>2302</v>
      </c>
      <c r="B2208" s="18">
        <v>44617</v>
      </c>
      <c r="C2208" s="7" t="s">
        <v>302</v>
      </c>
      <c r="E2208" s="6" t="s">
        <v>3634</v>
      </c>
      <c r="F2208" s="3">
        <v>1</v>
      </c>
      <c r="L2208" s="3" t="s">
        <v>3599</v>
      </c>
      <c r="N2208" s="48"/>
    </row>
    <row r="2209" spans="1:14" ht="15.75" x14ac:dyDescent="0.45">
      <c r="A2209" s="3" t="s">
        <v>2302</v>
      </c>
      <c r="B2209" s="18">
        <v>44616</v>
      </c>
      <c r="C2209" s="7" t="s">
        <v>302</v>
      </c>
      <c r="E2209" s="6" t="s">
        <v>3635</v>
      </c>
      <c r="F2209" s="3">
        <v>1</v>
      </c>
      <c r="L2209" s="3" t="s">
        <v>3599</v>
      </c>
      <c r="N2209" s="48"/>
    </row>
    <row r="2210" spans="1:14" ht="15.75" x14ac:dyDescent="0.45">
      <c r="A2210" s="3" t="s">
        <v>2302</v>
      </c>
      <c r="B2210" s="18">
        <v>44616</v>
      </c>
      <c r="C2210" s="7" t="s">
        <v>302</v>
      </c>
      <c r="E2210" s="6" t="s">
        <v>3636</v>
      </c>
      <c r="F2210" s="3">
        <v>1</v>
      </c>
      <c r="L2210" s="3" t="s">
        <v>3599</v>
      </c>
      <c r="N2210" s="48"/>
    </row>
    <row r="2211" spans="1:14" ht="15.75" x14ac:dyDescent="0.45">
      <c r="A2211" s="3" t="s">
        <v>2302</v>
      </c>
      <c r="B2211" s="18">
        <v>44616</v>
      </c>
      <c r="C2211" s="7" t="s">
        <v>302</v>
      </c>
      <c r="E2211" s="6" t="s">
        <v>3637</v>
      </c>
      <c r="F2211" s="3">
        <v>1</v>
      </c>
      <c r="L2211" s="3" t="s">
        <v>3599</v>
      </c>
      <c r="N2211" s="48"/>
    </row>
    <row r="2212" spans="1:14" ht="15.75" x14ac:dyDescent="0.45">
      <c r="A2212" s="3" t="s">
        <v>2302</v>
      </c>
      <c r="B2212" s="18">
        <v>44615</v>
      </c>
      <c r="C2212" s="7" t="s">
        <v>302</v>
      </c>
      <c r="E2212" s="6" t="s">
        <v>3638</v>
      </c>
      <c r="F2212" s="3">
        <v>1</v>
      </c>
      <c r="L2212" s="3" t="s">
        <v>3599</v>
      </c>
      <c r="N2212" s="48"/>
    </row>
    <row r="2213" spans="1:14" ht="15.75" x14ac:dyDescent="0.45">
      <c r="A2213" s="3" t="s">
        <v>2302</v>
      </c>
      <c r="B2213" s="18">
        <v>44320</v>
      </c>
      <c r="C2213" s="7" t="s">
        <v>302</v>
      </c>
      <c r="E2213" s="6" t="s">
        <v>3639</v>
      </c>
      <c r="F2213" s="3">
        <v>3</v>
      </c>
      <c r="L2213" s="3" t="s">
        <v>3599</v>
      </c>
      <c r="N2213" s="48"/>
    </row>
    <row r="2214" spans="1:14" ht="15.75" x14ac:dyDescent="0.45">
      <c r="A2214" s="3" t="s">
        <v>2302</v>
      </c>
      <c r="B2214" s="18">
        <v>44047</v>
      </c>
      <c r="C2214" s="7" t="s">
        <v>302</v>
      </c>
      <c r="E2214" s="6" t="s">
        <v>3640</v>
      </c>
      <c r="F2214" s="3">
        <v>3</v>
      </c>
      <c r="L2214" s="3" t="s">
        <v>3599</v>
      </c>
      <c r="N2214" s="48"/>
    </row>
    <row r="2215" spans="1:14" ht="15.75" x14ac:dyDescent="0.45">
      <c r="A2215" s="3" t="s">
        <v>2302</v>
      </c>
      <c r="B2215" s="18">
        <v>43046</v>
      </c>
      <c r="C2215" s="7" t="s">
        <v>302</v>
      </c>
      <c r="E2215" s="6" t="s">
        <v>3641</v>
      </c>
      <c r="F2215" s="3">
        <v>5</v>
      </c>
      <c r="L2215" s="3" t="s">
        <v>3642</v>
      </c>
      <c r="N2215" s="48"/>
    </row>
    <row r="2216" spans="1:14" ht="15.75" x14ac:dyDescent="0.45">
      <c r="A2216" s="3" t="s">
        <v>2302</v>
      </c>
      <c r="B2216" s="18">
        <v>42381</v>
      </c>
      <c r="C2216" s="7" t="s">
        <v>302</v>
      </c>
      <c r="E2216" s="6" t="s">
        <v>3643</v>
      </c>
      <c r="F2216" s="3">
        <v>5</v>
      </c>
      <c r="L2216" s="3" t="s">
        <v>3599</v>
      </c>
      <c r="N2216" s="48"/>
    </row>
    <row r="2217" spans="1:14" ht="15.75" x14ac:dyDescent="0.45">
      <c r="A2217" s="3" t="s">
        <v>2302</v>
      </c>
      <c r="B2217" s="18">
        <v>42181</v>
      </c>
      <c r="C2217" s="7" t="s">
        <v>302</v>
      </c>
      <c r="E2217" s="6" t="s">
        <v>3644</v>
      </c>
      <c r="F2217" s="3">
        <v>1</v>
      </c>
      <c r="L2217" s="3" t="s">
        <v>3599</v>
      </c>
      <c r="N2217" s="48"/>
    </row>
    <row r="2218" spans="1:14" ht="15.75" x14ac:dyDescent="0.45">
      <c r="A2218" s="3" t="s">
        <v>2302</v>
      </c>
      <c r="B2218" s="18">
        <v>42036</v>
      </c>
      <c r="C2218" s="7" t="s">
        <v>302</v>
      </c>
      <c r="E2218" s="6" t="s">
        <v>3645</v>
      </c>
      <c r="F2218" s="3">
        <v>3</v>
      </c>
      <c r="L2218" s="3" t="s">
        <v>3599</v>
      </c>
      <c r="N2218" s="48"/>
    </row>
    <row r="2219" spans="1:14" ht="15.75" x14ac:dyDescent="0.45">
      <c r="A2219" s="3" t="s">
        <v>2302</v>
      </c>
      <c r="B2219" s="18">
        <v>45128</v>
      </c>
      <c r="C2219" s="7" t="s">
        <v>592</v>
      </c>
      <c r="E2219" s="6" t="s">
        <v>3646</v>
      </c>
      <c r="F2219" s="3">
        <v>193</v>
      </c>
      <c r="L2219" s="43" t="s">
        <v>3647</v>
      </c>
      <c r="N2219" s="48"/>
    </row>
    <row r="2220" spans="1:14" ht="15.75" x14ac:dyDescent="0.45">
      <c r="A2220" s="3" t="s">
        <v>2302</v>
      </c>
      <c r="B2220" s="18">
        <v>45079</v>
      </c>
      <c r="C2220" s="7" t="s">
        <v>592</v>
      </c>
      <c r="E2220" s="6" t="s">
        <v>3648</v>
      </c>
      <c r="F2220" s="3">
        <v>7</v>
      </c>
      <c r="L2220" s="43" t="s">
        <v>3647</v>
      </c>
      <c r="N2220" s="48"/>
    </row>
    <row r="2221" spans="1:14" ht="15.75" x14ac:dyDescent="0.45">
      <c r="A2221" s="3" t="s">
        <v>2302</v>
      </c>
      <c r="B2221" s="18">
        <v>45044</v>
      </c>
      <c r="C2221" s="7" t="s">
        <v>592</v>
      </c>
      <c r="E2221" s="6" t="s">
        <v>3649</v>
      </c>
      <c r="F2221" s="3">
        <v>6</v>
      </c>
      <c r="L2221" s="43" t="s">
        <v>3647</v>
      </c>
      <c r="N2221" s="48"/>
    </row>
    <row r="2222" spans="1:14" ht="15.75" x14ac:dyDescent="0.45">
      <c r="A2222" s="3" t="s">
        <v>2302</v>
      </c>
      <c r="B2222" s="18">
        <v>45023</v>
      </c>
      <c r="C2222" s="7" t="s">
        <v>592</v>
      </c>
      <c r="E2222" s="6" t="s">
        <v>3650</v>
      </c>
      <c r="F2222" s="3">
        <v>5</v>
      </c>
      <c r="L2222" s="43" t="s">
        <v>3647</v>
      </c>
      <c r="N2222" s="48"/>
    </row>
    <row r="2223" spans="1:14" ht="15.75" x14ac:dyDescent="0.45">
      <c r="A2223" s="3" t="s">
        <v>2302</v>
      </c>
      <c r="B2223" s="18">
        <v>44981</v>
      </c>
      <c r="C2223" s="7" t="s">
        <v>592</v>
      </c>
      <c r="E2223" s="6" t="s">
        <v>3651</v>
      </c>
      <c r="F2223" s="3">
        <v>6</v>
      </c>
      <c r="L2223" s="43" t="s">
        <v>3647</v>
      </c>
      <c r="N2223" s="48"/>
    </row>
    <row r="2224" spans="1:14" ht="15.75" x14ac:dyDescent="0.45">
      <c r="A2224" s="3" t="s">
        <v>2302</v>
      </c>
      <c r="B2224" s="18">
        <v>44939</v>
      </c>
      <c r="C2224" s="7" t="s">
        <v>592</v>
      </c>
      <c r="E2224" s="6" t="s">
        <v>3652</v>
      </c>
      <c r="F2224" s="3">
        <v>9</v>
      </c>
      <c r="L2224" s="43" t="s">
        <v>3647</v>
      </c>
      <c r="N2224" s="48"/>
    </row>
    <row r="2225" spans="1:14" ht="15.75" x14ac:dyDescent="0.45">
      <c r="A2225" s="3" t="s">
        <v>2302</v>
      </c>
      <c r="B2225" s="18">
        <v>44897</v>
      </c>
      <c r="C2225" s="7" t="s">
        <v>592</v>
      </c>
      <c r="E2225" s="6" t="s">
        <v>3653</v>
      </c>
      <c r="F2225" s="3">
        <v>2</v>
      </c>
      <c r="L2225" s="43" t="s">
        <v>3647</v>
      </c>
      <c r="N2225" s="48"/>
    </row>
    <row r="2226" spans="1:14" ht="15.75" x14ac:dyDescent="0.45">
      <c r="A2226" s="3" t="s">
        <v>2302</v>
      </c>
      <c r="B2226" s="18">
        <v>44823</v>
      </c>
      <c r="C2226" s="7" t="s">
        <v>592</v>
      </c>
      <c r="E2226" s="6" t="s">
        <v>3654</v>
      </c>
      <c r="F2226" s="3">
        <v>3</v>
      </c>
      <c r="L2226" s="3" t="s">
        <v>2483</v>
      </c>
      <c r="N2226" s="48"/>
    </row>
    <row r="2227" spans="1:14" ht="15.75" x14ac:dyDescent="0.45">
      <c r="A2227" s="3" t="s">
        <v>2302</v>
      </c>
      <c r="B2227" s="18">
        <v>44818</v>
      </c>
      <c r="C2227" s="7" t="s">
        <v>592</v>
      </c>
      <c r="E2227" s="6" t="s">
        <v>3655</v>
      </c>
      <c r="F2227" s="3">
        <v>23</v>
      </c>
      <c r="L2227" s="43" t="s">
        <v>3647</v>
      </c>
      <c r="N2227" s="48"/>
    </row>
    <row r="2228" spans="1:14" ht="15.75" x14ac:dyDescent="0.45">
      <c r="A2228" s="3" t="s">
        <v>2302</v>
      </c>
      <c r="B2228" s="18">
        <v>44818</v>
      </c>
      <c r="C2228" s="7" t="s">
        <v>592</v>
      </c>
      <c r="E2228" s="6" t="s">
        <v>3656</v>
      </c>
      <c r="F2228" s="3">
        <v>38</v>
      </c>
      <c r="L2228" s="43" t="s">
        <v>3647</v>
      </c>
      <c r="N2228" s="48"/>
    </row>
    <row r="2229" spans="1:14" ht="15.75" x14ac:dyDescent="0.45">
      <c r="A2229" s="3" t="s">
        <v>2302</v>
      </c>
      <c r="B2229" s="18">
        <v>44788</v>
      </c>
      <c r="C2229" s="7" t="s">
        <v>592</v>
      </c>
      <c r="E2229" s="6" t="s">
        <v>3657</v>
      </c>
      <c r="F2229" s="3">
        <v>24</v>
      </c>
      <c r="L2229" s="43" t="s">
        <v>3647</v>
      </c>
      <c r="N2229" s="48"/>
    </row>
    <row r="2230" spans="1:14" ht="15.75" x14ac:dyDescent="0.45">
      <c r="A2230" s="3" t="s">
        <v>2302</v>
      </c>
      <c r="B2230" s="18">
        <v>44784</v>
      </c>
      <c r="C2230" s="7" t="s">
        <v>592</v>
      </c>
      <c r="E2230" s="6" t="s">
        <v>3658</v>
      </c>
      <c r="F2230" s="3">
        <v>99</v>
      </c>
      <c r="L2230" s="43" t="s">
        <v>3647</v>
      </c>
      <c r="N2230" s="48"/>
    </row>
    <row r="2231" spans="1:14" ht="15.75" x14ac:dyDescent="0.45">
      <c r="A2231" s="3" t="s">
        <v>2302</v>
      </c>
      <c r="B2231" s="18">
        <v>44748</v>
      </c>
      <c r="C2231" s="7" t="s">
        <v>592</v>
      </c>
      <c r="E2231" s="6" t="s">
        <v>3659</v>
      </c>
      <c r="F2231" s="3">
        <v>5</v>
      </c>
      <c r="L2231" s="43" t="s">
        <v>3647</v>
      </c>
      <c r="N2231" s="48"/>
    </row>
    <row r="2232" spans="1:14" ht="15.75" x14ac:dyDescent="0.45">
      <c r="A2232" s="3" t="s">
        <v>2302</v>
      </c>
      <c r="B2232" s="18">
        <v>44721</v>
      </c>
      <c r="C2232" s="7" t="s">
        <v>592</v>
      </c>
      <c r="E2232" s="6" t="s">
        <v>3660</v>
      </c>
      <c r="F2232" s="3">
        <f>SUM(2,10,2)</f>
        <v>14</v>
      </c>
      <c r="L2232" s="43" t="s">
        <v>3661</v>
      </c>
      <c r="N2232" s="48"/>
    </row>
    <row r="2233" spans="1:14" ht="15.75" x14ac:dyDescent="0.45">
      <c r="A2233" s="3" t="s">
        <v>2302</v>
      </c>
      <c r="B2233" s="18">
        <v>44627</v>
      </c>
      <c r="C2233" s="7" t="s">
        <v>592</v>
      </c>
      <c r="E2233" s="6" t="s">
        <v>3662</v>
      </c>
      <c r="F2233" s="3">
        <v>32</v>
      </c>
      <c r="L2233" s="43" t="s">
        <v>3647</v>
      </c>
      <c r="N2233" s="48"/>
    </row>
    <row r="2234" spans="1:14" ht="15.75" x14ac:dyDescent="0.45">
      <c r="A2234" s="3" t="s">
        <v>2302</v>
      </c>
      <c r="B2234" s="18">
        <v>44627</v>
      </c>
      <c r="C2234" s="7" t="s">
        <v>592</v>
      </c>
      <c r="E2234" s="6" t="s">
        <v>3663</v>
      </c>
      <c r="F2234" s="3">
        <v>6</v>
      </c>
      <c r="L2234" s="43" t="s">
        <v>3647</v>
      </c>
      <c r="N2234" s="48"/>
    </row>
    <row r="2235" spans="1:14" ht="15.75" x14ac:dyDescent="0.45">
      <c r="A2235" s="3" t="s">
        <v>2302</v>
      </c>
      <c r="B2235" s="18">
        <v>44592</v>
      </c>
      <c r="C2235" s="7" t="s">
        <v>592</v>
      </c>
      <c r="E2235" s="6" t="s">
        <v>3664</v>
      </c>
      <c r="F2235" s="3">
        <f>SUM(1,26,3,8,40,17,32,7)</f>
        <v>134</v>
      </c>
      <c r="L2235" s="43" t="s">
        <v>3665</v>
      </c>
      <c r="N2235" s="48"/>
    </row>
    <row r="2236" spans="1:14" ht="15.75" x14ac:dyDescent="0.45">
      <c r="A2236" s="3" t="s">
        <v>2302</v>
      </c>
      <c r="B2236" s="18">
        <v>44561</v>
      </c>
      <c r="C2236" s="7" t="s">
        <v>592</v>
      </c>
      <c r="E2236" s="6" t="s">
        <v>3666</v>
      </c>
      <c r="F2236" s="3">
        <f>SUM(2,16,25,27,7,28,29,104,5,2,13,15,6,2,8,168,19,5,71,158)</f>
        <v>710</v>
      </c>
      <c r="L2236" s="43" t="s">
        <v>3667</v>
      </c>
      <c r="N2236" s="48"/>
    </row>
    <row r="2237" spans="1:14" ht="15.75" x14ac:dyDescent="0.45">
      <c r="A2237" s="3" t="s">
        <v>2302</v>
      </c>
      <c r="B2237" s="18">
        <v>44494</v>
      </c>
      <c r="C2237" s="7" t="s">
        <v>592</v>
      </c>
      <c r="E2237" s="6" t="s">
        <v>3668</v>
      </c>
      <c r="F2237" s="3">
        <v>11</v>
      </c>
      <c r="L2237" s="43" t="s">
        <v>3647</v>
      </c>
      <c r="N2237" s="48"/>
    </row>
    <row r="2238" spans="1:14" ht="15.75" x14ac:dyDescent="0.45">
      <c r="A2238" s="3" t="s">
        <v>2302</v>
      </c>
      <c r="B2238" s="18">
        <v>44475</v>
      </c>
      <c r="C2238" s="7" t="s">
        <v>592</v>
      </c>
      <c r="E2238" s="6" t="s">
        <v>3669</v>
      </c>
      <c r="F2238" s="3">
        <v>31</v>
      </c>
      <c r="L2238" s="43" t="s">
        <v>3647</v>
      </c>
      <c r="N2238" s="48"/>
    </row>
    <row r="2239" spans="1:14" ht="15.75" x14ac:dyDescent="0.45">
      <c r="A2239" s="3" t="s">
        <v>2302</v>
      </c>
      <c r="B2239" s="18">
        <v>44406</v>
      </c>
      <c r="C2239" s="7" t="s">
        <v>592</v>
      </c>
      <c r="E2239" s="6" t="s">
        <v>3670</v>
      </c>
      <c r="F2239" s="3">
        <f>SUM(3,SUM(30,29,11,30,39,36,22,25,39,62,94,115,31,174,87,41,29))</f>
        <v>897</v>
      </c>
      <c r="L2239" s="43" t="s">
        <v>3671</v>
      </c>
      <c r="N2239" s="48"/>
    </row>
    <row r="2240" spans="1:14" ht="15.75" x14ac:dyDescent="0.45">
      <c r="A2240" s="3" t="s">
        <v>2302</v>
      </c>
      <c r="B2240" s="18">
        <v>44228</v>
      </c>
      <c r="C2240" s="7" t="s">
        <v>592</v>
      </c>
      <c r="E2240" s="6" t="s">
        <v>3672</v>
      </c>
      <c r="F2240" s="3">
        <v>26</v>
      </c>
      <c r="L2240" s="43" t="s">
        <v>3647</v>
      </c>
      <c r="N2240" s="48"/>
    </row>
    <row r="2241" spans="1:14" ht="15.75" x14ac:dyDescent="0.45">
      <c r="A2241" s="3" t="s">
        <v>2302</v>
      </c>
      <c r="B2241" s="18">
        <v>44195</v>
      </c>
      <c r="C2241" s="7" t="s">
        <v>592</v>
      </c>
      <c r="E2241" s="6" t="s">
        <v>3673</v>
      </c>
      <c r="F2241" s="3">
        <v>49</v>
      </c>
      <c r="L2241" s="43" t="s">
        <v>3647</v>
      </c>
      <c r="N2241" s="48"/>
    </row>
    <row r="2242" spans="1:14" ht="15.75" x14ac:dyDescent="0.45">
      <c r="A2242" s="3" t="s">
        <v>2302</v>
      </c>
      <c r="B2242" s="18">
        <v>44195</v>
      </c>
      <c r="C2242" s="7" t="s">
        <v>592</v>
      </c>
      <c r="E2242" s="6" t="s">
        <v>3674</v>
      </c>
      <c r="F2242" s="3">
        <v>36</v>
      </c>
      <c r="L2242" s="43" t="s">
        <v>3647</v>
      </c>
      <c r="N2242" s="48"/>
    </row>
    <row r="2243" spans="1:14" ht="15.75" x14ac:dyDescent="0.45">
      <c r="A2243" s="3" t="s">
        <v>2302</v>
      </c>
      <c r="B2243" s="18">
        <v>44168</v>
      </c>
      <c r="C2243" s="7" t="s">
        <v>592</v>
      </c>
      <c r="E2243" s="6" t="s">
        <v>3675</v>
      </c>
      <c r="F2243" s="3">
        <v>64</v>
      </c>
      <c r="L2243" s="43" t="s">
        <v>3647</v>
      </c>
      <c r="N2243" s="48"/>
    </row>
    <row r="2244" spans="1:14" ht="15.75" x14ac:dyDescent="0.45">
      <c r="A2244" s="3" t="s">
        <v>2302</v>
      </c>
      <c r="B2244" s="18">
        <v>43699</v>
      </c>
      <c r="C2244" s="7" t="s">
        <v>592</v>
      </c>
      <c r="E2244" s="6" t="s">
        <v>3676</v>
      </c>
      <c r="F2244" s="3">
        <v>72</v>
      </c>
      <c r="L2244" s="43" t="s">
        <v>3647</v>
      </c>
      <c r="N2244" s="48"/>
    </row>
    <row r="2245" spans="1:14" ht="15.75" x14ac:dyDescent="0.45">
      <c r="A2245" s="3" t="s">
        <v>2302</v>
      </c>
      <c r="B2245" s="18">
        <v>43607</v>
      </c>
      <c r="C2245" s="7" t="s">
        <v>592</v>
      </c>
      <c r="E2245" s="6" t="s">
        <v>3677</v>
      </c>
      <c r="F2245" s="3">
        <f>SUM(2,5,32,173,184)</f>
        <v>396</v>
      </c>
      <c r="L2245" s="43" t="s">
        <v>3678</v>
      </c>
      <c r="N2245" s="48"/>
    </row>
    <row r="2246" spans="1:14" ht="15.75" x14ac:dyDescent="0.45">
      <c r="A2246" s="3" t="s">
        <v>2302</v>
      </c>
      <c r="B2246" s="18">
        <v>43606</v>
      </c>
      <c r="C2246" s="7" t="s">
        <v>592</v>
      </c>
      <c r="E2246" s="6" t="s">
        <v>3679</v>
      </c>
      <c r="F2246" s="3">
        <f>SUM(109,106)</f>
        <v>215</v>
      </c>
      <c r="L2246" s="43" t="s">
        <v>790</v>
      </c>
      <c r="N2246" s="48"/>
    </row>
    <row r="2247" spans="1:14" ht="15.75" x14ac:dyDescent="0.45">
      <c r="A2247" s="3" t="s">
        <v>2302</v>
      </c>
      <c r="B2247" s="18">
        <v>43258</v>
      </c>
      <c r="C2247" s="7" t="s">
        <v>592</v>
      </c>
      <c r="E2247" s="6" t="s">
        <v>3680</v>
      </c>
      <c r="F2247" s="3">
        <v>29</v>
      </c>
      <c r="L2247" s="43" t="s">
        <v>3647</v>
      </c>
      <c r="N2247" s="48"/>
    </row>
    <row r="2248" spans="1:14" ht="15.75" x14ac:dyDescent="0.45">
      <c r="A2248" s="3" t="s">
        <v>2302</v>
      </c>
      <c r="B2248" s="18">
        <v>43257</v>
      </c>
      <c r="C2248" s="7" t="s">
        <v>592</v>
      </c>
      <c r="E2248" s="6" t="s">
        <v>3681</v>
      </c>
      <c r="F2248" s="3">
        <v>24</v>
      </c>
      <c r="L2248" s="43" t="s">
        <v>3647</v>
      </c>
      <c r="N2248" s="48"/>
    </row>
    <row r="2249" spans="1:14" ht="15.75" x14ac:dyDescent="0.45">
      <c r="A2249" s="3" t="s">
        <v>2302</v>
      </c>
      <c r="B2249" s="18">
        <v>43256</v>
      </c>
      <c r="C2249" s="7" t="s">
        <v>592</v>
      </c>
      <c r="E2249" s="6" t="s">
        <v>3682</v>
      </c>
      <c r="F2249" s="3">
        <v>3</v>
      </c>
      <c r="L2249" s="43" t="s">
        <v>3647</v>
      </c>
      <c r="N2249" s="48"/>
    </row>
    <row r="2250" spans="1:14" ht="15.75" x14ac:dyDescent="0.45">
      <c r="A2250" s="3" t="s">
        <v>2302</v>
      </c>
      <c r="B2250" s="18">
        <v>43188</v>
      </c>
      <c r="C2250" s="7" t="s">
        <v>592</v>
      </c>
      <c r="E2250" s="6" t="s">
        <v>3683</v>
      </c>
      <c r="F2250" s="3">
        <f>SUM(1,1)</f>
        <v>2</v>
      </c>
      <c r="L2250" s="43" t="s">
        <v>3684</v>
      </c>
      <c r="N2250" s="48"/>
    </row>
    <row r="2251" spans="1:14" ht="15.75" x14ac:dyDescent="0.45">
      <c r="A2251" s="3" t="s">
        <v>2302</v>
      </c>
      <c r="B2251" s="18">
        <v>43112</v>
      </c>
      <c r="C2251" s="7" t="s">
        <v>592</v>
      </c>
      <c r="E2251" s="6" t="s">
        <v>3685</v>
      </c>
      <c r="F2251" s="3">
        <v>19</v>
      </c>
      <c r="L2251" s="43" t="s">
        <v>3647</v>
      </c>
      <c r="N2251" s="48"/>
    </row>
    <row r="2252" spans="1:14" ht="15.75" x14ac:dyDescent="0.45">
      <c r="A2252" s="3" t="s">
        <v>2302</v>
      </c>
      <c r="B2252" s="18">
        <v>41908</v>
      </c>
      <c r="C2252" s="7" t="s">
        <v>592</v>
      </c>
      <c r="E2252" s="6" t="s">
        <v>3686</v>
      </c>
      <c r="F2252" s="3">
        <v>2</v>
      </c>
      <c r="L2252" s="3" t="s">
        <v>2483</v>
      </c>
      <c r="N2252" s="48"/>
    </row>
    <row r="2253" spans="1:14" ht="15.75" x14ac:dyDescent="0.45">
      <c r="A2253" s="3" t="s">
        <v>2302</v>
      </c>
      <c r="B2253" s="18">
        <v>41789</v>
      </c>
      <c r="C2253" s="7" t="s">
        <v>592</v>
      </c>
      <c r="E2253" s="6" t="s">
        <v>3687</v>
      </c>
      <c r="F2253" s="3">
        <v>25</v>
      </c>
      <c r="L2253" s="43" t="s">
        <v>3647</v>
      </c>
      <c r="N2253" s="48"/>
    </row>
    <row r="2254" spans="1:14" ht="15.75" x14ac:dyDescent="0.45">
      <c r="A2254" s="3" t="s">
        <v>2302</v>
      </c>
      <c r="B2254" s="18">
        <v>41547</v>
      </c>
      <c r="C2254" s="7" t="s">
        <v>592</v>
      </c>
      <c r="E2254" s="6" t="s">
        <v>3688</v>
      </c>
      <c r="F2254" s="3">
        <v>42</v>
      </c>
      <c r="L2254" s="43" t="s">
        <v>3647</v>
      </c>
      <c r="N2254" s="48"/>
    </row>
    <row r="2255" spans="1:14" ht="15.75" x14ac:dyDescent="0.45">
      <c r="A2255" s="3" t="s">
        <v>2302</v>
      </c>
      <c r="B2255" s="18">
        <v>41379</v>
      </c>
      <c r="C2255" s="7" t="s">
        <v>25</v>
      </c>
      <c r="D2255" s="3" t="s">
        <v>427</v>
      </c>
      <c r="E2255" s="6" t="s">
        <v>3689</v>
      </c>
      <c r="F2255" s="3">
        <f>SUM(2,27)</f>
        <v>29</v>
      </c>
      <c r="L2255" s="43" t="s">
        <v>3690</v>
      </c>
      <c r="N2255" s="48"/>
    </row>
    <row r="2256" spans="1:14" ht="15.75" x14ac:dyDescent="0.45">
      <c r="A2256" s="3" t="s">
        <v>2302</v>
      </c>
      <c r="B2256" s="18">
        <v>41229</v>
      </c>
      <c r="C2256" s="7" t="s">
        <v>592</v>
      </c>
      <c r="E2256" s="6" t="s">
        <v>3691</v>
      </c>
      <c r="F2256" s="3">
        <v>15</v>
      </c>
      <c r="L2256" s="43" t="s">
        <v>3647</v>
      </c>
      <c r="N2256" s="48"/>
    </row>
    <row r="2257" spans="1:14" ht="15.75" x14ac:dyDescent="0.45">
      <c r="A2257" s="3" t="s">
        <v>2302</v>
      </c>
      <c r="B2257" s="18">
        <v>41093</v>
      </c>
      <c r="C2257" s="7" t="s">
        <v>592</v>
      </c>
      <c r="E2257" s="6" t="s">
        <v>3692</v>
      </c>
      <c r="F2257" s="3">
        <v>32</v>
      </c>
      <c r="L2257" s="43" t="s">
        <v>3647</v>
      </c>
      <c r="N2257" s="48"/>
    </row>
    <row r="2258" spans="1:14" ht="15.75" x14ac:dyDescent="0.45">
      <c r="A2258" s="3" t="s">
        <v>2302</v>
      </c>
      <c r="B2258" s="18">
        <v>41024</v>
      </c>
      <c r="C2258" s="7" t="s">
        <v>592</v>
      </c>
      <c r="E2258" s="6" t="s">
        <v>3693</v>
      </c>
      <c r="F2258" s="3">
        <v>31</v>
      </c>
      <c r="L2258" s="43" t="s">
        <v>3647</v>
      </c>
      <c r="N2258" s="48"/>
    </row>
    <row r="2259" spans="1:14" ht="15.75" x14ac:dyDescent="0.45">
      <c r="A2259" s="3" t="s">
        <v>2302</v>
      </c>
      <c r="B2259" s="18">
        <v>41009</v>
      </c>
      <c r="C2259" s="7" t="s">
        <v>592</v>
      </c>
      <c r="E2259" s="6" t="s">
        <v>3694</v>
      </c>
      <c r="F2259" s="3">
        <v>3</v>
      </c>
      <c r="L2259" s="3" t="s">
        <v>2483</v>
      </c>
      <c r="N2259" s="48"/>
    </row>
    <row r="2260" spans="1:14" ht="15.75" x14ac:dyDescent="0.45">
      <c r="A2260" s="3" t="s">
        <v>2302</v>
      </c>
      <c r="B2260" s="18">
        <v>41009</v>
      </c>
      <c r="C2260" s="7" t="s">
        <v>592</v>
      </c>
      <c r="E2260" s="6" t="s">
        <v>3695</v>
      </c>
      <c r="F2260" s="3">
        <v>1</v>
      </c>
      <c r="L2260" s="3" t="s">
        <v>2483</v>
      </c>
      <c r="N2260" s="48"/>
    </row>
    <row r="2261" spans="1:14" ht="15.75" x14ac:dyDescent="0.45">
      <c r="A2261" s="3" t="s">
        <v>2302</v>
      </c>
      <c r="B2261" s="18">
        <v>41009</v>
      </c>
      <c r="C2261" s="7" t="s">
        <v>592</v>
      </c>
      <c r="E2261" s="6" t="s">
        <v>3696</v>
      </c>
      <c r="F2261" s="3">
        <v>1</v>
      </c>
      <c r="L2261" s="3" t="s">
        <v>2483</v>
      </c>
      <c r="N2261" s="48"/>
    </row>
    <row r="2262" spans="1:14" ht="15.75" x14ac:dyDescent="0.45">
      <c r="A2262" s="3" t="s">
        <v>2302</v>
      </c>
      <c r="B2262" s="18">
        <v>40939</v>
      </c>
      <c r="C2262" s="7" t="s">
        <v>592</v>
      </c>
      <c r="E2262" s="6" t="s">
        <v>3697</v>
      </c>
      <c r="F2262" s="3">
        <v>36</v>
      </c>
      <c r="L2262" s="43" t="s">
        <v>3647</v>
      </c>
      <c r="N2262" s="48"/>
    </row>
    <row r="2263" spans="1:14" ht="15.75" x14ac:dyDescent="0.45">
      <c r="A2263" s="3" t="s">
        <v>2302</v>
      </c>
      <c r="B2263" s="18">
        <v>40651</v>
      </c>
      <c r="C2263" s="7" t="s">
        <v>592</v>
      </c>
      <c r="E2263" s="6" t="s">
        <v>3698</v>
      </c>
      <c r="F2263" s="3">
        <f>SUM(2,SUM(53,110,28,78,4,7,49,61,9,21,113,2,4,4,25,62,30))</f>
        <v>662</v>
      </c>
      <c r="L2263" s="43" t="s">
        <v>3699</v>
      </c>
      <c r="N2263" s="48"/>
    </row>
    <row r="2264" spans="1:14" ht="15.75" x14ac:dyDescent="0.45">
      <c r="A2264" s="3" t="s">
        <v>2302</v>
      </c>
      <c r="B2264" s="18">
        <v>40452</v>
      </c>
      <c r="C2264" s="7" t="s">
        <v>592</v>
      </c>
      <c r="E2264" s="6" t="s">
        <v>3700</v>
      </c>
      <c r="F2264" s="3">
        <v>56</v>
      </c>
      <c r="L2264" s="43" t="s">
        <v>3647</v>
      </c>
      <c r="N2264" s="48"/>
    </row>
    <row r="2265" spans="1:14" ht="15.75" x14ac:dyDescent="0.45">
      <c r="A2265" s="3" t="s">
        <v>2302</v>
      </c>
      <c r="B2265" s="18">
        <v>39632</v>
      </c>
      <c r="C2265" s="7" t="s">
        <v>592</v>
      </c>
      <c r="E2265" s="6" t="s">
        <v>3701</v>
      </c>
      <c r="F2265" s="3">
        <v>89</v>
      </c>
      <c r="L2265" s="43" t="s">
        <v>3647</v>
      </c>
      <c r="N2265" s="48"/>
    </row>
    <row r="2266" spans="1:14" ht="15.75" x14ac:dyDescent="0.45">
      <c r="A2266" s="3" t="s">
        <v>2302</v>
      </c>
      <c r="B2266" s="18">
        <v>37847</v>
      </c>
      <c r="C2266" s="7" t="s">
        <v>592</v>
      </c>
      <c r="E2266" s="6" t="s">
        <v>3702</v>
      </c>
      <c r="F2266" s="3">
        <f>SUM(2,7)</f>
        <v>9</v>
      </c>
      <c r="L2266" s="43" t="s">
        <v>3703</v>
      </c>
      <c r="N2266" s="48"/>
    </row>
    <row r="2267" spans="1:14" ht="15.75" x14ac:dyDescent="0.45">
      <c r="A2267" s="3" t="s">
        <v>2302</v>
      </c>
      <c r="B2267" s="18">
        <v>34547</v>
      </c>
      <c r="C2267" s="7" t="s">
        <v>592</v>
      </c>
      <c r="E2267" s="6" t="s">
        <v>3704</v>
      </c>
      <c r="F2267" s="3">
        <v>118</v>
      </c>
      <c r="L2267" s="43" t="s">
        <v>3647</v>
      </c>
      <c r="N2267" s="48"/>
    </row>
    <row r="2268" spans="1:14" ht="15.75" x14ac:dyDescent="0.5">
      <c r="A2268" s="3" t="s">
        <v>2302</v>
      </c>
      <c r="B2268" s="23">
        <v>34151</v>
      </c>
      <c r="C2268" s="7" t="s">
        <v>592</v>
      </c>
      <c r="E2268" s="24" t="s">
        <v>3705</v>
      </c>
      <c r="F2268" s="3">
        <v>85</v>
      </c>
      <c r="L2268" s="43" t="s">
        <v>3647</v>
      </c>
      <c r="N2268" s="48"/>
    </row>
    <row r="2269" spans="1:14" ht="15.75" x14ac:dyDescent="0.45">
      <c r="A2269" s="3" t="s">
        <v>2302</v>
      </c>
      <c r="B2269" s="18">
        <v>43725</v>
      </c>
      <c r="C2269" s="7" t="s">
        <v>587</v>
      </c>
      <c r="D2269" s="20" t="s">
        <v>3706</v>
      </c>
      <c r="E2269" s="31" t="s">
        <v>3707</v>
      </c>
      <c r="F2269" s="3">
        <v>2</v>
      </c>
      <c r="L2269" s="3" t="s">
        <v>3708</v>
      </c>
      <c r="N2269" s="48"/>
    </row>
    <row r="2270" spans="1:14" ht="15.75" x14ac:dyDescent="0.45">
      <c r="A2270" s="3" t="s">
        <v>2302</v>
      </c>
      <c r="B2270" s="18">
        <v>42422</v>
      </c>
      <c r="C2270" s="7" t="s">
        <v>587</v>
      </c>
      <c r="D2270" s="20" t="s">
        <v>3709</v>
      </c>
      <c r="E2270" s="31" t="s">
        <v>3710</v>
      </c>
      <c r="F2270" s="3">
        <v>4</v>
      </c>
      <c r="L2270" s="3" t="s">
        <v>3708</v>
      </c>
      <c r="N2270" s="48"/>
    </row>
    <row r="2271" spans="1:14" ht="15.75" x14ac:dyDescent="0.45">
      <c r="A2271" s="3" t="s">
        <v>2302</v>
      </c>
      <c r="B2271" s="18">
        <v>40821</v>
      </c>
      <c r="C2271" s="7" t="s">
        <v>1131</v>
      </c>
      <c r="D2271" s="20" t="s">
        <v>3711</v>
      </c>
      <c r="E2271" s="31" t="s">
        <v>3712</v>
      </c>
      <c r="F2271" s="3">
        <v>2</v>
      </c>
      <c r="L2271" s="3" t="s">
        <v>3713</v>
      </c>
      <c r="N2271" s="48"/>
    </row>
    <row r="2272" spans="1:14" ht="15.75" x14ac:dyDescent="0.45">
      <c r="A2272" s="3" t="s">
        <v>2302</v>
      </c>
      <c r="B2272" s="18">
        <v>35370</v>
      </c>
      <c r="C2272" s="7" t="s">
        <v>575</v>
      </c>
      <c r="E2272" s="31" t="s">
        <v>3714</v>
      </c>
      <c r="F2272" s="3">
        <v>4</v>
      </c>
      <c r="L2272" s="20"/>
      <c r="N2272" s="48"/>
    </row>
    <row r="2273" spans="1:14" x14ac:dyDescent="0.45">
      <c r="A2273" s="3" t="s">
        <v>3715</v>
      </c>
      <c r="B2273" s="14">
        <v>45930</v>
      </c>
      <c r="C2273" s="7" t="s">
        <v>587</v>
      </c>
      <c r="D2273" s="17" t="s">
        <v>3716</v>
      </c>
      <c r="E2273" s="3" t="s">
        <v>3717</v>
      </c>
      <c r="F2273" s="3">
        <v>4</v>
      </c>
      <c r="N2273" s="48"/>
    </row>
    <row r="2274" spans="1:14" x14ac:dyDescent="0.45">
      <c r="A2274" s="3" t="s">
        <v>3715</v>
      </c>
      <c r="B2274" s="14">
        <v>45922</v>
      </c>
      <c r="C2274" s="7" t="s">
        <v>587</v>
      </c>
      <c r="D2274" s="17" t="s">
        <v>3718</v>
      </c>
      <c r="E2274" s="3" t="s">
        <v>3719</v>
      </c>
      <c r="F2274" s="3">
        <v>2</v>
      </c>
      <c r="N2274" s="48"/>
    </row>
    <row r="2275" spans="1:14" x14ac:dyDescent="0.45">
      <c r="A2275" s="3" t="s">
        <v>3715</v>
      </c>
      <c r="B2275" s="14">
        <v>45744</v>
      </c>
      <c r="C2275" s="7" t="s">
        <v>587</v>
      </c>
      <c r="D2275" s="17" t="s">
        <v>3720</v>
      </c>
      <c r="E2275" s="3" t="s">
        <v>3721</v>
      </c>
      <c r="F2275" s="3">
        <v>3</v>
      </c>
      <c r="N2275" s="48"/>
    </row>
    <row r="2276" spans="1:14" x14ac:dyDescent="0.45">
      <c r="A2276" s="3" t="s">
        <v>3715</v>
      </c>
      <c r="B2276" s="14">
        <v>45674</v>
      </c>
      <c r="C2276" s="7" t="s">
        <v>587</v>
      </c>
      <c r="D2276" s="17" t="s">
        <v>3722</v>
      </c>
      <c r="E2276" s="3" t="s">
        <v>3723</v>
      </c>
      <c r="F2276" s="3">
        <v>2</v>
      </c>
      <c r="N2276" s="48"/>
    </row>
    <row r="2277" spans="1:14" x14ac:dyDescent="0.45">
      <c r="A2277" s="3" t="s">
        <v>3715</v>
      </c>
      <c r="B2277" s="14">
        <v>45674</v>
      </c>
      <c r="C2277" s="7" t="s">
        <v>587</v>
      </c>
      <c r="D2277" s="3" t="s">
        <v>3724</v>
      </c>
      <c r="E2277" s="24" t="s">
        <v>3725</v>
      </c>
      <c r="F2277" s="3">
        <v>4</v>
      </c>
      <c r="N2277" s="48"/>
    </row>
    <row r="2278" spans="1:14" x14ac:dyDescent="0.45">
      <c r="A2278" s="3" t="s">
        <v>3715</v>
      </c>
      <c r="B2278" s="14">
        <v>45671</v>
      </c>
      <c r="C2278" s="7" t="s">
        <v>587</v>
      </c>
      <c r="D2278" s="17" t="s">
        <v>3726</v>
      </c>
      <c r="E2278" s="3" t="s">
        <v>3727</v>
      </c>
      <c r="F2278" s="3">
        <v>3</v>
      </c>
      <c r="N2278" s="48"/>
    </row>
    <row r="2279" spans="1:14" x14ac:dyDescent="0.45">
      <c r="A2279" s="3" t="s">
        <v>3715</v>
      </c>
      <c r="B2279" s="14">
        <v>45671</v>
      </c>
      <c r="C2279" s="7" t="s">
        <v>587</v>
      </c>
      <c r="D2279" s="17" t="s">
        <v>3728</v>
      </c>
      <c r="E2279" s="3" t="s">
        <v>3729</v>
      </c>
      <c r="F2279" s="3">
        <v>3</v>
      </c>
      <c r="N2279" s="48"/>
    </row>
    <row r="2280" spans="1:14" x14ac:dyDescent="0.45">
      <c r="A2280" s="3" t="s">
        <v>3715</v>
      </c>
      <c r="B2280" s="14">
        <v>45665</v>
      </c>
      <c r="C2280" s="7" t="s">
        <v>587</v>
      </c>
      <c r="D2280" s="17" t="s">
        <v>3730</v>
      </c>
      <c r="E2280" s="3" t="s">
        <v>3731</v>
      </c>
      <c r="F2280" s="3">
        <v>3</v>
      </c>
      <c r="N2280" s="48"/>
    </row>
    <row r="2281" spans="1:14" x14ac:dyDescent="0.45">
      <c r="A2281" s="3" t="s">
        <v>3715</v>
      </c>
      <c r="B2281" s="14">
        <v>45671</v>
      </c>
      <c r="C2281" s="7" t="s">
        <v>587</v>
      </c>
      <c r="D2281" s="17" t="s">
        <v>3732</v>
      </c>
      <c r="E2281" s="3" t="s">
        <v>3733</v>
      </c>
      <c r="F2281" s="3">
        <v>3</v>
      </c>
      <c r="N2281" s="48"/>
    </row>
    <row r="2282" spans="1:14" x14ac:dyDescent="0.45">
      <c r="A2282" s="3" t="s">
        <v>3715</v>
      </c>
      <c r="B2282" s="14">
        <v>45680</v>
      </c>
      <c r="C2282" s="7" t="s">
        <v>587</v>
      </c>
      <c r="D2282" s="17" t="s">
        <v>3734</v>
      </c>
      <c r="E2282" s="3" t="s">
        <v>3735</v>
      </c>
      <c r="F2282" s="3">
        <v>6</v>
      </c>
      <c r="N2282" s="48"/>
    </row>
    <row r="2283" spans="1:14" x14ac:dyDescent="0.45">
      <c r="A2283" s="3" t="s">
        <v>3715</v>
      </c>
      <c r="B2283" s="14">
        <v>45638</v>
      </c>
      <c r="C2283" s="7" t="s">
        <v>587</v>
      </c>
      <c r="D2283" s="17" t="s">
        <v>3736</v>
      </c>
      <c r="E2283" s="3" t="s">
        <v>3737</v>
      </c>
      <c r="F2283" s="3">
        <v>2</v>
      </c>
      <c r="N2283" s="48"/>
    </row>
    <row r="2284" spans="1:14" x14ac:dyDescent="0.45">
      <c r="A2284" s="3" t="s">
        <v>3715</v>
      </c>
      <c r="B2284" s="14">
        <v>45638</v>
      </c>
      <c r="C2284" s="7" t="s">
        <v>587</v>
      </c>
      <c r="D2284" s="17" t="s">
        <v>3738</v>
      </c>
      <c r="E2284" s="3" t="s">
        <v>3739</v>
      </c>
      <c r="F2284" s="3">
        <v>2</v>
      </c>
      <c r="N2284" s="48"/>
    </row>
    <row r="2285" spans="1:14" x14ac:dyDescent="0.45">
      <c r="A2285" s="3" t="s">
        <v>3715</v>
      </c>
      <c r="B2285" s="14">
        <v>45636</v>
      </c>
      <c r="C2285" s="7" t="s">
        <v>587</v>
      </c>
      <c r="D2285" s="17" t="s">
        <v>3740</v>
      </c>
      <c r="E2285" s="3" t="s">
        <v>3741</v>
      </c>
      <c r="F2285" s="3">
        <v>4</v>
      </c>
      <c r="N2285" s="48"/>
    </row>
    <row r="2286" spans="1:14" x14ac:dyDescent="0.45">
      <c r="A2286" s="3" t="s">
        <v>3715</v>
      </c>
      <c r="B2286" s="14">
        <v>45680</v>
      </c>
      <c r="C2286" s="7" t="s">
        <v>587</v>
      </c>
      <c r="D2286" s="17" t="s">
        <v>3742</v>
      </c>
      <c r="E2286" s="3" t="s">
        <v>3743</v>
      </c>
      <c r="F2286" s="3">
        <v>2</v>
      </c>
      <c r="N2286" s="48"/>
    </row>
    <row r="2287" spans="1:14" x14ac:dyDescent="0.45">
      <c r="A2287" s="3" t="s">
        <v>3715</v>
      </c>
      <c r="B2287" s="49">
        <v>45581</v>
      </c>
      <c r="C2287" s="7" t="s">
        <v>587</v>
      </c>
      <c r="D2287" s="40" t="s">
        <v>3744</v>
      </c>
      <c r="E2287" s="3" t="s">
        <v>3745</v>
      </c>
      <c r="F2287" s="3" t="s">
        <v>1041</v>
      </c>
      <c r="L2287" s="3" t="s">
        <v>3746</v>
      </c>
      <c r="N2287" s="48"/>
    </row>
    <row r="2288" spans="1:14" x14ac:dyDescent="0.45">
      <c r="A2288" s="3" t="s">
        <v>3715</v>
      </c>
      <c r="B2288" s="14">
        <v>45475</v>
      </c>
      <c r="C2288" s="7" t="s">
        <v>587</v>
      </c>
      <c r="D2288" s="50" t="s">
        <v>3747</v>
      </c>
      <c r="E2288" s="3" t="s">
        <v>3748</v>
      </c>
      <c r="F2288" s="3">
        <v>5</v>
      </c>
      <c r="N2288" s="48"/>
    </row>
    <row r="2289" spans="1:14" x14ac:dyDescent="0.45">
      <c r="A2289" s="3" t="s">
        <v>3715</v>
      </c>
      <c r="B2289" s="14">
        <v>45418</v>
      </c>
      <c r="C2289" s="7" t="s">
        <v>587</v>
      </c>
      <c r="D2289" s="17" t="s">
        <v>3749</v>
      </c>
      <c r="E2289" s="3" t="s">
        <v>3750</v>
      </c>
      <c r="F2289" s="3">
        <v>3</v>
      </c>
      <c r="N2289" s="48"/>
    </row>
    <row r="2290" spans="1:14" x14ac:dyDescent="0.45">
      <c r="A2290" s="3" t="s">
        <v>3715</v>
      </c>
      <c r="B2290" s="14">
        <v>45418</v>
      </c>
      <c r="C2290" s="7" t="s">
        <v>587</v>
      </c>
      <c r="D2290" s="17" t="s">
        <v>3751</v>
      </c>
      <c r="E2290" s="3" t="s">
        <v>3752</v>
      </c>
      <c r="F2290" s="3">
        <v>3</v>
      </c>
      <c r="N2290" s="48"/>
    </row>
    <row r="2291" spans="1:14" x14ac:dyDescent="0.45">
      <c r="A2291" s="3" t="s">
        <v>3715</v>
      </c>
      <c r="B2291" s="14">
        <v>45391</v>
      </c>
      <c r="C2291" s="7" t="s">
        <v>587</v>
      </c>
      <c r="D2291" s="17" t="s">
        <v>3753</v>
      </c>
      <c r="E2291" s="3" t="s">
        <v>3754</v>
      </c>
      <c r="F2291" s="3" t="s">
        <v>1041</v>
      </c>
      <c r="L2291" s="3" t="s">
        <v>1821</v>
      </c>
      <c r="N2291" s="48"/>
    </row>
    <row r="2292" spans="1:14" x14ac:dyDescent="0.45">
      <c r="A2292" s="3" t="s">
        <v>3715</v>
      </c>
      <c r="B2292" s="14">
        <v>45380</v>
      </c>
      <c r="C2292" s="7" t="s">
        <v>587</v>
      </c>
      <c r="D2292" s="17" t="s">
        <v>3755</v>
      </c>
      <c r="E2292" s="3" t="s">
        <v>3756</v>
      </c>
      <c r="F2292" s="3">
        <v>2</v>
      </c>
      <c r="N2292" s="48"/>
    </row>
    <row r="2293" spans="1:14" x14ac:dyDescent="0.45">
      <c r="A2293" s="3" t="s">
        <v>3715</v>
      </c>
      <c r="B2293" s="14">
        <v>45371</v>
      </c>
      <c r="C2293" s="7" t="s">
        <v>587</v>
      </c>
      <c r="D2293" s="17" t="s">
        <v>3757</v>
      </c>
      <c r="E2293" s="3" t="s">
        <v>3758</v>
      </c>
      <c r="F2293" s="3">
        <v>2</v>
      </c>
      <c r="N2293" s="48"/>
    </row>
    <row r="2294" spans="1:14" x14ac:dyDescent="0.45">
      <c r="A2294" s="3" t="s">
        <v>3715</v>
      </c>
      <c r="B2294" s="14">
        <v>45247</v>
      </c>
      <c r="C2294" s="7" t="s">
        <v>587</v>
      </c>
      <c r="D2294" s="17" t="s">
        <v>3759</v>
      </c>
      <c r="E2294" s="3" t="s">
        <v>3760</v>
      </c>
      <c r="F2294" s="3">
        <v>4</v>
      </c>
      <c r="N2294" s="48"/>
    </row>
    <row r="2295" spans="1:14" x14ac:dyDescent="0.45">
      <c r="A2295" s="3" t="s">
        <v>3715</v>
      </c>
      <c r="B2295" s="14">
        <v>45247</v>
      </c>
      <c r="C2295" s="7" t="s">
        <v>587</v>
      </c>
      <c r="D2295" s="17" t="s">
        <v>3761</v>
      </c>
      <c r="E2295" s="3" t="s">
        <v>3762</v>
      </c>
      <c r="F2295" s="3">
        <v>4</v>
      </c>
      <c r="N2295" s="48"/>
    </row>
    <row r="2296" spans="1:14" x14ac:dyDescent="0.45">
      <c r="A2296" s="3" t="s">
        <v>3715</v>
      </c>
      <c r="B2296" s="14">
        <v>45247</v>
      </c>
      <c r="C2296" s="7" t="s">
        <v>587</v>
      </c>
      <c r="D2296" s="17" t="s">
        <v>3763</v>
      </c>
      <c r="E2296" s="3" t="s">
        <v>3764</v>
      </c>
      <c r="F2296" s="3">
        <v>4</v>
      </c>
      <c r="N2296" s="48"/>
    </row>
    <row r="2297" spans="1:14" x14ac:dyDescent="0.45">
      <c r="A2297" s="3" t="s">
        <v>3715</v>
      </c>
      <c r="B2297" s="14">
        <v>45247</v>
      </c>
      <c r="C2297" s="7" t="s">
        <v>587</v>
      </c>
      <c r="D2297" s="17" t="s">
        <v>3765</v>
      </c>
      <c r="E2297" s="3" t="s">
        <v>3766</v>
      </c>
      <c r="F2297" s="3">
        <v>4</v>
      </c>
      <c r="N2297" s="48"/>
    </row>
    <row r="2298" spans="1:14" x14ac:dyDescent="0.45">
      <c r="A2298" s="3" t="s">
        <v>3715</v>
      </c>
      <c r="B2298" s="14">
        <v>45247</v>
      </c>
      <c r="C2298" s="7" t="s">
        <v>587</v>
      </c>
      <c r="D2298" s="17" t="s">
        <v>3767</v>
      </c>
      <c r="E2298" s="3" t="s">
        <v>3768</v>
      </c>
      <c r="F2298" s="3">
        <v>2</v>
      </c>
      <c r="N2298" s="48"/>
    </row>
    <row r="2299" spans="1:14" x14ac:dyDescent="0.45">
      <c r="A2299" s="3" t="s">
        <v>3715</v>
      </c>
      <c r="B2299" s="14">
        <v>45244</v>
      </c>
      <c r="C2299" s="7" t="s">
        <v>587</v>
      </c>
      <c r="D2299" s="17" t="s">
        <v>3769</v>
      </c>
      <c r="E2299" s="3" t="s">
        <v>3770</v>
      </c>
      <c r="F2299" s="3">
        <v>2</v>
      </c>
      <c r="N2299" s="48"/>
    </row>
    <row r="2300" spans="1:14" x14ac:dyDescent="0.45">
      <c r="A2300" s="3" t="s">
        <v>3715</v>
      </c>
      <c r="B2300" s="14">
        <v>45680</v>
      </c>
      <c r="C2300" s="7" t="s">
        <v>587</v>
      </c>
      <c r="D2300" s="17" t="s">
        <v>3771</v>
      </c>
      <c r="E2300" s="3" t="s">
        <v>3772</v>
      </c>
      <c r="F2300" s="3">
        <v>1</v>
      </c>
      <c r="N2300" s="48"/>
    </row>
    <row r="2301" spans="1:14" x14ac:dyDescent="0.45">
      <c r="A2301" s="3" t="s">
        <v>3715</v>
      </c>
      <c r="B2301" s="14">
        <v>45420</v>
      </c>
      <c r="C2301" s="7" t="s">
        <v>587</v>
      </c>
      <c r="D2301" s="17" t="s">
        <v>3773</v>
      </c>
      <c r="E2301" s="3" t="s">
        <v>3774</v>
      </c>
      <c r="F2301" s="3">
        <v>4</v>
      </c>
      <c r="N2301" s="48"/>
    </row>
    <row r="2302" spans="1:14" x14ac:dyDescent="0.45">
      <c r="A2302" s="3" t="s">
        <v>3715</v>
      </c>
      <c r="B2302" s="14">
        <v>45198</v>
      </c>
      <c r="C2302" s="7" t="s">
        <v>587</v>
      </c>
      <c r="D2302" s="17" t="s">
        <v>3775</v>
      </c>
      <c r="E2302" s="3" t="s">
        <v>3776</v>
      </c>
      <c r="F2302" s="3">
        <v>2</v>
      </c>
      <c r="N2302" s="48"/>
    </row>
    <row r="2303" spans="1:14" x14ac:dyDescent="0.45">
      <c r="A2303" s="3" t="s">
        <v>3715</v>
      </c>
      <c r="B2303" s="14">
        <v>45680</v>
      </c>
      <c r="C2303" s="7" t="s">
        <v>587</v>
      </c>
      <c r="D2303" s="17" t="s">
        <v>3777</v>
      </c>
      <c r="E2303" s="3" t="s">
        <v>3778</v>
      </c>
      <c r="F2303" s="3">
        <v>3</v>
      </c>
      <c r="N2303" s="48"/>
    </row>
    <row r="2304" spans="1:14" x14ac:dyDescent="0.45">
      <c r="A2304" s="3" t="s">
        <v>3715</v>
      </c>
      <c r="B2304" s="14">
        <v>45680</v>
      </c>
      <c r="C2304" s="7" t="s">
        <v>587</v>
      </c>
      <c r="D2304" s="17" t="s">
        <v>3779</v>
      </c>
      <c r="E2304" s="3" t="s">
        <v>3780</v>
      </c>
      <c r="F2304" s="3">
        <v>3</v>
      </c>
      <c r="N2304" s="48"/>
    </row>
    <row r="2305" spans="1:14" x14ac:dyDescent="0.45">
      <c r="A2305" s="3" t="s">
        <v>3715</v>
      </c>
      <c r="B2305" s="14">
        <v>45197</v>
      </c>
      <c r="C2305" s="7" t="s">
        <v>587</v>
      </c>
      <c r="D2305" s="17" t="s">
        <v>3781</v>
      </c>
      <c r="E2305" s="3" t="s">
        <v>3782</v>
      </c>
      <c r="F2305" s="3">
        <v>2</v>
      </c>
      <c r="N2305" s="48"/>
    </row>
    <row r="2306" spans="1:14" x14ac:dyDescent="0.45">
      <c r="A2306" s="3" t="s">
        <v>3715</v>
      </c>
      <c r="B2306" s="14">
        <v>45194</v>
      </c>
      <c r="C2306" s="7" t="s">
        <v>587</v>
      </c>
      <c r="D2306" s="17" t="s">
        <v>3783</v>
      </c>
      <c r="E2306" s="3" t="s">
        <v>3784</v>
      </c>
      <c r="F2306" s="3">
        <v>4</v>
      </c>
      <c r="N2306" s="48"/>
    </row>
    <row r="2307" spans="1:14" x14ac:dyDescent="0.45">
      <c r="A2307" s="3" t="s">
        <v>3715</v>
      </c>
      <c r="B2307" s="14">
        <v>45194</v>
      </c>
      <c r="C2307" s="7" t="s">
        <v>587</v>
      </c>
      <c r="D2307" s="17" t="s">
        <v>3785</v>
      </c>
      <c r="E2307" s="3" t="s">
        <v>3786</v>
      </c>
      <c r="F2307" s="3">
        <v>1</v>
      </c>
      <c r="N2307" s="48"/>
    </row>
    <row r="2308" spans="1:14" x14ac:dyDescent="0.45">
      <c r="A2308" s="3" t="s">
        <v>3715</v>
      </c>
      <c r="B2308" s="14">
        <v>45177</v>
      </c>
      <c r="C2308" s="7" t="s">
        <v>587</v>
      </c>
      <c r="D2308" s="17" t="s">
        <v>3787</v>
      </c>
      <c r="E2308" s="3" t="s">
        <v>3788</v>
      </c>
      <c r="F2308" s="3">
        <v>2</v>
      </c>
      <c r="N2308" s="48"/>
    </row>
    <row r="2309" spans="1:14" x14ac:dyDescent="0.45">
      <c r="A2309" s="3" t="s">
        <v>3715</v>
      </c>
      <c r="B2309" s="14">
        <v>45147</v>
      </c>
      <c r="C2309" s="7" t="s">
        <v>587</v>
      </c>
      <c r="D2309" s="17" t="s">
        <v>3789</v>
      </c>
      <c r="E2309" s="3" t="s">
        <v>3790</v>
      </c>
      <c r="F2309" s="3">
        <v>2</v>
      </c>
      <c r="N2309" s="48"/>
    </row>
    <row r="2310" spans="1:14" x14ac:dyDescent="0.45">
      <c r="A2310" s="3" t="s">
        <v>3715</v>
      </c>
      <c r="B2310" s="14">
        <v>45135</v>
      </c>
      <c r="C2310" s="7" t="s">
        <v>587</v>
      </c>
      <c r="D2310" s="17" t="s">
        <v>3791</v>
      </c>
      <c r="E2310" s="3" t="s">
        <v>3792</v>
      </c>
      <c r="F2310" s="3">
        <v>2</v>
      </c>
      <c r="N2310" s="48"/>
    </row>
    <row r="2311" spans="1:14" x14ac:dyDescent="0.45">
      <c r="A2311" s="3" t="s">
        <v>3715</v>
      </c>
      <c r="B2311" s="14">
        <v>45124</v>
      </c>
      <c r="C2311" s="7" t="s">
        <v>587</v>
      </c>
      <c r="D2311" s="17" t="s">
        <v>3793</v>
      </c>
      <c r="E2311" s="3" t="s">
        <v>3794</v>
      </c>
      <c r="F2311" s="3">
        <v>4</v>
      </c>
      <c r="N2311" s="48"/>
    </row>
    <row r="2312" spans="1:14" x14ac:dyDescent="0.45">
      <c r="A2312" s="3" t="s">
        <v>3715</v>
      </c>
      <c r="B2312" s="14">
        <v>45680</v>
      </c>
      <c r="C2312" s="7" t="s">
        <v>587</v>
      </c>
      <c r="D2312" s="17" t="s">
        <v>3795</v>
      </c>
      <c r="E2312" s="3" t="s">
        <v>3796</v>
      </c>
      <c r="F2312" s="3">
        <v>3</v>
      </c>
      <c r="N2312" s="48"/>
    </row>
    <row r="2313" spans="1:14" x14ac:dyDescent="0.45">
      <c r="A2313" s="3" t="s">
        <v>3715</v>
      </c>
      <c r="B2313" s="14">
        <v>45089</v>
      </c>
      <c r="C2313" s="7" t="s">
        <v>587</v>
      </c>
      <c r="D2313" s="17" t="s">
        <v>3797</v>
      </c>
      <c r="E2313" s="3" t="s">
        <v>3798</v>
      </c>
      <c r="F2313" s="3">
        <v>3</v>
      </c>
      <c r="N2313" s="48"/>
    </row>
    <row r="2314" spans="1:14" x14ac:dyDescent="0.45">
      <c r="A2314" s="3" t="s">
        <v>3715</v>
      </c>
      <c r="B2314" s="14">
        <v>45680</v>
      </c>
      <c r="C2314" s="7" t="s">
        <v>587</v>
      </c>
      <c r="D2314" s="17" t="s">
        <v>3799</v>
      </c>
      <c r="E2314" s="3" t="s">
        <v>3800</v>
      </c>
      <c r="F2314" s="3">
        <v>3</v>
      </c>
      <c r="N2314" s="48"/>
    </row>
    <row r="2315" spans="1:14" x14ac:dyDescent="0.45">
      <c r="A2315" s="3" t="s">
        <v>3715</v>
      </c>
      <c r="B2315" s="14">
        <v>45680</v>
      </c>
      <c r="C2315" s="7" t="s">
        <v>587</v>
      </c>
      <c r="D2315" s="17" t="s">
        <v>3801</v>
      </c>
      <c r="E2315" s="3" t="s">
        <v>3802</v>
      </c>
      <c r="F2315" s="3">
        <v>3</v>
      </c>
      <c r="N2315" s="48"/>
    </row>
    <row r="2316" spans="1:14" x14ac:dyDescent="0.45">
      <c r="A2316" s="3" t="s">
        <v>3715</v>
      </c>
      <c r="B2316" s="14">
        <v>45089</v>
      </c>
      <c r="C2316" s="7" t="s">
        <v>587</v>
      </c>
      <c r="D2316" s="17" t="s">
        <v>3803</v>
      </c>
      <c r="E2316" s="3" t="s">
        <v>3804</v>
      </c>
      <c r="F2316" s="3">
        <v>1</v>
      </c>
      <c r="N2316" s="48"/>
    </row>
    <row r="2317" spans="1:14" x14ac:dyDescent="0.45">
      <c r="A2317" s="3" t="s">
        <v>3715</v>
      </c>
      <c r="B2317" s="14">
        <v>45084</v>
      </c>
      <c r="C2317" s="7" t="s">
        <v>587</v>
      </c>
      <c r="D2317" s="17" t="s">
        <v>3805</v>
      </c>
      <c r="E2317" s="3" t="s">
        <v>3806</v>
      </c>
      <c r="F2317" s="3">
        <v>2</v>
      </c>
      <c r="N2317" s="48"/>
    </row>
    <row r="2318" spans="1:14" x14ac:dyDescent="0.45">
      <c r="A2318" s="3" t="s">
        <v>3715</v>
      </c>
      <c r="B2318" s="14">
        <v>45042</v>
      </c>
      <c r="C2318" s="7" t="s">
        <v>587</v>
      </c>
      <c r="D2318" s="17" t="s">
        <v>3807</v>
      </c>
      <c r="E2318" s="3" t="s">
        <v>3808</v>
      </c>
      <c r="F2318" s="3">
        <v>4</v>
      </c>
      <c r="N2318" s="48"/>
    </row>
    <row r="2319" spans="1:14" x14ac:dyDescent="0.45">
      <c r="A2319" s="3" t="s">
        <v>3715</v>
      </c>
      <c r="B2319" s="14">
        <v>45042</v>
      </c>
      <c r="C2319" s="7" t="s">
        <v>587</v>
      </c>
      <c r="D2319" s="17" t="s">
        <v>3809</v>
      </c>
      <c r="E2319" s="3" t="s">
        <v>3810</v>
      </c>
      <c r="F2319" s="3">
        <v>4</v>
      </c>
      <c r="N2319" s="48"/>
    </row>
    <row r="2320" spans="1:14" x14ac:dyDescent="0.45">
      <c r="A2320" s="3" t="s">
        <v>3715</v>
      </c>
      <c r="B2320" s="14">
        <v>45042</v>
      </c>
      <c r="C2320" s="7" t="s">
        <v>587</v>
      </c>
      <c r="D2320" s="17" t="s">
        <v>3811</v>
      </c>
      <c r="E2320" s="3" t="s">
        <v>3812</v>
      </c>
      <c r="F2320" s="3">
        <v>5</v>
      </c>
      <c r="N2320" s="48"/>
    </row>
    <row r="2321" spans="1:14" x14ac:dyDescent="0.45">
      <c r="A2321" s="3" t="s">
        <v>3715</v>
      </c>
      <c r="B2321" s="14">
        <v>45680</v>
      </c>
      <c r="C2321" s="7" t="s">
        <v>587</v>
      </c>
      <c r="D2321" s="17" t="s">
        <v>3813</v>
      </c>
      <c r="E2321" s="3" t="s">
        <v>3814</v>
      </c>
      <c r="F2321" s="3">
        <v>3</v>
      </c>
      <c r="N2321" s="48"/>
    </row>
    <row r="2322" spans="1:14" x14ac:dyDescent="0.45">
      <c r="A2322" s="3" t="s">
        <v>3715</v>
      </c>
      <c r="B2322" s="14">
        <v>45002</v>
      </c>
      <c r="C2322" s="7" t="s">
        <v>587</v>
      </c>
      <c r="D2322" s="17" t="s">
        <v>3815</v>
      </c>
      <c r="E2322" s="3" t="s">
        <v>3816</v>
      </c>
      <c r="F2322" s="3">
        <v>1</v>
      </c>
      <c r="N2322" s="48"/>
    </row>
    <row r="2323" spans="1:14" x14ac:dyDescent="0.45">
      <c r="A2323" s="3" t="s">
        <v>3715</v>
      </c>
      <c r="B2323" s="14">
        <v>45015</v>
      </c>
      <c r="C2323" s="7" t="s">
        <v>587</v>
      </c>
      <c r="D2323" s="40" t="s">
        <v>3817</v>
      </c>
      <c r="E2323" s="3" t="s">
        <v>3818</v>
      </c>
      <c r="F2323" s="3" t="s">
        <v>1041</v>
      </c>
      <c r="L2323" s="3" t="s">
        <v>3819</v>
      </c>
      <c r="N2323" s="48"/>
    </row>
    <row r="2324" spans="1:14" x14ac:dyDescent="0.45">
      <c r="A2324" s="3" t="s">
        <v>3715</v>
      </c>
      <c r="B2324" s="14">
        <v>44979</v>
      </c>
      <c r="C2324" s="7" t="s">
        <v>587</v>
      </c>
      <c r="D2324" s="17" t="s">
        <v>3820</v>
      </c>
      <c r="E2324" s="3" t="s">
        <v>3821</v>
      </c>
      <c r="F2324" s="3">
        <v>3</v>
      </c>
      <c r="N2324" s="48"/>
    </row>
    <row r="2325" spans="1:14" x14ac:dyDescent="0.45">
      <c r="A2325" s="3" t="s">
        <v>3715</v>
      </c>
      <c r="B2325" s="14">
        <v>44973</v>
      </c>
      <c r="C2325" s="7" t="s">
        <v>587</v>
      </c>
      <c r="D2325" s="17" t="s">
        <v>3822</v>
      </c>
      <c r="E2325" s="3" t="s">
        <v>3823</v>
      </c>
      <c r="F2325" s="3">
        <v>1</v>
      </c>
      <c r="N2325" s="48"/>
    </row>
    <row r="2326" spans="1:14" x14ac:dyDescent="0.45">
      <c r="A2326" s="3" t="s">
        <v>3715</v>
      </c>
      <c r="B2326" s="14">
        <v>44945</v>
      </c>
      <c r="C2326" s="7" t="s">
        <v>587</v>
      </c>
      <c r="D2326" s="17" t="s">
        <v>3824</v>
      </c>
      <c r="E2326" s="3" t="s">
        <v>3825</v>
      </c>
      <c r="F2326" s="3">
        <v>2</v>
      </c>
      <c r="N2326" s="48"/>
    </row>
    <row r="2327" spans="1:14" x14ac:dyDescent="0.45">
      <c r="A2327" s="3" t="s">
        <v>3715</v>
      </c>
      <c r="B2327" s="14">
        <v>44944</v>
      </c>
      <c r="C2327" s="7" t="s">
        <v>587</v>
      </c>
      <c r="D2327" s="17" t="s">
        <v>3826</v>
      </c>
      <c r="E2327" s="3" t="s">
        <v>3827</v>
      </c>
      <c r="F2327" s="3">
        <v>4</v>
      </c>
      <c r="N2327" s="48"/>
    </row>
    <row r="2328" spans="1:14" x14ac:dyDescent="0.45">
      <c r="A2328" s="3" t="s">
        <v>3715</v>
      </c>
      <c r="B2328" s="14">
        <v>44932</v>
      </c>
      <c r="C2328" s="7" t="s">
        <v>587</v>
      </c>
      <c r="D2328" s="17" t="s">
        <v>3828</v>
      </c>
      <c r="E2328" s="3" t="s">
        <v>3829</v>
      </c>
      <c r="F2328" s="3">
        <v>2</v>
      </c>
      <c r="N2328" s="48"/>
    </row>
    <row r="2329" spans="1:14" x14ac:dyDescent="0.45">
      <c r="A2329" s="3" t="s">
        <v>3715</v>
      </c>
      <c r="B2329" s="14">
        <v>44882</v>
      </c>
      <c r="C2329" s="7" t="s">
        <v>587</v>
      </c>
      <c r="D2329" s="40" t="s">
        <v>3830</v>
      </c>
      <c r="E2329" s="24" t="s">
        <v>3831</v>
      </c>
      <c r="F2329" s="3">
        <v>2</v>
      </c>
      <c r="N2329" s="48"/>
    </row>
    <row r="2330" spans="1:14" x14ac:dyDescent="0.45">
      <c r="A2330" s="3" t="s">
        <v>3715</v>
      </c>
      <c r="B2330" s="14">
        <v>45680</v>
      </c>
      <c r="C2330" s="7" t="s">
        <v>587</v>
      </c>
      <c r="D2330" s="17" t="s">
        <v>3832</v>
      </c>
      <c r="E2330" s="3" t="s">
        <v>3833</v>
      </c>
      <c r="F2330" s="3">
        <v>3</v>
      </c>
      <c r="N2330" s="48"/>
    </row>
    <row r="2331" spans="1:14" x14ac:dyDescent="0.45">
      <c r="A2331" s="3" t="s">
        <v>3715</v>
      </c>
      <c r="B2331" s="14">
        <v>44874</v>
      </c>
      <c r="C2331" s="7" t="s">
        <v>587</v>
      </c>
      <c r="D2331" s="17" t="s">
        <v>3834</v>
      </c>
      <c r="E2331" s="3" t="s">
        <v>3835</v>
      </c>
      <c r="F2331" s="3">
        <v>3</v>
      </c>
      <c r="N2331" s="48"/>
    </row>
    <row r="2332" spans="1:14" x14ac:dyDescent="0.45">
      <c r="A2332" s="3" t="s">
        <v>3715</v>
      </c>
      <c r="B2332" s="14">
        <v>45680</v>
      </c>
      <c r="C2332" s="7" t="s">
        <v>587</v>
      </c>
      <c r="D2332" s="17" t="s">
        <v>3836</v>
      </c>
      <c r="E2332" s="3" t="s">
        <v>3837</v>
      </c>
      <c r="F2332" s="3">
        <v>3</v>
      </c>
      <c r="N2332" s="48"/>
    </row>
    <row r="2333" spans="1:14" x14ac:dyDescent="0.45">
      <c r="A2333" s="3" t="s">
        <v>3715</v>
      </c>
      <c r="B2333" s="14">
        <v>45476</v>
      </c>
      <c r="C2333" s="7" t="s">
        <v>587</v>
      </c>
      <c r="D2333" s="17" t="s">
        <v>3838</v>
      </c>
      <c r="E2333" s="3" t="s">
        <v>3839</v>
      </c>
      <c r="F2333" s="3">
        <v>4</v>
      </c>
      <c r="N2333" s="48"/>
    </row>
    <row r="2334" spans="1:14" x14ac:dyDescent="0.45">
      <c r="A2334" s="3" t="s">
        <v>3715</v>
      </c>
      <c r="B2334" s="14">
        <v>44855</v>
      </c>
      <c r="C2334" s="7" t="s">
        <v>587</v>
      </c>
      <c r="D2334" s="17" t="s">
        <v>3840</v>
      </c>
      <c r="E2334" s="3" t="s">
        <v>3841</v>
      </c>
      <c r="F2334" s="3">
        <v>2</v>
      </c>
      <c r="N2334" s="48"/>
    </row>
    <row r="2335" spans="1:14" x14ac:dyDescent="0.45">
      <c r="A2335" s="3" t="s">
        <v>3715</v>
      </c>
      <c r="B2335" s="14">
        <v>45680</v>
      </c>
      <c r="C2335" s="7" t="s">
        <v>587</v>
      </c>
      <c r="D2335" s="17" t="s">
        <v>3842</v>
      </c>
      <c r="E2335" s="3" t="s">
        <v>3843</v>
      </c>
      <c r="F2335" s="3">
        <v>4</v>
      </c>
      <c r="N2335" s="48"/>
    </row>
    <row r="2336" spans="1:14" x14ac:dyDescent="0.45">
      <c r="A2336" s="3" t="s">
        <v>3715</v>
      </c>
      <c r="B2336" s="14">
        <v>45680</v>
      </c>
      <c r="C2336" s="7" t="s">
        <v>587</v>
      </c>
      <c r="D2336" s="17" t="s">
        <v>3844</v>
      </c>
      <c r="E2336" s="3" t="s">
        <v>3845</v>
      </c>
      <c r="F2336" s="3">
        <v>3</v>
      </c>
      <c r="N2336" s="48"/>
    </row>
    <row r="2337" spans="1:14" x14ac:dyDescent="0.45">
      <c r="A2337" s="3" t="s">
        <v>3715</v>
      </c>
      <c r="B2337" s="14">
        <v>44837</v>
      </c>
      <c r="C2337" s="7" t="s">
        <v>587</v>
      </c>
      <c r="D2337" s="17" t="s">
        <v>3846</v>
      </c>
      <c r="E2337" s="3" t="s">
        <v>3847</v>
      </c>
      <c r="F2337" s="3">
        <v>4</v>
      </c>
      <c r="N2337" s="48"/>
    </row>
    <row r="2338" spans="1:14" x14ac:dyDescent="0.45">
      <c r="A2338" s="3" t="s">
        <v>3715</v>
      </c>
      <c r="B2338" s="14">
        <v>44837</v>
      </c>
      <c r="C2338" s="7" t="s">
        <v>587</v>
      </c>
      <c r="D2338" s="17" t="s">
        <v>3848</v>
      </c>
      <c r="E2338" s="3" t="s">
        <v>3849</v>
      </c>
      <c r="F2338" s="3">
        <v>4</v>
      </c>
      <c r="N2338" s="48"/>
    </row>
    <row r="2339" spans="1:14" x14ac:dyDescent="0.45">
      <c r="A2339" s="3" t="s">
        <v>3715</v>
      </c>
      <c r="B2339" s="14">
        <v>44837</v>
      </c>
      <c r="C2339" s="7" t="s">
        <v>587</v>
      </c>
      <c r="D2339" s="17" t="s">
        <v>3850</v>
      </c>
      <c r="E2339" s="3" t="s">
        <v>3851</v>
      </c>
      <c r="F2339" s="3">
        <v>4</v>
      </c>
      <c r="N2339" s="48"/>
    </row>
    <row r="2340" spans="1:14" x14ac:dyDescent="0.45">
      <c r="A2340" s="3" t="s">
        <v>3715</v>
      </c>
      <c r="B2340" s="14">
        <v>44837</v>
      </c>
      <c r="C2340" s="7" t="s">
        <v>587</v>
      </c>
      <c r="D2340" s="17" t="s">
        <v>3852</v>
      </c>
      <c r="E2340" s="3" t="s">
        <v>3853</v>
      </c>
      <c r="F2340" s="3">
        <v>3</v>
      </c>
      <c r="N2340" s="48"/>
    </row>
    <row r="2341" spans="1:14" x14ac:dyDescent="0.45">
      <c r="A2341" s="3" t="s">
        <v>3715</v>
      </c>
      <c r="B2341" s="14">
        <v>45463</v>
      </c>
      <c r="C2341" s="7" t="s">
        <v>587</v>
      </c>
      <c r="D2341" s="17" t="s">
        <v>3854</v>
      </c>
      <c r="E2341" s="3" t="s">
        <v>3855</v>
      </c>
      <c r="F2341" s="3">
        <v>4</v>
      </c>
      <c r="N2341" s="48"/>
    </row>
    <row r="2342" spans="1:14" x14ac:dyDescent="0.45">
      <c r="A2342" s="3" t="s">
        <v>3715</v>
      </c>
      <c r="B2342" s="14">
        <v>45680</v>
      </c>
      <c r="C2342" s="7" t="s">
        <v>587</v>
      </c>
      <c r="D2342" s="17" t="s">
        <v>3856</v>
      </c>
      <c r="E2342" s="3" t="s">
        <v>3857</v>
      </c>
      <c r="F2342" s="3">
        <v>3</v>
      </c>
      <c r="N2342" s="48"/>
    </row>
    <row r="2343" spans="1:14" x14ac:dyDescent="0.45">
      <c r="A2343" s="3" t="s">
        <v>3715</v>
      </c>
      <c r="B2343" s="14">
        <v>44797</v>
      </c>
      <c r="C2343" s="7" t="s">
        <v>587</v>
      </c>
      <c r="D2343" s="17" t="s">
        <v>3858</v>
      </c>
      <c r="E2343" s="3" t="s">
        <v>3859</v>
      </c>
      <c r="F2343" s="3">
        <v>2</v>
      </c>
      <c r="N2343" s="48"/>
    </row>
    <row r="2344" spans="1:14" x14ac:dyDescent="0.45">
      <c r="A2344" s="3" t="s">
        <v>3715</v>
      </c>
      <c r="B2344" s="14">
        <v>45680</v>
      </c>
      <c r="C2344" s="7" t="s">
        <v>587</v>
      </c>
      <c r="D2344" s="17" t="s">
        <v>3860</v>
      </c>
      <c r="E2344" s="3" t="s">
        <v>3861</v>
      </c>
      <c r="F2344" s="3">
        <v>3</v>
      </c>
      <c r="N2344" s="48"/>
    </row>
    <row r="2345" spans="1:14" x14ac:dyDescent="0.45">
      <c r="A2345" s="3" t="s">
        <v>3715</v>
      </c>
      <c r="B2345" s="14">
        <v>44733</v>
      </c>
      <c r="C2345" s="7" t="s">
        <v>587</v>
      </c>
      <c r="D2345" s="17" t="s">
        <v>3862</v>
      </c>
      <c r="E2345" s="3" t="s">
        <v>3863</v>
      </c>
      <c r="F2345" s="3">
        <v>2</v>
      </c>
      <c r="N2345" s="48"/>
    </row>
    <row r="2346" spans="1:14" x14ac:dyDescent="0.45">
      <c r="A2346" s="3" t="s">
        <v>3715</v>
      </c>
      <c r="B2346" s="14">
        <v>44733</v>
      </c>
      <c r="C2346" s="7" t="s">
        <v>587</v>
      </c>
      <c r="D2346" s="17" t="s">
        <v>3864</v>
      </c>
      <c r="E2346" s="3" t="s">
        <v>3865</v>
      </c>
      <c r="F2346" s="3">
        <v>5</v>
      </c>
      <c r="N2346" s="48"/>
    </row>
    <row r="2347" spans="1:14" x14ac:dyDescent="0.45">
      <c r="A2347" s="3" t="s">
        <v>3715</v>
      </c>
      <c r="B2347" s="14">
        <v>45680</v>
      </c>
      <c r="C2347" s="7" t="s">
        <v>587</v>
      </c>
      <c r="D2347" s="17" t="s">
        <v>3866</v>
      </c>
      <c r="E2347" s="3" t="s">
        <v>3867</v>
      </c>
      <c r="F2347" s="3">
        <v>3</v>
      </c>
      <c r="N2347" s="48"/>
    </row>
    <row r="2348" spans="1:14" x14ac:dyDescent="0.45">
      <c r="A2348" s="3" t="s">
        <v>3715</v>
      </c>
      <c r="B2348" s="14">
        <v>44652</v>
      </c>
      <c r="C2348" s="7" t="s">
        <v>587</v>
      </c>
      <c r="D2348" s="17" t="s">
        <v>3868</v>
      </c>
      <c r="E2348" s="3" t="s">
        <v>3869</v>
      </c>
      <c r="F2348" s="3">
        <v>1</v>
      </c>
      <c r="N2348" s="48"/>
    </row>
    <row r="2349" spans="1:14" x14ac:dyDescent="0.45">
      <c r="A2349" s="3" t="s">
        <v>3715</v>
      </c>
      <c r="B2349" s="14">
        <v>45680</v>
      </c>
      <c r="C2349" s="7" t="s">
        <v>587</v>
      </c>
      <c r="D2349" s="17" t="s">
        <v>3870</v>
      </c>
      <c r="E2349" s="3" t="s">
        <v>3871</v>
      </c>
      <c r="F2349" s="3">
        <v>3</v>
      </c>
      <c r="N2349" s="48"/>
    </row>
    <row r="2350" spans="1:14" x14ac:dyDescent="0.45">
      <c r="A2350" s="3" t="s">
        <v>3715</v>
      </c>
      <c r="B2350" s="14">
        <v>45680</v>
      </c>
      <c r="C2350" s="7" t="s">
        <v>587</v>
      </c>
      <c r="D2350" s="17" t="s">
        <v>3872</v>
      </c>
      <c r="E2350" s="3" t="s">
        <v>3873</v>
      </c>
      <c r="F2350" s="3">
        <v>3</v>
      </c>
      <c r="N2350" s="48"/>
    </row>
    <row r="2351" spans="1:14" x14ac:dyDescent="0.45">
      <c r="A2351" s="3" t="s">
        <v>3715</v>
      </c>
      <c r="B2351" s="14">
        <v>45680</v>
      </c>
      <c r="C2351" s="7" t="s">
        <v>587</v>
      </c>
      <c r="D2351" s="17" t="s">
        <v>3874</v>
      </c>
      <c r="E2351" s="3" t="s">
        <v>3875</v>
      </c>
      <c r="F2351" s="3">
        <v>3</v>
      </c>
      <c r="N2351" s="48"/>
    </row>
    <row r="2352" spans="1:14" x14ac:dyDescent="0.45">
      <c r="A2352" s="3" t="s">
        <v>3715</v>
      </c>
      <c r="B2352" s="14">
        <v>45680</v>
      </c>
      <c r="C2352" s="7" t="s">
        <v>587</v>
      </c>
      <c r="D2352" s="17" t="s">
        <v>3876</v>
      </c>
      <c r="E2352" s="3" t="s">
        <v>3877</v>
      </c>
      <c r="F2352" s="3">
        <v>3</v>
      </c>
      <c r="N2352" s="48"/>
    </row>
    <row r="2353" spans="1:14" x14ac:dyDescent="0.45">
      <c r="A2353" s="3" t="s">
        <v>3715</v>
      </c>
      <c r="B2353" s="14">
        <v>44648</v>
      </c>
      <c r="C2353" s="7" t="s">
        <v>587</v>
      </c>
      <c r="D2353" s="17" t="s">
        <v>3878</v>
      </c>
      <c r="E2353" s="3" t="s">
        <v>3879</v>
      </c>
      <c r="F2353" s="3">
        <v>2</v>
      </c>
      <c r="N2353" s="48"/>
    </row>
    <row r="2354" spans="1:14" x14ac:dyDescent="0.45">
      <c r="A2354" s="3" t="s">
        <v>3715</v>
      </c>
      <c r="B2354" s="14">
        <v>45680</v>
      </c>
      <c r="C2354" s="7" t="s">
        <v>587</v>
      </c>
      <c r="D2354" s="17" t="s">
        <v>3880</v>
      </c>
      <c r="E2354" s="3" t="s">
        <v>3881</v>
      </c>
      <c r="F2354" s="3">
        <v>3</v>
      </c>
      <c r="N2354" s="48"/>
    </row>
    <row r="2355" spans="1:14" x14ac:dyDescent="0.45">
      <c r="A2355" s="3" t="s">
        <v>3715</v>
      </c>
      <c r="B2355" s="14">
        <v>45680</v>
      </c>
      <c r="C2355" s="7" t="s">
        <v>587</v>
      </c>
      <c r="D2355" s="17" t="s">
        <v>3882</v>
      </c>
      <c r="E2355" s="3" t="s">
        <v>3883</v>
      </c>
      <c r="F2355" s="3">
        <v>3</v>
      </c>
      <c r="N2355" s="48"/>
    </row>
    <row r="2356" spans="1:14" x14ac:dyDescent="0.45">
      <c r="A2356" s="3" t="s">
        <v>3715</v>
      </c>
      <c r="B2356" s="14">
        <v>44501</v>
      </c>
      <c r="C2356" s="7" t="s">
        <v>587</v>
      </c>
      <c r="D2356" s="17" t="s">
        <v>3884</v>
      </c>
      <c r="E2356" s="3" t="s">
        <v>3885</v>
      </c>
      <c r="F2356" s="3">
        <v>5</v>
      </c>
      <c r="N2356" s="48"/>
    </row>
    <row r="2357" spans="1:14" x14ac:dyDescent="0.45">
      <c r="A2357" s="3" t="s">
        <v>3715</v>
      </c>
      <c r="B2357" s="14">
        <v>44494</v>
      </c>
      <c r="C2357" s="7" t="s">
        <v>587</v>
      </c>
      <c r="D2357" s="17" t="s">
        <v>3886</v>
      </c>
      <c r="E2357" s="3" t="s">
        <v>3887</v>
      </c>
      <c r="F2357" s="3">
        <v>3</v>
      </c>
      <c r="N2357" s="48"/>
    </row>
    <row r="2358" spans="1:14" x14ac:dyDescent="0.45">
      <c r="A2358" s="3" t="s">
        <v>3715</v>
      </c>
      <c r="B2358" s="14">
        <v>44494</v>
      </c>
      <c r="C2358" s="7" t="s">
        <v>587</v>
      </c>
      <c r="D2358" s="17" t="s">
        <v>3888</v>
      </c>
      <c r="E2358" s="3" t="s">
        <v>3889</v>
      </c>
      <c r="F2358" s="3">
        <v>4</v>
      </c>
      <c r="N2358" s="48"/>
    </row>
    <row r="2359" spans="1:14" x14ac:dyDescent="0.45">
      <c r="A2359" s="3" t="s">
        <v>3715</v>
      </c>
      <c r="B2359" s="14">
        <v>44494</v>
      </c>
      <c r="C2359" s="7" t="s">
        <v>587</v>
      </c>
      <c r="D2359" s="17" t="s">
        <v>3890</v>
      </c>
      <c r="E2359" s="3" t="s">
        <v>3891</v>
      </c>
      <c r="F2359" s="3">
        <v>4</v>
      </c>
      <c r="N2359" s="48"/>
    </row>
    <row r="2360" spans="1:14" x14ac:dyDescent="0.45">
      <c r="A2360" s="3" t="s">
        <v>3715</v>
      </c>
      <c r="B2360" s="14">
        <v>45680</v>
      </c>
      <c r="C2360" s="7" t="s">
        <v>587</v>
      </c>
      <c r="D2360" s="17" t="s">
        <v>3892</v>
      </c>
      <c r="E2360" s="3" t="s">
        <v>3893</v>
      </c>
      <c r="F2360" s="3">
        <v>3</v>
      </c>
      <c r="N2360" s="48"/>
    </row>
    <row r="2361" spans="1:14" x14ac:dyDescent="0.45">
      <c r="A2361" s="3" t="s">
        <v>3715</v>
      </c>
      <c r="B2361" s="14">
        <v>45680</v>
      </c>
      <c r="C2361" s="7" t="s">
        <v>587</v>
      </c>
      <c r="D2361" s="17" t="s">
        <v>3894</v>
      </c>
      <c r="E2361" s="3" t="s">
        <v>3895</v>
      </c>
      <c r="F2361" s="3">
        <v>3</v>
      </c>
      <c r="N2361" s="48"/>
    </row>
    <row r="2362" spans="1:14" x14ac:dyDescent="0.45">
      <c r="A2362" s="3" t="s">
        <v>3715</v>
      </c>
      <c r="B2362" s="14">
        <v>45680</v>
      </c>
      <c r="C2362" s="7" t="s">
        <v>587</v>
      </c>
      <c r="D2362" s="17" t="s">
        <v>3896</v>
      </c>
      <c r="E2362" s="3" t="s">
        <v>3897</v>
      </c>
      <c r="F2362" s="3">
        <v>3</v>
      </c>
      <c r="N2362" s="48"/>
    </row>
    <row r="2363" spans="1:14" x14ac:dyDescent="0.45">
      <c r="A2363" s="3" t="s">
        <v>3715</v>
      </c>
      <c r="B2363" s="14">
        <v>44474</v>
      </c>
      <c r="C2363" s="7" t="s">
        <v>587</v>
      </c>
      <c r="D2363" s="17" t="s">
        <v>3898</v>
      </c>
      <c r="E2363" s="3" t="s">
        <v>3899</v>
      </c>
      <c r="F2363" s="3">
        <v>2</v>
      </c>
      <c r="N2363" s="48"/>
    </row>
    <row r="2364" spans="1:14" x14ac:dyDescent="0.45">
      <c r="A2364" s="3" t="s">
        <v>3715</v>
      </c>
      <c r="B2364" s="14">
        <v>44470</v>
      </c>
      <c r="C2364" s="7" t="s">
        <v>587</v>
      </c>
      <c r="D2364" s="17" t="s">
        <v>3900</v>
      </c>
      <c r="E2364" s="3" t="s">
        <v>3901</v>
      </c>
      <c r="F2364" s="3">
        <v>3</v>
      </c>
      <c r="N2364" s="48"/>
    </row>
    <row r="2365" spans="1:14" x14ac:dyDescent="0.45">
      <c r="A2365" s="3" t="s">
        <v>3715</v>
      </c>
      <c r="B2365" s="14">
        <v>44434</v>
      </c>
      <c r="C2365" s="7" t="s">
        <v>587</v>
      </c>
      <c r="D2365" s="17" t="s">
        <v>3902</v>
      </c>
      <c r="E2365" s="3" t="s">
        <v>3903</v>
      </c>
      <c r="F2365" s="3">
        <v>2</v>
      </c>
      <c r="N2365" s="48"/>
    </row>
    <row r="2366" spans="1:14" x14ac:dyDescent="0.45">
      <c r="A2366" s="3" t="s">
        <v>3715</v>
      </c>
      <c r="B2366" s="14">
        <v>44426</v>
      </c>
      <c r="C2366" s="7" t="s">
        <v>587</v>
      </c>
      <c r="D2366" s="17" t="s">
        <v>3904</v>
      </c>
      <c r="E2366" s="3" t="s">
        <v>3905</v>
      </c>
      <c r="F2366" s="3">
        <v>3</v>
      </c>
      <c r="N2366" s="48"/>
    </row>
    <row r="2367" spans="1:14" x14ac:dyDescent="0.45">
      <c r="A2367" s="3" t="s">
        <v>3715</v>
      </c>
      <c r="B2367" s="14">
        <v>44413</v>
      </c>
      <c r="C2367" s="7" t="s">
        <v>587</v>
      </c>
      <c r="D2367" s="17" t="s">
        <v>3906</v>
      </c>
      <c r="E2367" s="3" t="s">
        <v>3907</v>
      </c>
      <c r="F2367" s="3">
        <v>1</v>
      </c>
      <c r="N2367" s="48"/>
    </row>
    <row r="2368" spans="1:14" x14ac:dyDescent="0.45">
      <c r="A2368" s="3" t="s">
        <v>3715</v>
      </c>
      <c r="B2368" s="14">
        <v>44411</v>
      </c>
      <c r="C2368" s="7" t="s">
        <v>587</v>
      </c>
      <c r="D2368" s="17" t="s">
        <v>3908</v>
      </c>
      <c r="E2368" s="3" t="s">
        <v>3909</v>
      </c>
      <c r="F2368" s="3">
        <v>1</v>
      </c>
      <c r="N2368" s="48"/>
    </row>
    <row r="2369" spans="1:14" x14ac:dyDescent="0.45">
      <c r="A2369" s="3" t="s">
        <v>3715</v>
      </c>
      <c r="B2369" s="14">
        <v>44397</v>
      </c>
      <c r="C2369" s="7" t="s">
        <v>587</v>
      </c>
      <c r="D2369" s="17" t="s">
        <v>3910</v>
      </c>
      <c r="E2369" s="3" t="s">
        <v>3911</v>
      </c>
      <c r="F2369" s="3">
        <v>2</v>
      </c>
      <c r="N2369" s="48"/>
    </row>
    <row r="2370" spans="1:14" x14ac:dyDescent="0.45">
      <c r="A2370" s="3" t="s">
        <v>3715</v>
      </c>
      <c r="B2370" s="14">
        <v>44397</v>
      </c>
      <c r="C2370" s="7" t="s">
        <v>587</v>
      </c>
      <c r="D2370" s="17" t="s">
        <v>3912</v>
      </c>
      <c r="E2370" s="3" t="s">
        <v>3913</v>
      </c>
      <c r="F2370" s="3">
        <v>5</v>
      </c>
      <c r="N2370" s="48"/>
    </row>
    <row r="2371" spans="1:14" x14ac:dyDescent="0.45">
      <c r="A2371" s="3" t="s">
        <v>3715</v>
      </c>
      <c r="B2371" s="14">
        <v>44378</v>
      </c>
      <c r="C2371" s="7" t="s">
        <v>587</v>
      </c>
      <c r="D2371" s="17" t="s">
        <v>3914</v>
      </c>
      <c r="E2371" s="3" t="s">
        <v>3915</v>
      </c>
      <c r="F2371" s="3">
        <v>3</v>
      </c>
      <c r="N2371" s="48"/>
    </row>
    <row r="2372" spans="1:14" x14ac:dyDescent="0.45">
      <c r="A2372" s="3" t="s">
        <v>3715</v>
      </c>
      <c r="B2372" s="14">
        <v>44378</v>
      </c>
      <c r="C2372" s="7" t="s">
        <v>587</v>
      </c>
      <c r="D2372" s="17" t="s">
        <v>3916</v>
      </c>
      <c r="E2372" s="3" t="s">
        <v>3917</v>
      </c>
      <c r="F2372" s="3">
        <v>3</v>
      </c>
      <c r="N2372" s="48"/>
    </row>
    <row r="2373" spans="1:14" x14ac:dyDescent="0.45">
      <c r="A2373" s="3" t="s">
        <v>3715</v>
      </c>
      <c r="B2373" s="14">
        <v>44378</v>
      </c>
      <c r="C2373" s="7" t="s">
        <v>587</v>
      </c>
      <c r="D2373" s="17" t="s">
        <v>3918</v>
      </c>
      <c r="E2373" s="3" t="s">
        <v>3919</v>
      </c>
      <c r="F2373" s="3">
        <v>4</v>
      </c>
      <c r="N2373" s="48"/>
    </row>
    <row r="2374" spans="1:14" x14ac:dyDescent="0.45">
      <c r="A2374" s="3" t="s">
        <v>3715</v>
      </c>
      <c r="B2374" s="14">
        <v>44377</v>
      </c>
      <c r="C2374" s="7" t="s">
        <v>587</v>
      </c>
      <c r="D2374" s="17" t="s">
        <v>3920</v>
      </c>
      <c r="E2374" s="3" t="s">
        <v>3921</v>
      </c>
      <c r="F2374" s="3">
        <v>2</v>
      </c>
      <c r="N2374" s="48"/>
    </row>
    <row r="2375" spans="1:14" x14ac:dyDescent="0.45">
      <c r="A2375" s="3" t="s">
        <v>3715</v>
      </c>
      <c r="B2375" s="14">
        <v>44336</v>
      </c>
      <c r="C2375" s="7" t="s">
        <v>587</v>
      </c>
      <c r="D2375" s="17" t="s">
        <v>3922</v>
      </c>
      <c r="E2375" s="3" t="s">
        <v>3923</v>
      </c>
      <c r="F2375" s="3">
        <v>2</v>
      </c>
      <c r="N2375" s="48"/>
    </row>
    <row r="2376" spans="1:14" x14ac:dyDescent="0.45">
      <c r="A2376" s="3" t="s">
        <v>3715</v>
      </c>
      <c r="B2376" s="14">
        <v>44301</v>
      </c>
      <c r="C2376" s="7" t="s">
        <v>587</v>
      </c>
      <c r="D2376" s="17" t="s">
        <v>3924</v>
      </c>
      <c r="E2376" s="3" t="s">
        <v>3925</v>
      </c>
      <c r="F2376" s="3">
        <v>3</v>
      </c>
      <c r="N2376" s="48"/>
    </row>
    <row r="2377" spans="1:14" x14ac:dyDescent="0.45">
      <c r="A2377" s="3" t="s">
        <v>3715</v>
      </c>
      <c r="B2377" s="14">
        <v>44253</v>
      </c>
      <c r="C2377" s="7" t="s">
        <v>587</v>
      </c>
      <c r="D2377" s="17" t="s">
        <v>3926</v>
      </c>
      <c r="E2377" s="3" t="s">
        <v>3927</v>
      </c>
      <c r="F2377" s="3">
        <v>1</v>
      </c>
      <c r="N2377" s="48"/>
    </row>
    <row r="2378" spans="1:14" x14ac:dyDescent="0.45">
      <c r="A2378" s="3" t="s">
        <v>3715</v>
      </c>
      <c r="B2378" s="14">
        <v>44253</v>
      </c>
      <c r="C2378" s="7" t="s">
        <v>587</v>
      </c>
      <c r="D2378" s="40" t="s">
        <v>3928</v>
      </c>
      <c r="E2378" s="3" t="s">
        <v>3929</v>
      </c>
      <c r="F2378" s="3" t="s">
        <v>1041</v>
      </c>
      <c r="L2378" s="3" t="s">
        <v>3930</v>
      </c>
      <c r="N2378" s="48"/>
    </row>
    <row r="2379" spans="1:14" x14ac:dyDescent="0.45">
      <c r="A2379" s="3" t="s">
        <v>3715</v>
      </c>
      <c r="B2379" s="14">
        <v>44670</v>
      </c>
      <c r="C2379" s="7" t="s">
        <v>587</v>
      </c>
      <c r="D2379" s="17" t="s">
        <v>3931</v>
      </c>
      <c r="E2379" s="3" t="s">
        <v>3932</v>
      </c>
      <c r="F2379" s="3">
        <v>1</v>
      </c>
      <c r="N2379" s="48"/>
    </row>
    <row r="2380" spans="1:14" x14ac:dyDescent="0.45">
      <c r="A2380" s="3" t="s">
        <v>3715</v>
      </c>
      <c r="B2380" s="14">
        <v>44201</v>
      </c>
      <c r="C2380" s="7" t="s">
        <v>587</v>
      </c>
      <c r="D2380" s="17" t="s">
        <v>3933</v>
      </c>
      <c r="E2380" s="3" t="s">
        <v>3934</v>
      </c>
      <c r="F2380" s="3">
        <v>5</v>
      </c>
      <c r="N2380" s="48"/>
    </row>
    <row r="2381" spans="1:14" x14ac:dyDescent="0.45">
      <c r="A2381" s="3" t="s">
        <v>3715</v>
      </c>
      <c r="B2381" s="14">
        <v>44138</v>
      </c>
      <c r="C2381" s="7" t="s">
        <v>587</v>
      </c>
      <c r="D2381" s="17" t="s">
        <v>3935</v>
      </c>
      <c r="E2381" s="3" t="s">
        <v>3936</v>
      </c>
      <c r="F2381" s="3">
        <v>5</v>
      </c>
      <c r="N2381" s="48"/>
    </row>
    <row r="2382" spans="1:14" x14ac:dyDescent="0.45">
      <c r="A2382" s="3" t="s">
        <v>3715</v>
      </c>
      <c r="B2382" s="14">
        <v>44109</v>
      </c>
      <c r="C2382" s="7" t="s">
        <v>587</v>
      </c>
      <c r="D2382" s="17" t="s">
        <v>3937</v>
      </c>
      <c r="E2382" s="3" t="s">
        <v>3938</v>
      </c>
      <c r="F2382" s="3">
        <v>2</v>
      </c>
      <c r="N2382" s="48"/>
    </row>
    <row r="2383" spans="1:14" x14ac:dyDescent="0.45">
      <c r="A2383" s="3" t="s">
        <v>3715</v>
      </c>
      <c r="B2383" s="14">
        <v>44103</v>
      </c>
      <c r="C2383" s="7" t="s">
        <v>587</v>
      </c>
      <c r="D2383" s="17" t="s">
        <v>3939</v>
      </c>
      <c r="E2383" s="3" t="s">
        <v>3940</v>
      </c>
      <c r="F2383" s="3">
        <v>3</v>
      </c>
      <c r="N2383" s="48"/>
    </row>
    <row r="2384" spans="1:14" x14ac:dyDescent="0.45">
      <c r="A2384" s="3" t="s">
        <v>3715</v>
      </c>
      <c r="B2384" s="14">
        <v>44103</v>
      </c>
      <c r="C2384" s="7" t="s">
        <v>587</v>
      </c>
      <c r="D2384" s="17" t="s">
        <v>3941</v>
      </c>
      <c r="E2384" s="3" t="s">
        <v>3942</v>
      </c>
      <c r="F2384" s="3">
        <v>3</v>
      </c>
      <c r="N2384" s="48"/>
    </row>
    <row r="2385" spans="1:14" x14ac:dyDescent="0.45">
      <c r="A2385" s="3" t="s">
        <v>3715</v>
      </c>
      <c r="B2385" s="14">
        <v>44078</v>
      </c>
      <c r="C2385" s="7" t="s">
        <v>587</v>
      </c>
      <c r="D2385" s="17" t="s">
        <v>3943</v>
      </c>
      <c r="E2385" s="3" t="s">
        <v>3944</v>
      </c>
      <c r="F2385" s="3">
        <v>4</v>
      </c>
      <c r="N2385" s="48"/>
    </row>
    <row r="2386" spans="1:14" x14ac:dyDescent="0.45">
      <c r="A2386" s="3" t="s">
        <v>3715</v>
      </c>
      <c r="B2386" s="14">
        <v>44074</v>
      </c>
      <c r="C2386" s="7" t="s">
        <v>587</v>
      </c>
      <c r="D2386" s="17" t="s">
        <v>3945</v>
      </c>
      <c r="E2386" s="3" t="s">
        <v>3946</v>
      </c>
      <c r="F2386" s="3">
        <v>3</v>
      </c>
      <c r="N2386" s="48"/>
    </row>
    <row r="2387" spans="1:14" x14ac:dyDescent="0.45">
      <c r="A2387" s="3" t="s">
        <v>3715</v>
      </c>
      <c r="B2387" s="14">
        <v>43978</v>
      </c>
      <c r="C2387" s="7" t="s">
        <v>587</v>
      </c>
      <c r="D2387" s="17" t="s">
        <v>3947</v>
      </c>
      <c r="E2387" s="3" t="s">
        <v>3948</v>
      </c>
      <c r="F2387" s="3">
        <v>3</v>
      </c>
      <c r="N2387" s="48"/>
    </row>
    <row r="2388" spans="1:14" x14ac:dyDescent="0.45">
      <c r="A2388" s="3" t="s">
        <v>3715</v>
      </c>
      <c r="B2388" s="14">
        <v>43977</v>
      </c>
      <c r="C2388" s="7" t="s">
        <v>587</v>
      </c>
      <c r="D2388" s="17" t="s">
        <v>3949</v>
      </c>
      <c r="E2388" s="3" t="s">
        <v>3950</v>
      </c>
      <c r="F2388" s="3">
        <v>4</v>
      </c>
      <c r="N2388" s="48"/>
    </row>
    <row r="2389" spans="1:14" x14ac:dyDescent="0.45">
      <c r="A2389" s="3" t="s">
        <v>3715</v>
      </c>
      <c r="B2389" s="14">
        <v>43970</v>
      </c>
      <c r="C2389" s="7" t="s">
        <v>587</v>
      </c>
      <c r="D2389" s="17" t="s">
        <v>3951</v>
      </c>
      <c r="E2389" s="3" t="s">
        <v>3952</v>
      </c>
      <c r="F2389" s="3">
        <v>4</v>
      </c>
      <c r="N2389" s="48"/>
    </row>
    <row r="2390" spans="1:14" x14ac:dyDescent="0.45">
      <c r="A2390" s="3" t="s">
        <v>3715</v>
      </c>
      <c r="B2390" s="14">
        <v>43875</v>
      </c>
      <c r="C2390" s="7" t="s">
        <v>587</v>
      </c>
      <c r="D2390" s="17" t="s">
        <v>3953</v>
      </c>
      <c r="E2390" s="3" t="s">
        <v>3954</v>
      </c>
      <c r="F2390" s="3">
        <v>4</v>
      </c>
      <c r="N2390" s="48"/>
    </row>
    <row r="2391" spans="1:14" x14ac:dyDescent="0.45">
      <c r="A2391" s="3" t="s">
        <v>3715</v>
      </c>
      <c r="B2391" s="14">
        <v>43865</v>
      </c>
      <c r="C2391" s="7" t="s">
        <v>587</v>
      </c>
      <c r="D2391" s="17" t="s">
        <v>3955</v>
      </c>
      <c r="E2391" s="3" t="s">
        <v>3956</v>
      </c>
      <c r="F2391" s="3">
        <v>2</v>
      </c>
      <c r="N2391" s="48"/>
    </row>
    <row r="2392" spans="1:14" x14ac:dyDescent="0.45">
      <c r="A2392" s="3" t="s">
        <v>3715</v>
      </c>
      <c r="B2392" s="14">
        <v>43760</v>
      </c>
      <c r="C2392" s="7" t="s">
        <v>587</v>
      </c>
      <c r="D2392" s="17" t="s">
        <v>3957</v>
      </c>
      <c r="E2392" s="3" t="s">
        <v>3958</v>
      </c>
      <c r="F2392" s="3" t="s">
        <v>1041</v>
      </c>
      <c r="L2392" s="3" t="s">
        <v>1951</v>
      </c>
      <c r="N2392" s="48"/>
    </row>
    <row r="2393" spans="1:14" x14ac:dyDescent="0.45">
      <c r="A2393" s="3" t="s">
        <v>3715</v>
      </c>
      <c r="B2393" s="14">
        <v>43760</v>
      </c>
      <c r="C2393" s="7" t="s">
        <v>587</v>
      </c>
      <c r="D2393" s="17" t="s">
        <v>3959</v>
      </c>
      <c r="E2393" s="3" t="s">
        <v>3960</v>
      </c>
      <c r="F2393" s="3">
        <v>3</v>
      </c>
      <c r="N2393" s="48"/>
    </row>
    <row r="2394" spans="1:14" x14ac:dyDescent="0.45">
      <c r="A2394" s="3" t="s">
        <v>3715</v>
      </c>
      <c r="B2394" s="14">
        <v>43760</v>
      </c>
      <c r="C2394" s="7" t="s">
        <v>587</v>
      </c>
      <c r="D2394" s="17" t="s">
        <v>3961</v>
      </c>
      <c r="E2394" s="3" t="s">
        <v>3962</v>
      </c>
      <c r="F2394" s="3" t="s">
        <v>1041</v>
      </c>
      <c r="L2394" s="3" t="s">
        <v>1821</v>
      </c>
      <c r="N2394" s="48"/>
    </row>
    <row r="2395" spans="1:14" x14ac:dyDescent="0.45">
      <c r="A2395" s="3" t="s">
        <v>3715</v>
      </c>
      <c r="B2395" s="14">
        <v>43712</v>
      </c>
      <c r="C2395" s="7" t="s">
        <v>587</v>
      </c>
      <c r="D2395" s="17" t="s">
        <v>3963</v>
      </c>
      <c r="E2395" s="3" t="s">
        <v>3964</v>
      </c>
      <c r="F2395" s="3">
        <v>2</v>
      </c>
      <c r="N2395" s="48"/>
    </row>
    <row r="2396" spans="1:14" x14ac:dyDescent="0.45">
      <c r="A2396" s="3" t="s">
        <v>3715</v>
      </c>
      <c r="B2396" s="14">
        <v>43648</v>
      </c>
      <c r="C2396" s="7" t="s">
        <v>587</v>
      </c>
      <c r="D2396" s="17" t="s">
        <v>3965</v>
      </c>
      <c r="E2396" s="3" t="s">
        <v>3966</v>
      </c>
      <c r="F2396" s="3" t="s">
        <v>1041</v>
      </c>
      <c r="L2396" s="3" t="s">
        <v>1951</v>
      </c>
      <c r="N2396" s="48"/>
    </row>
    <row r="2397" spans="1:14" x14ac:dyDescent="0.45">
      <c r="A2397" s="3" t="s">
        <v>3715</v>
      </c>
      <c r="B2397" s="14">
        <v>43671</v>
      </c>
      <c r="C2397" s="7" t="s">
        <v>587</v>
      </c>
      <c r="D2397" s="17" t="s">
        <v>3967</v>
      </c>
      <c r="E2397" s="3" t="s">
        <v>3968</v>
      </c>
      <c r="F2397" s="3" t="s">
        <v>1041</v>
      </c>
      <c r="L2397" s="3" t="s">
        <v>1951</v>
      </c>
      <c r="N2397" s="48"/>
    </row>
    <row r="2398" spans="1:14" x14ac:dyDescent="0.45">
      <c r="A2398" s="3" t="s">
        <v>3715</v>
      </c>
      <c r="B2398" s="14">
        <v>43564</v>
      </c>
      <c r="C2398" s="7" t="s">
        <v>587</v>
      </c>
      <c r="D2398" s="40" t="s">
        <v>3969</v>
      </c>
      <c r="E2398" s="24" t="s">
        <v>3970</v>
      </c>
      <c r="F2398" s="3">
        <v>4</v>
      </c>
      <c r="L2398" s="3" t="s">
        <v>3971</v>
      </c>
      <c r="N2398" s="48"/>
    </row>
    <row r="2399" spans="1:14" x14ac:dyDescent="0.45">
      <c r="A2399" s="3" t="s">
        <v>3715</v>
      </c>
      <c r="B2399" s="14">
        <v>43431</v>
      </c>
      <c r="C2399" s="7" t="s">
        <v>587</v>
      </c>
      <c r="D2399" s="17" t="s">
        <v>3972</v>
      </c>
      <c r="E2399" s="3" t="s">
        <v>3973</v>
      </c>
      <c r="F2399" s="3" t="s">
        <v>1041</v>
      </c>
      <c r="L2399" s="3" t="s">
        <v>1821</v>
      </c>
      <c r="N2399" s="48"/>
    </row>
    <row r="2400" spans="1:14" x14ac:dyDescent="0.45">
      <c r="A2400" s="3" t="s">
        <v>3715</v>
      </c>
      <c r="B2400" s="14">
        <v>43410</v>
      </c>
      <c r="C2400" s="7" t="s">
        <v>587</v>
      </c>
      <c r="D2400" s="17" t="s">
        <v>3974</v>
      </c>
      <c r="E2400" s="3" t="s">
        <v>3975</v>
      </c>
      <c r="F2400" s="3">
        <v>2</v>
      </c>
      <c r="N2400" s="48"/>
    </row>
    <row r="2401" spans="1:14" x14ac:dyDescent="0.45">
      <c r="A2401" s="3" t="s">
        <v>3715</v>
      </c>
      <c r="B2401" s="14">
        <v>43371</v>
      </c>
      <c r="C2401" s="7" t="s">
        <v>587</v>
      </c>
      <c r="D2401" s="17" t="s">
        <v>3976</v>
      </c>
      <c r="E2401" s="3" t="s">
        <v>3977</v>
      </c>
      <c r="F2401" s="3" t="s">
        <v>1041</v>
      </c>
      <c r="L2401" s="3" t="s">
        <v>1951</v>
      </c>
      <c r="N2401" s="48"/>
    </row>
    <row r="2402" spans="1:14" x14ac:dyDescent="0.45">
      <c r="A2402" s="3" t="s">
        <v>3715</v>
      </c>
      <c r="B2402" s="14">
        <v>43371</v>
      </c>
      <c r="C2402" s="7" t="s">
        <v>587</v>
      </c>
      <c r="D2402" s="17" t="s">
        <v>3978</v>
      </c>
      <c r="E2402" s="3" t="s">
        <v>3979</v>
      </c>
      <c r="F2402" s="3" t="s">
        <v>1041</v>
      </c>
      <c r="L2402" s="3" t="s">
        <v>1951</v>
      </c>
      <c r="N2402" s="48"/>
    </row>
    <row r="2403" spans="1:14" x14ac:dyDescent="0.45">
      <c r="A2403" s="3" t="s">
        <v>3715</v>
      </c>
      <c r="B2403" s="14">
        <v>43371</v>
      </c>
      <c r="C2403" s="7" t="s">
        <v>587</v>
      </c>
      <c r="D2403" s="17" t="s">
        <v>3980</v>
      </c>
      <c r="E2403" s="3" t="s">
        <v>3981</v>
      </c>
      <c r="F2403" s="3" t="s">
        <v>1041</v>
      </c>
      <c r="L2403" s="3" t="s">
        <v>1951</v>
      </c>
      <c r="N2403" s="48"/>
    </row>
    <row r="2404" spans="1:14" x14ac:dyDescent="0.45">
      <c r="A2404" s="3" t="s">
        <v>3715</v>
      </c>
      <c r="B2404" s="14">
        <v>43372</v>
      </c>
      <c r="C2404" s="7" t="s">
        <v>587</v>
      </c>
      <c r="D2404" s="17" t="s">
        <v>3982</v>
      </c>
      <c r="E2404" s="3" t="s">
        <v>3983</v>
      </c>
      <c r="F2404" s="3">
        <v>5</v>
      </c>
      <c r="N2404" s="48"/>
    </row>
    <row r="2405" spans="1:14" x14ac:dyDescent="0.45">
      <c r="A2405" s="3" t="s">
        <v>3715</v>
      </c>
      <c r="B2405" s="14">
        <v>43339</v>
      </c>
      <c r="C2405" s="7" t="s">
        <v>587</v>
      </c>
      <c r="D2405" s="17" t="s">
        <v>3984</v>
      </c>
      <c r="E2405" s="3" t="s">
        <v>3985</v>
      </c>
      <c r="F2405" s="3">
        <v>2</v>
      </c>
      <c r="N2405" s="48"/>
    </row>
    <row r="2406" spans="1:14" x14ac:dyDescent="0.45">
      <c r="A2406" s="3" t="s">
        <v>3715</v>
      </c>
      <c r="B2406" s="14">
        <v>43221</v>
      </c>
      <c r="C2406" s="7" t="s">
        <v>587</v>
      </c>
      <c r="D2406" s="17" t="s">
        <v>3986</v>
      </c>
      <c r="E2406" s="3" t="s">
        <v>3987</v>
      </c>
      <c r="F2406" s="3">
        <v>2</v>
      </c>
      <c r="N2406" s="48"/>
    </row>
    <row r="2407" spans="1:14" x14ac:dyDescent="0.45">
      <c r="A2407" s="3" t="s">
        <v>3715</v>
      </c>
      <c r="B2407" s="14">
        <v>43013</v>
      </c>
      <c r="C2407" s="7" t="s">
        <v>587</v>
      </c>
      <c r="D2407" s="17" t="s">
        <v>3988</v>
      </c>
      <c r="E2407" s="3" t="s">
        <v>3989</v>
      </c>
      <c r="F2407" s="3" t="s">
        <v>1041</v>
      </c>
      <c r="L2407" s="3" t="s">
        <v>1951</v>
      </c>
      <c r="N2407" s="48"/>
    </row>
    <row r="2408" spans="1:14" x14ac:dyDescent="0.45">
      <c r="A2408" s="3" t="s">
        <v>3715</v>
      </c>
      <c r="B2408" s="14">
        <v>43013</v>
      </c>
      <c r="C2408" s="7" t="s">
        <v>587</v>
      </c>
      <c r="D2408" s="17" t="s">
        <v>3990</v>
      </c>
      <c r="E2408" s="3" t="s">
        <v>3991</v>
      </c>
      <c r="F2408" s="3" t="s">
        <v>1041</v>
      </c>
      <c r="L2408" s="3" t="s">
        <v>1951</v>
      </c>
      <c r="N2408" s="48"/>
    </row>
    <row r="2409" spans="1:14" x14ac:dyDescent="0.45">
      <c r="A2409" s="3" t="s">
        <v>3715</v>
      </c>
      <c r="B2409" s="14">
        <v>42998</v>
      </c>
      <c r="C2409" s="7" t="s">
        <v>587</v>
      </c>
      <c r="D2409" s="17" t="s">
        <v>3992</v>
      </c>
      <c r="E2409" s="3" t="s">
        <v>3993</v>
      </c>
      <c r="F2409" s="3">
        <v>4</v>
      </c>
      <c r="N2409" s="48"/>
    </row>
    <row r="2410" spans="1:14" x14ac:dyDescent="0.45">
      <c r="A2410" s="3" t="s">
        <v>3715</v>
      </c>
      <c r="B2410" s="14">
        <v>42968</v>
      </c>
      <c r="C2410" s="7" t="s">
        <v>587</v>
      </c>
      <c r="D2410" s="17" t="s">
        <v>3994</v>
      </c>
      <c r="E2410" s="3" t="s">
        <v>3995</v>
      </c>
      <c r="F2410" s="3" t="s">
        <v>1041</v>
      </c>
      <c r="L2410" s="3" t="s">
        <v>1821</v>
      </c>
      <c r="N2410" s="48"/>
    </row>
    <row r="2411" spans="1:14" x14ac:dyDescent="0.45">
      <c r="A2411" s="3" t="s">
        <v>3715</v>
      </c>
      <c r="B2411" s="14">
        <v>42962</v>
      </c>
      <c r="C2411" s="7" t="s">
        <v>587</v>
      </c>
      <c r="D2411" s="17" t="s">
        <v>3996</v>
      </c>
      <c r="E2411" s="3" t="s">
        <v>3997</v>
      </c>
      <c r="F2411" s="3">
        <v>3</v>
      </c>
      <c r="N2411" s="48"/>
    </row>
    <row r="2412" spans="1:14" x14ac:dyDescent="0.45">
      <c r="A2412" s="3" t="s">
        <v>3715</v>
      </c>
      <c r="B2412" s="14">
        <v>42934</v>
      </c>
      <c r="C2412" s="7" t="s">
        <v>587</v>
      </c>
      <c r="D2412" s="17" t="s">
        <v>3998</v>
      </c>
      <c r="E2412" s="3" t="s">
        <v>3999</v>
      </c>
      <c r="F2412" s="3">
        <v>2</v>
      </c>
      <c r="N2412" s="48"/>
    </row>
    <row r="2413" spans="1:14" x14ac:dyDescent="0.45">
      <c r="A2413" s="3" t="s">
        <v>3715</v>
      </c>
      <c r="B2413" s="14">
        <v>42907</v>
      </c>
      <c r="C2413" s="7" t="s">
        <v>587</v>
      </c>
      <c r="D2413" s="17" t="s">
        <v>4000</v>
      </c>
      <c r="E2413" s="3" t="s">
        <v>4001</v>
      </c>
      <c r="F2413" s="3">
        <v>2</v>
      </c>
      <c r="N2413" s="48"/>
    </row>
    <row r="2414" spans="1:14" x14ac:dyDescent="0.45">
      <c r="A2414" s="3" t="s">
        <v>3715</v>
      </c>
      <c r="B2414" s="14">
        <v>42797</v>
      </c>
      <c r="C2414" s="7" t="s">
        <v>587</v>
      </c>
      <c r="D2414" s="17" t="s">
        <v>4002</v>
      </c>
      <c r="E2414" s="3" t="s">
        <v>4003</v>
      </c>
      <c r="F2414" s="3">
        <v>2</v>
      </c>
      <c r="N2414" s="48"/>
    </row>
    <row r="2415" spans="1:14" x14ac:dyDescent="0.45">
      <c r="A2415" s="3" t="s">
        <v>3715</v>
      </c>
      <c r="B2415" s="14">
        <v>42766</v>
      </c>
      <c r="C2415" s="7" t="s">
        <v>587</v>
      </c>
      <c r="D2415" s="17" t="s">
        <v>4004</v>
      </c>
      <c r="E2415" s="3" t="s">
        <v>4005</v>
      </c>
      <c r="F2415" s="3">
        <v>2</v>
      </c>
      <c r="N2415" s="48"/>
    </row>
    <row r="2416" spans="1:14" x14ac:dyDescent="0.45">
      <c r="A2416" s="3" t="s">
        <v>3715</v>
      </c>
      <c r="B2416" s="14">
        <v>42746</v>
      </c>
      <c r="C2416" s="7" t="s">
        <v>587</v>
      </c>
      <c r="D2416" s="17" t="s">
        <v>4006</v>
      </c>
      <c r="E2416" s="3" t="s">
        <v>4007</v>
      </c>
      <c r="F2416" s="3">
        <v>2</v>
      </c>
      <c r="N2416" s="48"/>
    </row>
    <row r="2417" spans="1:14" x14ac:dyDescent="0.45">
      <c r="A2417" s="3" t="s">
        <v>3715</v>
      </c>
      <c r="B2417" s="14">
        <v>42657</v>
      </c>
      <c r="C2417" s="7" t="s">
        <v>587</v>
      </c>
      <c r="D2417" s="17" t="s">
        <v>4008</v>
      </c>
      <c r="E2417" s="3" t="s">
        <v>4009</v>
      </c>
      <c r="F2417" s="3" t="s">
        <v>1041</v>
      </c>
      <c r="L2417" s="3" t="s">
        <v>1821</v>
      </c>
      <c r="N2417" s="48"/>
    </row>
    <row r="2418" spans="1:14" x14ac:dyDescent="0.45">
      <c r="A2418" s="3" t="s">
        <v>3715</v>
      </c>
      <c r="B2418" s="14">
        <v>42629</v>
      </c>
      <c r="C2418" s="7" t="s">
        <v>587</v>
      </c>
      <c r="D2418" s="17" t="s">
        <v>4010</v>
      </c>
      <c r="E2418" s="3" t="s">
        <v>4011</v>
      </c>
      <c r="F2418" s="3">
        <v>2</v>
      </c>
      <c r="N2418" s="48"/>
    </row>
    <row r="2419" spans="1:14" x14ac:dyDescent="0.45">
      <c r="A2419" s="3" t="s">
        <v>3715</v>
      </c>
      <c r="B2419" s="14">
        <v>42629</v>
      </c>
      <c r="C2419" s="7" t="s">
        <v>587</v>
      </c>
      <c r="D2419" s="17" t="s">
        <v>4012</v>
      </c>
      <c r="E2419" s="3" t="s">
        <v>4013</v>
      </c>
      <c r="F2419" s="3">
        <v>4</v>
      </c>
      <c r="N2419" s="48"/>
    </row>
    <row r="2420" spans="1:14" x14ac:dyDescent="0.45">
      <c r="A2420" s="3" t="s">
        <v>3715</v>
      </c>
      <c r="B2420" s="14">
        <v>42628</v>
      </c>
      <c r="C2420" s="7" t="s">
        <v>587</v>
      </c>
      <c r="D2420" s="17" t="s">
        <v>4014</v>
      </c>
      <c r="E2420" s="3" t="s">
        <v>4015</v>
      </c>
      <c r="F2420" s="3">
        <v>2</v>
      </c>
      <c r="N2420" s="48"/>
    </row>
    <row r="2421" spans="1:14" x14ac:dyDescent="0.45">
      <c r="A2421" s="3" t="s">
        <v>3715</v>
      </c>
      <c r="B2421" s="14">
        <v>42628</v>
      </c>
      <c r="C2421" s="7" t="s">
        <v>587</v>
      </c>
      <c r="D2421" s="17" t="s">
        <v>4016</v>
      </c>
      <c r="E2421" s="3" t="s">
        <v>4017</v>
      </c>
      <c r="F2421" s="3">
        <v>3</v>
      </c>
      <c r="N2421" s="48"/>
    </row>
    <row r="2422" spans="1:14" x14ac:dyDescent="0.45">
      <c r="A2422" s="3" t="s">
        <v>3715</v>
      </c>
      <c r="B2422" s="14">
        <v>42548</v>
      </c>
      <c r="C2422" s="7" t="s">
        <v>587</v>
      </c>
      <c r="D2422" s="17" t="s">
        <v>4018</v>
      </c>
      <c r="E2422" s="3" t="s">
        <v>4019</v>
      </c>
      <c r="F2422" s="3" t="s">
        <v>1041</v>
      </c>
      <c r="L2422" s="3" t="s">
        <v>1951</v>
      </c>
      <c r="N2422" s="48"/>
    </row>
    <row r="2423" spans="1:14" x14ac:dyDescent="0.45">
      <c r="A2423" s="3" t="s">
        <v>3715</v>
      </c>
      <c r="B2423" s="14">
        <v>42481</v>
      </c>
      <c r="C2423" s="7" t="s">
        <v>587</v>
      </c>
      <c r="D2423" s="17" t="s">
        <v>4020</v>
      </c>
      <c r="E2423" s="3" t="s">
        <v>4021</v>
      </c>
      <c r="F2423" s="3">
        <v>3</v>
      </c>
      <c r="N2423" s="48"/>
    </row>
    <row r="2424" spans="1:14" x14ac:dyDescent="0.45">
      <c r="A2424" s="3" t="s">
        <v>3715</v>
      </c>
      <c r="B2424" s="14">
        <v>42481</v>
      </c>
      <c r="C2424" s="7" t="s">
        <v>587</v>
      </c>
      <c r="D2424" s="17" t="s">
        <v>4022</v>
      </c>
      <c r="E2424" s="3" t="s">
        <v>4023</v>
      </c>
      <c r="F2424" s="3">
        <v>2</v>
      </c>
      <c r="N2424" s="48"/>
    </row>
    <row r="2425" spans="1:14" x14ac:dyDescent="0.45">
      <c r="A2425" s="3" t="s">
        <v>3715</v>
      </c>
      <c r="B2425" s="14">
        <v>42437</v>
      </c>
      <c r="C2425" s="7" t="s">
        <v>587</v>
      </c>
      <c r="D2425" s="17" t="s">
        <v>4024</v>
      </c>
      <c r="E2425" s="3" t="s">
        <v>4025</v>
      </c>
      <c r="F2425" s="3">
        <v>2</v>
      </c>
      <c r="N2425" s="48"/>
    </row>
    <row r="2426" spans="1:14" x14ac:dyDescent="0.45">
      <c r="A2426" s="3" t="s">
        <v>3715</v>
      </c>
      <c r="B2426" s="14">
        <v>42414</v>
      </c>
      <c r="C2426" s="7" t="s">
        <v>587</v>
      </c>
      <c r="D2426" s="17" t="s">
        <v>4026</v>
      </c>
      <c r="E2426" s="3" t="s">
        <v>4027</v>
      </c>
      <c r="F2426" s="3" t="s">
        <v>1041</v>
      </c>
      <c r="L2426" s="3" t="s">
        <v>1821</v>
      </c>
      <c r="N2426" s="48"/>
    </row>
    <row r="2427" spans="1:14" x14ac:dyDescent="0.45">
      <c r="A2427" s="3" t="s">
        <v>3715</v>
      </c>
      <c r="B2427" s="14">
        <v>42333</v>
      </c>
      <c r="C2427" s="7" t="s">
        <v>587</v>
      </c>
      <c r="D2427" s="17" t="s">
        <v>4028</v>
      </c>
      <c r="E2427" s="3" t="s">
        <v>4029</v>
      </c>
      <c r="F2427" s="3">
        <v>3</v>
      </c>
      <c r="N2427" s="48"/>
    </row>
    <row r="2428" spans="1:14" x14ac:dyDescent="0.45">
      <c r="A2428" s="3" t="s">
        <v>3715</v>
      </c>
      <c r="B2428" s="14">
        <v>42278</v>
      </c>
      <c r="C2428" s="7" t="s">
        <v>587</v>
      </c>
      <c r="D2428" s="17" t="s">
        <v>4030</v>
      </c>
      <c r="E2428" s="3" t="s">
        <v>4031</v>
      </c>
      <c r="F2428" s="3">
        <v>2</v>
      </c>
      <c r="N2428" s="48"/>
    </row>
    <row r="2429" spans="1:14" x14ac:dyDescent="0.45">
      <c r="A2429" s="3" t="s">
        <v>3715</v>
      </c>
      <c r="B2429" s="41">
        <v>45730</v>
      </c>
      <c r="C2429" s="7" t="s">
        <v>738</v>
      </c>
      <c r="D2429" s="24" t="s">
        <v>4032</v>
      </c>
      <c r="E2429" s="3" t="s">
        <v>4033</v>
      </c>
      <c r="F2429" s="3">
        <v>3</v>
      </c>
      <c r="N2429" s="48"/>
    </row>
    <row r="2430" spans="1:14" x14ac:dyDescent="0.45">
      <c r="A2430" s="3" t="s">
        <v>3715</v>
      </c>
      <c r="B2430" s="41">
        <v>45667</v>
      </c>
      <c r="C2430" s="7" t="s">
        <v>738</v>
      </c>
      <c r="D2430" s="24" t="s">
        <v>4034</v>
      </c>
      <c r="E2430" s="3" t="s">
        <v>4035</v>
      </c>
      <c r="F2430" s="3">
        <v>4</v>
      </c>
      <c r="N2430" s="48"/>
    </row>
    <row r="2431" spans="1:14" x14ac:dyDescent="0.45">
      <c r="A2431" s="3" t="s">
        <v>3715</v>
      </c>
      <c r="B2431" s="41">
        <v>45680</v>
      </c>
      <c r="C2431" s="7" t="s">
        <v>738</v>
      </c>
      <c r="D2431" s="24" t="s">
        <v>4036</v>
      </c>
      <c r="E2431" s="3" t="s">
        <v>4037</v>
      </c>
      <c r="F2431" s="3">
        <v>2</v>
      </c>
      <c r="N2431" s="48"/>
    </row>
    <row r="2432" spans="1:14" x14ac:dyDescent="0.45">
      <c r="A2432" s="3" t="s">
        <v>3715</v>
      </c>
      <c r="B2432" s="41">
        <v>45680</v>
      </c>
      <c r="C2432" s="7" t="s">
        <v>738</v>
      </c>
      <c r="D2432" s="24" t="s">
        <v>4038</v>
      </c>
      <c r="E2432" s="3" t="s">
        <v>4039</v>
      </c>
      <c r="F2432" s="3">
        <v>4</v>
      </c>
      <c r="N2432" s="48"/>
    </row>
    <row r="2433" spans="1:14" x14ac:dyDescent="0.45">
      <c r="A2433" s="3" t="s">
        <v>3715</v>
      </c>
      <c r="B2433" s="41">
        <v>45680</v>
      </c>
      <c r="C2433" s="7" t="s">
        <v>738</v>
      </c>
      <c r="D2433" s="24" t="s">
        <v>4040</v>
      </c>
      <c r="E2433" s="3" t="s">
        <v>4041</v>
      </c>
      <c r="F2433" s="3">
        <v>5</v>
      </c>
      <c r="N2433" s="48"/>
    </row>
    <row r="2434" spans="1:14" x14ac:dyDescent="0.45">
      <c r="A2434" s="3" t="s">
        <v>3715</v>
      </c>
      <c r="B2434" s="41">
        <v>45446</v>
      </c>
      <c r="C2434" s="7" t="s">
        <v>738</v>
      </c>
      <c r="D2434" s="37" t="s">
        <v>4042</v>
      </c>
      <c r="E2434" s="3" t="s">
        <v>4043</v>
      </c>
      <c r="F2434" s="3" t="s">
        <v>1041</v>
      </c>
      <c r="L2434" s="37" t="s">
        <v>4044</v>
      </c>
      <c r="N2434" s="48"/>
    </row>
    <row r="2435" spans="1:14" x14ac:dyDescent="0.45">
      <c r="A2435" s="3" t="s">
        <v>3715</v>
      </c>
      <c r="B2435" s="41">
        <v>45421</v>
      </c>
      <c r="C2435" s="7" t="s">
        <v>738</v>
      </c>
      <c r="D2435" s="24" t="s">
        <v>4045</v>
      </c>
      <c r="E2435" s="3" t="s">
        <v>4046</v>
      </c>
      <c r="F2435" s="3">
        <v>4</v>
      </c>
      <c r="N2435" s="48"/>
    </row>
    <row r="2436" spans="1:14" x14ac:dyDescent="0.45">
      <c r="A2436" s="3" t="s">
        <v>3715</v>
      </c>
      <c r="B2436" s="41">
        <v>45684</v>
      </c>
      <c r="C2436" s="7" t="s">
        <v>738</v>
      </c>
      <c r="D2436" s="24" t="s">
        <v>4047</v>
      </c>
      <c r="E2436" s="3" t="s">
        <v>4048</v>
      </c>
      <c r="F2436" s="3">
        <v>2</v>
      </c>
      <c r="N2436" s="48"/>
    </row>
    <row r="2437" spans="1:14" x14ac:dyDescent="0.45">
      <c r="A2437" s="3" t="s">
        <v>3715</v>
      </c>
      <c r="B2437" s="41">
        <v>45218</v>
      </c>
      <c r="C2437" s="7" t="s">
        <v>738</v>
      </c>
      <c r="D2437" s="24" t="s">
        <v>4049</v>
      </c>
      <c r="E2437" s="3" t="s">
        <v>4050</v>
      </c>
      <c r="F2437" s="3">
        <v>2</v>
      </c>
      <c r="N2437" s="48"/>
    </row>
    <row r="2438" spans="1:14" x14ac:dyDescent="0.45">
      <c r="A2438" s="3" t="s">
        <v>3715</v>
      </c>
      <c r="B2438" s="41">
        <v>45902</v>
      </c>
      <c r="C2438" s="7" t="s">
        <v>738</v>
      </c>
      <c r="D2438" s="24" t="s">
        <v>4051</v>
      </c>
      <c r="E2438" s="3" t="s">
        <v>4052</v>
      </c>
      <c r="F2438" s="3">
        <v>7</v>
      </c>
      <c r="N2438" s="48"/>
    </row>
    <row r="2439" spans="1:14" x14ac:dyDescent="0.45">
      <c r="A2439" s="3" t="s">
        <v>3715</v>
      </c>
      <c r="B2439" s="41">
        <v>45684</v>
      </c>
      <c r="C2439" s="7" t="s">
        <v>738</v>
      </c>
      <c r="D2439" s="24" t="s">
        <v>4053</v>
      </c>
      <c r="E2439" s="3" t="s">
        <v>4054</v>
      </c>
      <c r="F2439" s="3">
        <v>2</v>
      </c>
      <c r="N2439" s="48"/>
    </row>
    <row r="2440" spans="1:14" x14ac:dyDescent="0.45">
      <c r="A2440" s="3" t="s">
        <v>3715</v>
      </c>
      <c r="B2440" s="41">
        <v>45684</v>
      </c>
      <c r="C2440" s="7" t="s">
        <v>738</v>
      </c>
      <c r="D2440" s="24" t="s">
        <v>4055</v>
      </c>
      <c r="E2440" s="3" t="s">
        <v>4056</v>
      </c>
      <c r="F2440" s="3">
        <v>5</v>
      </c>
      <c r="N2440" s="48"/>
    </row>
    <row r="2441" spans="1:14" x14ac:dyDescent="0.45">
      <c r="A2441" s="3" t="s">
        <v>3715</v>
      </c>
      <c r="B2441" s="41">
        <v>45684</v>
      </c>
      <c r="C2441" s="7" t="s">
        <v>738</v>
      </c>
      <c r="D2441" s="24" t="s">
        <v>4057</v>
      </c>
      <c r="E2441" s="3" t="s">
        <v>4058</v>
      </c>
      <c r="F2441" s="3">
        <v>4</v>
      </c>
      <c r="N2441" s="48"/>
    </row>
    <row r="2442" spans="1:14" x14ac:dyDescent="0.45">
      <c r="A2442" s="3" t="s">
        <v>3715</v>
      </c>
      <c r="B2442" s="41">
        <v>45154</v>
      </c>
      <c r="C2442" s="7" t="s">
        <v>738</v>
      </c>
      <c r="D2442" s="24" t="s">
        <v>4059</v>
      </c>
      <c r="E2442" s="3" t="s">
        <v>4060</v>
      </c>
      <c r="F2442" s="3">
        <v>5</v>
      </c>
      <c r="N2442" s="48"/>
    </row>
    <row r="2443" spans="1:14" x14ac:dyDescent="0.45">
      <c r="A2443" s="3" t="s">
        <v>3715</v>
      </c>
      <c r="B2443" s="41">
        <v>44834</v>
      </c>
      <c r="C2443" s="7" t="s">
        <v>738</v>
      </c>
      <c r="D2443" s="24" t="s">
        <v>4061</v>
      </c>
      <c r="E2443" s="3" t="s">
        <v>4062</v>
      </c>
      <c r="F2443" s="3">
        <v>1</v>
      </c>
      <c r="N2443" s="48"/>
    </row>
    <row r="2444" spans="1:14" x14ac:dyDescent="0.45">
      <c r="A2444" s="3" t="s">
        <v>3715</v>
      </c>
      <c r="B2444" s="41">
        <v>45684</v>
      </c>
      <c r="C2444" s="7" t="s">
        <v>738</v>
      </c>
      <c r="D2444" s="24" t="s">
        <v>4063</v>
      </c>
      <c r="E2444" s="3" t="s">
        <v>4064</v>
      </c>
      <c r="F2444" s="3">
        <v>3</v>
      </c>
      <c r="N2444" s="48"/>
    </row>
    <row r="2445" spans="1:14" x14ac:dyDescent="0.45">
      <c r="A2445" s="3" t="s">
        <v>3715</v>
      </c>
      <c r="B2445" s="41">
        <v>44770</v>
      </c>
      <c r="C2445" s="7" t="s">
        <v>738</v>
      </c>
      <c r="D2445" s="37" t="s">
        <v>4065</v>
      </c>
      <c r="E2445" s="3" t="s">
        <v>4066</v>
      </c>
      <c r="F2445" s="3" t="s">
        <v>1041</v>
      </c>
      <c r="L2445" s="37" t="s">
        <v>4067</v>
      </c>
      <c r="N2445" s="48"/>
    </row>
    <row r="2446" spans="1:14" x14ac:dyDescent="0.45">
      <c r="A2446" s="3" t="s">
        <v>3715</v>
      </c>
      <c r="B2446" s="41">
        <v>45419</v>
      </c>
      <c r="C2446" s="7" t="s">
        <v>738</v>
      </c>
      <c r="D2446" s="24" t="s">
        <v>4068</v>
      </c>
      <c r="E2446" s="3" t="s">
        <v>4069</v>
      </c>
      <c r="F2446" s="3">
        <v>5</v>
      </c>
      <c r="N2446" s="48"/>
    </row>
    <row r="2447" spans="1:14" x14ac:dyDescent="0.45">
      <c r="A2447" s="3" t="s">
        <v>3715</v>
      </c>
      <c r="B2447" s="41">
        <v>45684</v>
      </c>
      <c r="C2447" s="7" t="s">
        <v>738</v>
      </c>
      <c r="D2447" s="24" t="s">
        <v>4070</v>
      </c>
      <c r="E2447" s="3" t="s">
        <v>4071</v>
      </c>
      <c r="F2447" s="3">
        <v>4</v>
      </c>
      <c r="N2447" s="48"/>
    </row>
    <row r="2448" spans="1:14" x14ac:dyDescent="0.45">
      <c r="A2448" s="3" t="s">
        <v>3715</v>
      </c>
      <c r="B2448" s="41">
        <v>45902</v>
      </c>
      <c r="C2448" s="7" t="s">
        <v>738</v>
      </c>
      <c r="D2448" s="24" t="s">
        <v>4072</v>
      </c>
      <c r="E2448" s="3" t="s">
        <v>4073</v>
      </c>
      <c r="F2448" s="3">
        <v>6</v>
      </c>
      <c r="N2448" s="48"/>
    </row>
    <row r="2449" spans="1:14" x14ac:dyDescent="0.45">
      <c r="A2449" s="3" t="s">
        <v>3715</v>
      </c>
      <c r="B2449" s="41">
        <v>44245</v>
      </c>
      <c r="C2449" s="7" t="s">
        <v>738</v>
      </c>
      <c r="D2449" s="24" t="s">
        <v>4074</v>
      </c>
      <c r="E2449" s="3" t="s">
        <v>4075</v>
      </c>
      <c r="F2449" s="3">
        <v>1</v>
      </c>
      <c r="L2449" s="3" t="s">
        <v>4076</v>
      </c>
      <c r="N2449" s="48"/>
    </row>
    <row r="2450" spans="1:14" x14ac:dyDescent="0.45">
      <c r="A2450" s="3" t="s">
        <v>3715</v>
      </c>
      <c r="B2450" s="41">
        <v>45684</v>
      </c>
      <c r="C2450" s="7" t="s">
        <v>738</v>
      </c>
      <c r="D2450" s="24" t="s">
        <v>4077</v>
      </c>
      <c r="E2450" s="3" t="s">
        <v>4078</v>
      </c>
      <c r="F2450" s="3">
        <v>3</v>
      </c>
      <c r="N2450" s="48"/>
    </row>
    <row r="2451" spans="1:14" x14ac:dyDescent="0.45">
      <c r="A2451" s="3" t="s">
        <v>3715</v>
      </c>
      <c r="B2451" s="41">
        <v>45684</v>
      </c>
      <c r="C2451" s="7" t="s">
        <v>738</v>
      </c>
      <c r="D2451" s="24" t="s">
        <v>4079</v>
      </c>
      <c r="E2451" s="3" t="s">
        <v>4080</v>
      </c>
      <c r="F2451" s="3">
        <v>3</v>
      </c>
      <c r="N2451" s="48"/>
    </row>
    <row r="2452" spans="1:14" x14ac:dyDescent="0.45">
      <c r="A2452" s="3" t="s">
        <v>3715</v>
      </c>
      <c r="B2452" s="41">
        <v>45684</v>
      </c>
      <c r="C2452" s="7" t="s">
        <v>738</v>
      </c>
      <c r="D2452" s="24" t="s">
        <v>4081</v>
      </c>
      <c r="E2452" s="3" t="s">
        <v>4082</v>
      </c>
      <c r="F2452" s="3">
        <v>4</v>
      </c>
      <c r="N2452" s="48"/>
    </row>
    <row r="2453" spans="1:14" x14ac:dyDescent="0.45">
      <c r="A2453" s="3" t="s">
        <v>3715</v>
      </c>
      <c r="B2453" s="41">
        <v>45684</v>
      </c>
      <c r="C2453" s="7" t="s">
        <v>738</v>
      </c>
      <c r="D2453" s="24" t="s">
        <v>4083</v>
      </c>
      <c r="E2453" s="3" t="s">
        <v>4084</v>
      </c>
      <c r="F2453" s="3">
        <v>3</v>
      </c>
      <c r="N2453" s="48"/>
    </row>
    <row r="2454" spans="1:14" x14ac:dyDescent="0.45">
      <c r="A2454" s="3" t="s">
        <v>3715</v>
      </c>
      <c r="B2454" s="41">
        <v>44494</v>
      </c>
      <c r="C2454" s="7" t="s">
        <v>738</v>
      </c>
      <c r="D2454" s="24" t="s">
        <v>4085</v>
      </c>
      <c r="E2454" s="3" t="s">
        <v>4086</v>
      </c>
      <c r="F2454" s="3">
        <v>4</v>
      </c>
      <c r="N2454" s="48"/>
    </row>
    <row r="2455" spans="1:14" x14ac:dyDescent="0.45">
      <c r="A2455" s="3" t="s">
        <v>3715</v>
      </c>
      <c r="B2455" s="41">
        <v>44494</v>
      </c>
      <c r="C2455" s="7" t="s">
        <v>738</v>
      </c>
      <c r="D2455" s="24" t="s">
        <v>4087</v>
      </c>
      <c r="E2455" s="3" t="s">
        <v>4088</v>
      </c>
      <c r="F2455" s="3">
        <v>3</v>
      </c>
      <c r="N2455" s="48"/>
    </row>
    <row r="2456" spans="1:14" x14ac:dyDescent="0.45">
      <c r="A2456" s="3" t="s">
        <v>3715</v>
      </c>
      <c r="B2456" s="41">
        <v>45684</v>
      </c>
      <c r="C2456" s="7" t="s">
        <v>738</v>
      </c>
      <c r="D2456" s="24" t="s">
        <v>4089</v>
      </c>
      <c r="E2456" s="3" t="s">
        <v>4090</v>
      </c>
      <c r="F2456" s="3">
        <v>5</v>
      </c>
      <c r="N2456" s="48"/>
    </row>
    <row r="2457" spans="1:14" x14ac:dyDescent="0.45">
      <c r="A2457" s="3" t="s">
        <v>3715</v>
      </c>
      <c r="B2457" s="41">
        <v>44845</v>
      </c>
      <c r="C2457" s="7" t="s">
        <v>738</v>
      </c>
      <c r="D2457" s="24" t="s">
        <v>4091</v>
      </c>
      <c r="E2457" s="3" t="s">
        <v>4092</v>
      </c>
      <c r="F2457" s="3">
        <v>6</v>
      </c>
      <c r="N2457" s="48"/>
    </row>
    <row r="2458" spans="1:14" x14ac:dyDescent="0.45">
      <c r="A2458" s="3" t="s">
        <v>3715</v>
      </c>
      <c r="B2458" s="41">
        <v>44931</v>
      </c>
      <c r="C2458" s="7" t="s">
        <v>738</v>
      </c>
      <c r="D2458" s="24" t="s">
        <v>4093</v>
      </c>
      <c r="E2458" s="3" t="s">
        <v>4094</v>
      </c>
      <c r="F2458" s="3">
        <v>2</v>
      </c>
      <c r="N2458" s="48"/>
    </row>
    <row r="2459" spans="1:14" x14ac:dyDescent="0.45">
      <c r="A2459" s="3" t="s">
        <v>3715</v>
      </c>
      <c r="B2459" s="41">
        <v>44468</v>
      </c>
      <c r="C2459" s="7" t="s">
        <v>738</v>
      </c>
      <c r="D2459" s="24" t="s">
        <v>4095</v>
      </c>
      <c r="E2459" s="3" t="s">
        <v>4096</v>
      </c>
      <c r="F2459" s="3">
        <v>4</v>
      </c>
      <c r="N2459" s="48"/>
    </row>
    <row r="2460" spans="1:14" x14ac:dyDescent="0.45">
      <c r="A2460" s="3" t="s">
        <v>3715</v>
      </c>
      <c r="B2460" s="41">
        <v>44411</v>
      </c>
      <c r="C2460" s="7" t="s">
        <v>738</v>
      </c>
      <c r="D2460" s="37" t="s">
        <v>4097</v>
      </c>
      <c r="E2460" s="3" t="s">
        <v>4098</v>
      </c>
      <c r="F2460" s="3">
        <v>6</v>
      </c>
      <c r="L2460" s="3" t="s">
        <v>4099</v>
      </c>
      <c r="N2460" s="48"/>
    </row>
    <row r="2461" spans="1:14" x14ac:dyDescent="0.45">
      <c r="A2461" s="3" t="s">
        <v>3715</v>
      </c>
      <c r="B2461" s="41">
        <v>45646</v>
      </c>
      <c r="C2461" s="7" t="s">
        <v>738</v>
      </c>
      <c r="D2461" s="24" t="s">
        <v>4100</v>
      </c>
      <c r="E2461" s="3" t="s">
        <v>4101</v>
      </c>
      <c r="F2461" s="3">
        <v>5</v>
      </c>
      <c r="N2461" s="48"/>
    </row>
    <row r="2462" spans="1:14" x14ac:dyDescent="0.45">
      <c r="A2462" s="3" t="s">
        <v>3715</v>
      </c>
      <c r="B2462" s="41">
        <v>44316</v>
      </c>
      <c r="C2462" s="7" t="s">
        <v>738</v>
      </c>
      <c r="D2462" s="24" t="s">
        <v>4102</v>
      </c>
      <c r="E2462" s="3" t="s">
        <v>4103</v>
      </c>
      <c r="F2462" s="3">
        <v>6</v>
      </c>
      <c r="N2462" s="48"/>
    </row>
    <row r="2463" spans="1:14" x14ac:dyDescent="0.45">
      <c r="A2463" s="3" t="s">
        <v>3715</v>
      </c>
      <c r="B2463" s="41">
        <v>44305</v>
      </c>
      <c r="C2463" s="7" t="s">
        <v>738</v>
      </c>
      <c r="D2463" s="24" t="s">
        <v>4104</v>
      </c>
      <c r="E2463" s="3" t="s">
        <v>4105</v>
      </c>
      <c r="F2463" s="3">
        <v>5</v>
      </c>
      <c r="N2463" s="48"/>
    </row>
    <row r="2464" spans="1:14" x14ac:dyDescent="0.45">
      <c r="A2464" s="3" t="s">
        <v>3715</v>
      </c>
      <c r="B2464" s="41">
        <v>44305</v>
      </c>
      <c r="C2464" s="7" t="s">
        <v>738</v>
      </c>
      <c r="D2464" s="24" t="s">
        <v>4106</v>
      </c>
      <c r="E2464" s="3" t="s">
        <v>4107</v>
      </c>
      <c r="F2464" s="3">
        <v>5</v>
      </c>
      <c r="N2464" s="48"/>
    </row>
    <row r="2465" spans="1:14" x14ac:dyDescent="0.45">
      <c r="A2465" s="3" t="s">
        <v>3715</v>
      </c>
      <c r="B2465" s="41">
        <v>44299</v>
      </c>
      <c r="C2465" s="7" t="s">
        <v>738</v>
      </c>
      <c r="D2465" s="24" t="s">
        <v>4108</v>
      </c>
      <c r="E2465" s="3" t="s">
        <v>4109</v>
      </c>
      <c r="F2465" s="3">
        <v>5</v>
      </c>
      <c r="N2465" s="48"/>
    </row>
    <row r="2466" spans="1:14" x14ac:dyDescent="0.45">
      <c r="A2466" s="3" t="s">
        <v>3715</v>
      </c>
      <c r="B2466" s="41">
        <v>44216</v>
      </c>
      <c r="C2466" s="7" t="s">
        <v>738</v>
      </c>
      <c r="D2466" s="24" t="s">
        <v>4110</v>
      </c>
      <c r="E2466" s="3" t="s">
        <v>4111</v>
      </c>
      <c r="F2466" s="3">
        <v>6</v>
      </c>
      <c r="N2466" s="48"/>
    </row>
    <row r="2467" spans="1:14" x14ac:dyDescent="0.45">
      <c r="A2467" s="3" t="s">
        <v>3715</v>
      </c>
      <c r="B2467" s="41">
        <v>44104</v>
      </c>
      <c r="C2467" s="7" t="s">
        <v>738</v>
      </c>
      <c r="D2467" s="24" t="s">
        <v>4112</v>
      </c>
      <c r="E2467" s="3" t="s">
        <v>4113</v>
      </c>
      <c r="F2467" s="3">
        <v>6</v>
      </c>
      <c r="N2467" s="48"/>
    </row>
    <row r="2468" spans="1:14" x14ac:dyDescent="0.45">
      <c r="A2468" s="3" t="s">
        <v>3715</v>
      </c>
      <c r="B2468" s="41">
        <v>43983</v>
      </c>
      <c r="C2468" s="7" t="s">
        <v>738</v>
      </c>
      <c r="D2468" s="24" t="s">
        <v>4114</v>
      </c>
      <c r="E2468" s="3" t="s">
        <v>4115</v>
      </c>
      <c r="F2468" s="3">
        <v>3</v>
      </c>
      <c r="L2468" s="3" t="s">
        <v>4116</v>
      </c>
      <c r="N2468" s="48"/>
    </row>
    <row r="2469" spans="1:14" x14ac:dyDescent="0.45">
      <c r="A2469" s="3" t="s">
        <v>3715</v>
      </c>
      <c r="B2469" s="41">
        <v>43945</v>
      </c>
      <c r="C2469" s="7" t="s">
        <v>738</v>
      </c>
      <c r="D2469" s="24" t="s">
        <v>4117</v>
      </c>
      <c r="E2469" s="3" t="s">
        <v>4118</v>
      </c>
      <c r="F2469" s="3">
        <v>4</v>
      </c>
      <c r="N2469" s="48"/>
    </row>
    <row r="2470" spans="1:14" x14ac:dyDescent="0.45">
      <c r="A2470" s="3" t="s">
        <v>3715</v>
      </c>
      <c r="B2470" s="41">
        <v>43943</v>
      </c>
      <c r="C2470" s="7" t="s">
        <v>738</v>
      </c>
      <c r="D2470" s="24" t="s">
        <v>4119</v>
      </c>
      <c r="E2470" s="3" t="s">
        <v>4120</v>
      </c>
      <c r="F2470" s="3">
        <v>2</v>
      </c>
      <c r="N2470" s="48"/>
    </row>
    <row r="2471" spans="1:14" x14ac:dyDescent="0.45">
      <c r="A2471" s="3" t="s">
        <v>3715</v>
      </c>
      <c r="B2471" s="41">
        <v>43795</v>
      </c>
      <c r="C2471" s="7" t="s">
        <v>738</v>
      </c>
      <c r="D2471" s="24" t="s">
        <v>4121</v>
      </c>
      <c r="E2471" s="3" t="s">
        <v>4122</v>
      </c>
      <c r="F2471" s="3">
        <v>2</v>
      </c>
      <c r="N2471" s="48"/>
    </row>
    <row r="2472" spans="1:14" x14ac:dyDescent="0.45">
      <c r="A2472" s="3" t="s">
        <v>3715</v>
      </c>
      <c r="B2472" s="41">
        <v>43789</v>
      </c>
      <c r="C2472" s="7" t="s">
        <v>738</v>
      </c>
      <c r="D2472" s="24" t="s">
        <v>4123</v>
      </c>
      <c r="E2472" s="3" t="s">
        <v>4124</v>
      </c>
      <c r="F2472" s="3">
        <v>2</v>
      </c>
      <c r="N2472" s="48"/>
    </row>
    <row r="2473" spans="1:14" x14ac:dyDescent="0.45">
      <c r="A2473" s="3" t="s">
        <v>3715</v>
      </c>
      <c r="B2473" s="41">
        <v>43720</v>
      </c>
      <c r="C2473" s="7" t="s">
        <v>738</v>
      </c>
      <c r="D2473" s="24" t="s">
        <v>4125</v>
      </c>
      <c r="E2473" s="3" t="s">
        <v>4126</v>
      </c>
      <c r="F2473" s="3">
        <v>5</v>
      </c>
      <c r="L2473" s="3" t="s">
        <v>4127</v>
      </c>
      <c r="N2473" s="48"/>
    </row>
    <row r="2474" spans="1:14" x14ac:dyDescent="0.45">
      <c r="A2474" s="3" t="s">
        <v>3715</v>
      </c>
      <c r="B2474" s="41">
        <v>43696</v>
      </c>
      <c r="C2474" s="7" t="s">
        <v>738</v>
      </c>
      <c r="D2474" s="24" t="s">
        <v>4128</v>
      </c>
      <c r="E2474" s="3" t="s">
        <v>4129</v>
      </c>
      <c r="F2474" s="3">
        <v>3</v>
      </c>
      <c r="N2474" s="48"/>
    </row>
    <row r="2475" spans="1:14" x14ac:dyDescent="0.45">
      <c r="A2475" s="3" t="s">
        <v>3715</v>
      </c>
      <c r="B2475" s="41">
        <v>43529</v>
      </c>
      <c r="C2475" s="7" t="s">
        <v>738</v>
      </c>
      <c r="D2475" s="24" t="s">
        <v>4130</v>
      </c>
      <c r="E2475" s="3" t="s">
        <v>4131</v>
      </c>
      <c r="F2475" s="3">
        <v>2</v>
      </c>
      <c r="N2475" s="48"/>
    </row>
    <row r="2476" spans="1:14" x14ac:dyDescent="0.45">
      <c r="A2476" s="3" t="s">
        <v>3715</v>
      </c>
      <c r="B2476" s="41">
        <v>43515</v>
      </c>
      <c r="C2476" s="7" t="s">
        <v>738</v>
      </c>
      <c r="D2476" s="24" t="s">
        <v>4132</v>
      </c>
      <c r="E2476" s="3" t="s">
        <v>4133</v>
      </c>
      <c r="F2476" s="3">
        <v>3</v>
      </c>
      <c r="N2476" s="48"/>
    </row>
    <row r="2477" spans="1:14" x14ac:dyDescent="0.45">
      <c r="A2477" s="3" t="s">
        <v>3715</v>
      </c>
      <c r="B2477" s="41">
        <v>43389</v>
      </c>
      <c r="C2477" s="7" t="s">
        <v>738</v>
      </c>
      <c r="D2477" s="24" t="s">
        <v>4134</v>
      </c>
      <c r="E2477" s="3" t="s">
        <v>4135</v>
      </c>
      <c r="F2477" s="3">
        <v>3</v>
      </c>
      <c r="L2477" s="3" t="s">
        <v>4136</v>
      </c>
      <c r="N2477" s="48"/>
    </row>
    <row r="2478" spans="1:14" x14ac:dyDescent="0.45">
      <c r="A2478" s="3" t="s">
        <v>3715</v>
      </c>
      <c r="B2478" s="41">
        <v>43389</v>
      </c>
      <c r="C2478" s="7" t="s">
        <v>738</v>
      </c>
      <c r="D2478" s="24" t="s">
        <v>4137</v>
      </c>
      <c r="E2478" s="3" t="s">
        <v>4078</v>
      </c>
      <c r="F2478" s="3">
        <v>3</v>
      </c>
      <c r="L2478" s="3" t="s">
        <v>4138</v>
      </c>
      <c r="N2478" s="48"/>
    </row>
    <row r="2479" spans="1:14" x14ac:dyDescent="0.45">
      <c r="A2479" s="3" t="s">
        <v>3715</v>
      </c>
      <c r="B2479" s="41">
        <v>43389</v>
      </c>
      <c r="C2479" s="7" t="s">
        <v>738</v>
      </c>
      <c r="D2479" s="24" t="s">
        <v>4139</v>
      </c>
      <c r="E2479" s="3" t="s">
        <v>4082</v>
      </c>
      <c r="F2479" s="3">
        <v>4</v>
      </c>
      <c r="L2479" s="3" t="s">
        <v>4140</v>
      </c>
      <c r="N2479" s="48"/>
    </row>
    <row r="2480" spans="1:14" x14ac:dyDescent="0.45">
      <c r="A2480" s="3" t="s">
        <v>3715</v>
      </c>
      <c r="B2480" s="41">
        <v>43339</v>
      </c>
      <c r="C2480" s="7" t="s">
        <v>738</v>
      </c>
      <c r="D2480" s="24" t="s">
        <v>4141</v>
      </c>
      <c r="E2480" s="3" t="s">
        <v>4142</v>
      </c>
      <c r="F2480" s="3">
        <v>2</v>
      </c>
      <c r="N2480" s="48"/>
    </row>
    <row r="2481" spans="1:14" x14ac:dyDescent="0.45">
      <c r="A2481" s="3" t="s">
        <v>3715</v>
      </c>
      <c r="B2481" s="41">
        <v>43278</v>
      </c>
      <c r="C2481" s="7" t="s">
        <v>738</v>
      </c>
      <c r="D2481" s="37" t="s">
        <v>4143</v>
      </c>
      <c r="E2481" s="3" t="s">
        <v>4144</v>
      </c>
      <c r="F2481" s="3" t="s">
        <v>1041</v>
      </c>
      <c r="L2481" s="3" t="s">
        <v>4145</v>
      </c>
      <c r="N2481" s="48"/>
    </row>
    <row r="2482" spans="1:14" x14ac:dyDescent="0.45">
      <c r="A2482" s="3" t="s">
        <v>3715</v>
      </c>
      <c r="B2482" s="41">
        <v>43193</v>
      </c>
      <c r="C2482" s="7" t="s">
        <v>738</v>
      </c>
      <c r="D2482" s="24" t="s">
        <v>4146</v>
      </c>
      <c r="E2482" s="3" t="s">
        <v>4147</v>
      </c>
      <c r="F2482" s="3">
        <v>2</v>
      </c>
      <c r="N2482" s="48"/>
    </row>
    <row r="2483" spans="1:14" x14ac:dyDescent="0.45">
      <c r="A2483" s="3" t="s">
        <v>3715</v>
      </c>
      <c r="B2483" s="41">
        <v>43013</v>
      </c>
      <c r="C2483" s="7" t="s">
        <v>738</v>
      </c>
      <c r="D2483" s="24" t="s">
        <v>4148</v>
      </c>
      <c r="E2483" s="3" t="s">
        <v>4149</v>
      </c>
      <c r="F2483" s="3">
        <v>2</v>
      </c>
      <c r="N2483" s="48"/>
    </row>
    <row r="2484" spans="1:14" x14ac:dyDescent="0.45">
      <c r="A2484" s="3" t="s">
        <v>3715</v>
      </c>
      <c r="B2484" s="41">
        <v>42998</v>
      </c>
      <c r="C2484" s="7" t="s">
        <v>738</v>
      </c>
      <c r="D2484" s="24" t="s">
        <v>4150</v>
      </c>
      <c r="E2484" s="3" t="s">
        <v>4151</v>
      </c>
      <c r="F2484" s="3">
        <v>3</v>
      </c>
      <c r="N2484" s="48"/>
    </row>
    <row r="2485" spans="1:14" x14ac:dyDescent="0.45">
      <c r="A2485" s="3" t="s">
        <v>3715</v>
      </c>
      <c r="B2485" s="41">
        <v>42949</v>
      </c>
      <c r="C2485" s="7" t="s">
        <v>738</v>
      </c>
      <c r="D2485" s="24" t="s">
        <v>4152</v>
      </c>
      <c r="E2485" s="3" t="s">
        <v>4153</v>
      </c>
      <c r="F2485" s="3">
        <v>2</v>
      </c>
      <c r="N2485" s="48"/>
    </row>
    <row r="2486" spans="1:14" x14ac:dyDescent="0.45">
      <c r="A2486" s="3" t="s">
        <v>3715</v>
      </c>
      <c r="B2486" s="41">
        <v>42760</v>
      </c>
      <c r="C2486" s="7" t="s">
        <v>738</v>
      </c>
      <c r="D2486" s="24" t="s">
        <v>4154</v>
      </c>
      <c r="E2486" s="3" t="s">
        <v>4155</v>
      </c>
      <c r="F2486" s="3">
        <v>2</v>
      </c>
      <c r="N2486" s="48"/>
    </row>
    <row r="2487" spans="1:14" x14ac:dyDescent="0.45">
      <c r="A2487" s="3" t="s">
        <v>3715</v>
      </c>
      <c r="B2487" s="41">
        <v>42566</v>
      </c>
      <c r="C2487" s="7" t="s">
        <v>738</v>
      </c>
      <c r="D2487" s="24" t="s">
        <v>4156</v>
      </c>
      <c r="E2487" s="3" t="s">
        <v>4157</v>
      </c>
      <c r="F2487" s="3">
        <v>2</v>
      </c>
      <c r="N2487" s="48"/>
    </row>
    <row r="2488" spans="1:14" x14ac:dyDescent="0.45">
      <c r="A2488" s="3" t="s">
        <v>3715</v>
      </c>
      <c r="B2488" s="41">
        <v>42545</v>
      </c>
      <c r="C2488" s="7" t="s">
        <v>738</v>
      </c>
      <c r="D2488" s="37" t="s">
        <v>4158</v>
      </c>
      <c r="E2488" s="3" t="s">
        <v>4159</v>
      </c>
      <c r="F2488" s="3" t="s">
        <v>1041</v>
      </c>
      <c r="L2488" s="3" t="s">
        <v>4160</v>
      </c>
      <c r="N2488" s="48"/>
    </row>
    <row r="2489" spans="1:14" x14ac:dyDescent="0.45">
      <c r="A2489" s="3" t="s">
        <v>3715</v>
      </c>
      <c r="B2489" s="41">
        <v>42531</v>
      </c>
      <c r="C2489" s="7" t="s">
        <v>738</v>
      </c>
      <c r="D2489" s="24" t="s">
        <v>4161</v>
      </c>
      <c r="E2489" s="3" t="s">
        <v>4162</v>
      </c>
      <c r="F2489" s="3">
        <v>2</v>
      </c>
      <c r="N2489" s="48"/>
    </row>
    <row r="2490" spans="1:14" x14ac:dyDescent="0.45">
      <c r="A2490" s="3" t="s">
        <v>3715</v>
      </c>
      <c r="B2490" s="41">
        <v>42527</v>
      </c>
      <c r="C2490" s="7" t="s">
        <v>738</v>
      </c>
      <c r="D2490" s="24" t="s">
        <v>4163</v>
      </c>
      <c r="E2490" s="3" t="s">
        <v>4164</v>
      </c>
      <c r="F2490" s="3">
        <v>3</v>
      </c>
      <c r="N2490" s="48"/>
    </row>
    <row r="2491" spans="1:14" x14ac:dyDescent="0.45">
      <c r="A2491" s="3" t="s">
        <v>3715</v>
      </c>
      <c r="B2491" s="41">
        <v>42401</v>
      </c>
      <c r="C2491" s="7" t="s">
        <v>738</v>
      </c>
      <c r="D2491" s="24" t="s">
        <v>4165</v>
      </c>
      <c r="E2491" s="3" t="s">
        <v>4166</v>
      </c>
      <c r="F2491" s="3">
        <v>2</v>
      </c>
      <c r="N2491" s="48"/>
    </row>
    <row r="2492" spans="1:14" x14ac:dyDescent="0.45">
      <c r="A2492" s="3" t="s">
        <v>3715</v>
      </c>
      <c r="B2492" s="41">
        <v>42278</v>
      </c>
      <c r="C2492" s="7" t="s">
        <v>738</v>
      </c>
      <c r="D2492" s="24" t="s">
        <v>4167</v>
      </c>
      <c r="E2492" s="3" t="s">
        <v>4168</v>
      </c>
      <c r="F2492" s="3">
        <v>2</v>
      </c>
      <c r="N2492" s="48"/>
    </row>
    <row r="2493" spans="1:14" x14ac:dyDescent="0.45">
      <c r="A2493" s="3" t="s">
        <v>3715</v>
      </c>
      <c r="B2493" s="41">
        <v>42278</v>
      </c>
      <c r="C2493" s="7" t="s">
        <v>738</v>
      </c>
      <c r="D2493" s="24" t="s">
        <v>4169</v>
      </c>
      <c r="E2493" s="3" t="s">
        <v>4170</v>
      </c>
      <c r="F2493" s="3">
        <v>2</v>
      </c>
      <c r="N2493" s="48"/>
    </row>
    <row r="2494" spans="1:14" x14ac:dyDescent="0.45">
      <c r="A2494" s="3" t="s">
        <v>3715</v>
      </c>
      <c r="B2494" s="41">
        <v>42278</v>
      </c>
      <c r="C2494" s="7" t="s">
        <v>738</v>
      </c>
      <c r="D2494" s="24" t="s">
        <v>4171</v>
      </c>
      <c r="E2494" s="3" t="s">
        <v>4172</v>
      </c>
      <c r="F2494" s="3">
        <v>2</v>
      </c>
      <c r="N2494" s="48"/>
    </row>
    <row r="2495" spans="1:14" x14ac:dyDescent="0.45">
      <c r="A2495" s="3" t="s">
        <v>3715</v>
      </c>
      <c r="B2495" s="3" t="s">
        <v>4173</v>
      </c>
      <c r="C2495" s="7" t="s">
        <v>302</v>
      </c>
      <c r="E2495" s="24" t="s">
        <v>4174</v>
      </c>
      <c r="F2495" s="3">
        <v>5</v>
      </c>
      <c r="N2495" s="48"/>
    </row>
    <row r="2496" spans="1:14" x14ac:dyDescent="0.45">
      <c r="A2496" s="3" t="s">
        <v>3715</v>
      </c>
      <c r="B2496" s="3" t="s">
        <v>4175</v>
      </c>
      <c r="C2496" s="7" t="s">
        <v>302</v>
      </c>
      <c r="E2496" s="24" t="s">
        <v>4176</v>
      </c>
      <c r="F2496" s="3">
        <v>4</v>
      </c>
      <c r="N2496" s="48"/>
    </row>
    <row r="2497" spans="1:14" x14ac:dyDescent="0.45">
      <c r="A2497" s="3" t="s">
        <v>3715</v>
      </c>
      <c r="B2497" s="3" t="s">
        <v>4177</v>
      </c>
      <c r="C2497" s="7" t="s">
        <v>575</v>
      </c>
      <c r="E2497" s="24" t="s">
        <v>4178</v>
      </c>
      <c r="F2497" s="3">
        <v>16</v>
      </c>
      <c r="N2497" s="48"/>
    </row>
    <row r="2498" spans="1:14" x14ac:dyDescent="0.45">
      <c r="A2498" s="3" t="s">
        <v>3715</v>
      </c>
      <c r="B2498" s="14">
        <v>42247</v>
      </c>
      <c r="C2498" s="7" t="s">
        <v>738</v>
      </c>
      <c r="D2498" s="17" t="s">
        <v>4179</v>
      </c>
      <c r="E2498" s="3" t="s">
        <v>4180</v>
      </c>
      <c r="F2498" s="3">
        <v>2</v>
      </c>
      <c r="N2498" s="48"/>
    </row>
    <row r="2499" spans="1:14" x14ac:dyDescent="0.45">
      <c r="A2499" s="3" t="s">
        <v>3715</v>
      </c>
      <c r="B2499" s="14">
        <v>42230</v>
      </c>
      <c r="C2499" s="7" t="s">
        <v>738</v>
      </c>
      <c r="D2499" s="17" t="s">
        <v>4181</v>
      </c>
      <c r="E2499" s="3" t="s">
        <v>4182</v>
      </c>
      <c r="F2499" s="3">
        <v>4</v>
      </c>
      <c r="N2499" s="48"/>
    </row>
    <row r="2500" spans="1:14" x14ac:dyDescent="0.45">
      <c r="A2500" s="3" t="s">
        <v>3715</v>
      </c>
      <c r="B2500" s="14">
        <v>42228</v>
      </c>
      <c r="C2500" s="7" t="s">
        <v>738</v>
      </c>
      <c r="D2500" s="17" t="s">
        <v>4183</v>
      </c>
      <c r="E2500" s="3" t="s">
        <v>4184</v>
      </c>
      <c r="F2500" s="3">
        <v>2</v>
      </c>
      <c r="N2500" s="48"/>
    </row>
    <row r="2501" spans="1:14" x14ac:dyDescent="0.45">
      <c r="A2501" s="3" t="s">
        <v>3715</v>
      </c>
      <c r="B2501" s="14">
        <v>42228</v>
      </c>
      <c r="C2501" s="7" t="s">
        <v>738</v>
      </c>
      <c r="D2501" s="17" t="s">
        <v>4185</v>
      </c>
      <c r="E2501" s="3" t="s">
        <v>4186</v>
      </c>
      <c r="F2501" s="3">
        <v>2</v>
      </c>
      <c r="N2501" s="48"/>
    </row>
    <row r="2502" spans="1:14" x14ac:dyDescent="0.45">
      <c r="A2502" s="3" t="s">
        <v>3715</v>
      </c>
      <c r="B2502" s="14">
        <v>42209</v>
      </c>
      <c r="C2502" s="7" t="s">
        <v>738</v>
      </c>
      <c r="D2502" s="17" t="s">
        <v>4187</v>
      </c>
      <c r="E2502" s="3" t="s">
        <v>4188</v>
      </c>
      <c r="F2502" s="3">
        <v>3</v>
      </c>
      <c r="N2502" s="48"/>
    </row>
    <row r="2503" spans="1:14" x14ac:dyDescent="0.45">
      <c r="A2503" s="3" t="s">
        <v>3715</v>
      </c>
      <c r="B2503" s="14">
        <v>42173</v>
      </c>
      <c r="C2503" s="7" t="s">
        <v>738</v>
      </c>
      <c r="D2503" s="40" t="s">
        <v>4189</v>
      </c>
      <c r="E2503" s="3" t="s">
        <v>4190</v>
      </c>
      <c r="F2503" s="3" t="s">
        <v>1041</v>
      </c>
      <c r="L2503" s="3" t="s">
        <v>4191</v>
      </c>
      <c r="N2503" s="48"/>
    </row>
    <row r="2504" spans="1:14" x14ac:dyDescent="0.45">
      <c r="A2504" s="3" t="s">
        <v>3715</v>
      </c>
      <c r="B2504" s="14">
        <v>42125</v>
      </c>
      <c r="C2504" s="7" t="s">
        <v>738</v>
      </c>
      <c r="D2504" s="17" t="s">
        <v>4192</v>
      </c>
      <c r="E2504" s="3" t="s">
        <v>4193</v>
      </c>
      <c r="F2504" s="3">
        <v>7</v>
      </c>
      <c r="N2504" s="48"/>
    </row>
    <row r="2505" spans="1:14" x14ac:dyDescent="0.45">
      <c r="A2505" s="3" t="s">
        <v>3715</v>
      </c>
      <c r="B2505" s="14">
        <v>42122</v>
      </c>
      <c r="C2505" s="7" t="s">
        <v>738</v>
      </c>
      <c r="D2505" s="17" t="s">
        <v>4194</v>
      </c>
      <c r="E2505" s="3" t="s">
        <v>4195</v>
      </c>
      <c r="F2505" s="3">
        <v>4</v>
      </c>
      <c r="N2505" s="48"/>
    </row>
    <row r="2506" spans="1:14" x14ac:dyDescent="0.45">
      <c r="A2506" s="3" t="s">
        <v>3715</v>
      </c>
      <c r="B2506" s="14">
        <v>42033</v>
      </c>
      <c r="C2506" s="7" t="s">
        <v>738</v>
      </c>
      <c r="D2506" s="17" t="s">
        <v>4196</v>
      </c>
      <c r="E2506" s="3" t="s">
        <v>4197</v>
      </c>
      <c r="F2506" s="3">
        <v>2</v>
      </c>
      <c r="N2506" s="48"/>
    </row>
    <row r="2507" spans="1:14" x14ac:dyDescent="0.45">
      <c r="A2507" s="3" t="s">
        <v>3715</v>
      </c>
      <c r="B2507" s="14">
        <v>42011</v>
      </c>
      <c r="C2507" s="7" t="s">
        <v>738</v>
      </c>
      <c r="D2507" s="17" t="s">
        <v>4198</v>
      </c>
      <c r="E2507" s="3" t="s">
        <v>4199</v>
      </c>
      <c r="F2507" s="3">
        <v>4</v>
      </c>
      <c r="N2507" s="48"/>
    </row>
    <row r="2508" spans="1:14" x14ac:dyDescent="0.45">
      <c r="A2508" s="3" t="s">
        <v>3715</v>
      </c>
      <c r="B2508" s="14">
        <v>41939</v>
      </c>
      <c r="C2508" s="7" t="s">
        <v>738</v>
      </c>
      <c r="D2508" s="40" t="s">
        <v>4200</v>
      </c>
      <c r="E2508" s="3" t="s">
        <v>4201</v>
      </c>
      <c r="F2508" s="3" t="s">
        <v>1041</v>
      </c>
      <c r="L2508" s="3" t="s">
        <v>4202</v>
      </c>
      <c r="N2508" s="48"/>
    </row>
    <row r="2509" spans="1:14" x14ac:dyDescent="0.45">
      <c r="A2509" s="3" t="s">
        <v>3715</v>
      </c>
      <c r="B2509" s="14">
        <v>41928</v>
      </c>
      <c r="C2509" s="7" t="s">
        <v>738</v>
      </c>
      <c r="D2509" s="17" t="s">
        <v>4203</v>
      </c>
      <c r="E2509" s="3" t="s">
        <v>4204</v>
      </c>
      <c r="F2509" s="3">
        <v>5</v>
      </c>
      <c r="N2509" s="48"/>
    </row>
    <row r="2510" spans="1:14" x14ac:dyDescent="0.45">
      <c r="A2510" s="3" t="s">
        <v>3715</v>
      </c>
      <c r="B2510" s="14">
        <v>41886</v>
      </c>
      <c r="C2510" s="7" t="s">
        <v>738</v>
      </c>
      <c r="D2510" s="17" t="s">
        <v>4205</v>
      </c>
      <c r="E2510" s="3" t="s">
        <v>4206</v>
      </c>
      <c r="F2510" s="3">
        <v>2</v>
      </c>
      <c r="N2510" s="48"/>
    </row>
    <row r="2511" spans="1:14" x14ac:dyDescent="0.45">
      <c r="A2511" s="3" t="s">
        <v>3715</v>
      </c>
      <c r="B2511" s="14">
        <v>41884</v>
      </c>
      <c r="C2511" s="7" t="s">
        <v>738</v>
      </c>
      <c r="D2511" s="17" t="s">
        <v>4207</v>
      </c>
      <c r="E2511" s="3" t="s">
        <v>4208</v>
      </c>
      <c r="F2511" s="3">
        <v>3</v>
      </c>
      <c r="N2511" s="48"/>
    </row>
    <row r="2512" spans="1:14" x14ac:dyDescent="0.45">
      <c r="A2512" s="3" t="s">
        <v>3715</v>
      </c>
      <c r="B2512" s="14">
        <v>41788</v>
      </c>
      <c r="C2512" s="7" t="s">
        <v>738</v>
      </c>
      <c r="D2512" s="40" t="s">
        <v>4209</v>
      </c>
      <c r="E2512" s="3" t="s">
        <v>4210</v>
      </c>
      <c r="F2512" s="3" t="s">
        <v>1041</v>
      </c>
      <c r="L2512" s="3" t="s">
        <v>4211</v>
      </c>
      <c r="N2512" s="48"/>
    </row>
    <row r="2513" spans="1:14" x14ac:dyDescent="0.45">
      <c r="A2513" s="3" t="s">
        <v>3715</v>
      </c>
      <c r="B2513" s="14">
        <v>41724</v>
      </c>
      <c r="C2513" s="7" t="s">
        <v>738</v>
      </c>
      <c r="D2513" s="17" t="s">
        <v>4212</v>
      </c>
      <c r="E2513" s="3" t="s">
        <v>4213</v>
      </c>
      <c r="F2513" s="3">
        <v>6</v>
      </c>
      <c r="N2513" s="48"/>
    </row>
    <row r="2514" spans="1:14" x14ac:dyDescent="0.45">
      <c r="A2514" s="3" t="s">
        <v>3715</v>
      </c>
      <c r="B2514" s="14">
        <v>41604</v>
      </c>
      <c r="C2514" s="7" t="s">
        <v>738</v>
      </c>
      <c r="D2514" s="17" t="s">
        <v>4214</v>
      </c>
      <c r="E2514" s="3" t="s">
        <v>4215</v>
      </c>
      <c r="F2514" s="3">
        <v>3</v>
      </c>
      <c r="N2514" s="48"/>
    </row>
    <row r="2515" spans="1:14" x14ac:dyDescent="0.45">
      <c r="A2515" s="3" t="s">
        <v>3715</v>
      </c>
      <c r="B2515" s="14">
        <v>41604</v>
      </c>
      <c r="C2515" s="7" t="s">
        <v>738</v>
      </c>
      <c r="D2515" s="17" t="s">
        <v>4216</v>
      </c>
      <c r="E2515" s="3" t="s">
        <v>4217</v>
      </c>
      <c r="F2515" s="3">
        <v>3</v>
      </c>
      <c r="N2515" s="48"/>
    </row>
    <row r="2516" spans="1:14" x14ac:dyDescent="0.45">
      <c r="A2516" s="3" t="s">
        <v>3715</v>
      </c>
      <c r="B2516" s="14">
        <v>41544</v>
      </c>
      <c r="C2516" s="7" t="s">
        <v>738</v>
      </c>
      <c r="D2516" s="17" t="s">
        <v>4218</v>
      </c>
      <c r="E2516" s="3" t="s">
        <v>4219</v>
      </c>
      <c r="F2516" s="3">
        <v>20</v>
      </c>
      <c r="N2516" s="48"/>
    </row>
    <row r="2517" spans="1:14" x14ac:dyDescent="0.45">
      <c r="A2517" s="3" t="s">
        <v>3715</v>
      </c>
      <c r="B2517" s="14">
        <v>41523</v>
      </c>
      <c r="C2517" s="7" t="s">
        <v>738</v>
      </c>
      <c r="D2517" s="17" t="s">
        <v>4220</v>
      </c>
      <c r="E2517" s="3" t="s">
        <v>4221</v>
      </c>
      <c r="F2517" s="3">
        <v>2</v>
      </c>
      <c r="N2517" s="48"/>
    </row>
    <row r="2518" spans="1:14" x14ac:dyDescent="0.45">
      <c r="A2518" s="3" t="s">
        <v>3715</v>
      </c>
      <c r="B2518" s="14">
        <v>41513</v>
      </c>
      <c r="C2518" s="7" t="s">
        <v>738</v>
      </c>
      <c r="D2518" s="17" t="s">
        <v>4222</v>
      </c>
      <c r="E2518" s="3" t="s">
        <v>4223</v>
      </c>
      <c r="F2518" s="3">
        <v>6</v>
      </c>
      <c r="N2518" s="48"/>
    </row>
    <row r="2519" spans="1:14" x14ac:dyDescent="0.45">
      <c r="A2519" s="3" t="s">
        <v>3715</v>
      </c>
      <c r="B2519" s="14">
        <v>41513</v>
      </c>
      <c r="C2519" s="7" t="s">
        <v>738</v>
      </c>
      <c r="D2519" s="17" t="s">
        <v>4224</v>
      </c>
      <c r="E2519" s="3" t="s">
        <v>4225</v>
      </c>
      <c r="F2519" s="3">
        <v>4</v>
      </c>
      <c r="N2519" s="48"/>
    </row>
    <row r="2520" spans="1:14" x14ac:dyDescent="0.45">
      <c r="A2520" s="3" t="s">
        <v>3715</v>
      </c>
      <c r="B2520" s="14">
        <v>41491</v>
      </c>
      <c r="C2520" s="7" t="s">
        <v>738</v>
      </c>
      <c r="D2520" s="17" t="s">
        <v>4226</v>
      </c>
      <c r="E2520" s="3" t="s">
        <v>4227</v>
      </c>
      <c r="F2520" s="3">
        <v>3</v>
      </c>
      <c r="N2520" s="48"/>
    </row>
    <row r="2521" spans="1:14" x14ac:dyDescent="0.45">
      <c r="A2521" s="3" t="s">
        <v>3715</v>
      </c>
      <c r="B2521" s="14">
        <v>41462</v>
      </c>
      <c r="C2521" s="7" t="s">
        <v>738</v>
      </c>
      <c r="D2521" s="17" t="s">
        <v>4228</v>
      </c>
      <c r="E2521" s="3" t="s">
        <v>4229</v>
      </c>
      <c r="F2521" s="3">
        <v>3</v>
      </c>
      <c r="N2521" s="48"/>
    </row>
    <row r="2522" spans="1:14" x14ac:dyDescent="0.45">
      <c r="A2522" s="3" t="s">
        <v>3715</v>
      </c>
      <c r="B2522" s="14">
        <v>41446</v>
      </c>
      <c r="C2522" s="7" t="s">
        <v>738</v>
      </c>
      <c r="D2522" s="17" t="s">
        <v>4230</v>
      </c>
      <c r="E2522" s="3" t="s">
        <v>4231</v>
      </c>
      <c r="F2522" s="3">
        <v>3</v>
      </c>
      <c r="N2522" s="48"/>
    </row>
    <row r="2523" spans="1:14" x14ac:dyDescent="0.45">
      <c r="A2523" s="3" t="s">
        <v>3715</v>
      </c>
      <c r="B2523" s="14">
        <v>41220</v>
      </c>
      <c r="C2523" s="7" t="s">
        <v>738</v>
      </c>
      <c r="D2523" s="17" t="s">
        <v>4232</v>
      </c>
      <c r="E2523" s="3" t="s">
        <v>4233</v>
      </c>
      <c r="F2523" s="3">
        <v>3</v>
      </c>
      <c r="N2523" s="48"/>
    </row>
    <row r="2524" spans="1:14" x14ac:dyDescent="0.45">
      <c r="A2524" s="3" t="s">
        <v>3715</v>
      </c>
      <c r="B2524" s="14">
        <v>41213</v>
      </c>
      <c r="C2524" s="7" t="s">
        <v>738</v>
      </c>
      <c r="D2524" s="51">
        <v>46004</v>
      </c>
      <c r="E2524" s="3" t="s">
        <v>4234</v>
      </c>
      <c r="F2524" s="3">
        <v>5</v>
      </c>
      <c r="N2524" s="48"/>
    </row>
    <row r="2525" spans="1:14" x14ac:dyDescent="0.45">
      <c r="A2525" s="3" t="s">
        <v>3715</v>
      </c>
      <c r="B2525" s="14">
        <v>41159</v>
      </c>
      <c r="C2525" s="7" t="s">
        <v>738</v>
      </c>
      <c r="D2525" s="51">
        <v>46003</v>
      </c>
      <c r="E2525" s="3" t="s">
        <v>4235</v>
      </c>
      <c r="F2525" s="3">
        <v>5</v>
      </c>
      <c r="N2525" s="48"/>
    </row>
    <row r="2526" spans="1:14" x14ac:dyDescent="0.45">
      <c r="A2526" s="3" t="s">
        <v>3715</v>
      </c>
      <c r="B2526" s="14">
        <v>41152</v>
      </c>
      <c r="C2526" s="7" t="s">
        <v>738</v>
      </c>
      <c r="D2526" s="51">
        <v>46002</v>
      </c>
      <c r="E2526" s="3" t="s">
        <v>4236</v>
      </c>
      <c r="F2526" s="3">
        <v>4</v>
      </c>
      <c r="N2526" s="48"/>
    </row>
    <row r="2527" spans="1:14" x14ac:dyDescent="0.45">
      <c r="A2527" s="3" t="s">
        <v>3715</v>
      </c>
      <c r="B2527" s="14">
        <v>41148</v>
      </c>
      <c r="C2527" s="7" t="s">
        <v>738</v>
      </c>
      <c r="D2527" s="52">
        <v>46001</v>
      </c>
      <c r="E2527" s="24" t="s">
        <v>4237</v>
      </c>
      <c r="F2527" s="3">
        <v>2</v>
      </c>
      <c r="L2527" s="24"/>
      <c r="N2527" s="48"/>
    </row>
    <row r="2528" spans="1:14" x14ac:dyDescent="0.45">
      <c r="A2528" s="3" t="s">
        <v>3715</v>
      </c>
      <c r="B2528" s="14">
        <v>41114</v>
      </c>
      <c r="C2528" s="7" t="s">
        <v>738</v>
      </c>
      <c r="D2528" s="51">
        <v>46000</v>
      </c>
      <c r="E2528" s="3" t="s">
        <v>4238</v>
      </c>
      <c r="F2528" s="3">
        <v>5</v>
      </c>
      <c r="N2528" s="48"/>
    </row>
    <row r="2529" spans="1:14" x14ac:dyDescent="0.45">
      <c r="A2529" s="3" t="s">
        <v>3715</v>
      </c>
      <c r="B2529" s="14">
        <v>41088</v>
      </c>
      <c r="C2529" s="7" t="s">
        <v>738</v>
      </c>
      <c r="D2529" s="51">
        <v>45997</v>
      </c>
      <c r="E2529" s="3" t="s">
        <v>4239</v>
      </c>
      <c r="F2529" s="3">
        <v>2</v>
      </c>
      <c r="N2529" s="48"/>
    </row>
    <row r="2530" spans="1:14" x14ac:dyDescent="0.45">
      <c r="A2530" s="3" t="s">
        <v>3715</v>
      </c>
      <c r="B2530" s="14">
        <v>41054</v>
      </c>
      <c r="C2530" s="7" t="s">
        <v>738</v>
      </c>
      <c r="D2530" s="51">
        <v>45996</v>
      </c>
      <c r="E2530" s="3" t="s">
        <v>4240</v>
      </c>
      <c r="F2530" s="3">
        <v>2</v>
      </c>
      <c r="N2530" s="48"/>
    </row>
    <row r="2531" spans="1:14" x14ac:dyDescent="0.45">
      <c r="A2531" s="3" t="s">
        <v>3715</v>
      </c>
      <c r="B2531" s="14">
        <v>41145</v>
      </c>
      <c r="C2531" s="7" t="s">
        <v>738</v>
      </c>
      <c r="D2531" s="51">
        <v>45995</v>
      </c>
      <c r="E2531" s="3" t="s">
        <v>4241</v>
      </c>
      <c r="F2531" s="3">
        <v>2</v>
      </c>
      <c r="N2531" s="48"/>
    </row>
    <row r="2532" spans="1:14" x14ac:dyDescent="0.45">
      <c r="A2532" s="3" t="s">
        <v>3715</v>
      </c>
      <c r="B2532" s="14">
        <v>40997</v>
      </c>
      <c r="C2532" s="7" t="s">
        <v>738</v>
      </c>
      <c r="D2532" s="51">
        <v>45994</v>
      </c>
      <c r="E2532" s="3" t="s">
        <v>4242</v>
      </c>
      <c r="F2532" s="3">
        <v>2</v>
      </c>
      <c r="N2532" s="48"/>
    </row>
    <row r="2533" spans="1:14" x14ac:dyDescent="0.45">
      <c r="A2533" s="3" t="s">
        <v>3715</v>
      </c>
      <c r="B2533" s="14">
        <v>40933</v>
      </c>
      <c r="C2533" s="7" t="s">
        <v>738</v>
      </c>
      <c r="D2533" s="52">
        <v>45993</v>
      </c>
      <c r="E2533" s="24" t="s">
        <v>4243</v>
      </c>
      <c r="F2533" s="3">
        <v>3</v>
      </c>
      <c r="L2533" s="24"/>
      <c r="N2533" s="48"/>
    </row>
    <row r="2534" spans="1:14" x14ac:dyDescent="0.45">
      <c r="A2534" s="3" t="s">
        <v>3715</v>
      </c>
      <c r="B2534" s="14">
        <v>40856</v>
      </c>
      <c r="C2534" s="7" t="s">
        <v>738</v>
      </c>
      <c r="D2534" s="51">
        <v>45992</v>
      </c>
      <c r="E2534" s="3" t="s">
        <v>4244</v>
      </c>
      <c r="F2534" s="3">
        <v>3</v>
      </c>
      <c r="N2534" s="48"/>
    </row>
    <row r="2535" spans="1:14" x14ac:dyDescent="0.45">
      <c r="A2535" s="3" t="s">
        <v>3715</v>
      </c>
      <c r="B2535" s="14">
        <v>40794</v>
      </c>
      <c r="C2535" s="7" t="s">
        <v>738</v>
      </c>
      <c r="D2535" s="51">
        <v>45967</v>
      </c>
      <c r="E2535" s="3" t="s">
        <v>4245</v>
      </c>
      <c r="F2535" s="3">
        <v>2</v>
      </c>
      <c r="N2535" s="48"/>
    </row>
    <row r="2536" spans="1:14" x14ac:dyDescent="0.45">
      <c r="A2536" s="3" t="s">
        <v>3715</v>
      </c>
      <c r="B2536" s="14">
        <v>40604</v>
      </c>
      <c r="C2536" s="7" t="s">
        <v>738</v>
      </c>
      <c r="D2536" s="51">
        <v>45966</v>
      </c>
      <c r="E2536" s="3" t="s">
        <v>4246</v>
      </c>
      <c r="F2536" s="3">
        <v>3</v>
      </c>
      <c r="N2536" s="48"/>
    </row>
    <row r="2537" spans="1:14" x14ac:dyDescent="0.45">
      <c r="A2537" s="3" t="s">
        <v>3715</v>
      </c>
      <c r="B2537" s="14">
        <v>40578</v>
      </c>
      <c r="C2537" s="7" t="s">
        <v>738</v>
      </c>
      <c r="D2537" s="51">
        <v>45965</v>
      </c>
      <c r="E2537" s="3" t="s">
        <v>4247</v>
      </c>
      <c r="F2537" s="3">
        <v>4</v>
      </c>
      <c r="N2537" s="48"/>
    </row>
    <row r="2538" spans="1:14" x14ac:dyDescent="0.45">
      <c r="A2538" s="3" t="s">
        <v>3715</v>
      </c>
      <c r="B2538" s="14">
        <v>40567</v>
      </c>
      <c r="C2538" s="7" t="s">
        <v>738</v>
      </c>
      <c r="D2538" s="51">
        <v>45964</v>
      </c>
      <c r="E2538" s="3" t="s">
        <v>4248</v>
      </c>
      <c r="F2538" s="3">
        <v>3</v>
      </c>
      <c r="N2538" s="48"/>
    </row>
    <row r="2539" spans="1:14" x14ac:dyDescent="0.45">
      <c r="A2539" s="3" t="s">
        <v>3715</v>
      </c>
      <c r="B2539" s="14">
        <v>40211</v>
      </c>
      <c r="C2539" s="7" t="s">
        <v>738</v>
      </c>
      <c r="D2539" s="51">
        <v>45962</v>
      </c>
      <c r="E2539" s="3" t="s">
        <v>4249</v>
      </c>
      <c r="F2539" s="3">
        <v>3</v>
      </c>
      <c r="N2539" s="48"/>
    </row>
    <row r="2540" spans="1:14" x14ac:dyDescent="0.45">
      <c r="A2540" s="3" t="s">
        <v>3715</v>
      </c>
      <c r="B2540" s="14">
        <v>40330</v>
      </c>
      <c r="C2540" s="7" t="s">
        <v>738</v>
      </c>
      <c r="D2540" s="51">
        <v>45940</v>
      </c>
      <c r="E2540" s="3" t="s">
        <v>4250</v>
      </c>
      <c r="F2540" s="3">
        <v>2</v>
      </c>
      <c r="L2540" s="3" t="s">
        <v>4251</v>
      </c>
      <c r="N2540" s="48"/>
    </row>
    <row r="2541" spans="1:14" x14ac:dyDescent="0.45">
      <c r="A2541" s="3" t="s">
        <v>3715</v>
      </c>
      <c r="B2541" s="14">
        <v>40336</v>
      </c>
      <c r="C2541" s="7" t="s">
        <v>738</v>
      </c>
      <c r="D2541" s="51">
        <v>45939</v>
      </c>
      <c r="E2541" s="3" t="s">
        <v>4252</v>
      </c>
      <c r="F2541" s="3">
        <v>3</v>
      </c>
      <c r="N2541" s="48"/>
    </row>
    <row r="2542" spans="1:14" x14ac:dyDescent="0.45">
      <c r="A2542" s="3" t="s">
        <v>3715</v>
      </c>
      <c r="B2542" s="14">
        <v>40266</v>
      </c>
      <c r="C2542" s="7" t="s">
        <v>738</v>
      </c>
      <c r="D2542" s="51">
        <v>45937</v>
      </c>
      <c r="E2542" s="3" t="s">
        <v>4253</v>
      </c>
      <c r="F2542" s="3">
        <v>3</v>
      </c>
      <c r="N2542" s="48"/>
    </row>
    <row r="2543" spans="1:14" x14ac:dyDescent="0.45">
      <c r="A2543" s="3" t="s">
        <v>3715</v>
      </c>
      <c r="B2543" s="14">
        <v>40287</v>
      </c>
      <c r="C2543" s="7" t="s">
        <v>738</v>
      </c>
      <c r="D2543" s="51">
        <v>45936</v>
      </c>
      <c r="E2543" s="3" t="s">
        <v>4254</v>
      </c>
      <c r="F2543" s="3">
        <v>2</v>
      </c>
      <c r="N2543" s="48"/>
    </row>
    <row r="2544" spans="1:14" x14ac:dyDescent="0.45">
      <c r="A2544" s="3" t="s">
        <v>3715</v>
      </c>
      <c r="B2544" s="14">
        <v>40256</v>
      </c>
      <c r="C2544" s="7" t="s">
        <v>738</v>
      </c>
      <c r="D2544" s="51">
        <v>45935</v>
      </c>
      <c r="E2544" s="3" t="s">
        <v>4255</v>
      </c>
      <c r="F2544" s="3">
        <v>4</v>
      </c>
      <c r="L2544" s="3" t="s">
        <v>4256</v>
      </c>
      <c r="N2544" s="48"/>
    </row>
    <row r="2545" spans="1:14" x14ac:dyDescent="0.45">
      <c r="A2545" s="3" t="s">
        <v>3715</v>
      </c>
      <c r="B2545" s="14">
        <v>40277</v>
      </c>
      <c r="C2545" s="7" t="s">
        <v>738</v>
      </c>
      <c r="D2545" s="51">
        <v>45934</v>
      </c>
      <c r="E2545" s="3" t="s">
        <v>4257</v>
      </c>
      <c r="F2545" s="3">
        <v>3</v>
      </c>
      <c r="L2545" s="3" t="s">
        <v>4258</v>
      </c>
      <c r="N2545" s="48"/>
    </row>
    <row r="2546" spans="1:14" x14ac:dyDescent="0.45">
      <c r="A2546" s="3" t="s">
        <v>3715</v>
      </c>
      <c r="B2546" s="14">
        <v>40205</v>
      </c>
      <c r="C2546" s="7" t="s">
        <v>738</v>
      </c>
      <c r="D2546" s="51">
        <v>45933</v>
      </c>
      <c r="E2546" s="3" t="s">
        <v>4259</v>
      </c>
      <c r="F2546" s="3" t="s">
        <v>1041</v>
      </c>
      <c r="L2546" s="3" t="s">
        <v>1821</v>
      </c>
      <c r="N2546" s="48"/>
    </row>
    <row r="2547" spans="1:14" x14ac:dyDescent="0.45">
      <c r="A2547" s="3" t="s">
        <v>3715</v>
      </c>
      <c r="B2547" s="14">
        <v>40170</v>
      </c>
      <c r="C2547" s="7" t="s">
        <v>738</v>
      </c>
      <c r="D2547" s="51">
        <v>45932</v>
      </c>
      <c r="E2547" s="3" t="s">
        <v>4260</v>
      </c>
      <c r="F2547" s="3" t="s">
        <v>1041</v>
      </c>
      <c r="L2547" s="3" t="s">
        <v>1821</v>
      </c>
      <c r="N2547" s="48"/>
    </row>
    <row r="2548" spans="1:14" x14ac:dyDescent="0.45">
      <c r="A2548" s="3" t="s">
        <v>3715</v>
      </c>
      <c r="B2548" s="14">
        <v>40141</v>
      </c>
      <c r="C2548" s="7" t="s">
        <v>738</v>
      </c>
      <c r="D2548" s="51">
        <v>45931</v>
      </c>
      <c r="E2548" s="3" t="s">
        <v>4261</v>
      </c>
      <c r="F2548" s="3">
        <v>3</v>
      </c>
      <c r="N2548" s="48"/>
    </row>
    <row r="2549" spans="1:14" x14ac:dyDescent="0.45">
      <c r="A2549" s="3" t="s">
        <v>3715</v>
      </c>
      <c r="B2549" s="14">
        <v>40073</v>
      </c>
      <c r="C2549" s="7" t="s">
        <v>738</v>
      </c>
      <c r="D2549" s="51">
        <v>45930</v>
      </c>
      <c r="E2549" s="3" t="s">
        <v>4262</v>
      </c>
      <c r="F2549" s="3">
        <v>2</v>
      </c>
      <c r="N2549" s="48"/>
    </row>
    <row r="2550" spans="1:14" x14ac:dyDescent="0.45">
      <c r="A2550" s="3" t="s">
        <v>3715</v>
      </c>
      <c r="B2550" s="14">
        <v>40039</v>
      </c>
      <c r="C2550" s="7" t="s">
        <v>738</v>
      </c>
      <c r="D2550" s="51">
        <v>45927</v>
      </c>
      <c r="E2550" s="3" t="s">
        <v>4263</v>
      </c>
      <c r="F2550" s="3">
        <v>2</v>
      </c>
      <c r="N2550" s="48"/>
    </row>
    <row r="2551" spans="1:14" x14ac:dyDescent="0.45">
      <c r="A2551" s="3" t="s">
        <v>3715</v>
      </c>
      <c r="B2551" s="14">
        <v>40023</v>
      </c>
      <c r="C2551" s="7" t="s">
        <v>738</v>
      </c>
      <c r="D2551" s="51">
        <v>45926</v>
      </c>
      <c r="E2551" s="3" t="s">
        <v>4264</v>
      </c>
      <c r="F2551" s="3">
        <v>2</v>
      </c>
      <c r="N2551" s="48"/>
    </row>
    <row r="2552" spans="1:14" x14ac:dyDescent="0.45">
      <c r="A2552" s="3" t="s">
        <v>3715</v>
      </c>
      <c r="B2552" s="14">
        <v>40022</v>
      </c>
      <c r="C2552" s="7" t="s">
        <v>738</v>
      </c>
      <c r="D2552" s="51">
        <v>45925</v>
      </c>
      <c r="E2552" s="3" t="s">
        <v>4265</v>
      </c>
      <c r="F2552" s="3">
        <v>2</v>
      </c>
      <c r="N2552" s="48"/>
    </row>
    <row r="2553" spans="1:14" x14ac:dyDescent="0.45">
      <c r="A2553" s="3" t="s">
        <v>3715</v>
      </c>
      <c r="B2553" s="14">
        <v>40018</v>
      </c>
      <c r="C2553" s="7" t="s">
        <v>738</v>
      </c>
      <c r="D2553" s="51">
        <v>45924</v>
      </c>
      <c r="E2553" s="3" t="s">
        <v>4266</v>
      </c>
      <c r="F2553" s="3" t="s">
        <v>1041</v>
      </c>
      <c r="L2553" s="3" t="s">
        <v>1821</v>
      </c>
      <c r="N2553" s="48"/>
    </row>
    <row r="2554" spans="1:14" x14ac:dyDescent="0.45">
      <c r="A2554" s="3" t="s">
        <v>3715</v>
      </c>
      <c r="B2554" s="14">
        <v>39990</v>
      </c>
      <c r="C2554" s="7" t="s">
        <v>738</v>
      </c>
      <c r="D2554" s="51">
        <v>45922</v>
      </c>
      <c r="E2554" s="3" t="s">
        <v>4267</v>
      </c>
      <c r="F2554" s="3">
        <v>2</v>
      </c>
      <c r="N2554" s="48"/>
    </row>
    <row r="2555" spans="1:14" x14ac:dyDescent="0.45">
      <c r="A2555" s="3" t="s">
        <v>3715</v>
      </c>
      <c r="B2555" s="14">
        <v>39976</v>
      </c>
      <c r="C2555" s="7" t="s">
        <v>738</v>
      </c>
      <c r="D2555" s="51">
        <v>45921</v>
      </c>
      <c r="E2555" s="3" t="s">
        <v>4268</v>
      </c>
      <c r="F2555" s="3">
        <v>2</v>
      </c>
      <c r="N2555" s="48"/>
    </row>
    <row r="2556" spans="1:14" x14ac:dyDescent="0.45">
      <c r="A2556" s="3" t="s">
        <v>3715</v>
      </c>
      <c r="B2556" s="14">
        <v>39961</v>
      </c>
      <c r="C2556" s="7" t="s">
        <v>738</v>
      </c>
      <c r="D2556" s="51">
        <v>45919</v>
      </c>
      <c r="E2556" s="3" t="s">
        <v>4269</v>
      </c>
      <c r="F2556" s="3">
        <v>2</v>
      </c>
      <c r="N2556" s="48"/>
    </row>
    <row r="2557" spans="1:14" x14ac:dyDescent="0.45">
      <c r="A2557" s="3" t="s">
        <v>3715</v>
      </c>
      <c r="B2557" s="14">
        <v>39899</v>
      </c>
      <c r="C2557" s="7" t="s">
        <v>738</v>
      </c>
      <c r="D2557" s="51">
        <v>45918</v>
      </c>
      <c r="E2557" s="3" t="s">
        <v>4270</v>
      </c>
      <c r="F2557" s="3">
        <v>3</v>
      </c>
      <c r="N2557" s="48"/>
    </row>
    <row r="2558" spans="1:14" x14ac:dyDescent="0.45">
      <c r="A2558" s="3" t="s">
        <v>3715</v>
      </c>
      <c r="B2558" s="14">
        <v>39912</v>
      </c>
      <c r="C2558" s="7" t="s">
        <v>738</v>
      </c>
      <c r="D2558" s="51">
        <v>45917</v>
      </c>
      <c r="E2558" s="3" t="s">
        <v>4271</v>
      </c>
      <c r="F2558" s="3">
        <v>7</v>
      </c>
      <c r="N2558" s="48"/>
    </row>
    <row r="2559" spans="1:14" x14ac:dyDescent="0.45">
      <c r="A2559" s="3" t="s">
        <v>3715</v>
      </c>
      <c r="B2559" s="14">
        <v>39884</v>
      </c>
      <c r="C2559" s="7" t="s">
        <v>738</v>
      </c>
      <c r="D2559" s="51">
        <v>45915</v>
      </c>
      <c r="E2559" s="3" t="s">
        <v>4272</v>
      </c>
      <c r="F2559" s="3">
        <v>2</v>
      </c>
      <c r="N2559" s="48"/>
    </row>
    <row r="2560" spans="1:14" x14ac:dyDescent="0.45">
      <c r="A2560" s="3" t="s">
        <v>3715</v>
      </c>
      <c r="B2560" s="14">
        <v>39989</v>
      </c>
      <c r="C2560" s="7" t="s">
        <v>738</v>
      </c>
      <c r="D2560" s="51">
        <v>45914</v>
      </c>
      <c r="E2560" s="3" t="s">
        <v>4273</v>
      </c>
      <c r="F2560" s="3">
        <v>3</v>
      </c>
      <c r="N2560" s="48"/>
    </row>
    <row r="2561" spans="1:14" x14ac:dyDescent="0.45">
      <c r="A2561" s="3" t="s">
        <v>3715</v>
      </c>
      <c r="B2561" s="14">
        <v>39863</v>
      </c>
      <c r="C2561" s="7" t="s">
        <v>738</v>
      </c>
      <c r="D2561" s="51">
        <v>45913</v>
      </c>
      <c r="E2561" s="3" t="s">
        <v>4274</v>
      </c>
      <c r="F2561" s="3">
        <v>2</v>
      </c>
      <c r="N2561" s="48"/>
    </row>
    <row r="2562" spans="1:14" x14ac:dyDescent="0.45">
      <c r="A2562" s="3" t="s">
        <v>3715</v>
      </c>
      <c r="B2562" s="14">
        <v>39785</v>
      </c>
      <c r="C2562" s="7" t="s">
        <v>738</v>
      </c>
      <c r="D2562" s="51">
        <v>45911</v>
      </c>
      <c r="E2562" s="3" t="s">
        <v>4275</v>
      </c>
      <c r="F2562" s="3">
        <v>2</v>
      </c>
      <c r="N2562" s="48"/>
    </row>
    <row r="2563" spans="1:14" x14ac:dyDescent="0.45">
      <c r="A2563" s="3" t="s">
        <v>3715</v>
      </c>
      <c r="B2563" s="14">
        <v>39772</v>
      </c>
      <c r="C2563" s="7" t="s">
        <v>738</v>
      </c>
      <c r="D2563" s="51">
        <v>45909</v>
      </c>
      <c r="E2563" s="3" t="s">
        <v>4276</v>
      </c>
      <c r="F2563" s="3">
        <v>3</v>
      </c>
      <c r="N2563" s="48"/>
    </row>
    <row r="2564" spans="1:14" x14ac:dyDescent="0.45">
      <c r="A2564" s="3" t="s">
        <v>3715</v>
      </c>
      <c r="B2564" s="14">
        <v>39867</v>
      </c>
      <c r="C2564" s="7" t="s">
        <v>738</v>
      </c>
      <c r="D2564" s="51">
        <v>45906</v>
      </c>
      <c r="E2564" s="3" t="s">
        <v>4277</v>
      </c>
      <c r="F2564" s="3">
        <v>2</v>
      </c>
      <c r="N2564" s="48"/>
    </row>
    <row r="2565" spans="1:14" x14ac:dyDescent="0.45">
      <c r="A2565" s="3" t="s">
        <v>3715</v>
      </c>
      <c r="B2565" s="14">
        <v>39738</v>
      </c>
      <c r="C2565" s="7" t="s">
        <v>738</v>
      </c>
      <c r="D2565" s="51">
        <v>45904</v>
      </c>
      <c r="E2565" s="3" t="s">
        <v>4278</v>
      </c>
      <c r="F2565" s="3">
        <v>3</v>
      </c>
      <c r="N2565" s="48"/>
    </row>
    <row r="2566" spans="1:14" x14ac:dyDescent="0.45">
      <c r="A2566" s="3" t="s">
        <v>3715</v>
      </c>
      <c r="B2566" s="14">
        <v>39793</v>
      </c>
      <c r="C2566" s="7" t="s">
        <v>738</v>
      </c>
      <c r="D2566" s="51">
        <v>45903</v>
      </c>
      <c r="E2566" s="3" t="s">
        <v>4279</v>
      </c>
      <c r="F2566" s="3">
        <v>2</v>
      </c>
      <c r="N2566" s="48"/>
    </row>
    <row r="2567" spans="1:14" x14ac:dyDescent="0.45">
      <c r="A2567" s="3" t="s">
        <v>3715</v>
      </c>
      <c r="B2567" s="14">
        <v>39735</v>
      </c>
      <c r="C2567" s="7" t="s">
        <v>738</v>
      </c>
      <c r="D2567" s="51">
        <v>45902</v>
      </c>
      <c r="E2567" s="3" t="s">
        <v>4280</v>
      </c>
      <c r="F2567" s="3">
        <v>2</v>
      </c>
      <c r="N2567" s="48"/>
    </row>
    <row r="2568" spans="1:14" x14ac:dyDescent="0.45">
      <c r="A2568" s="3" t="s">
        <v>3715</v>
      </c>
      <c r="B2568" s="14">
        <v>39394</v>
      </c>
      <c r="C2568" s="7" t="s">
        <v>738</v>
      </c>
      <c r="D2568" s="51">
        <v>45870</v>
      </c>
      <c r="E2568" s="3" t="s">
        <v>4281</v>
      </c>
      <c r="F2568" s="3">
        <v>2</v>
      </c>
      <c r="N2568" s="48"/>
    </row>
    <row r="2569" spans="1:14" x14ac:dyDescent="0.45">
      <c r="A2569" s="3" t="s">
        <v>3715</v>
      </c>
      <c r="B2569" s="14">
        <v>39436</v>
      </c>
      <c r="C2569" s="7" t="s">
        <v>738</v>
      </c>
      <c r="D2569" s="51">
        <v>45871</v>
      </c>
      <c r="E2569" s="3" t="s">
        <v>4282</v>
      </c>
      <c r="F2569" s="3">
        <v>18</v>
      </c>
      <c r="N2569" s="48"/>
    </row>
    <row r="2570" spans="1:14" x14ac:dyDescent="0.45">
      <c r="A2570" s="3" t="s">
        <v>3715</v>
      </c>
      <c r="B2570" s="14">
        <v>39465</v>
      </c>
      <c r="C2570" s="7" t="s">
        <v>738</v>
      </c>
      <c r="D2570" s="51">
        <v>45873</v>
      </c>
      <c r="E2570" s="3" t="s">
        <v>4283</v>
      </c>
      <c r="F2570" s="3">
        <v>5</v>
      </c>
      <c r="N2570" s="48"/>
    </row>
    <row r="2571" spans="1:14" x14ac:dyDescent="0.45">
      <c r="A2571" s="3" t="s">
        <v>3715</v>
      </c>
      <c r="B2571" s="14">
        <v>39478</v>
      </c>
      <c r="C2571" s="7" t="s">
        <v>738</v>
      </c>
      <c r="D2571" s="51">
        <v>45874</v>
      </c>
      <c r="E2571" s="3" t="s">
        <v>4284</v>
      </c>
      <c r="F2571" s="3">
        <v>2</v>
      </c>
      <c r="N2571" s="48"/>
    </row>
    <row r="2572" spans="1:14" x14ac:dyDescent="0.45">
      <c r="A2572" s="3" t="s">
        <v>3715</v>
      </c>
      <c r="B2572" s="14">
        <v>39485</v>
      </c>
      <c r="C2572" s="7" t="s">
        <v>738</v>
      </c>
      <c r="D2572" s="51">
        <v>45875</v>
      </c>
      <c r="E2572" s="3" t="s">
        <v>4285</v>
      </c>
      <c r="F2572" s="3">
        <v>5</v>
      </c>
      <c r="N2572" s="48"/>
    </row>
    <row r="2573" spans="1:14" x14ac:dyDescent="0.45">
      <c r="A2573" s="3" t="s">
        <v>3715</v>
      </c>
      <c r="B2573" s="14">
        <v>39510</v>
      </c>
      <c r="C2573" s="7" t="s">
        <v>738</v>
      </c>
      <c r="D2573" s="51">
        <v>45876</v>
      </c>
      <c r="E2573" s="3" t="s">
        <v>4286</v>
      </c>
      <c r="F2573" s="3">
        <v>2</v>
      </c>
      <c r="N2573" s="48"/>
    </row>
    <row r="2574" spans="1:14" x14ac:dyDescent="0.45">
      <c r="A2574" s="3" t="s">
        <v>3715</v>
      </c>
      <c r="B2574" s="14">
        <v>39554</v>
      </c>
      <c r="C2574" s="7" t="s">
        <v>738</v>
      </c>
      <c r="D2574" s="51">
        <v>45877</v>
      </c>
      <c r="E2574" s="3" t="s">
        <v>4287</v>
      </c>
      <c r="F2574" s="3">
        <v>2</v>
      </c>
      <c r="N2574" s="48"/>
    </row>
    <row r="2575" spans="1:14" x14ac:dyDescent="0.45">
      <c r="A2575" s="3" t="s">
        <v>3715</v>
      </c>
      <c r="B2575" s="14">
        <v>39644</v>
      </c>
      <c r="C2575" s="7" t="s">
        <v>738</v>
      </c>
      <c r="D2575" s="51">
        <v>45878</v>
      </c>
      <c r="E2575" s="3" t="s">
        <v>4288</v>
      </c>
      <c r="F2575" s="3">
        <v>3</v>
      </c>
      <c r="N2575" s="48"/>
    </row>
    <row r="2576" spans="1:14" x14ac:dyDescent="0.45">
      <c r="A2576" s="3" t="s">
        <v>3715</v>
      </c>
      <c r="B2576" s="14">
        <v>39531</v>
      </c>
      <c r="C2576" s="7" t="s">
        <v>738</v>
      </c>
      <c r="D2576" s="51">
        <v>45879</v>
      </c>
      <c r="E2576" s="3" t="s">
        <v>4289</v>
      </c>
      <c r="F2576" s="3">
        <v>2</v>
      </c>
      <c r="N2576" s="48"/>
    </row>
    <row r="2577" spans="1:14" x14ac:dyDescent="0.45">
      <c r="A2577" s="3" t="s">
        <v>3715</v>
      </c>
      <c r="B2577" s="14">
        <v>39559</v>
      </c>
      <c r="C2577" s="7" t="s">
        <v>738</v>
      </c>
      <c r="D2577" s="51">
        <v>45880</v>
      </c>
      <c r="E2577" s="3" t="s">
        <v>4290</v>
      </c>
      <c r="F2577" s="3">
        <v>2</v>
      </c>
      <c r="N2577" s="48"/>
    </row>
    <row r="2578" spans="1:14" x14ac:dyDescent="0.45">
      <c r="A2578" s="3" t="s">
        <v>3715</v>
      </c>
      <c r="B2578" s="14">
        <v>39721</v>
      </c>
      <c r="C2578" s="7" t="s">
        <v>738</v>
      </c>
      <c r="D2578" s="51">
        <v>45881</v>
      </c>
      <c r="E2578" s="3" t="s">
        <v>4291</v>
      </c>
      <c r="F2578" s="3">
        <v>3</v>
      </c>
      <c r="N2578" s="48"/>
    </row>
    <row r="2579" spans="1:14" x14ac:dyDescent="0.45">
      <c r="A2579" s="3" t="s">
        <v>3715</v>
      </c>
      <c r="B2579" s="14">
        <v>39048</v>
      </c>
      <c r="C2579" s="7" t="s">
        <v>738</v>
      </c>
      <c r="D2579" s="51">
        <v>45839</v>
      </c>
      <c r="E2579" s="3" t="s">
        <v>4292</v>
      </c>
      <c r="F2579" s="3">
        <v>2</v>
      </c>
      <c r="N2579" s="48"/>
    </row>
    <row r="2580" spans="1:14" x14ac:dyDescent="0.45">
      <c r="A2580" s="3" t="s">
        <v>3715</v>
      </c>
      <c r="B2580" s="14">
        <v>39062</v>
      </c>
      <c r="C2580" s="7" t="s">
        <v>738</v>
      </c>
      <c r="D2580" s="51">
        <v>45840</v>
      </c>
      <c r="E2580" s="3" t="s">
        <v>4293</v>
      </c>
      <c r="F2580" s="3">
        <v>3</v>
      </c>
      <c r="N2580" s="48"/>
    </row>
    <row r="2581" spans="1:14" x14ac:dyDescent="0.45">
      <c r="A2581" s="3" t="s">
        <v>3715</v>
      </c>
      <c r="B2581" s="14">
        <v>39088</v>
      </c>
      <c r="C2581" s="7" t="s">
        <v>738</v>
      </c>
      <c r="D2581" s="51">
        <v>45841</v>
      </c>
      <c r="E2581" s="3" t="s">
        <v>4294</v>
      </c>
      <c r="F2581" s="3">
        <v>3</v>
      </c>
      <c r="N2581" s="48"/>
    </row>
    <row r="2582" spans="1:14" x14ac:dyDescent="0.45">
      <c r="A2582" s="3" t="s">
        <v>3715</v>
      </c>
      <c r="B2582" s="14">
        <v>39101</v>
      </c>
      <c r="C2582" s="7" t="s">
        <v>738</v>
      </c>
      <c r="D2582" s="51">
        <v>45842</v>
      </c>
      <c r="E2582" s="3" t="s">
        <v>4295</v>
      </c>
      <c r="F2582" s="3">
        <v>2</v>
      </c>
      <c r="N2582" s="48"/>
    </row>
    <row r="2583" spans="1:14" x14ac:dyDescent="0.45">
      <c r="A2583" s="3" t="s">
        <v>3715</v>
      </c>
      <c r="B2583" s="14">
        <v>39140</v>
      </c>
      <c r="C2583" s="7" t="s">
        <v>738</v>
      </c>
      <c r="D2583" s="51">
        <v>45844</v>
      </c>
      <c r="E2583" s="3" t="s">
        <v>4296</v>
      </c>
      <c r="F2583" s="3">
        <v>8</v>
      </c>
      <c r="N2583" s="48"/>
    </row>
    <row r="2584" spans="1:14" x14ac:dyDescent="0.45">
      <c r="A2584" s="3" t="s">
        <v>3715</v>
      </c>
      <c r="B2584" s="14">
        <v>39184</v>
      </c>
      <c r="C2584" s="7" t="s">
        <v>738</v>
      </c>
      <c r="D2584" s="51">
        <v>45845</v>
      </c>
      <c r="E2584" s="3" t="s">
        <v>4297</v>
      </c>
      <c r="F2584" s="3" t="s">
        <v>1041</v>
      </c>
      <c r="L2584" s="3" t="s">
        <v>1821</v>
      </c>
      <c r="N2584" s="48"/>
    </row>
    <row r="2585" spans="1:14" x14ac:dyDescent="0.45">
      <c r="A2585" s="3" t="s">
        <v>3715</v>
      </c>
      <c r="B2585" s="14">
        <v>39176</v>
      </c>
      <c r="C2585" s="7" t="s">
        <v>738</v>
      </c>
      <c r="D2585" s="51">
        <v>45846</v>
      </c>
      <c r="E2585" s="3" t="s">
        <v>4298</v>
      </c>
      <c r="F2585" s="3">
        <v>6</v>
      </c>
      <c r="N2585" s="48"/>
    </row>
    <row r="2586" spans="1:14" x14ac:dyDescent="0.45">
      <c r="A2586" s="3" t="s">
        <v>3715</v>
      </c>
      <c r="B2586" s="14">
        <v>39183</v>
      </c>
      <c r="C2586" s="7" t="s">
        <v>738</v>
      </c>
      <c r="D2586" s="51">
        <v>45847</v>
      </c>
      <c r="E2586" s="3" t="s">
        <v>4299</v>
      </c>
      <c r="F2586" s="3">
        <v>2</v>
      </c>
      <c r="N2586" s="48"/>
    </row>
    <row r="2587" spans="1:14" x14ac:dyDescent="0.45">
      <c r="A2587" s="3" t="s">
        <v>3715</v>
      </c>
      <c r="B2587" s="14">
        <v>39206</v>
      </c>
      <c r="C2587" s="7" t="s">
        <v>738</v>
      </c>
      <c r="D2587" s="51">
        <v>45848</v>
      </c>
      <c r="E2587" s="3" t="s">
        <v>4300</v>
      </c>
      <c r="F2587" s="3">
        <v>2</v>
      </c>
      <c r="N2587" s="48"/>
    </row>
    <row r="2588" spans="1:14" x14ac:dyDescent="0.45">
      <c r="A2588" s="3" t="s">
        <v>3715</v>
      </c>
      <c r="B2588" s="14">
        <v>39241</v>
      </c>
      <c r="C2588" s="7" t="s">
        <v>738</v>
      </c>
      <c r="D2588" s="51">
        <v>45849</v>
      </c>
      <c r="E2588" s="3" t="s">
        <v>4301</v>
      </c>
      <c r="F2588" s="3">
        <v>2</v>
      </c>
      <c r="N2588" s="48"/>
    </row>
    <row r="2589" spans="1:14" x14ac:dyDescent="0.45">
      <c r="A2589" s="3" t="s">
        <v>3715</v>
      </c>
      <c r="B2589" s="14">
        <v>39238</v>
      </c>
      <c r="C2589" s="7" t="s">
        <v>738</v>
      </c>
      <c r="D2589" s="51">
        <v>45850</v>
      </c>
      <c r="E2589" s="3" t="s">
        <v>4302</v>
      </c>
      <c r="F2589" s="3">
        <v>2</v>
      </c>
      <c r="N2589" s="48"/>
    </row>
    <row r="2590" spans="1:14" x14ac:dyDescent="0.45">
      <c r="A2590" s="3" t="s">
        <v>3715</v>
      </c>
      <c r="B2590" s="14">
        <v>39290</v>
      </c>
      <c r="C2590" s="7" t="s">
        <v>738</v>
      </c>
      <c r="D2590" s="51">
        <v>45851</v>
      </c>
      <c r="E2590" s="3" t="s">
        <v>4303</v>
      </c>
      <c r="F2590" s="3">
        <v>5</v>
      </c>
      <c r="N2590" s="48"/>
    </row>
    <row r="2591" spans="1:14" x14ac:dyDescent="0.45">
      <c r="A2591" s="3" t="s">
        <v>3715</v>
      </c>
      <c r="B2591" s="14">
        <v>39374</v>
      </c>
      <c r="C2591" s="7" t="s">
        <v>738</v>
      </c>
      <c r="D2591" s="51">
        <v>45852</v>
      </c>
      <c r="E2591" s="3" t="s">
        <v>4304</v>
      </c>
      <c r="F2591" s="3">
        <v>13</v>
      </c>
      <c r="N2591" s="48"/>
    </row>
    <row r="2592" spans="1:14" x14ac:dyDescent="0.45">
      <c r="A2592" s="3" t="s">
        <v>3715</v>
      </c>
      <c r="B2592" s="14">
        <v>39335</v>
      </c>
      <c r="C2592" s="7" t="s">
        <v>738</v>
      </c>
      <c r="D2592" s="51">
        <v>45853</v>
      </c>
      <c r="E2592" s="3" t="s">
        <v>4305</v>
      </c>
      <c r="F2592" s="3">
        <v>3</v>
      </c>
      <c r="N2592" s="48"/>
    </row>
    <row r="2593" spans="1:14" x14ac:dyDescent="0.45">
      <c r="A2593" s="3" t="s">
        <v>3715</v>
      </c>
      <c r="B2593" s="14">
        <v>39339</v>
      </c>
      <c r="C2593" s="7" t="s">
        <v>738</v>
      </c>
      <c r="D2593" s="51">
        <v>45854</v>
      </c>
      <c r="E2593" s="3" t="s">
        <v>4306</v>
      </c>
      <c r="F2593" s="3">
        <v>2</v>
      </c>
      <c r="N2593" s="48"/>
    </row>
    <row r="2594" spans="1:14" x14ac:dyDescent="0.45">
      <c r="A2594" s="3" t="s">
        <v>3715</v>
      </c>
      <c r="B2594" s="14">
        <v>39354</v>
      </c>
      <c r="C2594" s="7" t="s">
        <v>738</v>
      </c>
      <c r="D2594" s="51">
        <v>45855</v>
      </c>
      <c r="E2594" s="3" t="s">
        <v>4307</v>
      </c>
      <c r="F2594" s="3">
        <v>3</v>
      </c>
      <c r="N2594" s="48"/>
    </row>
    <row r="2595" spans="1:14" x14ac:dyDescent="0.45">
      <c r="A2595" s="3" t="s">
        <v>3715</v>
      </c>
      <c r="B2595" s="14">
        <v>38707</v>
      </c>
      <c r="C2595" s="7" t="s">
        <v>738</v>
      </c>
      <c r="D2595" s="51">
        <v>45809</v>
      </c>
      <c r="E2595" s="3" t="s">
        <v>4308</v>
      </c>
      <c r="F2595" s="3">
        <v>2</v>
      </c>
      <c r="N2595" s="48"/>
    </row>
    <row r="2596" spans="1:14" x14ac:dyDescent="0.45">
      <c r="A2596" s="3" t="s">
        <v>3715</v>
      </c>
      <c r="B2596" s="14">
        <v>38722</v>
      </c>
      <c r="C2596" s="7" t="s">
        <v>738</v>
      </c>
      <c r="D2596" s="51">
        <v>45811</v>
      </c>
      <c r="E2596" s="3" t="s">
        <v>4309</v>
      </c>
      <c r="F2596" s="3">
        <v>2</v>
      </c>
      <c r="N2596" s="48"/>
    </row>
    <row r="2597" spans="1:14" x14ac:dyDescent="0.45">
      <c r="A2597" s="3" t="s">
        <v>3715</v>
      </c>
      <c r="B2597" s="14">
        <v>38735</v>
      </c>
      <c r="C2597" s="7" t="s">
        <v>738</v>
      </c>
      <c r="D2597" s="51">
        <v>45812</v>
      </c>
      <c r="E2597" s="3" t="s">
        <v>4310</v>
      </c>
      <c r="F2597" s="3">
        <v>2</v>
      </c>
      <c r="N2597" s="48"/>
    </row>
    <row r="2598" spans="1:14" x14ac:dyDescent="0.45">
      <c r="A2598" s="3" t="s">
        <v>3715</v>
      </c>
      <c r="B2598" s="14">
        <v>38737</v>
      </c>
      <c r="C2598" s="7" t="s">
        <v>738</v>
      </c>
      <c r="D2598" s="51">
        <v>45813</v>
      </c>
      <c r="E2598" s="3" t="s">
        <v>4311</v>
      </c>
      <c r="F2598" s="3">
        <v>2</v>
      </c>
      <c r="N2598" s="48"/>
    </row>
    <row r="2599" spans="1:14" x14ac:dyDescent="0.45">
      <c r="A2599" s="3" t="s">
        <v>3715</v>
      </c>
      <c r="B2599" s="14">
        <v>38769</v>
      </c>
      <c r="C2599" s="7" t="s">
        <v>738</v>
      </c>
      <c r="D2599" s="51">
        <v>45815</v>
      </c>
      <c r="E2599" s="3" t="s">
        <v>4312</v>
      </c>
      <c r="F2599" s="3">
        <v>2</v>
      </c>
      <c r="N2599" s="48"/>
    </row>
    <row r="2600" spans="1:14" x14ac:dyDescent="0.45">
      <c r="A2600" s="3" t="s">
        <v>3715</v>
      </c>
      <c r="B2600" s="14">
        <v>38792</v>
      </c>
      <c r="C2600" s="7" t="s">
        <v>738</v>
      </c>
      <c r="D2600" s="51">
        <v>45816</v>
      </c>
      <c r="E2600" s="3" t="s">
        <v>4313</v>
      </c>
      <c r="F2600" s="3">
        <v>2</v>
      </c>
      <c r="N2600" s="48"/>
    </row>
    <row r="2601" spans="1:14" x14ac:dyDescent="0.45">
      <c r="A2601" s="3" t="s">
        <v>3715</v>
      </c>
      <c r="B2601" s="14">
        <v>38793</v>
      </c>
      <c r="C2601" s="7" t="s">
        <v>738</v>
      </c>
      <c r="D2601" s="51">
        <v>45817</v>
      </c>
      <c r="E2601" s="3" t="s">
        <v>4314</v>
      </c>
      <c r="F2601" s="3">
        <v>2</v>
      </c>
      <c r="N2601" s="48"/>
    </row>
    <row r="2602" spans="1:14" x14ac:dyDescent="0.45">
      <c r="A2602" s="3" t="s">
        <v>3715</v>
      </c>
      <c r="B2602" s="14">
        <v>38793</v>
      </c>
      <c r="C2602" s="7" t="s">
        <v>738</v>
      </c>
      <c r="D2602" s="51">
        <v>45818</v>
      </c>
      <c r="E2602" s="3" t="s">
        <v>4315</v>
      </c>
      <c r="F2602" s="3">
        <v>3</v>
      </c>
      <c r="N2602" s="48"/>
    </row>
    <row r="2603" spans="1:14" x14ac:dyDescent="0.45">
      <c r="A2603" s="3" t="s">
        <v>3715</v>
      </c>
      <c r="B2603" s="14">
        <v>38798</v>
      </c>
      <c r="C2603" s="7" t="s">
        <v>738</v>
      </c>
      <c r="D2603" s="51">
        <v>45819</v>
      </c>
      <c r="E2603" s="3" t="s">
        <v>4316</v>
      </c>
      <c r="F2603" s="3">
        <v>2</v>
      </c>
      <c r="N2603" s="48"/>
    </row>
    <row r="2604" spans="1:14" x14ac:dyDescent="0.45">
      <c r="A2604" s="3" t="s">
        <v>3715</v>
      </c>
      <c r="B2604" s="14">
        <v>38814</v>
      </c>
      <c r="C2604" s="7" t="s">
        <v>738</v>
      </c>
      <c r="D2604" s="51">
        <v>45820</v>
      </c>
      <c r="E2604" s="3" t="s">
        <v>4317</v>
      </c>
      <c r="F2604" s="3">
        <v>2</v>
      </c>
      <c r="N2604" s="48"/>
    </row>
    <row r="2605" spans="1:14" x14ac:dyDescent="0.45">
      <c r="A2605" s="3" t="s">
        <v>3715</v>
      </c>
      <c r="B2605" s="14">
        <v>38814</v>
      </c>
      <c r="C2605" s="7" t="s">
        <v>738</v>
      </c>
      <c r="D2605" s="51">
        <v>45821</v>
      </c>
      <c r="E2605" s="3" t="s">
        <v>4318</v>
      </c>
      <c r="F2605" s="3">
        <v>2</v>
      </c>
      <c r="N2605" s="48"/>
    </row>
    <row r="2606" spans="1:14" x14ac:dyDescent="0.45">
      <c r="A2606" s="3" t="s">
        <v>3715</v>
      </c>
      <c r="B2606" s="14">
        <v>38856</v>
      </c>
      <c r="C2606" s="7" t="s">
        <v>738</v>
      </c>
      <c r="D2606" s="51">
        <v>45822</v>
      </c>
      <c r="E2606" s="3" t="s">
        <v>4319</v>
      </c>
      <c r="F2606" s="3">
        <v>2</v>
      </c>
      <c r="N2606" s="48"/>
    </row>
    <row r="2607" spans="1:14" x14ac:dyDescent="0.45">
      <c r="A2607" s="3" t="s">
        <v>3715</v>
      </c>
      <c r="B2607" s="14">
        <v>38856</v>
      </c>
      <c r="C2607" s="7" t="s">
        <v>738</v>
      </c>
      <c r="D2607" s="51">
        <v>45823</v>
      </c>
      <c r="E2607" s="3" t="s">
        <v>4320</v>
      </c>
      <c r="F2607" s="3">
        <v>2</v>
      </c>
      <c r="N2607" s="48"/>
    </row>
    <row r="2608" spans="1:14" x14ac:dyDescent="0.45">
      <c r="A2608" s="3" t="s">
        <v>3715</v>
      </c>
      <c r="B2608" s="14">
        <v>38884</v>
      </c>
      <c r="C2608" s="7" t="s">
        <v>738</v>
      </c>
      <c r="D2608" s="51">
        <v>45825</v>
      </c>
      <c r="E2608" s="3" t="s">
        <v>4321</v>
      </c>
      <c r="F2608" s="3">
        <v>2</v>
      </c>
      <c r="N2608" s="48"/>
    </row>
    <row r="2609" spans="1:14" x14ac:dyDescent="0.45">
      <c r="A2609" s="3" t="s">
        <v>3715</v>
      </c>
      <c r="B2609" s="14">
        <v>38973</v>
      </c>
      <c r="C2609" s="7" t="s">
        <v>738</v>
      </c>
      <c r="D2609" s="51">
        <v>45827</v>
      </c>
      <c r="E2609" s="3" t="s">
        <v>4322</v>
      </c>
      <c r="F2609" s="3">
        <v>2</v>
      </c>
      <c r="N2609" s="48"/>
    </row>
    <row r="2610" spans="1:14" x14ac:dyDescent="0.45">
      <c r="A2610" s="3" t="s">
        <v>3715</v>
      </c>
      <c r="B2610" s="14">
        <v>39023</v>
      </c>
      <c r="C2610" s="7" t="s">
        <v>738</v>
      </c>
      <c r="D2610" s="51">
        <v>45828</v>
      </c>
      <c r="E2610" s="3" t="s">
        <v>4323</v>
      </c>
      <c r="F2610" s="3">
        <v>2</v>
      </c>
      <c r="N2610" s="48"/>
    </row>
    <row r="2611" spans="1:14" x14ac:dyDescent="0.45">
      <c r="A2611" s="3" t="s">
        <v>3715</v>
      </c>
      <c r="B2611" s="14">
        <v>38388</v>
      </c>
      <c r="C2611" s="7" t="s">
        <v>738</v>
      </c>
      <c r="D2611" s="51">
        <v>45778</v>
      </c>
      <c r="E2611" s="3" t="s">
        <v>4324</v>
      </c>
      <c r="F2611" s="3">
        <v>2</v>
      </c>
      <c r="N2611" s="48"/>
    </row>
    <row r="2612" spans="1:14" x14ac:dyDescent="0.45">
      <c r="A2612" s="3" t="s">
        <v>3715</v>
      </c>
      <c r="B2612" s="14">
        <v>38379</v>
      </c>
      <c r="C2612" s="7" t="s">
        <v>738</v>
      </c>
      <c r="D2612" s="51">
        <v>45779</v>
      </c>
      <c r="E2612" s="3" t="s">
        <v>4325</v>
      </c>
      <c r="F2612" s="3">
        <v>4</v>
      </c>
      <c r="N2612" s="48"/>
    </row>
    <row r="2613" spans="1:14" x14ac:dyDescent="0.45">
      <c r="A2613" s="3" t="s">
        <v>3715</v>
      </c>
      <c r="B2613" s="14">
        <v>38412</v>
      </c>
      <c r="C2613" s="7" t="s">
        <v>738</v>
      </c>
      <c r="D2613" s="51">
        <v>45780</v>
      </c>
      <c r="E2613" s="3" t="s">
        <v>4326</v>
      </c>
      <c r="F2613" s="3">
        <v>3</v>
      </c>
      <c r="N2613" s="48"/>
    </row>
    <row r="2614" spans="1:14" x14ac:dyDescent="0.45">
      <c r="A2614" s="3" t="s">
        <v>3715</v>
      </c>
      <c r="B2614" s="14">
        <v>38435</v>
      </c>
      <c r="C2614" s="7" t="s">
        <v>738</v>
      </c>
      <c r="D2614" s="51">
        <v>45781</v>
      </c>
      <c r="E2614" s="3" t="s">
        <v>4327</v>
      </c>
      <c r="F2614" s="3">
        <v>2</v>
      </c>
      <c r="N2614" s="48"/>
    </row>
    <row r="2615" spans="1:14" x14ac:dyDescent="0.45">
      <c r="A2615" s="3" t="s">
        <v>3715</v>
      </c>
      <c r="B2615" s="14">
        <v>38474</v>
      </c>
      <c r="C2615" s="7" t="s">
        <v>738</v>
      </c>
      <c r="D2615" s="51">
        <v>45782</v>
      </c>
      <c r="E2615" s="3" t="s">
        <v>4300</v>
      </c>
      <c r="F2615" s="3">
        <v>2</v>
      </c>
      <c r="N2615" s="48"/>
    </row>
    <row r="2616" spans="1:14" x14ac:dyDescent="0.45">
      <c r="A2616" s="3" t="s">
        <v>3715</v>
      </c>
      <c r="B2616" s="14">
        <v>38488</v>
      </c>
      <c r="C2616" s="7" t="s">
        <v>738</v>
      </c>
      <c r="D2616" s="51">
        <v>45783</v>
      </c>
      <c r="E2616" s="3" t="s">
        <v>4328</v>
      </c>
      <c r="F2616" s="3">
        <v>2</v>
      </c>
      <c r="N2616" s="48"/>
    </row>
    <row r="2617" spans="1:14" x14ac:dyDescent="0.45">
      <c r="A2617" s="3" t="s">
        <v>3715</v>
      </c>
      <c r="B2617" s="14">
        <v>38497</v>
      </c>
      <c r="C2617" s="7" t="s">
        <v>738</v>
      </c>
      <c r="D2617" s="51">
        <v>45784</v>
      </c>
      <c r="E2617" s="3" t="s">
        <v>4329</v>
      </c>
      <c r="F2617" s="3">
        <v>2</v>
      </c>
      <c r="N2617" s="48"/>
    </row>
    <row r="2618" spans="1:14" x14ac:dyDescent="0.45">
      <c r="A2618" s="3" t="s">
        <v>3715</v>
      </c>
      <c r="B2618" s="14">
        <v>38476</v>
      </c>
      <c r="C2618" s="7" t="s">
        <v>738</v>
      </c>
      <c r="D2618" s="51">
        <v>45785</v>
      </c>
      <c r="E2618" s="3" t="s">
        <v>4299</v>
      </c>
      <c r="F2618" s="3">
        <v>2</v>
      </c>
      <c r="N2618" s="48"/>
    </row>
    <row r="2619" spans="1:14" x14ac:dyDescent="0.45">
      <c r="A2619" s="3" t="s">
        <v>3715</v>
      </c>
      <c r="B2619" s="14">
        <v>38495</v>
      </c>
      <c r="C2619" s="7" t="s">
        <v>738</v>
      </c>
      <c r="D2619" s="51">
        <v>45786</v>
      </c>
      <c r="E2619" s="3" t="s">
        <v>4330</v>
      </c>
      <c r="F2619" s="3">
        <v>2</v>
      </c>
      <c r="N2619" s="48"/>
    </row>
    <row r="2620" spans="1:14" x14ac:dyDescent="0.45">
      <c r="A2620" s="3" t="s">
        <v>3715</v>
      </c>
      <c r="B2620" s="14">
        <v>38504</v>
      </c>
      <c r="C2620" s="7" t="s">
        <v>738</v>
      </c>
      <c r="D2620" s="51">
        <v>45787</v>
      </c>
      <c r="E2620" s="3" t="s">
        <v>4331</v>
      </c>
      <c r="F2620" s="3">
        <v>2</v>
      </c>
      <c r="N2620" s="48"/>
    </row>
    <row r="2621" spans="1:14" x14ac:dyDescent="0.45">
      <c r="A2621" s="3" t="s">
        <v>3715</v>
      </c>
      <c r="B2621" s="14">
        <v>38525</v>
      </c>
      <c r="C2621" s="7" t="s">
        <v>738</v>
      </c>
      <c r="D2621" s="51">
        <v>45788</v>
      </c>
      <c r="E2621" s="3" t="s">
        <v>4302</v>
      </c>
      <c r="F2621" s="3">
        <v>2</v>
      </c>
      <c r="N2621" s="48"/>
    </row>
    <row r="2622" spans="1:14" x14ac:dyDescent="0.45">
      <c r="A2622" s="3" t="s">
        <v>3715</v>
      </c>
      <c r="B2622" s="14">
        <v>38509</v>
      </c>
      <c r="C2622" s="7" t="s">
        <v>738</v>
      </c>
      <c r="D2622" s="51">
        <v>45789</v>
      </c>
      <c r="E2622" s="3" t="s">
        <v>4332</v>
      </c>
      <c r="F2622" s="3">
        <v>2</v>
      </c>
      <c r="N2622" s="48"/>
    </row>
    <row r="2623" spans="1:14" x14ac:dyDescent="0.45">
      <c r="A2623" s="3" t="s">
        <v>3715</v>
      </c>
      <c r="B2623" s="14">
        <v>38513</v>
      </c>
      <c r="C2623" s="7" t="s">
        <v>738</v>
      </c>
      <c r="D2623" s="51">
        <v>45790</v>
      </c>
      <c r="E2623" s="3" t="s">
        <v>4333</v>
      </c>
      <c r="F2623" s="3">
        <v>2</v>
      </c>
      <c r="N2623" s="48"/>
    </row>
    <row r="2624" spans="1:14" x14ac:dyDescent="0.45">
      <c r="A2624" s="3" t="s">
        <v>3715</v>
      </c>
      <c r="B2624" s="14">
        <v>38520</v>
      </c>
      <c r="C2624" s="7" t="s">
        <v>738</v>
      </c>
      <c r="D2624" s="51">
        <v>45792</v>
      </c>
      <c r="E2624" s="3" t="s">
        <v>4334</v>
      </c>
      <c r="F2624" s="3">
        <v>2</v>
      </c>
      <c r="N2624" s="48"/>
    </row>
    <row r="2625" spans="1:14" x14ac:dyDescent="0.45">
      <c r="A2625" s="3" t="s">
        <v>3715</v>
      </c>
      <c r="B2625" s="14">
        <v>38556</v>
      </c>
      <c r="C2625" s="7" t="s">
        <v>738</v>
      </c>
      <c r="D2625" s="51">
        <v>45793</v>
      </c>
      <c r="E2625" s="3" t="s">
        <v>4335</v>
      </c>
      <c r="F2625" s="3">
        <v>2</v>
      </c>
      <c r="N2625" s="48"/>
    </row>
    <row r="2626" spans="1:14" x14ac:dyDescent="0.45">
      <c r="A2626" s="3" t="s">
        <v>3715</v>
      </c>
      <c r="B2626" s="14">
        <v>38547</v>
      </c>
      <c r="C2626" s="7" t="s">
        <v>738</v>
      </c>
      <c r="D2626" s="51">
        <v>45794</v>
      </c>
      <c r="E2626" s="3" t="s">
        <v>4242</v>
      </c>
      <c r="F2626" s="3">
        <v>2</v>
      </c>
      <c r="N2626" s="48"/>
    </row>
    <row r="2627" spans="1:14" x14ac:dyDescent="0.45">
      <c r="A2627" s="3" t="s">
        <v>3715</v>
      </c>
      <c r="B2627" s="14">
        <v>38566</v>
      </c>
      <c r="C2627" s="7" t="s">
        <v>738</v>
      </c>
      <c r="D2627" s="51">
        <v>45795</v>
      </c>
      <c r="E2627" s="3" t="s">
        <v>4336</v>
      </c>
      <c r="F2627" s="3">
        <v>2</v>
      </c>
      <c r="N2627" s="48"/>
    </row>
    <row r="2628" spans="1:14" x14ac:dyDescent="0.45">
      <c r="A2628" s="3" t="s">
        <v>3715</v>
      </c>
      <c r="B2628" s="14">
        <v>38574</v>
      </c>
      <c r="C2628" s="7" t="s">
        <v>738</v>
      </c>
      <c r="D2628" s="51">
        <v>45796</v>
      </c>
      <c r="E2628" s="3" t="s">
        <v>4337</v>
      </c>
      <c r="F2628" s="3">
        <v>2</v>
      </c>
      <c r="N2628" s="48"/>
    </row>
    <row r="2629" spans="1:14" x14ac:dyDescent="0.45">
      <c r="A2629" s="3" t="s">
        <v>3715</v>
      </c>
      <c r="B2629" s="14">
        <v>38611</v>
      </c>
      <c r="C2629" s="7" t="s">
        <v>738</v>
      </c>
      <c r="D2629" s="51">
        <v>45797</v>
      </c>
      <c r="E2629" s="3" t="s">
        <v>4338</v>
      </c>
      <c r="F2629" s="3">
        <v>3</v>
      </c>
      <c r="N2629" s="48"/>
    </row>
    <row r="2630" spans="1:14" x14ac:dyDescent="0.45">
      <c r="A2630" s="3" t="s">
        <v>3715</v>
      </c>
      <c r="B2630" s="14">
        <v>38596</v>
      </c>
      <c r="C2630" s="7" t="s">
        <v>738</v>
      </c>
      <c r="D2630" s="51">
        <v>45798</v>
      </c>
      <c r="E2630" s="3" t="s">
        <v>4339</v>
      </c>
      <c r="F2630" s="3">
        <v>2</v>
      </c>
      <c r="N2630" s="48"/>
    </row>
    <row r="2631" spans="1:14" x14ac:dyDescent="0.45">
      <c r="A2631" s="3" t="s">
        <v>3715</v>
      </c>
      <c r="B2631" s="14">
        <v>38597</v>
      </c>
      <c r="C2631" s="7" t="s">
        <v>738</v>
      </c>
      <c r="D2631" s="51">
        <v>45799</v>
      </c>
      <c r="E2631" s="3" t="s">
        <v>4340</v>
      </c>
      <c r="F2631" s="3">
        <v>2</v>
      </c>
      <c r="N2631" s="48"/>
    </row>
    <row r="2632" spans="1:14" x14ac:dyDescent="0.45">
      <c r="A2632" s="3" t="s">
        <v>3715</v>
      </c>
      <c r="B2632" s="14">
        <v>38597</v>
      </c>
      <c r="C2632" s="7" t="s">
        <v>738</v>
      </c>
      <c r="D2632" s="51">
        <v>45800</v>
      </c>
      <c r="E2632" s="3" t="s">
        <v>4341</v>
      </c>
      <c r="F2632" s="3">
        <v>2</v>
      </c>
      <c r="N2632" s="48"/>
    </row>
    <row r="2633" spans="1:14" x14ac:dyDescent="0.45">
      <c r="A2633" s="3" t="s">
        <v>3715</v>
      </c>
      <c r="B2633" s="14">
        <v>38604</v>
      </c>
      <c r="C2633" s="7" t="s">
        <v>738</v>
      </c>
      <c r="D2633" s="51">
        <v>45801</v>
      </c>
      <c r="E2633" s="3" t="s">
        <v>4342</v>
      </c>
      <c r="F2633" s="3">
        <v>3</v>
      </c>
      <c r="N2633" s="48"/>
    </row>
    <row r="2634" spans="1:14" x14ac:dyDescent="0.45">
      <c r="A2634" s="3" t="s">
        <v>3715</v>
      </c>
      <c r="B2634" s="14">
        <v>38615</v>
      </c>
      <c r="C2634" s="7" t="s">
        <v>738</v>
      </c>
      <c r="D2634" s="51">
        <v>45802</v>
      </c>
      <c r="E2634" s="3" t="s">
        <v>4343</v>
      </c>
      <c r="F2634" s="3">
        <v>2</v>
      </c>
      <c r="N2634" s="48"/>
    </row>
    <row r="2635" spans="1:14" x14ac:dyDescent="0.45">
      <c r="A2635" s="3" t="s">
        <v>3715</v>
      </c>
      <c r="B2635" s="14">
        <v>38611</v>
      </c>
      <c r="C2635" s="7" t="s">
        <v>738</v>
      </c>
      <c r="D2635" s="17" t="s">
        <v>4344</v>
      </c>
      <c r="E2635" s="3" t="s">
        <v>4333</v>
      </c>
      <c r="F2635" s="3">
        <v>2</v>
      </c>
      <c r="N2635" s="48"/>
    </row>
    <row r="2636" spans="1:14" x14ac:dyDescent="0.45">
      <c r="A2636" s="3" t="s">
        <v>3715</v>
      </c>
      <c r="B2636" s="14">
        <v>38615</v>
      </c>
      <c r="C2636" s="7" t="s">
        <v>738</v>
      </c>
      <c r="D2636" s="51">
        <v>45803</v>
      </c>
      <c r="E2636" s="3" t="s">
        <v>4345</v>
      </c>
      <c r="F2636" s="3">
        <v>2</v>
      </c>
      <c r="N2636" s="48"/>
    </row>
    <row r="2637" spans="1:14" x14ac:dyDescent="0.45">
      <c r="A2637" s="3" t="s">
        <v>3715</v>
      </c>
      <c r="B2637" s="14">
        <v>38615</v>
      </c>
      <c r="C2637" s="7" t="s">
        <v>738</v>
      </c>
      <c r="D2637" s="51">
        <v>45804</v>
      </c>
      <c r="E2637" s="3" t="s">
        <v>4346</v>
      </c>
      <c r="F2637" s="3">
        <v>2</v>
      </c>
      <c r="N2637" s="48"/>
    </row>
    <row r="2638" spans="1:14" x14ac:dyDescent="0.45">
      <c r="A2638" s="3" t="s">
        <v>3715</v>
      </c>
      <c r="B2638" s="14">
        <v>38623</v>
      </c>
      <c r="C2638" s="7" t="s">
        <v>738</v>
      </c>
      <c r="D2638" s="51">
        <v>45805</v>
      </c>
      <c r="E2638" s="3" t="s">
        <v>4347</v>
      </c>
      <c r="F2638" s="3">
        <v>2</v>
      </c>
      <c r="N2638" s="48"/>
    </row>
    <row r="2639" spans="1:14" x14ac:dyDescent="0.45">
      <c r="A2639" s="3" t="s">
        <v>3715</v>
      </c>
      <c r="B2639" s="14">
        <v>38636</v>
      </c>
      <c r="C2639" s="7" t="s">
        <v>738</v>
      </c>
      <c r="D2639" s="51">
        <v>45807</v>
      </c>
      <c r="E2639" s="3" t="s">
        <v>4348</v>
      </c>
      <c r="F2639" s="3">
        <v>4</v>
      </c>
      <c r="N2639" s="48"/>
    </row>
    <row r="2640" spans="1:14" x14ac:dyDescent="0.45">
      <c r="A2640" s="3" t="s">
        <v>3715</v>
      </c>
      <c r="B2640" s="14">
        <v>38639</v>
      </c>
      <c r="C2640" s="7" t="s">
        <v>738</v>
      </c>
      <c r="D2640" s="51">
        <v>45808</v>
      </c>
      <c r="E2640" s="3" t="s">
        <v>4349</v>
      </c>
      <c r="F2640" s="3">
        <v>2</v>
      </c>
      <c r="N2640" s="48"/>
    </row>
    <row r="2641" spans="1:14" x14ac:dyDescent="0.45">
      <c r="A2641" s="3" t="s">
        <v>3715</v>
      </c>
      <c r="B2641" s="14">
        <v>38638</v>
      </c>
      <c r="C2641" s="7" t="s">
        <v>738</v>
      </c>
      <c r="D2641" s="50" t="s">
        <v>4350</v>
      </c>
      <c r="E2641" s="3" t="s">
        <v>4351</v>
      </c>
      <c r="F2641" s="3">
        <v>6</v>
      </c>
      <c r="N2641" s="48"/>
    </row>
    <row r="2642" spans="1:14" x14ac:dyDescent="0.45">
      <c r="A2642" s="3" t="s">
        <v>3715</v>
      </c>
      <c r="B2642" s="14">
        <v>38651</v>
      </c>
      <c r="C2642" s="7" t="s">
        <v>738</v>
      </c>
      <c r="D2642" s="50" t="s">
        <v>4352</v>
      </c>
      <c r="E2642" s="3" t="s">
        <v>4353</v>
      </c>
      <c r="F2642" s="3">
        <v>2</v>
      </c>
      <c r="N2642" s="48"/>
    </row>
    <row r="2643" spans="1:14" x14ac:dyDescent="0.45">
      <c r="A2643" s="3" t="s">
        <v>3715</v>
      </c>
      <c r="B2643" s="14">
        <v>38057</v>
      </c>
      <c r="C2643" s="7" t="s">
        <v>738</v>
      </c>
      <c r="D2643" s="51">
        <v>45749</v>
      </c>
      <c r="E2643" s="3" t="s">
        <v>4354</v>
      </c>
      <c r="F2643" s="3">
        <v>2</v>
      </c>
      <c r="N2643" s="48"/>
    </row>
    <row r="2644" spans="1:14" x14ac:dyDescent="0.45">
      <c r="A2644" s="3" t="s">
        <v>3715</v>
      </c>
      <c r="B2644" s="14">
        <v>38051</v>
      </c>
      <c r="C2644" s="7" t="s">
        <v>738</v>
      </c>
      <c r="D2644" s="51">
        <v>45750</v>
      </c>
      <c r="E2644" s="3" t="s">
        <v>4355</v>
      </c>
      <c r="F2644" s="3">
        <v>2</v>
      </c>
      <c r="N2644" s="48"/>
    </row>
    <row r="2645" spans="1:14" x14ac:dyDescent="0.45">
      <c r="A2645" s="3" t="s">
        <v>3715</v>
      </c>
      <c r="B2645" s="14">
        <v>38049</v>
      </c>
      <c r="C2645" s="7" t="s">
        <v>738</v>
      </c>
      <c r="D2645" s="51">
        <v>45751</v>
      </c>
      <c r="E2645" s="3" t="s">
        <v>4356</v>
      </c>
      <c r="F2645" s="3">
        <v>2</v>
      </c>
      <c r="N2645" s="48"/>
    </row>
    <row r="2646" spans="1:14" x14ac:dyDescent="0.45">
      <c r="A2646" s="3" t="s">
        <v>3715</v>
      </c>
      <c r="B2646" s="14">
        <v>38055</v>
      </c>
      <c r="C2646" s="7" t="s">
        <v>738</v>
      </c>
      <c r="D2646" s="51">
        <v>45752</v>
      </c>
      <c r="E2646" s="3" t="s">
        <v>4357</v>
      </c>
      <c r="F2646" s="3">
        <v>2</v>
      </c>
      <c r="N2646" s="48"/>
    </row>
    <row r="2647" spans="1:14" x14ac:dyDescent="0.45">
      <c r="A2647" s="3" t="s">
        <v>3715</v>
      </c>
      <c r="B2647" s="14">
        <v>38065</v>
      </c>
      <c r="C2647" s="7" t="s">
        <v>738</v>
      </c>
      <c r="D2647" s="51">
        <v>45753</v>
      </c>
      <c r="E2647" s="3" t="s">
        <v>4358</v>
      </c>
      <c r="F2647" s="3" t="s">
        <v>1041</v>
      </c>
      <c r="L2647" s="3" t="s">
        <v>1821</v>
      </c>
      <c r="N2647" s="48"/>
    </row>
    <row r="2648" spans="1:14" x14ac:dyDescent="0.45">
      <c r="A2648" s="3" t="s">
        <v>3715</v>
      </c>
      <c r="B2648" s="14">
        <v>38069</v>
      </c>
      <c r="C2648" s="7" t="s">
        <v>738</v>
      </c>
      <c r="D2648" s="51">
        <v>45754</v>
      </c>
      <c r="E2648" s="3" t="s">
        <v>4359</v>
      </c>
      <c r="F2648" s="3">
        <v>2</v>
      </c>
      <c r="N2648" s="48"/>
    </row>
    <row r="2649" spans="1:14" x14ac:dyDescent="0.45">
      <c r="A2649" s="3" t="s">
        <v>3715</v>
      </c>
      <c r="B2649" s="14">
        <v>38077</v>
      </c>
      <c r="C2649" s="7" t="s">
        <v>738</v>
      </c>
      <c r="D2649" s="51">
        <v>45755</v>
      </c>
      <c r="E2649" s="3" t="s">
        <v>4360</v>
      </c>
      <c r="F2649" s="3">
        <v>2</v>
      </c>
      <c r="N2649" s="48"/>
    </row>
    <row r="2650" spans="1:14" x14ac:dyDescent="0.45">
      <c r="A2650" s="3" t="s">
        <v>3715</v>
      </c>
      <c r="B2650" s="14">
        <v>38086</v>
      </c>
      <c r="C2650" s="7" t="s">
        <v>738</v>
      </c>
      <c r="D2650" s="51">
        <v>45756</v>
      </c>
      <c r="E2650" s="3" t="s">
        <v>4361</v>
      </c>
      <c r="F2650" s="3">
        <v>2</v>
      </c>
      <c r="N2650" s="48"/>
    </row>
    <row r="2651" spans="1:14" x14ac:dyDescent="0.45">
      <c r="A2651" s="3" t="s">
        <v>3715</v>
      </c>
      <c r="B2651" s="14">
        <v>38135</v>
      </c>
      <c r="C2651" s="7" t="s">
        <v>738</v>
      </c>
      <c r="D2651" s="51">
        <v>45757</v>
      </c>
      <c r="E2651" s="3" t="s">
        <v>4362</v>
      </c>
      <c r="F2651" s="3">
        <v>2</v>
      </c>
      <c r="N2651" s="48"/>
    </row>
    <row r="2652" spans="1:14" x14ac:dyDescent="0.45">
      <c r="A2652" s="3" t="s">
        <v>3715</v>
      </c>
      <c r="B2652" s="14">
        <v>38147</v>
      </c>
      <c r="C2652" s="7" t="s">
        <v>738</v>
      </c>
      <c r="D2652" s="51">
        <v>45758</v>
      </c>
      <c r="E2652" s="3" t="s">
        <v>4363</v>
      </c>
      <c r="F2652" s="3">
        <v>2</v>
      </c>
      <c r="N2652" s="48"/>
    </row>
    <row r="2653" spans="1:14" x14ac:dyDescent="0.45">
      <c r="A2653" s="3" t="s">
        <v>3715</v>
      </c>
      <c r="B2653" s="14">
        <v>38156</v>
      </c>
      <c r="C2653" s="7" t="s">
        <v>738</v>
      </c>
      <c r="D2653" s="51">
        <v>45759</v>
      </c>
      <c r="E2653" s="3" t="s">
        <v>4364</v>
      </c>
      <c r="F2653" s="3" t="s">
        <v>1041</v>
      </c>
      <c r="L2653" s="3" t="s">
        <v>1951</v>
      </c>
      <c r="N2653" s="48"/>
    </row>
    <row r="2654" spans="1:14" x14ac:dyDescent="0.45">
      <c r="A2654" s="3" t="s">
        <v>3715</v>
      </c>
      <c r="B2654" s="14">
        <v>38163</v>
      </c>
      <c r="C2654" s="7" t="s">
        <v>738</v>
      </c>
      <c r="D2654" s="51">
        <v>45760</v>
      </c>
      <c r="E2654" s="3" t="s">
        <v>4365</v>
      </c>
      <c r="F2654" s="3">
        <v>2</v>
      </c>
      <c r="N2654" s="48"/>
    </row>
    <row r="2655" spans="1:14" x14ac:dyDescent="0.45">
      <c r="A2655" s="3" t="s">
        <v>3715</v>
      </c>
      <c r="B2655" s="14">
        <v>38205</v>
      </c>
      <c r="C2655" s="7" t="s">
        <v>738</v>
      </c>
      <c r="D2655" s="51">
        <v>45761</v>
      </c>
      <c r="E2655" s="3" t="s">
        <v>4366</v>
      </c>
      <c r="F2655" s="3">
        <v>3</v>
      </c>
      <c r="N2655" s="48"/>
    </row>
    <row r="2656" spans="1:14" x14ac:dyDescent="0.45">
      <c r="A2656" s="3" t="s">
        <v>3715</v>
      </c>
      <c r="B2656" s="14">
        <v>38205</v>
      </c>
      <c r="C2656" s="7" t="s">
        <v>738</v>
      </c>
      <c r="D2656" s="51">
        <v>45762</v>
      </c>
      <c r="E2656" s="3" t="s">
        <v>4367</v>
      </c>
      <c r="F2656" s="3">
        <v>2</v>
      </c>
      <c r="N2656" s="48"/>
    </row>
    <row r="2657" spans="1:14" x14ac:dyDescent="0.45">
      <c r="A2657" s="3" t="s">
        <v>3715</v>
      </c>
      <c r="B2657" s="14">
        <v>38226</v>
      </c>
      <c r="C2657" s="7" t="s">
        <v>738</v>
      </c>
      <c r="D2657" s="51">
        <v>45763</v>
      </c>
      <c r="E2657" s="3" t="s">
        <v>4368</v>
      </c>
      <c r="F2657" s="3">
        <v>2</v>
      </c>
      <c r="N2657" s="48"/>
    </row>
    <row r="2658" spans="1:14" x14ac:dyDescent="0.45">
      <c r="A2658" s="3" t="s">
        <v>3715</v>
      </c>
      <c r="B2658" s="14">
        <v>38200</v>
      </c>
      <c r="C2658" s="7" t="s">
        <v>738</v>
      </c>
      <c r="D2658" s="51">
        <v>45764</v>
      </c>
      <c r="E2658" s="3" t="s">
        <v>4369</v>
      </c>
      <c r="F2658" s="3">
        <v>2</v>
      </c>
      <c r="N2658" s="48"/>
    </row>
    <row r="2659" spans="1:14" x14ac:dyDescent="0.45">
      <c r="A2659" s="3" t="s">
        <v>3715</v>
      </c>
      <c r="B2659" s="14">
        <v>38200</v>
      </c>
      <c r="C2659" s="7" t="s">
        <v>738</v>
      </c>
      <c r="D2659" s="51">
        <v>45765</v>
      </c>
      <c r="E2659" s="3" t="s">
        <v>4370</v>
      </c>
      <c r="F2659" s="3" t="s">
        <v>1041</v>
      </c>
      <c r="L2659" s="3" t="s">
        <v>1821</v>
      </c>
      <c r="N2659" s="48"/>
    </row>
    <row r="2660" spans="1:14" x14ac:dyDescent="0.45">
      <c r="A2660" s="3" t="s">
        <v>3715</v>
      </c>
      <c r="B2660" s="14">
        <v>38285</v>
      </c>
      <c r="C2660" s="7" t="s">
        <v>738</v>
      </c>
      <c r="D2660" s="51">
        <v>45766</v>
      </c>
      <c r="E2660" s="3" t="s">
        <v>4348</v>
      </c>
      <c r="F2660" s="3">
        <v>4</v>
      </c>
      <c r="N2660" s="48"/>
    </row>
    <row r="2661" spans="1:14" x14ac:dyDescent="0.45">
      <c r="A2661" s="3" t="s">
        <v>3715</v>
      </c>
      <c r="B2661" s="14">
        <v>38292</v>
      </c>
      <c r="C2661" s="7" t="s">
        <v>738</v>
      </c>
      <c r="D2661" s="51">
        <v>45767</v>
      </c>
      <c r="E2661" s="3" t="s">
        <v>4371</v>
      </c>
      <c r="F2661" s="3">
        <v>6</v>
      </c>
      <c r="N2661" s="48"/>
    </row>
    <row r="2662" spans="1:14" x14ac:dyDescent="0.45">
      <c r="A2662" s="3" t="s">
        <v>3715</v>
      </c>
      <c r="B2662" s="14">
        <v>37650</v>
      </c>
      <c r="C2662" s="7" t="s">
        <v>738</v>
      </c>
      <c r="D2662" s="51">
        <v>45717</v>
      </c>
      <c r="E2662" s="3" t="s">
        <v>4372</v>
      </c>
      <c r="F2662" s="3">
        <v>2</v>
      </c>
      <c r="N2662" s="48"/>
    </row>
    <row r="2663" spans="1:14" x14ac:dyDescent="0.45">
      <c r="A2663" s="3" t="s">
        <v>3715</v>
      </c>
      <c r="B2663" s="14">
        <v>37665</v>
      </c>
      <c r="C2663" s="7" t="s">
        <v>738</v>
      </c>
      <c r="D2663" s="51">
        <v>45718</v>
      </c>
      <c r="E2663" s="3" t="s">
        <v>4373</v>
      </c>
      <c r="F2663" s="3">
        <v>2</v>
      </c>
      <c r="N2663" s="48"/>
    </row>
    <row r="2664" spans="1:14" x14ac:dyDescent="0.45">
      <c r="A2664" s="3" t="s">
        <v>3715</v>
      </c>
      <c r="B2664" s="14">
        <v>37722</v>
      </c>
      <c r="C2664" s="7" t="s">
        <v>738</v>
      </c>
      <c r="D2664" s="51">
        <v>45719</v>
      </c>
      <c r="E2664" s="3" t="s">
        <v>4374</v>
      </c>
      <c r="F2664" s="3">
        <v>2</v>
      </c>
      <c r="N2664" s="48"/>
    </row>
    <row r="2665" spans="1:14" x14ac:dyDescent="0.45">
      <c r="A2665" s="3" t="s">
        <v>3715</v>
      </c>
      <c r="B2665" s="14">
        <v>37712</v>
      </c>
      <c r="C2665" s="7" t="s">
        <v>738</v>
      </c>
      <c r="D2665" s="51">
        <v>45720</v>
      </c>
      <c r="E2665" s="3" t="s">
        <v>4375</v>
      </c>
      <c r="F2665" s="3">
        <v>3</v>
      </c>
      <c r="N2665" s="48"/>
    </row>
    <row r="2666" spans="1:14" x14ac:dyDescent="0.45">
      <c r="A2666" s="3" t="s">
        <v>3715</v>
      </c>
      <c r="B2666" s="14">
        <v>37749</v>
      </c>
      <c r="C2666" s="7" t="s">
        <v>738</v>
      </c>
      <c r="D2666" s="51">
        <v>45721</v>
      </c>
      <c r="E2666" s="3" t="s">
        <v>4376</v>
      </c>
      <c r="F2666" s="3">
        <v>2</v>
      </c>
      <c r="N2666" s="48"/>
    </row>
    <row r="2667" spans="1:14" x14ac:dyDescent="0.45">
      <c r="A2667" s="3" t="s">
        <v>3715</v>
      </c>
      <c r="B2667" s="14">
        <v>37750</v>
      </c>
      <c r="C2667" s="7" t="s">
        <v>738</v>
      </c>
      <c r="D2667" s="51">
        <v>45723</v>
      </c>
      <c r="E2667" s="3" t="s">
        <v>4377</v>
      </c>
      <c r="F2667" s="3">
        <v>2</v>
      </c>
      <c r="N2667" s="48"/>
    </row>
    <row r="2668" spans="1:14" x14ac:dyDescent="0.45">
      <c r="A2668" s="3" t="s">
        <v>3715</v>
      </c>
      <c r="B2668" s="14">
        <v>37782</v>
      </c>
      <c r="C2668" s="7" t="s">
        <v>738</v>
      </c>
      <c r="D2668" s="51">
        <v>45724</v>
      </c>
      <c r="E2668" s="3" t="s">
        <v>4378</v>
      </c>
      <c r="F2668" s="3">
        <v>2</v>
      </c>
      <c r="N2668" s="48"/>
    </row>
    <row r="2669" spans="1:14" x14ac:dyDescent="0.45">
      <c r="A2669" s="3" t="s">
        <v>3715</v>
      </c>
      <c r="B2669" s="14">
        <v>37789</v>
      </c>
      <c r="C2669" s="7" t="s">
        <v>738</v>
      </c>
      <c r="D2669" s="51">
        <v>45725</v>
      </c>
      <c r="E2669" s="3" t="s">
        <v>4379</v>
      </c>
      <c r="F2669" s="3">
        <v>2</v>
      </c>
      <c r="N2669" s="48"/>
    </row>
    <row r="2670" spans="1:14" x14ac:dyDescent="0.45">
      <c r="A2670" s="3" t="s">
        <v>3715</v>
      </c>
      <c r="B2670" s="14">
        <v>37799</v>
      </c>
      <c r="C2670" s="7" t="s">
        <v>738</v>
      </c>
      <c r="D2670" s="51">
        <v>45727</v>
      </c>
      <c r="E2670" s="3" t="s">
        <v>4299</v>
      </c>
      <c r="F2670" s="3">
        <v>2</v>
      </c>
      <c r="N2670" s="48"/>
    </row>
    <row r="2671" spans="1:14" x14ac:dyDescent="0.45">
      <c r="A2671" s="3" t="s">
        <v>3715</v>
      </c>
      <c r="B2671" s="14">
        <v>37811</v>
      </c>
      <c r="C2671" s="7" t="s">
        <v>738</v>
      </c>
      <c r="D2671" s="51">
        <v>45728</v>
      </c>
      <c r="E2671" s="3" t="s">
        <v>4380</v>
      </c>
      <c r="F2671" s="3">
        <v>2</v>
      </c>
      <c r="N2671" s="48"/>
    </row>
    <row r="2672" spans="1:14" x14ac:dyDescent="0.45">
      <c r="A2672" s="3" t="s">
        <v>3715</v>
      </c>
      <c r="B2672" s="14">
        <v>37824</v>
      </c>
      <c r="C2672" s="7" t="s">
        <v>738</v>
      </c>
      <c r="D2672" s="51">
        <v>45729</v>
      </c>
      <c r="E2672" s="3" t="s">
        <v>4381</v>
      </c>
      <c r="F2672" s="3">
        <v>2</v>
      </c>
      <c r="N2672" s="48"/>
    </row>
    <row r="2673" spans="1:14" x14ac:dyDescent="0.45">
      <c r="A2673" s="3" t="s">
        <v>3715</v>
      </c>
      <c r="B2673" s="14">
        <v>37847</v>
      </c>
      <c r="C2673" s="7" t="s">
        <v>738</v>
      </c>
      <c r="D2673" s="51">
        <v>45730</v>
      </c>
      <c r="E2673" s="3" t="s">
        <v>4382</v>
      </c>
      <c r="F2673" s="3">
        <v>2</v>
      </c>
      <c r="N2673" s="48"/>
    </row>
    <row r="2674" spans="1:14" x14ac:dyDescent="0.45">
      <c r="A2674" s="3" t="s">
        <v>3715</v>
      </c>
      <c r="B2674" s="14">
        <v>37847</v>
      </c>
      <c r="C2674" s="7" t="s">
        <v>738</v>
      </c>
      <c r="D2674" s="51">
        <v>45731</v>
      </c>
      <c r="E2674" s="3" t="s">
        <v>4383</v>
      </c>
      <c r="F2674" s="3">
        <v>2</v>
      </c>
      <c r="N2674" s="48"/>
    </row>
    <row r="2675" spans="1:14" x14ac:dyDescent="0.45">
      <c r="A2675" s="3" t="s">
        <v>3715</v>
      </c>
      <c r="B2675" s="14">
        <v>37872</v>
      </c>
      <c r="C2675" s="7" t="s">
        <v>738</v>
      </c>
      <c r="D2675" s="51">
        <v>45732</v>
      </c>
      <c r="E2675" s="3" t="s">
        <v>4384</v>
      </c>
      <c r="F2675" s="3">
        <v>2</v>
      </c>
      <c r="N2675" s="48"/>
    </row>
    <row r="2676" spans="1:14" x14ac:dyDescent="0.45">
      <c r="A2676" s="3" t="s">
        <v>3715</v>
      </c>
      <c r="B2676" s="14">
        <v>37867</v>
      </c>
      <c r="C2676" s="7" t="s">
        <v>738</v>
      </c>
      <c r="D2676" s="51">
        <v>45734</v>
      </c>
      <c r="E2676" s="3" t="s">
        <v>4385</v>
      </c>
      <c r="F2676" s="3">
        <v>2</v>
      </c>
      <c r="N2676" s="48"/>
    </row>
    <row r="2677" spans="1:14" x14ac:dyDescent="0.45">
      <c r="A2677" s="3" t="s">
        <v>3715</v>
      </c>
      <c r="B2677" s="14">
        <v>37911</v>
      </c>
      <c r="C2677" s="7" t="s">
        <v>738</v>
      </c>
      <c r="D2677" s="51">
        <v>45735</v>
      </c>
      <c r="E2677" s="3" t="s">
        <v>4386</v>
      </c>
      <c r="F2677" s="3">
        <v>2</v>
      </c>
      <c r="N2677" s="48"/>
    </row>
    <row r="2678" spans="1:14" x14ac:dyDescent="0.45">
      <c r="A2678" s="3" t="s">
        <v>3715</v>
      </c>
      <c r="B2678" s="14">
        <v>37915</v>
      </c>
      <c r="C2678" s="7" t="s">
        <v>738</v>
      </c>
      <c r="D2678" s="51">
        <v>45736</v>
      </c>
      <c r="E2678" s="3" t="s">
        <v>4387</v>
      </c>
      <c r="F2678" s="3">
        <v>4</v>
      </c>
      <c r="N2678" s="48"/>
    </row>
    <row r="2679" spans="1:14" x14ac:dyDescent="0.45">
      <c r="A2679" s="3" t="s">
        <v>3715</v>
      </c>
      <c r="B2679" s="14">
        <v>37925</v>
      </c>
      <c r="C2679" s="7" t="s">
        <v>738</v>
      </c>
      <c r="D2679" s="51">
        <v>45737</v>
      </c>
      <c r="E2679" s="3" t="s">
        <v>4388</v>
      </c>
      <c r="F2679" s="3">
        <v>3</v>
      </c>
      <c r="N2679" s="48"/>
    </row>
    <row r="2680" spans="1:14" x14ac:dyDescent="0.45">
      <c r="A2680" s="3" t="s">
        <v>3715</v>
      </c>
      <c r="B2680" s="14">
        <v>37945</v>
      </c>
      <c r="C2680" s="7" t="s">
        <v>738</v>
      </c>
      <c r="D2680" s="51">
        <v>45738</v>
      </c>
      <c r="E2680" s="3" t="s">
        <v>4389</v>
      </c>
      <c r="F2680" s="3">
        <v>6</v>
      </c>
      <c r="N2680" s="48"/>
    </row>
    <row r="2681" spans="1:14" x14ac:dyDescent="0.45">
      <c r="A2681" s="3" t="s">
        <v>3715</v>
      </c>
      <c r="B2681" s="14">
        <v>37981</v>
      </c>
      <c r="C2681" s="7" t="s">
        <v>738</v>
      </c>
      <c r="D2681" s="51">
        <v>45740</v>
      </c>
      <c r="E2681" s="3" t="s">
        <v>4390</v>
      </c>
      <c r="F2681" s="3">
        <v>3</v>
      </c>
      <c r="N2681" s="48"/>
    </row>
    <row r="2682" spans="1:14" x14ac:dyDescent="0.45">
      <c r="A2682" s="3" t="s">
        <v>3715</v>
      </c>
      <c r="B2682" s="14">
        <v>37260</v>
      </c>
      <c r="C2682" s="7" t="s">
        <v>738</v>
      </c>
      <c r="D2682" s="51">
        <v>45689</v>
      </c>
      <c r="E2682" s="3" t="s">
        <v>4391</v>
      </c>
      <c r="F2682" s="3" t="s">
        <v>1041</v>
      </c>
      <c r="L2682" s="3" t="s">
        <v>1951</v>
      </c>
      <c r="N2682" s="48"/>
    </row>
    <row r="2683" spans="1:14" x14ac:dyDescent="0.45">
      <c r="A2683" s="3" t="s">
        <v>3715</v>
      </c>
      <c r="B2683" s="14">
        <v>37263</v>
      </c>
      <c r="C2683" s="7" t="s">
        <v>738</v>
      </c>
      <c r="D2683" s="51">
        <v>45690</v>
      </c>
      <c r="E2683" s="3" t="s">
        <v>4392</v>
      </c>
      <c r="F2683" s="3">
        <v>2</v>
      </c>
      <c r="N2683" s="48"/>
    </row>
    <row r="2684" spans="1:14" x14ac:dyDescent="0.45">
      <c r="A2684" s="3" t="s">
        <v>3715</v>
      </c>
      <c r="B2684" s="14">
        <v>37295</v>
      </c>
      <c r="C2684" s="7" t="s">
        <v>738</v>
      </c>
      <c r="D2684" s="51">
        <v>45692</v>
      </c>
      <c r="E2684" s="3" t="s">
        <v>4393</v>
      </c>
      <c r="F2684" s="3">
        <v>2</v>
      </c>
      <c r="N2684" s="48"/>
    </row>
    <row r="2685" spans="1:14" x14ac:dyDescent="0.45">
      <c r="A2685" s="3" t="s">
        <v>3715</v>
      </c>
      <c r="B2685" s="14">
        <v>37308</v>
      </c>
      <c r="C2685" s="7" t="s">
        <v>738</v>
      </c>
      <c r="D2685" s="51">
        <v>45693</v>
      </c>
      <c r="E2685" s="3" t="s">
        <v>4328</v>
      </c>
      <c r="F2685" s="3">
        <v>2</v>
      </c>
      <c r="N2685" s="48"/>
    </row>
    <row r="2686" spans="1:14" x14ac:dyDescent="0.45">
      <c r="A2686" s="3" t="s">
        <v>3715</v>
      </c>
      <c r="B2686" s="14">
        <v>37316</v>
      </c>
      <c r="C2686" s="7" t="s">
        <v>738</v>
      </c>
      <c r="D2686" s="51">
        <v>45694</v>
      </c>
      <c r="E2686" s="3" t="s">
        <v>4394</v>
      </c>
      <c r="F2686" s="3">
        <v>2</v>
      </c>
      <c r="N2686" s="48"/>
    </row>
    <row r="2687" spans="1:14" x14ac:dyDescent="0.45">
      <c r="A2687" s="3" t="s">
        <v>3715</v>
      </c>
      <c r="B2687" s="14">
        <v>37326</v>
      </c>
      <c r="C2687" s="7" t="s">
        <v>738</v>
      </c>
      <c r="D2687" s="51">
        <v>45696</v>
      </c>
      <c r="E2687" s="3" t="s">
        <v>4395</v>
      </c>
      <c r="F2687" s="3">
        <v>1</v>
      </c>
      <c r="N2687" s="48"/>
    </row>
    <row r="2688" spans="1:14" x14ac:dyDescent="0.45">
      <c r="A2688" s="3" t="s">
        <v>3715</v>
      </c>
      <c r="B2688" s="14">
        <v>37326</v>
      </c>
      <c r="C2688" s="7" t="s">
        <v>738</v>
      </c>
      <c r="D2688" s="51">
        <v>45697</v>
      </c>
      <c r="E2688" s="3" t="s">
        <v>4395</v>
      </c>
      <c r="F2688" s="3">
        <v>1</v>
      </c>
      <c r="N2688" s="48"/>
    </row>
    <row r="2689" spans="1:14" x14ac:dyDescent="0.45">
      <c r="A2689" s="3" t="s">
        <v>3715</v>
      </c>
      <c r="B2689" s="14">
        <v>37340</v>
      </c>
      <c r="C2689" s="7" t="s">
        <v>738</v>
      </c>
      <c r="D2689" s="51">
        <v>45698</v>
      </c>
      <c r="E2689" s="3" t="s">
        <v>4395</v>
      </c>
      <c r="F2689" s="3">
        <v>1</v>
      </c>
      <c r="N2689" s="48"/>
    </row>
    <row r="2690" spans="1:14" x14ac:dyDescent="0.45">
      <c r="A2690" s="3" t="s">
        <v>3715</v>
      </c>
      <c r="B2690" s="14">
        <v>37355</v>
      </c>
      <c r="C2690" s="7" t="s">
        <v>738</v>
      </c>
      <c r="D2690" s="51">
        <v>45699</v>
      </c>
      <c r="E2690" s="3" t="s">
        <v>4396</v>
      </c>
      <c r="F2690" s="3">
        <v>2</v>
      </c>
      <c r="N2690" s="48"/>
    </row>
    <row r="2691" spans="1:14" x14ac:dyDescent="0.45">
      <c r="A2691" s="3" t="s">
        <v>3715</v>
      </c>
      <c r="B2691" s="14">
        <v>37368</v>
      </c>
      <c r="C2691" s="7" t="s">
        <v>738</v>
      </c>
      <c r="D2691" s="51">
        <v>45700</v>
      </c>
      <c r="E2691" s="3" t="s">
        <v>4397</v>
      </c>
      <c r="F2691" s="3">
        <v>2</v>
      </c>
      <c r="N2691" s="48"/>
    </row>
    <row r="2692" spans="1:14" x14ac:dyDescent="0.45">
      <c r="A2692" s="3" t="s">
        <v>3715</v>
      </c>
      <c r="B2692" s="14">
        <v>37377</v>
      </c>
      <c r="C2692" s="7" t="s">
        <v>738</v>
      </c>
      <c r="D2692" s="51">
        <v>45701</v>
      </c>
      <c r="E2692" s="3" t="s">
        <v>4398</v>
      </c>
      <c r="F2692" s="3">
        <v>1</v>
      </c>
      <c r="N2692" s="48"/>
    </row>
    <row r="2693" spans="1:14" x14ac:dyDescent="0.45">
      <c r="A2693" s="3" t="s">
        <v>3715</v>
      </c>
      <c r="B2693" s="14">
        <v>37397</v>
      </c>
      <c r="C2693" s="7" t="s">
        <v>738</v>
      </c>
      <c r="D2693" s="51">
        <v>45702</v>
      </c>
      <c r="E2693" s="3" t="s">
        <v>4399</v>
      </c>
      <c r="F2693" s="3">
        <v>1</v>
      </c>
      <c r="N2693" s="48"/>
    </row>
    <row r="2694" spans="1:14" x14ac:dyDescent="0.45">
      <c r="A2694" s="3" t="s">
        <v>3715</v>
      </c>
      <c r="B2694" s="14">
        <v>37405</v>
      </c>
      <c r="C2694" s="7" t="s">
        <v>738</v>
      </c>
      <c r="D2694" s="51">
        <v>45703</v>
      </c>
      <c r="E2694" s="3" t="s">
        <v>4400</v>
      </c>
      <c r="F2694" s="3" t="s">
        <v>1041</v>
      </c>
      <c r="L2694" s="3" t="s">
        <v>1951</v>
      </c>
      <c r="N2694" s="48"/>
    </row>
    <row r="2695" spans="1:14" x14ac:dyDescent="0.45">
      <c r="A2695" s="3" t="s">
        <v>3715</v>
      </c>
      <c r="B2695" s="14">
        <v>37406</v>
      </c>
      <c r="C2695" s="7" t="s">
        <v>738</v>
      </c>
      <c r="D2695" s="51">
        <v>45704</v>
      </c>
      <c r="E2695" s="3" t="s">
        <v>4401</v>
      </c>
      <c r="F2695" s="3">
        <v>2</v>
      </c>
      <c r="N2695" s="48"/>
    </row>
    <row r="2696" spans="1:14" x14ac:dyDescent="0.45">
      <c r="A2696" s="3" t="s">
        <v>3715</v>
      </c>
      <c r="B2696" s="14">
        <v>37405</v>
      </c>
      <c r="C2696" s="7" t="s">
        <v>738</v>
      </c>
      <c r="D2696" s="51">
        <v>45705</v>
      </c>
      <c r="E2696" s="3" t="s">
        <v>4299</v>
      </c>
      <c r="F2696" s="3">
        <v>2</v>
      </c>
      <c r="N2696" s="48"/>
    </row>
    <row r="2697" spans="1:14" x14ac:dyDescent="0.45">
      <c r="A2697" s="3" t="s">
        <v>3715</v>
      </c>
      <c r="B2697" s="14">
        <v>37413</v>
      </c>
      <c r="C2697" s="7" t="s">
        <v>738</v>
      </c>
      <c r="D2697" s="51">
        <v>45706</v>
      </c>
      <c r="E2697" s="3" t="s">
        <v>4402</v>
      </c>
      <c r="F2697" s="3">
        <v>2</v>
      </c>
      <c r="N2697" s="48"/>
    </row>
    <row r="2698" spans="1:14" x14ac:dyDescent="0.45">
      <c r="A2698" s="3" t="s">
        <v>3715</v>
      </c>
      <c r="B2698" s="14">
        <v>37419</v>
      </c>
      <c r="C2698" s="7" t="s">
        <v>738</v>
      </c>
      <c r="D2698" s="51">
        <v>45707</v>
      </c>
      <c r="E2698" s="3" t="s">
        <v>4403</v>
      </c>
      <c r="F2698" s="3">
        <v>2</v>
      </c>
      <c r="N2698" s="48"/>
    </row>
    <row r="2699" spans="1:14" x14ac:dyDescent="0.45">
      <c r="A2699" s="3" t="s">
        <v>3715</v>
      </c>
      <c r="B2699" s="14">
        <v>37424</v>
      </c>
      <c r="C2699" s="7" t="s">
        <v>738</v>
      </c>
      <c r="D2699" s="51">
        <v>45708</v>
      </c>
      <c r="E2699" s="3" t="s">
        <v>4404</v>
      </c>
      <c r="F2699" s="3">
        <v>2</v>
      </c>
      <c r="N2699" s="48"/>
    </row>
    <row r="2700" spans="1:14" x14ac:dyDescent="0.45">
      <c r="A2700" s="3" t="s">
        <v>3715</v>
      </c>
      <c r="B2700" s="14">
        <v>37426</v>
      </c>
      <c r="C2700" s="7" t="s">
        <v>738</v>
      </c>
      <c r="D2700" s="51">
        <v>45709</v>
      </c>
      <c r="E2700" s="3" t="s">
        <v>4390</v>
      </c>
      <c r="F2700" s="3">
        <v>4</v>
      </c>
      <c r="N2700" s="48"/>
    </row>
    <row r="2701" spans="1:14" x14ac:dyDescent="0.45">
      <c r="A2701" s="3" t="s">
        <v>3715</v>
      </c>
      <c r="B2701" s="14">
        <v>37435</v>
      </c>
      <c r="C2701" s="7" t="s">
        <v>738</v>
      </c>
      <c r="D2701" s="51">
        <v>45710</v>
      </c>
      <c r="E2701" s="3" t="s">
        <v>4395</v>
      </c>
      <c r="F2701" s="3">
        <v>1</v>
      </c>
      <c r="N2701" s="48"/>
    </row>
    <row r="2702" spans="1:14" x14ac:dyDescent="0.45">
      <c r="A2702" s="3" t="s">
        <v>3715</v>
      </c>
      <c r="B2702" s="14">
        <v>37440</v>
      </c>
      <c r="C2702" s="7" t="s">
        <v>738</v>
      </c>
      <c r="D2702" s="51">
        <v>45711</v>
      </c>
      <c r="E2702" s="3" t="s">
        <v>4405</v>
      </c>
      <c r="F2702" s="3">
        <v>2</v>
      </c>
      <c r="N2702" s="48"/>
    </row>
    <row r="2703" spans="1:14" x14ac:dyDescent="0.45">
      <c r="A2703" s="3" t="s">
        <v>3715</v>
      </c>
      <c r="B2703" s="14">
        <v>37445</v>
      </c>
      <c r="C2703" s="7" t="s">
        <v>738</v>
      </c>
      <c r="D2703" s="51">
        <v>45712</v>
      </c>
      <c r="E2703" s="3" t="s">
        <v>4406</v>
      </c>
      <c r="F2703" s="3">
        <v>2</v>
      </c>
      <c r="N2703" s="48"/>
    </row>
    <row r="2704" spans="1:14" x14ac:dyDescent="0.45">
      <c r="A2704" s="3" t="s">
        <v>3715</v>
      </c>
      <c r="B2704" s="14">
        <v>37460</v>
      </c>
      <c r="C2704" s="7" t="s">
        <v>738</v>
      </c>
      <c r="D2704" s="51">
        <v>45713</v>
      </c>
      <c r="E2704" s="3" t="s">
        <v>4407</v>
      </c>
      <c r="F2704" s="3" t="s">
        <v>1041</v>
      </c>
      <c r="L2704" s="3" t="s">
        <v>1951</v>
      </c>
      <c r="N2704" s="48"/>
    </row>
    <row r="2705" spans="1:14" x14ac:dyDescent="0.45">
      <c r="A2705" s="3" t="s">
        <v>3715</v>
      </c>
      <c r="B2705" s="14">
        <v>37456</v>
      </c>
      <c r="C2705" s="7" t="s">
        <v>738</v>
      </c>
      <c r="D2705" s="51">
        <v>45714</v>
      </c>
      <c r="E2705" s="3" t="s">
        <v>4398</v>
      </c>
      <c r="F2705" s="3">
        <v>1</v>
      </c>
      <c r="N2705" s="48"/>
    </row>
    <row r="2706" spans="1:14" x14ac:dyDescent="0.45">
      <c r="A2706" s="3" t="s">
        <v>3715</v>
      </c>
      <c r="B2706" s="14">
        <v>37509</v>
      </c>
      <c r="C2706" s="7" t="s">
        <v>738</v>
      </c>
      <c r="D2706" s="50" t="s">
        <v>4408</v>
      </c>
      <c r="E2706" s="3" t="s">
        <v>4409</v>
      </c>
      <c r="F2706" s="3">
        <v>2</v>
      </c>
      <c r="N2706" s="48"/>
    </row>
    <row r="2707" spans="1:14" x14ac:dyDescent="0.45">
      <c r="A2707" s="3" t="s">
        <v>3715</v>
      </c>
      <c r="B2707" s="14">
        <v>37523</v>
      </c>
      <c r="C2707" s="7" t="s">
        <v>738</v>
      </c>
      <c r="D2707" s="50" t="s">
        <v>4410</v>
      </c>
      <c r="E2707" s="3" t="s">
        <v>4411</v>
      </c>
      <c r="F2707" s="3" t="s">
        <v>1041</v>
      </c>
      <c r="L2707" s="3" t="s">
        <v>1951</v>
      </c>
      <c r="N2707" s="48"/>
    </row>
    <row r="2708" spans="1:14" x14ac:dyDescent="0.45">
      <c r="A2708" s="3" t="s">
        <v>3715</v>
      </c>
      <c r="B2708" s="14">
        <v>37539</v>
      </c>
      <c r="C2708" s="7" t="s">
        <v>738</v>
      </c>
      <c r="D2708" s="50" t="s">
        <v>4412</v>
      </c>
      <c r="E2708" s="3" t="s">
        <v>4413</v>
      </c>
      <c r="F2708" s="3">
        <v>2</v>
      </c>
      <c r="N2708" s="48"/>
    </row>
    <row r="2709" spans="1:14" x14ac:dyDescent="0.45">
      <c r="A2709" s="3" t="s">
        <v>3715</v>
      </c>
      <c r="B2709" s="14">
        <v>37547</v>
      </c>
      <c r="C2709" s="7" t="s">
        <v>738</v>
      </c>
      <c r="D2709" s="50" t="s">
        <v>4414</v>
      </c>
      <c r="E2709" s="3" t="s">
        <v>4415</v>
      </c>
      <c r="F2709" s="3">
        <v>2</v>
      </c>
      <c r="N2709" s="48"/>
    </row>
    <row r="2710" spans="1:14" x14ac:dyDescent="0.45">
      <c r="A2710" s="3" t="s">
        <v>3715</v>
      </c>
      <c r="B2710" s="14">
        <v>37552</v>
      </c>
      <c r="C2710" s="7" t="s">
        <v>738</v>
      </c>
      <c r="D2710" s="50" t="s">
        <v>4416</v>
      </c>
      <c r="E2710" s="3" t="s">
        <v>4417</v>
      </c>
      <c r="F2710" s="3">
        <v>2</v>
      </c>
      <c r="N2710" s="48"/>
    </row>
    <row r="2711" spans="1:14" x14ac:dyDescent="0.45">
      <c r="A2711" s="3" t="s">
        <v>3715</v>
      </c>
      <c r="B2711" s="14">
        <v>36902</v>
      </c>
      <c r="C2711" s="7" t="s">
        <v>738</v>
      </c>
      <c r="D2711" s="51">
        <v>45658</v>
      </c>
      <c r="E2711" s="3" t="s">
        <v>4418</v>
      </c>
      <c r="F2711" s="3">
        <v>5</v>
      </c>
      <c r="N2711" s="48"/>
    </row>
    <row r="2712" spans="1:14" x14ac:dyDescent="0.45">
      <c r="A2712" s="3" t="s">
        <v>3715</v>
      </c>
      <c r="B2712" s="14">
        <v>36902</v>
      </c>
      <c r="C2712" s="7" t="s">
        <v>738</v>
      </c>
      <c r="D2712" s="51">
        <v>45659</v>
      </c>
      <c r="E2712" s="3" t="s">
        <v>4419</v>
      </c>
      <c r="F2712" s="3">
        <v>2</v>
      </c>
      <c r="N2712" s="48"/>
    </row>
    <row r="2713" spans="1:14" x14ac:dyDescent="0.45">
      <c r="A2713" s="3" t="s">
        <v>3715</v>
      </c>
      <c r="B2713" s="14">
        <v>36908</v>
      </c>
      <c r="C2713" s="7" t="s">
        <v>738</v>
      </c>
      <c r="D2713" s="51">
        <v>45660</v>
      </c>
      <c r="E2713" s="3" t="s">
        <v>4420</v>
      </c>
      <c r="F2713" s="3">
        <v>1</v>
      </c>
      <c r="N2713" s="48"/>
    </row>
    <row r="2714" spans="1:14" x14ac:dyDescent="0.45">
      <c r="A2714" s="3" t="s">
        <v>3715</v>
      </c>
      <c r="B2714" s="14">
        <v>36937</v>
      </c>
      <c r="C2714" s="7" t="s">
        <v>738</v>
      </c>
      <c r="D2714" s="51">
        <v>45661</v>
      </c>
      <c r="E2714" s="3" t="s">
        <v>4421</v>
      </c>
      <c r="F2714" s="3">
        <v>1</v>
      </c>
      <c r="N2714" s="48"/>
    </row>
    <row r="2715" spans="1:14" x14ac:dyDescent="0.45">
      <c r="A2715" s="3" t="s">
        <v>3715</v>
      </c>
      <c r="B2715" s="14">
        <v>36938</v>
      </c>
      <c r="C2715" s="7" t="s">
        <v>738</v>
      </c>
      <c r="D2715" s="51">
        <v>45662</v>
      </c>
      <c r="E2715" s="3" t="s">
        <v>4422</v>
      </c>
      <c r="F2715" s="3">
        <v>14</v>
      </c>
      <c r="N2715" s="48"/>
    </row>
    <row r="2716" spans="1:14" x14ac:dyDescent="0.45">
      <c r="A2716" s="3" t="s">
        <v>3715</v>
      </c>
      <c r="B2716" s="14">
        <v>36958</v>
      </c>
      <c r="C2716" s="7" t="s">
        <v>738</v>
      </c>
      <c r="D2716" s="51">
        <v>45663</v>
      </c>
      <c r="E2716" s="3" t="s">
        <v>4423</v>
      </c>
      <c r="F2716" s="3">
        <v>2</v>
      </c>
      <c r="N2716" s="48"/>
    </row>
    <row r="2717" spans="1:14" x14ac:dyDescent="0.45">
      <c r="A2717" s="3" t="s">
        <v>3715</v>
      </c>
      <c r="B2717" s="14">
        <v>36955</v>
      </c>
      <c r="C2717" s="7" t="s">
        <v>738</v>
      </c>
      <c r="D2717" s="51">
        <v>45664</v>
      </c>
      <c r="E2717" s="3" t="s">
        <v>4424</v>
      </c>
      <c r="F2717" s="3">
        <v>10</v>
      </c>
      <c r="N2717" s="48"/>
    </row>
    <row r="2718" spans="1:14" x14ac:dyDescent="0.45">
      <c r="A2718" s="3" t="s">
        <v>3715</v>
      </c>
      <c r="B2718" s="14">
        <v>36986</v>
      </c>
      <c r="C2718" s="7" t="s">
        <v>738</v>
      </c>
      <c r="D2718" s="51">
        <v>45666</v>
      </c>
      <c r="E2718" s="3" t="s">
        <v>4425</v>
      </c>
      <c r="F2718" s="3">
        <v>2</v>
      </c>
      <c r="N2718" s="48"/>
    </row>
    <row r="2719" spans="1:14" x14ac:dyDescent="0.45">
      <c r="A2719" s="3" t="s">
        <v>3715</v>
      </c>
      <c r="B2719" s="14">
        <v>37000</v>
      </c>
      <c r="C2719" s="7" t="s">
        <v>738</v>
      </c>
      <c r="D2719" s="51">
        <v>45668</v>
      </c>
      <c r="E2719" s="3" t="s">
        <v>4426</v>
      </c>
      <c r="F2719" s="3">
        <v>2</v>
      </c>
      <c r="N2719" s="48"/>
    </row>
    <row r="2720" spans="1:14" x14ac:dyDescent="0.45">
      <c r="A2720" s="3" t="s">
        <v>3715</v>
      </c>
      <c r="B2720" s="14">
        <v>37008</v>
      </c>
      <c r="C2720" s="7" t="s">
        <v>738</v>
      </c>
      <c r="D2720" s="51">
        <v>45669</v>
      </c>
      <c r="E2720" s="3" t="s">
        <v>4427</v>
      </c>
      <c r="F2720" s="3">
        <v>2</v>
      </c>
      <c r="N2720" s="48"/>
    </row>
    <row r="2721" spans="1:14" x14ac:dyDescent="0.45">
      <c r="A2721" s="3" t="s">
        <v>3715</v>
      </c>
      <c r="B2721" s="14">
        <v>37014</v>
      </c>
      <c r="C2721" s="7" t="s">
        <v>738</v>
      </c>
      <c r="D2721" s="51">
        <v>45670</v>
      </c>
      <c r="E2721" s="3" t="s">
        <v>4391</v>
      </c>
      <c r="F2721" s="3" t="s">
        <v>1041</v>
      </c>
      <c r="L2721" s="3" t="s">
        <v>1951</v>
      </c>
      <c r="N2721" s="48"/>
    </row>
    <row r="2722" spans="1:14" x14ac:dyDescent="0.45">
      <c r="A2722" s="3" t="s">
        <v>3715</v>
      </c>
      <c r="B2722" s="14">
        <v>37012</v>
      </c>
      <c r="C2722" s="7" t="s">
        <v>738</v>
      </c>
      <c r="D2722" s="51">
        <v>45671</v>
      </c>
      <c r="E2722" s="3" t="s">
        <v>4428</v>
      </c>
      <c r="F2722" s="3">
        <v>2</v>
      </c>
      <c r="N2722" s="48"/>
    </row>
    <row r="2723" spans="1:14" x14ac:dyDescent="0.45">
      <c r="A2723" s="3" t="s">
        <v>3715</v>
      </c>
      <c r="B2723" s="14">
        <v>37078</v>
      </c>
      <c r="C2723" s="7" t="s">
        <v>738</v>
      </c>
      <c r="D2723" s="51">
        <v>45674</v>
      </c>
      <c r="E2723" s="3" t="s">
        <v>4429</v>
      </c>
      <c r="F2723" s="3">
        <v>2</v>
      </c>
      <c r="N2723" s="48"/>
    </row>
    <row r="2724" spans="1:14" x14ac:dyDescent="0.45">
      <c r="A2724" s="3" t="s">
        <v>3715</v>
      </c>
      <c r="B2724" s="14">
        <v>37081</v>
      </c>
      <c r="C2724" s="7" t="s">
        <v>738</v>
      </c>
      <c r="D2724" s="51">
        <v>45675</v>
      </c>
      <c r="E2724" s="3" t="s">
        <v>4430</v>
      </c>
      <c r="F2724" s="3">
        <v>2</v>
      </c>
      <c r="N2724" s="48"/>
    </row>
    <row r="2725" spans="1:14" x14ac:dyDescent="0.45">
      <c r="A2725" s="3" t="s">
        <v>3715</v>
      </c>
      <c r="B2725" s="14">
        <v>37082</v>
      </c>
      <c r="C2725" s="7" t="s">
        <v>738</v>
      </c>
      <c r="D2725" s="51">
        <v>45676</v>
      </c>
      <c r="E2725" s="3" t="s">
        <v>4431</v>
      </c>
      <c r="F2725" s="3">
        <v>2</v>
      </c>
      <c r="N2725" s="48"/>
    </row>
    <row r="2726" spans="1:14" x14ac:dyDescent="0.45">
      <c r="A2726" s="3" t="s">
        <v>3715</v>
      </c>
      <c r="B2726" s="14">
        <v>37092</v>
      </c>
      <c r="C2726" s="7" t="s">
        <v>738</v>
      </c>
      <c r="D2726" s="51">
        <v>45677</v>
      </c>
      <c r="E2726" s="3" t="s">
        <v>4432</v>
      </c>
      <c r="F2726" s="3">
        <v>2</v>
      </c>
      <c r="N2726" s="48"/>
    </row>
    <row r="2727" spans="1:14" x14ac:dyDescent="0.45">
      <c r="A2727" s="3" t="s">
        <v>3715</v>
      </c>
      <c r="B2727" s="14">
        <v>37118</v>
      </c>
      <c r="C2727" s="7" t="s">
        <v>738</v>
      </c>
      <c r="D2727" s="51">
        <v>45679</v>
      </c>
      <c r="E2727" s="3" t="s">
        <v>4433</v>
      </c>
      <c r="F2727" s="3">
        <v>3</v>
      </c>
      <c r="N2727" s="48"/>
    </row>
    <row r="2728" spans="1:14" x14ac:dyDescent="0.45">
      <c r="A2728" s="3" t="s">
        <v>3715</v>
      </c>
      <c r="B2728" s="14">
        <v>37162</v>
      </c>
      <c r="C2728" s="7" t="s">
        <v>738</v>
      </c>
      <c r="D2728" s="51">
        <v>45682</v>
      </c>
      <c r="E2728" s="3" t="s">
        <v>4434</v>
      </c>
      <c r="F2728" s="3">
        <v>3</v>
      </c>
      <c r="N2728" s="48"/>
    </row>
    <row r="2729" spans="1:14" x14ac:dyDescent="0.45">
      <c r="A2729" s="3" t="s">
        <v>3715</v>
      </c>
      <c r="B2729" s="14">
        <v>37162</v>
      </c>
      <c r="C2729" s="7" t="s">
        <v>738</v>
      </c>
      <c r="D2729" s="51">
        <v>45683</v>
      </c>
      <c r="E2729" s="3" t="s">
        <v>4387</v>
      </c>
      <c r="F2729" s="3">
        <v>5</v>
      </c>
      <c r="N2729" s="48"/>
    </row>
    <row r="2730" spans="1:14" x14ac:dyDescent="0.45">
      <c r="A2730" s="3" t="s">
        <v>3715</v>
      </c>
      <c r="B2730" s="14">
        <v>37216</v>
      </c>
      <c r="C2730" s="7" t="s">
        <v>738</v>
      </c>
      <c r="D2730" s="51">
        <v>45687</v>
      </c>
      <c r="E2730" s="3" t="s">
        <v>4435</v>
      </c>
      <c r="F2730" s="3">
        <v>4</v>
      </c>
      <c r="N2730" s="48"/>
    </row>
    <row r="2731" spans="1:14" x14ac:dyDescent="0.45">
      <c r="A2731" s="3" t="s">
        <v>3715</v>
      </c>
      <c r="B2731" s="14">
        <v>37230</v>
      </c>
      <c r="C2731" s="7" t="s">
        <v>738</v>
      </c>
      <c r="D2731" s="51">
        <v>45688</v>
      </c>
      <c r="E2731" s="3" t="s">
        <v>4436</v>
      </c>
      <c r="F2731" s="3">
        <v>3</v>
      </c>
      <c r="N2731" s="48"/>
    </row>
    <row r="2732" spans="1:14" x14ac:dyDescent="0.45">
      <c r="A2732" s="3" t="s">
        <v>3715</v>
      </c>
      <c r="B2732" s="14">
        <v>36588</v>
      </c>
      <c r="C2732" s="7" t="s">
        <v>738</v>
      </c>
      <c r="D2732" s="17" t="s">
        <v>4437</v>
      </c>
      <c r="E2732" s="3" t="s">
        <v>4438</v>
      </c>
      <c r="F2732" s="3">
        <v>11</v>
      </c>
      <c r="N2732" s="48"/>
    </row>
    <row r="2733" spans="1:14" x14ac:dyDescent="0.45">
      <c r="A2733" s="3" t="s">
        <v>3715</v>
      </c>
      <c r="B2733" s="14">
        <v>36602</v>
      </c>
      <c r="C2733" s="7" t="s">
        <v>738</v>
      </c>
      <c r="D2733" s="17" t="s">
        <v>4439</v>
      </c>
      <c r="E2733" s="3" t="s">
        <v>4440</v>
      </c>
      <c r="F2733" s="3">
        <v>13</v>
      </c>
      <c r="N2733" s="48"/>
    </row>
    <row r="2734" spans="1:14" x14ac:dyDescent="0.45">
      <c r="A2734" s="3" t="s">
        <v>3715</v>
      </c>
      <c r="B2734" s="14">
        <v>36616</v>
      </c>
      <c r="C2734" s="7" t="s">
        <v>738</v>
      </c>
      <c r="D2734" s="17" t="s">
        <v>4441</v>
      </c>
      <c r="E2734" s="3" t="s">
        <v>4442</v>
      </c>
      <c r="F2734" s="3">
        <v>12</v>
      </c>
      <c r="N2734" s="48"/>
    </row>
    <row r="2735" spans="1:14" x14ac:dyDescent="0.45">
      <c r="A2735" s="3" t="s">
        <v>3715</v>
      </c>
      <c r="B2735" s="14">
        <v>36630</v>
      </c>
      <c r="C2735" s="7" t="s">
        <v>738</v>
      </c>
      <c r="D2735" s="17" t="s">
        <v>4443</v>
      </c>
      <c r="E2735" s="3" t="s">
        <v>4444</v>
      </c>
      <c r="F2735" s="3">
        <v>2</v>
      </c>
      <c r="N2735" s="48"/>
    </row>
    <row r="2736" spans="1:14" x14ac:dyDescent="0.45">
      <c r="A2736" s="3" t="s">
        <v>3715</v>
      </c>
      <c r="B2736" s="14">
        <v>36637</v>
      </c>
      <c r="C2736" s="7" t="s">
        <v>738</v>
      </c>
      <c r="D2736" s="17" t="s">
        <v>4445</v>
      </c>
      <c r="E2736" s="3" t="s">
        <v>4446</v>
      </c>
      <c r="F2736" s="3">
        <v>2</v>
      </c>
      <c r="N2736" s="48"/>
    </row>
    <row r="2737" spans="1:14" x14ac:dyDescent="0.45">
      <c r="A2737" s="3" t="s">
        <v>3715</v>
      </c>
      <c r="B2737" s="14">
        <v>36647</v>
      </c>
      <c r="C2737" s="7" t="s">
        <v>738</v>
      </c>
      <c r="D2737" s="17" t="s">
        <v>4447</v>
      </c>
      <c r="E2737" s="3" t="s">
        <v>4448</v>
      </c>
      <c r="F2737" s="3">
        <v>2</v>
      </c>
      <c r="N2737" s="48"/>
    </row>
    <row r="2738" spans="1:14" x14ac:dyDescent="0.45">
      <c r="A2738" s="3" t="s">
        <v>3715</v>
      </c>
      <c r="B2738" s="14">
        <v>36665</v>
      </c>
      <c r="C2738" s="7" t="s">
        <v>738</v>
      </c>
      <c r="D2738" s="17" t="s">
        <v>4449</v>
      </c>
      <c r="E2738" s="3" t="s">
        <v>4450</v>
      </c>
      <c r="F2738" s="3">
        <v>2</v>
      </c>
      <c r="N2738" s="48"/>
    </row>
    <row r="2739" spans="1:14" x14ac:dyDescent="0.45">
      <c r="A2739" s="3" t="s">
        <v>3715</v>
      </c>
      <c r="B2739" s="14">
        <v>36692</v>
      </c>
      <c r="C2739" s="7" t="s">
        <v>738</v>
      </c>
      <c r="D2739" s="17" t="s">
        <v>4451</v>
      </c>
      <c r="E2739" s="3" t="s">
        <v>4452</v>
      </c>
      <c r="F2739" s="3">
        <v>3</v>
      </c>
      <c r="N2739" s="48"/>
    </row>
    <row r="2740" spans="1:14" x14ac:dyDescent="0.45">
      <c r="A2740" s="3" t="s">
        <v>3715</v>
      </c>
      <c r="B2740" s="14">
        <v>36719</v>
      </c>
      <c r="C2740" s="7" t="s">
        <v>738</v>
      </c>
      <c r="D2740" s="17" t="s">
        <v>4453</v>
      </c>
      <c r="E2740" s="3" t="s">
        <v>4454</v>
      </c>
      <c r="F2740" s="3">
        <v>2</v>
      </c>
      <c r="N2740" s="48"/>
    </row>
    <row r="2741" spans="1:14" x14ac:dyDescent="0.45">
      <c r="A2741" s="3" t="s">
        <v>3715</v>
      </c>
      <c r="B2741" s="14">
        <v>36741</v>
      </c>
      <c r="C2741" s="7" t="s">
        <v>738</v>
      </c>
      <c r="D2741" s="17" t="s">
        <v>4455</v>
      </c>
      <c r="E2741" s="3" t="s">
        <v>4456</v>
      </c>
      <c r="F2741" s="3">
        <v>6</v>
      </c>
      <c r="N2741" s="48"/>
    </row>
    <row r="2742" spans="1:14" x14ac:dyDescent="0.45">
      <c r="A2742" s="3" t="s">
        <v>3715</v>
      </c>
      <c r="B2742" s="14">
        <v>36741</v>
      </c>
      <c r="C2742" s="7" t="s">
        <v>738</v>
      </c>
      <c r="D2742" s="17" t="s">
        <v>4457</v>
      </c>
      <c r="E2742" s="3" t="s">
        <v>4458</v>
      </c>
      <c r="F2742" s="3">
        <v>3</v>
      </c>
      <c r="N2742" s="48"/>
    </row>
    <row r="2743" spans="1:14" x14ac:dyDescent="0.45">
      <c r="A2743" s="3" t="s">
        <v>3715</v>
      </c>
      <c r="B2743" s="14">
        <v>36783</v>
      </c>
      <c r="C2743" s="7" t="s">
        <v>738</v>
      </c>
      <c r="D2743" s="17" t="s">
        <v>4459</v>
      </c>
      <c r="E2743" s="3" t="s">
        <v>4460</v>
      </c>
      <c r="F2743" s="3">
        <v>11</v>
      </c>
      <c r="N2743" s="48"/>
    </row>
    <row r="2744" spans="1:14" x14ac:dyDescent="0.45">
      <c r="A2744" s="3" t="s">
        <v>3715</v>
      </c>
      <c r="B2744" s="14">
        <v>36787</v>
      </c>
      <c r="C2744" s="7" t="s">
        <v>738</v>
      </c>
      <c r="D2744" s="17" t="s">
        <v>4461</v>
      </c>
      <c r="E2744" s="3" t="s">
        <v>4462</v>
      </c>
      <c r="F2744" s="3">
        <v>4</v>
      </c>
      <c r="N2744" s="48"/>
    </row>
    <row r="2745" spans="1:14" x14ac:dyDescent="0.45">
      <c r="A2745" s="3" t="s">
        <v>3715</v>
      </c>
      <c r="B2745" s="14">
        <v>36790</v>
      </c>
      <c r="C2745" s="7" t="s">
        <v>738</v>
      </c>
      <c r="D2745" s="17" t="s">
        <v>4463</v>
      </c>
      <c r="E2745" s="3" t="s">
        <v>4464</v>
      </c>
      <c r="F2745" s="3">
        <v>5</v>
      </c>
      <c r="N2745" s="48"/>
    </row>
    <row r="2746" spans="1:14" x14ac:dyDescent="0.45">
      <c r="A2746" s="3" t="s">
        <v>3715</v>
      </c>
      <c r="B2746" s="14">
        <v>36846</v>
      </c>
      <c r="C2746" s="7" t="s">
        <v>738</v>
      </c>
      <c r="D2746" s="17" t="s">
        <v>4465</v>
      </c>
      <c r="E2746" s="3" t="s">
        <v>4466</v>
      </c>
      <c r="F2746" s="3">
        <v>3</v>
      </c>
      <c r="N2746" s="48"/>
    </row>
    <row r="2747" spans="1:14" x14ac:dyDescent="0.45">
      <c r="A2747" s="3" t="s">
        <v>3715</v>
      </c>
      <c r="B2747" s="39">
        <v>32064</v>
      </c>
      <c r="C2747" s="7" t="s">
        <v>575</v>
      </c>
      <c r="E2747" s="24" t="s">
        <v>4467</v>
      </c>
      <c r="F2747" s="3">
        <v>12</v>
      </c>
      <c r="L2747" s="3" t="s">
        <v>4468</v>
      </c>
      <c r="N2747" s="48"/>
    </row>
    <row r="2748" spans="1:14" x14ac:dyDescent="0.45">
      <c r="A2748" s="3" t="s">
        <v>3715</v>
      </c>
      <c r="B2748" s="16">
        <v>42660</v>
      </c>
      <c r="C2748" s="7" t="s">
        <v>247</v>
      </c>
      <c r="E2748" s="24" t="s">
        <v>4469</v>
      </c>
      <c r="F2748" s="3">
        <v>28</v>
      </c>
      <c r="L2748" s="3" t="s">
        <v>4470</v>
      </c>
      <c r="N2748" s="48"/>
    </row>
    <row r="2749" spans="1:14" x14ac:dyDescent="0.45">
      <c r="A2749" s="3" t="s">
        <v>3715</v>
      </c>
      <c r="B2749" s="3" t="s">
        <v>4471</v>
      </c>
      <c r="C2749" s="7" t="s">
        <v>575</v>
      </c>
      <c r="E2749" s="24" t="s">
        <v>4472</v>
      </c>
      <c r="F2749" s="3">
        <v>18</v>
      </c>
      <c r="N2749" s="48"/>
    </row>
    <row r="2750" spans="1:14" x14ac:dyDescent="0.45">
      <c r="A2750" s="3" t="s">
        <v>3715</v>
      </c>
      <c r="B2750" s="3" t="s">
        <v>966</v>
      </c>
      <c r="C2750" s="7" t="s">
        <v>575</v>
      </c>
      <c r="E2750" s="24" t="s">
        <v>4473</v>
      </c>
      <c r="F2750" s="3">
        <v>7</v>
      </c>
      <c r="L2750" s="3" t="s">
        <v>4474</v>
      </c>
      <c r="N2750" s="48"/>
    </row>
    <row r="2751" spans="1:14" x14ac:dyDescent="0.45">
      <c r="A2751" s="3" t="s">
        <v>3715</v>
      </c>
      <c r="B2751" s="3" t="s">
        <v>966</v>
      </c>
      <c r="C2751" s="7" t="s">
        <v>575</v>
      </c>
      <c r="E2751" s="24" t="s">
        <v>4475</v>
      </c>
      <c r="F2751" s="3">
        <v>4</v>
      </c>
      <c r="N2751" s="48"/>
    </row>
    <row r="2752" spans="1:14" x14ac:dyDescent="0.45">
      <c r="A2752" s="3" t="s">
        <v>3715</v>
      </c>
      <c r="B2752" s="3" t="s">
        <v>966</v>
      </c>
      <c r="C2752" s="7" t="s">
        <v>575</v>
      </c>
      <c r="E2752" s="24" t="s">
        <v>4476</v>
      </c>
      <c r="F2752" s="3">
        <v>11</v>
      </c>
      <c r="L2752" s="3" t="s">
        <v>4474</v>
      </c>
      <c r="N2752" s="48"/>
    </row>
    <row r="2753" spans="1:14" x14ac:dyDescent="0.45">
      <c r="A2753" s="3" t="s">
        <v>3715</v>
      </c>
      <c r="B2753" s="3" t="s">
        <v>966</v>
      </c>
      <c r="C2753" s="7" t="s">
        <v>575</v>
      </c>
      <c r="E2753" s="24" t="s">
        <v>4477</v>
      </c>
      <c r="F2753" s="3">
        <v>13</v>
      </c>
      <c r="L2753" s="3" t="s">
        <v>4474</v>
      </c>
      <c r="N2753" s="48"/>
    </row>
    <row r="2754" spans="1:14" x14ac:dyDescent="0.45">
      <c r="A2754" s="3" t="s">
        <v>3715</v>
      </c>
      <c r="B2754" s="3" t="s">
        <v>966</v>
      </c>
      <c r="C2754" s="7" t="s">
        <v>575</v>
      </c>
      <c r="E2754" s="24" t="s">
        <v>4478</v>
      </c>
      <c r="F2754" s="3">
        <v>17</v>
      </c>
      <c r="L2754" s="3" t="s">
        <v>4474</v>
      </c>
      <c r="N2754" s="48"/>
    </row>
    <row r="2755" spans="1:14" x14ac:dyDescent="0.45">
      <c r="A2755" s="3" t="s">
        <v>3715</v>
      </c>
      <c r="B2755" s="3" t="s">
        <v>966</v>
      </c>
      <c r="C2755" s="7" t="s">
        <v>575</v>
      </c>
      <c r="E2755" s="24" t="s">
        <v>4479</v>
      </c>
      <c r="F2755" s="3">
        <v>53</v>
      </c>
      <c r="L2755" s="3" t="s">
        <v>4474</v>
      </c>
      <c r="N2755" s="48"/>
    </row>
    <row r="2756" spans="1:14" x14ac:dyDescent="0.45">
      <c r="A2756" s="3" t="s">
        <v>3715</v>
      </c>
      <c r="B2756" s="3" t="s">
        <v>966</v>
      </c>
      <c r="C2756" s="7" t="s">
        <v>575</v>
      </c>
      <c r="E2756" s="24" t="s">
        <v>4480</v>
      </c>
      <c r="F2756" s="3">
        <v>26</v>
      </c>
      <c r="L2756" s="3" t="s">
        <v>4474</v>
      </c>
      <c r="N2756" s="48"/>
    </row>
    <row r="2757" spans="1:14" x14ac:dyDescent="0.45">
      <c r="A2757" s="3" t="s">
        <v>3715</v>
      </c>
      <c r="B2757" s="3" t="s">
        <v>4481</v>
      </c>
      <c r="C2757" s="7" t="s">
        <v>575</v>
      </c>
      <c r="E2757" s="24" t="s">
        <v>4482</v>
      </c>
      <c r="F2757" s="3">
        <v>6</v>
      </c>
      <c r="N2757" s="48"/>
    </row>
    <row r="2758" spans="1:14" x14ac:dyDescent="0.45">
      <c r="A2758" s="3" t="s">
        <v>3715</v>
      </c>
      <c r="B2758" s="3" t="s">
        <v>966</v>
      </c>
      <c r="C2758" s="7" t="s">
        <v>575</v>
      </c>
      <c r="E2758" s="24" t="s">
        <v>4483</v>
      </c>
      <c r="F2758" s="3">
        <v>1</v>
      </c>
      <c r="N2758" s="48"/>
    </row>
    <row r="2759" spans="1:14" x14ac:dyDescent="0.45">
      <c r="A2759" s="3" t="s">
        <v>3715</v>
      </c>
      <c r="B2759" s="3" t="s">
        <v>966</v>
      </c>
      <c r="C2759" s="7" t="s">
        <v>575</v>
      </c>
      <c r="E2759" s="24" t="s">
        <v>4484</v>
      </c>
      <c r="F2759" s="3">
        <v>2</v>
      </c>
      <c r="N2759" s="48"/>
    </row>
    <row r="2760" spans="1:14" x14ac:dyDescent="0.45">
      <c r="A2760" s="3" t="s">
        <v>3715</v>
      </c>
      <c r="B2760" s="3" t="s">
        <v>966</v>
      </c>
      <c r="C2760" s="7" t="s">
        <v>575</v>
      </c>
      <c r="E2760" s="24" t="s">
        <v>4485</v>
      </c>
      <c r="F2760" s="3">
        <v>2</v>
      </c>
      <c r="N2760" s="48"/>
    </row>
    <row r="2761" spans="1:14" x14ac:dyDescent="0.45">
      <c r="A2761" s="3" t="s">
        <v>3715</v>
      </c>
      <c r="B2761" s="3" t="s">
        <v>966</v>
      </c>
      <c r="C2761" s="7" t="s">
        <v>575</v>
      </c>
      <c r="E2761" s="24" t="s">
        <v>4486</v>
      </c>
      <c r="F2761" s="3">
        <v>1</v>
      </c>
      <c r="N2761" s="48"/>
    </row>
    <row r="2762" spans="1:14" x14ac:dyDescent="0.45">
      <c r="A2762" s="3" t="s">
        <v>3715</v>
      </c>
      <c r="B2762" s="14">
        <v>45874</v>
      </c>
      <c r="C2762" s="7" t="s">
        <v>247</v>
      </c>
      <c r="E2762" s="24" t="s">
        <v>4487</v>
      </c>
      <c r="F2762" s="3">
        <v>393</v>
      </c>
      <c r="L2762" s="3" t="s">
        <v>4488</v>
      </c>
      <c r="N2762" s="48"/>
    </row>
    <row r="2763" spans="1:14" x14ac:dyDescent="0.45">
      <c r="A2763" s="3" t="s">
        <v>3715</v>
      </c>
      <c r="B2763" s="14">
        <v>44103</v>
      </c>
      <c r="C2763" s="7" t="s">
        <v>575</v>
      </c>
      <c r="E2763" s="24" t="s">
        <v>4489</v>
      </c>
      <c r="F2763" s="3">
        <v>4</v>
      </c>
      <c r="N2763" s="48"/>
    </row>
    <row r="2764" spans="1:14" x14ac:dyDescent="0.45">
      <c r="A2764" s="3" t="s">
        <v>3715</v>
      </c>
      <c r="B2764" s="41">
        <v>45323</v>
      </c>
      <c r="C2764" s="7" t="s">
        <v>592</v>
      </c>
      <c r="D2764" s="3" t="s">
        <v>4490</v>
      </c>
      <c r="E2764" s="24" t="s">
        <v>4491</v>
      </c>
      <c r="F2764" s="3">
        <v>11</v>
      </c>
      <c r="N2764" s="48"/>
    </row>
    <row r="2765" spans="1:14" x14ac:dyDescent="0.45">
      <c r="A2765" s="3" t="s">
        <v>3715</v>
      </c>
      <c r="B2765" s="41">
        <v>44244</v>
      </c>
      <c r="C2765" s="7" t="s">
        <v>592</v>
      </c>
      <c r="D2765" s="3" t="s">
        <v>4492</v>
      </c>
      <c r="E2765" s="24" t="s">
        <v>4493</v>
      </c>
      <c r="F2765" s="3">
        <v>3</v>
      </c>
      <c r="N2765" s="48"/>
    </row>
    <row r="2766" spans="1:14" x14ac:dyDescent="0.45">
      <c r="A2766" s="3" t="s">
        <v>3715</v>
      </c>
      <c r="B2766" s="41">
        <v>44858</v>
      </c>
      <c r="C2766" s="7" t="s">
        <v>592</v>
      </c>
      <c r="D2766" s="3" t="s">
        <v>4494</v>
      </c>
      <c r="E2766" s="24" t="s">
        <v>4495</v>
      </c>
      <c r="F2766" s="3">
        <v>25</v>
      </c>
      <c r="N2766" s="48"/>
    </row>
    <row r="2767" spans="1:14" x14ac:dyDescent="0.45">
      <c r="A2767" s="3" t="s">
        <v>3715</v>
      </c>
      <c r="B2767" s="41">
        <v>44875</v>
      </c>
      <c r="C2767" s="7" t="s">
        <v>592</v>
      </c>
      <c r="D2767" s="3" t="s">
        <v>4496</v>
      </c>
      <c r="E2767" s="24" t="s">
        <v>4497</v>
      </c>
      <c r="F2767" s="3">
        <v>6</v>
      </c>
      <c r="N2767" s="48"/>
    </row>
    <row r="2768" spans="1:14" x14ac:dyDescent="0.45">
      <c r="A2768" s="3" t="s">
        <v>3715</v>
      </c>
      <c r="B2768" s="41">
        <v>45569</v>
      </c>
      <c r="C2768" s="7" t="s">
        <v>592</v>
      </c>
      <c r="D2768" s="3" t="s">
        <v>4498</v>
      </c>
      <c r="E2768" s="24" t="s">
        <v>4499</v>
      </c>
      <c r="F2768" s="3">
        <v>3</v>
      </c>
      <c r="N2768" s="48"/>
    </row>
    <row r="2769" spans="1:14" x14ac:dyDescent="0.45">
      <c r="A2769" s="3" t="s">
        <v>3715</v>
      </c>
      <c r="B2769" s="41">
        <v>45569</v>
      </c>
      <c r="C2769" s="7" t="s">
        <v>592</v>
      </c>
      <c r="D2769" s="3" t="s">
        <v>4500</v>
      </c>
      <c r="E2769" s="24" t="s">
        <v>4501</v>
      </c>
      <c r="F2769" s="3">
        <v>3</v>
      </c>
      <c r="N2769" s="48"/>
    </row>
    <row r="2770" spans="1:14" x14ac:dyDescent="0.45">
      <c r="A2770" s="3" t="s">
        <v>3715</v>
      </c>
      <c r="B2770" s="41">
        <v>45432</v>
      </c>
      <c r="C2770" s="7" t="s">
        <v>592</v>
      </c>
      <c r="D2770" s="3" t="s">
        <v>4502</v>
      </c>
      <c r="E2770" s="24" t="s">
        <v>4503</v>
      </c>
      <c r="F2770" s="3">
        <v>16</v>
      </c>
      <c r="N2770" s="48"/>
    </row>
    <row r="2771" spans="1:14" x14ac:dyDescent="0.45">
      <c r="A2771" s="3" t="s">
        <v>3715</v>
      </c>
      <c r="B2771" s="41">
        <v>45267</v>
      </c>
      <c r="C2771" s="7" t="s">
        <v>592</v>
      </c>
      <c r="D2771" s="3" t="s">
        <v>4504</v>
      </c>
      <c r="E2771" s="24" t="s">
        <v>4505</v>
      </c>
      <c r="F2771" s="3">
        <v>9</v>
      </c>
      <c r="N2771" s="48"/>
    </row>
    <row r="2772" spans="1:14" x14ac:dyDescent="0.45">
      <c r="A2772" s="3" t="s">
        <v>3715</v>
      </c>
      <c r="B2772" s="41">
        <v>45702</v>
      </c>
      <c r="C2772" s="7" t="s">
        <v>592</v>
      </c>
      <c r="D2772" s="3" t="s">
        <v>4506</v>
      </c>
      <c r="E2772" s="24" t="s">
        <v>4507</v>
      </c>
      <c r="F2772" s="3">
        <v>4</v>
      </c>
      <c r="N2772" s="48"/>
    </row>
    <row r="2773" spans="1:14" x14ac:dyDescent="0.45">
      <c r="A2773" s="3" t="s">
        <v>3715</v>
      </c>
      <c r="B2773" s="41">
        <v>45792</v>
      </c>
      <c r="C2773" s="7" t="s">
        <v>592</v>
      </c>
      <c r="D2773" s="3" t="s">
        <v>4508</v>
      </c>
      <c r="E2773" s="24" t="s">
        <v>4509</v>
      </c>
      <c r="F2773" s="3">
        <v>3</v>
      </c>
      <c r="N2773" s="48"/>
    </row>
    <row r="2774" spans="1:14" x14ac:dyDescent="0.45">
      <c r="A2774" s="3" t="s">
        <v>3715</v>
      </c>
      <c r="B2774" s="41">
        <v>45569</v>
      </c>
      <c r="C2774" s="7" t="s">
        <v>575</v>
      </c>
      <c r="E2774" s="24" t="s">
        <v>4510</v>
      </c>
      <c r="F2774" s="3">
        <v>6</v>
      </c>
      <c r="L2774" s="3" t="s">
        <v>4511</v>
      </c>
      <c r="N2774" s="48"/>
    </row>
    <row r="2775" spans="1:14" x14ac:dyDescent="0.45">
      <c r="A2775" s="3" t="s">
        <v>3715</v>
      </c>
      <c r="B2775" s="41">
        <v>45569</v>
      </c>
      <c r="C2775" s="7" t="s">
        <v>575</v>
      </c>
      <c r="E2775" s="24" t="s">
        <v>4512</v>
      </c>
      <c r="F2775" s="3">
        <v>6</v>
      </c>
      <c r="L2775" s="3" t="s">
        <v>4513</v>
      </c>
      <c r="N2775" s="48"/>
    </row>
    <row r="2776" spans="1:14" x14ac:dyDescent="0.45">
      <c r="A2776" s="3" t="s">
        <v>3715</v>
      </c>
      <c r="B2776" s="41">
        <v>45792</v>
      </c>
      <c r="C2776" s="7" t="s">
        <v>575</v>
      </c>
      <c r="E2776" s="24" t="s">
        <v>4514</v>
      </c>
      <c r="F2776" s="3">
        <v>9</v>
      </c>
      <c r="L2776" s="3" t="s">
        <v>4515</v>
      </c>
      <c r="N2776" s="48"/>
    </row>
    <row r="2777" spans="1:14" x14ac:dyDescent="0.45">
      <c r="A2777" s="3" t="s">
        <v>3715</v>
      </c>
      <c r="B2777" s="16">
        <v>45791</v>
      </c>
      <c r="C2777" s="7" t="s">
        <v>575</v>
      </c>
      <c r="E2777" s="24" t="s">
        <v>4516</v>
      </c>
      <c r="F2777" s="3">
        <v>52</v>
      </c>
      <c r="L2777" s="3" t="s">
        <v>4517</v>
      </c>
      <c r="N2777" s="48"/>
    </row>
    <row r="2778" spans="1:14" x14ac:dyDescent="0.45">
      <c r="A2778" s="3" t="s">
        <v>3715</v>
      </c>
      <c r="B2778" s="16">
        <v>45636</v>
      </c>
      <c r="C2778" s="7" t="s">
        <v>302</v>
      </c>
      <c r="E2778" s="24" t="s">
        <v>4518</v>
      </c>
      <c r="F2778" s="3">
        <v>2</v>
      </c>
      <c r="L2778" s="3" t="s">
        <v>4519</v>
      </c>
      <c r="N2778" s="48"/>
    </row>
    <row r="2779" spans="1:14" x14ac:dyDescent="0.45">
      <c r="A2779" s="3" t="s">
        <v>3715</v>
      </c>
      <c r="B2779" s="16">
        <v>45805</v>
      </c>
      <c r="C2779" s="7" t="s">
        <v>575</v>
      </c>
      <c r="E2779" s="24" t="s">
        <v>4520</v>
      </c>
      <c r="F2779" s="3">
        <v>1</v>
      </c>
      <c r="N2779" s="48"/>
    </row>
    <row r="2780" spans="1:14" x14ac:dyDescent="0.45">
      <c r="A2780" s="3" t="s">
        <v>3715</v>
      </c>
      <c r="B2780" s="14">
        <v>45376</v>
      </c>
      <c r="C2780" s="7" t="s">
        <v>575</v>
      </c>
      <c r="E2780" s="24" t="s">
        <v>4521</v>
      </c>
      <c r="F2780" s="3">
        <v>29</v>
      </c>
      <c r="N2780" s="48"/>
    </row>
    <row r="2781" spans="1:14" x14ac:dyDescent="0.45">
      <c r="A2781" s="3" t="s">
        <v>3715</v>
      </c>
      <c r="B2781" s="14">
        <v>45376</v>
      </c>
      <c r="C2781" s="7" t="s">
        <v>575</v>
      </c>
      <c r="E2781" s="24" t="s">
        <v>4522</v>
      </c>
      <c r="F2781" s="3">
        <v>1</v>
      </c>
      <c r="N2781" s="48"/>
    </row>
    <row r="2782" spans="1:14" x14ac:dyDescent="0.45">
      <c r="A2782" s="3" t="s">
        <v>3715</v>
      </c>
      <c r="B2782" s="14">
        <v>45323</v>
      </c>
      <c r="C2782" s="7" t="s">
        <v>575</v>
      </c>
      <c r="E2782" s="24" t="s">
        <v>4523</v>
      </c>
      <c r="F2782" s="3">
        <v>1</v>
      </c>
      <c r="N2782" s="48"/>
    </row>
    <row r="2783" spans="1:14" x14ac:dyDescent="0.45">
      <c r="A2783" s="3" t="s">
        <v>3715</v>
      </c>
      <c r="B2783" s="14">
        <v>45376</v>
      </c>
      <c r="C2783" s="7" t="s">
        <v>575</v>
      </c>
      <c r="E2783" s="24" t="s">
        <v>4524</v>
      </c>
      <c r="F2783" s="3">
        <v>1</v>
      </c>
      <c r="N2783" s="48"/>
    </row>
    <row r="2784" spans="1:14" x14ac:dyDescent="0.45">
      <c r="A2784" s="3" t="s">
        <v>3715</v>
      </c>
      <c r="B2784" s="14">
        <v>45376</v>
      </c>
      <c r="C2784" s="7" t="s">
        <v>575</v>
      </c>
      <c r="E2784" s="24" t="s">
        <v>4525</v>
      </c>
      <c r="F2784" s="3">
        <v>1</v>
      </c>
      <c r="N2784" s="48"/>
    </row>
    <row r="2785" spans="1:14" x14ac:dyDescent="0.45">
      <c r="A2785" s="3" t="s">
        <v>3715</v>
      </c>
      <c r="B2785" s="3" t="s">
        <v>966</v>
      </c>
      <c r="C2785" s="7" t="s">
        <v>575</v>
      </c>
      <c r="E2785" s="24" t="s">
        <v>4526</v>
      </c>
      <c r="F2785" s="3">
        <v>2</v>
      </c>
      <c r="N2785" s="48"/>
    </row>
    <row r="2786" spans="1:14" x14ac:dyDescent="0.45">
      <c r="A2786" s="3" t="s">
        <v>3715</v>
      </c>
      <c r="B2786" s="3" t="s">
        <v>966</v>
      </c>
      <c r="C2786" s="7" t="s">
        <v>575</v>
      </c>
      <c r="E2786" s="24" t="s">
        <v>4527</v>
      </c>
      <c r="F2786" s="3">
        <v>3</v>
      </c>
      <c r="N2786" s="48"/>
    </row>
    <row r="2787" spans="1:14" x14ac:dyDescent="0.45">
      <c r="A2787" s="3" t="s">
        <v>3715</v>
      </c>
      <c r="B2787" s="14">
        <v>44739</v>
      </c>
      <c r="C2787" s="7" t="s">
        <v>575</v>
      </c>
      <c r="E2787" s="24" t="s">
        <v>4528</v>
      </c>
      <c r="F2787" s="3">
        <v>8</v>
      </c>
      <c r="N2787" s="48"/>
    </row>
    <row r="2788" spans="1:14" x14ac:dyDescent="0.45">
      <c r="A2788" s="3" t="s">
        <v>3715</v>
      </c>
      <c r="B2788" s="14">
        <v>44739</v>
      </c>
      <c r="C2788" s="7" t="s">
        <v>575</v>
      </c>
      <c r="E2788" s="24" t="s">
        <v>4529</v>
      </c>
      <c r="F2788" s="3">
        <v>3</v>
      </c>
      <c r="N2788" s="48"/>
    </row>
    <row r="2789" spans="1:14" x14ac:dyDescent="0.45">
      <c r="A2789" s="3" t="s">
        <v>3715</v>
      </c>
      <c r="B2789" s="14">
        <v>45930</v>
      </c>
      <c r="C2789" s="7" t="s">
        <v>575</v>
      </c>
      <c r="E2789" s="24" t="s">
        <v>4530</v>
      </c>
      <c r="F2789" s="3">
        <v>2</v>
      </c>
      <c r="N2789" s="48"/>
    </row>
    <row r="2790" spans="1:14" x14ac:dyDescent="0.45">
      <c r="A2790" s="3" t="s">
        <v>3715</v>
      </c>
      <c r="B2790" s="14">
        <v>45474</v>
      </c>
      <c r="C2790" s="7" t="s">
        <v>575</v>
      </c>
      <c r="E2790" s="24" t="s">
        <v>4531</v>
      </c>
      <c r="F2790" s="3">
        <v>1</v>
      </c>
      <c r="N2790" s="48"/>
    </row>
    <row r="2791" spans="1:14" x14ac:dyDescent="0.45">
      <c r="A2791" s="3" t="s">
        <v>3715</v>
      </c>
      <c r="B2791" s="14">
        <v>45476</v>
      </c>
      <c r="C2791" s="7" t="s">
        <v>575</v>
      </c>
      <c r="E2791" s="24" t="s">
        <v>4532</v>
      </c>
      <c r="F2791" s="3">
        <v>1</v>
      </c>
      <c r="N2791" s="48"/>
    </row>
    <row r="2792" spans="1:14" x14ac:dyDescent="0.45">
      <c r="A2792" s="3" t="s">
        <v>3715</v>
      </c>
      <c r="B2792" s="14">
        <v>45474</v>
      </c>
      <c r="C2792" s="7" t="s">
        <v>575</v>
      </c>
      <c r="E2792" s="24" t="s">
        <v>4533</v>
      </c>
      <c r="F2792" s="3">
        <v>2</v>
      </c>
      <c r="N2792" s="48"/>
    </row>
    <row r="2793" spans="1:14" x14ac:dyDescent="0.45">
      <c r="A2793" s="3" t="s">
        <v>3715</v>
      </c>
      <c r="B2793" s="14">
        <v>45474</v>
      </c>
      <c r="C2793" s="7" t="s">
        <v>575</v>
      </c>
      <c r="E2793" s="24" t="s">
        <v>4534</v>
      </c>
      <c r="F2793" s="3">
        <v>1</v>
      </c>
      <c r="N2793" s="48"/>
    </row>
    <row r="2794" spans="1:14" x14ac:dyDescent="0.45">
      <c r="A2794" s="3" t="s">
        <v>3715</v>
      </c>
      <c r="B2794" s="14">
        <v>45474</v>
      </c>
      <c r="C2794" s="7" t="s">
        <v>575</v>
      </c>
      <c r="E2794" s="24" t="s">
        <v>4535</v>
      </c>
      <c r="F2794" s="3">
        <v>2</v>
      </c>
      <c r="N2794" s="48"/>
    </row>
    <row r="2795" spans="1:14" x14ac:dyDescent="0.45">
      <c r="A2795" s="3" t="s">
        <v>3715</v>
      </c>
      <c r="B2795" s="14">
        <v>43903</v>
      </c>
      <c r="C2795" s="7" t="s">
        <v>592</v>
      </c>
      <c r="D2795" s="53" t="s">
        <v>4536</v>
      </c>
      <c r="E2795" s="3" t="s">
        <v>4537</v>
      </c>
      <c r="F2795" s="3" t="s">
        <v>1041</v>
      </c>
      <c r="L2795" s="3" t="s">
        <v>4538</v>
      </c>
      <c r="N2795" s="48"/>
    </row>
    <row r="2796" spans="1:14" x14ac:dyDescent="0.45">
      <c r="A2796" s="3" t="s">
        <v>3715</v>
      </c>
      <c r="B2796" s="14">
        <v>44334</v>
      </c>
      <c r="C2796" s="7" t="s">
        <v>592</v>
      </c>
      <c r="D2796" s="53" t="s">
        <v>4539</v>
      </c>
      <c r="E2796" s="3" t="s">
        <v>4540</v>
      </c>
      <c r="F2796" s="3" t="s">
        <v>1041</v>
      </c>
      <c r="L2796" s="3" t="s">
        <v>4538</v>
      </c>
      <c r="N2796" s="48"/>
    </row>
    <row r="2797" spans="1:14" x14ac:dyDescent="0.45">
      <c r="A2797" s="3" t="s">
        <v>3715</v>
      </c>
      <c r="B2797" s="14">
        <v>44666</v>
      </c>
      <c r="C2797" s="7" t="s">
        <v>592</v>
      </c>
      <c r="D2797" s="53" t="s">
        <v>4541</v>
      </c>
      <c r="E2797" s="3" t="s">
        <v>4542</v>
      </c>
      <c r="F2797" s="3" t="s">
        <v>1041</v>
      </c>
      <c r="L2797" s="3" t="s">
        <v>4538</v>
      </c>
      <c r="N2797" s="48"/>
    </row>
    <row r="2798" spans="1:14" x14ac:dyDescent="0.45">
      <c r="A2798" s="3" t="s">
        <v>3715</v>
      </c>
      <c r="B2798" s="14">
        <v>44351</v>
      </c>
      <c r="C2798" s="7" t="s">
        <v>592</v>
      </c>
      <c r="D2798" s="53" t="s">
        <v>4543</v>
      </c>
      <c r="E2798" s="3" t="s">
        <v>4544</v>
      </c>
      <c r="F2798" s="3" t="s">
        <v>1041</v>
      </c>
      <c r="L2798" s="3" t="s">
        <v>4538</v>
      </c>
      <c r="N2798" s="48"/>
    </row>
    <row r="2799" spans="1:14" x14ac:dyDescent="0.45">
      <c r="A2799" s="3" t="s">
        <v>3715</v>
      </c>
      <c r="B2799" s="14">
        <v>44958</v>
      </c>
      <c r="C2799" s="7" t="s">
        <v>592</v>
      </c>
      <c r="D2799" s="53" t="s">
        <v>4545</v>
      </c>
      <c r="E2799" s="3" t="s">
        <v>4546</v>
      </c>
      <c r="F2799" s="3" t="s">
        <v>1041</v>
      </c>
      <c r="L2799" s="3" t="s">
        <v>4538</v>
      </c>
      <c r="N2799" s="48"/>
    </row>
    <row r="2800" spans="1:14" x14ac:dyDescent="0.45">
      <c r="A2800" s="3" t="s">
        <v>3715</v>
      </c>
      <c r="B2800" s="14">
        <v>44739</v>
      </c>
      <c r="C2800" s="7" t="s">
        <v>592</v>
      </c>
      <c r="D2800" s="53" t="s">
        <v>4547</v>
      </c>
      <c r="E2800" s="3" t="s">
        <v>4548</v>
      </c>
      <c r="F2800" s="3" t="s">
        <v>1041</v>
      </c>
      <c r="L2800" s="3" t="s">
        <v>4538</v>
      </c>
      <c r="N2800" s="48"/>
    </row>
    <row r="2801" spans="1:14" x14ac:dyDescent="0.45">
      <c r="A2801" s="3" t="s">
        <v>3715</v>
      </c>
      <c r="B2801" s="14">
        <v>45176</v>
      </c>
      <c r="C2801" s="7" t="s">
        <v>592</v>
      </c>
      <c r="D2801" s="53" t="s">
        <v>4549</v>
      </c>
      <c r="E2801" s="3" t="s">
        <v>4550</v>
      </c>
      <c r="F2801" s="3" t="s">
        <v>1041</v>
      </c>
      <c r="L2801" s="3" t="s">
        <v>4538</v>
      </c>
      <c r="N2801" s="48"/>
    </row>
    <row r="2802" spans="1:14" x14ac:dyDescent="0.45">
      <c r="A2802" s="3" t="s">
        <v>3715</v>
      </c>
      <c r="B2802" s="14">
        <v>45335</v>
      </c>
      <c r="C2802" s="7" t="s">
        <v>592</v>
      </c>
      <c r="D2802" s="53" t="s">
        <v>4551</v>
      </c>
      <c r="E2802" s="3" t="s">
        <v>4552</v>
      </c>
      <c r="F2802" s="3" t="s">
        <v>1041</v>
      </c>
      <c r="L2802" s="3" t="s">
        <v>4538</v>
      </c>
      <c r="N2802" s="48"/>
    </row>
    <row r="2803" spans="1:14" x14ac:dyDescent="0.45">
      <c r="A2803" s="3" t="s">
        <v>3715</v>
      </c>
      <c r="B2803" s="14">
        <v>45335</v>
      </c>
      <c r="C2803" s="7" t="s">
        <v>592</v>
      </c>
      <c r="D2803" s="53" t="s">
        <v>4553</v>
      </c>
      <c r="E2803" s="3" t="s">
        <v>4554</v>
      </c>
      <c r="F2803" s="3" t="s">
        <v>1041</v>
      </c>
      <c r="L2803" s="3" t="s">
        <v>4538</v>
      </c>
      <c r="N2803" s="48"/>
    </row>
    <row r="2804" spans="1:14" x14ac:dyDescent="0.45">
      <c r="A2804" s="3" t="s">
        <v>3715</v>
      </c>
      <c r="B2804" s="14">
        <v>44316</v>
      </c>
      <c r="C2804" s="7" t="s">
        <v>592</v>
      </c>
      <c r="D2804" s="53" t="s">
        <v>4555</v>
      </c>
      <c r="E2804" s="3" t="s">
        <v>4556</v>
      </c>
      <c r="F2804" s="3" t="s">
        <v>1041</v>
      </c>
      <c r="L2804" s="3" t="s">
        <v>4538</v>
      </c>
      <c r="N2804" s="48"/>
    </row>
    <row r="2805" spans="1:14" x14ac:dyDescent="0.45">
      <c r="A2805" s="3" t="s">
        <v>3715</v>
      </c>
      <c r="B2805" s="14">
        <v>44628</v>
      </c>
      <c r="C2805" s="7" t="s">
        <v>592</v>
      </c>
      <c r="D2805" s="53" t="s">
        <v>4557</v>
      </c>
      <c r="E2805" s="3" t="s">
        <v>4558</v>
      </c>
      <c r="F2805" s="3" t="s">
        <v>1041</v>
      </c>
      <c r="L2805" s="3" t="s">
        <v>4538</v>
      </c>
      <c r="N2805" s="48"/>
    </row>
    <row r="2806" spans="1:14" x14ac:dyDescent="0.45">
      <c r="A2806" s="3" t="s">
        <v>3715</v>
      </c>
      <c r="B2806" s="14">
        <v>45335</v>
      </c>
      <c r="C2806" s="7" t="s">
        <v>592</v>
      </c>
      <c r="D2806" s="53" t="s">
        <v>4559</v>
      </c>
      <c r="E2806" s="3" t="s">
        <v>4560</v>
      </c>
      <c r="F2806" s="3" t="s">
        <v>1041</v>
      </c>
      <c r="L2806" s="3" t="s">
        <v>4538</v>
      </c>
      <c r="N2806" s="48"/>
    </row>
    <row r="2807" spans="1:14" x14ac:dyDescent="0.45">
      <c r="A2807" s="3" t="s">
        <v>3715</v>
      </c>
      <c r="B2807" s="14">
        <v>44858</v>
      </c>
      <c r="C2807" s="7" t="s">
        <v>592</v>
      </c>
      <c r="D2807" s="53" t="s">
        <v>4561</v>
      </c>
      <c r="E2807" s="3" t="s">
        <v>4562</v>
      </c>
      <c r="F2807" s="3" t="s">
        <v>1041</v>
      </c>
      <c r="L2807" s="3" t="s">
        <v>4538</v>
      </c>
      <c r="N2807" s="48"/>
    </row>
    <row r="2808" spans="1:14" x14ac:dyDescent="0.45">
      <c r="A2808" s="3" t="s">
        <v>3715</v>
      </c>
      <c r="B2808" s="14">
        <v>45565</v>
      </c>
      <c r="C2808" s="7" t="s">
        <v>592</v>
      </c>
      <c r="D2808" s="53" t="s">
        <v>4563</v>
      </c>
      <c r="E2808" s="3" t="s">
        <v>4564</v>
      </c>
      <c r="F2808" s="3" t="s">
        <v>1041</v>
      </c>
      <c r="L2808" s="3" t="s">
        <v>4538</v>
      </c>
      <c r="N2808" s="48"/>
    </row>
    <row r="2809" spans="1:14" x14ac:dyDescent="0.45">
      <c r="A2809" s="3" t="s">
        <v>3715</v>
      </c>
      <c r="B2809" s="14">
        <v>45442</v>
      </c>
      <c r="C2809" s="7" t="s">
        <v>592</v>
      </c>
      <c r="D2809" s="53" t="s">
        <v>4565</v>
      </c>
      <c r="E2809" s="3" t="s">
        <v>4566</v>
      </c>
      <c r="F2809" s="3" t="s">
        <v>1041</v>
      </c>
      <c r="L2809" s="3" t="s">
        <v>4538</v>
      </c>
      <c r="N2809" s="48"/>
    </row>
    <row r="2810" spans="1:14" x14ac:dyDescent="0.45">
      <c r="A2810" s="3" t="s">
        <v>3715</v>
      </c>
      <c r="B2810" s="14">
        <v>45706</v>
      </c>
      <c r="C2810" s="7" t="s">
        <v>592</v>
      </c>
      <c r="D2810" s="53" t="s">
        <v>4567</v>
      </c>
      <c r="E2810" s="3" t="s">
        <v>4568</v>
      </c>
      <c r="F2810" s="3" t="s">
        <v>1041</v>
      </c>
      <c r="L2810" s="3" t="s">
        <v>4538</v>
      </c>
      <c r="N2810" s="48"/>
    </row>
    <row r="2811" spans="1:14" x14ac:dyDescent="0.45">
      <c r="A2811" s="3" t="s">
        <v>3715</v>
      </c>
      <c r="B2811" s="14">
        <v>45495</v>
      </c>
      <c r="C2811" s="7" t="s">
        <v>592</v>
      </c>
      <c r="D2811" s="53" t="s">
        <v>4569</v>
      </c>
      <c r="E2811" s="3" t="s">
        <v>4570</v>
      </c>
      <c r="F2811" s="3" t="s">
        <v>1041</v>
      </c>
      <c r="L2811" s="3" t="s">
        <v>4538</v>
      </c>
      <c r="N2811" s="48"/>
    </row>
    <row r="2812" spans="1:14" x14ac:dyDescent="0.45">
      <c r="A2812" s="3" t="s">
        <v>3715</v>
      </c>
      <c r="B2812" s="14">
        <v>45139</v>
      </c>
      <c r="C2812" s="7" t="s">
        <v>575</v>
      </c>
      <c r="E2812" s="24" t="s">
        <v>4571</v>
      </c>
      <c r="F2812" s="3">
        <v>2</v>
      </c>
      <c r="N2812" s="48"/>
    </row>
    <row r="2813" spans="1:14" x14ac:dyDescent="0.45">
      <c r="A2813" s="3" t="s">
        <v>3715</v>
      </c>
      <c r="B2813" s="14">
        <v>45488</v>
      </c>
      <c r="C2813" s="7" t="s">
        <v>575</v>
      </c>
      <c r="E2813" s="24" t="s">
        <v>4572</v>
      </c>
      <c r="F2813" s="3">
        <v>1</v>
      </c>
      <c r="N2813" s="48"/>
    </row>
    <row r="2814" spans="1:14" x14ac:dyDescent="0.45">
      <c r="A2814" s="3" t="s">
        <v>3715</v>
      </c>
      <c r="B2814" s="14">
        <v>42846</v>
      </c>
      <c r="C2814" s="7" t="s">
        <v>25</v>
      </c>
      <c r="D2814" s="3" t="s">
        <v>520</v>
      </c>
      <c r="E2814" s="24" t="s">
        <v>4573</v>
      </c>
      <c r="F2814" s="3">
        <v>1</v>
      </c>
      <c r="N2814" s="48"/>
    </row>
    <row r="2815" spans="1:14" x14ac:dyDescent="0.45">
      <c r="A2815" s="3" t="s">
        <v>3715</v>
      </c>
      <c r="B2815" s="14">
        <v>42075</v>
      </c>
      <c r="C2815" s="7" t="s">
        <v>575</v>
      </c>
      <c r="E2815" s="24" t="s">
        <v>4574</v>
      </c>
      <c r="F2815" s="3">
        <v>1</v>
      </c>
      <c r="N2815" s="48"/>
    </row>
    <row r="2816" spans="1:14" x14ac:dyDescent="0.45">
      <c r="A2816" s="3" t="s">
        <v>3715</v>
      </c>
      <c r="B2816" s="14">
        <v>41479</v>
      </c>
      <c r="C2816" s="7" t="s">
        <v>575</v>
      </c>
      <c r="E2816" s="24" t="s">
        <v>4575</v>
      </c>
      <c r="F2816" s="3">
        <v>2</v>
      </c>
      <c r="N2816" s="48"/>
    </row>
    <row r="2817" spans="1:14" customFormat="1" x14ac:dyDescent="0.45">
      <c r="A2817" s="3" t="s">
        <v>4576</v>
      </c>
      <c r="B2817" s="35">
        <v>43965</v>
      </c>
      <c r="C2817" s="7" t="s">
        <v>575</v>
      </c>
      <c r="D2817" s="3"/>
      <c r="E2817" s="3" t="s">
        <v>4577</v>
      </c>
      <c r="F2817" s="3">
        <v>21</v>
      </c>
      <c r="G2817" s="2"/>
      <c r="H2817" s="2"/>
      <c r="I2817" s="2"/>
      <c r="J2817" s="2"/>
      <c r="K2817" s="2"/>
      <c r="L2817" s="3"/>
      <c r="M2817" s="3" t="s">
        <v>4578</v>
      </c>
      <c r="N2817" s="48"/>
    </row>
    <row r="2818" spans="1:14" customFormat="1" x14ac:dyDescent="0.45">
      <c r="A2818" s="3" t="s">
        <v>4576</v>
      </c>
      <c r="B2818" s="35">
        <v>43761</v>
      </c>
      <c r="C2818" s="7" t="s">
        <v>25</v>
      </c>
      <c r="D2818" s="3"/>
      <c r="E2818" s="3" t="s">
        <v>4579</v>
      </c>
      <c r="F2818" s="3">
        <v>10</v>
      </c>
      <c r="G2818" s="2"/>
      <c r="H2818" s="2"/>
      <c r="I2818" s="2"/>
      <c r="J2818" s="2"/>
      <c r="K2818" s="2"/>
      <c r="L2818" s="3"/>
      <c r="M2818" s="3" t="s">
        <v>4580</v>
      </c>
      <c r="N2818" s="48"/>
    </row>
    <row r="2819" spans="1:14" customFormat="1" x14ac:dyDescent="0.45">
      <c r="A2819" s="3" t="s">
        <v>4576</v>
      </c>
      <c r="B2819" s="35">
        <v>42641</v>
      </c>
      <c r="C2819" s="7" t="s">
        <v>575</v>
      </c>
      <c r="D2819" s="3"/>
      <c r="E2819" s="3" t="s">
        <v>4581</v>
      </c>
      <c r="F2819" s="3">
        <v>2</v>
      </c>
      <c r="G2819" s="2"/>
      <c r="H2819" s="2"/>
      <c r="I2819" s="2"/>
      <c r="J2819" s="2"/>
      <c r="K2819" s="2"/>
      <c r="L2819" s="3"/>
      <c r="M2819" s="3" t="s">
        <v>4582</v>
      </c>
      <c r="N2819" s="48"/>
    </row>
    <row r="2820" spans="1:14" customFormat="1" x14ac:dyDescent="0.45">
      <c r="A2820" s="3" t="s">
        <v>4576</v>
      </c>
      <c r="B2820" s="35">
        <v>42502</v>
      </c>
      <c r="C2820" s="7" t="s">
        <v>575</v>
      </c>
      <c r="D2820" s="3"/>
      <c r="E2820" s="3" t="s">
        <v>4583</v>
      </c>
      <c r="F2820" s="3">
        <v>1</v>
      </c>
      <c r="G2820" s="2"/>
      <c r="H2820" s="2"/>
      <c r="I2820" s="2"/>
      <c r="J2820" s="2"/>
      <c r="K2820" s="2"/>
      <c r="L2820" s="3" t="s">
        <v>4584</v>
      </c>
      <c r="M2820" s="3" t="s">
        <v>4585</v>
      </c>
      <c r="N2820" s="48"/>
    </row>
    <row r="2821" spans="1:14" customFormat="1" x14ac:dyDescent="0.45">
      <c r="A2821" s="3" t="s">
        <v>4576</v>
      </c>
      <c r="B2821" s="35">
        <v>42122</v>
      </c>
      <c r="C2821" s="7" t="s">
        <v>25</v>
      </c>
      <c r="D2821" s="3"/>
      <c r="E2821" s="3" t="s">
        <v>4586</v>
      </c>
      <c r="F2821" s="3">
        <v>7</v>
      </c>
      <c r="G2821" s="2"/>
      <c r="H2821" s="2"/>
      <c r="I2821" s="2"/>
      <c r="J2821" s="2"/>
      <c r="K2821" s="2"/>
      <c r="L2821" s="3"/>
      <c r="M2821" s="3" t="s">
        <v>4587</v>
      </c>
      <c r="N2821" s="48"/>
    </row>
    <row r="2822" spans="1:14" customFormat="1" x14ac:dyDescent="0.45">
      <c r="A2822" s="3" t="s">
        <v>4576</v>
      </c>
      <c r="B2822" s="35">
        <v>42045</v>
      </c>
      <c r="C2822" s="7" t="s">
        <v>575</v>
      </c>
      <c r="D2822" s="3"/>
      <c r="E2822" s="3" t="s">
        <v>4588</v>
      </c>
      <c r="F2822" s="3">
        <v>3</v>
      </c>
      <c r="G2822" s="2"/>
      <c r="H2822" s="2"/>
      <c r="I2822" s="2"/>
      <c r="J2822" s="2"/>
      <c r="K2822" s="2"/>
      <c r="L2822" s="3"/>
      <c r="M2822" s="3" t="s">
        <v>4589</v>
      </c>
      <c r="N2822" s="48"/>
    </row>
    <row r="2823" spans="1:14" customFormat="1" x14ac:dyDescent="0.45">
      <c r="A2823" s="3" t="s">
        <v>4576</v>
      </c>
      <c r="B2823" s="35">
        <v>41264</v>
      </c>
      <c r="C2823" s="7" t="s">
        <v>592</v>
      </c>
      <c r="D2823" s="3"/>
      <c r="E2823" s="3" t="s">
        <v>4590</v>
      </c>
      <c r="F2823" s="3">
        <v>281</v>
      </c>
      <c r="G2823" s="2"/>
      <c r="H2823" s="2"/>
      <c r="I2823" s="2"/>
      <c r="J2823" s="2"/>
      <c r="K2823" s="2"/>
      <c r="L2823" s="3"/>
      <c r="M2823" s="3" t="s">
        <v>4591</v>
      </c>
      <c r="N2823" s="48"/>
    </row>
    <row r="2824" spans="1:14" customFormat="1" x14ac:dyDescent="0.45">
      <c r="A2824" s="3" t="s">
        <v>4576</v>
      </c>
      <c r="B2824" s="35">
        <v>41102</v>
      </c>
      <c r="C2824" s="7" t="s">
        <v>25</v>
      </c>
      <c r="D2824" s="3" t="s">
        <v>4592</v>
      </c>
      <c r="E2824" s="3" t="s">
        <v>4593</v>
      </c>
      <c r="F2824" s="3">
        <v>3</v>
      </c>
      <c r="G2824" s="2"/>
      <c r="H2824" s="2"/>
      <c r="I2824" s="2"/>
      <c r="J2824" s="2"/>
      <c r="K2824" s="2"/>
      <c r="L2824" s="3"/>
      <c r="M2824" s="3" t="s">
        <v>4594</v>
      </c>
      <c r="N2824" s="48"/>
    </row>
    <row r="2825" spans="1:14" customFormat="1" x14ac:dyDescent="0.45">
      <c r="A2825" s="3" t="s">
        <v>4576</v>
      </c>
      <c r="B2825" s="32">
        <v>45014</v>
      </c>
      <c r="C2825" s="7" t="s">
        <v>302</v>
      </c>
      <c r="D2825" s="3"/>
      <c r="E2825" s="24" t="s">
        <v>4595</v>
      </c>
      <c r="F2825" s="3">
        <v>2</v>
      </c>
      <c r="G2825" s="2"/>
      <c r="H2825" s="2"/>
      <c r="I2825" s="2"/>
      <c r="J2825" s="2"/>
      <c r="K2825" s="2"/>
      <c r="L2825" s="3"/>
      <c r="M2825" s="3"/>
      <c r="N2825" s="48"/>
    </row>
    <row r="2826" spans="1:14" customFormat="1" x14ac:dyDescent="0.45">
      <c r="A2826" s="3" t="s">
        <v>4576</v>
      </c>
      <c r="B2826" s="32">
        <v>45037</v>
      </c>
      <c r="C2826" s="7" t="s">
        <v>302</v>
      </c>
      <c r="D2826" s="3"/>
      <c r="E2826" s="24" t="s">
        <v>4596</v>
      </c>
      <c r="F2826" s="3">
        <v>3</v>
      </c>
      <c r="G2826" s="2"/>
      <c r="H2826" s="2"/>
      <c r="I2826" s="2"/>
      <c r="J2826" s="2"/>
      <c r="K2826" s="2"/>
      <c r="L2826" s="3"/>
      <c r="M2826" s="3"/>
      <c r="N2826" s="48"/>
    </row>
    <row r="2827" spans="1:14" customFormat="1" x14ac:dyDescent="0.45">
      <c r="A2827" s="3" t="s">
        <v>4576</v>
      </c>
      <c r="B2827" s="16">
        <v>44817</v>
      </c>
      <c r="C2827" s="7" t="s">
        <v>302</v>
      </c>
      <c r="D2827" s="3"/>
      <c r="E2827" s="24" t="s">
        <v>4597</v>
      </c>
      <c r="F2827" s="3">
        <v>7</v>
      </c>
      <c r="G2827" s="2"/>
      <c r="H2827" s="2"/>
      <c r="I2827" s="2"/>
      <c r="J2827" s="2"/>
      <c r="K2827" s="2"/>
      <c r="L2827" s="3" t="s">
        <v>4598</v>
      </c>
      <c r="M2827" s="3"/>
      <c r="N2827" s="48"/>
    </row>
    <row r="2828" spans="1:14" customFormat="1" x14ac:dyDescent="0.45">
      <c r="A2828" s="3" t="s">
        <v>4576</v>
      </c>
      <c r="B2828" s="16">
        <v>44781</v>
      </c>
      <c r="C2828" s="7" t="s">
        <v>302</v>
      </c>
      <c r="D2828" s="3"/>
      <c r="E2828" s="24" t="s">
        <v>4599</v>
      </c>
      <c r="F2828" s="3">
        <v>2</v>
      </c>
      <c r="G2828" s="2"/>
      <c r="H2828" s="2"/>
      <c r="I2828" s="2"/>
      <c r="J2828" s="2"/>
      <c r="K2828" s="2"/>
      <c r="L2828" s="3" t="s">
        <v>4598</v>
      </c>
      <c r="M2828" s="3"/>
      <c r="N2828" s="48"/>
    </row>
    <row r="2829" spans="1:14" customFormat="1" x14ac:dyDescent="0.45">
      <c r="A2829" s="3" t="s">
        <v>4576</v>
      </c>
      <c r="B2829" s="16">
        <v>44777</v>
      </c>
      <c r="C2829" s="7" t="s">
        <v>302</v>
      </c>
      <c r="D2829" s="3"/>
      <c r="E2829" s="24" t="s">
        <v>4600</v>
      </c>
      <c r="F2829" s="3">
        <v>3</v>
      </c>
      <c r="G2829" s="2"/>
      <c r="H2829" s="2"/>
      <c r="I2829" s="2"/>
      <c r="J2829" s="2"/>
      <c r="K2829" s="2"/>
      <c r="L2829" s="3" t="s">
        <v>4598</v>
      </c>
      <c r="M2829" s="3"/>
      <c r="N2829" s="48"/>
    </row>
    <row r="2830" spans="1:14" customFormat="1" x14ac:dyDescent="0.45">
      <c r="A2830" s="3" t="s">
        <v>4576</v>
      </c>
      <c r="B2830" s="16">
        <v>44781</v>
      </c>
      <c r="C2830" s="7" t="s">
        <v>302</v>
      </c>
      <c r="D2830" s="3"/>
      <c r="E2830" s="24" t="s">
        <v>4601</v>
      </c>
      <c r="F2830" s="3">
        <v>5</v>
      </c>
      <c r="G2830" s="2"/>
      <c r="H2830" s="2"/>
      <c r="I2830" s="2"/>
      <c r="J2830" s="2"/>
      <c r="K2830" s="2"/>
      <c r="L2830" s="3" t="s">
        <v>4598</v>
      </c>
      <c r="M2830" s="3"/>
      <c r="N2830" s="48"/>
    </row>
    <row r="2831" spans="1:14" customFormat="1" x14ac:dyDescent="0.45">
      <c r="A2831" s="3" t="s">
        <v>4576</v>
      </c>
      <c r="B2831" s="16">
        <v>44470</v>
      </c>
      <c r="C2831" s="7" t="s">
        <v>302</v>
      </c>
      <c r="D2831" s="3"/>
      <c r="E2831" s="24" t="s">
        <v>4602</v>
      </c>
      <c r="F2831" s="3">
        <v>2</v>
      </c>
      <c r="G2831" s="2"/>
      <c r="H2831" s="2"/>
      <c r="I2831" s="2"/>
      <c r="J2831" s="2"/>
      <c r="K2831" s="2"/>
      <c r="L2831" s="3" t="s">
        <v>4603</v>
      </c>
      <c r="M2831" s="3"/>
      <c r="N2831" s="48"/>
    </row>
    <row r="2832" spans="1:14" customFormat="1" x14ac:dyDescent="0.45">
      <c r="A2832" s="3" t="s">
        <v>4576</v>
      </c>
      <c r="B2832" s="3" t="s">
        <v>966</v>
      </c>
      <c r="C2832" s="7" t="s">
        <v>302</v>
      </c>
      <c r="D2832" s="3"/>
      <c r="E2832" s="24" t="s">
        <v>4604</v>
      </c>
      <c r="F2832" s="3" t="s">
        <v>1041</v>
      </c>
      <c r="G2832" s="2"/>
      <c r="H2832" s="2"/>
      <c r="I2832" s="2"/>
      <c r="J2832" s="2"/>
      <c r="K2832" s="2"/>
      <c r="L2832" s="3"/>
      <c r="M2832" s="3"/>
      <c r="N2832" s="48"/>
    </row>
    <row r="2833" spans="1:14" customFormat="1" x14ac:dyDescent="0.45">
      <c r="A2833" s="3" t="s">
        <v>4605</v>
      </c>
      <c r="B2833" s="35">
        <v>45846</v>
      </c>
      <c r="C2833" s="7" t="s">
        <v>587</v>
      </c>
      <c r="D2833" s="3"/>
      <c r="E2833" s="24" t="s">
        <v>4606</v>
      </c>
      <c r="F2833" s="3">
        <v>5</v>
      </c>
      <c r="G2833" s="2"/>
      <c r="H2833" s="2"/>
      <c r="I2833" s="2"/>
      <c r="J2833" s="2"/>
      <c r="K2833" s="2"/>
      <c r="L2833" s="3"/>
      <c r="M2833" s="3"/>
      <c r="N2833" s="48"/>
    </row>
    <row r="2834" spans="1:14" customFormat="1" x14ac:dyDescent="0.45">
      <c r="A2834" s="3" t="s">
        <v>4605</v>
      </c>
      <c r="B2834" s="32">
        <v>41275</v>
      </c>
      <c r="C2834" s="7" t="s">
        <v>247</v>
      </c>
      <c r="D2834" s="3"/>
      <c r="E2834" s="24" t="s">
        <v>4607</v>
      </c>
      <c r="F2834" s="3">
        <v>1</v>
      </c>
      <c r="G2834" s="2"/>
      <c r="H2834" s="2"/>
      <c r="I2834" s="2"/>
      <c r="J2834" s="2"/>
      <c r="K2834" s="2"/>
      <c r="L2834" s="3" t="s">
        <v>4608</v>
      </c>
      <c r="M2834" s="3"/>
      <c r="N2834" s="48"/>
    </row>
    <row r="2835" spans="1:14" customFormat="1" x14ac:dyDescent="0.45">
      <c r="A2835" s="3" t="s">
        <v>4609</v>
      </c>
      <c r="B2835" s="35">
        <v>45674</v>
      </c>
      <c r="C2835" s="7" t="s">
        <v>25</v>
      </c>
      <c r="D2835" s="3" t="s">
        <v>4610</v>
      </c>
      <c r="E2835" s="3" t="s">
        <v>4611</v>
      </c>
      <c r="F2835" s="3">
        <v>3</v>
      </c>
      <c r="G2835" s="2"/>
      <c r="H2835" s="2"/>
      <c r="I2835" s="2"/>
      <c r="J2835" s="2"/>
      <c r="K2835" s="2"/>
      <c r="L2835" s="3"/>
      <c r="M2835" s="3" t="s">
        <v>4612</v>
      </c>
      <c r="N2835" s="48"/>
    </row>
    <row r="2836" spans="1:14" customFormat="1" x14ac:dyDescent="0.45">
      <c r="A2836" s="3" t="s">
        <v>4609</v>
      </c>
      <c r="B2836" s="35">
        <v>45674</v>
      </c>
      <c r="C2836" s="7" t="s">
        <v>25</v>
      </c>
      <c r="D2836" s="3" t="s">
        <v>4613</v>
      </c>
      <c r="E2836" s="3" t="s">
        <v>4614</v>
      </c>
      <c r="F2836" s="3">
        <v>4</v>
      </c>
      <c r="G2836" s="2"/>
      <c r="H2836" s="2"/>
      <c r="I2836" s="2"/>
      <c r="J2836" s="2"/>
      <c r="K2836" s="2"/>
      <c r="L2836" s="3"/>
      <c r="M2836" s="3" t="s">
        <v>4615</v>
      </c>
      <c r="N2836" s="48"/>
    </row>
    <row r="2837" spans="1:14" customFormat="1" x14ac:dyDescent="0.45">
      <c r="A2837" s="3" t="s">
        <v>4609</v>
      </c>
      <c r="B2837" s="35">
        <v>45673</v>
      </c>
      <c r="C2837" s="7" t="s">
        <v>587</v>
      </c>
      <c r="D2837" s="3" t="s">
        <v>4616</v>
      </c>
      <c r="E2837" s="3" t="s">
        <v>4617</v>
      </c>
      <c r="F2837" s="3">
        <v>4</v>
      </c>
      <c r="G2837" s="2"/>
      <c r="H2837" s="2"/>
      <c r="I2837" s="2"/>
      <c r="J2837" s="2"/>
      <c r="K2837" s="2"/>
      <c r="L2837" s="3"/>
      <c r="M2837" s="3" t="s">
        <v>4618</v>
      </c>
      <c r="N2837" s="48"/>
    </row>
    <row r="2838" spans="1:14" customFormat="1" x14ac:dyDescent="0.45">
      <c r="A2838" s="3" t="s">
        <v>4609</v>
      </c>
      <c r="B2838" s="35">
        <v>45638</v>
      </c>
      <c r="C2838" s="7" t="s">
        <v>21</v>
      </c>
      <c r="D2838" s="3" t="s">
        <v>4619</v>
      </c>
      <c r="E2838" s="3" t="s">
        <v>4620</v>
      </c>
      <c r="F2838" s="3">
        <v>5</v>
      </c>
      <c r="G2838" s="2"/>
      <c r="H2838" s="2"/>
      <c r="I2838" s="2"/>
      <c r="J2838" s="2"/>
      <c r="K2838" s="2"/>
      <c r="L2838" s="3"/>
      <c r="M2838" s="3" t="s">
        <v>4621</v>
      </c>
      <c r="N2838" s="48"/>
    </row>
    <row r="2839" spans="1:14" customFormat="1" x14ac:dyDescent="0.45">
      <c r="A2839" s="3" t="s">
        <v>4609</v>
      </c>
      <c r="B2839" s="35">
        <v>45601</v>
      </c>
      <c r="C2839" s="7" t="s">
        <v>25</v>
      </c>
      <c r="D2839" s="3" t="s">
        <v>4622</v>
      </c>
      <c r="E2839" s="3" t="s">
        <v>4623</v>
      </c>
      <c r="F2839" s="3">
        <v>6</v>
      </c>
      <c r="G2839" s="2"/>
      <c r="H2839" s="2"/>
      <c r="I2839" s="2"/>
      <c r="J2839" s="2"/>
      <c r="K2839" s="2"/>
      <c r="L2839" s="3"/>
      <c r="M2839" s="3" t="s">
        <v>4624</v>
      </c>
      <c r="N2839" s="48"/>
    </row>
    <row r="2840" spans="1:14" customFormat="1" x14ac:dyDescent="0.45">
      <c r="A2840" s="3" t="s">
        <v>4609</v>
      </c>
      <c r="B2840" s="35">
        <v>45456</v>
      </c>
      <c r="C2840" s="7" t="s">
        <v>21</v>
      </c>
      <c r="D2840" s="3" t="s">
        <v>4625</v>
      </c>
      <c r="E2840" s="3" t="s">
        <v>4626</v>
      </c>
      <c r="F2840" s="3">
        <v>5</v>
      </c>
      <c r="G2840" s="2"/>
      <c r="H2840" s="2"/>
      <c r="I2840" s="2"/>
      <c r="J2840" s="2"/>
      <c r="K2840" s="2"/>
      <c r="L2840" s="3"/>
      <c r="M2840" s="3" t="s">
        <v>4627</v>
      </c>
      <c r="N2840" s="48"/>
    </row>
    <row r="2841" spans="1:14" customFormat="1" x14ac:dyDescent="0.45">
      <c r="A2841" s="3" t="s">
        <v>4609</v>
      </c>
      <c r="B2841" s="35">
        <v>45345</v>
      </c>
      <c r="C2841" s="7" t="s">
        <v>592</v>
      </c>
      <c r="D2841" s="3"/>
      <c r="E2841" s="3" t="s">
        <v>4628</v>
      </c>
      <c r="F2841" s="3">
        <v>10</v>
      </c>
      <c r="G2841" s="2"/>
      <c r="H2841" s="2"/>
      <c r="I2841" s="2"/>
      <c r="J2841" s="2"/>
      <c r="K2841" s="2"/>
      <c r="L2841" s="3"/>
      <c r="M2841" s="3" t="s">
        <v>4629</v>
      </c>
      <c r="N2841" s="48"/>
    </row>
    <row r="2842" spans="1:14" customFormat="1" x14ac:dyDescent="0.45">
      <c r="A2842" s="3" t="s">
        <v>4609</v>
      </c>
      <c r="B2842" s="35">
        <v>45310</v>
      </c>
      <c r="C2842" s="7" t="s">
        <v>592</v>
      </c>
      <c r="D2842" s="3"/>
      <c r="E2842" s="3" t="s">
        <v>4630</v>
      </c>
      <c r="F2842" s="3">
        <v>14</v>
      </c>
      <c r="G2842" s="2"/>
      <c r="H2842" s="2"/>
      <c r="I2842" s="2"/>
      <c r="J2842" s="2"/>
      <c r="K2842" s="2"/>
      <c r="L2842" s="3"/>
      <c r="M2842" s="3" t="s">
        <v>4631</v>
      </c>
      <c r="N2842" s="48"/>
    </row>
    <row r="2843" spans="1:14" customFormat="1" x14ac:dyDescent="0.45">
      <c r="A2843" s="3" t="s">
        <v>4609</v>
      </c>
      <c r="B2843" s="35">
        <v>45310</v>
      </c>
      <c r="C2843" s="7" t="s">
        <v>592</v>
      </c>
      <c r="D2843" s="3"/>
      <c r="E2843" s="3" t="s">
        <v>4632</v>
      </c>
      <c r="F2843" s="3">
        <v>18</v>
      </c>
      <c r="G2843" s="2"/>
      <c r="H2843" s="2"/>
      <c r="I2843" s="2"/>
      <c r="J2843" s="2"/>
      <c r="K2843" s="2"/>
      <c r="L2843" s="3"/>
      <c r="M2843" s="3" t="s">
        <v>4633</v>
      </c>
      <c r="N2843" s="48"/>
    </row>
    <row r="2844" spans="1:14" customFormat="1" x14ac:dyDescent="0.45">
      <c r="A2844" s="3" t="s">
        <v>4609</v>
      </c>
      <c r="B2844" s="35">
        <v>45310</v>
      </c>
      <c r="C2844" s="7" t="s">
        <v>592</v>
      </c>
      <c r="D2844" s="3"/>
      <c r="E2844" s="3" t="s">
        <v>4634</v>
      </c>
      <c r="F2844" s="3">
        <v>4</v>
      </c>
      <c r="G2844" s="2"/>
      <c r="H2844" s="2"/>
      <c r="I2844" s="2"/>
      <c r="J2844" s="2"/>
      <c r="K2844" s="2"/>
      <c r="L2844" s="3"/>
      <c r="M2844" s="3" t="s">
        <v>4635</v>
      </c>
      <c r="N2844" s="48"/>
    </row>
    <row r="2845" spans="1:14" customFormat="1" x14ac:dyDescent="0.45">
      <c r="A2845" s="3" t="s">
        <v>4609</v>
      </c>
      <c r="B2845" s="35">
        <v>45310</v>
      </c>
      <c r="C2845" s="7" t="s">
        <v>592</v>
      </c>
      <c r="D2845" s="3"/>
      <c r="E2845" s="3" t="s">
        <v>4636</v>
      </c>
      <c r="F2845" s="3">
        <v>17</v>
      </c>
      <c r="G2845" s="2"/>
      <c r="H2845" s="2"/>
      <c r="I2845" s="2"/>
      <c r="J2845" s="2"/>
      <c r="K2845" s="2"/>
      <c r="L2845" s="3"/>
      <c r="M2845" s="3" t="s">
        <v>4637</v>
      </c>
      <c r="N2845" s="48"/>
    </row>
    <row r="2846" spans="1:14" customFormat="1" x14ac:dyDescent="0.45">
      <c r="A2846" s="3" t="s">
        <v>4609</v>
      </c>
      <c r="B2846" s="35">
        <v>45309</v>
      </c>
      <c r="C2846" s="7" t="s">
        <v>592</v>
      </c>
      <c r="D2846" s="3"/>
      <c r="E2846" s="3" t="s">
        <v>4638</v>
      </c>
      <c r="F2846" s="3">
        <v>18</v>
      </c>
      <c r="G2846" s="2"/>
      <c r="H2846" s="2"/>
      <c r="I2846" s="2"/>
      <c r="J2846" s="2"/>
      <c r="K2846" s="2"/>
      <c r="L2846" s="3"/>
      <c r="M2846" s="3" t="s">
        <v>4639</v>
      </c>
      <c r="N2846" s="48"/>
    </row>
    <row r="2847" spans="1:14" customFormat="1" x14ac:dyDescent="0.45">
      <c r="A2847" s="3" t="s">
        <v>4609</v>
      </c>
      <c r="B2847" s="35">
        <v>45674</v>
      </c>
      <c r="C2847" s="7" t="s">
        <v>21</v>
      </c>
      <c r="D2847" s="3" t="s">
        <v>4640</v>
      </c>
      <c r="E2847" s="3" t="s">
        <v>4641</v>
      </c>
      <c r="F2847" s="3">
        <v>7</v>
      </c>
      <c r="G2847" s="2"/>
      <c r="H2847" s="2"/>
      <c r="I2847" s="2"/>
      <c r="J2847" s="2"/>
      <c r="K2847" s="2"/>
      <c r="L2847" s="3"/>
      <c r="M2847" s="3" t="s">
        <v>4642</v>
      </c>
      <c r="N2847" s="48"/>
    </row>
    <row r="2848" spans="1:14" customFormat="1" x14ac:dyDescent="0.45">
      <c r="A2848" s="3" t="s">
        <v>4609</v>
      </c>
      <c r="B2848" s="35">
        <v>44424</v>
      </c>
      <c r="C2848" s="7" t="s">
        <v>592</v>
      </c>
      <c r="D2848" s="3"/>
      <c r="E2848" s="3" t="s">
        <v>4643</v>
      </c>
      <c r="F2848" s="3">
        <v>1</v>
      </c>
      <c r="G2848" s="2"/>
      <c r="H2848" s="2"/>
      <c r="I2848" s="2"/>
      <c r="J2848" s="2"/>
      <c r="K2848" s="2"/>
      <c r="L2848" s="3"/>
      <c r="M2848" s="3" t="s">
        <v>4644</v>
      </c>
      <c r="N2848" s="48"/>
    </row>
    <row r="2849" spans="1:14" customFormat="1" x14ac:dyDescent="0.45">
      <c r="A2849" s="3" t="s">
        <v>4609</v>
      </c>
      <c r="B2849" s="35">
        <v>44400</v>
      </c>
      <c r="C2849" s="7" t="s">
        <v>25</v>
      </c>
      <c r="D2849" s="3" t="s">
        <v>4645</v>
      </c>
      <c r="E2849" s="3" t="s">
        <v>4646</v>
      </c>
      <c r="F2849" s="3">
        <v>4</v>
      </c>
      <c r="G2849" s="2"/>
      <c r="H2849" s="2"/>
      <c r="I2849" s="2"/>
      <c r="J2849" s="2"/>
      <c r="K2849" s="2"/>
      <c r="L2849" s="3"/>
      <c r="M2849" s="3" t="s">
        <v>4647</v>
      </c>
      <c r="N2849" s="48"/>
    </row>
    <row r="2850" spans="1:14" customFormat="1" x14ac:dyDescent="0.45">
      <c r="A2850" s="3" t="s">
        <v>4609</v>
      </c>
      <c r="B2850" s="35">
        <v>44202</v>
      </c>
      <c r="C2850" s="7" t="s">
        <v>247</v>
      </c>
      <c r="D2850" s="3"/>
      <c r="E2850" s="3" t="s">
        <v>4648</v>
      </c>
      <c r="F2850" s="3">
        <v>3</v>
      </c>
      <c r="G2850" s="2"/>
      <c r="H2850" s="2"/>
      <c r="I2850" s="2"/>
      <c r="J2850" s="2"/>
      <c r="K2850" s="2"/>
      <c r="L2850" s="3"/>
      <c r="M2850" s="3" t="s">
        <v>4649</v>
      </c>
      <c r="N2850" s="48"/>
    </row>
    <row r="2851" spans="1:14" customFormat="1" x14ac:dyDescent="0.45">
      <c r="A2851" s="3" t="s">
        <v>4609</v>
      </c>
      <c r="B2851" s="35">
        <v>44022</v>
      </c>
      <c r="C2851" s="7" t="s">
        <v>21</v>
      </c>
      <c r="D2851" s="3" t="s">
        <v>4650</v>
      </c>
      <c r="E2851" s="3" t="s">
        <v>4651</v>
      </c>
      <c r="F2851" s="3">
        <v>2</v>
      </c>
      <c r="G2851" s="2"/>
      <c r="H2851" s="2"/>
      <c r="I2851" s="2"/>
      <c r="J2851" s="2"/>
      <c r="K2851" s="2"/>
      <c r="L2851" s="3"/>
      <c r="M2851" s="3" t="s">
        <v>4652</v>
      </c>
      <c r="N2851" s="48"/>
    </row>
    <row r="2852" spans="1:14" customFormat="1" x14ac:dyDescent="0.45">
      <c r="A2852" s="3" t="s">
        <v>4609</v>
      </c>
      <c r="B2852" s="35">
        <v>43579</v>
      </c>
      <c r="C2852" s="7" t="s">
        <v>25</v>
      </c>
      <c r="D2852" s="3" t="s">
        <v>4653</v>
      </c>
      <c r="E2852" s="3" t="s">
        <v>4654</v>
      </c>
      <c r="F2852" s="3">
        <v>13</v>
      </c>
      <c r="G2852" s="2"/>
      <c r="H2852" s="2"/>
      <c r="I2852" s="2"/>
      <c r="J2852" s="2"/>
      <c r="K2852" s="2"/>
      <c r="L2852" s="3"/>
      <c r="M2852" s="3" t="s">
        <v>4655</v>
      </c>
      <c r="N2852" s="48"/>
    </row>
    <row r="2853" spans="1:14" customFormat="1" x14ac:dyDescent="0.45">
      <c r="A2853" s="3" t="s">
        <v>4670</v>
      </c>
      <c r="B2853" s="35">
        <v>45919</v>
      </c>
      <c r="C2853" s="7" t="s">
        <v>12</v>
      </c>
      <c r="D2853" s="36" t="s">
        <v>4671</v>
      </c>
      <c r="E2853" s="3" t="s">
        <v>4672</v>
      </c>
      <c r="F2853" s="3">
        <v>9</v>
      </c>
      <c r="G2853" s="2"/>
      <c r="H2853" s="2"/>
      <c r="I2853" s="2"/>
      <c r="J2853" s="2"/>
      <c r="K2853" s="2"/>
      <c r="L2853" s="3"/>
      <c r="M2853" s="3" t="s">
        <v>4673</v>
      </c>
    </row>
    <row r="2854" spans="1:14" customFormat="1" x14ac:dyDescent="0.45">
      <c r="A2854" s="3" t="s">
        <v>4670</v>
      </c>
      <c r="B2854" s="35">
        <v>45904</v>
      </c>
      <c r="C2854" s="7" t="s">
        <v>12</v>
      </c>
      <c r="D2854" s="36" t="s">
        <v>4674</v>
      </c>
      <c r="E2854" s="3" t="s">
        <v>4675</v>
      </c>
      <c r="F2854" s="3">
        <v>13</v>
      </c>
      <c r="G2854" s="2"/>
      <c r="H2854" s="2"/>
      <c r="I2854" s="2"/>
      <c r="J2854" s="2"/>
      <c r="K2854" s="2"/>
      <c r="L2854" s="3"/>
      <c r="M2854" s="3" t="s">
        <v>4676</v>
      </c>
    </row>
    <row r="2855" spans="1:14" customFormat="1" x14ac:dyDescent="0.45">
      <c r="A2855" s="3" t="s">
        <v>4670</v>
      </c>
      <c r="B2855" s="35">
        <v>45895</v>
      </c>
      <c r="C2855" s="7" t="s">
        <v>25</v>
      </c>
      <c r="D2855" s="3"/>
      <c r="E2855" s="3" t="s">
        <v>4677</v>
      </c>
      <c r="F2855" s="3">
        <v>12</v>
      </c>
      <c r="G2855" s="2"/>
      <c r="H2855" s="2"/>
      <c r="I2855" s="2"/>
      <c r="J2855" s="2"/>
      <c r="K2855" s="2"/>
      <c r="L2855" s="3"/>
      <c r="M2855" s="3" t="s">
        <v>4678</v>
      </c>
    </row>
    <row r="2856" spans="1:14" customFormat="1" x14ac:dyDescent="0.45">
      <c r="A2856" s="3" t="s">
        <v>4670</v>
      </c>
      <c r="B2856" s="35">
        <v>45895</v>
      </c>
      <c r="C2856" s="7" t="s">
        <v>25</v>
      </c>
      <c r="D2856" s="3"/>
      <c r="E2856" s="3" t="s">
        <v>4679</v>
      </c>
      <c r="F2856" s="3">
        <v>11</v>
      </c>
      <c r="G2856" s="2"/>
      <c r="H2856" s="2"/>
      <c r="I2856" s="2"/>
      <c r="J2856" s="2"/>
      <c r="K2856" s="2"/>
      <c r="L2856" s="3"/>
      <c r="M2856" s="3" t="s">
        <v>4680</v>
      </c>
    </row>
    <row r="2857" spans="1:14" customFormat="1" x14ac:dyDescent="0.45">
      <c r="A2857" s="3" t="s">
        <v>4670</v>
      </c>
      <c r="B2857" s="35">
        <v>45574</v>
      </c>
      <c r="C2857" s="7" t="s">
        <v>247</v>
      </c>
      <c r="D2857" s="3"/>
      <c r="E2857" s="3" t="s">
        <v>4681</v>
      </c>
      <c r="F2857" s="3">
        <v>52</v>
      </c>
      <c r="G2857" s="2"/>
      <c r="H2857" s="2"/>
      <c r="I2857" s="2"/>
      <c r="J2857" s="2"/>
      <c r="K2857" s="2"/>
      <c r="L2857" s="3"/>
      <c r="M2857" s="3" t="s">
        <v>4682</v>
      </c>
    </row>
    <row r="2858" spans="1:14" customFormat="1" x14ac:dyDescent="0.45">
      <c r="A2858" s="3" t="s">
        <v>4670</v>
      </c>
      <c r="B2858" s="35">
        <v>45572</v>
      </c>
      <c r="C2858" s="7" t="s">
        <v>247</v>
      </c>
      <c r="D2858" s="3"/>
      <c r="E2858" s="3" t="s">
        <v>4683</v>
      </c>
      <c r="F2858" s="3">
        <v>39</v>
      </c>
      <c r="G2858" s="2"/>
      <c r="H2858" s="2"/>
      <c r="I2858" s="2"/>
      <c r="J2858" s="2"/>
      <c r="K2858" s="2"/>
      <c r="L2858" s="3"/>
      <c r="M2858" s="3" t="s">
        <v>4684</v>
      </c>
    </row>
    <row r="2859" spans="1:14" customFormat="1" x14ac:dyDescent="0.45">
      <c r="A2859" s="3" t="s">
        <v>4670</v>
      </c>
      <c r="B2859" s="35">
        <v>45572</v>
      </c>
      <c r="C2859" s="7" t="s">
        <v>247</v>
      </c>
      <c r="D2859" s="3"/>
      <c r="E2859" s="3" t="s">
        <v>4685</v>
      </c>
      <c r="F2859" s="3">
        <v>29</v>
      </c>
      <c r="G2859" s="2"/>
      <c r="H2859" s="2"/>
      <c r="I2859" s="2"/>
      <c r="J2859" s="2"/>
      <c r="K2859" s="2"/>
      <c r="L2859" s="3"/>
      <c r="M2859" s="3" t="s">
        <v>4686</v>
      </c>
    </row>
    <row r="2860" spans="1:14" customFormat="1" x14ac:dyDescent="0.45">
      <c r="A2860" s="3" t="s">
        <v>4670</v>
      </c>
      <c r="B2860" s="35">
        <v>45572</v>
      </c>
      <c r="C2860" s="7" t="s">
        <v>247</v>
      </c>
      <c r="D2860" s="3"/>
      <c r="E2860" s="3" t="s">
        <v>4687</v>
      </c>
      <c r="F2860" s="3">
        <v>25</v>
      </c>
      <c r="G2860" s="2"/>
      <c r="H2860" s="2"/>
      <c r="I2860" s="2"/>
      <c r="J2860" s="2"/>
      <c r="K2860" s="2"/>
      <c r="L2860" s="3"/>
      <c r="M2860" s="3" t="s">
        <v>4688</v>
      </c>
    </row>
    <row r="2861" spans="1:14" customFormat="1" x14ac:dyDescent="0.45">
      <c r="A2861" s="3" t="s">
        <v>4670</v>
      </c>
      <c r="B2861" s="35">
        <v>45433</v>
      </c>
      <c r="C2861" s="7" t="s">
        <v>12</v>
      </c>
      <c r="D2861" s="3" t="s">
        <v>4689</v>
      </c>
      <c r="E2861" s="3" t="s">
        <v>4690</v>
      </c>
      <c r="F2861" s="3">
        <v>5</v>
      </c>
      <c r="G2861" s="2"/>
      <c r="H2861" s="2"/>
      <c r="I2861" s="2"/>
      <c r="J2861" s="2"/>
      <c r="K2861" s="2"/>
      <c r="L2861" s="3"/>
      <c r="M2861" s="3" t="s">
        <v>4691</v>
      </c>
    </row>
    <row r="2862" spans="1:14" customFormat="1" x14ac:dyDescent="0.45">
      <c r="A2862" s="3" t="s">
        <v>4670</v>
      </c>
      <c r="B2862" s="35">
        <v>45163</v>
      </c>
      <c r="C2862" s="7" t="s">
        <v>587</v>
      </c>
      <c r="D2862" s="36" t="s">
        <v>4692</v>
      </c>
      <c r="E2862" s="3" t="s">
        <v>4693</v>
      </c>
      <c r="F2862" s="3">
        <v>14</v>
      </c>
      <c r="G2862" s="2"/>
      <c r="H2862" s="2"/>
      <c r="I2862" s="2"/>
      <c r="J2862" s="2"/>
      <c r="K2862" s="2"/>
      <c r="L2862" s="3"/>
      <c r="M2862" s="3" t="s">
        <v>4694</v>
      </c>
    </row>
    <row r="2863" spans="1:14" customFormat="1" x14ac:dyDescent="0.45">
      <c r="A2863" s="3" t="s">
        <v>4670</v>
      </c>
      <c r="B2863" s="35">
        <v>45127</v>
      </c>
      <c r="C2863" s="7" t="s">
        <v>587</v>
      </c>
      <c r="D2863" s="36" t="s">
        <v>4695</v>
      </c>
      <c r="E2863" s="3" t="s">
        <v>4696</v>
      </c>
      <c r="F2863" s="3">
        <v>14</v>
      </c>
      <c r="G2863" s="2"/>
      <c r="H2863" s="2"/>
      <c r="I2863" s="2"/>
      <c r="J2863" s="2"/>
      <c r="K2863" s="2"/>
      <c r="L2863" s="3"/>
      <c r="M2863" s="3" t="s">
        <v>4697</v>
      </c>
    </row>
    <row r="2864" spans="1:14" customFormat="1" x14ac:dyDescent="0.45">
      <c r="A2864" s="3" t="s">
        <v>4670</v>
      </c>
      <c r="B2864" s="35">
        <v>45091</v>
      </c>
      <c r="C2864" s="7" t="s">
        <v>12</v>
      </c>
      <c r="D2864" s="36" t="s">
        <v>4698</v>
      </c>
      <c r="E2864" s="3" t="s">
        <v>4699</v>
      </c>
      <c r="F2864" s="3">
        <v>5</v>
      </c>
      <c r="G2864" s="2"/>
      <c r="H2864" s="2"/>
      <c r="I2864" s="2"/>
      <c r="J2864" s="2"/>
      <c r="K2864" s="2"/>
      <c r="L2864" s="3"/>
      <c r="M2864" s="3" t="s">
        <v>4700</v>
      </c>
    </row>
    <row r="2865" spans="1:13" customFormat="1" x14ac:dyDescent="0.45">
      <c r="A2865" s="3" t="s">
        <v>4670</v>
      </c>
      <c r="B2865" s="35">
        <v>45091</v>
      </c>
      <c r="C2865" s="7" t="s">
        <v>12</v>
      </c>
      <c r="D2865" s="36" t="s">
        <v>4701</v>
      </c>
      <c r="E2865" s="3" t="s">
        <v>4702</v>
      </c>
      <c r="F2865" s="3">
        <v>8</v>
      </c>
      <c r="G2865" s="2"/>
      <c r="H2865" s="2"/>
      <c r="I2865" s="2"/>
      <c r="J2865" s="2"/>
      <c r="K2865" s="2"/>
      <c r="L2865" s="3"/>
      <c r="M2865" s="3" t="s">
        <v>4703</v>
      </c>
    </row>
    <row r="2866" spans="1:13" customFormat="1" x14ac:dyDescent="0.45">
      <c r="A2866" s="3" t="s">
        <v>4670</v>
      </c>
      <c r="B2866" s="35">
        <v>41579</v>
      </c>
      <c r="C2866" s="3" t="s">
        <v>575</v>
      </c>
      <c r="D2866" s="3"/>
      <c r="E2866" s="3" t="s">
        <v>4704</v>
      </c>
      <c r="F2866" s="3">
        <v>76</v>
      </c>
      <c r="G2866" s="2"/>
      <c r="H2866" s="2"/>
      <c r="I2866" s="2"/>
      <c r="J2866" s="2"/>
      <c r="K2866" s="2"/>
      <c r="L2866" s="3"/>
      <c r="M2866" s="3" t="s">
        <v>4705</v>
      </c>
    </row>
    <row r="2867" spans="1:13" customFormat="1" x14ac:dyDescent="0.45">
      <c r="A2867" s="3" t="s">
        <v>4670</v>
      </c>
      <c r="B2867" s="16">
        <v>45572</v>
      </c>
      <c r="C2867" s="7" t="s">
        <v>247</v>
      </c>
      <c r="D2867" s="3"/>
      <c r="E2867" s="10" t="s">
        <v>4706</v>
      </c>
      <c r="F2867" s="3">
        <v>37</v>
      </c>
      <c r="G2867" s="2"/>
      <c r="H2867" s="2"/>
      <c r="I2867" s="2"/>
      <c r="J2867" s="2"/>
      <c r="K2867" s="2"/>
      <c r="L2867" s="3"/>
      <c r="M2867" s="3"/>
    </row>
    <row r="2868" spans="1:13" customFormat="1" x14ac:dyDescent="0.45">
      <c r="A2868" s="3" t="s">
        <v>4670</v>
      </c>
      <c r="B2868" s="16">
        <v>45468</v>
      </c>
      <c r="C2868" s="7" t="s">
        <v>247</v>
      </c>
      <c r="D2868" s="3"/>
      <c r="E2868" s="10" t="s">
        <v>4707</v>
      </c>
      <c r="F2868" s="3">
        <v>36</v>
      </c>
      <c r="G2868" s="2"/>
      <c r="H2868" s="2"/>
      <c r="I2868" s="2"/>
      <c r="J2868" s="2"/>
      <c r="K2868" s="2"/>
      <c r="L2868" s="3"/>
      <c r="M2868" s="3"/>
    </row>
    <row r="2869" spans="1:13" customFormat="1" x14ac:dyDescent="0.45">
      <c r="A2869" s="3" t="s">
        <v>4670</v>
      </c>
      <c r="B2869" s="16">
        <v>45468</v>
      </c>
      <c r="C2869" s="7" t="s">
        <v>247</v>
      </c>
      <c r="D2869" s="3"/>
      <c r="E2869" s="10" t="s">
        <v>4708</v>
      </c>
      <c r="F2869" s="3">
        <v>90</v>
      </c>
      <c r="G2869" s="2"/>
      <c r="H2869" s="2"/>
      <c r="I2869" s="2"/>
      <c r="J2869" s="2"/>
      <c r="K2869" s="2"/>
      <c r="L2869" s="3"/>
      <c r="M2869" s="3"/>
    </row>
    <row r="2870" spans="1:13" customFormat="1" x14ac:dyDescent="0.45">
      <c r="A2870" s="3" t="s">
        <v>4670</v>
      </c>
      <c r="B2870" s="16">
        <v>44959</v>
      </c>
      <c r="C2870" s="7" t="s">
        <v>25</v>
      </c>
      <c r="D2870" s="3" t="s">
        <v>4709</v>
      </c>
      <c r="E2870" s="10" t="s">
        <v>4710</v>
      </c>
      <c r="F2870" s="3">
        <v>8</v>
      </c>
      <c r="G2870" s="2"/>
      <c r="H2870" s="2"/>
      <c r="I2870" s="2"/>
      <c r="J2870" s="2"/>
      <c r="K2870" s="2"/>
      <c r="L2870" s="3"/>
      <c r="M2870" s="3"/>
    </row>
    <row r="2871" spans="1:13" customFormat="1" x14ac:dyDescent="0.45">
      <c r="A2871" s="3" t="s">
        <v>4670</v>
      </c>
      <c r="B2871" s="16">
        <v>44798</v>
      </c>
      <c r="C2871" s="7" t="s">
        <v>302</v>
      </c>
      <c r="D2871" s="3"/>
      <c r="E2871" s="10" t="s">
        <v>4711</v>
      </c>
      <c r="F2871" s="3">
        <v>2</v>
      </c>
      <c r="G2871" s="2"/>
      <c r="H2871" s="2"/>
      <c r="I2871" s="2"/>
      <c r="J2871" s="2"/>
      <c r="K2871" s="2"/>
      <c r="L2871" s="3" t="s">
        <v>4712</v>
      </c>
      <c r="M2871" s="3"/>
    </row>
    <row r="2872" spans="1:13" customFormat="1" x14ac:dyDescent="0.45">
      <c r="A2872" s="3" t="s">
        <v>4670</v>
      </c>
      <c r="B2872" s="16">
        <v>44607</v>
      </c>
      <c r="C2872" s="7" t="s">
        <v>302</v>
      </c>
      <c r="D2872" s="3"/>
      <c r="E2872" s="10" t="s">
        <v>4713</v>
      </c>
      <c r="F2872" s="3">
        <v>4</v>
      </c>
      <c r="G2872" s="2"/>
      <c r="H2872" s="2"/>
      <c r="I2872" s="2"/>
      <c r="J2872" s="2"/>
      <c r="K2872" s="2"/>
      <c r="L2872" s="3" t="s">
        <v>4712</v>
      </c>
      <c r="M2872" s="3"/>
    </row>
    <row r="2873" spans="1:13" customFormat="1" x14ac:dyDescent="0.45">
      <c r="A2873" s="3" t="s">
        <v>4714</v>
      </c>
      <c r="B2873" s="54">
        <v>41810</v>
      </c>
      <c r="C2873" s="7" t="s">
        <v>302</v>
      </c>
      <c r="D2873" s="3"/>
      <c r="E2873" s="6" t="s">
        <v>4715</v>
      </c>
      <c r="F2873" s="3">
        <v>1</v>
      </c>
      <c r="G2873" s="2"/>
      <c r="H2873" s="2"/>
      <c r="I2873" s="2"/>
      <c r="J2873" s="2"/>
      <c r="K2873" s="2"/>
      <c r="L2873" s="3" t="s">
        <v>4712</v>
      </c>
      <c r="M2873" s="3"/>
    </row>
    <row r="2874" spans="1:13" customFormat="1" x14ac:dyDescent="0.45">
      <c r="A2874" s="3" t="s">
        <v>4714</v>
      </c>
      <c r="B2874" s="54">
        <v>41810</v>
      </c>
      <c r="C2874" s="7" t="s">
        <v>302</v>
      </c>
      <c r="D2874" s="3"/>
      <c r="E2874" s="6" t="s">
        <v>4716</v>
      </c>
      <c r="F2874" s="3">
        <v>1</v>
      </c>
      <c r="G2874" s="2"/>
      <c r="H2874" s="2"/>
      <c r="I2874" s="2"/>
      <c r="J2874" s="2"/>
      <c r="K2874" s="2"/>
      <c r="L2874" s="3" t="s">
        <v>4712</v>
      </c>
      <c r="M2874" s="3"/>
    </row>
    <row r="2875" spans="1:13" customFormat="1" x14ac:dyDescent="0.45">
      <c r="A2875" s="3" t="s">
        <v>4714</v>
      </c>
      <c r="B2875" s="54">
        <v>41505</v>
      </c>
      <c r="C2875" s="7" t="s">
        <v>302</v>
      </c>
      <c r="D2875" s="3"/>
      <c r="E2875" s="6" t="s">
        <v>4717</v>
      </c>
      <c r="F2875" s="3">
        <v>1</v>
      </c>
      <c r="G2875" s="2"/>
      <c r="H2875" s="2"/>
      <c r="I2875" s="2"/>
      <c r="J2875" s="2"/>
      <c r="K2875" s="2"/>
      <c r="L2875" s="3" t="s">
        <v>4712</v>
      </c>
      <c r="M2875" s="3"/>
    </row>
    <row r="2876" spans="1:13" customFormat="1" x14ac:dyDescent="0.45">
      <c r="A2876" s="3" t="s">
        <v>4714</v>
      </c>
      <c r="B2876" s="54">
        <v>41505</v>
      </c>
      <c r="C2876" s="7" t="s">
        <v>302</v>
      </c>
      <c r="D2876" s="3"/>
      <c r="E2876" s="6" t="s">
        <v>4718</v>
      </c>
      <c r="F2876" s="3">
        <v>1</v>
      </c>
      <c r="G2876" s="2"/>
      <c r="H2876" s="2"/>
      <c r="I2876" s="2"/>
      <c r="J2876" s="2"/>
      <c r="K2876" s="2"/>
      <c r="L2876" s="3" t="s">
        <v>4712</v>
      </c>
      <c r="M2876" s="3"/>
    </row>
    <row r="2877" spans="1:13" customFormat="1" x14ac:dyDescent="0.45">
      <c r="A2877" s="3" t="s">
        <v>4714</v>
      </c>
      <c r="B2877" s="54">
        <v>41505</v>
      </c>
      <c r="C2877" s="7" t="s">
        <v>302</v>
      </c>
      <c r="D2877" s="3"/>
      <c r="E2877" s="6" t="s">
        <v>4719</v>
      </c>
      <c r="F2877" s="3">
        <v>1</v>
      </c>
      <c r="G2877" s="2"/>
      <c r="H2877" s="2"/>
      <c r="I2877" s="2"/>
      <c r="J2877" s="2"/>
      <c r="K2877" s="2"/>
      <c r="L2877" s="3" t="s">
        <v>4712</v>
      </c>
      <c r="M2877" s="3"/>
    </row>
    <row r="2878" spans="1:13" customFormat="1" x14ac:dyDescent="0.45">
      <c r="A2878" s="3" t="s">
        <v>4714</v>
      </c>
      <c r="B2878" s="54">
        <v>41505</v>
      </c>
      <c r="C2878" s="7" t="s">
        <v>302</v>
      </c>
      <c r="D2878" s="3"/>
      <c r="E2878" s="6" t="s">
        <v>4720</v>
      </c>
      <c r="F2878" s="3">
        <v>1</v>
      </c>
      <c r="G2878" s="2"/>
      <c r="H2878" s="2"/>
      <c r="I2878" s="2"/>
      <c r="J2878" s="2"/>
      <c r="K2878" s="2"/>
      <c r="L2878" s="3" t="s">
        <v>4712</v>
      </c>
      <c r="M2878" s="3"/>
    </row>
    <row r="2879" spans="1:13" customFormat="1" x14ac:dyDescent="0.45">
      <c r="A2879" s="3" t="s">
        <v>4714</v>
      </c>
      <c r="B2879" s="54">
        <v>41505</v>
      </c>
      <c r="C2879" s="7" t="s">
        <v>302</v>
      </c>
      <c r="D2879" s="3"/>
      <c r="E2879" s="6" t="s">
        <v>4721</v>
      </c>
      <c r="F2879" s="3">
        <v>1</v>
      </c>
      <c r="G2879" s="2"/>
      <c r="H2879" s="2"/>
      <c r="I2879" s="2"/>
      <c r="J2879" s="2"/>
      <c r="K2879" s="2"/>
      <c r="L2879" s="3" t="s">
        <v>4712</v>
      </c>
      <c r="M2879" s="3"/>
    </row>
    <row r="2880" spans="1:13" customFormat="1" x14ac:dyDescent="0.45">
      <c r="A2880" s="3" t="s">
        <v>4714</v>
      </c>
      <c r="B2880" s="54">
        <v>41505</v>
      </c>
      <c r="C2880" s="7" t="s">
        <v>302</v>
      </c>
      <c r="D2880" s="3"/>
      <c r="E2880" s="6" t="s">
        <v>4722</v>
      </c>
      <c r="F2880" s="3">
        <v>1</v>
      </c>
      <c r="G2880" s="2"/>
      <c r="H2880" s="2"/>
      <c r="I2880" s="2"/>
      <c r="J2880" s="2"/>
      <c r="K2880" s="2"/>
      <c r="L2880" s="3" t="s">
        <v>4712</v>
      </c>
      <c r="M2880" s="3"/>
    </row>
    <row r="2881" spans="1:14" customFormat="1" x14ac:dyDescent="0.45">
      <c r="A2881" s="3" t="s">
        <v>4714</v>
      </c>
      <c r="B2881" s="54">
        <v>41505</v>
      </c>
      <c r="C2881" s="7" t="s">
        <v>302</v>
      </c>
      <c r="D2881" s="3"/>
      <c r="E2881" s="6" t="s">
        <v>4723</v>
      </c>
      <c r="F2881" s="3">
        <v>1</v>
      </c>
      <c r="G2881" s="2"/>
      <c r="H2881" s="2"/>
      <c r="I2881" s="2"/>
      <c r="J2881" s="2"/>
      <c r="K2881" s="2"/>
      <c r="L2881" s="3" t="s">
        <v>4712</v>
      </c>
      <c r="M2881" s="3"/>
    </row>
    <row r="2882" spans="1:14" customFormat="1" x14ac:dyDescent="0.45">
      <c r="A2882" s="3" t="s">
        <v>4714</v>
      </c>
      <c r="B2882" s="54">
        <v>41505</v>
      </c>
      <c r="C2882" s="7" t="s">
        <v>302</v>
      </c>
      <c r="D2882" s="3"/>
      <c r="E2882" s="6" t="s">
        <v>4724</v>
      </c>
      <c r="F2882" s="3">
        <v>1</v>
      </c>
      <c r="G2882" s="2"/>
      <c r="H2882" s="2"/>
      <c r="I2882" s="2"/>
      <c r="J2882" s="2"/>
      <c r="K2882" s="2"/>
      <c r="L2882" s="3" t="s">
        <v>4712</v>
      </c>
      <c r="M2882" s="3"/>
    </row>
    <row r="2883" spans="1:14" customFormat="1" x14ac:dyDescent="0.45">
      <c r="A2883" s="3" t="s">
        <v>4714</v>
      </c>
      <c r="B2883" s="54">
        <v>41505</v>
      </c>
      <c r="C2883" s="7" t="s">
        <v>302</v>
      </c>
      <c r="D2883" s="3"/>
      <c r="E2883" s="6" t="s">
        <v>4725</v>
      </c>
      <c r="F2883" s="3">
        <v>1</v>
      </c>
      <c r="G2883" s="2"/>
      <c r="H2883" s="2"/>
      <c r="I2883" s="2"/>
      <c r="J2883" s="2"/>
      <c r="K2883" s="2"/>
      <c r="L2883" s="3" t="s">
        <v>4712</v>
      </c>
      <c r="M2883" s="3"/>
    </row>
    <row r="2884" spans="1:14" customFormat="1" x14ac:dyDescent="0.45">
      <c r="A2884" s="3" t="s">
        <v>4714</v>
      </c>
      <c r="B2884" s="54">
        <v>41505</v>
      </c>
      <c r="C2884" s="7" t="s">
        <v>302</v>
      </c>
      <c r="D2884" s="3"/>
      <c r="E2884" s="6" t="s">
        <v>4726</v>
      </c>
      <c r="F2884" s="3">
        <v>1</v>
      </c>
      <c r="G2884" s="2"/>
      <c r="H2884" s="2"/>
      <c r="I2884" s="2"/>
      <c r="J2884" s="2"/>
      <c r="K2884" s="2"/>
      <c r="L2884" s="3" t="s">
        <v>4712</v>
      </c>
      <c r="M2884" s="3"/>
    </row>
    <row r="2885" spans="1:14" customFormat="1" x14ac:dyDescent="0.45">
      <c r="A2885" s="3" t="s">
        <v>4714</v>
      </c>
      <c r="B2885" s="32">
        <v>45828</v>
      </c>
      <c r="C2885" s="7" t="s">
        <v>738</v>
      </c>
      <c r="D2885" s="3"/>
      <c r="E2885" s="3" t="s">
        <v>4727</v>
      </c>
      <c r="F2885" s="3">
        <v>4</v>
      </c>
      <c r="G2885" s="2"/>
      <c r="H2885" s="2"/>
      <c r="I2885" s="2"/>
      <c r="J2885" s="2"/>
      <c r="K2885" s="2"/>
      <c r="L2885" s="3"/>
      <c r="M2885" s="3" t="s">
        <v>4728</v>
      </c>
    </row>
    <row r="2886" spans="1:14" customFormat="1" x14ac:dyDescent="0.45">
      <c r="A2886" s="3" t="s">
        <v>4714</v>
      </c>
      <c r="B2886" s="32">
        <v>43962</v>
      </c>
      <c r="C2886" s="7" t="s">
        <v>592</v>
      </c>
      <c r="D2886" s="3"/>
      <c r="E2886" s="3" t="s">
        <v>4729</v>
      </c>
      <c r="F2886" s="3">
        <v>4</v>
      </c>
      <c r="G2886" s="2"/>
      <c r="H2886" s="2"/>
      <c r="I2886" s="2"/>
      <c r="J2886" s="2"/>
      <c r="K2886" s="2"/>
      <c r="L2886" s="3"/>
      <c r="M2886" s="3" t="s">
        <v>4730</v>
      </c>
    </row>
    <row r="2887" spans="1:14" customFormat="1" x14ac:dyDescent="0.45">
      <c r="A2887" s="3" t="s">
        <v>4714</v>
      </c>
      <c r="B2887" s="32">
        <v>43962</v>
      </c>
      <c r="C2887" s="7" t="s">
        <v>592</v>
      </c>
      <c r="D2887" s="3"/>
      <c r="E2887" s="3" t="s">
        <v>4731</v>
      </c>
      <c r="F2887" s="3">
        <v>3</v>
      </c>
      <c r="G2887" s="2"/>
      <c r="H2887" s="2"/>
      <c r="I2887" s="2"/>
      <c r="J2887" s="2"/>
      <c r="K2887" s="2"/>
      <c r="L2887" s="3"/>
      <c r="M2887" s="3" t="s">
        <v>4732</v>
      </c>
    </row>
    <row r="2888" spans="1:14" customFormat="1" x14ac:dyDescent="0.45">
      <c r="A2888" s="3" t="s">
        <v>4714</v>
      </c>
      <c r="B2888" s="32">
        <v>42963</v>
      </c>
      <c r="C2888" s="7" t="s">
        <v>575</v>
      </c>
      <c r="D2888" s="3"/>
      <c r="E2888" s="3" t="s">
        <v>4733</v>
      </c>
      <c r="F2888" s="3">
        <v>1</v>
      </c>
      <c r="G2888" s="2"/>
      <c r="H2888" s="2"/>
      <c r="I2888" s="2"/>
      <c r="J2888" s="2"/>
      <c r="K2888" s="2"/>
      <c r="L2888" s="3" t="s">
        <v>4735</v>
      </c>
      <c r="M2888" s="3" t="s">
        <v>4734</v>
      </c>
      <c r="N2888" s="48"/>
    </row>
    <row r="2889" spans="1:14" customFormat="1" x14ac:dyDescent="0.45">
      <c r="A2889" s="3" t="s">
        <v>4714</v>
      </c>
      <c r="B2889" s="32">
        <v>42724</v>
      </c>
      <c r="C2889" s="7" t="s">
        <v>575</v>
      </c>
      <c r="D2889" s="3"/>
      <c r="E2889" s="3" t="s">
        <v>4736</v>
      </c>
      <c r="F2889" s="3">
        <v>1</v>
      </c>
      <c r="G2889" s="2"/>
      <c r="H2889" s="2"/>
      <c r="I2889" s="2"/>
      <c r="J2889" s="2"/>
      <c r="K2889" s="2"/>
      <c r="L2889" s="3" t="s">
        <v>4735</v>
      </c>
      <c r="M2889" s="3" t="s">
        <v>4737</v>
      </c>
      <c r="N2889" s="48"/>
    </row>
    <row r="2890" spans="1:14" customFormat="1" x14ac:dyDescent="0.45">
      <c r="A2890" s="3" t="s">
        <v>4714</v>
      </c>
      <c r="B2890" s="32">
        <v>42660</v>
      </c>
      <c r="C2890" s="7" t="s">
        <v>575</v>
      </c>
      <c r="D2890" s="3"/>
      <c r="E2890" s="3" t="s">
        <v>4738</v>
      </c>
      <c r="F2890" s="3">
        <v>2</v>
      </c>
      <c r="G2890" s="2"/>
      <c r="H2890" s="2"/>
      <c r="I2890" s="2"/>
      <c r="J2890" s="2"/>
      <c r="K2890" s="2"/>
      <c r="L2890" s="3" t="s">
        <v>4735</v>
      </c>
      <c r="M2890" s="3" t="s">
        <v>4739</v>
      </c>
      <c r="N2890" s="48"/>
    </row>
    <row r="2891" spans="1:14" customFormat="1" x14ac:dyDescent="0.45">
      <c r="A2891" s="3" t="s">
        <v>4714</v>
      </c>
      <c r="B2891" s="32">
        <v>42626</v>
      </c>
      <c r="C2891" s="7" t="s">
        <v>575</v>
      </c>
      <c r="D2891" s="3"/>
      <c r="E2891" s="3" t="s">
        <v>4740</v>
      </c>
      <c r="F2891" s="3">
        <v>3</v>
      </c>
      <c r="G2891" s="2"/>
      <c r="H2891" s="2"/>
      <c r="I2891" s="2"/>
      <c r="J2891" s="2"/>
      <c r="K2891" s="2"/>
      <c r="L2891" s="3" t="s">
        <v>4735</v>
      </c>
      <c r="M2891" s="3" t="s">
        <v>4741</v>
      </c>
      <c r="N2891" s="48"/>
    </row>
    <row r="2892" spans="1:14" customFormat="1" x14ac:dyDescent="0.45">
      <c r="A2892" s="3" t="s">
        <v>4714</v>
      </c>
      <c r="B2892" s="32">
        <v>42578</v>
      </c>
      <c r="C2892" s="7" t="s">
        <v>575</v>
      </c>
      <c r="D2892" s="3"/>
      <c r="E2892" s="3" t="s">
        <v>4742</v>
      </c>
      <c r="F2892" s="3">
        <v>95</v>
      </c>
      <c r="G2892" s="2"/>
      <c r="H2892" s="2"/>
      <c r="I2892" s="2"/>
      <c r="J2892" s="2"/>
      <c r="K2892" s="2"/>
      <c r="L2892" s="3" t="s">
        <v>4735</v>
      </c>
      <c r="M2892" s="3" t="s">
        <v>4743</v>
      </c>
      <c r="N2892" s="48"/>
    </row>
    <row r="2893" spans="1:14" customFormat="1" x14ac:dyDescent="0.45">
      <c r="A2893" s="3" t="s">
        <v>4714</v>
      </c>
      <c r="B2893" s="32">
        <v>42604</v>
      </c>
      <c r="C2893" s="7" t="s">
        <v>575</v>
      </c>
      <c r="D2893" s="3"/>
      <c r="E2893" s="3" t="s">
        <v>4744</v>
      </c>
      <c r="F2893" s="3">
        <v>1</v>
      </c>
      <c r="G2893" s="2"/>
      <c r="H2893" s="2"/>
      <c r="I2893" s="2"/>
      <c r="J2893" s="2"/>
      <c r="K2893" s="2"/>
      <c r="L2893" s="3" t="s">
        <v>4735</v>
      </c>
      <c r="M2893" s="3" t="s">
        <v>4745</v>
      </c>
      <c r="N2893" s="48"/>
    </row>
    <row r="2894" spans="1:14" customFormat="1" x14ac:dyDescent="0.45">
      <c r="A2894" s="3" t="s">
        <v>4714</v>
      </c>
      <c r="B2894" s="32">
        <v>42502</v>
      </c>
      <c r="C2894" s="7" t="s">
        <v>575</v>
      </c>
      <c r="D2894" s="3"/>
      <c r="E2894" s="3" t="s">
        <v>4746</v>
      </c>
      <c r="F2894" s="3">
        <v>1</v>
      </c>
      <c r="G2894" s="2"/>
      <c r="H2894" s="2"/>
      <c r="I2894" s="2"/>
      <c r="J2894" s="2"/>
      <c r="K2894" s="2"/>
      <c r="L2894" s="3" t="s">
        <v>4735</v>
      </c>
      <c r="M2894" s="3" t="s">
        <v>4747</v>
      </c>
      <c r="N2894" s="48"/>
    </row>
    <row r="2895" spans="1:14" customFormat="1" x14ac:dyDescent="0.45">
      <c r="A2895" s="3" t="s">
        <v>4748</v>
      </c>
      <c r="B2895" s="32">
        <v>45846</v>
      </c>
      <c r="C2895" s="3" t="s">
        <v>25</v>
      </c>
      <c r="D2895" s="3"/>
      <c r="E2895" s="3" t="s">
        <v>4749</v>
      </c>
      <c r="F2895" s="3">
        <v>9</v>
      </c>
      <c r="G2895" s="2"/>
      <c r="H2895" s="2"/>
      <c r="I2895" s="2"/>
      <c r="J2895" s="2"/>
      <c r="K2895" s="2"/>
      <c r="L2895" s="3" t="s">
        <v>4751</v>
      </c>
      <c r="M2895" s="3" t="s">
        <v>4750</v>
      </c>
      <c r="N2895" s="48"/>
    </row>
    <row r="2896" spans="1:14" customFormat="1" x14ac:dyDescent="0.45">
      <c r="A2896" s="3" t="s">
        <v>4748</v>
      </c>
      <c r="B2896" s="32">
        <v>45798</v>
      </c>
      <c r="C2896" s="7" t="s">
        <v>575</v>
      </c>
      <c r="D2896" s="3"/>
      <c r="E2896" s="3" t="s">
        <v>4752</v>
      </c>
      <c r="F2896" s="3">
        <v>10</v>
      </c>
      <c r="G2896" s="2"/>
      <c r="H2896" s="2"/>
      <c r="I2896" s="2"/>
      <c r="J2896" s="2"/>
      <c r="K2896" s="2"/>
      <c r="L2896" s="3" t="s">
        <v>4751</v>
      </c>
      <c r="M2896" s="24" t="s">
        <v>4753</v>
      </c>
      <c r="N2896" s="48"/>
    </row>
    <row r="2897" spans="1:14" customFormat="1" x14ac:dyDescent="0.45">
      <c r="A2897" s="3" t="s">
        <v>4748</v>
      </c>
      <c r="B2897" s="32">
        <v>45776</v>
      </c>
      <c r="C2897" s="3" t="s">
        <v>587</v>
      </c>
      <c r="D2897" s="3"/>
      <c r="E2897" s="3" t="s">
        <v>4754</v>
      </c>
      <c r="F2897" s="3">
        <v>2</v>
      </c>
      <c r="G2897" s="2"/>
      <c r="H2897" s="2"/>
      <c r="I2897" s="2"/>
      <c r="J2897" s="2"/>
      <c r="K2897" s="2"/>
      <c r="L2897" s="3" t="s">
        <v>4751</v>
      </c>
      <c r="M2897" s="3" t="s">
        <v>4755</v>
      </c>
      <c r="N2897" s="48"/>
    </row>
    <row r="2898" spans="1:14" customFormat="1" x14ac:dyDescent="0.45">
      <c r="A2898" s="3" t="s">
        <v>4748</v>
      </c>
      <c r="B2898" s="32">
        <v>45740</v>
      </c>
      <c r="C2898" s="3" t="s">
        <v>587</v>
      </c>
      <c r="D2898" s="3"/>
      <c r="E2898" s="3" t="s">
        <v>4756</v>
      </c>
      <c r="F2898" s="3">
        <v>1</v>
      </c>
      <c r="G2898" s="2"/>
      <c r="H2898" s="2"/>
      <c r="I2898" s="2"/>
      <c r="J2898" s="2"/>
      <c r="K2898" s="2"/>
      <c r="L2898" s="3" t="s">
        <v>4751</v>
      </c>
      <c r="M2898" s="3" t="s">
        <v>4757</v>
      </c>
      <c r="N2898" s="48"/>
    </row>
    <row r="2899" spans="1:14" customFormat="1" x14ac:dyDescent="0.45">
      <c r="A2899" s="3" t="s">
        <v>4748</v>
      </c>
      <c r="B2899" s="32">
        <v>45687</v>
      </c>
      <c r="C2899" s="7" t="s">
        <v>575</v>
      </c>
      <c r="D2899" s="3"/>
      <c r="E2899" s="3" t="s">
        <v>4758</v>
      </c>
      <c r="F2899" s="3">
        <v>3</v>
      </c>
      <c r="G2899" s="2"/>
      <c r="H2899" s="2"/>
      <c r="I2899" s="2"/>
      <c r="J2899" s="2"/>
      <c r="K2899" s="2"/>
      <c r="L2899" s="3" t="s">
        <v>4751</v>
      </c>
      <c r="M2899" s="24" t="s">
        <v>4759</v>
      </c>
      <c r="N2899" s="48"/>
    </row>
    <row r="2900" spans="1:14" customFormat="1" x14ac:dyDescent="0.45">
      <c r="A2900" s="3" t="s">
        <v>4748</v>
      </c>
      <c r="B2900" s="32">
        <v>45673</v>
      </c>
      <c r="C2900" s="3" t="s">
        <v>587</v>
      </c>
      <c r="D2900" s="3"/>
      <c r="E2900" s="3" t="s">
        <v>4760</v>
      </c>
      <c r="F2900" s="3">
        <v>2</v>
      </c>
      <c r="G2900" s="2"/>
      <c r="H2900" s="2"/>
      <c r="I2900" s="2"/>
      <c r="J2900" s="2"/>
      <c r="K2900" s="2"/>
      <c r="L2900" s="3" t="s">
        <v>4751</v>
      </c>
      <c r="M2900" s="3" t="s">
        <v>4761</v>
      </c>
      <c r="N2900" s="48"/>
    </row>
    <row r="2901" spans="1:14" customFormat="1" x14ac:dyDescent="0.45">
      <c r="A2901" s="3" t="s">
        <v>4748</v>
      </c>
      <c r="B2901" s="32">
        <v>45673</v>
      </c>
      <c r="C2901" s="3" t="s">
        <v>587</v>
      </c>
      <c r="D2901" s="3"/>
      <c r="E2901" s="3" t="s">
        <v>4762</v>
      </c>
      <c r="F2901" s="3">
        <v>5</v>
      </c>
      <c r="G2901" s="2"/>
      <c r="H2901" s="2"/>
      <c r="I2901" s="2"/>
      <c r="J2901" s="2"/>
      <c r="K2901" s="2"/>
      <c r="L2901" s="3" t="s">
        <v>4751</v>
      </c>
      <c r="M2901" s="24" t="s">
        <v>4763</v>
      </c>
      <c r="N2901" s="48"/>
    </row>
    <row r="2902" spans="1:14" customFormat="1" x14ac:dyDescent="0.45">
      <c r="A2902" s="3" t="s">
        <v>4748</v>
      </c>
      <c r="B2902" s="32">
        <v>45631</v>
      </c>
      <c r="C2902" s="3" t="s">
        <v>25</v>
      </c>
      <c r="D2902" s="3"/>
      <c r="E2902" s="3" t="s">
        <v>4764</v>
      </c>
      <c r="F2902" s="3">
        <v>26</v>
      </c>
      <c r="G2902" s="2"/>
      <c r="H2902" s="2"/>
      <c r="I2902" s="2"/>
      <c r="J2902" s="2"/>
      <c r="K2902" s="2"/>
      <c r="L2902" s="3" t="s">
        <v>4751</v>
      </c>
      <c r="M2902" s="24" t="s">
        <v>4765</v>
      </c>
      <c r="N2902" s="48"/>
    </row>
    <row r="2903" spans="1:14" customFormat="1" x14ac:dyDescent="0.45">
      <c r="A2903" s="3" t="s">
        <v>4748</v>
      </c>
      <c r="B2903" s="32">
        <v>45561</v>
      </c>
      <c r="C2903" s="3" t="s">
        <v>21</v>
      </c>
      <c r="D2903" s="3"/>
      <c r="E2903" s="3" t="s">
        <v>4766</v>
      </c>
      <c r="F2903" s="3">
        <v>5</v>
      </c>
      <c r="G2903" s="2"/>
      <c r="H2903" s="2"/>
      <c r="I2903" s="2"/>
      <c r="J2903" s="2"/>
      <c r="K2903" s="2"/>
      <c r="L2903" s="3" t="s">
        <v>4751</v>
      </c>
      <c r="M2903" s="3" t="s">
        <v>4767</v>
      </c>
      <c r="N2903" s="48"/>
    </row>
    <row r="2904" spans="1:14" customFormat="1" x14ac:dyDescent="0.45">
      <c r="A2904" s="3" t="s">
        <v>4748</v>
      </c>
      <c r="B2904" s="32">
        <v>45492</v>
      </c>
      <c r="C2904" s="3" t="s">
        <v>21</v>
      </c>
      <c r="D2904" s="3"/>
      <c r="E2904" s="3" t="s">
        <v>4768</v>
      </c>
      <c r="F2904" s="3">
        <v>16</v>
      </c>
      <c r="G2904" s="2"/>
      <c r="H2904" s="2"/>
      <c r="I2904" s="2"/>
      <c r="J2904" s="2"/>
      <c r="K2904" s="2"/>
      <c r="L2904" s="3" t="s">
        <v>4751</v>
      </c>
      <c r="M2904" s="24" t="s">
        <v>4769</v>
      </c>
      <c r="N2904" s="48"/>
    </row>
    <row r="2905" spans="1:14" customFormat="1" x14ac:dyDescent="0.45">
      <c r="A2905" s="3" t="s">
        <v>4748</v>
      </c>
      <c r="B2905" s="32">
        <v>45484</v>
      </c>
      <c r="C2905" s="3" t="s">
        <v>21</v>
      </c>
      <c r="D2905" s="3"/>
      <c r="E2905" s="3" t="s">
        <v>4770</v>
      </c>
      <c r="F2905" s="3">
        <v>2</v>
      </c>
      <c r="G2905" s="2"/>
      <c r="H2905" s="2"/>
      <c r="I2905" s="2"/>
      <c r="J2905" s="2"/>
      <c r="K2905" s="2"/>
      <c r="L2905" s="3" t="s">
        <v>4751</v>
      </c>
      <c r="M2905" s="24" t="s">
        <v>4771</v>
      </c>
      <c r="N2905" s="48"/>
    </row>
    <row r="2906" spans="1:14" customFormat="1" x14ac:dyDescent="0.45">
      <c r="A2906" s="3" t="s">
        <v>4748</v>
      </c>
      <c r="B2906" s="32">
        <v>45441</v>
      </c>
      <c r="C2906" s="3" t="s">
        <v>21</v>
      </c>
      <c r="D2906" s="3"/>
      <c r="E2906" s="3" t="s">
        <v>4772</v>
      </c>
      <c r="F2906" s="3">
        <v>2</v>
      </c>
      <c r="G2906" s="2"/>
      <c r="H2906" s="2"/>
      <c r="I2906" s="2"/>
      <c r="J2906" s="2"/>
      <c r="K2906" s="2"/>
      <c r="L2906" s="3" t="s">
        <v>4751</v>
      </c>
      <c r="M2906" s="3" t="s">
        <v>4773</v>
      </c>
      <c r="N2906" s="48"/>
    </row>
    <row r="2907" spans="1:14" customFormat="1" x14ac:dyDescent="0.45">
      <c r="A2907" s="3" t="s">
        <v>4748</v>
      </c>
      <c r="B2907" s="32">
        <v>45364</v>
      </c>
      <c r="C2907" s="3" t="s">
        <v>21</v>
      </c>
      <c r="D2907" s="3"/>
      <c r="E2907" s="3" t="s">
        <v>4774</v>
      </c>
      <c r="F2907" s="3">
        <v>16</v>
      </c>
      <c r="G2907" s="2"/>
      <c r="H2907" s="2"/>
      <c r="I2907" s="2"/>
      <c r="J2907" s="2"/>
      <c r="K2907" s="2"/>
      <c r="L2907" s="3" t="s">
        <v>4751</v>
      </c>
      <c r="M2907" s="24" t="s">
        <v>4775</v>
      </c>
      <c r="N2907" s="48"/>
    </row>
    <row r="2908" spans="1:14" customFormat="1" x14ac:dyDescent="0.45">
      <c r="A2908" s="3" t="s">
        <v>4748</v>
      </c>
      <c r="B2908" s="32">
        <v>45257</v>
      </c>
      <c r="C2908" s="7" t="s">
        <v>587</v>
      </c>
      <c r="D2908" s="3"/>
      <c r="E2908" s="3" t="s">
        <v>4776</v>
      </c>
      <c r="F2908" s="3">
        <v>3</v>
      </c>
      <c r="G2908" s="2"/>
      <c r="H2908" s="2"/>
      <c r="I2908" s="2"/>
      <c r="J2908" s="2"/>
      <c r="K2908" s="2"/>
      <c r="L2908" s="3" t="s">
        <v>4751</v>
      </c>
      <c r="M2908" s="3" t="s">
        <v>4777</v>
      </c>
      <c r="N2908" s="48"/>
    </row>
    <row r="2909" spans="1:14" customFormat="1" x14ac:dyDescent="0.45">
      <c r="A2909" s="3" t="s">
        <v>4748</v>
      </c>
      <c r="B2909" s="32">
        <v>45250</v>
      </c>
      <c r="C2909" s="3" t="s">
        <v>21</v>
      </c>
      <c r="D2909" s="3"/>
      <c r="E2909" s="3" t="s">
        <v>4778</v>
      </c>
      <c r="F2909" s="3">
        <v>101</v>
      </c>
      <c r="G2909" s="2"/>
      <c r="H2909" s="2"/>
      <c r="I2909" s="2"/>
      <c r="J2909" s="2"/>
      <c r="K2909" s="2"/>
      <c r="L2909" s="3" t="s">
        <v>4751</v>
      </c>
      <c r="M2909" s="24" t="s">
        <v>4779</v>
      </c>
      <c r="N2909" s="48"/>
    </row>
    <row r="2910" spans="1:14" customFormat="1" x14ac:dyDescent="0.45">
      <c r="A2910" s="3" t="s">
        <v>4748</v>
      </c>
      <c r="B2910" s="32">
        <v>45250</v>
      </c>
      <c r="C2910" s="3" t="s">
        <v>21</v>
      </c>
      <c r="D2910" s="3"/>
      <c r="E2910" s="3" t="s">
        <v>4780</v>
      </c>
      <c r="F2910" s="3">
        <v>10</v>
      </c>
      <c r="G2910" s="2"/>
      <c r="H2910" s="2"/>
      <c r="I2910" s="2"/>
      <c r="J2910" s="2"/>
      <c r="K2910" s="2"/>
      <c r="L2910" s="3" t="s">
        <v>4751</v>
      </c>
      <c r="M2910" s="24" t="s">
        <v>4781</v>
      </c>
      <c r="N2910" s="48"/>
    </row>
    <row r="2911" spans="1:14" customFormat="1" x14ac:dyDescent="0.45">
      <c r="A2911" s="3" t="s">
        <v>4748</v>
      </c>
      <c r="B2911" s="32">
        <v>45204</v>
      </c>
      <c r="C2911" s="3" t="s">
        <v>25</v>
      </c>
      <c r="D2911" s="3"/>
      <c r="E2911" s="3" t="s">
        <v>4782</v>
      </c>
      <c r="F2911" s="3">
        <v>26</v>
      </c>
      <c r="G2911" s="2"/>
      <c r="H2911" s="2"/>
      <c r="I2911" s="2"/>
      <c r="J2911" s="2"/>
      <c r="K2911" s="2"/>
      <c r="L2911" s="3" t="s">
        <v>4751</v>
      </c>
      <c r="M2911" s="24" t="s">
        <v>4783</v>
      </c>
      <c r="N2911" s="48"/>
    </row>
    <row r="2912" spans="1:14" customFormat="1" x14ac:dyDescent="0.45">
      <c r="A2912" s="3" t="s">
        <v>4748</v>
      </c>
      <c r="B2912" s="32">
        <v>45198</v>
      </c>
      <c r="C2912" s="3" t="s">
        <v>21</v>
      </c>
      <c r="D2912" s="3"/>
      <c r="E2912" s="3" t="s">
        <v>4784</v>
      </c>
      <c r="F2912" s="3">
        <v>5</v>
      </c>
      <c r="G2912" s="2"/>
      <c r="H2912" s="2"/>
      <c r="I2912" s="2"/>
      <c r="J2912" s="2"/>
      <c r="K2912" s="2"/>
      <c r="L2912" s="3" t="s">
        <v>4751</v>
      </c>
      <c r="M2912" s="3" t="s">
        <v>4785</v>
      </c>
      <c r="N2912" s="48"/>
    </row>
    <row r="2913" spans="1:14" customFormat="1" x14ac:dyDescent="0.45">
      <c r="A2913" s="3" t="s">
        <v>4748</v>
      </c>
      <c r="B2913" s="32">
        <v>45089</v>
      </c>
      <c r="C2913" s="3" t="s">
        <v>25</v>
      </c>
      <c r="D2913" s="3"/>
      <c r="E2913" s="3" t="s">
        <v>4786</v>
      </c>
      <c r="F2913" s="3">
        <v>4</v>
      </c>
      <c r="G2913" s="2"/>
      <c r="H2913" s="2"/>
      <c r="I2913" s="2"/>
      <c r="J2913" s="2"/>
      <c r="K2913" s="2"/>
      <c r="L2913" s="3" t="s">
        <v>4751</v>
      </c>
      <c r="M2913" s="3" t="s">
        <v>4787</v>
      </c>
      <c r="N2913" s="48"/>
    </row>
    <row r="2914" spans="1:14" customFormat="1" x14ac:dyDescent="0.45">
      <c r="A2914" s="3" t="s">
        <v>4748</v>
      </c>
      <c r="B2914" s="32">
        <v>44999</v>
      </c>
      <c r="C2914" s="3" t="s">
        <v>587</v>
      </c>
      <c r="D2914" s="3"/>
      <c r="E2914" s="3" t="s">
        <v>4788</v>
      </c>
      <c r="F2914" s="3">
        <v>2</v>
      </c>
      <c r="G2914" s="2"/>
      <c r="H2914" s="2"/>
      <c r="I2914" s="2"/>
      <c r="J2914" s="2"/>
      <c r="K2914" s="2"/>
      <c r="L2914" s="3" t="s">
        <v>4751</v>
      </c>
      <c r="M2914" s="24" t="s">
        <v>4789</v>
      </c>
      <c r="N2914" s="48"/>
    </row>
    <row r="2915" spans="1:14" customFormat="1" x14ac:dyDescent="0.45">
      <c r="A2915" s="3" t="s">
        <v>4748</v>
      </c>
      <c r="B2915" s="32">
        <v>44945</v>
      </c>
      <c r="C2915" s="3" t="s">
        <v>21</v>
      </c>
      <c r="D2915" s="3"/>
      <c r="E2915" s="3" t="s">
        <v>4790</v>
      </c>
      <c r="F2915" s="3">
        <v>2</v>
      </c>
      <c r="G2915" s="2"/>
      <c r="H2915" s="2"/>
      <c r="I2915" s="2"/>
      <c r="J2915" s="2"/>
      <c r="K2915" s="2"/>
      <c r="L2915" s="3" t="s">
        <v>4751</v>
      </c>
      <c r="M2915" s="3" t="s">
        <v>4791</v>
      </c>
      <c r="N2915" s="48"/>
    </row>
    <row r="2916" spans="1:14" customFormat="1" x14ac:dyDescent="0.45">
      <c r="A2916" s="3" t="s">
        <v>4748</v>
      </c>
      <c r="B2916" s="32">
        <v>44886</v>
      </c>
      <c r="C2916" s="3" t="s">
        <v>21</v>
      </c>
      <c r="D2916" s="3"/>
      <c r="E2916" s="3" t="s">
        <v>4792</v>
      </c>
      <c r="F2916" s="3">
        <v>2</v>
      </c>
      <c r="G2916" s="2"/>
      <c r="H2916" s="2"/>
      <c r="I2916" s="2"/>
      <c r="J2916" s="2"/>
      <c r="K2916" s="2"/>
      <c r="L2916" s="3" t="s">
        <v>4751</v>
      </c>
      <c r="M2916" s="3" t="s">
        <v>4793</v>
      </c>
      <c r="N2916" s="48"/>
    </row>
    <row r="2917" spans="1:14" customFormat="1" x14ac:dyDescent="0.45">
      <c r="A2917" s="3" t="s">
        <v>4748</v>
      </c>
      <c r="B2917" s="32">
        <v>44865</v>
      </c>
      <c r="C2917" s="3" t="s">
        <v>587</v>
      </c>
      <c r="D2917" s="3"/>
      <c r="E2917" s="3" t="s">
        <v>4794</v>
      </c>
      <c r="F2917" s="3">
        <v>7</v>
      </c>
      <c r="G2917" s="2"/>
      <c r="H2917" s="2"/>
      <c r="I2917" s="2"/>
      <c r="J2917" s="2"/>
      <c r="K2917" s="2"/>
      <c r="L2917" s="3" t="s">
        <v>4751</v>
      </c>
      <c r="M2917" s="3" t="s">
        <v>4795</v>
      </c>
      <c r="N2917" s="48"/>
    </row>
    <row r="2918" spans="1:14" customFormat="1" x14ac:dyDescent="0.45">
      <c r="A2918" s="3" t="s">
        <v>4748</v>
      </c>
      <c r="B2918" s="32">
        <v>44853</v>
      </c>
      <c r="C2918" s="3" t="s">
        <v>21</v>
      </c>
      <c r="D2918" s="3"/>
      <c r="E2918" s="3" t="s">
        <v>4796</v>
      </c>
      <c r="F2918" s="3">
        <v>5</v>
      </c>
      <c r="G2918" s="2"/>
      <c r="H2918" s="2"/>
      <c r="I2918" s="2"/>
      <c r="J2918" s="2"/>
      <c r="K2918" s="2"/>
      <c r="L2918" s="3" t="s">
        <v>4751</v>
      </c>
      <c r="M2918" s="3" t="s">
        <v>4797</v>
      </c>
      <c r="N2918" s="48"/>
    </row>
    <row r="2919" spans="1:14" customFormat="1" x14ac:dyDescent="0.45">
      <c r="A2919" s="3" t="s">
        <v>4748</v>
      </c>
      <c r="B2919" s="32">
        <v>44840</v>
      </c>
      <c r="C2919" s="3" t="s">
        <v>25</v>
      </c>
      <c r="D2919" s="3"/>
      <c r="E2919" s="3" t="s">
        <v>4798</v>
      </c>
      <c r="F2919" s="3">
        <v>26</v>
      </c>
      <c r="G2919" s="2"/>
      <c r="H2919" s="2"/>
      <c r="I2919" s="2"/>
      <c r="J2919" s="2"/>
      <c r="K2919" s="2"/>
      <c r="L2919" s="3" t="s">
        <v>4751</v>
      </c>
      <c r="M2919" s="24" t="s">
        <v>4799</v>
      </c>
      <c r="N2919" s="48"/>
    </row>
    <row r="2920" spans="1:14" customFormat="1" x14ac:dyDescent="0.45">
      <c r="A2920" s="3" t="s">
        <v>4748</v>
      </c>
      <c r="B2920" s="32">
        <v>44799</v>
      </c>
      <c r="C2920" s="3" t="s">
        <v>25</v>
      </c>
      <c r="D2920" s="3"/>
      <c r="E2920" s="3" t="s">
        <v>4800</v>
      </c>
      <c r="F2920" s="3">
        <v>3</v>
      </c>
      <c r="G2920" s="2"/>
      <c r="H2920" s="2"/>
      <c r="I2920" s="2"/>
      <c r="J2920" s="2"/>
      <c r="K2920" s="2"/>
      <c r="L2920" s="3" t="s">
        <v>4751</v>
      </c>
      <c r="M2920" s="3" t="s">
        <v>4801</v>
      </c>
      <c r="N2920" s="48"/>
    </row>
    <row r="2921" spans="1:14" customFormat="1" x14ac:dyDescent="0.45">
      <c r="A2921" s="3" t="s">
        <v>4748</v>
      </c>
      <c r="B2921" s="32">
        <v>44725</v>
      </c>
      <c r="C2921" s="3" t="s">
        <v>21</v>
      </c>
      <c r="D2921" s="3"/>
      <c r="E2921" s="3" t="s">
        <v>4802</v>
      </c>
      <c r="F2921" s="3">
        <v>3</v>
      </c>
      <c r="G2921" s="2"/>
      <c r="H2921" s="2"/>
      <c r="I2921" s="2"/>
      <c r="J2921" s="2"/>
      <c r="K2921" s="2"/>
      <c r="L2921" s="3" t="s">
        <v>4751</v>
      </c>
      <c r="M2921" s="24" t="s">
        <v>4803</v>
      </c>
      <c r="N2921" s="48"/>
    </row>
    <row r="2922" spans="1:14" customFormat="1" x14ac:dyDescent="0.45">
      <c r="A2922" s="3" t="s">
        <v>4748</v>
      </c>
      <c r="B2922" s="32">
        <v>44706</v>
      </c>
      <c r="C2922" s="3" t="s">
        <v>21</v>
      </c>
      <c r="D2922" s="3"/>
      <c r="E2922" s="3" t="s">
        <v>4804</v>
      </c>
      <c r="F2922" s="3">
        <v>18</v>
      </c>
      <c r="G2922" s="2"/>
      <c r="H2922" s="2"/>
      <c r="I2922" s="2"/>
      <c r="J2922" s="2"/>
      <c r="K2922" s="2"/>
      <c r="L2922" s="3" t="s">
        <v>4751</v>
      </c>
      <c r="M2922" s="24" t="s">
        <v>4805</v>
      </c>
      <c r="N2922" s="48"/>
    </row>
    <row r="2923" spans="1:14" customFormat="1" x14ac:dyDescent="0.45">
      <c r="A2923" s="3" t="s">
        <v>4748</v>
      </c>
      <c r="B2923" s="32">
        <v>44691</v>
      </c>
      <c r="C2923" s="7" t="s">
        <v>587</v>
      </c>
      <c r="D2923" s="3"/>
      <c r="E2923" s="3" t="s">
        <v>4806</v>
      </c>
      <c r="F2923" s="3">
        <v>2</v>
      </c>
      <c r="G2923" s="2"/>
      <c r="H2923" s="2"/>
      <c r="I2923" s="2"/>
      <c r="J2923" s="2"/>
      <c r="K2923" s="2"/>
      <c r="L2923" s="3" t="s">
        <v>4751</v>
      </c>
      <c r="M2923" s="24" t="s">
        <v>4807</v>
      </c>
      <c r="N2923" s="48"/>
    </row>
    <row r="2924" spans="1:14" customFormat="1" x14ac:dyDescent="0.45">
      <c r="A2924" s="3" t="s">
        <v>4748</v>
      </c>
      <c r="B2924" s="32">
        <v>44691</v>
      </c>
      <c r="C2924" s="7" t="s">
        <v>587</v>
      </c>
      <c r="D2924" s="3"/>
      <c r="E2924" s="3" t="s">
        <v>4808</v>
      </c>
      <c r="F2924" s="3">
        <v>2</v>
      </c>
      <c r="G2924" s="2"/>
      <c r="H2924" s="2"/>
      <c r="I2924" s="2"/>
      <c r="J2924" s="2"/>
      <c r="K2924" s="2"/>
      <c r="L2924" s="3" t="s">
        <v>4751</v>
      </c>
      <c r="M2924" s="24" t="s">
        <v>4809</v>
      </c>
      <c r="N2924" s="48"/>
    </row>
    <row r="2925" spans="1:14" customFormat="1" x14ac:dyDescent="0.45">
      <c r="A2925" s="3" t="s">
        <v>4748</v>
      </c>
      <c r="B2925" s="32">
        <v>44678</v>
      </c>
      <c r="C2925" s="3" t="s">
        <v>21</v>
      </c>
      <c r="D2925" s="3"/>
      <c r="E2925" s="3" t="s">
        <v>4810</v>
      </c>
      <c r="F2925" s="3">
        <v>16</v>
      </c>
      <c r="G2925" s="2"/>
      <c r="H2925" s="2"/>
      <c r="I2925" s="2"/>
      <c r="J2925" s="2"/>
      <c r="K2925" s="2"/>
      <c r="L2925" s="3" t="s">
        <v>4751</v>
      </c>
      <c r="M2925" s="24" t="s">
        <v>4811</v>
      </c>
      <c r="N2925" s="48"/>
    </row>
    <row r="2926" spans="1:14" customFormat="1" x14ac:dyDescent="0.45">
      <c r="A2926" s="3" t="s">
        <v>4748</v>
      </c>
      <c r="B2926" s="32">
        <v>44665</v>
      </c>
      <c r="C2926" s="3" t="s">
        <v>21</v>
      </c>
      <c r="D2926" s="3"/>
      <c r="E2926" s="3" t="s">
        <v>4812</v>
      </c>
      <c r="F2926" s="3">
        <v>3</v>
      </c>
      <c r="G2926" s="2"/>
      <c r="H2926" s="2"/>
      <c r="I2926" s="2"/>
      <c r="J2926" s="2"/>
      <c r="K2926" s="2"/>
      <c r="L2926" s="3" t="s">
        <v>4751</v>
      </c>
      <c r="M2926" s="3" t="s">
        <v>4813</v>
      </c>
      <c r="N2926" s="48"/>
    </row>
    <row r="2927" spans="1:14" customFormat="1" x14ac:dyDescent="0.45">
      <c r="A2927" s="3" t="s">
        <v>4748</v>
      </c>
      <c r="B2927" s="32">
        <v>44568</v>
      </c>
      <c r="C2927" s="3" t="s">
        <v>21</v>
      </c>
      <c r="D2927" s="3"/>
      <c r="E2927" s="3" t="s">
        <v>4814</v>
      </c>
      <c r="F2927" s="3">
        <v>6</v>
      </c>
      <c r="G2927" s="2"/>
      <c r="H2927" s="2"/>
      <c r="I2927" s="2"/>
      <c r="J2927" s="2"/>
      <c r="K2927" s="2"/>
      <c r="L2927" s="3" t="s">
        <v>4751</v>
      </c>
      <c r="M2927" s="3" t="s">
        <v>4815</v>
      </c>
      <c r="N2927" s="48"/>
    </row>
    <row r="2928" spans="1:14" customFormat="1" x14ac:dyDescent="0.45">
      <c r="A2928" s="3" t="s">
        <v>4748</v>
      </c>
      <c r="B2928" s="32">
        <v>44496</v>
      </c>
      <c r="C2928" s="3" t="s">
        <v>21</v>
      </c>
      <c r="D2928" s="3"/>
      <c r="E2928" s="3" t="s">
        <v>4816</v>
      </c>
      <c r="F2928" s="3">
        <v>6</v>
      </c>
      <c r="G2928" s="2"/>
      <c r="H2928" s="2"/>
      <c r="I2928" s="2"/>
      <c r="J2928" s="2"/>
      <c r="K2928" s="2"/>
      <c r="L2928" s="3" t="s">
        <v>4751</v>
      </c>
      <c r="M2928" s="3" t="s">
        <v>4817</v>
      </c>
      <c r="N2928" s="48"/>
    </row>
    <row r="2929" spans="1:14" customFormat="1" x14ac:dyDescent="0.45">
      <c r="A2929" s="3" t="s">
        <v>4748</v>
      </c>
      <c r="B2929" s="32">
        <v>44489</v>
      </c>
      <c r="C2929" s="3" t="s">
        <v>21</v>
      </c>
      <c r="D2929" s="3"/>
      <c r="E2929" s="3" t="s">
        <v>4818</v>
      </c>
      <c r="F2929" s="3">
        <v>5</v>
      </c>
      <c r="G2929" s="2"/>
      <c r="H2929" s="2"/>
      <c r="I2929" s="2"/>
      <c r="J2929" s="2"/>
      <c r="K2929" s="2"/>
      <c r="L2929" s="3" t="s">
        <v>4751</v>
      </c>
      <c r="M2929" s="3" t="s">
        <v>4819</v>
      </c>
      <c r="N2929" s="48"/>
    </row>
    <row r="2930" spans="1:14" customFormat="1" x14ac:dyDescent="0.45">
      <c r="A2930" s="3" t="s">
        <v>4748</v>
      </c>
      <c r="B2930" s="32">
        <v>44487</v>
      </c>
      <c r="C2930" s="3" t="s">
        <v>21</v>
      </c>
      <c r="D2930" s="3"/>
      <c r="E2930" s="3" t="s">
        <v>4820</v>
      </c>
      <c r="F2930" s="3">
        <v>2</v>
      </c>
      <c r="G2930" s="2"/>
      <c r="H2930" s="2"/>
      <c r="I2930" s="2"/>
      <c r="J2930" s="2"/>
      <c r="K2930" s="2"/>
      <c r="L2930" s="3" t="s">
        <v>4751</v>
      </c>
      <c r="M2930" s="24" t="s">
        <v>4821</v>
      </c>
      <c r="N2930" s="48"/>
    </row>
    <row r="2931" spans="1:14" customFormat="1" x14ac:dyDescent="0.45">
      <c r="A2931" s="3" t="s">
        <v>4748</v>
      </c>
      <c r="B2931" s="32">
        <v>44431</v>
      </c>
      <c r="C2931" s="3" t="s">
        <v>587</v>
      </c>
      <c r="D2931" s="3"/>
      <c r="E2931" s="3" t="s">
        <v>4822</v>
      </c>
      <c r="F2931" s="3">
        <v>3</v>
      </c>
      <c r="G2931" s="2"/>
      <c r="H2931" s="2"/>
      <c r="I2931" s="2"/>
      <c r="J2931" s="2"/>
      <c r="K2931" s="2"/>
      <c r="L2931" s="3" t="s">
        <v>4751</v>
      </c>
      <c r="M2931" s="3" t="s">
        <v>4823</v>
      </c>
      <c r="N2931" s="48"/>
    </row>
    <row r="2932" spans="1:14" customFormat="1" x14ac:dyDescent="0.45">
      <c r="A2932" s="3" t="s">
        <v>4748</v>
      </c>
      <c r="B2932" s="32">
        <v>44406</v>
      </c>
      <c r="C2932" s="3" t="s">
        <v>25</v>
      </c>
      <c r="D2932" s="3"/>
      <c r="E2932" s="3" t="s">
        <v>4824</v>
      </c>
      <c r="F2932" s="3">
        <v>26</v>
      </c>
      <c r="G2932" s="2"/>
      <c r="H2932" s="2"/>
      <c r="I2932" s="2"/>
      <c r="J2932" s="2"/>
      <c r="K2932" s="2"/>
      <c r="L2932" s="3" t="s">
        <v>4751</v>
      </c>
      <c r="M2932" s="24" t="s">
        <v>4825</v>
      </c>
      <c r="N2932" s="48"/>
    </row>
    <row r="2933" spans="1:14" customFormat="1" x14ac:dyDescent="0.45">
      <c r="A2933" s="3" t="s">
        <v>4748</v>
      </c>
      <c r="B2933" s="32">
        <v>44355</v>
      </c>
      <c r="C2933" s="3" t="s">
        <v>21</v>
      </c>
      <c r="D2933" s="3"/>
      <c r="E2933" s="3" t="s">
        <v>4826</v>
      </c>
      <c r="F2933" s="3">
        <v>2</v>
      </c>
      <c r="G2933" s="2"/>
      <c r="H2933" s="2"/>
      <c r="I2933" s="2"/>
      <c r="J2933" s="2"/>
      <c r="K2933" s="2"/>
      <c r="L2933" s="3" t="s">
        <v>4751</v>
      </c>
      <c r="M2933" s="3" t="s">
        <v>4827</v>
      </c>
      <c r="N2933" s="48"/>
    </row>
    <row r="2934" spans="1:14" customFormat="1" x14ac:dyDescent="0.45">
      <c r="A2934" s="3" t="s">
        <v>4748</v>
      </c>
      <c r="B2934" s="32">
        <v>44301</v>
      </c>
      <c r="C2934" s="3" t="s">
        <v>21</v>
      </c>
      <c r="D2934" s="3"/>
      <c r="E2934" s="3" t="s">
        <v>4828</v>
      </c>
      <c r="F2934" s="3">
        <v>6</v>
      </c>
      <c r="G2934" s="2"/>
      <c r="H2934" s="2"/>
      <c r="I2934" s="2"/>
      <c r="J2934" s="2"/>
      <c r="K2934" s="2"/>
      <c r="L2934" s="3" t="s">
        <v>4751</v>
      </c>
      <c r="M2934" s="3" t="s">
        <v>4829</v>
      </c>
      <c r="N2934" s="48"/>
    </row>
    <row r="2935" spans="1:14" customFormat="1" x14ac:dyDescent="0.45">
      <c r="A2935" s="3" t="s">
        <v>4748</v>
      </c>
      <c r="B2935" s="32">
        <v>44295</v>
      </c>
      <c r="C2935" s="3" t="s">
        <v>21</v>
      </c>
      <c r="D2935" s="3"/>
      <c r="E2935" s="3" t="s">
        <v>4830</v>
      </c>
      <c r="F2935" s="3">
        <v>6</v>
      </c>
      <c r="G2935" s="2"/>
      <c r="H2935" s="2"/>
      <c r="I2935" s="2"/>
      <c r="J2935" s="2"/>
      <c r="K2935" s="2"/>
      <c r="L2935" s="3" t="s">
        <v>4751</v>
      </c>
      <c r="M2935" s="3" t="s">
        <v>4831</v>
      </c>
      <c r="N2935" s="48"/>
    </row>
    <row r="2936" spans="1:14" customFormat="1" x14ac:dyDescent="0.45">
      <c r="A2936" s="3" t="s">
        <v>4748</v>
      </c>
      <c r="B2936" s="32">
        <v>44295</v>
      </c>
      <c r="C2936" s="3" t="s">
        <v>21</v>
      </c>
      <c r="D2936" s="3"/>
      <c r="E2936" s="3" t="s">
        <v>4832</v>
      </c>
      <c r="F2936" s="3">
        <v>7</v>
      </c>
      <c r="G2936" s="2"/>
      <c r="H2936" s="2"/>
      <c r="I2936" s="2"/>
      <c r="J2936" s="2"/>
      <c r="K2936" s="2"/>
      <c r="L2936" s="3" t="s">
        <v>4751</v>
      </c>
      <c r="M2936" s="24" t="s">
        <v>4833</v>
      </c>
      <c r="N2936" s="48"/>
    </row>
    <row r="2937" spans="1:14" customFormat="1" x14ac:dyDescent="0.45">
      <c r="A2937" s="3" t="s">
        <v>4748</v>
      </c>
      <c r="B2937" s="32">
        <v>44244</v>
      </c>
      <c r="C2937" s="3" t="s">
        <v>21</v>
      </c>
      <c r="D2937" s="3"/>
      <c r="E2937" s="3" t="s">
        <v>4834</v>
      </c>
      <c r="F2937" s="3">
        <v>18</v>
      </c>
      <c r="G2937" s="2"/>
      <c r="H2937" s="2"/>
      <c r="I2937" s="2"/>
      <c r="J2937" s="2"/>
      <c r="K2937" s="2"/>
      <c r="L2937" s="3" t="s">
        <v>4751</v>
      </c>
      <c r="M2937" s="24" t="s">
        <v>4835</v>
      </c>
      <c r="N2937" s="48"/>
    </row>
    <row r="2938" spans="1:14" customFormat="1" x14ac:dyDescent="0.45">
      <c r="A2938" s="3" t="s">
        <v>4748</v>
      </c>
      <c r="B2938" s="32">
        <v>44165</v>
      </c>
      <c r="C2938" s="3" t="s">
        <v>21</v>
      </c>
      <c r="D2938" s="3"/>
      <c r="E2938" s="3" t="s">
        <v>4836</v>
      </c>
      <c r="F2938" s="3">
        <v>10</v>
      </c>
      <c r="G2938" s="2"/>
      <c r="H2938" s="2"/>
      <c r="I2938" s="2"/>
      <c r="J2938" s="2"/>
      <c r="K2938" s="2"/>
      <c r="L2938" s="3" t="s">
        <v>4751</v>
      </c>
      <c r="M2938" s="24" t="s">
        <v>4837</v>
      </c>
      <c r="N2938" s="48"/>
    </row>
    <row r="2939" spans="1:14" customFormat="1" x14ac:dyDescent="0.45">
      <c r="A2939" s="3" t="s">
        <v>4748</v>
      </c>
      <c r="B2939" s="32">
        <v>44154</v>
      </c>
      <c r="C2939" s="3" t="s">
        <v>21</v>
      </c>
      <c r="D2939" s="3"/>
      <c r="E2939" s="3" t="s">
        <v>4838</v>
      </c>
      <c r="F2939" s="3">
        <v>98</v>
      </c>
      <c r="G2939" s="2"/>
      <c r="H2939" s="2"/>
      <c r="I2939" s="2"/>
      <c r="J2939" s="2"/>
      <c r="K2939" s="2"/>
      <c r="L2939" s="3" t="s">
        <v>4751</v>
      </c>
      <c r="M2939" s="24" t="s">
        <v>4839</v>
      </c>
      <c r="N2939" s="48"/>
    </row>
    <row r="2940" spans="1:14" customFormat="1" x14ac:dyDescent="0.45">
      <c r="A2940" s="3" t="s">
        <v>4748</v>
      </c>
      <c r="B2940" s="32">
        <v>44123</v>
      </c>
      <c r="C2940" s="3" t="s">
        <v>21</v>
      </c>
      <c r="D2940" s="3"/>
      <c r="E2940" s="3" t="s">
        <v>4840</v>
      </c>
      <c r="F2940" s="3">
        <v>5</v>
      </c>
      <c r="G2940" s="2"/>
      <c r="H2940" s="2"/>
      <c r="I2940" s="2"/>
      <c r="J2940" s="2"/>
      <c r="K2940" s="2"/>
      <c r="L2940" s="3" t="s">
        <v>4751</v>
      </c>
      <c r="M2940" s="3" t="s">
        <v>4841</v>
      </c>
      <c r="N2940" s="48"/>
    </row>
    <row r="2941" spans="1:14" customFormat="1" x14ac:dyDescent="0.45">
      <c r="A2941" s="3" t="s">
        <v>4748</v>
      </c>
      <c r="B2941" s="32">
        <v>44068</v>
      </c>
      <c r="C2941" s="7" t="s">
        <v>575</v>
      </c>
      <c r="D2941" s="3"/>
      <c r="E2941" s="3" t="s">
        <v>4842</v>
      </c>
      <c r="F2941" s="3">
        <v>23</v>
      </c>
      <c r="G2941" s="2"/>
      <c r="H2941" s="2"/>
      <c r="I2941" s="2"/>
      <c r="J2941" s="2"/>
      <c r="K2941" s="2"/>
      <c r="L2941" s="3" t="s">
        <v>4751</v>
      </c>
      <c r="M2941" s="24" t="s">
        <v>4843</v>
      </c>
      <c r="N2941" s="48"/>
    </row>
    <row r="2942" spans="1:14" customFormat="1" x14ac:dyDescent="0.45">
      <c r="A2942" s="3" t="s">
        <v>4748</v>
      </c>
      <c r="B2942" s="32">
        <v>44034</v>
      </c>
      <c r="C2942" s="3" t="s">
        <v>21</v>
      </c>
      <c r="D2942" s="3"/>
      <c r="E2942" s="3" t="s">
        <v>4844</v>
      </c>
      <c r="F2942" s="3">
        <v>5</v>
      </c>
      <c r="G2942" s="2"/>
      <c r="H2942" s="2"/>
      <c r="I2942" s="2"/>
      <c r="J2942" s="2"/>
      <c r="K2942" s="2"/>
      <c r="L2942" s="3" t="s">
        <v>4751</v>
      </c>
      <c r="M2942" s="3" t="s">
        <v>4845</v>
      </c>
      <c r="N2942" s="48"/>
    </row>
    <row r="2943" spans="1:14" customFormat="1" x14ac:dyDescent="0.45">
      <c r="A2943" s="3" t="s">
        <v>4748</v>
      </c>
      <c r="B2943" s="32">
        <v>43914</v>
      </c>
      <c r="C2943" s="3" t="s">
        <v>21</v>
      </c>
      <c r="D2943" s="3"/>
      <c r="E2943" s="3" t="s">
        <v>4846</v>
      </c>
      <c r="F2943" s="3">
        <v>4</v>
      </c>
      <c r="G2943" s="2"/>
      <c r="H2943" s="2"/>
      <c r="I2943" s="2"/>
      <c r="J2943" s="2"/>
      <c r="K2943" s="2"/>
      <c r="L2943" s="3" t="s">
        <v>4751</v>
      </c>
      <c r="M2943" s="3" t="s">
        <v>4847</v>
      </c>
      <c r="N2943" s="48"/>
    </row>
    <row r="2944" spans="1:14" customFormat="1" x14ac:dyDescent="0.45">
      <c r="A2944" s="3" t="s">
        <v>4748</v>
      </c>
      <c r="B2944" s="32">
        <v>43762</v>
      </c>
      <c r="C2944" s="3" t="s">
        <v>21</v>
      </c>
      <c r="D2944" s="3"/>
      <c r="E2944" s="3" t="s">
        <v>4848</v>
      </c>
      <c r="F2944" s="3">
        <v>5</v>
      </c>
      <c r="G2944" s="2"/>
      <c r="H2944" s="2"/>
      <c r="I2944" s="2"/>
      <c r="J2944" s="2"/>
      <c r="K2944" s="2"/>
      <c r="L2944" s="3" t="s">
        <v>4751</v>
      </c>
      <c r="M2944" s="3" t="s">
        <v>4849</v>
      </c>
      <c r="N2944" s="48"/>
    </row>
    <row r="2945" spans="1:14" customFormat="1" x14ac:dyDescent="0.45">
      <c r="A2945" s="3" t="s">
        <v>4748</v>
      </c>
      <c r="B2945" s="32">
        <v>43721</v>
      </c>
      <c r="C2945" s="3" t="s">
        <v>21</v>
      </c>
      <c r="D2945" s="3"/>
      <c r="E2945" s="3" t="s">
        <v>4850</v>
      </c>
      <c r="F2945" s="3">
        <v>8</v>
      </c>
      <c r="G2945" s="2"/>
      <c r="H2945" s="2"/>
      <c r="I2945" s="2"/>
      <c r="J2945" s="2"/>
      <c r="K2945" s="2"/>
      <c r="L2945" s="3" t="s">
        <v>4751</v>
      </c>
      <c r="M2945" s="24" t="s">
        <v>4851</v>
      </c>
      <c r="N2945" s="48"/>
    </row>
    <row r="2946" spans="1:14" customFormat="1" x14ac:dyDescent="0.45">
      <c r="A2946" s="3" t="s">
        <v>4748</v>
      </c>
      <c r="B2946" s="32">
        <v>43637</v>
      </c>
      <c r="C2946" s="3" t="s">
        <v>25</v>
      </c>
      <c r="D2946" s="3"/>
      <c r="E2946" s="3" t="s">
        <v>4852</v>
      </c>
      <c r="F2946" s="3">
        <v>2</v>
      </c>
      <c r="G2946" s="2"/>
      <c r="H2946" s="2"/>
      <c r="I2946" s="2"/>
      <c r="J2946" s="2"/>
      <c r="K2946" s="2"/>
      <c r="L2946" s="3" t="s">
        <v>4751</v>
      </c>
      <c r="M2946" s="3" t="s">
        <v>4853</v>
      </c>
      <c r="N2946" s="48"/>
    </row>
    <row r="2947" spans="1:14" customFormat="1" x14ac:dyDescent="0.45">
      <c r="A2947" s="3" t="s">
        <v>4748</v>
      </c>
      <c r="B2947" s="32">
        <v>43462</v>
      </c>
      <c r="C2947" s="3" t="s">
        <v>587</v>
      </c>
      <c r="D2947" s="3"/>
      <c r="E2947" s="3" t="s">
        <v>4854</v>
      </c>
      <c r="F2947" s="3">
        <v>2</v>
      </c>
      <c r="G2947" s="2"/>
      <c r="H2947" s="2"/>
      <c r="I2947" s="2"/>
      <c r="J2947" s="2"/>
      <c r="K2947" s="2"/>
      <c r="L2947" s="3" t="s">
        <v>4751</v>
      </c>
      <c r="M2947" s="3" t="s">
        <v>4855</v>
      </c>
      <c r="N2947" s="48"/>
    </row>
    <row r="2948" spans="1:14" customFormat="1" x14ac:dyDescent="0.45">
      <c r="A2948" s="3" t="s">
        <v>4748</v>
      </c>
      <c r="B2948" s="32">
        <v>43455</v>
      </c>
      <c r="C2948" s="3" t="s">
        <v>21</v>
      </c>
      <c r="D2948" s="3"/>
      <c r="E2948" s="3" t="s">
        <v>4856</v>
      </c>
      <c r="F2948" s="3">
        <v>15</v>
      </c>
      <c r="G2948" s="2"/>
      <c r="H2948" s="2"/>
      <c r="I2948" s="2"/>
      <c r="J2948" s="2"/>
      <c r="K2948" s="2"/>
      <c r="L2948" s="3" t="s">
        <v>4751</v>
      </c>
      <c r="M2948" s="24" t="s">
        <v>4857</v>
      </c>
      <c r="N2948" s="48"/>
    </row>
    <row r="2949" spans="1:14" customFormat="1" x14ac:dyDescent="0.45">
      <c r="A2949" s="3" t="s">
        <v>4748</v>
      </c>
      <c r="B2949" s="32">
        <v>43417</v>
      </c>
      <c r="C2949" s="3" t="s">
        <v>25</v>
      </c>
      <c r="D2949" s="3"/>
      <c r="E2949" s="3" t="s">
        <v>4858</v>
      </c>
      <c r="F2949" s="3">
        <v>2</v>
      </c>
      <c r="G2949" s="2"/>
      <c r="H2949" s="2"/>
      <c r="I2949" s="2"/>
      <c r="J2949" s="2"/>
      <c r="K2949" s="2"/>
      <c r="L2949" s="3" t="s">
        <v>4751</v>
      </c>
      <c r="M2949" s="3" t="s">
        <v>4859</v>
      </c>
      <c r="N2949" s="48"/>
    </row>
    <row r="2950" spans="1:14" customFormat="1" x14ac:dyDescent="0.45">
      <c r="A2950" s="3" t="s">
        <v>4748</v>
      </c>
      <c r="B2950" s="32">
        <v>43390</v>
      </c>
      <c r="C2950" s="3" t="s">
        <v>25</v>
      </c>
      <c r="D2950" s="3"/>
      <c r="E2950" s="3" t="s">
        <v>4860</v>
      </c>
      <c r="F2950" s="3">
        <v>16</v>
      </c>
      <c r="G2950" s="2"/>
      <c r="H2950" s="2"/>
      <c r="I2950" s="2"/>
      <c r="J2950" s="2"/>
      <c r="K2950" s="2"/>
      <c r="L2950" s="3" t="s">
        <v>4751</v>
      </c>
      <c r="M2950" s="24" t="s">
        <v>4861</v>
      </c>
      <c r="N2950" s="48"/>
    </row>
    <row r="2951" spans="1:14" customFormat="1" x14ac:dyDescent="0.45">
      <c r="A2951" s="3" t="s">
        <v>4748</v>
      </c>
      <c r="B2951" s="32">
        <v>43384</v>
      </c>
      <c r="C2951" s="3" t="s">
        <v>21</v>
      </c>
      <c r="D2951" s="3"/>
      <c r="E2951" s="3" t="s">
        <v>4862</v>
      </c>
      <c r="F2951" s="3">
        <v>5</v>
      </c>
      <c r="G2951" s="2"/>
      <c r="H2951" s="2"/>
      <c r="I2951" s="2"/>
      <c r="J2951" s="2"/>
      <c r="K2951" s="2"/>
      <c r="L2951" s="3" t="s">
        <v>4751</v>
      </c>
      <c r="M2951" s="3" t="s">
        <v>4863</v>
      </c>
      <c r="N2951" s="48"/>
    </row>
    <row r="2952" spans="1:14" customFormat="1" x14ac:dyDescent="0.45">
      <c r="A2952" s="3" t="s">
        <v>4748</v>
      </c>
      <c r="B2952" s="32">
        <v>43293</v>
      </c>
      <c r="C2952" s="3" t="s">
        <v>25</v>
      </c>
      <c r="D2952" s="3"/>
      <c r="E2952" s="3" t="s">
        <v>4864</v>
      </c>
      <c r="F2952" s="3">
        <v>3</v>
      </c>
      <c r="G2952" s="2"/>
      <c r="H2952" s="2"/>
      <c r="I2952" s="2"/>
      <c r="J2952" s="2"/>
      <c r="K2952" s="2"/>
      <c r="L2952" s="3" t="s">
        <v>4751</v>
      </c>
      <c r="M2952" s="3" t="s">
        <v>4865</v>
      </c>
      <c r="N2952" s="48"/>
    </row>
    <row r="2953" spans="1:14" customFormat="1" x14ac:dyDescent="0.45">
      <c r="A2953" s="3" t="s">
        <v>4748</v>
      </c>
      <c r="B2953" s="32">
        <v>43272</v>
      </c>
      <c r="C2953" s="3" t="s">
        <v>21</v>
      </c>
      <c r="D2953" s="3"/>
      <c r="E2953" s="3" t="s">
        <v>4866</v>
      </c>
      <c r="F2953" s="3">
        <v>29</v>
      </c>
      <c r="G2953" s="2"/>
      <c r="H2953" s="2"/>
      <c r="I2953" s="2"/>
      <c r="J2953" s="2"/>
      <c r="K2953" s="2"/>
      <c r="L2953" s="3" t="s">
        <v>4751</v>
      </c>
      <c r="M2953" s="24" t="s">
        <v>4867</v>
      </c>
      <c r="N2953" s="48"/>
    </row>
    <row r="2954" spans="1:14" customFormat="1" x14ac:dyDescent="0.45">
      <c r="A2954" s="3" t="s">
        <v>4748</v>
      </c>
      <c r="B2954" s="32">
        <v>43250</v>
      </c>
      <c r="C2954" s="7" t="s">
        <v>575</v>
      </c>
      <c r="D2954" s="3"/>
      <c r="E2954" s="3" t="s">
        <v>4868</v>
      </c>
      <c r="F2954" s="3">
        <v>1</v>
      </c>
      <c r="G2954" s="2"/>
      <c r="H2954" s="2"/>
      <c r="I2954" s="2"/>
      <c r="J2954" s="2"/>
      <c r="K2954" s="2"/>
      <c r="L2954" s="3" t="s">
        <v>4751</v>
      </c>
      <c r="M2954" s="24" t="s">
        <v>4869</v>
      </c>
      <c r="N2954" s="48"/>
    </row>
    <row r="2955" spans="1:14" customFormat="1" x14ac:dyDescent="0.45">
      <c r="A2955" s="3" t="s">
        <v>4748</v>
      </c>
      <c r="B2955" s="32">
        <v>43250</v>
      </c>
      <c r="C2955" s="7" t="s">
        <v>575</v>
      </c>
      <c r="D2955" s="3"/>
      <c r="E2955" s="3" t="s">
        <v>4870</v>
      </c>
      <c r="F2955" s="3">
        <v>2</v>
      </c>
      <c r="G2955" s="2"/>
      <c r="H2955" s="2"/>
      <c r="I2955" s="2"/>
      <c r="J2955" s="2"/>
      <c r="K2955" s="2"/>
      <c r="L2955" s="3" t="s">
        <v>4751</v>
      </c>
      <c r="M2955" s="24" t="s">
        <v>4871</v>
      </c>
      <c r="N2955" s="48"/>
    </row>
    <row r="2956" spans="1:14" customFormat="1" x14ac:dyDescent="0.45">
      <c r="A2956" s="3" t="s">
        <v>4748</v>
      </c>
      <c r="B2956" s="32">
        <v>43250</v>
      </c>
      <c r="C2956" s="7" t="s">
        <v>575</v>
      </c>
      <c r="D2956" s="3"/>
      <c r="E2956" s="3" t="s">
        <v>4872</v>
      </c>
      <c r="F2956" s="3">
        <v>2</v>
      </c>
      <c r="G2956" s="2"/>
      <c r="H2956" s="2"/>
      <c r="I2956" s="2"/>
      <c r="J2956" s="2"/>
      <c r="K2956" s="2"/>
      <c r="L2956" s="3" t="s">
        <v>4751</v>
      </c>
      <c r="M2956" s="24" t="s">
        <v>4873</v>
      </c>
      <c r="N2956" s="48"/>
    </row>
    <row r="2957" spans="1:14" customFormat="1" x14ac:dyDescent="0.45">
      <c r="A2957" s="3" t="s">
        <v>4748</v>
      </c>
      <c r="B2957" s="32">
        <v>43179</v>
      </c>
      <c r="C2957" s="3" t="s">
        <v>587</v>
      </c>
      <c r="D2957" s="3"/>
      <c r="E2957" s="3" t="s">
        <v>4874</v>
      </c>
      <c r="F2957" s="3">
        <v>2</v>
      </c>
      <c r="G2957" s="2"/>
      <c r="H2957" s="2"/>
      <c r="I2957" s="2"/>
      <c r="J2957" s="2"/>
      <c r="K2957" s="2"/>
      <c r="L2957" s="3" t="s">
        <v>4751</v>
      </c>
      <c r="M2957" s="3" t="s">
        <v>4875</v>
      </c>
      <c r="N2957" s="48"/>
    </row>
    <row r="2958" spans="1:14" customFormat="1" x14ac:dyDescent="0.45">
      <c r="A2958" s="3" t="s">
        <v>4748</v>
      </c>
      <c r="B2958" s="32">
        <v>43145</v>
      </c>
      <c r="C2958" s="3" t="s">
        <v>25</v>
      </c>
      <c r="D2958" s="3"/>
      <c r="E2958" s="3" t="s">
        <v>4876</v>
      </c>
      <c r="F2958" s="3">
        <v>2</v>
      </c>
      <c r="G2958" s="2"/>
      <c r="H2958" s="2"/>
      <c r="I2958" s="2"/>
      <c r="J2958" s="2"/>
      <c r="K2958" s="2"/>
      <c r="L2958" s="3" t="s">
        <v>4751</v>
      </c>
      <c r="M2958" s="3" t="s">
        <v>4877</v>
      </c>
      <c r="N2958" s="48"/>
    </row>
    <row r="2959" spans="1:14" customFormat="1" x14ac:dyDescent="0.45">
      <c r="A2959" s="3" t="s">
        <v>4748</v>
      </c>
      <c r="B2959" s="32">
        <v>43103</v>
      </c>
      <c r="C2959" s="3" t="s">
        <v>21</v>
      </c>
      <c r="D2959" s="3"/>
      <c r="E2959" s="3" t="s">
        <v>4878</v>
      </c>
      <c r="F2959" s="3">
        <v>52</v>
      </c>
      <c r="G2959" s="2"/>
      <c r="H2959" s="2"/>
      <c r="I2959" s="2"/>
      <c r="J2959" s="2"/>
      <c r="K2959" s="2"/>
      <c r="L2959" s="3" t="s">
        <v>4751</v>
      </c>
      <c r="M2959" s="24" t="s">
        <v>4879</v>
      </c>
      <c r="N2959" s="48"/>
    </row>
    <row r="2960" spans="1:14" customFormat="1" x14ac:dyDescent="0.45">
      <c r="A2960" s="3" t="s">
        <v>4748</v>
      </c>
      <c r="B2960" s="32">
        <v>43056</v>
      </c>
      <c r="C2960" s="3" t="s">
        <v>21</v>
      </c>
      <c r="D2960" s="3"/>
      <c r="E2960" s="3" t="s">
        <v>4880</v>
      </c>
      <c r="F2960" s="3">
        <v>143</v>
      </c>
      <c r="G2960" s="2"/>
      <c r="H2960" s="2"/>
      <c r="I2960" s="2"/>
      <c r="J2960" s="2"/>
      <c r="K2960" s="2"/>
      <c r="L2960" s="3" t="s">
        <v>4751</v>
      </c>
      <c r="M2960" s="24" t="s">
        <v>4881</v>
      </c>
      <c r="N2960" s="48"/>
    </row>
    <row r="2961" spans="1:14" customFormat="1" x14ac:dyDescent="0.45">
      <c r="A2961" s="3" t="s">
        <v>4748</v>
      </c>
      <c r="B2961" s="32">
        <v>43045</v>
      </c>
      <c r="C2961" s="3" t="s">
        <v>21</v>
      </c>
      <c r="D2961" s="3"/>
      <c r="E2961" s="3" t="s">
        <v>4882</v>
      </c>
      <c r="F2961" s="3">
        <v>28</v>
      </c>
      <c r="G2961" s="2"/>
      <c r="H2961" s="2"/>
      <c r="I2961" s="2"/>
      <c r="J2961" s="2"/>
      <c r="K2961" s="2"/>
      <c r="L2961" s="3" t="s">
        <v>4751</v>
      </c>
      <c r="M2961" s="24" t="s">
        <v>4883</v>
      </c>
      <c r="N2961" s="48"/>
    </row>
    <row r="2962" spans="1:14" customFormat="1" x14ac:dyDescent="0.45">
      <c r="A2962" s="3" t="s">
        <v>4748</v>
      </c>
      <c r="B2962" s="32">
        <v>42998</v>
      </c>
      <c r="C2962" s="3" t="s">
        <v>21</v>
      </c>
      <c r="D2962" s="3"/>
      <c r="E2962" s="3" t="s">
        <v>4884</v>
      </c>
      <c r="F2962" s="3">
        <v>4</v>
      </c>
      <c r="G2962" s="2"/>
      <c r="H2962" s="2"/>
      <c r="I2962" s="2"/>
      <c r="J2962" s="2"/>
      <c r="K2962" s="2"/>
      <c r="L2962" s="3" t="s">
        <v>4751</v>
      </c>
      <c r="M2962" s="3" t="s">
        <v>4885</v>
      </c>
      <c r="N2962" s="48"/>
    </row>
    <row r="2963" spans="1:14" customFormat="1" x14ac:dyDescent="0.45">
      <c r="A2963" s="3" t="s">
        <v>4748</v>
      </c>
      <c r="B2963" s="32">
        <v>42985</v>
      </c>
      <c r="C2963" s="3" t="s">
        <v>25</v>
      </c>
      <c r="D2963" s="3"/>
      <c r="E2963" s="3" t="s">
        <v>4886</v>
      </c>
      <c r="F2963" s="3">
        <v>2</v>
      </c>
      <c r="G2963" s="2"/>
      <c r="H2963" s="2"/>
      <c r="I2963" s="2"/>
      <c r="J2963" s="2"/>
      <c r="K2963" s="2"/>
      <c r="L2963" s="3" t="s">
        <v>4751</v>
      </c>
      <c r="M2963" s="3" t="s">
        <v>4887</v>
      </c>
      <c r="N2963" s="48"/>
    </row>
    <row r="2964" spans="1:14" customFormat="1" x14ac:dyDescent="0.45">
      <c r="A2964" s="3" t="s">
        <v>4748</v>
      </c>
      <c r="B2964" s="32">
        <v>42977</v>
      </c>
      <c r="C2964" s="7" t="s">
        <v>587</v>
      </c>
      <c r="D2964" s="3"/>
      <c r="E2964" s="3" t="s">
        <v>4888</v>
      </c>
      <c r="F2964" s="3">
        <v>3</v>
      </c>
      <c r="G2964" s="2"/>
      <c r="H2964" s="2"/>
      <c r="I2964" s="2"/>
      <c r="J2964" s="2"/>
      <c r="K2964" s="2"/>
      <c r="L2964" s="3" t="s">
        <v>4751</v>
      </c>
      <c r="M2964" s="3" t="s">
        <v>4889</v>
      </c>
      <c r="N2964" s="48"/>
    </row>
    <row r="2965" spans="1:14" customFormat="1" x14ac:dyDescent="0.45">
      <c r="A2965" s="3" t="s">
        <v>4748</v>
      </c>
      <c r="B2965" s="32">
        <v>42977</v>
      </c>
      <c r="C2965" s="3" t="s">
        <v>25</v>
      </c>
      <c r="D2965" s="3"/>
      <c r="E2965" s="3" t="s">
        <v>4890</v>
      </c>
      <c r="F2965" s="3">
        <v>3</v>
      </c>
      <c r="G2965" s="2"/>
      <c r="H2965" s="2"/>
      <c r="I2965" s="2"/>
      <c r="J2965" s="2"/>
      <c r="K2965" s="2"/>
      <c r="L2965" s="3" t="s">
        <v>4751</v>
      </c>
      <c r="M2965" s="3" t="s">
        <v>4891</v>
      </c>
      <c r="N2965" s="48"/>
    </row>
    <row r="2966" spans="1:14" customFormat="1" x14ac:dyDescent="0.45">
      <c r="A2966" s="3" t="s">
        <v>4748</v>
      </c>
      <c r="B2966" s="32">
        <v>42948</v>
      </c>
      <c r="C2966" s="3" t="s">
        <v>21</v>
      </c>
      <c r="D2966" s="3"/>
      <c r="E2966" s="3" t="s">
        <v>4892</v>
      </c>
      <c r="F2966" s="3">
        <v>9</v>
      </c>
      <c r="G2966" s="2"/>
      <c r="H2966" s="2"/>
      <c r="I2966" s="2"/>
      <c r="J2966" s="2"/>
      <c r="K2966" s="2"/>
      <c r="L2966" s="3" t="s">
        <v>4751</v>
      </c>
      <c r="M2966" s="24" t="s">
        <v>4893</v>
      </c>
      <c r="N2966" s="48"/>
    </row>
    <row r="2967" spans="1:14" customFormat="1" x14ac:dyDescent="0.45">
      <c r="A2967" s="3" t="s">
        <v>4748</v>
      </c>
      <c r="B2967" s="32">
        <v>42933</v>
      </c>
      <c r="C2967" s="3" t="s">
        <v>21</v>
      </c>
      <c r="D2967" s="3"/>
      <c r="E2967" s="3" t="s">
        <v>4894</v>
      </c>
      <c r="F2967" s="3">
        <v>5</v>
      </c>
      <c r="G2967" s="2"/>
      <c r="H2967" s="2"/>
      <c r="I2967" s="2"/>
      <c r="J2967" s="2"/>
      <c r="K2967" s="2"/>
      <c r="L2967" s="3" t="s">
        <v>4751</v>
      </c>
      <c r="M2967" s="3" t="s">
        <v>4895</v>
      </c>
      <c r="N2967" s="48"/>
    </row>
    <row r="2968" spans="1:14" customFormat="1" x14ac:dyDescent="0.45">
      <c r="A2968" s="3" t="s">
        <v>4748</v>
      </c>
      <c r="B2968" s="32">
        <v>42719</v>
      </c>
      <c r="C2968" s="3" t="s">
        <v>25</v>
      </c>
      <c r="D2968" s="3"/>
      <c r="E2968" s="3" t="s">
        <v>4896</v>
      </c>
      <c r="F2968" s="3">
        <v>2</v>
      </c>
      <c r="G2968" s="2"/>
      <c r="H2968" s="2"/>
      <c r="I2968" s="2"/>
      <c r="J2968" s="2"/>
      <c r="K2968" s="2"/>
      <c r="L2968" s="3" t="s">
        <v>4751</v>
      </c>
      <c r="M2968" s="3" t="s">
        <v>4897</v>
      </c>
      <c r="N2968" s="48"/>
    </row>
    <row r="2969" spans="1:14" customFormat="1" x14ac:dyDescent="0.45">
      <c r="A2969" s="3" t="s">
        <v>4748</v>
      </c>
      <c r="B2969" s="32">
        <v>42690</v>
      </c>
      <c r="C2969" s="3" t="s">
        <v>21</v>
      </c>
      <c r="D2969" s="3"/>
      <c r="E2969" s="3" t="s">
        <v>4898</v>
      </c>
      <c r="F2969" s="3">
        <v>2</v>
      </c>
      <c r="G2969" s="2"/>
      <c r="H2969" s="2"/>
      <c r="I2969" s="2"/>
      <c r="J2969" s="2"/>
      <c r="K2969" s="2"/>
      <c r="L2969" s="3" t="s">
        <v>4751</v>
      </c>
      <c r="M2969" s="3" t="s">
        <v>4899</v>
      </c>
      <c r="N2969" s="48"/>
    </row>
    <row r="2970" spans="1:14" customFormat="1" x14ac:dyDescent="0.45">
      <c r="A2970" s="3" t="s">
        <v>4748</v>
      </c>
      <c r="B2970" s="32">
        <v>42661</v>
      </c>
      <c r="C2970" s="3" t="s">
        <v>21</v>
      </c>
      <c r="D2970" s="3"/>
      <c r="E2970" s="3" t="s">
        <v>4900</v>
      </c>
      <c r="F2970" s="3">
        <v>5</v>
      </c>
      <c r="G2970" s="2"/>
      <c r="H2970" s="2"/>
      <c r="I2970" s="2"/>
      <c r="J2970" s="2"/>
      <c r="K2970" s="2"/>
      <c r="L2970" s="3" t="s">
        <v>4751</v>
      </c>
      <c r="M2970" s="24" t="s">
        <v>4901</v>
      </c>
      <c r="N2970" s="48"/>
    </row>
    <row r="2971" spans="1:14" customFormat="1" x14ac:dyDescent="0.45">
      <c r="A2971" s="3" t="s">
        <v>4748</v>
      </c>
      <c r="B2971" s="32">
        <v>42577</v>
      </c>
      <c r="C2971" s="3" t="s">
        <v>25</v>
      </c>
      <c r="D2971" s="3"/>
      <c r="E2971" s="3" t="s">
        <v>4902</v>
      </c>
      <c r="F2971" s="3">
        <v>2</v>
      </c>
      <c r="G2971" s="2"/>
      <c r="H2971" s="2"/>
      <c r="I2971" s="2"/>
      <c r="J2971" s="2"/>
      <c r="K2971" s="2"/>
      <c r="L2971" s="3" t="s">
        <v>4751</v>
      </c>
      <c r="M2971" s="3" t="s">
        <v>4903</v>
      </c>
      <c r="N2971" s="48"/>
    </row>
    <row r="2972" spans="1:14" customFormat="1" x14ac:dyDescent="0.45">
      <c r="A2972" s="3" t="s">
        <v>4748</v>
      </c>
      <c r="B2972" s="32">
        <v>42486</v>
      </c>
      <c r="C2972" s="3" t="s">
        <v>21</v>
      </c>
      <c r="D2972" s="3"/>
      <c r="E2972" s="3" t="s">
        <v>4904</v>
      </c>
      <c r="F2972" s="3">
        <v>5</v>
      </c>
      <c r="G2972" s="2"/>
      <c r="H2972" s="2"/>
      <c r="I2972" s="2"/>
      <c r="J2972" s="2"/>
      <c r="K2972" s="2"/>
      <c r="L2972" s="3" t="s">
        <v>4751</v>
      </c>
      <c r="M2972" s="3" t="s">
        <v>4905</v>
      </c>
      <c r="N2972" s="48"/>
    </row>
    <row r="2973" spans="1:14" customFormat="1" x14ac:dyDescent="0.45">
      <c r="A2973" s="3" t="s">
        <v>4748</v>
      </c>
      <c r="B2973" s="32">
        <v>42474</v>
      </c>
      <c r="C2973" s="3" t="s">
        <v>21</v>
      </c>
      <c r="D2973" s="3"/>
      <c r="E2973" s="3" t="s">
        <v>4906</v>
      </c>
      <c r="F2973" s="3">
        <v>2</v>
      </c>
      <c r="G2973" s="2"/>
      <c r="H2973" s="2"/>
      <c r="I2973" s="2"/>
      <c r="J2973" s="2"/>
      <c r="K2973" s="2"/>
      <c r="L2973" s="3" t="s">
        <v>4751</v>
      </c>
      <c r="M2973" s="3" t="s">
        <v>4907</v>
      </c>
      <c r="N2973" s="48"/>
    </row>
    <row r="2974" spans="1:14" customFormat="1" x14ac:dyDescent="0.45">
      <c r="A2974" s="3" t="s">
        <v>4748</v>
      </c>
      <c r="B2974" s="32">
        <v>42472</v>
      </c>
      <c r="C2974" s="3" t="s">
        <v>25</v>
      </c>
      <c r="D2974" s="3"/>
      <c r="E2974" s="3" t="s">
        <v>4908</v>
      </c>
      <c r="F2974" s="3">
        <v>10</v>
      </c>
      <c r="G2974" s="2"/>
      <c r="H2974" s="2"/>
      <c r="I2974" s="2"/>
      <c r="J2974" s="2"/>
      <c r="K2974" s="2"/>
      <c r="L2974" s="3" t="s">
        <v>4751</v>
      </c>
      <c r="M2974" s="24" t="s">
        <v>4909</v>
      </c>
      <c r="N2974" s="48"/>
    </row>
    <row r="2975" spans="1:14" customFormat="1" x14ac:dyDescent="0.45">
      <c r="A2975" s="3" t="s">
        <v>4748</v>
      </c>
      <c r="B2975" s="32">
        <v>42419</v>
      </c>
      <c r="C2975" s="7" t="s">
        <v>25</v>
      </c>
      <c r="D2975" s="3" t="s">
        <v>4910</v>
      </c>
      <c r="E2975" s="3" t="s">
        <v>4911</v>
      </c>
      <c r="F2975" s="3">
        <v>10</v>
      </c>
      <c r="G2975" s="2"/>
      <c r="H2975" s="2"/>
      <c r="I2975" s="2"/>
      <c r="J2975" s="2"/>
      <c r="K2975" s="2"/>
      <c r="L2975" s="3" t="s">
        <v>4751</v>
      </c>
      <c r="M2975" s="24" t="s">
        <v>4912</v>
      </c>
      <c r="N2975" s="48"/>
    </row>
    <row r="2976" spans="1:14" customFormat="1" x14ac:dyDescent="0.45">
      <c r="A2976" s="3" t="s">
        <v>4748</v>
      </c>
      <c r="B2976" s="32">
        <v>42381</v>
      </c>
      <c r="C2976" s="3" t="s">
        <v>25</v>
      </c>
      <c r="D2976" s="3"/>
      <c r="E2976" s="3" t="s">
        <v>4913</v>
      </c>
      <c r="F2976" s="3">
        <v>3</v>
      </c>
      <c r="G2976" s="2"/>
      <c r="H2976" s="2"/>
      <c r="I2976" s="2"/>
      <c r="J2976" s="2"/>
      <c r="K2976" s="2"/>
      <c r="L2976" s="3" t="s">
        <v>4751</v>
      </c>
      <c r="M2976" s="3" t="s">
        <v>4914</v>
      </c>
      <c r="N2976" s="48"/>
    </row>
    <row r="2977" spans="1:14" customFormat="1" x14ac:dyDescent="0.45">
      <c r="A2977" s="3" t="s">
        <v>4748</v>
      </c>
      <c r="B2977" s="32">
        <v>42311</v>
      </c>
      <c r="C2977" s="3" t="s">
        <v>21</v>
      </c>
      <c r="D2977" s="3"/>
      <c r="E2977" s="3" t="s">
        <v>4915</v>
      </c>
      <c r="F2977" s="3">
        <v>2</v>
      </c>
      <c r="G2977" s="2"/>
      <c r="H2977" s="2"/>
      <c r="I2977" s="2"/>
      <c r="J2977" s="2"/>
      <c r="K2977" s="2"/>
      <c r="L2977" s="3" t="s">
        <v>4751</v>
      </c>
      <c r="M2977" s="3" t="s">
        <v>4916</v>
      </c>
      <c r="N2977" s="48"/>
    </row>
    <row r="2978" spans="1:14" customFormat="1" x14ac:dyDescent="0.45">
      <c r="A2978" s="3" t="s">
        <v>4748</v>
      </c>
      <c r="B2978" s="32">
        <v>42285</v>
      </c>
      <c r="C2978" s="3" t="s">
        <v>21</v>
      </c>
      <c r="D2978" s="3"/>
      <c r="E2978" s="3" t="s">
        <v>4917</v>
      </c>
      <c r="F2978" s="3">
        <v>2</v>
      </c>
      <c r="G2978" s="2"/>
      <c r="H2978" s="2"/>
      <c r="I2978" s="2"/>
      <c r="J2978" s="2"/>
      <c r="K2978" s="2"/>
      <c r="L2978" s="3" t="s">
        <v>4751</v>
      </c>
      <c r="M2978" s="3" t="s">
        <v>4918</v>
      </c>
      <c r="N2978" s="48"/>
    </row>
    <row r="2979" spans="1:14" customFormat="1" x14ac:dyDescent="0.45">
      <c r="A2979" s="3" t="s">
        <v>4748</v>
      </c>
      <c r="B2979" s="32">
        <v>42272</v>
      </c>
      <c r="C2979" s="3" t="s">
        <v>25</v>
      </c>
      <c r="D2979" s="3"/>
      <c r="E2979" s="3" t="s">
        <v>4919</v>
      </c>
      <c r="F2979" s="3">
        <v>6</v>
      </c>
      <c r="G2979" s="2"/>
      <c r="H2979" s="2"/>
      <c r="I2979" s="2"/>
      <c r="J2979" s="2"/>
      <c r="K2979" s="2"/>
      <c r="L2979" s="3" t="s">
        <v>4751</v>
      </c>
      <c r="M2979" s="3" t="s">
        <v>4920</v>
      </c>
      <c r="N2979" s="48"/>
    </row>
    <row r="2980" spans="1:14" customFormat="1" x14ac:dyDescent="0.45">
      <c r="A2980" s="3" t="s">
        <v>4748</v>
      </c>
      <c r="B2980" s="32">
        <v>42255</v>
      </c>
      <c r="C2980" s="3" t="s">
        <v>21</v>
      </c>
      <c r="D2980" s="3"/>
      <c r="E2980" s="3" t="s">
        <v>4921</v>
      </c>
      <c r="F2980" s="3">
        <v>3</v>
      </c>
      <c r="G2980" s="2"/>
      <c r="H2980" s="2"/>
      <c r="I2980" s="2"/>
      <c r="J2980" s="2"/>
      <c r="K2980" s="2"/>
      <c r="L2980" s="3" t="s">
        <v>4751</v>
      </c>
      <c r="M2980" s="3" t="s">
        <v>4922</v>
      </c>
      <c r="N2980" s="48"/>
    </row>
    <row r="2981" spans="1:14" customFormat="1" x14ac:dyDescent="0.45">
      <c r="A2981" s="3" t="s">
        <v>4748</v>
      </c>
      <c r="B2981" s="32">
        <v>42153</v>
      </c>
      <c r="C2981" s="3" t="s">
        <v>25</v>
      </c>
      <c r="D2981" s="3"/>
      <c r="E2981" s="3" t="s">
        <v>4923</v>
      </c>
      <c r="F2981" s="3">
        <v>24</v>
      </c>
      <c r="G2981" s="2"/>
      <c r="H2981" s="2"/>
      <c r="I2981" s="2"/>
      <c r="J2981" s="2"/>
      <c r="K2981" s="2"/>
      <c r="L2981" s="3" t="s">
        <v>4751</v>
      </c>
      <c r="M2981" s="24" t="s">
        <v>4924</v>
      </c>
      <c r="N2981" s="48"/>
    </row>
    <row r="2982" spans="1:14" customFormat="1" x14ac:dyDescent="0.45">
      <c r="A2982" s="3" t="s">
        <v>4748</v>
      </c>
      <c r="B2982" s="32">
        <v>42136</v>
      </c>
      <c r="C2982" s="7" t="s">
        <v>587</v>
      </c>
      <c r="D2982" s="3"/>
      <c r="E2982" s="3" t="s">
        <v>4925</v>
      </c>
      <c r="F2982" s="3">
        <v>3</v>
      </c>
      <c r="G2982" s="2"/>
      <c r="H2982" s="2"/>
      <c r="I2982" s="2"/>
      <c r="J2982" s="2"/>
      <c r="K2982" s="2"/>
      <c r="L2982" s="3" t="s">
        <v>4751</v>
      </c>
      <c r="M2982" s="3" t="s">
        <v>4926</v>
      </c>
      <c r="N2982" s="48"/>
    </row>
    <row r="2983" spans="1:14" customFormat="1" x14ac:dyDescent="0.45">
      <c r="A2983" s="3" t="s">
        <v>4748</v>
      </c>
      <c r="B2983" s="32">
        <v>42094</v>
      </c>
      <c r="C2983" s="7" t="s">
        <v>587</v>
      </c>
      <c r="D2983" s="3"/>
      <c r="E2983" s="3" t="s">
        <v>4927</v>
      </c>
      <c r="F2983" s="3">
        <v>18</v>
      </c>
      <c r="G2983" s="2"/>
      <c r="H2983" s="2"/>
      <c r="I2983" s="2"/>
      <c r="J2983" s="2"/>
      <c r="K2983" s="2"/>
      <c r="L2983" s="3" t="s">
        <v>4751</v>
      </c>
      <c r="M2983" s="24" t="s">
        <v>4928</v>
      </c>
      <c r="N2983" s="48"/>
    </row>
    <row r="2984" spans="1:14" customFormat="1" x14ac:dyDescent="0.45">
      <c r="A2984" s="3" t="s">
        <v>4748</v>
      </c>
      <c r="B2984" s="32">
        <v>42052</v>
      </c>
      <c r="C2984" s="7" t="s">
        <v>575</v>
      </c>
      <c r="D2984" s="3"/>
      <c r="E2984" s="3" t="s">
        <v>4929</v>
      </c>
      <c r="F2984" s="3">
        <v>7</v>
      </c>
      <c r="G2984" s="2"/>
      <c r="H2984" s="2"/>
      <c r="I2984" s="2"/>
      <c r="J2984" s="2"/>
      <c r="K2984" s="2"/>
      <c r="L2984" s="3" t="s">
        <v>4751</v>
      </c>
      <c r="M2984" s="24" t="s">
        <v>4930</v>
      </c>
      <c r="N2984" s="48"/>
    </row>
    <row r="2985" spans="1:14" customFormat="1" x14ac:dyDescent="0.45">
      <c r="A2985" s="3" t="s">
        <v>4748</v>
      </c>
      <c r="B2985" s="32">
        <v>42012</v>
      </c>
      <c r="C2985" s="7" t="s">
        <v>575</v>
      </c>
      <c r="D2985" s="3"/>
      <c r="E2985" s="3" t="s">
        <v>4931</v>
      </c>
      <c r="F2985" s="3">
        <v>6</v>
      </c>
      <c r="G2985" s="2"/>
      <c r="H2985" s="2"/>
      <c r="I2985" s="2"/>
      <c r="J2985" s="2"/>
      <c r="K2985" s="2"/>
      <c r="L2985" s="3" t="s">
        <v>4751</v>
      </c>
      <c r="M2985" s="24" t="s">
        <v>4932</v>
      </c>
      <c r="N2985" s="48"/>
    </row>
    <row r="2986" spans="1:14" customFormat="1" x14ac:dyDescent="0.45">
      <c r="A2986" s="3" t="s">
        <v>4748</v>
      </c>
      <c r="B2986" s="32">
        <v>41932</v>
      </c>
      <c r="C2986" s="7" t="s">
        <v>587</v>
      </c>
      <c r="D2986" s="3"/>
      <c r="E2986" s="3" t="s">
        <v>4933</v>
      </c>
      <c r="F2986" s="3">
        <v>2</v>
      </c>
      <c r="G2986" s="2"/>
      <c r="H2986" s="2"/>
      <c r="I2986" s="2"/>
      <c r="J2986" s="2"/>
      <c r="K2986" s="2"/>
      <c r="L2986" s="3" t="s">
        <v>4751</v>
      </c>
      <c r="M2986" s="24" t="s">
        <v>4934</v>
      </c>
      <c r="N2986" s="48"/>
    </row>
    <row r="2987" spans="1:14" customFormat="1" x14ac:dyDescent="0.45">
      <c r="A2987" s="3" t="s">
        <v>4748</v>
      </c>
      <c r="B2987" s="32">
        <v>41932</v>
      </c>
      <c r="C2987" s="3" t="s">
        <v>21</v>
      </c>
      <c r="D2987" s="3"/>
      <c r="E2987" s="3" t="s">
        <v>4935</v>
      </c>
      <c r="F2987" s="3">
        <v>27</v>
      </c>
      <c r="G2987" s="2"/>
      <c r="H2987" s="2"/>
      <c r="I2987" s="2"/>
      <c r="J2987" s="2"/>
      <c r="K2987" s="2"/>
      <c r="L2987" s="3" t="s">
        <v>4751</v>
      </c>
      <c r="M2987" s="24" t="s">
        <v>4936</v>
      </c>
      <c r="N2987" s="48"/>
    </row>
    <row r="2988" spans="1:14" customFormat="1" x14ac:dyDescent="0.45">
      <c r="A2988" s="3" t="s">
        <v>4748</v>
      </c>
      <c r="B2988" s="32">
        <v>41932</v>
      </c>
      <c r="C2988" s="3" t="s">
        <v>25</v>
      </c>
      <c r="D2988" s="3"/>
      <c r="E2988" s="3" t="s">
        <v>4937</v>
      </c>
      <c r="F2988" s="3">
        <v>7</v>
      </c>
      <c r="G2988" s="2"/>
      <c r="H2988" s="2"/>
      <c r="I2988" s="2"/>
      <c r="J2988" s="2"/>
      <c r="K2988" s="2"/>
      <c r="L2988" s="3" t="s">
        <v>4751</v>
      </c>
      <c r="M2988" s="24" t="s">
        <v>4938</v>
      </c>
      <c r="N2988" s="48"/>
    </row>
    <row r="2989" spans="1:14" customFormat="1" x14ac:dyDescent="0.45">
      <c r="A2989" s="3" t="s">
        <v>4748</v>
      </c>
      <c r="B2989" s="32">
        <v>41899</v>
      </c>
      <c r="C2989" s="3" t="s">
        <v>21</v>
      </c>
      <c r="D2989" s="3"/>
      <c r="E2989" s="3" t="s">
        <v>4939</v>
      </c>
      <c r="F2989" s="3">
        <v>36</v>
      </c>
      <c r="G2989" s="2"/>
      <c r="H2989" s="2"/>
      <c r="I2989" s="2"/>
      <c r="J2989" s="2"/>
      <c r="K2989" s="2"/>
      <c r="L2989" s="3" t="s">
        <v>4751</v>
      </c>
      <c r="M2989" s="24" t="s">
        <v>4940</v>
      </c>
      <c r="N2989" s="48"/>
    </row>
    <row r="2990" spans="1:14" customFormat="1" x14ac:dyDescent="0.45">
      <c r="A2990" s="3" t="s">
        <v>4748</v>
      </c>
      <c r="B2990" s="32">
        <v>41851</v>
      </c>
      <c r="C2990" s="3" t="s">
        <v>21</v>
      </c>
      <c r="D2990" s="3"/>
      <c r="E2990" s="3" t="s">
        <v>4941</v>
      </c>
      <c r="F2990" s="3">
        <v>18</v>
      </c>
      <c r="G2990" s="2"/>
      <c r="H2990" s="2"/>
      <c r="I2990" s="2"/>
      <c r="J2990" s="2"/>
      <c r="K2990" s="2"/>
      <c r="L2990" s="3" t="s">
        <v>4751</v>
      </c>
      <c r="M2990" s="24" t="s">
        <v>4942</v>
      </c>
      <c r="N2990" s="48"/>
    </row>
    <row r="2991" spans="1:14" customFormat="1" x14ac:dyDescent="0.45">
      <c r="A2991" s="3" t="s">
        <v>4748</v>
      </c>
      <c r="B2991" s="32">
        <v>41821</v>
      </c>
      <c r="C2991" s="3" t="s">
        <v>21</v>
      </c>
      <c r="D2991" s="3"/>
      <c r="E2991" s="3" t="s">
        <v>4943</v>
      </c>
      <c r="F2991" s="3">
        <v>2</v>
      </c>
      <c r="G2991" s="2"/>
      <c r="H2991" s="2"/>
      <c r="I2991" s="2"/>
      <c r="J2991" s="2"/>
      <c r="K2991" s="2"/>
      <c r="L2991" s="3" t="s">
        <v>4751</v>
      </c>
      <c r="M2991" s="3" t="s">
        <v>4944</v>
      </c>
      <c r="N2991" s="48"/>
    </row>
    <row r="2992" spans="1:14" customFormat="1" x14ac:dyDescent="0.45">
      <c r="A2992" s="3" t="s">
        <v>4748</v>
      </c>
      <c r="B2992" s="32">
        <v>41793</v>
      </c>
      <c r="C2992" s="7" t="s">
        <v>587</v>
      </c>
      <c r="D2992" s="3"/>
      <c r="E2992" s="3" t="s">
        <v>4945</v>
      </c>
      <c r="F2992" s="3">
        <v>12</v>
      </c>
      <c r="G2992" s="2"/>
      <c r="H2992" s="2"/>
      <c r="I2992" s="2"/>
      <c r="J2992" s="2"/>
      <c r="K2992" s="2"/>
      <c r="L2992" s="3" t="s">
        <v>4751</v>
      </c>
      <c r="M2992" s="24" t="s">
        <v>4946</v>
      </c>
      <c r="N2992" s="48"/>
    </row>
    <row r="2993" spans="1:14" customFormat="1" x14ac:dyDescent="0.45">
      <c r="A2993" s="3" t="s">
        <v>4748</v>
      </c>
      <c r="B2993" s="32">
        <v>41775</v>
      </c>
      <c r="C2993" s="3" t="s">
        <v>587</v>
      </c>
      <c r="D2993" s="3"/>
      <c r="E2993" s="3" t="s">
        <v>4947</v>
      </c>
      <c r="F2993" s="3">
        <v>2</v>
      </c>
      <c r="G2993" s="2"/>
      <c r="H2993" s="2"/>
      <c r="I2993" s="2"/>
      <c r="J2993" s="2"/>
      <c r="K2993" s="2"/>
      <c r="L2993" s="3" t="s">
        <v>4751</v>
      </c>
      <c r="M2993" s="3" t="s">
        <v>4948</v>
      </c>
      <c r="N2993" s="48"/>
    </row>
    <row r="2994" spans="1:14" customFormat="1" x14ac:dyDescent="0.45">
      <c r="A2994" s="3" t="s">
        <v>4748</v>
      </c>
      <c r="B2994" s="32">
        <v>41744</v>
      </c>
      <c r="C2994" s="3" t="s">
        <v>25</v>
      </c>
      <c r="D2994" s="3"/>
      <c r="E2994" s="3" t="s">
        <v>4949</v>
      </c>
      <c r="F2994" s="3">
        <v>3</v>
      </c>
      <c r="G2994" s="2"/>
      <c r="H2994" s="2"/>
      <c r="I2994" s="2"/>
      <c r="J2994" s="2"/>
      <c r="K2994" s="2"/>
      <c r="L2994" s="3" t="s">
        <v>4751</v>
      </c>
      <c r="M2994" s="3" t="s">
        <v>4950</v>
      </c>
      <c r="N2994" s="48"/>
    </row>
    <row r="2995" spans="1:14" customFormat="1" x14ac:dyDescent="0.45">
      <c r="A2995" s="3" t="s">
        <v>4748</v>
      </c>
      <c r="B2995" s="32">
        <v>41731</v>
      </c>
      <c r="C2995" s="7" t="s">
        <v>587</v>
      </c>
      <c r="D2995" s="3"/>
      <c r="E2995" s="3" t="s">
        <v>4951</v>
      </c>
      <c r="F2995" s="3">
        <v>3</v>
      </c>
      <c r="G2995" s="2"/>
      <c r="H2995" s="2"/>
      <c r="I2995" s="2"/>
      <c r="J2995" s="2"/>
      <c r="K2995" s="2"/>
      <c r="L2995" s="3" t="s">
        <v>4751</v>
      </c>
      <c r="M2995" s="24" t="s">
        <v>4952</v>
      </c>
      <c r="N2995" s="48"/>
    </row>
    <row r="2996" spans="1:14" customFormat="1" x14ac:dyDescent="0.45">
      <c r="A2996" s="3" t="s">
        <v>4748</v>
      </c>
      <c r="B2996" s="32">
        <v>41653</v>
      </c>
      <c r="C2996" s="3" t="s">
        <v>25</v>
      </c>
      <c r="D2996" s="3"/>
      <c r="E2996" s="3" t="s">
        <v>4953</v>
      </c>
      <c r="F2996" s="3">
        <v>22</v>
      </c>
      <c r="G2996" s="2"/>
      <c r="H2996" s="2"/>
      <c r="I2996" s="2"/>
      <c r="J2996" s="2"/>
      <c r="K2996" s="2"/>
      <c r="L2996" s="3" t="s">
        <v>4751</v>
      </c>
      <c r="M2996" s="24" t="s">
        <v>4954</v>
      </c>
      <c r="N2996" s="48"/>
    </row>
    <row r="2997" spans="1:14" customFormat="1" x14ac:dyDescent="0.45">
      <c r="A2997" s="3" t="s">
        <v>4748</v>
      </c>
      <c r="B2997" s="32">
        <v>41627</v>
      </c>
      <c r="C2997" s="3" t="s">
        <v>21</v>
      </c>
      <c r="D2997" s="3"/>
      <c r="E2997" s="3" t="s">
        <v>4955</v>
      </c>
      <c r="F2997" s="3">
        <v>3</v>
      </c>
      <c r="G2997" s="2"/>
      <c r="H2997" s="2"/>
      <c r="I2997" s="2"/>
      <c r="J2997" s="2"/>
      <c r="K2997" s="2"/>
      <c r="L2997" s="3" t="s">
        <v>4751</v>
      </c>
      <c r="M2997" s="3" t="s">
        <v>4956</v>
      </c>
      <c r="N2997" s="48"/>
    </row>
    <row r="2998" spans="1:14" customFormat="1" x14ac:dyDescent="0.45">
      <c r="A2998" s="3" t="s">
        <v>4748</v>
      </c>
      <c r="B2998" s="32">
        <v>41570</v>
      </c>
      <c r="C2998" s="3" t="s">
        <v>21</v>
      </c>
      <c r="D2998" s="3"/>
      <c r="E2998" s="3" t="s">
        <v>4957</v>
      </c>
      <c r="F2998" s="3">
        <v>5</v>
      </c>
      <c r="G2998" s="2"/>
      <c r="H2998" s="2"/>
      <c r="I2998" s="2"/>
      <c r="J2998" s="2"/>
      <c r="K2998" s="2"/>
      <c r="L2998" s="3" t="s">
        <v>4751</v>
      </c>
      <c r="M2998" s="3" t="s">
        <v>4958</v>
      </c>
      <c r="N2998" s="48"/>
    </row>
    <row r="2999" spans="1:14" customFormat="1" x14ac:dyDescent="0.45">
      <c r="A2999" s="3" t="s">
        <v>4748</v>
      </c>
      <c r="B2999" s="32">
        <v>41547</v>
      </c>
      <c r="C2999" s="3" t="s">
        <v>587</v>
      </c>
      <c r="D2999" s="3"/>
      <c r="E2999" s="3" t="s">
        <v>4959</v>
      </c>
      <c r="F2999" s="3">
        <v>3</v>
      </c>
      <c r="G2999" s="2"/>
      <c r="H2999" s="2"/>
      <c r="I2999" s="2"/>
      <c r="J2999" s="2"/>
      <c r="K2999" s="2"/>
      <c r="L2999" s="3" t="s">
        <v>4751</v>
      </c>
      <c r="M2999" s="3" t="s">
        <v>4960</v>
      </c>
      <c r="N2999" s="48"/>
    </row>
    <row r="3000" spans="1:14" customFormat="1" x14ac:dyDescent="0.45">
      <c r="A3000" s="3" t="s">
        <v>4748</v>
      </c>
      <c r="B3000" s="32">
        <v>41529</v>
      </c>
      <c r="C3000" s="3" t="s">
        <v>25</v>
      </c>
      <c r="D3000" s="3"/>
      <c r="E3000" s="3" t="s">
        <v>4961</v>
      </c>
      <c r="F3000" s="3">
        <v>21</v>
      </c>
      <c r="G3000" s="2"/>
      <c r="H3000" s="2"/>
      <c r="I3000" s="2"/>
      <c r="J3000" s="2"/>
      <c r="K3000" s="2"/>
      <c r="L3000" s="3" t="s">
        <v>4751</v>
      </c>
      <c r="M3000" s="24" t="s">
        <v>4962</v>
      </c>
      <c r="N3000" s="48"/>
    </row>
    <row r="3001" spans="1:14" customFormat="1" x14ac:dyDescent="0.45">
      <c r="A3001" s="3" t="s">
        <v>4748</v>
      </c>
      <c r="B3001" s="32">
        <v>41481</v>
      </c>
      <c r="C3001" s="3" t="s">
        <v>25</v>
      </c>
      <c r="D3001" s="3"/>
      <c r="E3001" s="3" t="s">
        <v>4963</v>
      </c>
      <c r="F3001" s="3">
        <v>3</v>
      </c>
      <c r="G3001" s="2"/>
      <c r="H3001" s="2"/>
      <c r="I3001" s="2"/>
      <c r="J3001" s="2"/>
      <c r="K3001" s="2"/>
      <c r="L3001" s="3" t="s">
        <v>4751</v>
      </c>
      <c r="M3001" s="3" t="s">
        <v>4964</v>
      </c>
      <c r="N3001" s="48"/>
    </row>
    <row r="3002" spans="1:14" customFormat="1" x14ac:dyDescent="0.45">
      <c r="A3002" s="3" t="s">
        <v>4748</v>
      </c>
      <c r="B3002" s="32">
        <v>41439</v>
      </c>
      <c r="C3002" s="3" t="s">
        <v>21</v>
      </c>
      <c r="D3002" s="3"/>
      <c r="E3002" s="3" t="s">
        <v>4965</v>
      </c>
      <c r="F3002" s="3">
        <v>3</v>
      </c>
      <c r="G3002" s="2"/>
      <c r="H3002" s="2"/>
      <c r="I3002" s="2"/>
      <c r="J3002" s="2"/>
      <c r="K3002" s="2"/>
      <c r="L3002" s="3" t="s">
        <v>4751</v>
      </c>
      <c r="M3002" s="3" t="s">
        <v>4966</v>
      </c>
      <c r="N3002" s="48"/>
    </row>
    <row r="3003" spans="1:14" customFormat="1" x14ac:dyDescent="0.45">
      <c r="A3003" s="3" t="s">
        <v>4748</v>
      </c>
      <c r="B3003" s="32">
        <v>41403</v>
      </c>
      <c r="C3003" s="7" t="s">
        <v>587</v>
      </c>
      <c r="D3003" s="3"/>
      <c r="E3003" s="3" t="s">
        <v>4967</v>
      </c>
      <c r="F3003" s="3">
        <v>2</v>
      </c>
      <c r="G3003" s="2"/>
      <c r="H3003" s="2"/>
      <c r="I3003" s="2"/>
      <c r="J3003" s="2"/>
      <c r="K3003" s="2"/>
      <c r="L3003" s="3" t="s">
        <v>4751</v>
      </c>
      <c r="M3003" s="24" t="s">
        <v>4968</v>
      </c>
      <c r="N3003" s="48"/>
    </row>
    <row r="3004" spans="1:14" customFormat="1" x14ac:dyDescent="0.45">
      <c r="A3004" s="3" t="s">
        <v>4748</v>
      </c>
      <c r="B3004" s="32">
        <v>41325</v>
      </c>
      <c r="C3004" s="3" t="s">
        <v>25</v>
      </c>
      <c r="D3004" s="3"/>
      <c r="E3004" s="3" t="s">
        <v>4969</v>
      </c>
      <c r="F3004" s="3">
        <v>10</v>
      </c>
      <c r="G3004" s="2"/>
      <c r="H3004" s="2"/>
      <c r="I3004" s="2"/>
      <c r="J3004" s="2"/>
      <c r="K3004" s="2"/>
      <c r="L3004" s="3" t="s">
        <v>4751</v>
      </c>
      <c r="M3004" s="24" t="s">
        <v>4970</v>
      </c>
      <c r="N3004" s="48"/>
    </row>
    <row r="3005" spans="1:14" customFormat="1" x14ac:dyDescent="0.45">
      <c r="A3005" s="3" t="s">
        <v>4748</v>
      </c>
      <c r="B3005" s="32">
        <v>41288</v>
      </c>
      <c r="C3005" s="3" t="s">
        <v>21</v>
      </c>
      <c r="D3005" s="3"/>
      <c r="E3005" s="3" t="s">
        <v>4971</v>
      </c>
      <c r="F3005" s="3">
        <v>15</v>
      </c>
      <c r="G3005" s="2"/>
      <c r="H3005" s="2"/>
      <c r="I3005" s="2"/>
      <c r="J3005" s="2"/>
      <c r="K3005" s="2"/>
      <c r="L3005" s="3" t="s">
        <v>4751</v>
      </c>
      <c r="M3005" s="24" t="s">
        <v>4972</v>
      </c>
      <c r="N3005" s="48"/>
    </row>
    <row r="3006" spans="1:14" customFormat="1" x14ac:dyDescent="0.45">
      <c r="A3006" s="3" t="s">
        <v>4748</v>
      </c>
      <c r="B3006" s="32">
        <v>41129</v>
      </c>
      <c r="C3006" s="7" t="s">
        <v>575</v>
      </c>
      <c r="D3006" s="3"/>
      <c r="E3006" s="3" t="s">
        <v>4973</v>
      </c>
      <c r="F3006" s="3">
        <v>3</v>
      </c>
      <c r="G3006" s="2"/>
      <c r="H3006" s="2"/>
      <c r="I3006" s="2"/>
      <c r="J3006" s="2"/>
      <c r="K3006" s="2"/>
      <c r="L3006" s="3" t="s">
        <v>4751</v>
      </c>
      <c r="M3006" s="24" t="s">
        <v>4974</v>
      </c>
      <c r="N3006" s="48"/>
    </row>
    <row r="3007" spans="1:14" customFormat="1" x14ac:dyDescent="0.45">
      <c r="A3007" s="3" t="s">
        <v>4748</v>
      </c>
      <c r="B3007" s="32">
        <v>41102</v>
      </c>
      <c r="C3007" s="3" t="s">
        <v>25</v>
      </c>
      <c r="D3007" s="3"/>
      <c r="E3007" s="3" t="s">
        <v>4975</v>
      </c>
      <c r="F3007" s="3">
        <v>8</v>
      </c>
      <c r="G3007" s="2"/>
      <c r="H3007" s="2"/>
      <c r="I3007" s="2"/>
      <c r="J3007" s="2"/>
      <c r="K3007" s="2"/>
      <c r="L3007" s="3" t="s">
        <v>4751</v>
      </c>
      <c r="M3007" s="3" t="s">
        <v>4976</v>
      </c>
      <c r="N3007" s="48"/>
    </row>
    <row r="3008" spans="1:14" customFormat="1" x14ac:dyDescent="0.45">
      <c r="A3008" s="3" t="s">
        <v>4748</v>
      </c>
      <c r="B3008" s="32">
        <v>41087</v>
      </c>
      <c r="C3008" s="3" t="s">
        <v>21</v>
      </c>
      <c r="D3008" s="3"/>
      <c r="E3008" s="3" t="s">
        <v>4977</v>
      </c>
      <c r="F3008" s="3">
        <v>2</v>
      </c>
      <c r="G3008" s="2"/>
      <c r="H3008" s="2"/>
      <c r="I3008" s="2"/>
      <c r="J3008" s="2"/>
      <c r="K3008" s="2"/>
      <c r="L3008" s="3" t="s">
        <v>4751</v>
      </c>
      <c r="M3008" s="3" t="s">
        <v>4978</v>
      </c>
      <c r="N3008" s="48"/>
    </row>
    <row r="3009" spans="1:14" customFormat="1" x14ac:dyDescent="0.45">
      <c r="A3009" s="3" t="s">
        <v>4748</v>
      </c>
      <c r="B3009" s="32">
        <v>41037</v>
      </c>
      <c r="C3009" s="3" t="s">
        <v>21</v>
      </c>
      <c r="D3009" s="3"/>
      <c r="E3009" s="3" t="s">
        <v>4979</v>
      </c>
      <c r="F3009" s="3">
        <v>3</v>
      </c>
      <c r="G3009" s="2"/>
      <c r="H3009" s="2"/>
      <c r="I3009" s="2"/>
      <c r="J3009" s="2"/>
      <c r="K3009" s="2"/>
      <c r="L3009" s="3" t="s">
        <v>4751</v>
      </c>
      <c r="M3009" s="3" t="s">
        <v>4980</v>
      </c>
      <c r="N3009" s="48"/>
    </row>
    <row r="3010" spans="1:14" customFormat="1" x14ac:dyDescent="0.45">
      <c r="A3010" s="3" t="s">
        <v>4748</v>
      </c>
      <c r="B3010" s="32">
        <v>41011</v>
      </c>
      <c r="C3010" s="3" t="s">
        <v>25</v>
      </c>
      <c r="D3010" s="3"/>
      <c r="E3010" s="3" t="s">
        <v>4981</v>
      </c>
      <c r="F3010" s="3">
        <v>3</v>
      </c>
      <c r="G3010" s="2"/>
      <c r="H3010" s="2"/>
      <c r="I3010" s="2"/>
      <c r="J3010" s="2"/>
      <c r="K3010" s="2"/>
      <c r="L3010" s="3" t="s">
        <v>4751</v>
      </c>
      <c r="M3010" s="3" t="s">
        <v>4982</v>
      </c>
      <c r="N3010" s="48"/>
    </row>
    <row r="3011" spans="1:14" customFormat="1" x14ac:dyDescent="0.45">
      <c r="A3011" s="3" t="s">
        <v>4748</v>
      </c>
      <c r="B3011" s="32">
        <v>41003</v>
      </c>
      <c r="C3011" s="7" t="s">
        <v>587</v>
      </c>
      <c r="D3011" s="3"/>
      <c r="E3011" s="3" t="s">
        <v>4983</v>
      </c>
      <c r="F3011" s="3">
        <v>5</v>
      </c>
      <c r="G3011" s="2"/>
      <c r="H3011" s="2"/>
      <c r="I3011" s="2"/>
      <c r="J3011" s="2"/>
      <c r="K3011" s="2"/>
      <c r="L3011" s="3" t="s">
        <v>4751</v>
      </c>
      <c r="M3011" s="24" t="s">
        <v>4984</v>
      </c>
      <c r="N3011" s="48"/>
    </row>
    <row r="3012" spans="1:14" customFormat="1" x14ac:dyDescent="0.45">
      <c r="A3012" s="3" t="s">
        <v>4748</v>
      </c>
      <c r="B3012" s="32">
        <v>40990</v>
      </c>
      <c r="C3012" s="3" t="s">
        <v>25</v>
      </c>
      <c r="D3012" s="3"/>
      <c r="E3012" s="3" t="s">
        <v>4985</v>
      </c>
      <c r="F3012" s="3">
        <v>5</v>
      </c>
      <c r="G3012" s="2"/>
      <c r="H3012" s="2"/>
      <c r="I3012" s="2"/>
      <c r="J3012" s="2"/>
      <c r="K3012" s="2"/>
      <c r="L3012" s="3" t="s">
        <v>4751</v>
      </c>
      <c r="M3012" s="3" t="s">
        <v>4986</v>
      </c>
      <c r="N3012" s="48"/>
    </row>
    <row r="3013" spans="1:14" customFormat="1" x14ac:dyDescent="0.45">
      <c r="A3013" s="3" t="s">
        <v>4748</v>
      </c>
      <c r="B3013" s="32">
        <v>40990</v>
      </c>
      <c r="C3013" s="7" t="s">
        <v>587</v>
      </c>
      <c r="D3013" s="3"/>
      <c r="E3013" s="3" t="s">
        <v>4987</v>
      </c>
      <c r="F3013" s="3">
        <v>3</v>
      </c>
      <c r="G3013" s="2"/>
      <c r="H3013" s="2"/>
      <c r="I3013" s="2"/>
      <c r="J3013" s="2"/>
      <c r="K3013" s="2"/>
      <c r="L3013" s="3" t="s">
        <v>4751</v>
      </c>
      <c r="M3013" s="24" t="s">
        <v>4988</v>
      </c>
      <c r="N3013" s="48"/>
    </row>
    <row r="3014" spans="1:14" customFormat="1" x14ac:dyDescent="0.45">
      <c r="A3014" s="3" t="s">
        <v>4748</v>
      </c>
      <c r="B3014" s="32">
        <v>40952</v>
      </c>
      <c r="C3014" s="7" t="s">
        <v>575</v>
      </c>
      <c r="D3014" s="3"/>
      <c r="E3014" s="3" t="s">
        <v>4989</v>
      </c>
      <c r="F3014" s="3">
        <f>SUM(120,113,5,3,4,8,7,2)</f>
        <v>262</v>
      </c>
      <c r="G3014" s="2"/>
      <c r="H3014" s="2"/>
      <c r="I3014" s="2"/>
      <c r="J3014" s="2"/>
      <c r="K3014" s="2"/>
      <c r="L3014" s="3" t="s">
        <v>4751</v>
      </c>
      <c r="M3014" s="24" t="s">
        <v>4990</v>
      </c>
      <c r="N3014" s="48"/>
    </row>
    <row r="3015" spans="1:14" customFormat="1" x14ac:dyDescent="0.45">
      <c r="A3015" s="3" t="s">
        <v>4748</v>
      </c>
      <c r="B3015" s="32">
        <v>40876</v>
      </c>
      <c r="C3015" s="3" t="s">
        <v>21</v>
      </c>
      <c r="D3015" s="3"/>
      <c r="E3015" s="3" t="s">
        <v>4991</v>
      </c>
      <c r="F3015" s="3">
        <v>2</v>
      </c>
      <c r="G3015" s="2"/>
      <c r="H3015" s="2"/>
      <c r="I3015" s="2"/>
      <c r="J3015" s="2"/>
      <c r="K3015" s="2"/>
      <c r="L3015" s="3" t="s">
        <v>4751</v>
      </c>
      <c r="M3015" s="3" t="s">
        <v>4992</v>
      </c>
      <c r="N3015" s="48"/>
    </row>
    <row r="3016" spans="1:14" customFormat="1" x14ac:dyDescent="0.45">
      <c r="A3016" s="3" t="s">
        <v>4748</v>
      </c>
      <c r="B3016" s="32">
        <v>40868</v>
      </c>
      <c r="C3016" s="3" t="s">
        <v>21</v>
      </c>
      <c r="D3016" s="3"/>
      <c r="E3016" s="3" t="s">
        <v>4993</v>
      </c>
      <c r="F3016" s="3">
        <v>20</v>
      </c>
      <c r="G3016" s="2"/>
      <c r="H3016" s="2"/>
      <c r="I3016" s="2"/>
      <c r="J3016" s="2"/>
      <c r="K3016" s="2"/>
      <c r="L3016" s="3" t="s">
        <v>4751</v>
      </c>
      <c r="M3016" s="3" t="s">
        <v>4994</v>
      </c>
      <c r="N3016" s="48"/>
    </row>
    <row r="3017" spans="1:14" customFormat="1" x14ac:dyDescent="0.45">
      <c r="A3017" s="3" t="s">
        <v>4748</v>
      </c>
      <c r="B3017" s="32">
        <v>40655</v>
      </c>
      <c r="C3017" s="3" t="s">
        <v>25</v>
      </c>
      <c r="D3017" s="3"/>
      <c r="E3017" s="3" t="s">
        <v>4995</v>
      </c>
      <c r="F3017" s="3">
        <v>3</v>
      </c>
      <c r="G3017" s="2"/>
      <c r="H3017" s="2"/>
      <c r="I3017" s="2"/>
      <c r="J3017" s="2"/>
      <c r="K3017" s="2"/>
      <c r="L3017" s="3" t="s">
        <v>4751</v>
      </c>
      <c r="M3017" s="3" t="s">
        <v>4996</v>
      </c>
      <c r="N3017" s="48"/>
    </row>
    <row r="3018" spans="1:14" customFormat="1" x14ac:dyDescent="0.45">
      <c r="A3018" s="3" t="s">
        <v>4748</v>
      </c>
      <c r="B3018" s="32">
        <v>40649</v>
      </c>
      <c r="C3018" s="3" t="s">
        <v>21</v>
      </c>
      <c r="D3018" s="3"/>
      <c r="E3018" s="3" t="s">
        <v>4997</v>
      </c>
      <c r="F3018" s="3">
        <v>3</v>
      </c>
      <c r="G3018" s="2"/>
      <c r="H3018" s="2"/>
      <c r="I3018" s="2"/>
      <c r="J3018" s="2"/>
      <c r="K3018" s="2"/>
      <c r="L3018" s="3" t="s">
        <v>4751</v>
      </c>
      <c r="M3018" s="3" t="s">
        <v>4998</v>
      </c>
      <c r="N3018" s="48"/>
    </row>
    <row r="3019" spans="1:14" customFormat="1" x14ac:dyDescent="0.45">
      <c r="A3019" s="3" t="s">
        <v>4748</v>
      </c>
      <c r="B3019" s="32">
        <v>40613</v>
      </c>
      <c r="C3019" s="3" t="s">
        <v>21</v>
      </c>
      <c r="D3019" s="3"/>
      <c r="E3019" s="3" t="s">
        <v>4999</v>
      </c>
      <c r="F3019" s="3">
        <v>3</v>
      </c>
      <c r="G3019" s="2"/>
      <c r="H3019" s="2"/>
      <c r="I3019" s="2"/>
      <c r="J3019" s="2"/>
      <c r="K3019" s="2"/>
      <c r="L3019" s="3" t="s">
        <v>4751</v>
      </c>
      <c r="M3019" s="3" t="s">
        <v>5000</v>
      </c>
      <c r="N3019" s="48"/>
    </row>
    <row r="3020" spans="1:14" customFormat="1" x14ac:dyDescent="0.45">
      <c r="A3020" s="3" t="s">
        <v>4748</v>
      </c>
      <c r="B3020" s="32">
        <v>40613</v>
      </c>
      <c r="C3020" s="3" t="s">
        <v>21</v>
      </c>
      <c r="D3020" s="3"/>
      <c r="E3020" s="3" t="s">
        <v>5001</v>
      </c>
      <c r="F3020" s="3">
        <v>4</v>
      </c>
      <c r="G3020" s="2"/>
      <c r="H3020" s="2"/>
      <c r="I3020" s="2"/>
      <c r="J3020" s="2"/>
      <c r="K3020" s="2"/>
      <c r="L3020" s="3" t="s">
        <v>4751</v>
      </c>
      <c r="M3020" s="3" t="s">
        <v>5002</v>
      </c>
      <c r="N3020" s="48"/>
    </row>
    <row r="3021" spans="1:14" customFormat="1" x14ac:dyDescent="0.45">
      <c r="A3021" s="3" t="s">
        <v>4748</v>
      </c>
      <c r="B3021" s="32">
        <v>40613</v>
      </c>
      <c r="C3021" s="3" t="s">
        <v>25</v>
      </c>
      <c r="D3021" s="3"/>
      <c r="E3021" s="3" t="s">
        <v>5003</v>
      </c>
      <c r="F3021" s="3">
        <v>6</v>
      </c>
      <c r="G3021" s="2"/>
      <c r="H3021" s="2"/>
      <c r="I3021" s="2"/>
      <c r="J3021" s="2"/>
      <c r="K3021" s="2"/>
      <c r="L3021" s="3" t="s">
        <v>4751</v>
      </c>
      <c r="M3021" s="3" t="s">
        <v>5004</v>
      </c>
      <c r="N3021" s="48"/>
    </row>
    <row r="3022" spans="1:14" customFormat="1" x14ac:dyDescent="0.45">
      <c r="A3022" s="3" t="s">
        <v>4748</v>
      </c>
      <c r="B3022" s="32">
        <v>40603</v>
      </c>
      <c r="C3022" s="3" t="s">
        <v>25</v>
      </c>
      <c r="D3022" s="3"/>
      <c r="E3022" s="3" t="s">
        <v>5005</v>
      </c>
      <c r="F3022" s="3">
        <v>3</v>
      </c>
      <c r="G3022" s="2"/>
      <c r="H3022" s="2"/>
      <c r="I3022" s="2"/>
      <c r="J3022" s="2"/>
      <c r="K3022" s="2"/>
      <c r="L3022" s="3" t="s">
        <v>4751</v>
      </c>
      <c r="M3022" s="3" t="s">
        <v>5006</v>
      </c>
      <c r="N3022" s="48"/>
    </row>
    <row r="3023" spans="1:14" customFormat="1" x14ac:dyDescent="0.45">
      <c r="A3023" s="3" t="s">
        <v>4748</v>
      </c>
      <c r="B3023" s="32">
        <v>40599</v>
      </c>
      <c r="C3023" s="3" t="s">
        <v>25</v>
      </c>
      <c r="D3023" s="3"/>
      <c r="E3023" s="3" t="s">
        <v>5007</v>
      </c>
      <c r="F3023" s="3">
        <v>10</v>
      </c>
      <c r="G3023" s="2"/>
      <c r="H3023" s="2"/>
      <c r="I3023" s="2"/>
      <c r="J3023" s="2"/>
      <c r="K3023" s="2"/>
      <c r="L3023" s="3" t="s">
        <v>4751</v>
      </c>
      <c r="M3023" s="24" t="s">
        <v>5008</v>
      </c>
      <c r="N3023" s="48"/>
    </row>
    <row r="3024" spans="1:14" customFormat="1" x14ac:dyDescent="0.45">
      <c r="A3024" s="3" t="s">
        <v>4748</v>
      </c>
      <c r="B3024" s="32">
        <v>40588</v>
      </c>
      <c r="C3024" s="3" t="s">
        <v>21</v>
      </c>
      <c r="D3024" s="3"/>
      <c r="E3024" s="3" t="s">
        <v>5009</v>
      </c>
      <c r="F3024" s="3">
        <v>9</v>
      </c>
      <c r="G3024" s="2"/>
      <c r="H3024" s="2"/>
      <c r="I3024" s="2"/>
      <c r="J3024" s="2"/>
      <c r="K3024" s="2"/>
      <c r="L3024" s="3" t="s">
        <v>4751</v>
      </c>
      <c r="M3024" s="24" t="s">
        <v>5010</v>
      </c>
      <c r="N3024" s="48"/>
    </row>
    <row r="3025" spans="1:14" customFormat="1" x14ac:dyDescent="0.45">
      <c r="A3025" s="3" t="s">
        <v>4748</v>
      </c>
      <c r="B3025" s="32">
        <v>40588</v>
      </c>
      <c r="C3025" s="3" t="s">
        <v>21</v>
      </c>
      <c r="D3025" s="3"/>
      <c r="E3025" s="3" t="s">
        <v>5011</v>
      </c>
      <c r="F3025" s="3">
        <v>10</v>
      </c>
      <c r="G3025" s="2"/>
      <c r="H3025" s="2"/>
      <c r="I3025" s="2"/>
      <c r="J3025" s="2"/>
      <c r="K3025" s="2"/>
      <c r="L3025" s="3" t="s">
        <v>4751</v>
      </c>
      <c r="M3025" s="24" t="s">
        <v>5012</v>
      </c>
      <c r="N3025" s="48"/>
    </row>
    <row r="3026" spans="1:14" customFormat="1" x14ac:dyDescent="0.45">
      <c r="A3026" s="3" t="s">
        <v>4748</v>
      </c>
      <c r="B3026" s="32">
        <v>40571</v>
      </c>
      <c r="C3026" s="3" t="s">
        <v>21</v>
      </c>
      <c r="D3026" s="3"/>
      <c r="E3026" s="3" t="s">
        <v>5013</v>
      </c>
      <c r="F3026" s="3">
        <v>3</v>
      </c>
      <c r="G3026" s="2"/>
      <c r="H3026" s="2"/>
      <c r="I3026" s="2"/>
      <c r="J3026" s="2"/>
      <c r="K3026" s="2"/>
      <c r="L3026" s="3" t="s">
        <v>4751</v>
      </c>
      <c r="M3026" s="3" t="s">
        <v>5014</v>
      </c>
      <c r="N3026" s="48"/>
    </row>
    <row r="3027" spans="1:14" customFormat="1" x14ac:dyDescent="0.45">
      <c r="A3027" s="3" t="s">
        <v>4748</v>
      </c>
      <c r="B3027" s="32">
        <v>40178</v>
      </c>
      <c r="C3027" s="3" t="s">
        <v>21</v>
      </c>
      <c r="D3027" s="3"/>
      <c r="E3027" s="3" t="s">
        <v>5015</v>
      </c>
      <c r="F3027" s="3">
        <v>4</v>
      </c>
      <c r="G3027" s="2"/>
      <c r="H3027" s="2"/>
      <c r="I3027" s="2"/>
      <c r="J3027" s="2"/>
      <c r="K3027" s="2"/>
      <c r="L3027" s="3" t="s">
        <v>4751</v>
      </c>
      <c r="M3027" s="3" t="s">
        <v>5016</v>
      </c>
      <c r="N3027" s="48"/>
    </row>
    <row r="3028" spans="1:14" customFormat="1" x14ac:dyDescent="0.45">
      <c r="A3028" s="3" t="s">
        <v>4748</v>
      </c>
      <c r="B3028" s="32">
        <v>40571</v>
      </c>
      <c r="C3028" s="3" t="s">
        <v>587</v>
      </c>
      <c r="D3028" s="3"/>
      <c r="E3028" s="3" t="s">
        <v>5017</v>
      </c>
      <c r="F3028" s="3">
        <v>3</v>
      </c>
      <c r="G3028" s="2"/>
      <c r="H3028" s="2"/>
      <c r="I3028" s="2"/>
      <c r="J3028" s="2"/>
      <c r="K3028" s="2"/>
      <c r="L3028" s="3" t="s">
        <v>4751</v>
      </c>
      <c r="M3028" s="3" t="s">
        <v>5018</v>
      </c>
      <c r="N3028" s="48"/>
    </row>
    <row r="3029" spans="1:14" customFormat="1" x14ac:dyDescent="0.45">
      <c r="A3029" s="3" t="s">
        <v>4748</v>
      </c>
      <c r="B3029" s="32">
        <v>40494</v>
      </c>
      <c r="C3029" s="3" t="s">
        <v>21</v>
      </c>
      <c r="D3029" s="3"/>
      <c r="E3029" s="3" t="s">
        <v>5019</v>
      </c>
      <c r="F3029" s="3">
        <v>9</v>
      </c>
      <c r="G3029" s="2"/>
      <c r="H3029" s="2"/>
      <c r="I3029" s="2"/>
      <c r="J3029" s="2"/>
      <c r="K3029" s="2"/>
      <c r="L3029" s="3" t="s">
        <v>4751</v>
      </c>
      <c r="M3029" s="3" t="s">
        <v>5020</v>
      </c>
      <c r="N3029" s="48"/>
    </row>
    <row r="3030" spans="1:14" customFormat="1" x14ac:dyDescent="0.45">
      <c r="A3030" s="3" t="s">
        <v>4748</v>
      </c>
      <c r="B3030" s="32">
        <v>40476</v>
      </c>
      <c r="C3030" s="3" t="s">
        <v>21</v>
      </c>
      <c r="D3030" s="3"/>
      <c r="E3030" s="3" t="s">
        <v>5021</v>
      </c>
      <c r="F3030" s="3">
        <v>3</v>
      </c>
      <c r="G3030" s="2"/>
      <c r="H3030" s="2"/>
      <c r="I3030" s="2"/>
      <c r="J3030" s="2"/>
      <c r="K3030" s="2"/>
      <c r="L3030" s="3" t="s">
        <v>4751</v>
      </c>
      <c r="M3030" s="3" t="s">
        <v>5022</v>
      </c>
      <c r="N3030" s="48"/>
    </row>
    <row r="3031" spans="1:14" customFormat="1" x14ac:dyDescent="0.45">
      <c r="A3031" s="3" t="s">
        <v>4748</v>
      </c>
      <c r="B3031" s="32">
        <v>40469</v>
      </c>
      <c r="C3031" s="3" t="s">
        <v>21</v>
      </c>
      <c r="D3031" s="3"/>
      <c r="E3031" s="3" t="s">
        <v>5023</v>
      </c>
      <c r="F3031" s="3">
        <v>2</v>
      </c>
      <c r="G3031" s="2"/>
      <c r="H3031" s="2"/>
      <c r="I3031" s="2"/>
      <c r="J3031" s="2"/>
      <c r="K3031" s="2"/>
      <c r="L3031" s="3" t="s">
        <v>4751</v>
      </c>
      <c r="M3031" s="3" t="s">
        <v>5024</v>
      </c>
      <c r="N3031" s="48"/>
    </row>
    <row r="3032" spans="1:14" customFormat="1" x14ac:dyDescent="0.45">
      <c r="A3032" s="3" t="s">
        <v>4748</v>
      </c>
      <c r="B3032" s="32">
        <v>40421</v>
      </c>
      <c r="C3032" s="3" t="s">
        <v>25</v>
      </c>
      <c r="D3032" s="3"/>
      <c r="E3032" s="3" t="s">
        <v>5025</v>
      </c>
      <c r="F3032" s="3">
        <v>3</v>
      </c>
      <c r="G3032" s="2"/>
      <c r="H3032" s="2"/>
      <c r="I3032" s="2"/>
      <c r="J3032" s="2"/>
      <c r="K3032" s="2"/>
      <c r="L3032" s="3" t="s">
        <v>4751</v>
      </c>
      <c r="M3032" s="3" t="s">
        <v>5026</v>
      </c>
      <c r="N3032" s="48"/>
    </row>
    <row r="3033" spans="1:14" customFormat="1" x14ac:dyDescent="0.45">
      <c r="A3033" s="3" t="s">
        <v>4748</v>
      </c>
      <c r="B3033" s="32">
        <v>40408</v>
      </c>
      <c r="C3033" s="3" t="s">
        <v>21</v>
      </c>
      <c r="D3033" s="3"/>
      <c r="E3033" s="3" t="s">
        <v>5027</v>
      </c>
      <c r="F3033" s="3">
        <v>4</v>
      </c>
      <c r="G3033" s="2"/>
      <c r="H3033" s="2"/>
      <c r="I3033" s="2"/>
      <c r="J3033" s="2"/>
      <c r="K3033" s="2"/>
      <c r="L3033" s="3" t="s">
        <v>4751</v>
      </c>
      <c r="M3033" s="3" t="s">
        <v>5028</v>
      </c>
      <c r="N3033" s="48"/>
    </row>
    <row r="3034" spans="1:14" customFormat="1" x14ac:dyDescent="0.45">
      <c r="A3034" s="3" t="s">
        <v>4748</v>
      </c>
      <c r="B3034" s="32">
        <v>40396</v>
      </c>
      <c r="C3034" s="7" t="s">
        <v>575</v>
      </c>
      <c r="D3034" s="3"/>
      <c r="E3034" s="3" t="s">
        <v>5029</v>
      </c>
      <c r="F3034" s="3">
        <v>1</v>
      </c>
      <c r="G3034" s="2"/>
      <c r="H3034" s="2"/>
      <c r="I3034" s="2"/>
      <c r="J3034" s="2"/>
      <c r="K3034" s="2"/>
      <c r="L3034" s="3" t="s">
        <v>4735</v>
      </c>
      <c r="M3034" s="24" t="s">
        <v>5030</v>
      </c>
      <c r="N3034" s="48"/>
    </row>
    <row r="3035" spans="1:14" customFormat="1" x14ac:dyDescent="0.45">
      <c r="A3035" s="3" t="s">
        <v>4748</v>
      </c>
      <c r="B3035" s="32">
        <v>40346</v>
      </c>
      <c r="C3035" s="7" t="s">
        <v>587</v>
      </c>
      <c r="D3035" s="3"/>
      <c r="E3035" s="3" t="s">
        <v>5031</v>
      </c>
      <c r="F3035" s="3">
        <v>3</v>
      </c>
      <c r="G3035" s="2"/>
      <c r="H3035" s="2"/>
      <c r="I3035" s="2"/>
      <c r="J3035" s="2"/>
      <c r="K3035" s="2"/>
      <c r="L3035" s="3" t="s">
        <v>4751</v>
      </c>
      <c r="M3035" s="24" t="s">
        <v>5032</v>
      </c>
      <c r="N3035" s="48"/>
    </row>
    <row r="3036" spans="1:14" customFormat="1" x14ac:dyDescent="0.45">
      <c r="A3036" s="3" t="s">
        <v>4748</v>
      </c>
      <c r="B3036" s="32">
        <v>40345</v>
      </c>
      <c r="C3036" s="3" t="s">
        <v>21</v>
      </c>
      <c r="D3036" s="3"/>
      <c r="E3036" s="3" t="s">
        <v>5033</v>
      </c>
      <c r="F3036" s="3">
        <v>7</v>
      </c>
      <c r="G3036" s="2"/>
      <c r="H3036" s="2"/>
      <c r="I3036" s="2"/>
      <c r="J3036" s="2"/>
      <c r="K3036" s="2"/>
      <c r="L3036" s="3" t="s">
        <v>4751</v>
      </c>
      <c r="M3036" s="3" t="s">
        <v>5034</v>
      </c>
      <c r="N3036" s="48"/>
    </row>
    <row r="3037" spans="1:14" customFormat="1" x14ac:dyDescent="0.45">
      <c r="A3037" s="3" t="s">
        <v>4748</v>
      </c>
      <c r="B3037" s="32">
        <v>40331</v>
      </c>
      <c r="C3037" s="3" t="s">
        <v>25</v>
      </c>
      <c r="D3037" s="3"/>
      <c r="E3037" s="3" t="s">
        <v>5035</v>
      </c>
      <c r="F3037" s="3">
        <v>2</v>
      </c>
      <c r="G3037" s="2"/>
      <c r="H3037" s="2"/>
      <c r="I3037" s="2"/>
      <c r="J3037" s="2"/>
      <c r="K3037" s="2"/>
      <c r="L3037" s="3" t="s">
        <v>4751</v>
      </c>
      <c r="M3037" s="3" t="s">
        <v>5036</v>
      </c>
      <c r="N3037" s="48"/>
    </row>
    <row r="3038" spans="1:14" customFormat="1" x14ac:dyDescent="0.45">
      <c r="A3038" s="3" t="s">
        <v>4748</v>
      </c>
      <c r="B3038" s="32">
        <v>40331</v>
      </c>
      <c r="C3038" s="3" t="s">
        <v>25</v>
      </c>
      <c r="D3038" s="3"/>
      <c r="E3038" s="3" t="s">
        <v>5037</v>
      </c>
      <c r="F3038" s="3">
        <v>2</v>
      </c>
      <c r="G3038" s="2"/>
      <c r="H3038" s="2"/>
      <c r="I3038" s="2"/>
      <c r="J3038" s="2"/>
      <c r="K3038" s="2"/>
      <c r="L3038" s="3" t="s">
        <v>4751</v>
      </c>
      <c r="M3038" s="3" t="s">
        <v>5038</v>
      </c>
      <c r="N3038" s="48"/>
    </row>
    <row r="3039" spans="1:14" customFormat="1" x14ac:dyDescent="0.45">
      <c r="A3039" s="3" t="s">
        <v>4748</v>
      </c>
      <c r="B3039" s="32">
        <v>40289</v>
      </c>
      <c r="C3039" s="3" t="s">
        <v>21</v>
      </c>
      <c r="D3039" s="3"/>
      <c r="E3039" s="3" t="s">
        <v>5039</v>
      </c>
      <c r="F3039" s="3">
        <v>5</v>
      </c>
      <c r="G3039" s="2"/>
      <c r="H3039" s="2"/>
      <c r="I3039" s="2"/>
      <c r="J3039" s="2"/>
      <c r="K3039" s="2"/>
      <c r="L3039" s="3" t="s">
        <v>4751</v>
      </c>
      <c r="M3039" s="3" t="s">
        <v>5040</v>
      </c>
      <c r="N3039" s="48"/>
    </row>
    <row r="3040" spans="1:14" customFormat="1" x14ac:dyDescent="0.45">
      <c r="A3040" s="3" t="s">
        <v>4748</v>
      </c>
      <c r="B3040" s="32">
        <v>40246</v>
      </c>
      <c r="C3040" s="7" t="s">
        <v>575</v>
      </c>
      <c r="D3040" s="3"/>
      <c r="E3040" s="3" t="s">
        <v>5041</v>
      </c>
      <c r="F3040" s="3">
        <v>3</v>
      </c>
      <c r="G3040" s="2"/>
      <c r="H3040" s="2"/>
      <c r="I3040" s="2"/>
      <c r="J3040" s="2"/>
      <c r="K3040" s="2"/>
      <c r="L3040" s="3" t="s">
        <v>4751</v>
      </c>
      <c r="M3040" s="24" t="s">
        <v>5042</v>
      </c>
      <c r="N3040" s="48"/>
    </row>
    <row r="3041" spans="1:14" customFormat="1" x14ac:dyDescent="0.45">
      <c r="A3041" s="3" t="s">
        <v>4748</v>
      </c>
      <c r="B3041" s="32">
        <v>40242</v>
      </c>
      <c r="C3041" s="3" t="s">
        <v>587</v>
      </c>
      <c r="D3041" s="3"/>
      <c r="E3041" s="3" t="s">
        <v>5043</v>
      </c>
      <c r="F3041" s="3">
        <v>3</v>
      </c>
      <c r="G3041" s="2"/>
      <c r="H3041" s="2"/>
      <c r="I3041" s="2"/>
      <c r="J3041" s="2"/>
      <c r="K3041" s="2"/>
      <c r="L3041" s="3" t="s">
        <v>4751</v>
      </c>
      <c r="M3041" s="3" t="s">
        <v>5044</v>
      </c>
      <c r="N3041" s="48"/>
    </row>
    <row r="3042" spans="1:14" customFormat="1" x14ac:dyDescent="0.45">
      <c r="A3042" s="3" t="s">
        <v>4748</v>
      </c>
      <c r="B3042" s="32">
        <v>40240</v>
      </c>
      <c r="C3042" s="3" t="s">
        <v>21</v>
      </c>
      <c r="D3042" s="3"/>
      <c r="E3042" s="3" t="s">
        <v>5045</v>
      </c>
      <c r="F3042" s="3">
        <v>29</v>
      </c>
      <c r="G3042" s="2"/>
      <c r="H3042" s="2"/>
      <c r="I3042" s="2"/>
      <c r="J3042" s="2"/>
      <c r="K3042" s="2"/>
      <c r="L3042" s="3" t="s">
        <v>4751</v>
      </c>
      <c r="M3042" s="24" t="s">
        <v>5046</v>
      </c>
      <c r="N3042" s="48"/>
    </row>
    <row r="3043" spans="1:14" customFormat="1" x14ac:dyDescent="0.45">
      <c r="A3043" s="3" t="s">
        <v>4748</v>
      </c>
      <c r="B3043" s="32">
        <v>40226</v>
      </c>
      <c r="C3043" s="3" t="s">
        <v>21</v>
      </c>
      <c r="D3043" s="3"/>
      <c r="E3043" s="3" t="s">
        <v>5047</v>
      </c>
      <c r="F3043" s="3">
        <v>3</v>
      </c>
      <c r="G3043" s="2"/>
      <c r="H3043" s="2"/>
      <c r="I3043" s="2"/>
      <c r="J3043" s="2"/>
      <c r="K3043" s="2"/>
      <c r="L3043" s="3" t="s">
        <v>4751</v>
      </c>
      <c r="M3043" s="3" t="s">
        <v>5048</v>
      </c>
      <c r="N3043" s="48"/>
    </row>
    <row r="3044" spans="1:14" customFormat="1" x14ac:dyDescent="0.45">
      <c r="A3044" s="3" t="s">
        <v>4748</v>
      </c>
      <c r="B3044" s="32">
        <v>40175</v>
      </c>
      <c r="C3044" s="3" t="s">
        <v>21</v>
      </c>
      <c r="D3044" s="3"/>
      <c r="E3044" s="3" t="s">
        <v>5049</v>
      </c>
      <c r="F3044" s="3">
        <v>3</v>
      </c>
      <c r="G3044" s="2"/>
      <c r="H3044" s="2"/>
      <c r="I3044" s="2"/>
      <c r="J3044" s="2"/>
      <c r="K3044" s="2"/>
      <c r="L3044" s="3" t="s">
        <v>4751</v>
      </c>
      <c r="M3044" s="3" t="s">
        <v>5050</v>
      </c>
      <c r="N3044" s="48"/>
    </row>
    <row r="3045" spans="1:14" customFormat="1" x14ac:dyDescent="0.45">
      <c r="A3045" s="3" t="s">
        <v>4748</v>
      </c>
      <c r="B3045" s="32">
        <v>40147</v>
      </c>
      <c r="C3045" s="3" t="s">
        <v>21</v>
      </c>
      <c r="D3045" s="3"/>
      <c r="E3045" s="3" t="s">
        <v>5051</v>
      </c>
      <c r="F3045" s="3">
        <v>5</v>
      </c>
      <c r="G3045" s="2"/>
      <c r="H3045" s="2"/>
      <c r="I3045" s="2"/>
      <c r="J3045" s="2"/>
      <c r="K3045" s="2"/>
      <c r="L3045" s="3" t="s">
        <v>4751</v>
      </c>
      <c r="M3045" s="3" t="s">
        <v>5052</v>
      </c>
      <c r="N3045" s="48"/>
    </row>
    <row r="3046" spans="1:14" customFormat="1" x14ac:dyDescent="0.45">
      <c r="A3046" s="3" t="s">
        <v>4748</v>
      </c>
      <c r="B3046" s="32">
        <v>40147</v>
      </c>
      <c r="C3046" s="3" t="s">
        <v>21</v>
      </c>
      <c r="D3046" s="3"/>
      <c r="E3046" s="3" t="s">
        <v>5053</v>
      </c>
      <c r="F3046" s="3">
        <v>21</v>
      </c>
      <c r="G3046" s="2"/>
      <c r="H3046" s="2"/>
      <c r="I3046" s="2"/>
      <c r="J3046" s="2"/>
      <c r="K3046" s="2"/>
      <c r="L3046" s="3" t="s">
        <v>4751</v>
      </c>
      <c r="M3046" s="24" t="s">
        <v>5054</v>
      </c>
      <c r="N3046" s="48"/>
    </row>
    <row r="3047" spans="1:14" customFormat="1" x14ac:dyDescent="0.45">
      <c r="A3047" s="3" t="s">
        <v>4748</v>
      </c>
      <c r="B3047" s="32">
        <v>40105</v>
      </c>
      <c r="C3047" s="3" t="s">
        <v>21</v>
      </c>
      <c r="D3047" s="3"/>
      <c r="E3047" s="3" t="s">
        <v>5055</v>
      </c>
      <c r="F3047" s="3">
        <v>4</v>
      </c>
      <c r="G3047" s="2"/>
      <c r="H3047" s="2"/>
      <c r="I3047" s="2"/>
      <c r="J3047" s="2"/>
      <c r="K3047" s="2"/>
      <c r="L3047" s="3" t="s">
        <v>4751</v>
      </c>
      <c r="M3047" s="3" t="s">
        <v>5056</v>
      </c>
      <c r="N3047" s="48"/>
    </row>
    <row r="3048" spans="1:14" customFormat="1" x14ac:dyDescent="0.45">
      <c r="A3048" s="3" t="s">
        <v>4748</v>
      </c>
      <c r="B3048" s="32">
        <v>40105</v>
      </c>
      <c r="C3048" s="3" t="s">
        <v>25</v>
      </c>
      <c r="D3048" s="3"/>
      <c r="E3048" s="3" t="s">
        <v>5057</v>
      </c>
      <c r="F3048" s="3">
        <v>8</v>
      </c>
      <c r="G3048" s="2"/>
      <c r="H3048" s="2"/>
      <c r="I3048" s="2"/>
      <c r="J3048" s="2"/>
      <c r="K3048" s="2"/>
      <c r="L3048" s="3" t="s">
        <v>4751</v>
      </c>
      <c r="M3048" s="3" t="s">
        <v>5058</v>
      </c>
      <c r="N3048" s="48"/>
    </row>
    <row r="3049" spans="1:14" customFormat="1" x14ac:dyDescent="0.45">
      <c r="A3049" s="3" t="s">
        <v>4748</v>
      </c>
      <c r="B3049" s="32">
        <v>40100</v>
      </c>
      <c r="C3049" s="3" t="s">
        <v>21</v>
      </c>
      <c r="D3049" s="3"/>
      <c r="E3049" s="3" t="s">
        <v>5059</v>
      </c>
      <c r="F3049" s="3">
        <v>4</v>
      </c>
      <c r="G3049" s="2"/>
      <c r="H3049" s="2"/>
      <c r="I3049" s="2"/>
      <c r="J3049" s="2"/>
      <c r="K3049" s="2"/>
      <c r="L3049" s="3" t="s">
        <v>4751</v>
      </c>
      <c r="M3049" s="3" t="s">
        <v>5060</v>
      </c>
      <c r="N3049" s="48"/>
    </row>
    <row r="3050" spans="1:14" customFormat="1" x14ac:dyDescent="0.45">
      <c r="A3050" s="3" t="s">
        <v>4748</v>
      </c>
      <c r="B3050" s="32">
        <v>40077</v>
      </c>
      <c r="C3050" s="3" t="s">
        <v>21</v>
      </c>
      <c r="D3050" s="3"/>
      <c r="E3050" s="3" t="s">
        <v>5061</v>
      </c>
      <c r="F3050" s="3">
        <v>5</v>
      </c>
      <c r="G3050" s="2"/>
      <c r="H3050" s="2"/>
      <c r="I3050" s="2"/>
      <c r="J3050" s="2"/>
      <c r="K3050" s="2"/>
      <c r="L3050" s="3" t="s">
        <v>4751</v>
      </c>
      <c r="M3050" s="3" t="s">
        <v>5062</v>
      </c>
      <c r="N3050" s="48"/>
    </row>
    <row r="3051" spans="1:14" customFormat="1" x14ac:dyDescent="0.45">
      <c r="A3051" s="3" t="s">
        <v>4748</v>
      </c>
      <c r="B3051" s="32">
        <v>40043</v>
      </c>
      <c r="C3051" s="3" t="s">
        <v>25</v>
      </c>
      <c r="D3051" s="3"/>
      <c r="E3051" s="3" t="s">
        <v>5063</v>
      </c>
      <c r="F3051" s="3">
        <v>3</v>
      </c>
      <c r="G3051" s="2"/>
      <c r="H3051" s="2"/>
      <c r="I3051" s="2"/>
      <c r="J3051" s="2"/>
      <c r="K3051" s="2"/>
      <c r="L3051" s="3" t="s">
        <v>4751</v>
      </c>
      <c r="M3051" s="3" t="s">
        <v>5064</v>
      </c>
      <c r="N3051" s="48"/>
    </row>
    <row r="3052" spans="1:14" customFormat="1" x14ac:dyDescent="0.45">
      <c r="A3052" s="3" t="s">
        <v>4748</v>
      </c>
      <c r="B3052" s="32">
        <v>40033</v>
      </c>
      <c r="C3052" s="7" t="s">
        <v>575</v>
      </c>
      <c r="D3052" s="3"/>
      <c r="E3052" s="3" t="s">
        <v>4973</v>
      </c>
      <c r="F3052" s="3">
        <v>3</v>
      </c>
      <c r="G3052" s="2"/>
      <c r="H3052" s="2"/>
      <c r="I3052" s="2"/>
      <c r="J3052" s="2"/>
      <c r="K3052" s="2"/>
      <c r="L3052" s="3" t="s">
        <v>4751</v>
      </c>
      <c r="M3052" s="24" t="s">
        <v>5065</v>
      </c>
      <c r="N3052" s="48"/>
    </row>
    <row r="3053" spans="1:14" customFormat="1" x14ac:dyDescent="0.45">
      <c r="A3053" s="3" t="s">
        <v>4748</v>
      </c>
      <c r="B3053" s="32">
        <v>40014</v>
      </c>
      <c r="C3053" s="3" t="s">
        <v>21</v>
      </c>
      <c r="D3053" s="3"/>
      <c r="E3053" s="3" t="s">
        <v>5066</v>
      </c>
      <c r="F3053" s="3">
        <f>SUM(9,17,2)</f>
        <v>28</v>
      </c>
      <c r="G3053" s="2"/>
      <c r="H3053" s="2"/>
      <c r="I3053" s="2"/>
      <c r="J3053" s="2"/>
      <c r="K3053" s="2"/>
      <c r="L3053" s="3" t="s">
        <v>4751</v>
      </c>
      <c r="M3053" s="24" t="s">
        <v>5067</v>
      </c>
      <c r="N3053" s="48"/>
    </row>
    <row r="3054" spans="1:14" customFormat="1" x14ac:dyDescent="0.45">
      <c r="A3054" s="3" t="s">
        <v>4748</v>
      </c>
      <c r="B3054" s="32">
        <v>39930</v>
      </c>
      <c r="C3054" s="3" t="s">
        <v>21</v>
      </c>
      <c r="D3054" s="3"/>
      <c r="E3054" s="3" t="s">
        <v>5068</v>
      </c>
      <c r="F3054" s="3">
        <v>9</v>
      </c>
      <c r="G3054" s="2"/>
      <c r="H3054" s="2"/>
      <c r="I3054" s="2"/>
      <c r="J3054" s="2"/>
      <c r="K3054" s="2"/>
      <c r="L3054" s="3" t="s">
        <v>4751</v>
      </c>
      <c r="M3054" s="3" t="s">
        <v>5069</v>
      </c>
      <c r="N3054" s="48"/>
    </row>
    <row r="3055" spans="1:14" customFormat="1" x14ac:dyDescent="0.45">
      <c r="A3055" s="3" t="s">
        <v>4748</v>
      </c>
      <c r="B3055" s="32">
        <v>39906</v>
      </c>
      <c r="C3055" s="3" t="s">
        <v>21</v>
      </c>
      <c r="D3055" s="3"/>
      <c r="E3055" s="3" t="s">
        <v>5070</v>
      </c>
      <c r="F3055" s="3">
        <v>3</v>
      </c>
      <c r="G3055" s="2"/>
      <c r="H3055" s="2"/>
      <c r="I3055" s="2"/>
      <c r="J3055" s="2"/>
      <c r="K3055" s="2"/>
      <c r="L3055" s="3" t="s">
        <v>4751</v>
      </c>
      <c r="M3055" s="3" t="s">
        <v>5071</v>
      </c>
      <c r="N3055" s="48"/>
    </row>
    <row r="3056" spans="1:14" customFormat="1" x14ac:dyDescent="0.45">
      <c r="A3056" s="3" t="s">
        <v>4748</v>
      </c>
      <c r="B3056" s="32">
        <v>39906</v>
      </c>
      <c r="C3056" s="7" t="s">
        <v>738</v>
      </c>
      <c r="D3056" s="3"/>
      <c r="E3056" s="3" t="s">
        <v>5072</v>
      </c>
      <c r="F3056" s="3">
        <v>10</v>
      </c>
      <c r="G3056" s="2"/>
      <c r="H3056" s="2"/>
      <c r="I3056" s="2"/>
      <c r="J3056" s="2"/>
      <c r="K3056" s="2"/>
      <c r="L3056" s="3" t="s">
        <v>4751</v>
      </c>
      <c r="M3056" s="3" t="s">
        <v>5073</v>
      </c>
      <c r="N3056" s="48"/>
    </row>
    <row r="3057" spans="1:14" customFormat="1" x14ac:dyDescent="0.45">
      <c r="A3057" s="3" t="s">
        <v>4748</v>
      </c>
      <c r="B3057" s="32">
        <v>39888</v>
      </c>
      <c r="C3057" s="7" t="s">
        <v>587</v>
      </c>
      <c r="D3057" s="3"/>
      <c r="E3057" s="3" t="s">
        <v>5074</v>
      </c>
      <c r="F3057" s="3">
        <v>2</v>
      </c>
      <c r="G3057" s="2"/>
      <c r="H3057" s="2"/>
      <c r="I3057" s="2"/>
      <c r="J3057" s="2"/>
      <c r="K3057" s="2"/>
      <c r="L3057" s="3" t="s">
        <v>4751</v>
      </c>
      <c r="M3057" s="24" t="s">
        <v>5075</v>
      </c>
      <c r="N3057" s="48"/>
    </row>
    <row r="3058" spans="1:14" customFormat="1" x14ac:dyDescent="0.45">
      <c r="A3058" s="3" t="s">
        <v>4748</v>
      </c>
      <c r="B3058" s="32">
        <v>39821</v>
      </c>
      <c r="C3058" s="3" t="s">
        <v>21</v>
      </c>
      <c r="D3058" s="3"/>
      <c r="E3058" s="3" t="s">
        <v>5076</v>
      </c>
      <c r="F3058" s="3">
        <v>10</v>
      </c>
      <c r="G3058" s="2"/>
      <c r="H3058" s="2"/>
      <c r="I3058" s="2"/>
      <c r="J3058" s="2"/>
      <c r="K3058" s="2"/>
      <c r="L3058" s="3" t="s">
        <v>4751</v>
      </c>
      <c r="M3058" s="3" t="s">
        <v>5077</v>
      </c>
      <c r="N3058" s="48"/>
    </row>
    <row r="3059" spans="1:14" customFormat="1" x14ac:dyDescent="0.45">
      <c r="A3059" s="3" t="s">
        <v>4748</v>
      </c>
      <c r="B3059" s="32">
        <v>39748</v>
      </c>
      <c r="C3059" s="3" t="s">
        <v>21</v>
      </c>
      <c r="D3059" s="3"/>
      <c r="E3059" s="3" t="s">
        <v>5078</v>
      </c>
      <c r="F3059" s="3">
        <v>28</v>
      </c>
      <c r="G3059" s="2"/>
      <c r="H3059" s="2"/>
      <c r="I3059" s="2"/>
      <c r="J3059" s="2"/>
      <c r="K3059" s="2"/>
      <c r="L3059" s="3" t="s">
        <v>4751</v>
      </c>
      <c r="M3059" s="24" t="s">
        <v>5079</v>
      </c>
      <c r="N3059" s="48"/>
    </row>
    <row r="3060" spans="1:14" customFormat="1" x14ac:dyDescent="0.45">
      <c r="A3060" s="3" t="s">
        <v>4748</v>
      </c>
      <c r="B3060" s="32">
        <v>39744</v>
      </c>
      <c r="C3060" s="3" t="s">
        <v>21</v>
      </c>
      <c r="D3060" s="3"/>
      <c r="E3060" s="3" t="s">
        <v>5080</v>
      </c>
      <c r="F3060" s="3">
        <v>4</v>
      </c>
      <c r="G3060" s="2"/>
      <c r="H3060" s="2"/>
      <c r="I3060" s="2"/>
      <c r="J3060" s="2"/>
      <c r="K3060" s="2"/>
      <c r="L3060" s="3" t="s">
        <v>4751</v>
      </c>
      <c r="M3060" s="3" t="s">
        <v>5081</v>
      </c>
      <c r="N3060" s="48"/>
    </row>
    <row r="3061" spans="1:14" customFormat="1" x14ac:dyDescent="0.45">
      <c r="A3061" s="3" t="s">
        <v>4748</v>
      </c>
      <c r="B3061" s="32">
        <v>39673</v>
      </c>
      <c r="C3061" s="3" t="s">
        <v>21</v>
      </c>
      <c r="D3061" s="3"/>
      <c r="E3061" s="3" t="s">
        <v>5082</v>
      </c>
      <c r="F3061" s="3">
        <v>4</v>
      </c>
      <c r="G3061" s="2"/>
      <c r="H3061" s="2"/>
      <c r="I3061" s="2"/>
      <c r="J3061" s="2"/>
      <c r="K3061" s="2"/>
      <c r="L3061" s="3" t="s">
        <v>4751</v>
      </c>
      <c r="M3061" s="3" t="s">
        <v>5083</v>
      </c>
      <c r="N3061" s="48"/>
    </row>
    <row r="3062" spans="1:14" customFormat="1" x14ac:dyDescent="0.45">
      <c r="A3062" s="3" t="s">
        <v>4748</v>
      </c>
      <c r="B3062" s="32">
        <v>39653</v>
      </c>
      <c r="C3062" s="3" t="s">
        <v>21</v>
      </c>
      <c r="D3062" s="3"/>
      <c r="E3062" s="3" t="s">
        <v>5084</v>
      </c>
      <c r="F3062" s="3">
        <v>147</v>
      </c>
      <c r="G3062" s="2"/>
      <c r="H3062" s="2"/>
      <c r="I3062" s="2"/>
      <c r="J3062" s="2"/>
      <c r="K3062" s="2"/>
      <c r="L3062" s="3" t="s">
        <v>4751</v>
      </c>
      <c r="M3062" s="24" t="s">
        <v>5085</v>
      </c>
      <c r="N3062" s="48"/>
    </row>
    <row r="3063" spans="1:14" customFormat="1" x14ac:dyDescent="0.45">
      <c r="A3063" s="3" t="s">
        <v>4748</v>
      </c>
      <c r="B3063" s="32">
        <v>39652</v>
      </c>
      <c r="C3063" s="7" t="s">
        <v>575</v>
      </c>
      <c r="D3063" s="3"/>
      <c r="E3063" s="3" t="s">
        <v>5086</v>
      </c>
      <c r="F3063" s="3">
        <v>1</v>
      </c>
      <c r="G3063" s="2"/>
      <c r="H3063" s="2"/>
      <c r="I3063" s="2"/>
      <c r="J3063" s="2"/>
      <c r="K3063" s="2"/>
      <c r="L3063" s="3" t="s">
        <v>4735</v>
      </c>
      <c r="M3063" s="24" t="s">
        <v>5087</v>
      </c>
      <c r="N3063" s="48"/>
    </row>
    <row r="3064" spans="1:14" customFormat="1" x14ac:dyDescent="0.45">
      <c r="A3064" s="3" t="s">
        <v>4748</v>
      </c>
      <c r="B3064" s="32">
        <v>39643</v>
      </c>
      <c r="C3064" s="3" t="s">
        <v>21</v>
      </c>
      <c r="D3064" s="3"/>
      <c r="E3064" s="3" t="s">
        <v>5088</v>
      </c>
      <c r="F3064" s="3">
        <v>20</v>
      </c>
      <c r="G3064" s="2"/>
      <c r="H3064" s="2"/>
      <c r="I3064" s="2"/>
      <c r="J3064" s="2"/>
      <c r="K3064" s="2"/>
      <c r="L3064" s="3" t="s">
        <v>4751</v>
      </c>
      <c r="M3064" s="24" t="s">
        <v>5089</v>
      </c>
      <c r="N3064" s="48"/>
    </row>
    <row r="3065" spans="1:14" customFormat="1" x14ac:dyDescent="0.45">
      <c r="A3065" s="3" t="s">
        <v>4748</v>
      </c>
      <c r="B3065" s="32">
        <v>39597</v>
      </c>
      <c r="C3065" s="7" t="s">
        <v>247</v>
      </c>
      <c r="D3065" s="3"/>
      <c r="E3065" s="3" t="s">
        <v>5090</v>
      </c>
      <c r="F3065" s="3">
        <v>31</v>
      </c>
      <c r="G3065" s="2"/>
      <c r="H3065" s="2"/>
      <c r="I3065" s="2"/>
      <c r="J3065" s="2"/>
      <c r="K3065" s="2"/>
      <c r="L3065" s="3" t="s">
        <v>4751</v>
      </c>
      <c r="M3065" s="24" t="s">
        <v>5091</v>
      </c>
      <c r="N3065" s="48"/>
    </row>
    <row r="3066" spans="1:14" customFormat="1" x14ac:dyDescent="0.45">
      <c r="A3066" s="3" t="s">
        <v>4748</v>
      </c>
      <c r="B3066" s="32">
        <v>39590</v>
      </c>
      <c r="C3066" s="3" t="s">
        <v>21</v>
      </c>
      <c r="D3066" s="3"/>
      <c r="E3066" s="3" t="s">
        <v>5092</v>
      </c>
      <c r="F3066" s="3">
        <v>6</v>
      </c>
      <c r="G3066" s="2"/>
      <c r="H3066" s="2"/>
      <c r="I3066" s="2"/>
      <c r="J3066" s="2"/>
      <c r="K3066" s="2"/>
      <c r="L3066" s="3" t="s">
        <v>4751</v>
      </c>
      <c r="M3066" s="3" t="s">
        <v>5093</v>
      </c>
      <c r="N3066" s="48"/>
    </row>
    <row r="3067" spans="1:14" customFormat="1" x14ac:dyDescent="0.45">
      <c r="A3067" s="3" t="s">
        <v>4748</v>
      </c>
      <c r="B3067" s="32">
        <v>39580</v>
      </c>
      <c r="C3067" s="3" t="s">
        <v>587</v>
      </c>
      <c r="D3067" s="3"/>
      <c r="E3067" s="3" t="s">
        <v>5094</v>
      </c>
      <c r="F3067" s="3">
        <v>3</v>
      </c>
      <c r="G3067" s="2"/>
      <c r="H3067" s="2"/>
      <c r="I3067" s="2"/>
      <c r="J3067" s="2"/>
      <c r="K3067" s="2"/>
      <c r="L3067" s="3" t="s">
        <v>4751</v>
      </c>
      <c r="M3067" s="3" t="s">
        <v>5095</v>
      </c>
      <c r="N3067" s="48"/>
    </row>
    <row r="3068" spans="1:14" customFormat="1" x14ac:dyDescent="0.45">
      <c r="A3068" s="3" t="s">
        <v>4748</v>
      </c>
      <c r="B3068" s="32">
        <v>39574</v>
      </c>
      <c r="C3068" s="3" t="s">
        <v>21</v>
      </c>
      <c r="D3068" s="3"/>
      <c r="E3068" s="3" t="s">
        <v>5096</v>
      </c>
      <c r="F3068" s="3">
        <v>10</v>
      </c>
      <c r="G3068" s="2"/>
      <c r="H3068" s="2"/>
      <c r="I3068" s="2"/>
      <c r="J3068" s="2"/>
      <c r="K3068" s="2"/>
      <c r="L3068" s="3" t="s">
        <v>4751</v>
      </c>
      <c r="M3068" s="3" t="s">
        <v>5097</v>
      </c>
      <c r="N3068" s="48"/>
    </row>
    <row r="3069" spans="1:14" customFormat="1" x14ac:dyDescent="0.45">
      <c r="A3069" s="3" t="s">
        <v>4748</v>
      </c>
      <c r="B3069" s="32">
        <v>39549</v>
      </c>
      <c r="C3069" s="3" t="s">
        <v>21</v>
      </c>
      <c r="D3069" s="3"/>
      <c r="E3069" s="3" t="s">
        <v>5098</v>
      </c>
      <c r="F3069" s="3">
        <v>5</v>
      </c>
      <c r="G3069" s="2"/>
      <c r="H3069" s="2"/>
      <c r="I3069" s="2"/>
      <c r="J3069" s="2"/>
      <c r="K3069" s="2"/>
      <c r="L3069" s="3" t="s">
        <v>4751</v>
      </c>
      <c r="M3069" s="3" t="s">
        <v>5099</v>
      </c>
      <c r="N3069" s="48"/>
    </row>
    <row r="3070" spans="1:14" customFormat="1" x14ac:dyDescent="0.45">
      <c r="A3070" s="3" t="s">
        <v>4748</v>
      </c>
      <c r="B3070" s="32">
        <v>39527</v>
      </c>
      <c r="C3070" s="3" t="s">
        <v>21</v>
      </c>
      <c r="D3070" s="3"/>
      <c r="E3070" s="3" t="s">
        <v>5100</v>
      </c>
      <c r="F3070" s="3">
        <v>13</v>
      </c>
      <c r="G3070" s="2"/>
      <c r="H3070" s="2"/>
      <c r="I3070" s="2"/>
      <c r="J3070" s="2"/>
      <c r="K3070" s="2"/>
      <c r="L3070" s="3" t="s">
        <v>4751</v>
      </c>
      <c r="M3070" s="3" t="s">
        <v>5101</v>
      </c>
      <c r="N3070" s="48"/>
    </row>
    <row r="3071" spans="1:14" customFormat="1" x14ac:dyDescent="0.45">
      <c r="A3071" s="3" t="s">
        <v>4748</v>
      </c>
      <c r="B3071" s="32">
        <v>39499</v>
      </c>
      <c r="C3071" s="3" t="s">
        <v>21</v>
      </c>
      <c r="D3071" s="3"/>
      <c r="E3071" s="3" t="s">
        <v>5102</v>
      </c>
      <c r="F3071" s="3">
        <v>9</v>
      </c>
      <c r="G3071" s="2"/>
      <c r="H3071" s="2"/>
      <c r="I3071" s="2"/>
      <c r="J3071" s="2"/>
      <c r="K3071" s="2"/>
      <c r="L3071" s="3" t="s">
        <v>4751</v>
      </c>
      <c r="M3071" s="3" t="s">
        <v>5103</v>
      </c>
      <c r="N3071" s="48"/>
    </row>
    <row r="3072" spans="1:14" customFormat="1" x14ac:dyDescent="0.45">
      <c r="A3072" s="3" t="s">
        <v>4748</v>
      </c>
      <c r="B3072" s="32">
        <v>39485</v>
      </c>
      <c r="C3072" s="3" t="s">
        <v>25</v>
      </c>
      <c r="D3072" s="3"/>
      <c r="E3072" s="3" t="s">
        <v>5104</v>
      </c>
      <c r="F3072" s="3">
        <v>13</v>
      </c>
      <c r="G3072" s="2"/>
      <c r="H3072" s="2"/>
      <c r="I3072" s="2"/>
      <c r="J3072" s="2"/>
      <c r="K3072" s="2"/>
      <c r="L3072" s="3" t="s">
        <v>4751</v>
      </c>
      <c r="M3072" s="3" t="s">
        <v>5105</v>
      </c>
      <c r="N3072" s="48"/>
    </row>
    <row r="3073" spans="1:14" customFormat="1" x14ac:dyDescent="0.45">
      <c r="A3073" s="3" t="s">
        <v>4748</v>
      </c>
      <c r="B3073" s="32">
        <v>39483</v>
      </c>
      <c r="C3073" s="7" t="s">
        <v>575</v>
      </c>
      <c r="D3073" s="3"/>
      <c r="E3073" s="3" t="s">
        <v>5106</v>
      </c>
      <c r="F3073" s="3">
        <v>58</v>
      </c>
      <c r="G3073" s="2"/>
      <c r="H3073" s="2"/>
      <c r="I3073" s="2"/>
      <c r="J3073" s="2"/>
      <c r="K3073" s="2"/>
      <c r="L3073" s="3" t="s">
        <v>4735</v>
      </c>
      <c r="M3073" s="24" t="s">
        <v>5107</v>
      </c>
      <c r="N3073" s="48"/>
    </row>
    <row r="3074" spans="1:14" customFormat="1" x14ac:dyDescent="0.45">
      <c r="A3074" s="3" t="s">
        <v>4748</v>
      </c>
      <c r="B3074" s="32">
        <v>39414</v>
      </c>
      <c r="C3074" s="3" t="s">
        <v>21</v>
      </c>
      <c r="D3074" s="3"/>
      <c r="E3074" s="3" t="s">
        <v>5108</v>
      </c>
      <c r="F3074" s="3">
        <v>2</v>
      </c>
      <c r="G3074" s="2"/>
      <c r="H3074" s="2"/>
      <c r="I3074" s="2"/>
      <c r="J3074" s="2"/>
      <c r="K3074" s="2"/>
      <c r="L3074" s="3" t="s">
        <v>4751</v>
      </c>
      <c r="M3074" s="3" t="s">
        <v>5109</v>
      </c>
      <c r="N3074" s="48"/>
    </row>
    <row r="3075" spans="1:14" customFormat="1" x14ac:dyDescent="0.45">
      <c r="A3075" s="3" t="s">
        <v>4748</v>
      </c>
      <c r="B3075" s="32">
        <v>39414</v>
      </c>
      <c r="C3075" s="3" t="s">
        <v>21</v>
      </c>
      <c r="D3075" s="3"/>
      <c r="E3075" s="3" t="s">
        <v>5110</v>
      </c>
      <c r="F3075" s="3">
        <v>10</v>
      </c>
      <c r="G3075" s="2"/>
      <c r="H3075" s="2"/>
      <c r="I3075" s="2"/>
      <c r="J3075" s="2"/>
      <c r="K3075" s="2"/>
      <c r="L3075" s="3" t="s">
        <v>4751</v>
      </c>
      <c r="M3075" s="3" t="s">
        <v>5111</v>
      </c>
      <c r="N3075" s="48"/>
    </row>
    <row r="3076" spans="1:14" customFormat="1" x14ac:dyDescent="0.45">
      <c r="A3076" s="3" t="s">
        <v>4748</v>
      </c>
      <c r="B3076" s="32">
        <v>39356</v>
      </c>
      <c r="C3076" s="3" t="s">
        <v>21</v>
      </c>
      <c r="D3076" s="3"/>
      <c r="E3076" s="3" t="s">
        <v>5112</v>
      </c>
      <c r="F3076" s="3">
        <v>3</v>
      </c>
      <c r="G3076" s="2"/>
      <c r="H3076" s="2"/>
      <c r="I3076" s="2"/>
      <c r="J3076" s="2"/>
      <c r="K3076" s="2"/>
      <c r="L3076" s="3" t="s">
        <v>4751</v>
      </c>
      <c r="M3076" s="3" t="s">
        <v>5113</v>
      </c>
      <c r="N3076" s="48"/>
    </row>
    <row r="3077" spans="1:14" customFormat="1" x14ac:dyDescent="0.45">
      <c r="A3077" s="3" t="s">
        <v>4748</v>
      </c>
      <c r="B3077" s="32">
        <v>39335</v>
      </c>
      <c r="C3077" s="3" t="s">
        <v>21</v>
      </c>
      <c r="D3077" s="3"/>
      <c r="E3077" s="3" t="s">
        <v>5114</v>
      </c>
      <c r="F3077" s="3">
        <v>1</v>
      </c>
      <c r="G3077" s="2"/>
      <c r="H3077" s="2"/>
      <c r="I3077" s="2"/>
      <c r="J3077" s="2"/>
      <c r="K3077" s="2"/>
      <c r="L3077" s="3" t="s">
        <v>4751</v>
      </c>
      <c r="M3077" s="3" t="s">
        <v>5115</v>
      </c>
      <c r="N3077" s="48"/>
    </row>
    <row r="3078" spans="1:14" customFormat="1" x14ac:dyDescent="0.45">
      <c r="A3078" s="3" t="s">
        <v>4748</v>
      </c>
      <c r="B3078" s="32">
        <v>39310</v>
      </c>
      <c r="C3078" s="3" t="s">
        <v>25</v>
      </c>
      <c r="D3078" s="3"/>
      <c r="E3078" s="3" t="s">
        <v>5116</v>
      </c>
      <c r="F3078" s="3">
        <v>3</v>
      </c>
      <c r="G3078" s="2"/>
      <c r="H3078" s="2"/>
      <c r="I3078" s="2"/>
      <c r="J3078" s="2"/>
      <c r="K3078" s="2"/>
      <c r="L3078" s="3" t="s">
        <v>4751</v>
      </c>
      <c r="M3078" s="3" t="s">
        <v>5117</v>
      </c>
      <c r="N3078" s="48"/>
    </row>
    <row r="3079" spans="1:14" customFormat="1" x14ac:dyDescent="0.45">
      <c r="A3079" s="3" t="s">
        <v>4748</v>
      </c>
      <c r="B3079" s="32">
        <v>39295</v>
      </c>
      <c r="C3079" s="3" t="s">
        <v>25</v>
      </c>
      <c r="D3079" s="3"/>
      <c r="E3079" s="3" t="s">
        <v>5118</v>
      </c>
      <c r="F3079" s="3">
        <v>2</v>
      </c>
      <c r="G3079" s="2"/>
      <c r="H3079" s="2"/>
      <c r="I3079" s="2"/>
      <c r="J3079" s="2"/>
      <c r="K3079" s="2"/>
      <c r="L3079" s="3" t="s">
        <v>4751</v>
      </c>
      <c r="M3079" s="3" t="s">
        <v>5119</v>
      </c>
      <c r="N3079" s="48"/>
    </row>
    <row r="3080" spans="1:14" customFormat="1" x14ac:dyDescent="0.45">
      <c r="A3080" s="3" t="s">
        <v>4748</v>
      </c>
      <c r="B3080" s="32">
        <v>39280</v>
      </c>
      <c r="C3080" s="3" t="s">
        <v>21</v>
      </c>
      <c r="D3080" s="3"/>
      <c r="E3080" s="3" t="s">
        <v>5120</v>
      </c>
      <c r="F3080" s="3">
        <v>3</v>
      </c>
      <c r="G3080" s="2"/>
      <c r="H3080" s="2"/>
      <c r="I3080" s="2"/>
      <c r="J3080" s="2"/>
      <c r="K3080" s="2"/>
      <c r="L3080" s="3" t="s">
        <v>4751</v>
      </c>
      <c r="M3080" s="3" t="s">
        <v>5121</v>
      </c>
      <c r="N3080" s="48"/>
    </row>
    <row r="3081" spans="1:14" customFormat="1" x14ac:dyDescent="0.45">
      <c r="A3081" s="3" t="s">
        <v>4748</v>
      </c>
      <c r="B3081" s="32">
        <v>39229</v>
      </c>
      <c r="C3081" s="7" t="s">
        <v>575</v>
      </c>
      <c r="D3081" s="3"/>
      <c r="E3081" s="3" t="s">
        <v>5122</v>
      </c>
      <c r="F3081" s="3">
        <v>1</v>
      </c>
      <c r="G3081" s="2"/>
      <c r="H3081" s="2"/>
      <c r="I3081" s="2"/>
      <c r="J3081" s="2"/>
      <c r="K3081" s="2"/>
      <c r="L3081" s="3" t="s">
        <v>4735</v>
      </c>
      <c r="M3081" s="24" t="s">
        <v>5123</v>
      </c>
      <c r="N3081" s="48"/>
    </row>
    <row r="3082" spans="1:14" customFormat="1" x14ac:dyDescent="0.45">
      <c r="A3082" s="3" t="s">
        <v>4748</v>
      </c>
      <c r="B3082" s="32">
        <v>39220</v>
      </c>
      <c r="C3082" s="3" t="s">
        <v>21</v>
      </c>
      <c r="D3082" s="3"/>
      <c r="E3082" s="3" t="s">
        <v>5124</v>
      </c>
      <c r="F3082" s="3">
        <v>8</v>
      </c>
      <c r="G3082" s="2"/>
      <c r="H3082" s="2"/>
      <c r="I3082" s="2"/>
      <c r="J3082" s="2"/>
      <c r="K3082" s="2"/>
      <c r="L3082" s="3" t="s">
        <v>4751</v>
      </c>
      <c r="M3082" s="3" t="s">
        <v>5125</v>
      </c>
      <c r="N3082" s="48"/>
    </row>
    <row r="3083" spans="1:14" customFormat="1" x14ac:dyDescent="0.45">
      <c r="A3083" s="3" t="s">
        <v>4748</v>
      </c>
      <c r="B3083" s="32">
        <v>39218</v>
      </c>
      <c r="C3083" s="3" t="s">
        <v>25</v>
      </c>
      <c r="D3083" s="3"/>
      <c r="E3083" s="3" t="s">
        <v>5126</v>
      </c>
      <c r="F3083" s="3">
        <v>4</v>
      </c>
      <c r="G3083" s="2"/>
      <c r="H3083" s="2"/>
      <c r="I3083" s="2"/>
      <c r="J3083" s="2"/>
      <c r="K3083" s="2"/>
      <c r="L3083" s="3" t="s">
        <v>4751</v>
      </c>
      <c r="M3083" s="3" t="s">
        <v>5127</v>
      </c>
      <c r="N3083" s="48"/>
    </row>
    <row r="3084" spans="1:14" customFormat="1" x14ac:dyDescent="0.45">
      <c r="A3084" s="3" t="s">
        <v>4748</v>
      </c>
      <c r="B3084" s="32">
        <v>39190</v>
      </c>
      <c r="C3084" s="3" t="s">
        <v>25</v>
      </c>
      <c r="D3084" s="3"/>
      <c r="E3084" s="3" t="s">
        <v>5128</v>
      </c>
      <c r="F3084" s="3">
        <v>3</v>
      </c>
      <c r="G3084" s="2"/>
      <c r="H3084" s="2"/>
      <c r="I3084" s="2"/>
      <c r="J3084" s="2"/>
      <c r="K3084" s="2"/>
      <c r="L3084" s="3" t="s">
        <v>4751</v>
      </c>
      <c r="M3084" s="3" t="s">
        <v>5129</v>
      </c>
      <c r="N3084" s="48"/>
    </row>
    <row r="3085" spans="1:14" customFormat="1" x14ac:dyDescent="0.45">
      <c r="A3085" s="3" t="s">
        <v>4748</v>
      </c>
      <c r="B3085" s="32">
        <v>39150</v>
      </c>
      <c r="C3085" s="3" t="s">
        <v>25</v>
      </c>
      <c r="D3085" s="3"/>
      <c r="E3085" s="3" t="s">
        <v>5130</v>
      </c>
      <c r="F3085" s="3">
        <v>3</v>
      </c>
      <c r="G3085" s="2"/>
      <c r="H3085" s="2"/>
      <c r="I3085" s="2"/>
      <c r="J3085" s="2"/>
      <c r="K3085" s="2"/>
      <c r="L3085" s="3" t="s">
        <v>4751</v>
      </c>
      <c r="M3085" s="3" t="s">
        <v>5131</v>
      </c>
      <c r="N3085" s="48"/>
    </row>
    <row r="3086" spans="1:14" customFormat="1" x14ac:dyDescent="0.45">
      <c r="A3086" s="3" t="s">
        <v>4748</v>
      </c>
      <c r="B3086" s="32">
        <v>39136</v>
      </c>
      <c r="C3086" s="3" t="s">
        <v>21</v>
      </c>
      <c r="D3086" s="3"/>
      <c r="E3086" s="3" t="s">
        <v>5132</v>
      </c>
      <c r="F3086" s="3">
        <v>2</v>
      </c>
      <c r="G3086" s="2"/>
      <c r="H3086" s="2"/>
      <c r="I3086" s="2"/>
      <c r="J3086" s="2"/>
      <c r="K3086" s="2"/>
      <c r="L3086" s="3" t="s">
        <v>4751</v>
      </c>
      <c r="M3086" s="3" t="s">
        <v>5133</v>
      </c>
      <c r="N3086" s="48"/>
    </row>
    <row r="3087" spans="1:14" customFormat="1" x14ac:dyDescent="0.45">
      <c r="A3087" s="3" t="s">
        <v>4748</v>
      </c>
      <c r="B3087" s="32">
        <v>39036</v>
      </c>
      <c r="C3087" s="3" t="s">
        <v>21</v>
      </c>
      <c r="D3087" s="3"/>
      <c r="E3087" s="3" t="s">
        <v>5134</v>
      </c>
      <c r="F3087" s="3">
        <v>9</v>
      </c>
      <c r="G3087" s="2"/>
      <c r="H3087" s="2"/>
      <c r="I3087" s="2"/>
      <c r="J3087" s="2"/>
      <c r="K3087" s="2"/>
      <c r="L3087" s="3" t="s">
        <v>4751</v>
      </c>
      <c r="M3087" s="3" t="s">
        <v>5135</v>
      </c>
      <c r="N3087" s="48"/>
    </row>
    <row r="3088" spans="1:14" customFormat="1" x14ac:dyDescent="0.45">
      <c r="A3088" s="3" t="s">
        <v>4748</v>
      </c>
      <c r="B3088" s="32">
        <v>39000</v>
      </c>
      <c r="C3088" s="3" t="s">
        <v>21</v>
      </c>
      <c r="D3088" s="3"/>
      <c r="E3088" s="3" t="s">
        <v>5136</v>
      </c>
      <c r="F3088" s="3">
        <v>3</v>
      </c>
      <c r="G3088" s="2"/>
      <c r="H3088" s="2"/>
      <c r="I3088" s="2"/>
      <c r="J3088" s="2"/>
      <c r="K3088" s="2"/>
      <c r="L3088" s="3" t="s">
        <v>4751</v>
      </c>
      <c r="M3088" s="3" t="s">
        <v>5137</v>
      </c>
      <c r="N3088" s="48"/>
    </row>
    <row r="3089" spans="1:14" customFormat="1" x14ac:dyDescent="0.45">
      <c r="A3089" s="3" t="s">
        <v>4748</v>
      </c>
      <c r="B3089" s="32">
        <v>38988</v>
      </c>
      <c r="C3089" s="3" t="s">
        <v>21</v>
      </c>
      <c r="D3089" s="3"/>
      <c r="E3089" s="3" t="s">
        <v>5138</v>
      </c>
      <c r="F3089" s="3">
        <v>3</v>
      </c>
      <c r="G3089" s="2"/>
      <c r="H3089" s="2"/>
      <c r="I3089" s="2"/>
      <c r="J3089" s="2"/>
      <c r="K3089" s="2"/>
      <c r="L3089" s="3" t="s">
        <v>4751</v>
      </c>
      <c r="M3089" s="3" t="s">
        <v>5139</v>
      </c>
      <c r="N3089" s="48"/>
    </row>
    <row r="3090" spans="1:14" customFormat="1" x14ac:dyDescent="0.45">
      <c r="A3090" s="3" t="s">
        <v>4748</v>
      </c>
      <c r="B3090" s="32">
        <v>38985</v>
      </c>
      <c r="C3090" s="3" t="s">
        <v>21</v>
      </c>
      <c r="D3090" s="3"/>
      <c r="E3090" s="3" t="s">
        <v>5140</v>
      </c>
      <c r="F3090" s="3">
        <v>4</v>
      </c>
      <c r="G3090" s="2"/>
      <c r="H3090" s="2"/>
      <c r="I3090" s="2"/>
      <c r="J3090" s="2"/>
      <c r="K3090" s="2"/>
      <c r="L3090" s="3" t="s">
        <v>4751</v>
      </c>
      <c r="M3090" s="3" t="s">
        <v>5141</v>
      </c>
      <c r="N3090" s="48"/>
    </row>
    <row r="3091" spans="1:14" customFormat="1" x14ac:dyDescent="0.45">
      <c r="A3091" s="3" t="s">
        <v>4748</v>
      </c>
      <c r="B3091" s="32">
        <v>38897</v>
      </c>
      <c r="C3091" s="7" t="s">
        <v>575</v>
      </c>
      <c r="D3091" s="3"/>
      <c r="E3091" s="3" t="s">
        <v>5142</v>
      </c>
      <c r="F3091" s="3">
        <v>31</v>
      </c>
      <c r="G3091" s="2"/>
      <c r="H3091" s="2"/>
      <c r="I3091" s="2"/>
      <c r="J3091" s="2"/>
      <c r="K3091" s="2"/>
      <c r="L3091" s="3" t="s">
        <v>4735</v>
      </c>
      <c r="M3091" s="24" t="s">
        <v>5143</v>
      </c>
      <c r="N3091" s="48"/>
    </row>
    <row r="3092" spans="1:14" customFormat="1" x14ac:dyDescent="0.45">
      <c r="A3092" s="3" t="s">
        <v>4748</v>
      </c>
      <c r="B3092" s="32">
        <v>38888</v>
      </c>
      <c r="C3092" s="3" t="s">
        <v>21</v>
      </c>
      <c r="D3092" s="3"/>
      <c r="E3092" s="3" t="s">
        <v>5144</v>
      </c>
      <c r="F3092" s="3">
        <v>9</v>
      </c>
      <c r="G3092" s="2"/>
      <c r="H3092" s="2"/>
      <c r="I3092" s="2"/>
      <c r="J3092" s="2"/>
      <c r="K3092" s="2"/>
      <c r="L3092" s="3" t="s">
        <v>4751</v>
      </c>
      <c r="M3092" s="3" t="s">
        <v>5145</v>
      </c>
      <c r="N3092" s="48"/>
    </row>
    <row r="3093" spans="1:14" customFormat="1" x14ac:dyDescent="0.45">
      <c r="A3093" s="3" t="s">
        <v>4748</v>
      </c>
      <c r="B3093" s="32">
        <v>38874</v>
      </c>
      <c r="C3093" s="3" t="s">
        <v>21</v>
      </c>
      <c r="D3093" s="3"/>
      <c r="E3093" s="3" t="s">
        <v>5146</v>
      </c>
      <c r="F3093" s="3">
        <v>3</v>
      </c>
      <c r="G3093" s="2"/>
      <c r="H3093" s="2"/>
      <c r="I3093" s="2"/>
      <c r="J3093" s="2"/>
      <c r="K3093" s="2"/>
      <c r="L3093" s="3" t="s">
        <v>4751</v>
      </c>
      <c r="M3093" s="3" t="s">
        <v>5147</v>
      </c>
      <c r="N3093" s="48"/>
    </row>
    <row r="3094" spans="1:14" customFormat="1" x14ac:dyDescent="0.45">
      <c r="A3094" s="3" t="s">
        <v>4748</v>
      </c>
      <c r="B3094" s="32">
        <v>38791</v>
      </c>
      <c r="C3094" s="3" t="s">
        <v>21</v>
      </c>
      <c r="D3094" s="3"/>
      <c r="E3094" s="3" t="s">
        <v>5148</v>
      </c>
      <c r="F3094" s="3">
        <v>3</v>
      </c>
      <c r="G3094" s="2"/>
      <c r="H3094" s="2"/>
      <c r="I3094" s="2"/>
      <c r="J3094" s="2"/>
      <c r="K3094" s="2"/>
      <c r="L3094" s="3" t="s">
        <v>4751</v>
      </c>
      <c r="M3094" s="3" t="s">
        <v>5149</v>
      </c>
      <c r="N3094" s="48"/>
    </row>
    <row r="3095" spans="1:14" customFormat="1" x14ac:dyDescent="0.45">
      <c r="A3095" s="3" t="s">
        <v>4748</v>
      </c>
      <c r="B3095" s="32">
        <v>38734</v>
      </c>
      <c r="C3095" s="3" t="s">
        <v>25</v>
      </c>
      <c r="D3095" s="3"/>
      <c r="E3095" s="3" t="s">
        <v>5150</v>
      </c>
      <c r="F3095" s="3">
        <v>4</v>
      </c>
      <c r="G3095" s="2"/>
      <c r="H3095" s="2"/>
      <c r="I3095" s="2"/>
      <c r="J3095" s="2"/>
      <c r="K3095" s="2"/>
      <c r="L3095" s="3" t="s">
        <v>4751</v>
      </c>
      <c r="M3095" s="3" t="s">
        <v>5151</v>
      </c>
      <c r="N3095" s="48"/>
    </row>
    <row r="3096" spans="1:14" customFormat="1" x14ac:dyDescent="0.45">
      <c r="A3096" s="3" t="s">
        <v>4748</v>
      </c>
      <c r="B3096" s="32">
        <v>38671</v>
      </c>
      <c r="C3096" s="7" t="s">
        <v>738</v>
      </c>
      <c r="D3096" s="3"/>
      <c r="E3096" s="3" t="s">
        <v>5152</v>
      </c>
      <c r="F3096" s="3">
        <v>8</v>
      </c>
      <c r="G3096" s="2"/>
      <c r="H3096" s="2"/>
      <c r="I3096" s="2"/>
      <c r="J3096" s="2"/>
      <c r="K3096" s="2"/>
      <c r="L3096" s="3" t="s">
        <v>4751</v>
      </c>
      <c r="M3096" s="3" t="s">
        <v>5153</v>
      </c>
      <c r="N3096" s="48"/>
    </row>
    <row r="3097" spans="1:14" customFormat="1" x14ac:dyDescent="0.45">
      <c r="A3097" s="3" t="s">
        <v>4748</v>
      </c>
      <c r="B3097" s="32">
        <v>38645</v>
      </c>
      <c r="C3097" s="3" t="s">
        <v>21</v>
      </c>
      <c r="D3097" s="3"/>
      <c r="E3097" s="3" t="s">
        <v>5154</v>
      </c>
      <c r="F3097" s="3">
        <v>12</v>
      </c>
      <c r="G3097" s="2"/>
      <c r="H3097" s="2"/>
      <c r="I3097" s="2"/>
      <c r="J3097" s="2"/>
      <c r="K3097" s="2"/>
      <c r="L3097" s="3" t="s">
        <v>4751</v>
      </c>
      <c r="M3097" s="3" t="s">
        <v>5155</v>
      </c>
      <c r="N3097" s="48"/>
    </row>
    <row r="3098" spans="1:14" customFormat="1" x14ac:dyDescent="0.45">
      <c r="A3098" s="3" t="s">
        <v>4748</v>
      </c>
      <c r="B3098" s="32">
        <v>38636</v>
      </c>
      <c r="C3098" s="3" t="s">
        <v>21</v>
      </c>
      <c r="D3098" s="3"/>
      <c r="E3098" s="3" t="s">
        <v>5156</v>
      </c>
      <c r="F3098" s="3">
        <v>8</v>
      </c>
      <c r="G3098" s="2"/>
      <c r="H3098" s="2"/>
      <c r="I3098" s="2"/>
      <c r="J3098" s="2"/>
      <c r="K3098" s="2"/>
      <c r="L3098" s="3" t="s">
        <v>4751</v>
      </c>
      <c r="M3098" s="3" t="s">
        <v>5157</v>
      </c>
      <c r="N3098" s="48"/>
    </row>
    <row r="3099" spans="1:14" customFormat="1" x14ac:dyDescent="0.45">
      <c r="A3099" s="3" t="s">
        <v>4748</v>
      </c>
      <c r="B3099" s="32">
        <v>38602</v>
      </c>
      <c r="C3099" s="3" t="s">
        <v>25</v>
      </c>
      <c r="D3099" s="3"/>
      <c r="E3099" s="3" t="s">
        <v>5158</v>
      </c>
      <c r="F3099" s="3">
        <v>5</v>
      </c>
      <c r="G3099" s="2"/>
      <c r="H3099" s="2"/>
      <c r="I3099" s="2"/>
      <c r="J3099" s="2"/>
      <c r="K3099" s="2"/>
      <c r="L3099" s="3" t="s">
        <v>4751</v>
      </c>
      <c r="M3099" s="3" t="s">
        <v>5159</v>
      </c>
      <c r="N3099" s="48"/>
    </row>
    <row r="3100" spans="1:14" customFormat="1" x14ac:dyDescent="0.45">
      <c r="A3100" s="3" t="s">
        <v>4748</v>
      </c>
      <c r="B3100" s="32">
        <v>38512</v>
      </c>
      <c r="C3100" s="3" t="s">
        <v>21</v>
      </c>
      <c r="D3100" s="3"/>
      <c r="E3100" s="3" t="s">
        <v>5160</v>
      </c>
      <c r="F3100" s="3">
        <v>3</v>
      </c>
      <c r="G3100" s="2"/>
      <c r="H3100" s="2"/>
      <c r="I3100" s="2"/>
      <c r="J3100" s="2"/>
      <c r="K3100" s="2"/>
      <c r="L3100" s="3" t="s">
        <v>4751</v>
      </c>
      <c r="M3100" s="3" t="s">
        <v>5161</v>
      </c>
      <c r="N3100" s="48"/>
    </row>
    <row r="3101" spans="1:14" customFormat="1" x14ac:dyDescent="0.45">
      <c r="A3101" s="3" t="s">
        <v>4748</v>
      </c>
      <c r="B3101" s="32">
        <v>38471</v>
      </c>
      <c r="C3101" s="7" t="s">
        <v>587</v>
      </c>
      <c r="D3101" s="3"/>
      <c r="E3101" s="3" t="s">
        <v>5162</v>
      </c>
      <c r="F3101" s="3">
        <v>19</v>
      </c>
      <c r="G3101" s="2"/>
      <c r="H3101" s="2"/>
      <c r="I3101" s="2"/>
      <c r="J3101" s="2"/>
      <c r="K3101" s="2"/>
      <c r="L3101" s="3" t="s">
        <v>4751</v>
      </c>
      <c r="M3101" s="24" t="s">
        <v>5163</v>
      </c>
      <c r="N3101" s="48"/>
    </row>
    <row r="3102" spans="1:14" customFormat="1" x14ac:dyDescent="0.45">
      <c r="A3102" s="3" t="s">
        <v>4748</v>
      </c>
      <c r="B3102" s="32">
        <v>38461</v>
      </c>
      <c r="C3102" s="3" t="s">
        <v>21</v>
      </c>
      <c r="D3102" s="3"/>
      <c r="E3102" s="3" t="s">
        <v>5164</v>
      </c>
      <c r="F3102" s="3">
        <v>4</v>
      </c>
      <c r="G3102" s="2"/>
      <c r="H3102" s="2"/>
      <c r="I3102" s="2"/>
      <c r="J3102" s="2"/>
      <c r="K3102" s="2"/>
      <c r="L3102" s="3" t="s">
        <v>4751</v>
      </c>
      <c r="M3102" s="3" t="s">
        <v>5165</v>
      </c>
      <c r="N3102" s="48"/>
    </row>
    <row r="3103" spans="1:14" customFormat="1" x14ac:dyDescent="0.45">
      <c r="A3103" s="3" t="s">
        <v>4748</v>
      </c>
      <c r="B3103" s="32">
        <v>38456</v>
      </c>
      <c r="C3103" s="3" t="s">
        <v>21</v>
      </c>
      <c r="D3103" s="3"/>
      <c r="E3103" s="3" t="s">
        <v>5166</v>
      </c>
      <c r="F3103" s="3">
        <v>6</v>
      </c>
      <c r="G3103" s="2"/>
      <c r="H3103" s="2"/>
      <c r="I3103" s="2"/>
      <c r="J3103" s="2"/>
      <c r="K3103" s="2"/>
      <c r="L3103" s="3" t="s">
        <v>4751</v>
      </c>
      <c r="M3103" s="3" t="s">
        <v>5167</v>
      </c>
      <c r="N3103" s="48"/>
    </row>
    <row r="3104" spans="1:14" customFormat="1" x14ac:dyDescent="0.45">
      <c r="A3104" s="3" t="s">
        <v>4748</v>
      </c>
      <c r="B3104" s="32">
        <v>38376</v>
      </c>
      <c r="C3104" s="3" t="s">
        <v>25</v>
      </c>
      <c r="D3104" s="3"/>
      <c r="E3104" s="3" t="s">
        <v>5168</v>
      </c>
      <c r="F3104" s="3">
        <v>11</v>
      </c>
      <c r="G3104" s="2"/>
      <c r="H3104" s="2"/>
      <c r="I3104" s="2"/>
      <c r="J3104" s="2"/>
      <c r="K3104" s="2"/>
      <c r="L3104" s="3" t="s">
        <v>4751</v>
      </c>
      <c r="M3104" s="3" t="s">
        <v>5169</v>
      </c>
      <c r="N3104" s="48"/>
    </row>
    <row r="3105" spans="1:14" customFormat="1" x14ac:dyDescent="0.45">
      <c r="A3105" s="3" t="s">
        <v>4748</v>
      </c>
      <c r="B3105" s="32">
        <v>38351</v>
      </c>
      <c r="C3105" s="3" t="s">
        <v>21</v>
      </c>
      <c r="D3105" s="3"/>
      <c r="E3105" s="3" t="s">
        <v>5170</v>
      </c>
      <c r="F3105" s="3">
        <v>2</v>
      </c>
      <c r="G3105" s="2"/>
      <c r="H3105" s="2"/>
      <c r="I3105" s="2"/>
      <c r="J3105" s="2"/>
      <c r="K3105" s="2"/>
      <c r="L3105" s="3" t="s">
        <v>4751</v>
      </c>
      <c r="M3105" s="3" t="s">
        <v>5171</v>
      </c>
      <c r="N3105" s="48"/>
    </row>
    <row r="3106" spans="1:14" customFormat="1" x14ac:dyDescent="0.45">
      <c r="A3106" s="3" t="s">
        <v>4748</v>
      </c>
      <c r="B3106" s="32">
        <v>38348</v>
      </c>
      <c r="C3106" s="3" t="s">
        <v>25</v>
      </c>
      <c r="D3106" s="3"/>
      <c r="E3106" s="3" t="s">
        <v>5172</v>
      </c>
      <c r="F3106" s="3">
        <v>2</v>
      </c>
      <c r="G3106" s="2"/>
      <c r="H3106" s="2"/>
      <c r="I3106" s="2"/>
      <c r="J3106" s="2"/>
      <c r="K3106" s="2"/>
      <c r="L3106" s="3" t="s">
        <v>4751</v>
      </c>
      <c r="M3106" s="3" t="s">
        <v>5173</v>
      </c>
      <c r="N3106" s="48"/>
    </row>
    <row r="3107" spans="1:14" customFormat="1" x14ac:dyDescent="0.45">
      <c r="A3107" s="3" t="s">
        <v>4748</v>
      </c>
      <c r="B3107" s="32">
        <v>38322</v>
      </c>
      <c r="C3107" s="7" t="s">
        <v>738</v>
      </c>
      <c r="D3107" s="3"/>
      <c r="E3107" s="3" t="s">
        <v>5174</v>
      </c>
      <c r="F3107" s="3">
        <v>3</v>
      </c>
      <c r="G3107" s="2"/>
      <c r="H3107" s="2"/>
      <c r="I3107" s="2"/>
      <c r="J3107" s="2"/>
      <c r="K3107" s="2"/>
      <c r="L3107" s="3" t="s">
        <v>4751</v>
      </c>
      <c r="M3107" s="3" t="s">
        <v>5175</v>
      </c>
      <c r="N3107" s="48"/>
    </row>
    <row r="3108" spans="1:14" customFormat="1" x14ac:dyDescent="0.45">
      <c r="A3108" s="3" t="s">
        <v>4748</v>
      </c>
      <c r="B3108" s="32">
        <v>38260</v>
      </c>
      <c r="C3108" s="3" t="s">
        <v>25</v>
      </c>
      <c r="D3108" s="3"/>
      <c r="E3108" s="3" t="s">
        <v>5176</v>
      </c>
      <c r="F3108" s="3">
        <v>6</v>
      </c>
      <c r="G3108" s="2"/>
      <c r="H3108" s="2"/>
      <c r="I3108" s="2"/>
      <c r="J3108" s="2"/>
      <c r="K3108" s="2"/>
      <c r="L3108" s="3" t="s">
        <v>4751</v>
      </c>
      <c r="M3108" s="3" t="s">
        <v>5177</v>
      </c>
      <c r="N3108" s="48"/>
    </row>
    <row r="3109" spans="1:14" customFormat="1" x14ac:dyDescent="0.45">
      <c r="A3109" s="3" t="s">
        <v>4748</v>
      </c>
      <c r="B3109" s="32">
        <v>38203</v>
      </c>
      <c r="C3109" s="3" t="s">
        <v>25</v>
      </c>
      <c r="D3109" s="3"/>
      <c r="E3109" s="3" t="s">
        <v>5178</v>
      </c>
      <c r="F3109" s="3">
        <v>2</v>
      </c>
      <c r="G3109" s="2"/>
      <c r="H3109" s="2"/>
      <c r="I3109" s="2"/>
      <c r="J3109" s="2"/>
      <c r="K3109" s="2"/>
      <c r="L3109" s="3" t="s">
        <v>4751</v>
      </c>
      <c r="M3109" s="3" t="s">
        <v>5179</v>
      </c>
      <c r="N3109" s="48"/>
    </row>
    <row r="3110" spans="1:14" customFormat="1" x14ac:dyDescent="0.45">
      <c r="A3110" s="3" t="s">
        <v>4748</v>
      </c>
      <c r="B3110" s="32">
        <v>38194</v>
      </c>
      <c r="C3110" s="3" t="s">
        <v>21</v>
      </c>
      <c r="D3110" s="3"/>
      <c r="E3110" s="3" t="s">
        <v>5180</v>
      </c>
      <c r="F3110" s="3">
        <v>9</v>
      </c>
      <c r="G3110" s="2"/>
      <c r="H3110" s="2"/>
      <c r="I3110" s="2"/>
      <c r="J3110" s="2"/>
      <c r="K3110" s="2"/>
      <c r="L3110" s="3" t="s">
        <v>4751</v>
      </c>
      <c r="M3110" s="3" t="s">
        <v>5181</v>
      </c>
      <c r="N3110" s="48"/>
    </row>
    <row r="3111" spans="1:14" customFormat="1" x14ac:dyDescent="0.45">
      <c r="A3111" s="3" t="s">
        <v>4748</v>
      </c>
      <c r="B3111" s="32">
        <v>38182</v>
      </c>
      <c r="C3111" s="3" t="s">
        <v>21</v>
      </c>
      <c r="D3111" s="3"/>
      <c r="E3111" s="3" t="s">
        <v>5182</v>
      </c>
      <c r="F3111" s="3">
        <v>4</v>
      </c>
      <c r="G3111" s="2"/>
      <c r="H3111" s="2"/>
      <c r="I3111" s="2"/>
      <c r="J3111" s="2"/>
      <c r="K3111" s="2"/>
      <c r="L3111" s="3" t="s">
        <v>4751</v>
      </c>
      <c r="M3111" s="3" t="s">
        <v>5183</v>
      </c>
      <c r="N3111" s="48"/>
    </row>
    <row r="3112" spans="1:14" customFormat="1" x14ac:dyDescent="0.45">
      <c r="A3112" s="3" t="s">
        <v>4748</v>
      </c>
      <c r="B3112" s="32">
        <v>38121</v>
      </c>
      <c r="C3112" s="3" t="s">
        <v>21</v>
      </c>
      <c r="D3112" s="3"/>
      <c r="E3112" s="3" t="s">
        <v>5184</v>
      </c>
      <c r="F3112" s="3">
        <v>3</v>
      </c>
      <c r="G3112" s="2"/>
      <c r="H3112" s="2"/>
      <c r="I3112" s="2"/>
      <c r="J3112" s="2"/>
      <c r="K3112" s="2"/>
      <c r="L3112" s="3" t="s">
        <v>4751</v>
      </c>
      <c r="M3112" s="3" t="s">
        <v>5185</v>
      </c>
      <c r="N3112" s="48"/>
    </row>
    <row r="3113" spans="1:14" customFormat="1" x14ac:dyDescent="0.45">
      <c r="A3113" s="3" t="s">
        <v>4748</v>
      </c>
      <c r="B3113" s="32">
        <v>38014</v>
      </c>
      <c r="C3113" s="3" t="s">
        <v>21</v>
      </c>
      <c r="D3113" s="3"/>
      <c r="E3113" s="3" t="s">
        <v>5186</v>
      </c>
      <c r="F3113" s="3">
        <v>3</v>
      </c>
      <c r="G3113" s="2"/>
      <c r="H3113" s="2"/>
      <c r="I3113" s="2"/>
      <c r="J3113" s="2"/>
      <c r="K3113" s="2"/>
      <c r="L3113" s="3" t="s">
        <v>4751</v>
      </c>
      <c r="M3113" s="3" t="s">
        <v>5187</v>
      </c>
      <c r="N3113" s="48"/>
    </row>
    <row r="3114" spans="1:14" customFormat="1" x14ac:dyDescent="0.45">
      <c r="A3114" s="3" t="s">
        <v>4748</v>
      </c>
      <c r="B3114" s="32">
        <v>37945</v>
      </c>
      <c r="C3114" s="3" t="s">
        <v>25</v>
      </c>
      <c r="D3114" s="3"/>
      <c r="E3114" s="3" t="s">
        <v>5188</v>
      </c>
      <c r="F3114" s="3">
        <v>3</v>
      </c>
      <c r="G3114" s="2"/>
      <c r="H3114" s="2"/>
      <c r="I3114" s="2"/>
      <c r="J3114" s="2"/>
      <c r="K3114" s="2"/>
      <c r="L3114" s="3" t="s">
        <v>4751</v>
      </c>
      <c r="M3114" s="3" t="s">
        <v>5189</v>
      </c>
      <c r="N3114" s="48"/>
    </row>
    <row r="3115" spans="1:14" customFormat="1" x14ac:dyDescent="0.45">
      <c r="A3115" s="3" t="s">
        <v>4748</v>
      </c>
      <c r="B3115" s="32">
        <v>37895</v>
      </c>
      <c r="C3115" s="3" t="s">
        <v>25</v>
      </c>
      <c r="D3115" s="3"/>
      <c r="E3115" s="3" t="s">
        <v>5190</v>
      </c>
      <c r="F3115" s="3">
        <v>4</v>
      </c>
      <c r="G3115" s="2"/>
      <c r="H3115" s="2"/>
      <c r="I3115" s="2"/>
      <c r="J3115" s="2"/>
      <c r="K3115" s="2"/>
      <c r="L3115" s="3" t="s">
        <v>4751</v>
      </c>
      <c r="M3115" s="3" t="s">
        <v>5191</v>
      </c>
      <c r="N3115" s="48"/>
    </row>
    <row r="3116" spans="1:14" customFormat="1" x14ac:dyDescent="0.45">
      <c r="A3116" s="3" t="s">
        <v>4748</v>
      </c>
      <c r="B3116" s="32">
        <v>37894</v>
      </c>
      <c r="C3116" s="7" t="s">
        <v>575</v>
      </c>
      <c r="D3116" s="3"/>
      <c r="E3116" s="3" t="s">
        <v>5192</v>
      </c>
      <c r="F3116" s="3">
        <v>1</v>
      </c>
      <c r="G3116" s="2"/>
      <c r="H3116" s="2"/>
      <c r="I3116" s="2"/>
      <c r="J3116" s="2"/>
      <c r="K3116" s="2"/>
      <c r="L3116" s="3" t="s">
        <v>4735</v>
      </c>
      <c r="M3116" s="24" t="s">
        <v>5193</v>
      </c>
      <c r="N3116" s="48"/>
    </row>
    <row r="3117" spans="1:14" customFormat="1" x14ac:dyDescent="0.45">
      <c r="A3117" s="3" t="s">
        <v>4748</v>
      </c>
      <c r="B3117" s="32">
        <v>37881</v>
      </c>
      <c r="C3117" s="3" t="s">
        <v>25</v>
      </c>
      <c r="D3117" s="3"/>
      <c r="E3117" s="3" t="s">
        <v>5194</v>
      </c>
      <c r="F3117" s="3">
        <v>2</v>
      </c>
      <c r="G3117" s="2"/>
      <c r="H3117" s="2"/>
      <c r="I3117" s="2"/>
      <c r="J3117" s="2"/>
      <c r="K3117" s="2"/>
      <c r="L3117" s="3" t="s">
        <v>4751</v>
      </c>
      <c r="M3117" s="3" t="s">
        <v>5195</v>
      </c>
      <c r="N3117" s="48"/>
    </row>
    <row r="3118" spans="1:14" customFormat="1" x14ac:dyDescent="0.45">
      <c r="A3118" s="3" t="s">
        <v>4748</v>
      </c>
      <c r="B3118" s="32">
        <v>37809</v>
      </c>
      <c r="C3118" s="3" t="s">
        <v>21</v>
      </c>
      <c r="D3118" s="3"/>
      <c r="E3118" s="3" t="s">
        <v>5196</v>
      </c>
      <c r="F3118" s="3">
        <v>17</v>
      </c>
      <c r="G3118" s="2"/>
      <c r="H3118" s="2"/>
      <c r="I3118" s="2"/>
      <c r="J3118" s="2"/>
      <c r="K3118" s="2"/>
      <c r="L3118" s="3" t="s">
        <v>4751</v>
      </c>
      <c r="M3118" s="3" t="s">
        <v>5197</v>
      </c>
      <c r="N3118" s="48"/>
    </row>
    <row r="3119" spans="1:14" customFormat="1" x14ac:dyDescent="0.45">
      <c r="A3119" s="3" t="s">
        <v>4748</v>
      </c>
      <c r="B3119" s="32">
        <v>37768</v>
      </c>
      <c r="C3119" s="3" t="s">
        <v>25</v>
      </c>
      <c r="D3119" s="3"/>
      <c r="E3119" s="3" t="s">
        <v>5198</v>
      </c>
      <c r="F3119" s="3">
        <v>2</v>
      </c>
      <c r="G3119" s="2"/>
      <c r="H3119" s="2"/>
      <c r="I3119" s="2"/>
      <c r="J3119" s="2"/>
      <c r="K3119" s="2"/>
      <c r="L3119" s="3" t="s">
        <v>4751</v>
      </c>
      <c r="M3119" s="3" t="s">
        <v>5199</v>
      </c>
      <c r="N3119" s="48"/>
    </row>
    <row r="3120" spans="1:14" customFormat="1" x14ac:dyDescent="0.45">
      <c r="A3120" s="3" t="s">
        <v>4748</v>
      </c>
      <c r="B3120" s="32">
        <v>37725</v>
      </c>
      <c r="C3120" s="3" t="s">
        <v>21</v>
      </c>
      <c r="D3120" s="3"/>
      <c r="E3120" s="3" t="s">
        <v>5200</v>
      </c>
      <c r="F3120" s="3">
        <v>14</v>
      </c>
      <c r="G3120" s="2"/>
      <c r="H3120" s="2"/>
      <c r="I3120" s="2"/>
      <c r="J3120" s="2"/>
      <c r="K3120" s="2"/>
      <c r="L3120" s="3" t="s">
        <v>4751</v>
      </c>
      <c r="M3120" s="3" t="s">
        <v>5201</v>
      </c>
      <c r="N3120" s="48"/>
    </row>
    <row r="3121" spans="1:14" customFormat="1" x14ac:dyDescent="0.45">
      <c r="A3121" s="3" t="s">
        <v>4748</v>
      </c>
      <c r="B3121" s="32">
        <v>37649</v>
      </c>
      <c r="C3121" s="3" t="s">
        <v>21</v>
      </c>
      <c r="D3121" s="3"/>
      <c r="E3121" s="3" t="s">
        <v>5202</v>
      </c>
      <c r="F3121" s="3">
        <v>4</v>
      </c>
      <c r="G3121" s="2"/>
      <c r="H3121" s="2"/>
      <c r="I3121" s="2"/>
      <c r="J3121" s="2"/>
      <c r="K3121" s="2"/>
      <c r="L3121" s="3" t="s">
        <v>4751</v>
      </c>
      <c r="M3121" s="3" t="s">
        <v>5203</v>
      </c>
      <c r="N3121" s="48"/>
    </row>
    <row r="3122" spans="1:14" customFormat="1" x14ac:dyDescent="0.45">
      <c r="A3122" s="3" t="s">
        <v>4748</v>
      </c>
      <c r="B3122" s="32">
        <v>37546</v>
      </c>
      <c r="C3122" s="3" t="s">
        <v>25</v>
      </c>
      <c r="D3122" s="3"/>
      <c r="E3122" s="3" t="s">
        <v>5204</v>
      </c>
      <c r="F3122" s="3">
        <v>4</v>
      </c>
      <c r="G3122" s="2"/>
      <c r="H3122" s="2"/>
      <c r="I3122" s="2"/>
      <c r="J3122" s="2"/>
      <c r="K3122" s="2"/>
      <c r="L3122" s="3" t="s">
        <v>4751</v>
      </c>
      <c r="M3122" s="3" t="s">
        <v>5205</v>
      </c>
      <c r="N3122" s="48"/>
    </row>
    <row r="3123" spans="1:14" customFormat="1" x14ac:dyDescent="0.45">
      <c r="A3123" s="3" t="s">
        <v>4748</v>
      </c>
      <c r="B3123" s="32">
        <v>37399</v>
      </c>
      <c r="C3123" s="3" t="s">
        <v>21</v>
      </c>
      <c r="D3123" s="3"/>
      <c r="E3123" s="3" t="s">
        <v>5206</v>
      </c>
      <c r="F3123" s="3">
        <v>6</v>
      </c>
      <c r="G3123" s="2"/>
      <c r="H3123" s="2"/>
      <c r="I3123" s="2"/>
      <c r="J3123" s="2"/>
      <c r="K3123" s="2"/>
      <c r="L3123" s="3" t="s">
        <v>4751</v>
      </c>
      <c r="M3123" s="3" t="s">
        <v>5207</v>
      </c>
      <c r="N3123" s="48"/>
    </row>
    <row r="3124" spans="1:14" customFormat="1" x14ac:dyDescent="0.45">
      <c r="A3124" s="3" t="s">
        <v>4748</v>
      </c>
      <c r="B3124" s="32">
        <v>37301</v>
      </c>
      <c r="C3124" s="3" t="s">
        <v>25</v>
      </c>
      <c r="D3124" s="3"/>
      <c r="E3124" s="3" t="s">
        <v>5208</v>
      </c>
      <c r="F3124" s="3">
        <v>4</v>
      </c>
      <c r="G3124" s="2"/>
      <c r="H3124" s="2"/>
      <c r="I3124" s="2"/>
      <c r="J3124" s="2"/>
      <c r="K3124" s="2"/>
      <c r="L3124" s="3" t="s">
        <v>4751</v>
      </c>
      <c r="M3124" s="3" t="s">
        <v>5209</v>
      </c>
      <c r="N3124" s="48"/>
    </row>
    <row r="3125" spans="1:14" customFormat="1" x14ac:dyDescent="0.45">
      <c r="A3125" s="3" t="s">
        <v>4748</v>
      </c>
      <c r="B3125" s="32">
        <v>37294</v>
      </c>
      <c r="C3125" s="3" t="s">
        <v>21</v>
      </c>
      <c r="D3125" s="3"/>
      <c r="E3125" s="3" t="s">
        <v>5210</v>
      </c>
      <c r="F3125" s="3">
        <v>4</v>
      </c>
      <c r="G3125" s="2"/>
      <c r="H3125" s="2"/>
      <c r="I3125" s="2"/>
      <c r="J3125" s="2"/>
      <c r="K3125" s="2"/>
      <c r="L3125" s="3" t="s">
        <v>4751</v>
      </c>
      <c r="M3125" s="3" t="s">
        <v>5211</v>
      </c>
      <c r="N3125" s="48"/>
    </row>
    <row r="3126" spans="1:14" customFormat="1" x14ac:dyDescent="0.45">
      <c r="A3126" s="3" t="s">
        <v>4748</v>
      </c>
      <c r="B3126" s="32">
        <v>37188</v>
      </c>
      <c r="C3126" s="3" t="s">
        <v>21</v>
      </c>
      <c r="D3126" s="3"/>
      <c r="E3126" s="3" t="s">
        <v>5212</v>
      </c>
      <c r="F3126" s="3">
        <v>11</v>
      </c>
      <c r="G3126" s="2"/>
      <c r="H3126" s="2"/>
      <c r="I3126" s="2"/>
      <c r="J3126" s="2"/>
      <c r="K3126" s="2"/>
      <c r="L3126" s="3" t="s">
        <v>4751</v>
      </c>
      <c r="M3126" s="3" t="s">
        <v>5213</v>
      </c>
      <c r="N3126" s="48"/>
    </row>
    <row r="3127" spans="1:14" customFormat="1" x14ac:dyDescent="0.45">
      <c r="A3127" s="3" t="s">
        <v>4748</v>
      </c>
      <c r="B3127" s="32">
        <v>37148</v>
      </c>
      <c r="C3127" s="3" t="s">
        <v>21</v>
      </c>
      <c r="D3127" s="3"/>
      <c r="E3127" s="3" t="s">
        <v>5214</v>
      </c>
      <c r="F3127" s="3">
        <v>5</v>
      </c>
      <c r="G3127" s="2"/>
      <c r="H3127" s="2"/>
      <c r="I3127" s="2"/>
      <c r="J3127" s="2"/>
      <c r="K3127" s="2"/>
      <c r="L3127" s="3" t="s">
        <v>4751</v>
      </c>
      <c r="M3127" s="3" t="s">
        <v>5215</v>
      </c>
      <c r="N3127" s="48"/>
    </row>
    <row r="3128" spans="1:14" customFormat="1" x14ac:dyDescent="0.45">
      <c r="A3128" s="3" t="s">
        <v>4748</v>
      </c>
      <c r="B3128" s="32">
        <v>37126</v>
      </c>
      <c r="C3128" s="3" t="s">
        <v>21</v>
      </c>
      <c r="D3128" s="3"/>
      <c r="E3128" s="3" t="s">
        <v>5216</v>
      </c>
      <c r="F3128" s="3">
        <v>3</v>
      </c>
      <c r="G3128" s="2"/>
      <c r="H3128" s="2"/>
      <c r="I3128" s="2"/>
      <c r="J3128" s="2"/>
      <c r="K3128" s="2"/>
      <c r="L3128" s="3" t="s">
        <v>4751</v>
      </c>
      <c r="M3128" s="3" t="s">
        <v>5217</v>
      </c>
      <c r="N3128" s="48"/>
    </row>
    <row r="3129" spans="1:14" customFormat="1" x14ac:dyDescent="0.45">
      <c r="A3129" s="3" t="s">
        <v>4748</v>
      </c>
      <c r="B3129" s="32">
        <v>36957</v>
      </c>
      <c r="C3129" s="3" t="s">
        <v>21</v>
      </c>
      <c r="D3129" s="3"/>
      <c r="E3129" s="3" t="s">
        <v>5218</v>
      </c>
      <c r="F3129" s="3">
        <v>1</v>
      </c>
      <c r="G3129" s="2"/>
      <c r="H3129" s="2"/>
      <c r="I3129" s="2"/>
      <c r="J3129" s="2"/>
      <c r="K3129" s="2"/>
      <c r="L3129" s="3" t="s">
        <v>4751</v>
      </c>
      <c r="M3129" s="3" t="s">
        <v>5219</v>
      </c>
      <c r="N3129" s="48"/>
    </row>
    <row r="3130" spans="1:14" customFormat="1" x14ac:dyDescent="0.45">
      <c r="A3130" s="3" t="s">
        <v>4748</v>
      </c>
      <c r="B3130" s="32">
        <v>36908</v>
      </c>
      <c r="C3130" s="3" t="s">
        <v>21</v>
      </c>
      <c r="D3130" s="3"/>
      <c r="E3130" s="3" t="s">
        <v>5220</v>
      </c>
      <c r="F3130" s="3">
        <v>6</v>
      </c>
      <c r="G3130" s="2"/>
      <c r="H3130" s="2"/>
      <c r="I3130" s="2"/>
      <c r="J3130" s="2"/>
      <c r="K3130" s="2"/>
      <c r="L3130" s="3" t="s">
        <v>4751</v>
      </c>
      <c r="M3130" s="3" t="s">
        <v>5221</v>
      </c>
      <c r="N3130" s="48"/>
    </row>
    <row r="3131" spans="1:14" customFormat="1" x14ac:dyDescent="0.45">
      <c r="A3131" s="3" t="s">
        <v>4748</v>
      </c>
      <c r="B3131" s="32">
        <v>36893</v>
      </c>
      <c r="C3131" s="3" t="s">
        <v>21</v>
      </c>
      <c r="D3131" s="3"/>
      <c r="E3131" s="3" t="s">
        <v>5222</v>
      </c>
      <c r="F3131" s="3">
        <v>3</v>
      </c>
      <c r="G3131" s="2"/>
      <c r="H3131" s="2"/>
      <c r="I3131" s="2"/>
      <c r="J3131" s="2"/>
      <c r="K3131" s="2"/>
      <c r="L3131" s="3" t="s">
        <v>4751</v>
      </c>
      <c r="M3131" s="3" t="s">
        <v>5223</v>
      </c>
      <c r="N3131" s="48"/>
    </row>
    <row r="3132" spans="1:14" customFormat="1" x14ac:dyDescent="0.45">
      <c r="A3132" s="3" t="s">
        <v>4748</v>
      </c>
      <c r="B3132" s="32">
        <v>36866</v>
      </c>
      <c r="C3132" s="3" t="s">
        <v>25</v>
      </c>
      <c r="D3132" s="3"/>
      <c r="E3132" s="3" t="s">
        <v>5224</v>
      </c>
      <c r="F3132" s="3">
        <v>3</v>
      </c>
      <c r="G3132" s="2"/>
      <c r="H3132" s="2"/>
      <c r="I3132" s="2"/>
      <c r="J3132" s="2"/>
      <c r="K3132" s="2"/>
      <c r="L3132" s="3" t="s">
        <v>4751</v>
      </c>
      <c r="M3132" s="3" t="s">
        <v>5225</v>
      </c>
      <c r="N3132" s="48"/>
    </row>
    <row r="3133" spans="1:14" customFormat="1" x14ac:dyDescent="0.45">
      <c r="A3133" s="3" t="s">
        <v>4748</v>
      </c>
      <c r="B3133" s="32">
        <v>36857</v>
      </c>
      <c r="C3133" s="7" t="s">
        <v>738</v>
      </c>
      <c r="D3133" s="3"/>
      <c r="E3133" s="3" t="s">
        <v>5226</v>
      </c>
      <c r="F3133" s="3">
        <v>5</v>
      </c>
      <c r="G3133" s="2"/>
      <c r="H3133" s="2"/>
      <c r="I3133" s="2"/>
      <c r="J3133" s="2"/>
      <c r="K3133" s="2"/>
      <c r="L3133" s="3" t="s">
        <v>4751</v>
      </c>
      <c r="M3133" s="3" t="s">
        <v>5227</v>
      </c>
      <c r="N3133" s="48"/>
    </row>
    <row r="3134" spans="1:14" customFormat="1" x14ac:dyDescent="0.45">
      <c r="A3134" s="3" t="s">
        <v>4748</v>
      </c>
      <c r="B3134" s="32">
        <v>36809</v>
      </c>
      <c r="C3134" s="3" t="s">
        <v>21</v>
      </c>
      <c r="D3134" s="3"/>
      <c r="E3134" s="3" t="s">
        <v>5228</v>
      </c>
      <c r="F3134" s="3">
        <v>11</v>
      </c>
      <c r="G3134" s="2"/>
      <c r="H3134" s="2"/>
      <c r="I3134" s="2"/>
      <c r="J3134" s="2"/>
      <c r="K3134" s="2"/>
      <c r="L3134" s="3" t="s">
        <v>4751</v>
      </c>
      <c r="M3134" s="3" t="s">
        <v>5229</v>
      </c>
      <c r="N3134" s="48"/>
    </row>
    <row r="3135" spans="1:14" customFormat="1" x14ac:dyDescent="0.45">
      <c r="A3135" s="3" t="s">
        <v>4748</v>
      </c>
      <c r="B3135" s="32">
        <v>36789</v>
      </c>
      <c r="C3135" s="3" t="s">
        <v>21</v>
      </c>
      <c r="D3135" s="3"/>
      <c r="E3135" s="3" t="s">
        <v>5230</v>
      </c>
      <c r="F3135" s="3">
        <v>3</v>
      </c>
      <c r="G3135" s="2"/>
      <c r="H3135" s="2"/>
      <c r="I3135" s="2"/>
      <c r="J3135" s="2"/>
      <c r="K3135" s="2"/>
      <c r="L3135" s="3" t="s">
        <v>4751</v>
      </c>
      <c r="M3135" s="3" t="s">
        <v>5231</v>
      </c>
      <c r="N3135" s="48"/>
    </row>
    <row r="3136" spans="1:14" customFormat="1" x14ac:dyDescent="0.45">
      <c r="A3136" s="3" t="s">
        <v>4748</v>
      </c>
      <c r="B3136" s="32">
        <v>36770</v>
      </c>
      <c r="C3136" s="3" t="s">
        <v>21</v>
      </c>
      <c r="D3136" s="3"/>
      <c r="E3136" s="3" t="s">
        <v>5232</v>
      </c>
      <c r="F3136" s="3">
        <v>8</v>
      </c>
      <c r="G3136" s="2"/>
      <c r="H3136" s="2"/>
      <c r="I3136" s="2"/>
      <c r="J3136" s="2"/>
      <c r="K3136" s="2"/>
      <c r="L3136" s="3" t="s">
        <v>4751</v>
      </c>
      <c r="M3136" s="3" t="s">
        <v>5233</v>
      </c>
      <c r="N3136" s="48"/>
    </row>
    <row r="3137" spans="1:14" customFormat="1" x14ac:dyDescent="0.45">
      <c r="A3137" s="3" t="s">
        <v>4748</v>
      </c>
      <c r="B3137" s="32">
        <v>36768</v>
      </c>
      <c r="C3137" s="3" t="s">
        <v>25</v>
      </c>
      <c r="D3137" s="3"/>
      <c r="E3137" s="3" t="s">
        <v>5234</v>
      </c>
      <c r="F3137" s="3">
        <v>3</v>
      </c>
      <c r="G3137" s="2"/>
      <c r="H3137" s="2"/>
      <c r="I3137" s="2"/>
      <c r="J3137" s="2"/>
      <c r="K3137" s="2"/>
      <c r="L3137" s="3" t="s">
        <v>4751</v>
      </c>
      <c r="M3137" s="3" t="s">
        <v>5235</v>
      </c>
      <c r="N3137" s="48"/>
    </row>
    <row r="3138" spans="1:14" customFormat="1" x14ac:dyDescent="0.45">
      <c r="A3138" s="3" t="s">
        <v>4748</v>
      </c>
      <c r="B3138" s="32">
        <v>36760</v>
      </c>
      <c r="C3138" s="3" t="s">
        <v>25</v>
      </c>
      <c r="D3138" s="3"/>
      <c r="E3138" s="3" t="s">
        <v>5236</v>
      </c>
      <c r="F3138" s="3">
        <v>4</v>
      </c>
      <c r="G3138" s="2"/>
      <c r="H3138" s="2"/>
      <c r="I3138" s="2"/>
      <c r="J3138" s="2"/>
      <c r="K3138" s="2"/>
      <c r="L3138" s="3" t="s">
        <v>4751</v>
      </c>
      <c r="M3138" s="3" t="s">
        <v>5237</v>
      </c>
      <c r="N3138" s="48"/>
    </row>
    <row r="3139" spans="1:14" customFormat="1" x14ac:dyDescent="0.45">
      <c r="A3139" s="3" t="s">
        <v>4748</v>
      </c>
      <c r="B3139" s="32">
        <v>36731</v>
      </c>
      <c r="C3139" s="3" t="s">
        <v>25</v>
      </c>
      <c r="D3139" s="3"/>
      <c r="E3139" s="3" t="s">
        <v>5238</v>
      </c>
      <c r="F3139" s="3">
        <v>6</v>
      </c>
      <c r="G3139" s="2"/>
      <c r="H3139" s="2"/>
      <c r="I3139" s="2"/>
      <c r="J3139" s="2"/>
      <c r="K3139" s="2"/>
      <c r="L3139" s="3" t="s">
        <v>4751</v>
      </c>
      <c r="M3139" s="3" t="s">
        <v>5239</v>
      </c>
      <c r="N3139" s="48"/>
    </row>
    <row r="3140" spans="1:14" customFormat="1" x14ac:dyDescent="0.45">
      <c r="A3140" s="3" t="s">
        <v>4748</v>
      </c>
      <c r="B3140" s="32">
        <v>36690</v>
      </c>
      <c r="C3140" s="7" t="s">
        <v>738</v>
      </c>
      <c r="D3140" s="3"/>
      <c r="E3140" s="3" t="s">
        <v>5240</v>
      </c>
      <c r="F3140" s="3">
        <v>2</v>
      </c>
      <c r="G3140" s="2"/>
      <c r="H3140" s="2"/>
      <c r="I3140" s="2"/>
      <c r="J3140" s="2"/>
      <c r="K3140" s="2"/>
      <c r="L3140" s="3" t="s">
        <v>4751</v>
      </c>
      <c r="M3140" s="3" t="s">
        <v>5241</v>
      </c>
      <c r="N3140" s="48"/>
    </row>
    <row r="3141" spans="1:14" customFormat="1" x14ac:dyDescent="0.45">
      <c r="A3141" s="3" t="s">
        <v>4748</v>
      </c>
      <c r="B3141" s="32">
        <v>36678</v>
      </c>
      <c r="C3141" s="3" t="s">
        <v>25</v>
      </c>
      <c r="D3141" s="3"/>
      <c r="E3141" s="3" t="s">
        <v>5242</v>
      </c>
      <c r="F3141" s="3">
        <v>18</v>
      </c>
      <c r="G3141" s="2"/>
      <c r="H3141" s="2"/>
      <c r="I3141" s="2"/>
      <c r="J3141" s="2"/>
      <c r="K3141" s="2"/>
      <c r="L3141" s="3" t="s">
        <v>4751</v>
      </c>
      <c r="M3141" s="3" t="s">
        <v>5243</v>
      </c>
      <c r="N3141" s="48"/>
    </row>
    <row r="3142" spans="1:14" customFormat="1" x14ac:dyDescent="0.45">
      <c r="A3142" s="3" t="s">
        <v>4748</v>
      </c>
      <c r="B3142" s="32">
        <v>36672</v>
      </c>
      <c r="C3142" s="7" t="s">
        <v>738</v>
      </c>
      <c r="D3142" s="3"/>
      <c r="E3142" s="3" t="s">
        <v>5244</v>
      </c>
      <c r="F3142" s="3">
        <v>20</v>
      </c>
      <c r="G3142" s="2"/>
      <c r="H3142" s="2"/>
      <c r="I3142" s="2"/>
      <c r="J3142" s="2"/>
      <c r="K3142" s="2"/>
      <c r="L3142" s="3" t="s">
        <v>4751</v>
      </c>
      <c r="M3142" s="3" t="s">
        <v>5245</v>
      </c>
      <c r="N3142" s="48"/>
    </row>
    <row r="3143" spans="1:14" customFormat="1" x14ac:dyDescent="0.45">
      <c r="A3143" s="3" t="s">
        <v>4748</v>
      </c>
      <c r="B3143" s="32">
        <v>36654</v>
      </c>
      <c r="C3143" s="3" t="s">
        <v>25</v>
      </c>
      <c r="D3143" s="3"/>
      <c r="E3143" s="3" t="s">
        <v>5246</v>
      </c>
      <c r="F3143" s="3">
        <v>11</v>
      </c>
      <c r="G3143" s="2"/>
      <c r="H3143" s="2"/>
      <c r="I3143" s="2"/>
      <c r="J3143" s="2"/>
      <c r="K3143" s="2"/>
      <c r="L3143" s="3" t="s">
        <v>4751</v>
      </c>
      <c r="M3143" s="3" t="s">
        <v>5247</v>
      </c>
      <c r="N3143" s="48"/>
    </row>
    <row r="3144" spans="1:14" customFormat="1" x14ac:dyDescent="0.45">
      <c r="A3144" s="3" t="s">
        <v>4748</v>
      </c>
      <c r="B3144" s="32">
        <v>36566</v>
      </c>
      <c r="C3144" s="7" t="s">
        <v>738</v>
      </c>
      <c r="D3144" s="3"/>
      <c r="E3144" s="3" t="s">
        <v>5248</v>
      </c>
      <c r="F3144" s="3">
        <v>2</v>
      </c>
      <c r="G3144" s="2"/>
      <c r="H3144" s="2"/>
      <c r="I3144" s="2"/>
      <c r="J3144" s="2"/>
      <c r="K3144" s="2"/>
      <c r="L3144" s="3" t="s">
        <v>4751</v>
      </c>
      <c r="M3144" s="3" t="s">
        <v>5249</v>
      </c>
      <c r="N3144" s="48"/>
    </row>
    <row r="3145" spans="1:14" customFormat="1" x14ac:dyDescent="0.45">
      <c r="A3145" s="3" t="s">
        <v>4748</v>
      </c>
      <c r="B3145" s="32">
        <v>36500</v>
      </c>
      <c r="C3145" s="3" t="s">
        <v>21</v>
      </c>
      <c r="D3145" s="3"/>
      <c r="E3145" s="3" t="s">
        <v>5250</v>
      </c>
      <c r="F3145" s="3">
        <v>5</v>
      </c>
      <c r="G3145" s="2"/>
      <c r="H3145" s="2"/>
      <c r="I3145" s="2"/>
      <c r="J3145" s="2"/>
      <c r="K3145" s="2"/>
      <c r="L3145" s="3" t="s">
        <v>4751</v>
      </c>
      <c r="M3145" s="3" t="s">
        <v>5251</v>
      </c>
      <c r="N3145" s="48"/>
    </row>
    <row r="3146" spans="1:14" customFormat="1" x14ac:dyDescent="0.45">
      <c r="A3146" s="3" t="s">
        <v>4748</v>
      </c>
      <c r="B3146" s="32">
        <v>36469</v>
      </c>
      <c r="C3146" s="7" t="s">
        <v>738</v>
      </c>
      <c r="D3146" s="3"/>
      <c r="E3146" s="3" t="s">
        <v>5252</v>
      </c>
      <c r="F3146" s="3">
        <v>15</v>
      </c>
      <c r="G3146" s="2"/>
      <c r="H3146" s="2"/>
      <c r="I3146" s="2"/>
      <c r="J3146" s="2"/>
      <c r="K3146" s="2"/>
      <c r="L3146" s="3" t="s">
        <v>4751</v>
      </c>
      <c r="M3146" s="3" t="s">
        <v>5253</v>
      </c>
      <c r="N3146" s="48"/>
    </row>
    <row r="3147" spans="1:14" customFormat="1" x14ac:dyDescent="0.45">
      <c r="A3147" s="3" t="s">
        <v>4748</v>
      </c>
      <c r="B3147" s="32">
        <v>36460</v>
      </c>
      <c r="C3147" s="3" t="s">
        <v>21</v>
      </c>
      <c r="D3147" s="3"/>
      <c r="E3147" s="3" t="s">
        <v>5254</v>
      </c>
      <c r="F3147" s="3">
        <v>4</v>
      </c>
      <c r="G3147" s="2"/>
      <c r="H3147" s="2"/>
      <c r="I3147" s="2"/>
      <c r="J3147" s="2"/>
      <c r="K3147" s="2"/>
      <c r="L3147" s="3" t="s">
        <v>4751</v>
      </c>
      <c r="M3147" s="3" t="s">
        <v>5255</v>
      </c>
      <c r="N3147" s="48"/>
    </row>
    <row r="3148" spans="1:14" customFormat="1" x14ac:dyDescent="0.45">
      <c r="A3148" s="3" t="s">
        <v>4748</v>
      </c>
      <c r="B3148" s="32">
        <v>36418</v>
      </c>
      <c r="C3148" s="3" t="s">
        <v>25</v>
      </c>
      <c r="D3148" s="3"/>
      <c r="E3148" s="3" t="s">
        <v>5256</v>
      </c>
      <c r="F3148" s="3">
        <v>2</v>
      </c>
      <c r="G3148" s="2"/>
      <c r="H3148" s="2"/>
      <c r="I3148" s="2"/>
      <c r="J3148" s="2"/>
      <c r="K3148" s="2"/>
      <c r="L3148" s="3" t="s">
        <v>4751</v>
      </c>
      <c r="M3148" s="3" t="s">
        <v>5257</v>
      </c>
      <c r="N3148" s="48"/>
    </row>
    <row r="3149" spans="1:14" customFormat="1" x14ac:dyDescent="0.45">
      <c r="A3149" s="3" t="s">
        <v>4748</v>
      </c>
      <c r="B3149" s="32">
        <v>36405</v>
      </c>
      <c r="C3149" s="3" t="s">
        <v>25</v>
      </c>
      <c r="D3149" s="3"/>
      <c r="E3149" s="3" t="s">
        <v>5258</v>
      </c>
      <c r="F3149" s="3">
        <v>6</v>
      </c>
      <c r="G3149" s="2"/>
      <c r="H3149" s="2"/>
      <c r="I3149" s="2"/>
      <c r="J3149" s="2"/>
      <c r="K3149" s="2"/>
      <c r="L3149" s="3" t="s">
        <v>4751</v>
      </c>
      <c r="M3149" s="3" t="s">
        <v>5259</v>
      </c>
      <c r="N3149" s="48"/>
    </row>
    <row r="3150" spans="1:14" customFormat="1" x14ac:dyDescent="0.45">
      <c r="A3150" s="3" t="s">
        <v>4748</v>
      </c>
      <c r="B3150" s="32">
        <v>36389</v>
      </c>
      <c r="C3150" s="3" t="s">
        <v>25</v>
      </c>
      <c r="D3150" s="3"/>
      <c r="E3150" s="3" t="s">
        <v>5260</v>
      </c>
      <c r="F3150" s="3">
        <v>2</v>
      </c>
      <c r="G3150" s="2"/>
      <c r="H3150" s="2"/>
      <c r="I3150" s="2"/>
      <c r="J3150" s="2"/>
      <c r="K3150" s="2"/>
      <c r="L3150" s="3" t="s">
        <v>4751</v>
      </c>
      <c r="M3150" s="3" t="s">
        <v>5261</v>
      </c>
      <c r="N3150" s="48"/>
    </row>
    <row r="3151" spans="1:14" customFormat="1" x14ac:dyDescent="0.45">
      <c r="A3151" s="3" t="s">
        <v>4748</v>
      </c>
      <c r="B3151" s="32">
        <v>36374</v>
      </c>
      <c r="C3151" s="3" t="s">
        <v>25</v>
      </c>
      <c r="D3151" s="3"/>
      <c r="E3151" s="3" t="s">
        <v>5262</v>
      </c>
      <c r="F3151" s="3">
        <v>4</v>
      </c>
      <c r="G3151" s="2"/>
      <c r="H3151" s="2"/>
      <c r="I3151" s="2"/>
      <c r="J3151" s="2"/>
      <c r="K3151" s="2"/>
      <c r="L3151" s="3" t="s">
        <v>4751</v>
      </c>
      <c r="M3151" s="3" t="s">
        <v>5263</v>
      </c>
      <c r="N3151" s="48"/>
    </row>
    <row r="3152" spans="1:14" customFormat="1" x14ac:dyDescent="0.45">
      <c r="A3152" s="3" t="s">
        <v>4748</v>
      </c>
      <c r="B3152" s="32">
        <v>36329</v>
      </c>
      <c r="C3152" s="7" t="s">
        <v>738</v>
      </c>
      <c r="D3152" s="3"/>
      <c r="E3152" s="3" t="s">
        <v>5264</v>
      </c>
      <c r="F3152" s="3">
        <v>5</v>
      </c>
      <c r="G3152" s="2"/>
      <c r="H3152" s="2"/>
      <c r="I3152" s="2"/>
      <c r="J3152" s="2"/>
      <c r="K3152" s="2"/>
      <c r="L3152" s="3" t="s">
        <v>4751</v>
      </c>
      <c r="M3152" s="3" t="s">
        <v>5265</v>
      </c>
      <c r="N3152" s="48"/>
    </row>
    <row r="3153" spans="1:14" customFormat="1" x14ac:dyDescent="0.45">
      <c r="A3153" s="3" t="s">
        <v>4748</v>
      </c>
      <c r="B3153" s="32">
        <v>36228</v>
      </c>
      <c r="C3153" s="3" t="s">
        <v>21</v>
      </c>
      <c r="D3153" s="3"/>
      <c r="E3153" s="3" t="s">
        <v>5266</v>
      </c>
      <c r="F3153" s="3">
        <v>3</v>
      </c>
      <c r="G3153" s="2"/>
      <c r="H3153" s="2"/>
      <c r="I3153" s="2"/>
      <c r="J3153" s="2"/>
      <c r="K3153" s="2"/>
      <c r="L3153" s="3" t="s">
        <v>4751</v>
      </c>
      <c r="M3153" s="3" t="s">
        <v>5267</v>
      </c>
      <c r="N3153" s="48"/>
    </row>
    <row r="3154" spans="1:14" customFormat="1" x14ac:dyDescent="0.45">
      <c r="A3154" s="3" t="s">
        <v>4748</v>
      </c>
      <c r="B3154" s="32">
        <v>36222</v>
      </c>
      <c r="C3154" s="3" t="s">
        <v>21</v>
      </c>
      <c r="D3154" s="3"/>
      <c r="E3154" s="3" t="s">
        <v>5268</v>
      </c>
      <c r="F3154" s="3">
        <v>2</v>
      </c>
      <c r="G3154" s="2"/>
      <c r="H3154" s="2"/>
      <c r="I3154" s="2"/>
      <c r="J3154" s="2"/>
      <c r="K3154" s="2"/>
      <c r="L3154" s="3" t="s">
        <v>4751</v>
      </c>
      <c r="M3154" s="3" t="s">
        <v>5269</v>
      </c>
      <c r="N3154" s="48"/>
    </row>
    <row r="3155" spans="1:14" customFormat="1" x14ac:dyDescent="0.45">
      <c r="A3155" s="3" t="s">
        <v>4748</v>
      </c>
      <c r="B3155" s="32">
        <v>36187</v>
      </c>
      <c r="C3155" s="3" t="s">
        <v>25</v>
      </c>
      <c r="D3155" s="3"/>
      <c r="E3155" s="3" t="s">
        <v>5270</v>
      </c>
      <c r="F3155" s="3">
        <v>4</v>
      </c>
      <c r="G3155" s="2"/>
      <c r="H3155" s="2"/>
      <c r="I3155" s="2"/>
      <c r="J3155" s="2"/>
      <c r="K3155" s="2"/>
      <c r="L3155" s="3" t="s">
        <v>4751</v>
      </c>
      <c r="M3155" s="3" t="s">
        <v>5271</v>
      </c>
      <c r="N3155" s="48"/>
    </row>
    <row r="3156" spans="1:14" customFormat="1" x14ac:dyDescent="0.45">
      <c r="A3156" s="3" t="s">
        <v>4748</v>
      </c>
      <c r="B3156" s="32">
        <v>36159</v>
      </c>
      <c r="C3156" s="3" t="s">
        <v>25</v>
      </c>
      <c r="D3156" s="3"/>
      <c r="E3156" s="3" t="s">
        <v>5272</v>
      </c>
      <c r="F3156" s="3">
        <v>4</v>
      </c>
      <c r="G3156" s="2"/>
      <c r="H3156" s="2"/>
      <c r="I3156" s="2"/>
      <c r="J3156" s="2"/>
      <c r="K3156" s="2"/>
      <c r="L3156" s="3" t="s">
        <v>4751</v>
      </c>
      <c r="M3156" s="3" t="s">
        <v>5273</v>
      </c>
      <c r="N3156" s="48"/>
    </row>
    <row r="3157" spans="1:14" customFormat="1" x14ac:dyDescent="0.45">
      <c r="A3157" s="3" t="s">
        <v>4748</v>
      </c>
      <c r="B3157" s="32">
        <v>36152</v>
      </c>
      <c r="C3157" s="7" t="s">
        <v>738</v>
      </c>
      <c r="D3157" s="3"/>
      <c r="E3157" s="3" t="s">
        <v>5274</v>
      </c>
      <c r="F3157" s="3">
        <v>16</v>
      </c>
      <c r="G3157" s="2"/>
      <c r="H3157" s="2"/>
      <c r="I3157" s="2"/>
      <c r="J3157" s="2"/>
      <c r="K3157" s="2"/>
      <c r="L3157" s="3" t="s">
        <v>4751</v>
      </c>
      <c r="M3157" s="3" t="s">
        <v>5275</v>
      </c>
      <c r="N3157" s="48"/>
    </row>
    <row r="3158" spans="1:14" customFormat="1" x14ac:dyDescent="0.45">
      <c r="A3158" s="3" t="s">
        <v>4748</v>
      </c>
      <c r="B3158" s="32">
        <v>36150</v>
      </c>
      <c r="C3158" s="7" t="s">
        <v>738</v>
      </c>
      <c r="D3158" s="3"/>
      <c r="E3158" s="3" t="s">
        <v>5276</v>
      </c>
      <c r="F3158" s="3">
        <v>3</v>
      </c>
      <c r="G3158" s="2"/>
      <c r="H3158" s="2"/>
      <c r="I3158" s="2"/>
      <c r="J3158" s="2"/>
      <c r="K3158" s="2"/>
      <c r="L3158" s="3" t="s">
        <v>4751</v>
      </c>
      <c r="M3158" s="3" t="s">
        <v>5277</v>
      </c>
      <c r="N3158" s="48"/>
    </row>
    <row r="3159" spans="1:14" customFormat="1" x14ac:dyDescent="0.45">
      <c r="A3159" s="3" t="s">
        <v>4748</v>
      </c>
      <c r="B3159" s="32">
        <v>36094</v>
      </c>
      <c r="C3159" s="3" t="s">
        <v>25</v>
      </c>
      <c r="D3159" s="3"/>
      <c r="E3159" s="3" t="s">
        <v>5278</v>
      </c>
      <c r="F3159" s="3">
        <v>3</v>
      </c>
      <c r="G3159" s="2"/>
      <c r="H3159" s="2"/>
      <c r="I3159" s="2"/>
      <c r="J3159" s="2"/>
      <c r="K3159" s="2"/>
      <c r="L3159" s="3" t="s">
        <v>4751</v>
      </c>
      <c r="M3159" s="3" t="s">
        <v>5279</v>
      </c>
      <c r="N3159" s="48"/>
    </row>
    <row r="3160" spans="1:14" customFormat="1" x14ac:dyDescent="0.45">
      <c r="A3160" s="3" t="s">
        <v>4748</v>
      </c>
      <c r="B3160" s="32">
        <v>36031</v>
      </c>
      <c r="C3160" s="3" t="s">
        <v>25</v>
      </c>
      <c r="D3160" s="3"/>
      <c r="E3160" s="3" t="s">
        <v>5280</v>
      </c>
      <c r="F3160" s="3">
        <v>2</v>
      </c>
      <c r="G3160" s="2"/>
      <c r="H3160" s="2"/>
      <c r="I3160" s="2"/>
      <c r="J3160" s="2"/>
      <c r="K3160" s="2"/>
      <c r="L3160" s="3" t="s">
        <v>4751</v>
      </c>
      <c r="M3160" s="3" t="s">
        <v>5281</v>
      </c>
      <c r="N3160" s="48"/>
    </row>
    <row r="3161" spans="1:14" customFormat="1" x14ac:dyDescent="0.45">
      <c r="A3161" s="3" t="s">
        <v>4748</v>
      </c>
      <c r="B3161" s="32">
        <v>36020</v>
      </c>
      <c r="C3161" s="3" t="s">
        <v>21</v>
      </c>
      <c r="D3161" s="3"/>
      <c r="E3161" s="3" t="s">
        <v>5282</v>
      </c>
      <c r="F3161" s="3">
        <v>8</v>
      </c>
      <c r="G3161" s="2"/>
      <c r="H3161" s="2"/>
      <c r="I3161" s="2"/>
      <c r="J3161" s="2"/>
      <c r="K3161" s="2"/>
      <c r="L3161" s="3" t="s">
        <v>4751</v>
      </c>
      <c r="M3161" s="3" t="s">
        <v>5283</v>
      </c>
      <c r="N3161" s="48"/>
    </row>
    <row r="3162" spans="1:14" customFormat="1" x14ac:dyDescent="0.45">
      <c r="A3162" s="3" t="s">
        <v>4748</v>
      </c>
      <c r="B3162" s="32">
        <v>35944</v>
      </c>
      <c r="C3162" s="3" t="s">
        <v>21</v>
      </c>
      <c r="D3162" s="3"/>
      <c r="E3162" s="3" t="s">
        <v>5284</v>
      </c>
      <c r="F3162" s="3">
        <v>2</v>
      </c>
      <c r="G3162" s="2"/>
      <c r="H3162" s="2"/>
      <c r="I3162" s="2"/>
      <c r="J3162" s="2"/>
      <c r="K3162" s="2"/>
      <c r="L3162" s="3" t="s">
        <v>4751</v>
      </c>
      <c r="M3162" s="3" t="s">
        <v>5285</v>
      </c>
      <c r="N3162" s="48"/>
    </row>
    <row r="3163" spans="1:14" customFormat="1" x14ac:dyDescent="0.45">
      <c r="A3163" s="3" t="s">
        <v>4748</v>
      </c>
      <c r="B3163" s="32">
        <v>35930</v>
      </c>
      <c r="C3163" s="7" t="s">
        <v>738</v>
      </c>
      <c r="D3163" s="3"/>
      <c r="E3163" s="3" t="s">
        <v>5286</v>
      </c>
      <c r="F3163" s="3">
        <v>6</v>
      </c>
      <c r="G3163" s="2"/>
      <c r="H3163" s="2"/>
      <c r="I3163" s="2"/>
      <c r="J3163" s="2"/>
      <c r="K3163" s="2"/>
      <c r="L3163" s="3" t="s">
        <v>4751</v>
      </c>
      <c r="M3163" s="3" t="s">
        <v>5287</v>
      </c>
      <c r="N3163" s="48"/>
    </row>
    <row r="3164" spans="1:14" customFormat="1" x14ac:dyDescent="0.45">
      <c r="A3164" s="3" t="s">
        <v>4748</v>
      </c>
      <c r="B3164" s="32">
        <v>35923</v>
      </c>
      <c r="C3164" s="3" t="s">
        <v>21</v>
      </c>
      <c r="D3164" s="3"/>
      <c r="E3164" s="3" t="s">
        <v>5288</v>
      </c>
      <c r="F3164" s="3">
        <v>5</v>
      </c>
      <c r="G3164" s="2"/>
      <c r="H3164" s="2"/>
      <c r="I3164" s="2"/>
      <c r="J3164" s="2"/>
      <c r="K3164" s="2"/>
      <c r="L3164" s="3" t="s">
        <v>4751</v>
      </c>
      <c r="M3164" s="3" t="s">
        <v>5289</v>
      </c>
      <c r="N3164" s="48"/>
    </row>
    <row r="3165" spans="1:14" customFormat="1" x14ac:dyDescent="0.45">
      <c r="A3165" s="3" t="s">
        <v>4748</v>
      </c>
      <c r="B3165" s="32">
        <v>35915</v>
      </c>
      <c r="C3165" s="7" t="s">
        <v>738</v>
      </c>
      <c r="D3165" s="3"/>
      <c r="E3165" s="3" t="s">
        <v>5290</v>
      </c>
      <c r="F3165" s="3">
        <v>2</v>
      </c>
      <c r="G3165" s="2"/>
      <c r="H3165" s="2"/>
      <c r="I3165" s="2"/>
      <c r="J3165" s="2"/>
      <c r="K3165" s="2"/>
      <c r="L3165" s="3" t="s">
        <v>4751</v>
      </c>
      <c r="M3165" s="3" t="s">
        <v>5291</v>
      </c>
      <c r="N3165" s="48"/>
    </row>
    <row r="3166" spans="1:14" customFormat="1" x14ac:dyDescent="0.45">
      <c r="A3166" s="3" t="s">
        <v>4748</v>
      </c>
      <c r="B3166" s="32">
        <v>35871</v>
      </c>
      <c r="C3166" s="3" t="s">
        <v>21</v>
      </c>
      <c r="D3166" s="3"/>
      <c r="E3166" s="3" t="s">
        <v>5292</v>
      </c>
      <c r="F3166" s="3">
        <v>14</v>
      </c>
      <c r="G3166" s="2"/>
      <c r="H3166" s="2"/>
      <c r="I3166" s="2"/>
      <c r="J3166" s="2"/>
      <c r="K3166" s="2"/>
      <c r="L3166" s="3" t="s">
        <v>4751</v>
      </c>
      <c r="M3166" s="3" t="s">
        <v>5293</v>
      </c>
      <c r="N3166" s="48"/>
    </row>
    <row r="3167" spans="1:14" customFormat="1" x14ac:dyDescent="0.45">
      <c r="A3167" s="3" t="s">
        <v>4748</v>
      </c>
      <c r="B3167" s="32">
        <v>35844</v>
      </c>
      <c r="C3167" s="3" t="s">
        <v>25</v>
      </c>
      <c r="D3167" s="3"/>
      <c r="E3167" s="3" t="s">
        <v>5294</v>
      </c>
      <c r="F3167" s="3">
        <v>7</v>
      </c>
      <c r="G3167" s="2"/>
      <c r="H3167" s="2"/>
      <c r="I3167" s="2"/>
      <c r="J3167" s="2"/>
      <c r="K3167" s="2"/>
      <c r="L3167" s="3" t="s">
        <v>4751</v>
      </c>
      <c r="M3167" s="3" t="s">
        <v>5295</v>
      </c>
      <c r="N3167" s="48"/>
    </row>
    <row r="3168" spans="1:14" customFormat="1" x14ac:dyDescent="0.45">
      <c r="A3168" s="3" t="s">
        <v>4748</v>
      </c>
      <c r="B3168" s="32">
        <v>35844</v>
      </c>
      <c r="C3168" s="3" t="s">
        <v>25</v>
      </c>
      <c r="D3168" s="3"/>
      <c r="E3168" s="3" t="s">
        <v>5296</v>
      </c>
      <c r="F3168" s="3">
        <v>5</v>
      </c>
      <c r="G3168" s="2"/>
      <c r="H3168" s="2"/>
      <c r="I3168" s="2"/>
      <c r="J3168" s="2"/>
      <c r="K3168" s="2"/>
      <c r="L3168" s="3" t="s">
        <v>4751</v>
      </c>
      <c r="M3168" s="3" t="s">
        <v>5297</v>
      </c>
      <c r="N3168" s="48"/>
    </row>
    <row r="3169" spans="1:14" customFormat="1" x14ac:dyDescent="0.45">
      <c r="A3169" s="3" t="s">
        <v>4748</v>
      </c>
      <c r="B3169" s="32">
        <v>35844</v>
      </c>
      <c r="C3169" s="3" t="s">
        <v>25</v>
      </c>
      <c r="D3169" s="3"/>
      <c r="E3169" s="3" t="s">
        <v>5298</v>
      </c>
      <c r="F3169" s="3">
        <v>7</v>
      </c>
      <c r="G3169" s="2"/>
      <c r="H3169" s="2"/>
      <c r="I3169" s="2"/>
      <c r="J3169" s="2"/>
      <c r="K3169" s="2"/>
      <c r="L3169" s="3" t="s">
        <v>4751</v>
      </c>
      <c r="M3169" s="3" t="s">
        <v>5299</v>
      </c>
      <c r="N3169" s="48"/>
    </row>
    <row r="3170" spans="1:14" customFormat="1" x14ac:dyDescent="0.45">
      <c r="A3170" s="3" t="s">
        <v>4748</v>
      </c>
      <c r="B3170" s="32">
        <v>35844</v>
      </c>
      <c r="C3170" s="3" t="s">
        <v>25</v>
      </c>
      <c r="D3170" s="3"/>
      <c r="E3170" s="3" t="s">
        <v>5300</v>
      </c>
      <c r="F3170" s="3">
        <v>18</v>
      </c>
      <c r="G3170" s="2"/>
      <c r="H3170" s="2"/>
      <c r="I3170" s="2"/>
      <c r="J3170" s="2"/>
      <c r="K3170" s="2"/>
      <c r="L3170" s="3" t="s">
        <v>4751</v>
      </c>
      <c r="M3170" s="3" t="s">
        <v>5301</v>
      </c>
      <c r="N3170" s="48"/>
    </row>
    <row r="3171" spans="1:14" customFormat="1" x14ac:dyDescent="0.45">
      <c r="A3171" s="3" t="s">
        <v>4748</v>
      </c>
      <c r="B3171" s="32">
        <v>35776</v>
      </c>
      <c r="C3171" s="3" t="s">
        <v>21</v>
      </c>
      <c r="D3171" s="3"/>
      <c r="E3171" s="3" t="s">
        <v>5302</v>
      </c>
      <c r="F3171" s="3">
        <v>2</v>
      </c>
      <c r="G3171" s="2"/>
      <c r="H3171" s="2"/>
      <c r="I3171" s="2"/>
      <c r="J3171" s="2"/>
      <c r="K3171" s="2"/>
      <c r="L3171" s="3" t="s">
        <v>4751</v>
      </c>
      <c r="M3171" s="3" t="s">
        <v>5303</v>
      </c>
      <c r="N3171" s="48"/>
    </row>
    <row r="3172" spans="1:14" customFormat="1" x14ac:dyDescent="0.45">
      <c r="A3172" s="3" t="s">
        <v>4748</v>
      </c>
      <c r="B3172" s="32">
        <v>35755</v>
      </c>
      <c r="C3172" s="3" t="s">
        <v>21</v>
      </c>
      <c r="D3172" s="3"/>
      <c r="E3172" s="3" t="s">
        <v>5304</v>
      </c>
      <c r="F3172" s="3">
        <v>13</v>
      </c>
      <c r="G3172" s="2"/>
      <c r="H3172" s="2"/>
      <c r="I3172" s="2"/>
      <c r="J3172" s="2"/>
      <c r="K3172" s="2"/>
      <c r="L3172" s="3" t="s">
        <v>4751</v>
      </c>
      <c r="M3172" s="3" t="s">
        <v>5305</v>
      </c>
      <c r="N3172" s="48"/>
    </row>
    <row r="3173" spans="1:14" customFormat="1" x14ac:dyDescent="0.45">
      <c r="A3173" s="3" t="s">
        <v>4748</v>
      </c>
      <c r="B3173" s="32">
        <v>35753</v>
      </c>
      <c r="C3173" s="3" t="s">
        <v>21</v>
      </c>
      <c r="D3173" s="3"/>
      <c r="E3173" s="3" t="s">
        <v>5306</v>
      </c>
      <c r="F3173" s="3">
        <v>4</v>
      </c>
      <c r="G3173" s="2"/>
      <c r="H3173" s="2"/>
      <c r="I3173" s="2"/>
      <c r="J3173" s="2"/>
      <c r="K3173" s="2"/>
      <c r="L3173" s="3" t="s">
        <v>4751</v>
      </c>
      <c r="M3173" s="3" t="s">
        <v>5307</v>
      </c>
      <c r="N3173" s="48"/>
    </row>
    <row r="3174" spans="1:14" customFormat="1" x14ac:dyDescent="0.45">
      <c r="A3174" s="3" t="s">
        <v>4748</v>
      </c>
      <c r="B3174" s="32">
        <v>35733</v>
      </c>
      <c r="C3174" s="3" t="s">
        <v>21</v>
      </c>
      <c r="D3174" s="3"/>
      <c r="E3174" s="3" t="s">
        <v>5308</v>
      </c>
      <c r="F3174" s="3">
        <v>21</v>
      </c>
      <c r="G3174" s="2"/>
      <c r="H3174" s="2"/>
      <c r="I3174" s="2"/>
      <c r="J3174" s="2"/>
      <c r="K3174" s="2"/>
      <c r="L3174" s="3" t="s">
        <v>4751</v>
      </c>
      <c r="M3174" s="3" t="s">
        <v>5309</v>
      </c>
      <c r="N3174" s="48"/>
    </row>
    <row r="3175" spans="1:14" customFormat="1" x14ac:dyDescent="0.45">
      <c r="A3175" s="3" t="s">
        <v>4748</v>
      </c>
      <c r="B3175" s="32">
        <v>35730</v>
      </c>
      <c r="C3175" s="3" t="s">
        <v>21</v>
      </c>
      <c r="D3175" s="3"/>
      <c r="E3175" s="3" t="s">
        <v>5310</v>
      </c>
      <c r="F3175" s="3">
        <v>10</v>
      </c>
      <c r="G3175" s="2"/>
      <c r="H3175" s="2"/>
      <c r="I3175" s="2"/>
      <c r="J3175" s="2"/>
      <c r="K3175" s="2"/>
      <c r="L3175" s="3" t="s">
        <v>4751</v>
      </c>
      <c r="M3175" s="3" t="s">
        <v>5311</v>
      </c>
      <c r="N3175" s="48"/>
    </row>
    <row r="3176" spans="1:14" customFormat="1" x14ac:dyDescent="0.45">
      <c r="A3176" s="3" t="s">
        <v>4748</v>
      </c>
      <c r="B3176" s="32">
        <v>35711</v>
      </c>
      <c r="C3176" s="3" t="s">
        <v>21</v>
      </c>
      <c r="D3176" s="3"/>
      <c r="E3176" s="3" t="s">
        <v>5312</v>
      </c>
      <c r="F3176" s="3">
        <v>13</v>
      </c>
      <c r="G3176" s="2"/>
      <c r="H3176" s="2"/>
      <c r="I3176" s="2"/>
      <c r="J3176" s="2"/>
      <c r="K3176" s="2"/>
      <c r="L3176" s="3" t="s">
        <v>4751</v>
      </c>
      <c r="M3176" s="3" t="s">
        <v>5313</v>
      </c>
      <c r="N3176" s="48"/>
    </row>
    <row r="3177" spans="1:14" customFormat="1" x14ac:dyDescent="0.45">
      <c r="A3177" s="3" t="s">
        <v>4748</v>
      </c>
      <c r="B3177" s="32">
        <v>35705</v>
      </c>
      <c r="C3177" s="7" t="s">
        <v>738</v>
      </c>
      <c r="D3177" s="3"/>
      <c r="E3177" s="3" t="s">
        <v>5314</v>
      </c>
      <c r="F3177" s="3">
        <v>4</v>
      </c>
      <c r="G3177" s="2"/>
      <c r="H3177" s="2"/>
      <c r="I3177" s="2"/>
      <c r="J3177" s="2"/>
      <c r="K3177" s="2"/>
      <c r="L3177" s="3" t="s">
        <v>4751</v>
      </c>
      <c r="M3177" s="3" t="s">
        <v>5315</v>
      </c>
      <c r="N3177" s="48"/>
    </row>
    <row r="3178" spans="1:14" customFormat="1" x14ac:dyDescent="0.45">
      <c r="A3178" s="3" t="s">
        <v>4748</v>
      </c>
      <c r="B3178" s="32">
        <v>35703</v>
      </c>
      <c r="C3178" s="3" t="s">
        <v>21</v>
      </c>
      <c r="D3178" s="3"/>
      <c r="E3178" s="3" t="s">
        <v>5316</v>
      </c>
      <c r="F3178" s="3">
        <v>25</v>
      </c>
      <c r="G3178" s="2"/>
      <c r="H3178" s="2"/>
      <c r="I3178" s="2"/>
      <c r="J3178" s="2"/>
      <c r="K3178" s="2"/>
      <c r="L3178" s="3" t="s">
        <v>4751</v>
      </c>
      <c r="M3178" s="3" t="s">
        <v>5317</v>
      </c>
      <c r="N3178" s="48"/>
    </row>
    <row r="3179" spans="1:14" customFormat="1" x14ac:dyDescent="0.45">
      <c r="A3179" s="3" t="s">
        <v>4748</v>
      </c>
      <c r="B3179" s="32">
        <v>35671</v>
      </c>
      <c r="C3179" s="3" t="s">
        <v>21</v>
      </c>
      <c r="D3179" s="3"/>
      <c r="E3179" s="3" t="s">
        <v>5318</v>
      </c>
      <c r="F3179" s="3">
        <v>10</v>
      </c>
      <c r="G3179" s="2"/>
      <c r="H3179" s="2"/>
      <c r="I3179" s="2"/>
      <c r="J3179" s="2"/>
      <c r="K3179" s="2"/>
      <c r="L3179" s="3" t="s">
        <v>4751</v>
      </c>
      <c r="M3179" s="3" t="s">
        <v>5319</v>
      </c>
      <c r="N3179" s="48"/>
    </row>
    <row r="3180" spans="1:14" customFormat="1" x14ac:dyDescent="0.45">
      <c r="A3180" s="3" t="s">
        <v>4748</v>
      </c>
      <c r="B3180" s="32">
        <v>35662</v>
      </c>
      <c r="C3180" s="3" t="s">
        <v>25</v>
      </c>
      <c r="D3180" s="3"/>
      <c r="E3180" s="3" t="s">
        <v>5320</v>
      </c>
      <c r="F3180" s="3">
        <v>3</v>
      </c>
      <c r="G3180" s="2"/>
      <c r="H3180" s="2"/>
      <c r="I3180" s="2"/>
      <c r="J3180" s="2"/>
      <c r="K3180" s="2"/>
      <c r="L3180" s="3" t="s">
        <v>4751</v>
      </c>
      <c r="M3180" s="3" t="s">
        <v>5321</v>
      </c>
      <c r="N3180" s="48"/>
    </row>
    <row r="3181" spans="1:14" customFormat="1" x14ac:dyDescent="0.45">
      <c r="A3181" s="3" t="s">
        <v>4748</v>
      </c>
      <c r="B3181" s="32">
        <v>35608</v>
      </c>
      <c r="C3181" s="7" t="s">
        <v>738</v>
      </c>
      <c r="D3181" s="3"/>
      <c r="E3181" s="3" t="s">
        <v>5322</v>
      </c>
      <c r="F3181" s="3">
        <v>18</v>
      </c>
      <c r="G3181" s="2"/>
      <c r="H3181" s="2"/>
      <c r="I3181" s="2"/>
      <c r="J3181" s="2"/>
      <c r="K3181" s="2"/>
      <c r="L3181" s="3" t="s">
        <v>4751</v>
      </c>
      <c r="M3181" s="3" t="s">
        <v>5323</v>
      </c>
      <c r="N3181" s="48"/>
    </row>
    <row r="3182" spans="1:14" customFormat="1" x14ac:dyDescent="0.45">
      <c r="A3182" s="3" t="s">
        <v>4748</v>
      </c>
      <c r="B3182" s="32">
        <v>35583</v>
      </c>
      <c r="C3182" s="7" t="s">
        <v>738</v>
      </c>
      <c r="D3182" s="3"/>
      <c r="E3182" s="3" t="s">
        <v>5324</v>
      </c>
      <c r="F3182" s="3">
        <v>3</v>
      </c>
      <c r="G3182" s="2"/>
      <c r="H3182" s="2"/>
      <c r="I3182" s="2"/>
      <c r="J3182" s="2"/>
      <c r="K3182" s="2"/>
      <c r="L3182" s="3" t="s">
        <v>4751</v>
      </c>
      <c r="M3182" s="3" t="s">
        <v>5325</v>
      </c>
      <c r="N3182" s="48"/>
    </row>
    <row r="3183" spans="1:14" customFormat="1" x14ac:dyDescent="0.45">
      <c r="A3183" s="3" t="s">
        <v>4748</v>
      </c>
      <c r="B3183" s="32">
        <v>35508</v>
      </c>
      <c r="C3183" s="3" t="s">
        <v>21</v>
      </c>
      <c r="D3183" s="3"/>
      <c r="E3183" s="3" t="s">
        <v>5326</v>
      </c>
      <c r="F3183" s="3">
        <v>2</v>
      </c>
      <c r="G3183" s="2"/>
      <c r="H3183" s="2"/>
      <c r="I3183" s="2"/>
      <c r="J3183" s="2"/>
      <c r="K3183" s="2"/>
      <c r="L3183" s="3" t="s">
        <v>4751</v>
      </c>
      <c r="M3183" s="3" t="s">
        <v>5327</v>
      </c>
      <c r="N3183" s="48"/>
    </row>
    <row r="3184" spans="1:14" customFormat="1" x14ac:dyDescent="0.45">
      <c r="A3184" s="3" t="s">
        <v>4748</v>
      </c>
      <c r="B3184" s="32">
        <v>35494</v>
      </c>
      <c r="C3184" s="3" t="s">
        <v>25</v>
      </c>
      <c r="D3184" s="3"/>
      <c r="E3184" s="3" t="s">
        <v>5328</v>
      </c>
      <c r="F3184" s="3">
        <v>15</v>
      </c>
      <c r="G3184" s="2"/>
      <c r="H3184" s="2"/>
      <c r="I3184" s="2"/>
      <c r="J3184" s="2"/>
      <c r="K3184" s="2"/>
      <c r="L3184" s="3" t="s">
        <v>4751</v>
      </c>
      <c r="M3184" s="3" t="s">
        <v>5329</v>
      </c>
      <c r="N3184" s="48"/>
    </row>
    <row r="3185" spans="1:14" customFormat="1" x14ac:dyDescent="0.45">
      <c r="A3185" s="3" t="s">
        <v>4748</v>
      </c>
      <c r="B3185" s="32">
        <v>35467</v>
      </c>
      <c r="C3185" s="3" t="s">
        <v>25</v>
      </c>
      <c r="D3185" s="3"/>
      <c r="E3185" s="3" t="s">
        <v>5330</v>
      </c>
      <c r="F3185" s="3">
        <v>8</v>
      </c>
      <c r="G3185" s="2"/>
      <c r="H3185" s="2"/>
      <c r="I3185" s="2"/>
      <c r="J3185" s="2"/>
      <c r="K3185" s="2"/>
      <c r="L3185" s="3" t="s">
        <v>4751</v>
      </c>
      <c r="M3185" s="3" t="s">
        <v>5331</v>
      </c>
      <c r="N3185" s="48"/>
    </row>
    <row r="3186" spans="1:14" customFormat="1" x14ac:dyDescent="0.45">
      <c r="A3186" s="3" t="s">
        <v>4748</v>
      </c>
      <c r="B3186" s="32">
        <v>35453</v>
      </c>
      <c r="C3186" s="3" t="s">
        <v>21</v>
      </c>
      <c r="D3186" s="3"/>
      <c r="E3186" s="3" t="s">
        <v>5332</v>
      </c>
      <c r="F3186" s="3">
        <v>4</v>
      </c>
      <c r="G3186" s="2"/>
      <c r="H3186" s="2"/>
      <c r="I3186" s="2"/>
      <c r="J3186" s="2"/>
      <c r="K3186" s="2"/>
      <c r="L3186" s="3" t="s">
        <v>4751</v>
      </c>
      <c r="M3186" s="3" t="s">
        <v>5333</v>
      </c>
      <c r="N3186" s="48"/>
    </row>
    <row r="3187" spans="1:14" customFormat="1" x14ac:dyDescent="0.45">
      <c r="A3187" s="3" t="s">
        <v>4748</v>
      </c>
      <c r="B3187" s="32">
        <v>35438</v>
      </c>
      <c r="C3187" s="3" t="s">
        <v>21</v>
      </c>
      <c r="D3187" s="3"/>
      <c r="E3187" s="3" t="s">
        <v>5334</v>
      </c>
      <c r="F3187" s="3">
        <v>2</v>
      </c>
      <c r="G3187" s="2"/>
      <c r="H3187" s="2"/>
      <c r="I3187" s="2"/>
      <c r="J3187" s="2"/>
      <c r="K3187" s="2"/>
      <c r="L3187" s="3" t="s">
        <v>4751</v>
      </c>
      <c r="M3187" s="3" t="s">
        <v>5335</v>
      </c>
      <c r="N3187" s="48"/>
    </row>
    <row r="3188" spans="1:14" customFormat="1" x14ac:dyDescent="0.45">
      <c r="A3188" s="3" t="s">
        <v>4748</v>
      </c>
      <c r="B3188" s="32">
        <v>35418</v>
      </c>
      <c r="C3188" s="3" t="s">
        <v>21</v>
      </c>
      <c r="D3188" s="3"/>
      <c r="E3188" s="3" t="s">
        <v>5336</v>
      </c>
      <c r="F3188" s="3">
        <v>3</v>
      </c>
      <c r="G3188" s="2"/>
      <c r="H3188" s="2"/>
      <c r="I3188" s="2"/>
      <c r="J3188" s="2"/>
      <c r="K3188" s="2"/>
      <c r="L3188" s="3" t="s">
        <v>4751</v>
      </c>
      <c r="M3188" s="3" t="s">
        <v>5337</v>
      </c>
      <c r="N3188" s="48"/>
    </row>
    <row r="3189" spans="1:14" customFormat="1" x14ac:dyDescent="0.45">
      <c r="A3189" s="3" t="s">
        <v>4748</v>
      </c>
      <c r="B3189" s="32">
        <v>35415</v>
      </c>
      <c r="C3189" s="7" t="s">
        <v>575</v>
      </c>
      <c r="D3189" s="3"/>
      <c r="E3189" s="3" t="s">
        <v>5338</v>
      </c>
      <c r="F3189" s="3">
        <v>9</v>
      </c>
      <c r="G3189" s="2"/>
      <c r="H3189" s="2"/>
      <c r="I3189" s="2"/>
      <c r="J3189" s="2"/>
      <c r="K3189" s="2"/>
      <c r="L3189" s="3" t="s">
        <v>4751</v>
      </c>
      <c r="M3189" s="24" t="s">
        <v>5339</v>
      </c>
      <c r="N3189" s="48"/>
    </row>
    <row r="3190" spans="1:14" customFormat="1" x14ac:dyDescent="0.45">
      <c r="A3190" s="3" t="s">
        <v>4748</v>
      </c>
      <c r="B3190" s="32">
        <v>35405</v>
      </c>
      <c r="C3190" s="3" t="s">
        <v>21</v>
      </c>
      <c r="D3190" s="3"/>
      <c r="E3190" s="3" t="s">
        <v>5340</v>
      </c>
      <c r="F3190" s="3">
        <v>5</v>
      </c>
      <c r="G3190" s="2"/>
      <c r="H3190" s="2"/>
      <c r="I3190" s="2"/>
      <c r="J3190" s="2"/>
      <c r="K3190" s="2"/>
      <c r="L3190" s="3" t="s">
        <v>4751</v>
      </c>
      <c r="M3190" s="3" t="s">
        <v>5341</v>
      </c>
      <c r="N3190" s="48"/>
    </row>
    <row r="3191" spans="1:14" customFormat="1" x14ac:dyDescent="0.45">
      <c r="A3191" s="3" t="s">
        <v>4748</v>
      </c>
      <c r="B3191" s="32">
        <v>35405</v>
      </c>
      <c r="C3191" s="3" t="s">
        <v>25</v>
      </c>
      <c r="D3191" s="3"/>
      <c r="E3191" s="3" t="s">
        <v>5342</v>
      </c>
      <c r="F3191" s="3">
        <v>4</v>
      </c>
      <c r="G3191" s="2"/>
      <c r="H3191" s="2"/>
      <c r="I3191" s="2"/>
      <c r="J3191" s="2"/>
      <c r="K3191" s="2"/>
      <c r="L3191" s="3" t="s">
        <v>4751</v>
      </c>
      <c r="M3191" s="3" t="s">
        <v>5343</v>
      </c>
      <c r="N3191" s="48"/>
    </row>
    <row r="3192" spans="1:14" customFormat="1" x14ac:dyDescent="0.45">
      <c r="A3192" s="3" t="s">
        <v>4748</v>
      </c>
      <c r="B3192" s="32">
        <v>45632</v>
      </c>
      <c r="C3192" s="7" t="s">
        <v>302</v>
      </c>
      <c r="D3192" s="3"/>
      <c r="E3192" s="3" t="s">
        <v>5344</v>
      </c>
      <c r="F3192" s="3">
        <v>1</v>
      </c>
      <c r="G3192" s="2"/>
      <c r="H3192" s="2"/>
      <c r="I3192" s="2"/>
      <c r="J3192" s="2"/>
      <c r="K3192" s="2"/>
      <c r="L3192" s="3" t="s">
        <v>431</v>
      </c>
      <c r="M3192" s="3" t="s">
        <v>5345</v>
      </c>
      <c r="N3192" s="48"/>
    </row>
    <row r="3193" spans="1:14" customFormat="1" x14ac:dyDescent="0.45">
      <c r="A3193" s="3" t="s">
        <v>4748</v>
      </c>
      <c r="B3193" s="32">
        <v>45526</v>
      </c>
      <c r="C3193" s="7" t="s">
        <v>302</v>
      </c>
      <c r="D3193" s="3"/>
      <c r="E3193" s="3" t="s">
        <v>5346</v>
      </c>
      <c r="F3193" s="3">
        <v>20</v>
      </c>
      <c r="G3193" s="2"/>
      <c r="H3193" s="2"/>
      <c r="I3193" s="2"/>
      <c r="J3193" s="2"/>
      <c r="K3193" s="2"/>
      <c r="L3193" s="3" t="s">
        <v>431</v>
      </c>
      <c r="M3193" s="24" t="s">
        <v>5347</v>
      </c>
      <c r="N3193" s="48"/>
    </row>
    <row r="3194" spans="1:14" customFormat="1" x14ac:dyDescent="0.45">
      <c r="A3194" s="3" t="s">
        <v>4748</v>
      </c>
      <c r="B3194" s="32">
        <v>45505</v>
      </c>
      <c r="C3194" s="7" t="s">
        <v>302</v>
      </c>
      <c r="D3194" s="3"/>
      <c r="E3194" s="3" t="s">
        <v>5348</v>
      </c>
      <c r="F3194" s="3">
        <v>3</v>
      </c>
      <c r="G3194" s="2"/>
      <c r="H3194" s="2"/>
      <c r="I3194" s="2"/>
      <c r="J3194" s="2"/>
      <c r="K3194" s="2"/>
      <c r="L3194" s="3" t="s">
        <v>431</v>
      </c>
      <c r="M3194" s="3" t="s">
        <v>5349</v>
      </c>
      <c r="N3194" s="48"/>
    </row>
    <row r="3195" spans="1:14" customFormat="1" x14ac:dyDescent="0.45">
      <c r="A3195" s="3" t="s">
        <v>4748</v>
      </c>
      <c r="B3195" s="32">
        <v>44580</v>
      </c>
      <c r="C3195" s="7" t="s">
        <v>302</v>
      </c>
      <c r="D3195" s="3"/>
      <c r="E3195" s="3" t="s">
        <v>5350</v>
      </c>
      <c r="F3195" s="3">
        <v>2</v>
      </c>
      <c r="G3195" s="2"/>
      <c r="H3195" s="2"/>
      <c r="I3195" s="2"/>
      <c r="J3195" s="2"/>
      <c r="K3195" s="2"/>
      <c r="L3195" s="3" t="s">
        <v>431</v>
      </c>
      <c r="M3195" s="24" t="s">
        <v>5351</v>
      </c>
      <c r="N3195" s="48"/>
    </row>
    <row r="3196" spans="1:14" customFormat="1" x14ac:dyDescent="0.45">
      <c r="A3196" s="3" t="s">
        <v>4748</v>
      </c>
      <c r="B3196" s="32">
        <v>44609</v>
      </c>
      <c r="C3196" s="7" t="s">
        <v>302</v>
      </c>
      <c r="D3196" s="3"/>
      <c r="E3196" s="3" t="s">
        <v>5352</v>
      </c>
      <c r="F3196" s="3">
        <v>2</v>
      </c>
      <c r="G3196" s="2"/>
      <c r="H3196" s="2"/>
      <c r="I3196" s="2"/>
      <c r="J3196" s="2"/>
      <c r="K3196" s="2"/>
      <c r="L3196" s="3" t="s">
        <v>431</v>
      </c>
      <c r="M3196" s="3" t="s">
        <v>5353</v>
      </c>
      <c r="N3196" s="48"/>
    </row>
    <row r="3197" spans="1:14" customFormat="1" x14ac:dyDescent="0.45">
      <c r="A3197" s="3" t="s">
        <v>4748</v>
      </c>
      <c r="B3197" s="32">
        <v>42717</v>
      </c>
      <c r="C3197" s="7" t="s">
        <v>302</v>
      </c>
      <c r="D3197" s="3"/>
      <c r="E3197" s="3" t="s">
        <v>5354</v>
      </c>
      <c r="F3197" s="3">
        <v>5</v>
      </c>
      <c r="G3197" s="2"/>
      <c r="H3197" s="2"/>
      <c r="I3197" s="2"/>
      <c r="J3197" s="2"/>
      <c r="K3197" s="2"/>
      <c r="L3197" s="3" t="s">
        <v>431</v>
      </c>
      <c r="M3197" s="3" t="s">
        <v>5355</v>
      </c>
      <c r="N3197" s="48"/>
    </row>
    <row r="3198" spans="1:14" customFormat="1" x14ac:dyDescent="0.45">
      <c r="A3198" s="3" t="s">
        <v>4748</v>
      </c>
      <c r="B3198" s="32">
        <v>42488</v>
      </c>
      <c r="C3198" s="7" t="s">
        <v>302</v>
      </c>
      <c r="D3198" s="3"/>
      <c r="E3198" s="3" t="s">
        <v>5356</v>
      </c>
      <c r="F3198" s="3">
        <v>6</v>
      </c>
      <c r="G3198" s="2"/>
      <c r="H3198" s="2"/>
      <c r="I3198" s="2"/>
      <c r="J3198" s="2"/>
      <c r="K3198" s="2"/>
      <c r="L3198" s="3" t="s">
        <v>431</v>
      </c>
      <c r="M3198" s="3" t="s">
        <v>5357</v>
      </c>
      <c r="N3198" s="48"/>
    </row>
    <row r="3199" spans="1:14" customFormat="1" x14ac:dyDescent="0.45">
      <c r="A3199" s="3" t="s">
        <v>4748</v>
      </c>
      <c r="B3199" s="32">
        <v>41934</v>
      </c>
      <c r="C3199" s="7" t="s">
        <v>302</v>
      </c>
      <c r="D3199" s="3"/>
      <c r="E3199" s="3" t="s">
        <v>5358</v>
      </c>
      <c r="F3199" s="3">
        <v>3</v>
      </c>
      <c r="G3199" s="2"/>
      <c r="H3199" s="2"/>
      <c r="I3199" s="2"/>
      <c r="J3199" s="2"/>
      <c r="K3199" s="2"/>
      <c r="L3199" s="3" t="s">
        <v>431</v>
      </c>
      <c r="M3199" s="3" t="s">
        <v>5359</v>
      </c>
      <c r="N3199" s="48"/>
    </row>
    <row r="3200" spans="1:14" customFormat="1" x14ac:dyDescent="0.45">
      <c r="A3200" s="3" t="s">
        <v>4748</v>
      </c>
      <c r="B3200" s="32">
        <v>41905</v>
      </c>
      <c r="C3200" s="7" t="s">
        <v>302</v>
      </c>
      <c r="D3200" s="3"/>
      <c r="E3200" s="3" t="s">
        <v>5360</v>
      </c>
      <c r="F3200" s="3">
        <v>5</v>
      </c>
      <c r="G3200" s="2"/>
      <c r="H3200" s="2"/>
      <c r="I3200" s="2"/>
      <c r="J3200" s="2"/>
      <c r="K3200" s="2"/>
      <c r="L3200" s="3" t="s">
        <v>431</v>
      </c>
      <c r="M3200" s="3" t="s">
        <v>5361</v>
      </c>
      <c r="N3200" s="48"/>
    </row>
    <row r="3201" spans="1:14" customFormat="1" x14ac:dyDescent="0.45">
      <c r="A3201" s="3" t="s">
        <v>4748</v>
      </c>
      <c r="B3201" s="32">
        <v>41774</v>
      </c>
      <c r="C3201" s="7" t="s">
        <v>302</v>
      </c>
      <c r="D3201" s="3"/>
      <c r="E3201" s="3" t="s">
        <v>5362</v>
      </c>
      <c r="F3201" s="3">
        <v>2</v>
      </c>
      <c r="G3201" s="2"/>
      <c r="H3201" s="2"/>
      <c r="I3201" s="2"/>
      <c r="J3201" s="2"/>
      <c r="K3201" s="2"/>
      <c r="L3201" s="3" t="s">
        <v>431</v>
      </c>
      <c r="M3201" s="3" t="s">
        <v>5363</v>
      </c>
      <c r="N3201" s="48"/>
    </row>
    <row r="3202" spans="1:14" customFormat="1" x14ac:dyDescent="0.45">
      <c r="A3202" s="3" t="s">
        <v>4748</v>
      </c>
      <c r="B3202" s="32">
        <v>41536</v>
      </c>
      <c r="C3202" s="7" t="s">
        <v>302</v>
      </c>
      <c r="D3202" s="3"/>
      <c r="E3202" s="3" t="s">
        <v>5364</v>
      </c>
      <c r="F3202" s="3">
        <v>10</v>
      </c>
      <c r="G3202" s="2"/>
      <c r="H3202" s="2"/>
      <c r="I3202" s="2"/>
      <c r="J3202" s="2"/>
      <c r="K3202" s="2"/>
      <c r="L3202" s="3" t="s">
        <v>431</v>
      </c>
      <c r="M3202" s="3" t="s">
        <v>5365</v>
      </c>
      <c r="N3202" s="48"/>
    </row>
    <row r="3203" spans="1:14" customFormat="1" x14ac:dyDescent="0.45">
      <c r="A3203" s="3" t="s">
        <v>4748</v>
      </c>
      <c r="B3203" s="32">
        <v>41527</v>
      </c>
      <c r="C3203" s="7" t="s">
        <v>302</v>
      </c>
      <c r="D3203" s="3"/>
      <c r="E3203" s="3" t="s">
        <v>5366</v>
      </c>
      <c r="F3203" s="3">
        <v>1</v>
      </c>
      <c r="G3203" s="2"/>
      <c r="H3203" s="2"/>
      <c r="I3203" s="2"/>
      <c r="J3203" s="2"/>
      <c r="K3203" s="2"/>
      <c r="L3203" s="3" t="s">
        <v>431</v>
      </c>
      <c r="M3203" s="3" t="s">
        <v>5367</v>
      </c>
      <c r="N3203" s="48"/>
    </row>
    <row r="3204" spans="1:14" customFormat="1" x14ac:dyDescent="0.45">
      <c r="A3204" s="3" t="s">
        <v>4748</v>
      </c>
      <c r="B3204" s="32">
        <v>41527</v>
      </c>
      <c r="C3204" s="7" t="s">
        <v>302</v>
      </c>
      <c r="D3204" s="3"/>
      <c r="E3204" s="3" t="s">
        <v>5368</v>
      </c>
      <c r="F3204" s="3">
        <v>1</v>
      </c>
      <c r="G3204" s="2"/>
      <c r="H3204" s="2"/>
      <c r="I3204" s="2"/>
      <c r="J3204" s="2"/>
      <c r="K3204" s="2"/>
      <c r="L3204" s="3" t="s">
        <v>431</v>
      </c>
      <c r="M3204" s="3" t="s">
        <v>5369</v>
      </c>
      <c r="N3204" s="48"/>
    </row>
    <row r="3205" spans="1:14" customFormat="1" x14ac:dyDescent="0.45">
      <c r="A3205" s="3" t="s">
        <v>4748</v>
      </c>
      <c r="B3205" s="32">
        <v>41527</v>
      </c>
      <c r="C3205" s="7" t="s">
        <v>302</v>
      </c>
      <c r="D3205" s="3"/>
      <c r="E3205" s="3" t="s">
        <v>5370</v>
      </c>
      <c r="F3205" s="3">
        <v>1</v>
      </c>
      <c r="G3205" s="2"/>
      <c r="H3205" s="2"/>
      <c r="I3205" s="2"/>
      <c r="J3205" s="2"/>
      <c r="K3205" s="2"/>
      <c r="L3205" s="3" t="s">
        <v>431</v>
      </c>
      <c r="M3205" s="3" t="s">
        <v>5371</v>
      </c>
      <c r="N3205" s="48"/>
    </row>
    <row r="3206" spans="1:14" customFormat="1" x14ac:dyDescent="0.45">
      <c r="A3206" s="3" t="s">
        <v>4748</v>
      </c>
      <c r="B3206" s="32">
        <v>41527</v>
      </c>
      <c r="C3206" s="7" t="s">
        <v>302</v>
      </c>
      <c r="D3206" s="3"/>
      <c r="E3206" s="3" t="s">
        <v>5372</v>
      </c>
      <c r="F3206" s="3">
        <v>1</v>
      </c>
      <c r="G3206" s="2"/>
      <c r="H3206" s="2"/>
      <c r="I3206" s="2"/>
      <c r="J3206" s="2"/>
      <c r="K3206" s="2"/>
      <c r="L3206" s="3" t="s">
        <v>431</v>
      </c>
      <c r="M3206" s="3" t="s">
        <v>5373</v>
      </c>
      <c r="N3206" s="48"/>
    </row>
    <row r="3207" spans="1:14" customFormat="1" x14ac:dyDescent="0.45">
      <c r="A3207" s="3" t="s">
        <v>4748</v>
      </c>
      <c r="B3207" s="32">
        <v>41527</v>
      </c>
      <c r="C3207" s="7" t="s">
        <v>302</v>
      </c>
      <c r="D3207" s="3"/>
      <c r="E3207" s="3" t="s">
        <v>5374</v>
      </c>
      <c r="F3207" s="3">
        <v>1</v>
      </c>
      <c r="G3207" s="2"/>
      <c r="H3207" s="2"/>
      <c r="I3207" s="2"/>
      <c r="J3207" s="2"/>
      <c r="K3207" s="2"/>
      <c r="L3207" s="3" t="s">
        <v>431</v>
      </c>
      <c r="M3207" s="3" t="s">
        <v>5375</v>
      </c>
      <c r="N3207" s="48"/>
    </row>
    <row r="3208" spans="1:14" customFormat="1" x14ac:dyDescent="0.45">
      <c r="A3208" s="3" t="s">
        <v>4748</v>
      </c>
      <c r="B3208" s="32">
        <v>41527</v>
      </c>
      <c r="C3208" s="7" t="s">
        <v>302</v>
      </c>
      <c r="D3208" s="3"/>
      <c r="E3208" s="3" t="s">
        <v>5376</v>
      </c>
      <c r="F3208" s="3">
        <v>1</v>
      </c>
      <c r="G3208" s="2"/>
      <c r="H3208" s="2"/>
      <c r="I3208" s="2"/>
      <c r="J3208" s="2"/>
      <c r="K3208" s="2"/>
      <c r="L3208" s="3" t="s">
        <v>431</v>
      </c>
      <c r="M3208" s="3" t="s">
        <v>5377</v>
      </c>
      <c r="N3208" s="48"/>
    </row>
    <row r="3209" spans="1:14" customFormat="1" x14ac:dyDescent="0.45">
      <c r="A3209" s="3" t="s">
        <v>4748</v>
      </c>
      <c r="B3209" s="32">
        <v>41513</v>
      </c>
      <c r="C3209" s="7" t="s">
        <v>302</v>
      </c>
      <c r="D3209" s="3"/>
      <c r="E3209" s="3" t="s">
        <v>5378</v>
      </c>
      <c r="F3209" s="3">
        <v>1</v>
      </c>
      <c r="G3209" s="2"/>
      <c r="H3209" s="2"/>
      <c r="I3209" s="2"/>
      <c r="J3209" s="2"/>
      <c r="K3209" s="2"/>
      <c r="L3209" s="3" t="s">
        <v>431</v>
      </c>
      <c r="M3209" s="3" t="s">
        <v>5379</v>
      </c>
      <c r="N3209" s="48"/>
    </row>
    <row r="3210" spans="1:14" customFormat="1" x14ac:dyDescent="0.45">
      <c r="A3210" s="3" t="s">
        <v>4748</v>
      </c>
      <c r="B3210" s="32">
        <v>41513</v>
      </c>
      <c r="C3210" s="7" t="s">
        <v>302</v>
      </c>
      <c r="D3210" s="3"/>
      <c r="E3210" s="3" t="s">
        <v>5380</v>
      </c>
      <c r="F3210" s="3">
        <v>1</v>
      </c>
      <c r="G3210" s="2"/>
      <c r="H3210" s="2"/>
      <c r="I3210" s="2"/>
      <c r="J3210" s="2"/>
      <c r="K3210" s="2"/>
      <c r="L3210" s="3" t="s">
        <v>431</v>
      </c>
      <c r="M3210" s="3" t="s">
        <v>5381</v>
      </c>
      <c r="N3210" s="48"/>
    </row>
    <row r="3211" spans="1:14" customFormat="1" x14ac:dyDescent="0.45">
      <c r="A3211" s="3" t="s">
        <v>4748</v>
      </c>
      <c r="B3211" s="32">
        <v>41396</v>
      </c>
      <c r="C3211" s="7" t="s">
        <v>302</v>
      </c>
      <c r="D3211" s="3"/>
      <c r="E3211" s="3" t="s">
        <v>5382</v>
      </c>
      <c r="F3211" s="3">
        <v>25</v>
      </c>
      <c r="G3211" s="2"/>
      <c r="H3211" s="2"/>
      <c r="I3211" s="2"/>
      <c r="J3211" s="2"/>
      <c r="K3211" s="2"/>
      <c r="L3211" s="3" t="s">
        <v>431</v>
      </c>
      <c r="M3211" s="3" t="s">
        <v>5383</v>
      </c>
      <c r="N3211" s="48"/>
    </row>
    <row r="3212" spans="1:14" customFormat="1" x14ac:dyDescent="0.45">
      <c r="A3212" s="3" t="s">
        <v>4748</v>
      </c>
      <c r="B3212" s="32">
        <v>41358</v>
      </c>
      <c r="C3212" s="7" t="s">
        <v>302</v>
      </c>
      <c r="D3212" s="3"/>
      <c r="E3212" s="3" t="s">
        <v>5384</v>
      </c>
      <c r="F3212" s="3">
        <v>7</v>
      </c>
      <c r="G3212" s="2"/>
      <c r="H3212" s="2"/>
      <c r="I3212" s="2"/>
      <c r="J3212" s="2"/>
      <c r="K3212" s="2"/>
      <c r="L3212" s="3" t="s">
        <v>431</v>
      </c>
      <c r="M3212" s="3" t="s">
        <v>5385</v>
      </c>
      <c r="N3212" s="48"/>
    </row>
    <row r="3213" spans="1:14" customFormat="1" x14ac:dyDescent="0.45">
      <c r="A3213" s="3" t="s">
        <v>4748</v>
      </c>
      <c r="B3213" s="32">
        <v>41355</v>
      </c>
      <c r="C3213" s="7" t="s">
        <v>302</v>
      </c>
      <c r="D3213" s="3"/>
      <c r="E3213" s="3" t="s">
        <v>5386</v>
      </c>
      <c r="F3213" s="3">
        <v>2</v>
      </c>
      <c r="G3213" s="2"/>
      <c r="H3213" s="2"/>
      <c r="I3213" s="2"/>
      <c r="J3213" s="2"/>
      <c r="K3213" s="2"/>
      <c r="L3213" s="3" t="s">
        <v>431</v>
      </c>
      <c r="M3213" s="3" t="s">
        <v>5387</v>
      </c>
      <c r="N3213" s="48"/>
    </row>
    <row r="3214" spans="1:14" customFormat="1" x14ac:dyDescent="0.45">
      <c r="A3214" s="3" t="s">
        <v>4748</v>
      </c>
      <c r="B3214" s="32">
        <v>41285</v>
      </c>
      <c r="C3214" s="7" t="s">
        <v>302</v>
      </c>
      <c r="D3214" s="3"/>
      <c r="E3214" s="3" t="s">
        <v>5388</v>
      </c>
      <c r="F3214" s="3">
        <v>16</v>
      </c>
      <c r="G3214" s="2"/>
      <c r="H3214" s="2"/>
      <c r="I3214" s="2"/>
      <c r="J3214" s="2"/>
      <c r="K3214" s="2"/>
      <c r="L3214" s="3" t="s">
        <v>431</v>
      </c>
      <c r="M3214" s="3" t="s">
        <v>5389</v>
      </c>
      <c r="N3214" s="48"/>
    </row>
    <row r="3215" spans="1:14" customFormat="1" x14ac:dyDescent="0.45">
      <c r="A3215" s="3" t="s">
        <v>4748</v>
      </c>
      <c r="B3215" s="32">
        <v>41171</v>
      </c>
      <c r="C3215" s="7" t="s">
        <v>302</v>
      </c>
      <c r="D3215" s="3"/>
      <c r="E3215" s="3" t="s">
        <v>5390</v>
      </c>
      <c r="F3215" s="3">
        <v>1</v>
      </c>
      <c r="G3215" s="2"/>
      <c r="H3215" s="2"/>
      <c r="I3215" s="2"/>
      <c r="J3215" s="2"/>
      <c r="K3215" s="2"/>
      <c r="L3215" s="3" t="s">
        <v>431</v>
      </c>
      <c r="M3215" s="3" t="s">
        <v>5391</v>
      </c>
      <c r="N3215" s="48"/>
    </row>
    <row r="3216" spans="1:14" customFormat="1" x14ac:dyDescent="0.45">
      <c r="A3216" s="3" t="s">
        <v>4748</v>
      </c>
      <c r="B3216" s="32">
        <v>41171</v>
      </c>
      <c r="C3216" s="7" t="s">
        <v>302</v>
      </c>
      <c r="D3216" s="3"/>
      <c r="E3216" s="3" t="s">
        <v>5392</v>
      </c>
      <c r="F3216" s="3">
        <v>1</v>
      </c>
      <c r="G3216" s="2"/>
      <c r="H3216" s="2"/>
      <c r="I3216" s="2"/>
      <c r="J3216" s="2"/>
      <c r="K3216" s="2"/>
      <c r="L3216" s="3" t="s">
        <v>431</v>
      </c>
      <c r="M3216" s="3" t="s">
        <v>5393</v>
      </c>
      <c r="N3216" s="48"/>
    </row>
    <row r="3217" spans="1:14" customFormat="1" x14ac:dyDescent="0.45">
      <c r="A3217" s="3" t="s">
        <v>4748</v>
      </c>
      <c r="B3217" s="32">
        <v>41091</v>
      </c>
      <c r="C3217" s="7" t="s">
        <v>302</v>
      </c>
      <c r="D3217" s="3"/>
      <c r="E3217" s="3" t="s">
        <v>5394</v>
      </c>
      <c r="F3217" s="3">
        <v>9</v>
      </c>
      <c r="G3217" s="2"/>
      <c r="H3217" s="2"/>
      <c r="I3217" s="2"/>
      <c r="J3217" s="2"/>
      <c r="K3217" s="2"/>
      <c r="L3217" s="3" t="s">
        <v>431</v>
      </c>
      <c r="M3217" s="3" t="s">
        <v>5395</v>
      </c>
      <c r="N3217" s="48"/>
    </row>
    <row r="3218" spans="1:14" customFormat="1" x14ac:dyDescent="0.45">
      <c r="A3218" s="3" t="s">
        <v>4748</v>
      </c>
      <c r="B3218" s="32">
        <v>41090</v>
      </c>
      <c r="C3218" s="7" t="s">
        <v>302</v>
      </c>
      <c r="D3218" s="3"/>
      <c r="E3218" s="3" t="s">
        <v>5396</v>
      </c>
      <c r="F3218" s="3">
        <v>14</v>
      </c>
      <c r="G3218" s="2"/>
      <c r="H3218" s="2"/>
      <c r="I3218" s="2"/>
      <c r="J3218" s="2"/>
      <c r="K3218" s="2"/>
      <c r="L3218" s="3" t="s">
        <v>431</v>
      </c>
      <c r="M3218" s="3" t="s">
        <v>5397</v>
      </c>
      <c r="N3218" s="48"/>
    </row>
    <row r="3219" spans="1:14" customFormat="1" x14ac:dyDescent="0.45">
      <c r="A3219" s="3" t="s">
        <v>4748</v>
      </c>
      <c r="B3219" s="32">
        <v>41087</v>
      </c>
      <c r="C3219" s="7" t="s">
        <v>302</v>
      </c>
      <c r="D3219" s="3"/>
      <c r="E3219" s="3" t="s">
        <v>5398</v>
      </c>
      <c r="F3219" s="3">
        <v>2</v>
      </c>
      <c r="G3219" s="2"/>
      <c r="H3219" s="2"/>
      <c r="I3219" s="2"/>
      <c r="J3219" s="2"/>
      <c r="K3219" s="2"/>
      <c r="L3219" s="3" t="s">
        <v>431</v>
      </c>
      <c r="M3219" s="3" t="s">
        <v>5399</v>
      </c>
      <c r="N3219" s="48"/>
    </row>
    <row r="3220" spans="1:14" customFormat="1" x14ac:dyDescent="0.45">
      <c r="A3220" s="3" t="s">
        <v>4748</v>
      </c>
      <c r="B3220" s="32">
        <v>41087</v>
      </c>
      <c r="C3220" s="7" t="s">
        <v>302</v>
      </c>
      <c r="D3220" s="3"/>
      <c r="E3220" s="3" t="s">
        <v>5400</v>
      </c>
      <c r="F3220" s="3">
        <v>1</v>
      </c>
      <c r="G3220" s="2"/>
      <c r="H3220" s="2"/>
      <c r="I3220" s="2"/>
      <c r="J3220" s="2"/>
      <c r="K3220" s="2"/>
      <c r="L3220" s="3" t="s">
        <v>431</v>
      </c>
      <c r="M3220" s="3" t="s">
        <v>5401</v>
      </c>
      <c r="N3220" s="48"/>
    </row>
    <row r="3221" spans="1:14" customFormat="1" x14ac:dyDescent="0.45">
      <c r="A3221" s="3" t="s">
        <v>4748</v>
      </c>
      <c r="B3221" s="32">
        <v>41087</v>
      </c>
      <c r="C3221" s="7" t="s">
        <v>302</v>
      </c>
      <c r="D3221" s="3"/>
      <c r="E3221" s="3" t="s">
        <v>5402</v>
      </c>
      <c r="F3221" s="3">
        <v>1</v>
      </c>
      <c r="G3221" s="2"/>
      <c r="H3221" s="2"/>
      <c r="I3221" s="2"/>
      <c r="J3221" s="2"/>
      <c r="K3221" s="2"/>
      <c r="L3221" s="3" t="s">
        <v>431</v>
      </c>
      <c r="M3221" s="3" t="s">
        <v>5403</v>
      </c>
      <c r="N3221" s="48"/>
    </row>
    <row r="3222" spans="1:14" customFormat="1" x14ac:dyDescent="0.45">
      <c r="A3222" s="3" t="s">
        <v>4748</v>
      </c>
      <c r="B3222" s="32">
        <v>41030</v>
      </c>
      <c r="C3222" s="7" t="s">
        <v>302</v>
      </c>
      <c r="D3222" s="3"/>
      <c r="E3222" s="3" t="s">
        <v>5404</v>
      </c>
      <c r="F3222" s="3">
        <v>2</v>
      </c>
      <c r="G3222" s="2"/>
      <c r="H3222" s="2"/>
      <c r="I3222" s="2"/>
      <c r="J3222" s="2"/>
      <c r="K3222" s="2"/>
      <c r="L3222" s="3" t="s">
        <v>431</v>
      </c>
      <c r="M3222" s="3" t="s">
        <v>5405</v>
      </c>
      <c r="N3222" s="48"/>
    </row>
    <row r="3223" spans="1:14" customFormat="1" x14ac:dyDescent="0.45">
      <c r="A3223" s="3" t="s">
        <v>4748</v>
      </c>
      <c r="B3223" s="32">
        <v>41030</v>
      </c>
      <c r="C3223" s="7" t="s">
        <v>302</v>
      </c>
      <c r="D3223" s="3"/>
      <c r="E3223" s="3" t="s">
        <v>5406</v>
      </c>
      <c r="F3223" s="3">
        <v>1</v>
      </c>
      <c r="G3223" s="2"/>
      <c r="H3223" s="2"/>
      <c r="I3223" s="2"/>
      <c r="J3223" s="2"/>
      <c r="K3223" s="2"/>
      <c r="L3223" s="3" t="s">
        <v>431</v>
      </c>
      <c r="M3223" s="3" t="s">
        <v>5407</v>
      </c>
      <c r="N3223" s="48"/>
    </row>
    <row r="3224" spans="1:14" customFormat="1" x14ac:dyDescent="0.45">
      <c r="A3224" s="3" t="s">
        <v>4748</v>
      </c>
      <c r="B3224" s="32">
        <v>41029</v>
      </c>
      <c r="C3224" s="7" t="s">
        <v>302</v>
      </c>
      <c r="D3224" s="3"/>
      <c r="E3224" s="3" t="s">
        <v>5408</v>
      </c>
      <c r="F3224" s="3">
        <v>1</v>
      </c>
      <c r="G3224" s="2"/>
      <c r="H3224" s="2"/>
      <c r="I3224" s="2"/>
      <c r="J3224" s="2"/>
      <c r="K3224" s="2"/>
      <c r="L3224" s="3" t="s">
        <v>431</v>
      </c>
      <c r="M3224" s="3" t="s">
        <v>5409</v>
      </c>
      <c r="N3224" s="48"/>
    </row>
    <row r="3225" spans="1:14" customFormat="1" x14ac:dyDescent="0.45">
      <c r="A3225" s="3" t="s">
        <v>4748</v>
      </c>
      <c r="B3225" s="32">
        <v>41029</v>
      </c>
      <c r="C3225" s="7" t="s">
        <v>302</v>
      </c>
      <c r="D3225" s="3"/>
      <c r="E3225" s="3" t="s">
        <v>5410</v>
      </c>
      <c r="F3225" s="3">
        <v>4</v>
      </c>
      <c r="G3225" s="2"/>
      <c r="H3225" s="2"/>
      <c r="I3225" s="2"/>
      <c r="J3225" s="2"/>
      <c r="K3225" s="2"/>
      <c r="L3225" s="3" t="s">
        <v>431</v>
      </c>
      <c r="M3225" s="3" t="s">
        <v>5411</v>
      </c>
      <c r="N3225" s="48"/>
    </row>
    <row r="3226" spans="1:14" customFormat="1" x14ac:dyDescent="0.45">
      <c r="A3226" s="3" t="s">
        <v>4748</v>
      </c>
      <c r="B3226" s="32">
        <v>40777</v>
      </c>
      <c r="C3226" s="7" t="s">
        <v>302</v>
      </c>
      <c r="D3226" s="3"/>
      <c r="E3226" s="3" t="s">
        <v>5412</v>
      </c>
      <c r="F3226" s="3">
        <v>2</v>
      </c>
      <c r="G3226" s="2"/>
      <c r="H3226" s="2"/>
      <c r="I3226" s="2"/>
      <c r="J3226" s="2"/>
      <c r="K3226" s="2"/>
      <c r="L3226" s="3" t="s">
        <v>431</v>
      </c>
      <c r="M3226" s="3" t="s">
        <v>5413</v>
      </c>
      <c r="N3226" s="48"/>
    </row>
    <row r="3227" spans="1:14" customFormat="1" x14ac:dyDescent="0.45">
      <c r="A3227" s="3" t="s">
        <v>4748</v>
      </c>
      <c r="B3227" s="32">
        <v>40725</v>
      </c>
      <c r="C3227" s="7" t="s">
        <v>302</v>
      </c>
      <c r="D3227" s="3"/>
      <c r="E3227" s="3" t="s">
        <v>5414</v>
      </c>
      <c r="F3227" s="3">
        <v>2</v>
      </c>
      <c r="G3227" s="2"/>
      <c r="H3227" s="2"/>
      <c r="I3227" s="2"/>
      <c r="J3227" s="2"/>
      <c r="K3227" s="2"/>
      <c r="L3227" s="3" t="s">
        <v>431</v>
      </c>
      <c r="M3227" s="3" t="s">
        <v>5415</v>
      </c>
      <c r="N3227" s="48"/>
    </row>
    <row r="3228" spans="1:14" customFormat="1" x14ac:dyDescent="0.45">
      <c r="A3228" s="3" t="s">
        <v>4748</v>
      </c>
      <c r="B3228" s="32">
        <v>40725</v>
      </c>
      <c r="C3228" s="7" t="s">
        <v>302</v>
      </c>
      <c r="D3228" s="3"/>
      <c r="E3228" s="3" t="s">
        <v>5416</v>
      </c>
      <c r="F3228" s="3">
        <v>5</v>
      </c>
      <c r="G3228" s="2"/>
      <c r="H3228" s="2"/>
      <c r="I3228" s="2"/>
      <c r="J3228" s="2"/>
      <c r="K3228" s="2"/>
      <c r="L3228" s="3" t="s">
        <v>431</v>
      </c>
      <c r="M3228" s="3" t="s">
        <v>5417</v>
      </c>
      <c r="N3228" s="48"/>
    </row>
    <row r="3229" spans="1:14" customFormat="1" x14ac:dyDescent="0.45">
      <c r="A3229" s="3" t="s">
        <v>4748</v>
      </c>
      <c r="B3229" s="32">
        <v>40721</v>
      </c>
      <c r="C3229" s="7" t="s">
        <v>302</v>
      </c>
      <c r="D3229" s="3"/>
      <c r="E3229" s="3" t="s">
        <v>5418</v>
      </c>
      <c r="F3229" s="3">
        <v>4</v>
      </c>
      <c r="G3229" s="2"/>
      <c r="H3229" s="2"/>
      <c r="I3229" s="2"/>
      <c r="J3229" s="2"/>
      <c r="K3229" s="2"/>
      <c r="L3229" s="3" t="s">
        <v>431</v>
      </c>
      <c r="M3229" s="3" t="s">
        <v>5419</v>
      </c>
      <c r="N3229" s="48"/>
    </row>
    <row r="3230" spans="1:14" customFormat="1" x14ac:dyDescent="0.45">
      <c r="A3230" s="3" t="s">
        <v>4748</v>
      </c>
      <c r="B3230" s="32">
        <v>40721</v>
      </c>
      <c r="C3230" s="7" t="s">
        <v>302</v>
      </c>
      <c r="D3230" s="3"/>
      <c r="E3230" s="3" t="s">
        <v>5420</v>
      </c>
      <c r="F3230" s="3">
        <v>1</v>
      </c>
      <c r="G3230" s="2"/>
      <c r="H3230" s="2"/>
      <c r="I3230" s="2"/>
      <c r="J3230" s="2"/>
      <c r="K3230" s="2"/>
      <c r="L3230" s="3" t="s">
        <v>431</v>
      </c>
      <c r="M3230" s="3" t="s">
        <v>5421</v>
      </c>
      <c r="N3230" s="48"/>
    </row>
    <row r="3231" spans="1:14" customFormat="1" x14ac:dyDescent="0.45">
      <c r="A3231" s="3" t="s">
        <v>4748</v>
      </c>
      <c r="B3231" s="32">
        <v>40721</v>
      </c>
      <c r="C3231" s="7" t="s">
        <v>302</v>
      </c>
      <c r="D3231" s="3"/>
      <c r="E3231" s="3" t="s">
        <v>5422</v>
      </c>
      <c r="F3231" s="3">
        <v>6</v>
      </c>
      <c r="G3231" s="2"/>
      <c r="H3231" s="2"/>
      <c r="I3231" s="2"/>
      <c r="J3231" s="2"/>
      <c r="K3231" s="2"/>
      <c r="L3231" s="3" t="s">
        <v>431</v>
      </c>
      <c r="M3231" s="3" t="s">
        <v>5423</v>
      </c>
      <c r="N3231" s="48"/>
    </row>
    <row r="3232" spans="1:14" customFormat="1" x14ac:dyDescent="0.45">
      <c r="A3232" s="3" t="s">
        <v>4748</v>
      </c>
      <c r="B3232" s="32">
        <v>40663</v>
      </c>
      <c r="C3232" s="7" t="s">
        <v>302</v>
      </c>
      <c r="D3232" s="3"/>
      <c r="E3232" s="3" t="s">
        <v>5424</v>
      </c>
      <c r="F3232" s="3">
        <v>1</v>
      </c>
      <c r="G3232" s="2"/>
      <c r="H3232" s="2"/>
      <c r="I3232" s="2"/>
      <c r="J3232" s="2"/>
      <c r="K3232" s="2"/>
      <c r="L3232" s="3" t="s">
        <v>431</v>
      </c>
      <c r="M3232" s="3" t="s">
        <v>5425</v>
      </c>
      <c r="N3232" s="48"/>
    </row>
    <row r="3233" spans="1:14" customFormat="1" x14ac:dyDescent="0.45">
      <c r="A3233" s="3" t="s">
        <v>4748</v>
      </c>
      <c r="B3233" s="32">
        <v>40644</v>
      </c>
      <c r="C3233" s="7" t="s">
        <v>302</v>
      </c>
      <c r="D3233" s="3"/>
      <c r="E3233" s="3" t="s">
        <v>5426</v>
      </c>
      <c r="F3233" s="3">
        <v>3</v>
      </c>
      <c r="G3233" s="2"/>
      <c r="H3233" s="2"/>
      <c r="I3233" s="2"/>
      <c r="J3233" s="2"/>
      <c r="K3233" s="2"/>
      <c r="L3233" s="3" t="s">
        <v>431</v>
      </c>
      <c r="M3233" s="3" t="s">
        <v>5427</v>
      </c>
      <c r="N3233" s="48"/>
    </row>
    <row r="3234" spans="1:14" customFormat="1" x14ac:dyDescent="0.45">
      <c r="A3234" s="3" t="s">
        <v>4748</v>
      </c>
      <c r="B3234" s="32">
        <v>40624</v>
      </c>
      <c r="C3234" s="7" t="s">
        <v>302</v>
      </c>
      <c r="D3234" s="3"/>
      <c r="E3234" s="3" t="s">
        <v>5428</v>
      </c>
      <c r="F3234" s="3">
        <v>3</v>
      </c>
      <c r="G3234" s="2"/>
      <c r="H3234" s="2"/>
      <c r="I3234" s="2"/>
      <c r="J3234" s="2"/>
      <c r="K3234" s="2"/>
      <c r="L3234" s="3" t="s">
        <v>431</v>
      </c>
      <c r="M3234" s="3" t="s">
        <v>5429</v>
      </c>
      <c r="N3234" s="48"/>
    </row>
    <row r="3235" spans="1:14" customFormat="1" x14ac:dyDescent="0.45">
      <c r="A3235" s="3" t="s">
        <v>4748</v>
      </c>
      <c r="B3235" s="32">
        <v>40513</v>
      </c>
      <c r="C3235" s="7" t="s">
        <v>302</v>
      </c>
      <c r="D3235" s="3"/>
      <c r="E3235" s="3" t="s">
        <v>5430</v>
      </c>
      <c r="F3235" s="3">
        <v>2</v>
      </c>
      <c r="G3235" s="2"/>
      <c r="H3235" s="2"/>
      <c r="I3235" s="2"/>
      <c r="J3235" s="2"/>
      <c r="K3235" s="2"/>
      <c r="L3235" s="3" t="s">
        <v>431</v>
      </c>
      <c r="M3235" s="3" t="s">
        <v>5431</v>
      </c>
      <c r="N3235" s="48"/>
    </row>
    <row r="3236" spans="1:14" customFormat="1" x14ac:dyDescent="0.45">
      <c r="A3236" s="3" t="s">
        <v>4748</v>
      </c>
      <c r="B3236" s="32">
        <v>40451</v>
      </c>
      <c r="C3236" s="7" t="s">
        <v>302</v>
      </c>
      <c r="D3236" s="3"/>
      <c r="E3236" s="3" t="s">
        <v>5432</v>
      </c>
      <c r="F3236" s="3">
        <v>25</v>
      </c>
      <c r="G3236" s="2"/>
      <c r="H3236" s="2"/>
      <c r="I3236" s="2"/>
      <c r="J3236" s="2"/>
      <c r="K3236" s="2"/>
      <c r="L3236" s="3" t="s">
        <v>431</v>
      </c>
      <c r="M3236" s="3" t="s">
        <v>5433</v>
      </c>
      <c r="N3236" s="48"/>
    </row>
    <row r="3237" spans="1:14" customFormat="1" x14ac:dyDescent="0.45">
      <c r="A3237" s="3" t="s">
        <v>4748</v>
      </c>
      <c r="B3237" s="32">
        <v>40299</v>
      </c>
      <c r="C3237" s="7" t="s">
        <v>302</v>
      </c>
      <c r="D3237" s="3"/>
      <c r="E3237" s="3" t="s">
        <v>5434</v>
      </c>
      <c r="F3237" s="3">
        <v>3</v>
      </c>
      <c r="G3237" s="2"/>
      <c r="H3237" s="2"/>
      <c r="I3237" s="2"/>
      <c r="J3237" s="2"/>
      <c r="K3237" s="2"/>
      <c r="L3237" s="3" t="s">
        <v>431</v>
      </c>
      <c r="M3237" s="3" t="s">
        <v>5435</v>
      </c>
      <c r="N3237" s="48"/>
    </row>
    <row r="3238" spans="1:14" customFormat="1" x14ac:dyDescent="0.45">
      <c r="A3238" s="3" t="s">
        <v>4748</v>
      </c>
      <c r="B3238" s="32">
        <v>40298</v>
      </c>
      <c r="C3238" s="7" t="s">
        <v>302</v>
      </c>
      <c r="D3238" s="3"/>
      <c r="E3238" s="3" t="s">
        <v>5436</v>
      </c>
      <c r="F3238" s="3">
        <v>2</v>
      </c>
      <c r="G3238" s="2"/>
      <c r="H3238" s="2"/>
      <c r="I3238" s="2"/>
      <c r="J3238" s="2"/>
      <c r="K3238" s="2"/>
      <c r="L3238" s="3" t="s">
        <v>431</v>
      </c>
      <c r="M3238" s="3" t="s">
        <v>5437</v>
      </c>
      <c r="N3238" s="48"/>
    </row>
    <row r="3239" spans="1:14" customFormat="1" x14ac:dyDescent="0.45">
      <c r="A3239" s="3" t="s">
        <v>4748</v>
      </c>
      <c r="B3239" s="32">
        <v>40285</v>
      </c>
      <c r="C3239" s="7" t="s">
        <v>302</v>
      </c>
      <c r="D3239" s="3"/>
      <c r="E3239" s="3" t="s">
        <v>5438</v>
      </c>
      <c r="F3239" s="3">
        <v>1</v>
      </c>
      <c r="G3239" s="2"/>
      <c r="H3239" s="2"/>
      <c r="I3239" s="2"/>
      <c r="J3239" s="2"/>
      <c r="K3239" s="2"/>
      <c r="L3239" s="3" t="s">
        <v>431</v>
      </c>
      <c r="M3239" s="3" t="s">
        <v>5439</v>
      </c>
      <c r="N3239" s="48"/>
    </row>
    <row r="3240" spans="1:14" customFormat="1" x14ac:dyDescent="0.45">
      <c r="A3240" s="3" t="s">
        <v>4748</v>
      </c>
      <c r="B3240" s="32">
        <v>40279</v>
      </c>
      <c r="C3240" s="7" t="s">
        <v>302</v>
      </c>
      <c r="D3240" s="3"/>
      <c r="E3240" s="3" t="s">
        <v>5440</v>
      </c>
      <c r="F3240" s="3">
        <v>3</v>
      </c>
      <c r="G3240" s="2"/>
      <c r="H3240" s="2"/>
      <c r="I3240" s="2"/>
      <c r="J3240" s="2"/>
      <c r="K3240" s="2"/>
      <c r="L3240" s="3" t="s">
        <v>431</v>
      </c>
      <c r="M3240" s="3" t="s">
        <v>5441</v>
      </c>
      <c r="N3240" s="48"/>
    </row>
    <row r="3241" spans="1:14" customFormat="1" x14ac:dyDescent="0.45">
      <c r="A3241" s="3" t="s">
        <v>4748</v>
      </c>
      <c r="B3241" s="32">
        <v>39933</v>
      </c>
      <c r="C3241" s="7" t="s">
        <v>302</v>
      </c>
      <c r="D3241" s="3"/>
      <c r="E3241" s="3" t="s">
        <v>5442</v>
      </c>
      <c r="F3241" s="3">
        <v>3</v>
      </c>
      <c r="G3241" s="2"/>
      <c r="H3241" s="2"/>
      <c r="I3241" s="2"/>
      <c r="J3241" s="2"/>
      <c r="K3241" s="2"/>
      <c r="L3241" s="3" t="s">
        <v>431</v>
      </c>
      <c r="M3241" s="3" t="s">
        <v>5443</v>
      </c>
      <c r="N3241" s="48"/>
    </row>
    <row r="3242" spans="1:14" customFormat="1" x14ac:dyDescent="0.45">
      <c r="A3242" s="3" t="s">
        <v>4748</v>
      </c>
      <c r="B3242" s="32">
        <v>36704</v>
      </c>
      <c r="C3242" s="7" t="s">
        <v>302</v>
      </c>
      <c r="D3242" s="3"/>
      <c r="E3242" s="3" t="s">
        <v>5444</v>
      </c>
      <c r="F3242" s="3">
        <v>3</v>
      </c>
      <c r="G3242" s="2"/>
      <c r="H3242" s="2"/>
      <c r="I3242" s="2"/>
      <c r="J3242" s="2"/>
      <c r="K3242" s="2"/>
      <c r="L3242" s="3" t="s">
        <v>431</v>
      </c>
      <c r="M3242" s="3" t="s">
        <v>5445</v>
      </c>
      <c r="N3242" s="48"/>
    </row>
    <row r="3243" spans="1:14" customFormat="1" x14ac:dyDescent="0.45">
      <c r="A3243" s="3" t="s">
        <v>5446</v>
      </c>
      <c r="B3243" s="55">
        <v>45926</v>
      </c>
      <c r="C3243" s="7" t="s">
        <v>25</v>
      </c>
      <c r="D3243" s="3"/>
      <c r="E3243" s="56" t="s">
        <v>5447</v>
      </c>
      <c r="F3243" s="3">
        <v>5</v>
      </c>
      <c r="G3243" s="2"/>
      <c r="H3243" s="2"/>
      <c r="I3243" s="2"/>
      <c r="J3243" s="2"/>
      <c r="K3243" s="2"/>
      <c r="L3243" s="3"/>
      <c r="M3243" s="3"/>
      <c r="N3243" s="48"/>
    </row>
    <row r="3244" spans="1:14" customFormat="1" x14ac:dyDescent="0.45">
      <c r="A3244" s="3" t="s">
        <v>5446</v>
      </c>
      <c r="B3244" s="55">
        <v>45925</v>
      </c>
      <c r="C3244" s="7" t="s">
        <v>25</v>
      </c>
      <c r="D3244" s="3"/>
      <c r="E3244" s="56" t="s">
        <v>5448</v>
      </c>
      <c r="F3244" s="3">
        <v>5</v>
      </c>
      <c r="G3244" s="2"/>
      <c r="H3244" s="2"/>
      <c r="I3244" s="2"/>
      <c r="J3244" s="2"/>
      <c r="K3244" s="2"/>
      <c r="L3244" s="3"/>
      <c r="M3244" s="3"/>
      <c r="N3244" s="48"/>
    </row>
    <row r="3245" spans="1:14" customFormat="1" x14ac:dyDescent="0.45">
      <c r="A3245" s="3" t="s">
        <v>5446</v>
      </c>
      <c r="B3245" s="55">
        <v>45776</v>
      </c>
      <c r="C3245" s="7" t="s">
        <v>25</v>
      </c>
      <c r="D3245" s="3"/>
      <c r="E3245" s="56" t="s">
        <v>5449</v>
      </c>
      <c r="F3245" s="3">
        <v>5</v>
      </c>
      <c r="G3245" s="2"/>
      <c r="H3245" s="2"/>
      <c r="I3245" s="2"/>
      <c r="J3245" s="2"/>
      <c r="K3245" s="2"/>
      <c r="L3245" s="3"/>
      <c r="M3245" s="3"/>
      <c r="N3245" s="48"/>
    </row>
    <row r="3246" spans="1:14" customFormat="1" x14ac:dyDescent="0.45">
      <c r="A3246" s="3" t="s">
        <v>5446</v>
      </c>
      <c r="B3246" s="55">
        <v>45735</v>
      </c>
      <c r="C3246" s="7" t="s">
        <v>25</v>
      </c>
      <c r="D3246" s="3"/>
      <c r="E3246" s="56" t="s">
        <v>5450</v>
      </c>
      <c r="F3246" s="3">
        <v>11</v>
      </c>
      <c r="G3246" s="2"/>
      <c r="H3246" s="2"/>
      <c r="I3246" s="2"/>
      <c r="J3246" s="2"/>
      <c r="K3246" s="2"/>
      <c r="L3246" s="3"/>
      <c r="M3246" s="3"/>
      <c r="N3246" s="48"/>
    </row>
    <row r="3247" spans="1:14" customFormat="1" x14ac:dyDescent="0.45">
      <c r="A3247" s="3" t="s">
        <v>5446</v>
      </c>
      <c r="B3247" s="55">
        <v>45674</v>
      </c>
      <c r="C3247" s="7" t="s">
        <v>25</v>
      </c>
      <c r="D3247" s="3"/>
      <c r="E3247" s="56" t="s">
        <v>5451</v>
      </c>
      <c r="F3247" s="3">
        <v>4</v>
      </c>
      <c r="G3247" s="2"/>
      <c r="H3247" s="2"/>
      <c r="I3247" s="2"/>
      <c r="J3247" s="2"/>
      <c r="K3247" s="2"/>
      <c r="L3247" s="3"/>
      <c r="M3247" s="3"/>
      <c r="N3247" s="48"/>
    </row>
    <row r="3248" spans="1:14" customFormat="1" x14ac:dyDescent="0.45">
      <c r="A3248" s="3" t="s">
        <v>5446</v>
      </c>
      <c r="B3248" s="55">
        <v>45671</v>
      </c>
      <c r="C3248" s="7" t="s">
        <v>25</v>
      </c>
      <c r="D3248" s="3"/>
      <c r="E3248" s="56" t="s">
        <v>5452</v>
      </c>
      <c r="F3248" s="3">
        <v>10</v>
      </c>
      <c r="G3248" s="2"/>
      <c r="H3248" s="2"/>
      <c r="I3248" s="2"/>
      <c r="J3248" s="2"/>
      <c r="K3248" s="2"/>
      <c r="L3248" s="3" t="s">
        <v>5453</v>
      </c>
      <c r="M3248" s="3"/>
      <c r="N3248" s="48"/>
    </row>
    <row r="3249" spans="1:14" customFormat="1" x14ac:dyDescent="0.45">
      <c r="A3249" s="3" t="s">
        <v>5446</v>
      </c>
      <c r="B3249" s="55">
        <v>45603</v>
      </c>
      <c r="C3249" s="7" t="s">
        <v>25</v>
      </c>
      <c r="D3249" s="3"/>
      <c r="E3249" s="56" t="s">
        <v>5454</v>
      </c>
      <c r="F3249" s="3">
        <v>9</v>
      </c>
      <c r="G3249" s="2"/>
      <c r="H3249" s="2"/>
      <c r="I3249" s="2"/>
      <c r="J3249" s="2"/>
      <c r="K3249" s="2"/>
      <c r="L3249" s="3"/>
      <c r="M3249" s="3"/>
      <c r="N3249" s="48"/>
    </row>
    <row r="3250" spans="1:14" customFormat="1" x14ac:dyDescent="0.45">
      <c r="A3250" s="3" t="s">
        <v>5446</v>
      </c>
      <c r="B3250" s="55">
        <v>45597</v>
      </c>
      <c r="C3250" s="7" t="s">
        <v>25</v>
      </c>
      <c r="D3250" s="3"/>
      <c r="E3250" s="56" t="s">
        <v>5455</v>
      </c>
      <c r="F3250" s="3">
        <v>10</v>
      </c>
      <c r="G3250" s="2"/>
      <c r="H3250" s="2"/>
      <c r="I3250" s="2"/>
      <c r="J3250" s="2"/>
      <c r="K3250" s="2"/>
      <c r="L3250" s="3" t="s">
        <v>5453</v>
      </c>
      <c r="M3250" s="3"/>
      <c r="N3250" s="48"/>
    </row>
    <row r="3251" spans="1:14" customFormat="1" x14ac:dyDescent="0.45">
      <c r="A3251" s="3" t="s">
        <v>5446</v>
      </c>
      <c r="B3251" s="55">
        <v>45586</v>
      </c>
      <c r="C3251" s="7" t="s">
        <v>25</v>
      </c>
      <c r="D3251" s="3"/>
      <c r="E3251" s="56" t="s">
        <v>5456</v>
      </c>
      <c r="F3251" s="3">
        <v>10</v>
      </c>
      <c r="G3251" s="2"/>
      <c r="H3251" s="2"/>
      <c r="I3251" s="2"/>
      <c r="J3251" s="2"/>
      <c r="K3251" s="2"/>
      <c r="L3251" s="3"/>
      <c r="M3251" s="3"/>
      <c r="N3251" s="48"/>
    </row>
    <row r="3252" spans="1:14" customFormat="1" x14ac:dyDescent="0.45">
      <c r="A3252" s="3" t="s">
        <v>5446</v>
      </c>
      <c r="B3252" s="55">
        <v>45552</v>
      </c>
      <c r="C3252" s="7" t="s">
        <v>25</v>
      </c>
      <c r="D3252" s="3"/>
      <c r="E3252" s="56" t="s">
        <v>5457</v>
      </c>
      <c r="F3252" s="3">
        <v>8</v>
      </c>
      <c r="G3252" s="2"/>
      <c r="H3252" s="2"/>
      <c r="I3252" s="2"/>
      <c r="J3252" s="2"/>
      <c r="K3252" s="2"/>
      <c r="L3252" s="3"/>
      <c r="M3252" s="3"/>
      <c r="N3252" s="48"/>
    </row>
    <row r="3253" spans="1:14" customFormat="1" x14ac:dyDescent="0.45">
      <c r="A3253" s="3" t="s">
        <v>5446</v>
      </c>
      <c r="B3253" s="55">
        <v>45421</v>
      </c>
      <c r="C3253" s="7" t="s">
        <v>25</v>
      </c>
      <c r="D3253" s="3"/>
      <c r="E3253" s="56" t="s">
        <v>5458</v>
      </c>
      <c r="F3253" s="3">
        <f>9+14</f>
        <v>23</v>
      </c>
      <c r="G3253" s="2"/>
      <c r="H3253" s="2"/>
      <c r="I3253" s="2"/>
      <c r="J3253" s="2"/>
      <c r="K3253" s="2"/>
      <c r="L3253" s="3"/>
      <c r="M3253" s="3"/>
      <c r="N3253" s="48"/>
    </row>
    <row r="3254" spans="1:14" customFormat="1" x14ac:dyDescent="0.45">
      <c r="A3254" s="3" t="s">
        <v>5446</v>
      </c>
      <c r="B3254" s="55">
        <v>45117</v>
      </c>
      <c r="C3254" s="7" t="s">
        <v>25</v>
      </c>
      <c r="D3254" s="3"/>
      <c r="E3254" s="56" t="s">
        <v>5459</v>
      </c>
      <c r="F3254" s="3">
        <v>3</v>
      </c>
      <c r="G3254" s="2"/>
      <c r="H3254" s="2"/>
      <c r="I3254" s="2"/>
      <c r="J3254" s="2"/>
      <c r="K3254" s="2"/>
      <c r="L3254" s="3"/>
      <c r="M3254" s="3"/>
      <c r="N3254" s="48"/>
    </row>
    <row r="3255" spans="1:14" customFormat="1" x14ac:dyDescent="0.45">
      <c r="A3255" s="3" t="s">
        <v>5446</v>
      </c>
      <c r="B3255" s="55">
        <v>45013</v>
      </c>
      <c r="C3255" s="7" t="s">
        <v>25</v>
      </c>
      <c r="D3255" s="3"/>
      <c r="E3255" s="56" t="s">
        <v>5460</v>
      </c>
      <c r="F3255" s="3">
        <v>3</v>
      </c>
      <c r="G3255" s="2"/>
      <c r="H3255" s="2"/>
      <c r="I3255" s="2"/>
      <c r="J3255" s="2"/>
      <c r="K3255" s="2"/>
      <c r="L3255" s="3"/>
      <c r="M3255" s="3"/>
      <c r="N3255" s="48"/>
    </row>
    <row r="3256" spans="1:14" customFormat="1" x14ac:dyDescent="0.45">
      <c r="A3256" s="3" t="s">
        <v>5446</v>
      </c>
      <c r="B3256" s="55">
        <v>44872</v>
      </c>
      <c r="C3256" s="7" t="s">
        <v>25</v>
      </c>
      <c r="D3256" s="3"/>
      <c r="E3256" s="56" t="s">
        <v>5461</v>
      </c>
      <c r="F3256" s="3">
        <v>5</v>
      </c>
      <c r="G3256" s="2"/>
      <c r="H3256" s="2"/>
      <c r="I3256" s="2"/>
      <c r="J3256" s="2"/>
      <c r="K3256" s="2"/>
      <c r="L3256" s="3"/>
      <c r="M3256" s="3"/>
      <c r="N3256" s="48"/>
    </row>
    <row r="3257" spans="1:14" customFormat="1" x14ac:dyDescent="0.45">
      <c r="A3257" s="3" t="s">
        <v>5446</v>
      </c>
      <c r="B3257" s="55">
        <v>44816</v>
      </c>
      <c r="C3257" s="7" t="s">
        <v>25</v>
      </c>
      <c r="D3257" s="3"/>
      <c r="E3257" s="56" t="s">
        <v>5462</v>
      </c>
      <c r="F3257" s="3">
        <v>5</v>
      </c>
      <c r="G3257" s="2"/>
      <c r="H3257" s="2"/>
      <c r="I3257" s="2"/>
      <c r="J3257" s="2"/>
      <c r="K3257" s="2"/>
      <c r="L3257" s="3"/>
      <c r="M3257" s="3"/>
      <c r="N3257" s="48"/>
    </row>
    <row r="3258" spans="1:14" customFormat="1" x14ac:dyDescent="0.45">
      <c r="A3258" s="3" t="s">
        <v>5446</v>
      </c>
      <c r="B3258" s="55">
        <v>44733</v>
      </c>
      <c r="C3258" s="7" t="s">
        <v>25</v>
      </c>
      <c r="D3258" s="3"/>
      <c r="E3258" s="56" t="s">
        <v>5463</v>
      </c>
      <c r="F3258" s="3">
        <v>7</v>
      </c>
      <c r="G3258" s="2"/>
      <c r="H3258" s="2"/>
      <c r="I3258" s="2"/>
      <c r="J3258" s="2"/>
      <c r="K3258" s="2"/>
      <c r="L3258" s="3"/>
      <c r="M3258" s="3"/>
      <c r="N3258" s="48"/>
    </row>
    <row r="3259" spans="1:14" customFormat="1" x14ac:dyDescent="0.45">
      <c r="A3259" s="3" t="s">
        <v>5446</v>
      </c>
      <c r="B3259" s="55">
        <v>44672</v>
      </c>
      <c r="C3259" s="7" t="s">
        <v>25</v>
      </c>
      <c r="D3259" s="3"/>
      <c r="E3259" s="56" t="s">
        <v>5464</v>
      </c>
      <c r="F3259" s="3">
        <v>4</v>
      </c>
      <c r="G3259" s="2"/>
      <c r="H3259" s="2"/>
      <c r="I3259" s="2"/>
      <c r="J3259" s="2"/>
      <c r="K3259" s="2"/>
      <c r="L3259" s="3"/>
      <c r="M3259" s="3"/>
      <c r="N3259" s="48"/>
    </row>
    <row r="3260" spans="1:14" customFormat="1" x14ac:dyDescent="0.45">
      <c r="A3260" s="3" t="s">
        <v>5446</v>
      </c>
      <c r="B3260" s="55">
        <v>44616</v>
      </c>
      <c r="C3260" s="7" t="s">
        <v>25</v>
      </c>
      <c r="D3260" s="3"/>
      <c r="E3260" s="56" t="s">
        <v>5465</v>
      </c>
      <c r="F3260" s="3">
        <v>3</v>
      </c>
      <c r="G3260" s="2"/>
      <c r="H3260" s="2"/>
      <c r="I3260" s="2"/>
      <c r="J3260" s="2"/>
      <c r="K3260" s="2"/>
      <c r="L3260" s="3"/>
      <c r="M3260" s="3"/>
      <c r="N3260" s="48"/>
    </row>
    <row r="3261" spans="1:14" customFormat="1" x14ac:dyDescent="0.45">
      <c r="A3261" s="3" t="s">
        <v>5446</v>
      </c>
      <c r="B3261" s="55">
        <v>44466</v>
      </c>
      <c r="C3261" s="7" t="s">
        <v>25</v>
      </c>
      <c r="D3261" s="3"/>
      <c r="E3261" s="56" t="s">
        <v>5466</v>
      </c>
      <c r="F3261" s="3">
        <v>5</v>
      </c>
      <c r="G3261" s="2"/>
      <c r="H3261" s="2"/>
      <c r="I3261" s="2"/>
      <c r="J3261" s="2"/>
      <c r="K3261" s="2"/>
      <c r="L3261" s="3"/>
      <c r="M3261" s="3"/>
      <c r="N3261" s="48"/>
    </row>
    <row r="3262" spans="1:14" customFormat="1" x14ac:dyDescent="0.45">
      <c r="A3262" s="3" t="s">
        <v>5446</v>
      </c>
      <c r="B3262" s="55">
        <v>44405</v>
      </c>
      <c r="C3262" s="7" t="s">
        <v>25</v>
      </c>
      <c r="D3262" s="3"/>
      <c r="E3262" s="56" t="s">
        <v>5467</v>
      </c>
      <c r="F3262" s="3">
        <v>1</v>
      </c>
      <c r="G3262" s="2"/>
      <c r="H3262" s="2"/>
      <c r="I3262" s="2"/>
      <c r="J3262" s="2"/>
      <c r="K3262" s="2"/>
      <c r="L3262" s="3"/>
      <c r="M3262" s="3"/>
      <c r="N3262" s="48"/>
    </row>
    <row r="3263" spans="1:14" customFormat="1" x14ac:dyDescent="0.45">
      <c r="A3263" s="3" t="s">
        <v>5446</v>
      </c>
      <c r="B3263" s="55">
        <v>44349</v>
      </c>
      <c r="C3263" s="7" t="s">
        <v>25</v>
      </c>
      <c r="D3263" s="3"/>
      <c r="E3263" s="56" t="s">
        <v>5468</v>
      </c>
      <c r="F3263" s="3">
        <v>2</v>
      </c>
      <c r="G3263" s="2"/>
      <c r="H3263" s="2"/>
      <c r="I3263" s="2"/>
      <c r="J3263" s="2"/>
      <c r="K3263" s="2"/>
      <c r="L3263" s="3"/>
      <c r="M3263" s="3"/>
      <c r="N3263" s="48"/>
    </row>
    <row r="3264" spans="1:14" customFormat="1" x14ac:dyDescent="0.45">
      <c r="A3264" s="3" t="s">
        <v>5446</v>
      </c>
      <c r="B3264" s="55">
        <v>43895</v>
      </c>
      <c r="C3264" s="7" t="s">
        <v>25</v>
      </c>
      <c r="D3264" s="3"/>
      <c r="E3264" s="56" t="s">
        <v>5469</v>
      </c>
      <c r="F3264" s="3">
        <v>4</v>
      </c>
      <c r="G3264" s="2"/>
      <c r="H3264" s="2"/>
      <c r="I3264" s="2"/>
      <c r="J3264" s="2"/>
      <c r="K3264" s="2"/>
      <c r="L3264" s="3"/>
      <c r="M3264" s="3"/>
      <c r="N3264" s="48"/>
    </row>
    <row r="3265" spans="1:14" customFormat="1" x14ac:dyDescent="0.45">
      <c r="A3265" s="3" t="s">
        <v>5446</v>
      </c>
      <c r="B3265" s="55">
        <v>43852</v>
      </c>
      <c r="C3265" s="7" t="s">
        <v>25</v>
      </c>
      <c r="D3265" s="3"/>
      <c r="E3265" s="56" t="s">
        <v>5470</v>
      </c>
      <c r="F3265" s="3">
        <v>4</v>
      </c>
      <c r="G3265" s="2"/>
      <c r="H3265" s="2"/>
      <c r="I3265" s="2"/>
      <c r="J3265" s="2"/>
      <c r="K3265" s="2"/>
      <c r="L3265" s="3"/>
      <c r="M3265" s="3"/>
      <c r="N3265" s="48"/>
    </row>
    <row r="3266" spans="1:14" customFormat="1" x14ac:dyDescent="0.45">
      <c r="A3266" s="3" t="s">
        <v>5446</v>
      </c>
      <c r="B3266" s="55">
        <v>43803</v>
      </c>
      <c r="C3266" s="7" t="s">
        <v>25</v>
      </c>
      <c r="D3266" s="3"/>
      <c r="E3266" s="56" t="s">
        <v>5471</v>
      </c>
      <c r="F3266" s="3">
        <v>3</v>
      </c>
      <c r="G3266" s="2"/>
      <c r="H3266" s="2"/>
      <c r="I3266" s="2"/>
      <c r="J3266" s="2"/>
      <c r="K3266" s="2"/>
      <c r="L3266" s="3"/>
      <c r="M3266" s="3"/>
      <c r="N3266" s="48"/>
    </row>
    <row r="3267" spans="1:14" customFormat="1" x14ac:dyDescent="0.45">
      <c r="A3267" s="3" t="s">
        <v>5446</v>
      </c>
      <c r="B3267" s="55">
        <v>43748</v>
      </c>
      <c r="C3267" s="7" t="s">
        <v>25</v>
      </c>
      <c r="D3267" s="3"/>
      <c r="E3267" s="56" t="s">
        <v>5472</v>
      </c>
      <c r="F3267" s="3">
        <v>2</v>
      </c>
      <c r="G3267" s="2"/>
      <c r="H3267" s="2"/>
      <c r="I3267" s="2"/>
      <c r="J3267" s="2"/>
      <c r="K3267" s="2"/>
      <c r="L3267" s="3"/>
      <c r="M3267" s="3"/>
      <c r="N3267" s="48"/>
    </row>
    <row r="3268" spans="1:14" customFormat="1" x14ac:dyDescent="0.45">
      <c r="A3268" s="3" t="s">
        <v>5446</v>
      </c>
      <c r="B3268" s="55">
        <v>43738</v>
      </c>
      <c r="C3268" s="7" t="s">
        <v>25</v>
      </c>
      <c r="D3268" s="3"/>
      <c r="E3268" s="56" t="s">
        <v>5473</v>
      </c>
      <c r="F3268" s="3">
        <v>2</v>
      </c>
      <c r="G3268" s="2"/>
      <c r="H3268" s="2"/>
      <c r="I3268" s="2"/>
      <c r="J3268" s="2"/>
      <c r="K3268" s="2"/>
      <c r="L3268" s="3"/>
      <c r="M3268" s="3"/>
      <c r="N3268" s="48"/>
    </row>
    <row r="3269" spans="1:14" customFormat="1" x14ac:dyDescent="0.45">
      <c r="A3269" s="3" t="s">
        <v>5446</v>
      </c>
      <c r="B3269" s="55">
        <v>43690</v>
      </c>
      <c r="C3269" s="7" t="s">
        <v>25</v>
      </c>
      <c r="D3269" s="3"/>
      <c r="E3269" s="56" t="s">
        <v>5474</v>
      </c>
      <c r="F3269" s="3">
        <v>2</v>
      </c>
      <c r="G3269" s="2"/>
      <c r="H3269" s="2"/>
      <c r="I3269" s="2"/>
      <c r="J3269" s="2"/>
      <c r="K3269" s="2"/>
      <c r="L3269" s="3"/>
      <c r="M3269" s="3"/>
      <c r="N3269" s="48"/>
    </row>
    <row r="3270" spans="1:14" customFormat="1" x14ac:dyDescent="0.45">
      <c r="A3270" s="3" t="s">
        <v>5446</v>
      </c>
      <c r="B3270" s="55">
        <v>43530</v>
      </c>
      <c r="C3270" s="7" t="s">
        <v>25</v>
      </c>
      <c r="D3270" s="3"/>
      <c r="E3270" s="56" t="s">
        <v>5475</v>
      </c>
      <c r="F3270" s="3">
        <v>8</v>
      </c>
      <c r="G3270" s="2"/>
      <c r="H3270" s="2"/>
      <c r="I3270" s="2"/>
      <c r="J3270" s="2"/>
      <c r="K3270" s="2"/>
      <c r="L3270" s="3"/>
      <c r="M3270" s="3"/>
      <c r="N3270" s="48"/>
    </row>
    <row r="3271" spans="1:14" customFormat="1" x14ac:dyDescent="0.45">
      <c r="A3271" s="3" t="s">
        <v>5446</v>
      </c>
      <c r="B3271" s="55">
        <v>43390</v>
      </c>
      <c r="C3271" s="7" t="s">
        <v>25</v>
      </c>
      <c r="D3271" s="3"/>
      <c r="E3271" s="56" t="s">
        <v>5476</v>
      </c>
      <c r="F3271" s="3">
        <v>16</v>
      </c>
      <c r="G3271" s="2"/>
      <c r="H3271" s="2"/>
      <c r="I3271" s="2"/>
      <c r="J3271" s="2"/>
      <c r="K3271" s="2"/>
      <c r="L3271" s="3"/>
      <c r="M3271" s="3"/>
      <c r="N3271" s="48"/>
    </row>
    <row r="3272" spans="1:14" customFormat="1" x14ac:dyDescent="0.45">
      <c r="A3272" s="3" t="s">
        <v>5446</v>
      </c>
      <c r="B3272" s="55">
        <v>42999</v>
      </c>
      <c r="C3272" s="7" t="s">
        <v>25</v>
      </c>
      <c r="D3272" s="3"/>
      <c r="E3272" s="56" t="s">
        <v>5477</v>
      </c>
      <c r="F3272" s="3">
        <v>6</v>
      </c>
      <c r="G3272" s="2"/>
      <c r="H3272" s="2"/>
      <c r="I3272" s="2"/>
      <c r="J3272" s="2"/>
      <c r="K3272" s="2"/>
      <c r="L3272" s="3"/>
      <c r="M3272" s="3"/>
      <c r="N3272" s="48"/>
    </row>
    <row r="3273" spans="1:14" customFormat="1" x14ac:dyDescent="0.45">
      <c r="A3273" s="3" t="s">
        <v>5446</v>
      </c>
      <c r="B3273" s="55">
        <v>42265</v>
      </c>
      <c r="C3273" s="7" t="s">
        <v>25</v>
      </c>
      <c r="D3273" s="3"/>
      <c r="E3273" s="56" t="s">
        <v>5478</v>
      </c>
      <c r="F3273" s="3">
        <v>3</v>
      </c>
      <c r="G3273" s="2"/>
      <c r="H3273" s="2"/>
      <c r="I3273" s="2"/>
      <c r="J3273" s="2"/>
      <c r="K3273" s="2"/>
      <c r="L3273" s="3"/>
      <c r="M3273" s="3"/>
      <c r="N3273" s="48"/>
    </row>
    <row r="3274" spans="1:14" customFormat="1" x14ac:dyDescent="0.45">
      <c r="A3274" s="3" t="s">
        <v>5446</v>
      </c>
      <c r="B3274" s="55">
        <v>42080</v>
      </c>
      <c r="C3274" s="7" t="s">
        <v>25</v>
      </c>
      <c r="D3274" s="3"/>
      <c r="E3274" s="56" t="s">
        <v>5479</v>
      </c>
      <c r="F3274" s="3">
        <v>3</v>
      </c>
      <c r="G3274" s="2"/>
      <c r="H3274" s="2"/>
      <c r="I3274" s="2"/>
      <c r="J3274" s="2"/>
      <c r="K3274" s="2"/>
      <c r="L3274" s="3"/>
      <c r="M3274" s="3"/>
      <c r="N3274" s="48"/>
    </row>
    <row r="3275" spans="1:14" customFormat="1" x14ac:dyDescent="0.45">
      <c r="A3275" s="3" t="s">
        <v>5446</v>
      </c>
      <c r="B3275" s="55">
        <v>41990</v>
      </c>
      <c r="C3275" s="7" t="s">
        <v>25</v>
      </c>
      <c r="D3275" s="3"/>
      <c r="E3275" s="56" t="s">
        <v>5480</v>
      </c>
      <c r="F3275" s="3">
        <v>2</v>
      </c>
      <c r="G3275" s="2"/>
      <c r="H3275" s="2"/>
      <c r="I3275" s="2"/>
      <c r="J3275" s="2"/>
      <c r="K3275" s="2"/>
      <c r="L3275" s="3"/>
      <c r="M3275" s="3"/>
      <c r="N3275" s="48"/>
    </row>
    <row r="3276" spans="1:14" customFormat="1" x14ac:dyDescent="0.45">
      <c r="A3276" s="3" t="s">
        <v>5446</v>
      </c>
      <c r="B3276" s="55">
        <v>41939</v>
      </c>
      <c r="C3276" s="7" t="s">
        <v>25</v>
      </c>
      <c r="D3276" s="3"/>
      <c r="E3276" s="56" t="s">
        <v>5481</v>
      </c>
      <c r="F3276" s="3">
        <v>5</v>
      </c>
      <c r="G3276" s="2"/>
      <c r="H3276" s="2"/>
      <c r="I3276" s="2"/>
      <c r="J3276" s="2"/>
      <c r="K3276" s="2"/>
      <c r="L3276" s="3"/>
      <c r="M3276" s="3"/>
      <c r="N3276" s="48"/>
    </row>
    <row r="3277" spans="1:14" customFormat="1" x14ac:dyDescent="0.45">
      <c r="A3277" s="3" t="s">
        <v>5446</v>
      </c>
      <c r="B3277" s="55">
        <v>41876</v>
      </c>
      <c r="C3277" s="7" t="s">
        <v>25</v>
      </c>
      <c r="D3277" s="3"/>
      <c r="E3277" s="56" t="s">
        <v>5482</v>
      </c>
      <c r="F3277" s="3">
        <v>4</v>
      </c>
      <c r="G3277" s="2"/>
      <c r="H3277" s="2"/>
      <c r="I3277" s="2"/>
      <c r="J3277" s="2"/>
      <c r="K3277" s="2"/>
      <c r="L3277" s="3"/>
      <c r="M3277" s="3"/>
      <c r="N3277" s="48"/>
    </row>
    <row r="3278" spans="1:14" customFormat="1" x14ac:dyDescent="0.45">
      <c r="A3278" s="3" t="s">
        <v>5446</v>
      </c>
      <c r="B3278" s="55">
        <v>40949</v>
      </c>
      <c r="C3278" s="7" t="s">
        <v>25</v>
      </c>
      <c r="D3278" s="3"/>
      <c r="E3278" s="56" t="s">
        <v>5483</v>
      </c>
      <c r="F3278" s="3">
        <v>3</v>
      </c>
      <c r="G3278" s="2"/>
      <c r="H3278" s="2"/>
      <c r="I3278" s="2"/>
      <c r="J3278" s="2"/>
      <c r="K3278" s="2"/>
      <c r="L3278" s="3"/>
      <c r="M3278" s="3"/>
      <c r="N3278" s="48"/>
    </row>
    <row r="3279" spans="1:14" customFormat="1" x14ac:dyDescent="0.45">
      <c r="A3279" s="3" t="s">
        <v>5446</v>
      </c>
      <c r="B3279" s="55">
        <v>40795</v>
      </c>
      <c r="C3279" s="7" t="s">
        <v>25</v>
      </c>
      <c r="D3279" s="3"/>
      <c r="E3279" s="56" t="s">
        <v>5484</v>
      </c>
      <c r="F3279" s="3">
        <v>2</v>
      </c>
      <c r="G3279" s="2"/>
      <c r="H3279" s="2"/>
      <c r="I3279" s="2"/>
      <c r="J3279" s="2"/>
      <c r="K3279" s="2"/>
      <c r="L3279" s="3"/>
      <c r="M3279" s="3"/>
      <c r="N3279" s="48"/>
    </row>
    <row r="3280" spans="1:14" customFormat="1" x14ac:dyDescent="0.45">
      <c r="A3280" s="3" t="s">
        <v>5446</v>
      </c>
      <c r="B3280" s="55">
        <v>40387</v>
      </c>
      <c r="C3280" s="7" t="s">
        <v>25</v>
      </c>
      <c r="D3280" s="3"/>
      <c r="E3280" s="56" t="s">
        <v>5485</v>
      </c>
      <c r="F3280" s="3">
        <v>3</v>
      </c>
      <c r="G3280" s="2"/>
      <c r="H3280" s="2"/>
      <c r="I3280" s="2"/>
      <c r="J3280" s="2"/>
      <c r="K3280" s="2"/>
      <c r="L3280" s="3"/>
      <c r="M3280" s="3"/>
      <c r="N3280" s="48"/>
    </row>
    <row r="3281" spans="1:14" customFormat="1" x14ac:dyDescent="0.45">
      <c r="A3281" s="3" t="s">
        <v>5446</v>
      </c>
      <c r="B3281" s="35">
        <v>45867</v>
      </c>
      <c r="C3281" s="7" t="s">
        <v>21</v>
      </c>
      <c r="D3281" s="3"/>
      <c r="E3281" s="3" t="s">
        <v>5486</v>
      </c>
      <c r="F3281" s="3">
        <v>6</v>
      </c>
      <c r="G3281" s="2"/>
      <c r="H3281" s="2"/>
      <c r="I3281" s="2"/>
      <c r="J3281" s="2"/>
      <c r="K3281" s="2"/>
      <c r="L3281" s="3"/>
      <c r="M3281" s="24" t="s">
        <v>5487</v>
      </c>
      <c r="N3281" s="48"/>
    </row>
    <row r="3282" spans="1:14" customFormat="1" x14ac:dyDescent="0.45">
      <c r="A3282" s="3" t="s">
        <v>5446</v>
      </c>
      <c r="B3282" s="35">
        <v>45663</v>
      </c>
      <c r="C3282" s="7" t="s">
        <v>21</v>
      </c>
      <c r="D3282" s="3"/>
      <c r="E3282" s="3" t="s">
        <v>5488</v>
      </c>
      <c r="F3282" s="3">
        <v>7</v>
      </c>
      <c r="G3282" s="2"/>
      <c r="H3282" s="2"/>
      <c r="I3282" s="2"/>
      <c r="J3282" s="2"/>
      <c r="K3282" s="2"/>
      <c r="L3282" s="3"/>
      <c r="M3282" s="24" t="s">
        <v>5489</v>
      </c>
      <c r="N3282" s="48"/>
    </row>
    <row r="3283" spans="1:14" customFormat="1" x14ac:dyDescent="0.45">
      <c r="A3283" s="3" t="s">
        <v>5446</v>
      </c>
      <c r="B3283" s="35">
        <v>45602</v>
      </c>
      <c r="C3283" s="7" t="s">
        <v>21</v>
      </c>
      <c r="D3283" s="3"/>
      <c r="E3283" s="3" t="s">
        <v>5490</v>
      </c>
      <c r="F3283" s="3">
        <v>2</v>
      </c>
      <c r="G3283" s="2"/>
      <c r="H3283" s="2"/>
      <c r="I3283" s="2"/>
      <c r="J3283" s="2"/>
      <c r="K3283" s="2"/>
      <c r="L3283" s="3"/>
      <c r="M3283" s="24" t="s">
        <v>5491</v>
      </c>
      <c r="N3283" s="48"/>
    </row>
    <row r="3284" spans="1:14" customFormat="1" x14ac:dyDescent="0.45">
      <c r="A3284" s="3" t="s">
        <v>5446</v>
      </c>
      <c r="B3284" s="35">
        <v>45425</v>
      </c>
      <c r="C3284" s="7" t="s">
        <v>21</v>
      </c>
      <c r="D3284" s="3"/>
      <c r="E3284" s="3" t="s">
        <v>5492</v>
      </c>
      <c r="F3284" s="3">
        <v>4</v>
      </c>
      <c r="G3284" s="2"/>
      <c r="H3284" s="2"/>
      <c r="I3284" s="2"/>
      <c r="J3284" s="2"/>
      <c r="K3284" s="2"/>
      <c r="L3284" s="3"/>
      <c r="M3284" s="24" t="s">
        <v>5493</v>
      </c>
      <c r="N3284" s="48"/>
    </row>
    <row r="3285" spans="1:14" customFormat="1" x14ac:dyDescent="0.45">
      <c r="A3285" s="3" t="s">
        <v>5446</v>
      </c>
      <c r="B3285" s="35">
        <v>45425</v>
      </c>
      <c r="C3285" s="7" t="s">
        <v>21</v>
      </c>
      <c r="D3285" s="3"/>
      <c r="E3285" s="3" t="s">
        <v>5494</v>
      </c>
      <c r="F3285" s="3">
        <v>4</v>
      </c>
      <c r="G3285" s="2"/>
      <c r="H3285" s="2"/>
      <c r="I3285" s="2"/>
      <c r="J3285" s="2"/>
      <c r="K3285" s="2"/>
      <c r="L3285" s="3"/>
      <c r="M3285" s="24" t="s">
        <v>5495</v>
      </c>
      <c r="N3285" s="48"/>
    </row>
    <row r="3286" spans="1:14" customFormat="1" x14ac:dyDescent="0.45">
      <c r="A3286" s="3" t="s">
        <v>5446</v>
      </c>
      <c r="B3286" s="35">
        <v>45406</v>
      </c>
      <c r="C3286" s="7" t="s">
        <v>21</v>
      </c>
      <c r="D3286" s="3"/>
      <c r="E3286" s="3" t="s">
        <v>5496</v>
      </c>
      <c r="F3286" s="3">
        <v>3</v>
      </c>
      <c r="G3286" s="2"/>
      <c r="H3286" s="2"/>
      <c r="I3286" s="2"/>
      <c r="J3286" s="2"/>
      <c r="K3286" s="2"/>
      <c r="L3286" s="3"/>
      <c r="M3286" s="24" t="s">
        <v>5497</v>
      </c>
      <c r="N3286" s="48"/>
    </row>
    <row r="3287" spans="1:14" customFormat="1" x14ac:dyDescent="0.45">
      <c r="A3287" s="3" t="s">
        <v>5446</v>
      </c>
      <c r="B3287" s="35">
        <v>45300</v>
      </c>
      <c r="C3287" s="7" t="s">
        <v>21</v>
      </c>
      <c r="D3287" s="3"/>
      <c r="E3287" s="3" t="s">
        <v>5498</v>
      </c>
      <c r="F3287" s="3">
        <v>3</v>
      </c>
      <c r="G3287" s="2"/>
      <c r="H3287" s="2"/>
      <c r="I3287" s="2"/>
      <c r="J3287" s="2"/>
      <c r="K3287" s="2"/>
      <c r="L3287" s="3"/>
      <c r="M3287" s="24" t="s">
        <v>5499</v>
      </c>
      <c r="N3287" s="48"/>
    </row>
    <row r="3288" spans="1:14" customFormat="1" x14ac:dyDescent="0.45">
      <c r="A3288" s="3" t="s">
        <v>5446</v>
      </c>
      <c r="B3288" s="35">
        <v>45000</v>
      </c>
      <c r="C3288" s="7" t="s">
        <v>21</v>
      </c>
      <c r="D3288" s="3"/>
      <c r="E3288" s="3" t="s">
        <v>5500</v>
      </c>
      <c r="F3288" s="3">
        <v>5</v>
      </c>
      <c r="G3288" s="2"/>
      <c r="H3288" s="2"/>
      <c r="I3288" s="2"/>
      <c r="J3288" s="2"/>
      <c r="K3288" s="2"/>
      <c r="L3288" s="3"/>
      <c r="M3288" s="24" t="s">
        <v>5501</v>
      </c>
      <c r="N3288" s="48"/>
    </row>
    <row r="3289" spans="1:14" customFormat="1" x14ac:dyDescent="0.45">
      <c r="A3289" s="3" t="s">
        <v>5446</v>
      </c>
      <c r="B3289" s="35">
        <v>44978</v>
      </c>
      <c r="C3289" s="7" t="s">
        <v>21</v>
      </c>
      <c r="D3289" s="3"/>
      <c r="E3289" s="3" t="s">
        <v>5502</v>
      </c>
      <c r="F3289" s="3">
        <v>6</v>
      </c>
      <c r="G3289" s="2"/>
      <c r="H3289" s="2"/>
      <c r="I3289" s="2"/>
      <c r="J3289" s="2"/>
      <c r="K3289" s="2"/>
      <c r="L3289" s="3"/>
      <c r="M3289" s="24" t="s">
        <v>5503</v>
      </c>
      <c r="N3289" s="48"/>
    </row>
    <row r="3290" spans="1:14" customFormat="1" x14ac:dyDescent="0.45">
      <c r="A3290" s="3" t="s">
        <v>5446</v>
      </c>
      <c r="B3290" s="35">
        <v>44665</v>
      </c>
      <c r="C3290" s="7" t="s">
        <v>21</v>
      </c>
      <c r="D3290" s="3"/>
      <c r="E3290" s="3" t="s">
        <v>5504</v>
      </c>
      <c r="F3290" s="3">
        <v>5</v>
      </c>
      <c r="G3290" s="2"/>
      <c r="H3290" s="2"/>
      <c r="I3290" s="2"/>
      <c r="J3290" s="2"/>
      <c r="K3290" s="2"/>
      <c r="L3290" s="3"/>
      <c r="M3290" s="24" t="s">
        <v>5505</v>
      </c>
      <c r="N3290" s="48"/>
    </row>
    <row r="3291" spans="1:14" customFormat="1" x14ac:dyDescent="0.45">
      <c r="A3291" s="3" t="s">
        <v>5446</v>
      </c>
      <c r="B3291" s="35">
        <v>44582</v>
      </c>
      <c r="C3291" s="7" t="s">
        <v>21</v>
      </c>
      <c r="D3291" s="3"/>
      <c r="E3291" s="3" t="s">
        <v>5506</v>
      </c>
      <c r="F3291" s="3">
        <v>2</v>
      </c>
      <c r="G3291" s="2"/>
      <c r="H3291" s="2"/>
      <c r="I3291" s="2"/>
      <c r="J3291" s="2"/>
      <c r="K3291" s="2"/>
      <c r="L3291" s="3"/>
      <c r="M3291" s="24" t="s">
        <v>5507</v>
      </c>
      <c r="N3291" s="48"/>
    </row>
    <row r="3292" spans="1:14" customFormat="1" x14ac:dyDescent="0.45">
      <c r="A3292" s="3" t="s">
        <v>5446</v>
      </c>
      <c r="B3292" s="35">
        <v>44274</v>
      </c>
      <c r="C3292" s="7" t="s">
        <v>21</v>
      </c>
      <c r="D3292" s="3"/>
      <c r="E3292" s="3" t="s">
        <v>5508</v>
      </c>
      <c r="F3292" s="3">
        <v>3</v>
      </c>
      <c r="G3292" s="2"/>
      <c r="H3292" s="2"/>
      <c r="I3292" s="2"/>
      <c r="J3292" s="2"/>
      <c r="K3292" s="2"/>
      <c r="L3292" s="3"/>
      <c r="M3292" s="24" t="s">
        <v>5509</v>
      </c>
      <c r="N3292" s="48"/>
    </row>
    <row r="3293" spans="1:14" customFormat="1" x14ac:dyDescent="0.45">
      <c r="A3293" s="3" t="s">
        <v>5446</v>
      </c>
      <c r="B3293" s="35">
        <v>44246</v>
      </c>
      <c r="C3293" s="7" t="s">
        <v>21</v>
      </c>
      <c r="D3293" s="3"/>
      <c r="E3293" s="3" t="s">
        <v>5510</v>
      </c>
      <c r="F3293" s="3">
        <v>6</v>
      </c>
      <c r="G3293" s="2"/>
      <c r="H3293" s="2"/>
      <c r="I3293" s="2"/>
      <c r="J3293" s="2"/>
      <c r="K3293" s="2"/>
      <c r="L3293" s="3"/>
      <c r="M3293" s="24" t="s">
        <v>5511</v>
      </c>
      <c r="N3293" s="48"/>
    </row>
    <row r="3294" spans="1:14" customFormat="1" x14ac:dyDescent="0.45">
      <c r="A3294" s="3" t="s">
        <v>5446</v>
      </c>
      <c r="B3294" s="35">
        <v>44169</v>
      </c>
      <c r="C3294" s="7" t="s">
        <v>21</v>
      </c>
      <c r="D3294" s="3"/>
      <c r="E3294" s="3" t="s">
        <v>5512</v>
      </c>
      <c r="F3294" s="3">
        <v>3</v>
      </c>
      <c r="G3294" s="2"/>
      <c r="H3294" s="2"/>
      <c r="I3294" s="2"/>
      <c r="J3294" s="2"/>
      <c r="K3294" s="2"/>
      <c r="L3294" s="3"/>
      <c r="M3294" s="24" t="s">
        <v>5513</v>
      </c>
      <c r="N3294" s="48"/>
    </row>
    <row r="3295" spans="1:14" customFormat="1" x14ac:dyDescent="0.45">
      <c r="A3295" s="3" t="s">
        <v>5446</v>
      </c>
      <c r="B3295" s="35">
        <v>44132</v>
      </c>
      <c r="C3295" s="7" t="s">
        <v>21</v>
      </c>
      <c r="D3295" s="3"/>
      <c r="E3295" s="3" t="s">
        <v>5514</v>
      </c>
      <c r="F3295" s="3">
        <v>3</v>
      </c>
      <c r="G3295" s="2"/>
      <c r="H3295" s="2"/>
      <c r="I3295" s="2"/>
      <c r="J3295" s="2"/>
      <c r="K3295" s="2"/>
      <c r="L3295" s="3"/>
      <c r="M3295" s="24" t="s">
        <v>5515</v>
      </c>
      <c r="N3295" s="48"/>
    </row>
    <row r="3296" spans="1:14" customFormat="1" x14ac:dyDescent="0.45">
      <c r="A3296" s="3" t="s">
        <v>5446</v>
      </c>
      <c r="B3296" s="35">
        <v>44070</v>
      </c>
      <c r="C3296" s="7" t="s">
        <v>21</v>
      </c>
      <c r="D3296" s="3"/>
      <c r="E3296" s="3" t="s">
        <v>5516</v>
      </c>
      <c r="F3296" s="3">
        <v>3</v>
      </c>
      <c r="G3296" s="2"/>
      <c r="H3296" s="2"/>
      <c r="I3296" s="2"/>
      <c r="J3296" s="2"/>
      <c r="K3296" s="2"/>
      <c r="L3296" s="3"/>
      <c r="M3296" s="24" t="s">
        <v>5517</v>
      </c>
      <c r="N3296" s="48"/>
    </row>
    <row r="3297" spans="1:14" customFormat="1" x14ac:dyDescent="0.45">
      <c r="A3297" s="3" t="s">
        <v>5446</v>
      </c>
      <c r="B3297" s="35">
        <v>43901</v>
      </c>
      <c r="C3297" s="7" t="s">
        <v>21</v>
      </c>
      <c r="D3297" s="3"/>
      <c r="E3297" s="3" t="s">
        <v>5518</v>
      </c>
      <c r="F3297" s="3">
        <v>4</v>
      </c>
      <c r="G3297" s="2"/>
      <c r="H3297" s="2"/>
      <c r="I3297" s="2"/>
      <c r="J3297" s="2"/>
      <c r="K3297" s="2"/>
      <c r="L3297" s="3"/>
      <c r="M3297" s="24" t="s">
        <v>5519</v>
      </c>
      <c r="N3297" s="48"/>
    </row>
    <row r="3298" spans="1:14" customFormat="1" x14ac:dyDescent="0.45">
      <c r="A3298" s="3" t="s">
        <v>5446</v>
      </c>
      <c r="B3298" s="35">
        <v>43860</v>
      </c>
      <c r="C3298" s="7" t="s">
        <v>21</v>
      </c>
      <c r="D3298" s="3"/>
      <c r="E3298" s="3" t="s">
        <v>5520</v>
      </c>
      <c r="F3298" s="3">
        <v>2</v>
      </c>
      <c r="G3298" s="2"/>
      <c r="H3298" s="2"/>
      <c r="I3298" s="2"/>
      <c r="J3298" s="2"/>
      <c r="K3298" s="2"/>
      <c r="L3298" s="3"/>
      <c r="M3298" s="24" t="s">
        <v>5521</v>
      </c>
      <c r="N3298" s="48"/>
    </row>
    <row r="3299" spans="1:14" customFormat="1" x14ac:dyDescent="0.45">
      <c r="A3299" s="3" t="s">
        <v>5446</v>
      </c>
      <c r="B3299" s="35">
        <v>43818</v>
      </c>
      <c r="C3299" s="7" t="s">
        <v>21</v>
      </c>
      <c r="D3299" s="3"/>
      <c r="E3299" s="3" t="s">
        <v>5522</v>
      </c>
      <c r="F3299" s="3">
        <v>4</v>
      </c>
      <c r="G3299" s="2"/>
      <c r="H3299" s="2"/>
      <c r="I3299" s="2"/>
      <c r="J3299" s="2"/>
      <c r="K3299" s="2"/>
      <c r="L3299" s="3"/>
      <c r="M3299" s="24" t="s">
        <v>5523</v>
      </c>
      <c r="N3299" s="48"/>
    </row>
    <row r="3300" spans="1:14" customFormat="1" x14ac:dyDescent="0.45">
      <c r="A3300" s="3" t="s">
        <v>5446</v>
      </c>
      <c r="B3300" s="35">
        <v>43725</v>
      </c>
      <c r="C3300" s="7" t="s">
        <v>21</v>
      </c>
      <c r="D3300" s="3"/>
      <c r="E3300" s="3" t="s">
        <v>5524</v>
      </c>
      <c r="F3300" s="3">
        <v>6</v>
      </c>
      <c r="G3300" s="2"/>
      <c r="H3300" s="2"/>
      <c r="I3300" s="2"/>
      <c r="J3300" s="2"/>
      <c r="K3300" s="2"/>
      <c r="L3300" s="3"/>
      <c r="M3300" s="24" t="s">
        <v>5525</v>
      </c>
      <c r="N3300" s="48"/>
    </row>
    <row r="3301" spans="1:14" customFormat="1" x14ac:dyDescent="0.45">
      <c r="A3301" s="3" t="s">
        <v>5446</v>
      </c>
      <c r="B3301" s="35">
        <v>43434</v>
      </c>
      <c r="C3301" s="7" t="s">
        <v>21</v>
      </c>
      <c r="D3301" s="3"/>
      <c r="E3301" s="3" t="s">
        <v>5526</v>
      </c>
      <c r="F3301" s="3">
        <v>2</v>
      </c>
      <c r="G3301" s="2"/>
      <c r="H3301" s="2"/>
      <c r="I3301" s="2"/>
      <c r="J3301" s="2"/>
      <c r="K3301" s="2"/>
      <c r="L3301" s="3"/>
      <c r="M3301" s="24" t="s">
        <v>5527</v>
      </c>
      <c r="N3301" s="48"/>
    </row>
    <row r="3302" spans="1:14" customFormat="1" x14ac:dyDescent="0.45">
      <c r="A3302" s="3" t="s">
        <v>5446</v>
      </c>
      <c r="B3302" s="35">
        <v>43353</v>
      </c>
      <c r="C3302" s="7" t="s">
        <v>21</v>
      </c>
      <c r="D3302" s="3"/>
      <c r="E3302" s="3" t="s">
        <v>5528</v>
      </c>
      <c r="F3302" s="3">
        <v>5</v>
      </c>
      <c r="G3302" s="2"/>
      <c r="H3302" s="2"/>
      <c r="I3302" s="2"/>
      <c r="J3302" s="2"/>
      <c r="K3302" s="2"/>
      <c r="L3302" s="3"/>
      <c r="M3302" s="24" t="s">
        <v>5529</v>
      </c>
      <c r="N3302" s="48"/>
    </row>
    <row r="3303" spans="1:14" customFormat="1" x14ac:dyDescent="0.45">
      <c r="A3303" s="3" t="s">
        <v>5446</v>
      </c>
      <c r="B3303" s="35">
        <v>43256</v>
      </c>
      <c r="C3303" s="7" t="s">
        <v>21</v>
      </c>
      <c r="D3303" s="3"/>
      <c r="E3303" s="3" t="s">
        <v>5530</v>
      </c>
      <c r="F3303" s="3">
        <v>3</v>
      </c>
      <c r="G3303" s="2"/>
      <c r="H3303" s="2"/>
      <c r="I3303" s="2"/>
      <c r="J3303" s="2"/>
      <c r="K3303" s="2"/>
      <c r="L3303" s="3"/>
      <c r="M3303" s="24" t="s">
        <v>5531</v>
      </c>
      <c r="N3303" s="48"/>
    </row>
    <row r="3304" spans="1:14" customFormat="1" x14ac:dyDescent="0.45">
      <c r="A3304" s="3" t="s">
        <v>5446</v>
      </c>
      <c r="B3304" s="35">
        <v>43221</v>
      </c>
      <c r="C3304" s="7" t="s">
        <v>21</v>
      </c>
      <c r="D3304" s="3"/>
      <c r="E3304" s="3" t="s">
        <v>5532</v>
      </c>
      <c r="F3304" s="3">
        <v>2</v>
      </c>
      <c r="G3304" s="2"/>
      <c r="H3304" s="2"/>
      <c r="I3304" s="2"/>
      <c r="J3304" s="2"/>
      <c r="K3304" s="2"/>
      <c r="L3304" s="3"/>
      <c r="M3304" s="24" t="s">
        <v>5533</v>
      </c>
      <c r="N3304" s="48"/>
    </row>
    <row r="3305" spans="1:14" customFormat="1" x14ac:dyDescent="0.45">
      <c r="A3305" s="3" t="s">
        <v>5446</v>
      </c>
      <c r="B3305" s="35">
        <v>43199</v>
      </c>
      <c r="C3305" s="7" t="s">
        <v>21</v>
      </c>
      <c r="D3305" s="3"/>
      <c r="E3305" s="3" t="s">
        <v>5534</v>
      </c>
      <c r="F3305" s="3">
        <v>6</v>
      </c>
      <c r="G3305" s="2"/>
      <c r="H3305" s="2"/>
      <c r="I3305" s="2"/>
      <c r="J3305" s="2"/>
      <c r="K3305" s="2"/>
      <c r="L3305" s="3"/>
      <c r="M3305" s="24" t="s">
        <v>5535</v>
      </c>
      <c r="N3305" s="48"/>
    </row>
    <row r="3306" spans="1:14" customFormat="1" x14ac:dyDescent="0.45">
      <c r="A3306" s="3" t="s">
        <v>5446</v>
      </c>
      <c r="B3306" s="35">
        <v>42968</v>
      </c>
      <c r="C3306" s="7" t="s">
        <v>21</v>
      </c>
      <c r="D3306" s="3"/>
      <c r="E3306" s="3" t="s">
        <v>5536</v>
      </c>
      <c r="F3306" s="3">
        <v>3</v>
      </c>
      <c r="G3306" s="2"/>
      <c r="H3306" s="2"/>
      <c r="I3306" s="2"/>
      <c r="J3306" s="2"/>
      <c r="K3306" s="2"/>
      <c r="L3306" s="3"/>
      <c r="M3306" s="24" t="s">
        <v>5537</v>
      </c>
      <c r="N3306" s="48"/>
    </row>
    <row r="3307" spans="1:14" customFormat="1" x14ac:dyDescent="0.45">
      <c r="A3307" s="3" t="s">
        <v>5446</v>
      </c>
      <c r="B3307" s="35">
        <v>42867</v>
      </c>
      <c r="C3307" s="7" t="s">
        <v>21</v>
      </c>
      <c r="D3307" s="3"/>
      <c r="E3307" s="3" t="s">
        <v>5538</v>
      </c>
      <c r="F3307" s="3">
        <v>2</v>
      </c>
      <c r="G3307" s="2"/>
      <c r="H3307" s="2"/>
      <c r="I3307" s="2"/>
      <c r="J3307" s="2"/>
      <c r="K3307" s="2"/>
      <c r="L3307" s="3"/>
      <c r="M3307" s="24" t="s">
        <v>5539</v>
      </c>
      <c r="N3307" s="48"/>
    </row>
    <row r="3308" spans="1:14" customFormat="1" x14ac:dyDescent="0.45">
      <c r="A3308" s="3" t="s">
        <v>5446</v>
      </c>
      <c r="B3308" s="35">
        <v>42741</v>
      </c>
      <c r="C3308" s="7" t="s">
        <v>21</v>
      </c>
      <c r="D3308" s="3"/>
      <c r="E3308" s="3" t="s">
        <v>5540</v>
      </c>
      <c r="F3308" s="3">
        <v>2</v>
      </c>
      <c r="G3308" s="2"/>
      <c r="H3308" s="2"/>
      <c r="I3308" s="2"/>
      <c r="J3308" s="2"/>
      <c r="K3308" s="2"/>
      <c r="L3308" s="3"/>
      <c r="M3308" s="24" t="s">
        <v>5541</v>
      </c>
      <c r="N3308" s="48"/>
    </row>
    <row r="3309" spans="1:14" customFormat="1" x14ac:dyDescent="0.45">
      <c r="A3309" s="3" t="s">
        <v>5446</v>
      </c>
      <c r="B3309" s="35">
        <v>42614</v>
      </c>
      <c r="C3309" s="7" t="s">
        <v>21</v>
      </c>
      <c r="D3309" s="3"/>
      <c r="E3309" s="3" t="s">
        <v>5542</v>
      </c>
      <c r="F3309" s="3">
        <v>4</v>
      </c>
      <c r="G3309" s="2"/>
      <c r="H3309" s="2"/>
      <c r="I3309" s="2"/>
      <c r="J3309" s="2"/>
      <c r="K3309" s="2"/>
      <c r="L3309" s="3"/>
      <c r="M3309" s="24" t="s">
        <v>5543</v>
      </c>
      <c r="N3309" s="48"/>
    </row>
    <row r="3310" spans="1:14" customFormat="1" x14ac:dyDescent="0.45">
      <c r="A3310" s="3" t="s">
        <v>5446</v>
      </c>
      <c r="B3310" s="35">
        <v>42485</v>
      </c>
      <c r="C3310" s="7" t="s">
        <v>21</v>
      </c>
      <c r="D3310" s="3"/>
      <c r="E3310" s="3" t="s">
        <v>5544</v>
      </c>
      <c r="F3310" s="3">
        <v>6</v>
      </c>
      <c r="G3310" s="2"/>
      <c r="H3310" s="2"/>
      <c r="I3310" s="2"/>
      <c r="J3310" s="2"/>
      <c r="K3310" s="2"/>
      <c r="L3310" s="3"/>
      <c r="M3310" s="24" t="s">
        <v>5545</v>
      </c>
      <c r="N3310" s="48"/>
    </row>
    <row r="3311" spans="1:14" customFormat="1" x14ac:dyDescent="0.45">
      <c r="A3311" s="3" t="s">
        <v>5446</v>
      </c>
      <c r="B3311" s="35">
        <v>42374</v>
      </c>
      <c r="C3311" s="7" t="s">
        <v>21</v>
      </c>
      <c r="D3311" s="3"/>
      <c r="E3311" s="3" t="s">
        <v>5546</v>
      </c>
      <c r="F3311" s="3">
        <v>4</v>
      </c>
      <c r="G3311" s="2"/>
      <c r="H3311" s="2"/>
      <c r="I3311" s="2"/>
      <c r="J3311" s="2"/>
      <c r="K3311" s="2"/>
      <c r="L3311" s="3" t="s">
        <v>5548</v>
      </c>
      <c r="M3311" s="24" t="s">
        <v>5547</v>
      </c>
      <c r="N3311" s="48"/>
    </row>
    <row r="3312" spans="1:14" customFormat="1" x14ac:dyDescent="0.45">
      <c r="A3312" s="3" t="s">
        <v>5446</v>
      </c>
      <c r="B3312" s="35">
        <v>41680</v>
      </c>
      <c r="C3312" s="7" t="s">
        <v>21</v>
      </c>
      <c r="D3312" s="3"/>
      <c r="E3312" s="3" t="s">
        <v>5549</v>
      </c>
      <c r="F3312" s="3">
        <v>3</v>
      </c>
      <c r="G3312" s="2"/>
      <c r="H3312" s="2"/>
      <c r="I3312" s="2"/>
      <c r="J3312" s="2"/>
      <c r="K3312" s="2"/>
      <c r="L3312" s="3"/>
      <c r="M3312" s="24" t="s">
        <v>5550</v>
      </c>
      <c r="N3312" s="48"/>
    </row>
    <row r="3313" spans="1:14" customFormat="1" x14ac:dyDescent="0.45">
      <c r="A3313" s="3" t="s">
        <v>5446</v>
      </c>
      <c r="B3313" s="35">
        <v>40949</v>
      </c>
      <c r="C3313" s="7" t="s">
        <v>21</v>
      </c>
      <c r="D3313" s="53"/>
      <c r="E3313" s="53" t="s">
        <v>5551</v>
      </c>
      <c r="F3313" s="3">
        <v>2</v>
      </c>
      <c r="G3313" s="2"/>
      <c r="H3313" s="2"/>
      <c r="I3313" s="2"/>
      <c r="J3313" s="2"/>
      <c r="K3313" s="2"/>
      <c r="L3313" s="3"/>
      <c r="M3313" s="24" t="s">
        <v>5552</v>
      </c>
      <c r="N3313" s="48"/>
    </row>
    <row r="3314" spans="1:14" customFormat="1" x14ac:dyDescent="0.45">
      <c r="A3314" s="3" t="s">
        <v>5446</v>
      </c>
      <c r="B3314" s="35">
        <v>40920</v>
      </c>
      <c r="C3314" s="7" t="s">
        <v>21</v>
      </c>
      <c r="D3314" s="53"/>
      <c r="E3314" s="3" t="s">
        <v>5553</v>
      </c>
      <c r="F3314" s="3">
        <v>2</v>
      </c>
      <c r="G3314" s="2"/>
      <c r="H3314" s="2"/>
      <c r="I3314" s="2"/>
      <c r="J3314" s="2"/>
      <c r="K3314" s="2"/>
      <c r="L3314" s="3"/>
      <c r="M3314" s="24" t="s">
        <v>5554</v>
      </c>
      <c r="N3314" s="48"/>
    </row>
    <row r="3315" spans="1:14" customFormat="1" x14ac:dyDescent="0.45">
      <c r="A3315" s="3" t="s">
        <v>5446</v>
      </c>
      <c r="B3315" s="35">
        <v>40413</v>
      </c>
      <c r="C3315" s="7" t="s">
        <v>21</v>
      </c>
      <c r="D3315" s="53"/>
      <c r="E3315" s="3" t="s">
        <v>5555</v>
      </c>
      <c r="F3315" s="3">
        <v>2</v>
      </c>
      <c r="G3315" s="2"/>
      <c r="H3315" s="2"/>
      <c r="I3315" s="2"/>
      <c r="J3315" s="2"/>
      <c r="K3315" s="2"/>
      <c r="L3315" s="3"/>
      <c r="M3315" s="24" t="s">
        <v>5556</v>
      </c>
      <c r="N3315" s="48"/>
    </row>
    <row r="3316" spans="1:14" customFormat="1" x14ac:dyDescent="0.45">
      <c r="A3316" s="3" t="s">
        <v>5446</v>
      </c>
      <c r="B3316" s="35">
        <v>40155</v>
      </c>
      <c r="C3316" s="7" t="s">
        <v>21</v>
      </c>
      <c r="D3316" s="53"/>
      <c r="E3316" s="3" t="s">
        <v>5557</v>
      </c>
      <c r="F3316" s="3">
        <v>4</v>
      </c>
      <c r="G3316" s="2"/>
      <c r="H3316" s="2"/>
      <c r="I3316" s="2"/>
      <c r="J3316" s="2"/>
      <c r="K3316" s="2"/>
      <c r="L3316" s="3"/>
      <c r="M3316" s="24" t="s">
        <v>5558</v>
      </c>
      <c r="N3316" s="48"/>
    </row>
    <row r="3317" spans="1:14" customFormat="1" x14ac:dyDescent="0.45">
      <c r="A3317" s="3" t="s">
        <v>5446</v>
      </c>
      <c r="B3317" s="35">
        <v>39945</v>
      </c>
      <c r="C3317" s="7" t="s">
        <v>21</v>
      </c>
      <c r="D3317" s="53"/>
      <c r="E3317" s="3" t="s">
        <v>5559</v>
      </c>
      <c r="F3317" s="3">
        <v>3</v>
      </c>
      <c r="G3317" s="2"/>
      <c r="H3317" s="2"/>
      <c r="I3317" s="2"/>
      <c r="J3317" s="2"/>
      <c r="K3317" s="2"/>
      <c r="L3317" s="3"/>
      <c r="M3317" s="24" t="s">
        <v>5560</v>
      </c>
      <c r="N3317" s="48"/>
    </row>
    <row r="3318" spans="1:14" customFormat="1" x14ac:dyDescent="0.45">
      <c r="A3318" s="3" t="s">
        <v>5446</v>
      </c>
      <c r="B3318" s="35">
        <v>39580</v>
      </c>
      <c r="C3318" s="7" t="s">
        <v>21</v>
      </c>
      <c r="D3318" s="53"/>
      <c r="E3318" s="3" t="s">
        <v>5561</v>
      </c>
      <c r="F3318" s="3">
        <v>2</v>
      </c>
      <c r="G3318" s="2"/>
      <c r="H3318" s="2"/>
      <c r="I3318" s="2"/>
      <c r="J3318" s="2"/>
      <c r="K3318" s="2"/>
      <c r="L3318" s="3"/>
      <c r="M3318" s="24" t="s">
        <v>5562</v>
      </c>
      <c r="N3318" s="48"/>
    </row>
    <row r="3319" spans="1:14" customFormat="1" x14ac:dyDescent="0.45">
      <c r="A3319" s="3" t="s">
        <v>5446</v>
      </c>
      <c r="B3319" s="35">
        <v>39260</v>
      </c>
      <c r="C3319" s="7" t="s">
        <v>21</v>
      </c>
      <c r="D3319" s="53"/>
      <c r="E3319" s="3" t="s">
        <v>5563</v>
      </c>
      <c r="F3319" s="3">
        <v>2</v>
      </c>
      <c r="G3319" s="2"/>
      <c r="H3319" s="2"/>
      <c r="I3319" s="2"/>
      <c r="J3319" s="2"/>
      <c r="K3319" s="2"/>
      <c r="L3319" s="3"/>
      <c r="M3319" s="24" t="s">
        <v>5564</v>
      </c>
      <c r="N3319" s="48"/>
    </row>
    <row r="3320" spans="1:14" customFormat="1" x14ac:dyDescent="0.45">
      <c r="A3320" s="3" t="s">
        <v>5446</v>
      </c>
      <c r="B3320" s="35">
        <v>38847</v>
      </c>
      <c r="C3320" s="7" t="s">
        <v>21</v>
      </c>
      <c r="D3320" s="53"/>
      <c r="E3320" s="3" t="s">
        <v>5565</v>
      </c>
      <c r="F3320" s="3">
        <v>2</v>
      </c>
      <c r="G3320" s="2"/>
      <c r="H3320" s="2"/>
      <c r="I3320" s="2"/>
      <c r="J3320" s="2"/>
      <c r="K3320" s="2"/>
      <c r="L3320" s="3"/>
      <c r="M3320" s="24" t="s">
        <v>5566</v>
      </c>
      <c r="N3320" s="48"/>
    </row>
    <row r="3321" spans="1:14" customFormat="1" x14ac:dyDescent="0.45">
      <c r="A3321" s="3" t="s">
        <v>5446</v>
      </c>
      <c r="B3321" s="35">
        <v>38726</v>
      </c>
      <c r="C3321" s="7" t="s">
        <v>21</v>
      </c>
      <c r="D3321" s="53"/>
      <c r="E3321" s="3" t="s">
        <v>5567</v>
      </c>
      <c r="F3321" s="3">
        <v>2</v>
      </c>
      <c r="G3321" s="2"/>
      <c r="H3321" s="2"/>
      <c r="I3321" s="2"/>
      <c r="J3321" s="2"/>
      <c r="K3321" s="2"/>
      <c r="L3321" s="3"/>
      <c r="M3321" s="24" t="s">
        <v>5568</v>
      </c>
      <c r="N3321" s="48"/>
    </row>
    <row r="3322" spans="1:14" customFormat="1" x14ac:dyDescent="0.45">
      <c r="A3322" s="3" t="s">
        <v>5446</v>
      </c>
      <c r="B3322" s="35">
        <v>45224</v>
      </c>
      <c r="C3322" s="7" t="s">
        <v>302</v>
      </c>
      <c r="D3322" s="3"/>
      <c r="E3322" s="3" t="s">
        <v>5569</v>
      </c>
      <c r="F3322" s="3">
        <v>14</v>
      </c>
      <c r="G3322" s="2"/>
      <c r="H3322" s="2"/>
      <c r="I3322" s="2"/>
      <c r="J3322" s="2"/>
      <c r="K3322" s="2"/>
      <c r="L3322" s="3" t="s">
        <v>431</v>
      </c>
      <c r="M3322" s="24" t="s">
        <v>5570</v>
      </c>
      <c r="N3322" s="48"/>
    </row>
    <row r="3323" spans="1:14" customFormat="1" x14ac:dyDescent="0.45">
      <c r="A3323" s="3" t="s">
        <v>5446</v>
      </c>
      <c r="B3323" s="35">
        <v>45672</v>
      </c>
      <c r="C3323" s="7" t="s">
        <v>302</v>
      </c>
      <c r="D3323" s="3"/>
      <c r="E3323" s="3" t="s">
        <v>5571</v>
      </c>
      <c r="F3323" s="3">
        <v>2</v>
      </c>
      <c r="G3323" s="2"/>
      <c r="H3323" s="2"/>
      <c r="I3323" s="2"/>
      <c r="J3323" s="2"/>
      <c r="K3323" s="2"/>
      <c r="L3323" s="3" t="s">
        <v>431</v>
      </c>
      <c r="M3323" s="24" t="s">
        <v>5572</v>
      </c>
      <c r="N3323" s="48"/>
    </row>
    <row r="3324" spans="1:14" customFormat="1" x14ac:dyDescent="0.45">
      <c r="A3324" s="3" t="s">
        <v>5446</v>
      </c>
      <c r="B3324" s="35">
        <v>45664</v>
      </c>
      <c r="C3324" s="7" t="s">
        <v>302</v>
      </c>
      <c r="D3324" s="3"/>
      <c r="E3324" s="3" t="s">
        <v>5573</v>
      </c>
      <c r="F3324" s="3">
        <v>2</v>
      </c>
      <c r="G3324" s="2"/>
      <c r="H3324" s="2"/>
      <c r="I3324" s="2"/>
      <c r="J3324" s="2"/>
      <c r="K3324" s="2"/>
      <c r="L3324" s="3" t="s">
        <v>431</v>
      </c>
      <c r="M3324" s="24" t="s">
        <v>5574</v>
      </c>
      <c r="N3324" s="48"/>
    </row>
    <row r="3325" spans="1:14" customFormat="1" x14ac:dyDescent="0.45">
      <c r="A3325" s="3" t="s">
        <v>5446</v>
      </c>
      <c r="B3325" s="35">
        <v>45706</v>
      </c>
      <c r="C3325" s="7" t="s">
        <v>302</v>
      </c>
      <c r="D3325" s="3"/>
      <c r="E3325" s="3" t="s">
        <v>5575</v>
      </c>
      <c r="F3325" s="3">
        <v>2</v>
      </c>
      <c r="G3325" s="2"/>
      <c r="H3325" s="2"/>
      <c r="I3325" s="2"/>
      <c r="J3325" s="2"/>
      <c r="K3325" s="2"/>
      <c r="L3325" s="3" t="s">
        <v>431</v>
      </c>
      <c r="M3325" s="24" t="s">
        <v>5576</v>
      </c>
      <c r="N3325" s="48"/>
    </row>
    <row r="3326" spans="1:14" customFormat="1" x14ac:dyDescent="0.45">
      <c r="A3326" s="3" t="s">
        <v>5446</v>
      </c>
      <c r="B3326" s="35">
        <v>45696</v>
      </c>
      <c r="C3326" s="7" t="s">
        <v>302</v>
      </c>
      <c r="D3326" s="3"/>
      <c r="E3326" s="3" t="s">
        <v>5577</v>
      </c>
      <c r="F3326" s="3">
        <v>7</v>
      </c>
      <c r="G3326" s="2"/>
      <c r="H3326" s="2"/>
      <c r="I3326" s="2"/>
      <c r="J3326" s="2"/>
      <c r="K3326" s="2"/>
      <c r="L3326" s="3" t="s">
        <v>431</v>
      </c>
      <c r="M3326" s="24" t="s">
        <v>5578</v>
      </c>
      <c r="N3326" s="48"/>
    </row>
    <row r="3327" spans="1:14" customFormat="1" x14ac:dyDescent="0.45">
      <c r="A3327" s="3" t="s">
        <v>5446</v>
      </c>
      <c r="B3327" s="35">
        <v>45663</v>
      </c>
      <c r="C3327" s="7" t="s">
        <v>302</v>
      </c>
      <c r="D3327" s="3"/>
      <c r="E3327" s="3" t="s">
        <v>5579</v>
      </c>
      <c r="F3327" s="3">
        <v>2</v>
      </c>
      <c r="G3327" s="2"/>
      <c r="H3327" s="2"/>
      <c r="I3327" s="2"/>
      <c r="J3327" s="2"/>
      <c r="K3327" s="2"/>
      <c r="L3327" s="3" t="s">
        <v>431</v>
      </c>
      <c r="M3327" s="24" t="s">
        <v>5580</v>
      </c>
      <c r="N3327" s="48"/>
    </row>
    <row r="3328" spans="1:14" customFormat="1" x14ac:dyDescent="0.45">
      <c r="A3328" s="3" t="s">
        <v>5446</v>
      </c>
      <c r="B3328" s="35">
        <v>45698</v>
      </c>
      <c r="C3328" s="7" t="s">
        <v>302</v>
      </c>
      <c r="D3328" s="3"/>
      <c r="E3328" s="24" t="s">
        <v>5581</v>
      </c>
      <c r="F3328" s="3">
        <v>8</v>
      </c>
      <c r="G3328" s="2"/>
      <c r="H3328" s="2"/>
      <c r="I3328" s="2"/>
      <c r="J3328" s="2"/>
      <c r="K3328" s="2"/>
      <c r="L3328" s="3" t="s">
        <v>431</v>
      </c>
      <c r="M3328" s="24" t="s">
        <v>5582</v>
      </c>
      <c r="N3328" s="48"/>
    </row>
    <row r="3329" spans="1:14" customFormat="1" x14ac:dyDescent="0.45">
      <c r="A3329" s="3" t="s">
        <v>5446</v>
      </c>
      <c r="B3329" s="35">
        <v>45911</v>
      </c>
      <c r="C3329" s="7" t="s">
        <v>302</v>
      </c>
      <c r="D3329" s="3"/>
      <c r="E3329" s="3" t="s">
        <v>5583</v>
      </c>
      <c r="F3329" s="3">
        <v>2</v>
      </c>
      <c r="G3329" s="2"/>
      <c r="H3329" s="2"/>
      <c r="I3329" s="2"/>
      <c r="J3329" s="2"/>
      <c r="K3329" s="2"/>
      <c r="L3329" s="3" t="s">
        <v>431</v>
      </c>
      <c r="M3329" s="24" t="s">
        <v>5584</v>
      </c>
      <c r="N3329" s="48"/>
    </row>
    <row r="3330" spans="1:14" customFormat="1" x14ac:dyDescent="0.45">
      <c r="A3330" s="3" t="s">
        <v>5446</v>
      </c>
      <c r="B3330" s="35">
        <v>45924</v>
      </c>
      <c r="C3330" s="7" t="s">
        <v>302</v>
      </c>
      <c r="D3330" s="3"/>
      <c r="E3330" s="3" t="s">
        <v>5585</v>
      </c>
      <c r="F3330" s="3">
        <f>SUM(3,47,52,6,8)</f>
        <v>116</v>
      </c>
      <c r="G3330" s="2"/>
      <c r="H3330" s="2"/>
      <c r="I3330" s="2"/>
      <c r="J3330" s="2"/>
      <c r="K3330" s="2"/>
      <c r="L3330" s="3" t="s">
        <v>431</v>
      </c>
      <c r="M3330" s="24" t="s">
        <v>5586</v>
      </c>
      <c r="N3330" s="48"/>
    </row>
    <row r="3331" spans="1:14" customFormat="1" x14ac:dyDescent="0.45">
      <c r="A3331" s="3" t="s">
        <v>5446</v>
      </c>
      <c r="B3331" s="35">
        <v>45979</v>
      </c>
      <c r="C3331" s="7" t="s">
        <v>302</v>
      </c>
      <c r="D3331" s="3"/>
      <c r="E3331" s="3" t="s">
        <v>5587</v>
      </c>
      <c r="F3331" s="3">
        <v>3</v>
      </c>
      <c r="G3331" s="2"/>
      <c r="H3331" s="2"/>
      <c r="I3331" s="2"/>
      <c r="J3331" s="2"/>
      <c r="K3331" s="2"/>
      <c r="L3331" s="3" t="s">
        <v>431</v>
      </c>
      <c r="M3331" s="24" t="s">
        <v>5588</v>
      </c>
      <c r="N3331" s="48"/>
    </row>
    <row r="3332" spans="1:14" customFormat="1" x14ac:dyDescent="0.45">
      <c r="A3332" s="3" t="s">
        <v>5446</v>
      </c>
      <c r="B3332" s="35">
        <v>45610</v>
      </c>
      <c r="C3332" s="7" t="s">
        <v>302</v>
      </c>
      <c r="D3332" s="3"/>
      <c r="E3332" s="3" t="s">
        <v>5589</v>
      </c>
      <c r="F3332" s="3">
        <v>4</v>
      </c>
      <c r="G3332" s="2"/>
      <c r="H3332" s="2"/>
      <c r="I3332" s="2"/>
      <c r="J3332" s="2"/>
      <c r="K3332" s="2"/>
      <c r="L3332" s="3" t="s">
        <v>431</v>
      </c>
      <c r="M3332" s="24" t="s">
        <v>5590</v>
      </c>
      <c r="N3332" s="48"/>
    </row>
    <row r="3333" spans="1:14" customFormat="1" x14ac:dyDescent="0.45">
      <c r="A3333" s="3" t="s">
        <v>5446</v>
      </c>
      <c r="B3333" s="35">
        <v>45806</v>
      </c>
      <c r="C3333" s="7" t="s">
        <v>302</v>
      </c>
      <c r="D3333" s="3"/>
      <c r="E3333" s="3" t="s">
        <v>5591</v>
      </c>
      <c r="F3333" s="3">
        <v>5</v>
      </c>
      <c r="G3333" s="2"/>
      <c r="H3333" s="2"/>
      <c r="I3333" s="2"/>
      <c r="J3333" s="2"/>
      <c r="K3333" s="2"/>
      <c r="L3333" s="3" t="s">
        <v>431</v>
      </c>
      <c r="M3333" s="24" t="s">
        <v>5592</v>
      </c>
      <c r="N3333" s="48"/>
    </row>
    <row r="3334" spans="1:14" customFormat="1" x14ac:dyDescent="0.45">
      <c r="A3334" s="3" t="s">
        <v>5446</v>
      </c>
      <c r="B3334" s="35">
        <v>45747</v>
      </c>
      <c r="C3334" s="7" t="s">
        <v>302</v>
      </c>
      <c r="D3334" s="3"/>
      <c r="E3334" s="24" t="s">
        <v>5593</v>
      </c>
      <c r="F3334" s="3">
        <v>5</v>
      </c>
      <c r="G3334" s="2"/>
      <c r="H3334" s="2"/>
      <c r="I3334" s="2"/>
      <c r="J3334" s="2"/>
      <c r="K3334" s="2"/>
      <c r="L3334" s="3" t="s">
        <v>431</v>
      </c>
      <c r="M3334" s="24"/>
      <c r="N3334" s="48"/>
    </row>
    <row r="3335" spans="1:14" customFormat="1" x14ac:dyDescent="0.45">
      <c r="A3335" s="3" t="s">
        <v>5446</v>
      </c>
      <c r="B3335" s="35">
        <v>45875</v>
      </c>
      <c r="C3335" s="7" t="s">
        <v>302</v>
      </c>
      <c r="D3335" s="3"/>
      <c r="E3335" s="3" t="s">
        <v>5594</v>
      </c>
      <c r="F3335" s="3">
        <v>2</v>
      </c>
      <c r="G3335" s="2"/>
      <c r="H3335" s="2"/>
      <c r="I3335" s="2"/>
      <c r="J3335" s="2"/>
      <c r="K3335" s="2"/>
      <c r="L3335" s="3" t="s">
        <v>431</v>
      </c>
      <c r="M3335" s="24" t="s">
        <v>5595</v>
      </c>
      <c r="N3335" s="48"/>
    </row>
    <row r="3336" spans="1:14" customFormat="1" x14ac:dyDescent="0.45">
      <c r="A3336" s="3" t="s">
        <v>5446</v>
      </c>
      <c r="B3336" s="35">
        <v>45786</v>
      </c>
      <c r="C3336" s="7" t="s">
        <v>302</v>
      </c>
      <c r="D3336" s="3"/>
      <c r="E3336" s="3" t="s">
        <v>5596</v>
      </c>
      <c r="F3336" s="3">
        <v>2</v>
      </c>
      <c r="G3336" s="2"/>
      <c r="H3336" s="2"/>
      <c r="I3336" s="2"/>
      <c r="J3336" s="2"/>
      <c r="K3336" s="2"/>
      <c r="L3336" s="3" t="s">
        <v>431</v>
      </c>
      <c r="M3336" s="24" t="s">
        <v>5597</v>
      </c>
      <c r="N3336" s="48"/>
    </row>
    <row r="3337" spans="1:14" customFormat="1" x14ac:dyDescent="0.45">
      <c r="A3337" s="3" t="s">
        <v>5446</v>
      </c>
      <c r="B3337" s="35" t="s">
        <v>966</v>
      </c>
      <c r="C3337" s="7" t="s">
        <v>302</v>
      </c>
      <c r="D3337" s="3"/>
      <c r="E3337" s="3" t="s">
        <v>5598</v>
      </c>
      <c r="F3337" s="3">
        <v>3</v>
      </c>
      <c r="G3337" s="2"/>
      <c r="H3337" s="2"/>
      <c r="I3337" s="2"/>
      <c r="J3337" s="2"/>
      <c r="K3337" s="2"/>
      <c r="L3337" s="3" t="s">
        <v>5600</v>
      </c>
      <c r="M3337" s="24" t="s">
        <v>5599</v>
      </c>
      <c r="N3337" s="48"/>
    </row>
    <row r="3338" spans="1:14" customFormat="1" x14ac:dyDescent="0.45">
      <c r="A3338" s="3" t="s">
        <v>5446</v>
      </c>
      <c r="B3338" s="35">
        <v>45754</v>
      </c>
      <c r="C3338" s="7" t="s">
        <v>302</v>
      </c>
      <c r="D3338" s="3"/>
      <c r="E3338" s="3" t="s">
        <v>5601</v>
      </c>
      <c r="F3338" s="3">
        <v>4</v>
      </c>
      <c r="G3338" s="2"/>
      <c r="H3338" s="2"/>
      <c r="I3338" s="2"/>
      <c r="J3338" s="2"/>
      <c r="K3338" s="2"/>
      <c r="L3338" s="3" t="s">
        <v>431</v>
      </c>
      <c r="M3338" s="24" t="s">
        <v>5602</v>
      </c>
      <c r="N3338" s="48"/>
    </row>
    <row r="3339" spans="1:14" customFormat="1" x14ac:dyDescent="0.45">
      <c r="A3339" s="3" t="s">
        <v>5446</v>
      </c>
      <c r="B3339" s="35">
        <v>45547</v>
      </c>
      <c r="C3339" s="7" t="s">
        <v>302</v>
      </c>
      <c r="D3339" s="3"/>
      <c r="E3339" s="3" t="s">
        <v>5603</v>
      </c>
      <c r="F3339" s="3">
        <v>4</v>
      </c>
      <c r="G3339" s="2"/>
      <c r="H3339" s="2"/>
      <c r="I3339" s="2"/>
      <c r="J3339" s="2"/>
      <c r="K3339" s="2"/>
      <c r="L3339" s="3" t="s">
        <v>5600</v>
      </c>
      <c r="M3339" s="24" t="s">
        <v>5604</v>
      </c>
      <c r="N3339" s="48"/>
    </row>
    <row r="3340" spans="1:14" customFormat="1" x14ac:dyDescent="0.45">
      <c r="A3340" s="3" t="s">
        <v>5446</v>
      </c>
      <c r="B3340" s="35">
        <v>45432</v>
      </c>
      <c r="C3340" s="7" t="s">
        <v>302</v>
      </c>
      <c r="D3340" s="3"/>
      <c r="E3340" s="3" t="s">
        <v>5605</v>
      </c>
      <c r="F3340" s="3">
        <v>5</v>
      </c>
      <c r="G3340" s="2"/>
      <c r="H3340" s="2"/>
      <c r="I3340" s="2"/>
      <c r="J3340" s="2"/>
      <c r="K3340" s="2"/>
      <c r="L3340" s="3" t="s">
        <v>431</v>
      </c>
      <c r="M3340" s="24" t="s">
        <v>5606</v>
      </c>
      <c r="N3340" s="48"/>
    </row>
    <row r="3341" spans="1:14" customFormat="1" x14ac:dyDescent="0.45">
      <c r="A3341" s="3" t="s">
        <v>5446</v>
      </c>
      <c r="B3341" s="35">
        <v>45541</v>
      </c>
      <c r="C3341" s="7" t="s">
        <v>302</v>
      </c>
      <c r="D3341" s="3"/>
      <c r="E3341" s="3" t="s">
        <v>5607</v>
      </c>
      <c r="F3341" s="3">
        <v>7</v>
      </c>
      <c r="G3341" s="2"/>
      <c r="H3341" s="2"/>
      <c r="I3341" s="2"/>
      <c r="J3341" s="2"/>
      <c r="K3341" s="2"/>
      <c r="L3341" s="3" t="s">
        <v>431</v>
      </c>
      <c r="M3341" s="24" t="s">
        <v>5608</v>
      </c>
      <c r="N3341" s="48"/>
    </row>
    <row r="3342" spans="1:14" customFormat="1" x14ac:dyDescent="0.45">
      <c r="A3342" s="3" t="s">
        <v>5446</v>
      </c>
      <c r="B3342" s="35">
        <v>45692</v>
      </c>
      <c r="C3342" s="7" t="s">
        <v>302</v>
      </c>
      <c r="D3342" s="3"/>
      <c r="E3342" s="3" t="s">
        <v>5609</v>
      </c>
      <c r="F3342" s="3">
        <v>13</v>
      </c>
      <c r="G3342" s="2"/>
      <c r="H3342" s="2"/>
      <c r="I3342" s="2"/>
      <c r="J3342" s="2"/>
      <c r="K3342" s="2"/>
      <c r="L3342" s="3" t="s">
        <v>431</v>
      </c>
      <c r="M3342" s="24" t="s">
        <v>5610</v>
      </c>
      <c r="N3342" s="48"/>
    </row>
    <row r="3343" spans="1:14" customFormat="1" x14ac:dyDescent="0.45">
      <c r="A3343" s="3" t="s">
        <v>5446</v>
      </c>
      <c r="B3343" s="35">
        <v>46362</v>
      </c>
      <c r="C3343" s="7" t="s">
        <v>302</v>
      </c>
      <c r="D3343" s="3"/>
      <c r="E3343" s="3" t="s">
        <v>5611</v>
      </c>
      <c r="F3343" s="3">
        <v>3</v>
      </c>
      <c r="G3343" s="2"/>
      <c r="H3343" s="2"/>
      <c r="I3343" s="2"/>
      <c r="J3343" s="2"/>
      <c r="K3343" s="2"/>
      <c r="L3343" s="3" t="s">
        <v>431</v>
      </c>
      <c r="M3343" s="24" t="s">
        <v>5612</v>
      </c>
      <c r="N3343" s="48"/>
    </row>
    <row r="3344" spans="1:14" customFormat="1" x14ac:dyDescent="0.45">
      <c r="A3344" s="3" t="s">
        <v>5446</v>
      </c>
      <c r="B3344" s="57">
        <v>45706</v>
      </c>
      <c r="C3344" s="7" t="s">
        <v>302</v>
      </c>
      <c r="D3344" s="3"/>
      <c r="E3344" s="24" t="s">
        <v>5613</v>
      </c>
      <c r="F3344" s="3">
        <v>2</v>
      </c>
      <c r="G3344" s="2"/>
      <c r="H3344" s="2"/>
      <c r="I3344" s="2"/>
      <c r="J3344" s="2"/>
      <c r="K3344" s="2"/>
      <c r="L3344" s="3" t="s">
        <v>431</v>
      </c>
      <c r="M3344" s="3"/>
      <c r="N3344" s="48"/>
    </row>
    <row r="3345" spans="1:14" customFormat="1" x14ac:dyDescent="0.45">
      <c r="A3345" s="3" t="s">
        <v>5446</v>
      </c>
      <c r="B3345" s="3" t="s">
        <v>966</v>
      </c>
      <c r="C3345" s="7" t="s">
        <v>302</v>
      </c>
      <c r="D3345" s="3"/>
      <c r="E3345" s="24" t="s">
        <v>5614</v>
      </c>
      <c r="F3345" s="3">
        <v>3</v>
      </c>
      <c r="G3345" s="2"/>
      <c r="H3345" s="2"/>
      <c r="I3345" s="2"/>
      <c r="J3345" s="2"/>
      <c r="K3345" s="2"/>
      <c r="L3345" s="3" t="s">
        <v>431</v>
      </c>
      <c r="M3345" s="3"/>
      <c r="N3345" s="48"/>
    </row>
    <row r="3346" spans="1:14" customFormat="1" x14ac:dyDescent="0.45">
      <c r="A3346" s="3" t="s">
        <v>5446</v>
      </c>
      <c r="B3346" s="57">
        <v>45993</v>
      </c>
      <c r="C3346" s="7" t="s">
        <v>575</v>
      </c>
      <c r="D3346" s="3"/>
      <c r="E3346" s="24" t="s">
        <v>5615</v>
      </c>
      <c r="F3346" s="3">
        <f>SUM(2,15,14,2,2,6,4,22)</f>
        <v>67</v>
      </c>
      <c r="G3346" s="2"/>
      <c r="H3346" s="2"/>
      <c r="I3346" s="2"/>
      <c r="J3346" s="2"/>
      <c r="K3346" s="2"/>
      <c r="L3346" s="3" t="s">
        <v>5616</v>
      </c>
      <c r="M3346" s="3"/>
      <c r="N3346" s="48"/>
    </row>
    <row r="3347" spans="1:14" customFormat="1" x14ac:dyDescent="0.45">
      <c r="A3347" s="3" t="s">
        <v>5446</v>
      </c>
      <c r="B3347" s="57">
        <v>45443</v>
      </c>
      <c r="C3347" s="7" t="s">
        <v>302</v>
      </c>
      <c r="D3347" s="3"/>
      <c r="E3347" s="24" t="s">
        <v>5617</v>
      </c>
      <c r="F3347" s="3">
        <v>2</v>
      </c>
      <c r="G3347" s="2"/>
      <c r="H3347" s="2"/>
      <c r="I3347" s="2"/>
      <c r="J3347" s="2"/>
      <c r="K3347" s="2"/>
      <c r="L3347" s="3" t="s">
        <v>431</v>
      </c>
      <c r="M3347" s="3"/>
      <c r="N3347" s="48"/>
    </row>
    <row r="3348" spans="1:14" customFormat="1" x14ac:dyDescent="0.45">
      <c r="A3348" s="3" t="s">
        <v>5446</v>
      </c>
      <c r="B3348" s="58">
        <v>45691</v>
      </c>
      <c r="C3348" s="7" t="s">
        <v>302</v>
      </c>
      <c r="D3348" s="3"/>
      <c r="E3348" s="24" t="s">
        <v>5618</v>
      </c>
      <c r="F3348" s="3">
        <v>5</v>
      </c>
      <c r="G3348" s="2"/>
      <c r="H3348" s="2"/>
      <c r="I3348" s="2"/>
      <c r="J3348" s="2"/>
      <c r="K3348" s="2"/>
      <c r="L3348" s="3" t="s">
        <v>431</v>
      </c>
      <c r="M3348" s="3"/>
      <c r="N3348" s="48"/>
    </row>
    <row r="3349" spans="1:14" customFormat="1" x14ac:dyDescent="0.45">
      <c r="A3349" s="3" t="s">
        <v>5446</v>
      </c>
      <c r="B3349" s="59">
        <v>45834</v>
      </c>
      <c r="C3349" s="7" t="s">
        <v>302</v>
      </c>
      <c r="D3349" s="3"/>
      <c r="E3349" s="24" t="s">
        <v>5619</v>
      </c>
      <c r="F3349" s="3">
        <v>4</v>
      </c>
      <c r="G3349" s="2"/>
      <c r="H3349" s="2"/>
      <c r="I3349" s="2"/>
      <c r="J3349" s="2"/>
      <c r="K3349" s="2"/>
      <c r="L3349" s="3" t="s">
        <v>5600</v>
      </c>
      <c r="M3349" s="3"/>
      <c r="N3349" s="48"/>
    </row>
    <row r="3350" spans="1:14" customFormat="1" x14ac:dyDescent="0.45">
      <c r="A3350" s="3" t="s">
        <v>5446</v>
      </c>
      <c r="B3350" s="59">
        <v>45880</v>
      </c>
      <c r="C3350" s="7" t="s">
        <v>575</v>
      </c>
      <c r="D3350" s="3"/>
      <c r="E3350" s="24" t="s">
        <v>5620</v>
      </c>
      <c r="F3350" s="3">
        <v>5</v>
      </c>
      <c r="G3350" s="2"/>
      <c r="H3350" s="2"/>
      <c r="I3350" s="2"/>
      <c r="J3350" s="2"/>
      <c r="K3350" s="2"/>
      <c r="L3350" s="3" t="s">
        <v>5600</v>
      </c>
      <c r="M3350" s="3"/>
      <c r="N3350" s="48"/>
    </row>
    <row r="3351" spans="1:14" customFormat="1" x14ac:dyDescent="0.45">
      <c r="A3351" s="3" t="s">
        <v>5446</v>
      </c>
      <c r="B3351" s="58">
        <v>45713</v>
      </c>
      <c r="C3351" s="7" t="s">
        <v>575</v>
      </c>
      <c r="D3351" s="3"/>
      <c r="E3351" s="24" t="s">
        <v>5621</v>
      </c>
      <c r="F3351" s="3">
        <v>4</v>
      </c>
      <c r="G3351" s="2"/>
      <c r="H3351" s="2"/>
      <c r="I3351" s="2"/>
      <c r="J3351" s="2"/>
      <c r="K3351" s="2"/>
      <c r="L3351" s="3" t="s">
        <v>5600</v>
      </c>
      <c r="M3351" s="3"/>
      <c r="N3351" s="48"/>
    </row>
    <row r="3352" spans="1:14" customFormat="1" x14ac:dyDescent="0.45">
      <c r="A3352" s="3" t="s">
        <v>5446</v>
      </c>
      <c r="B3352" s="58">
        <v>45716</v>
      </c>
      <c r="C3352" s="7" t="s">
        <v>575</v>
      </c>
      <c r="D3352" s="3"/>
      <c r="E3352" s="24" t="s">
        <v>5622</v>
      </c>
      <c r="F3352" s="3">
        <v>6</v>
      </c>
      <c r="G3352" s="2"/>
      <c r="H3352" s="2"/>
      <c r="I3352" s="2"/>
      <c r="J3352" s="2"/>
      <c r="K3352" s="2"/>
      <c r="L3352" s="3" t="s">
        <v>5600</v>
      </c>
      <c r="M3352" s="3"/>
      <c r="N3352" s="48"/>
    </row>
    <row r="3353" spans="1:14" customFormat="1" x14ac:dyDescent="0.45">
      <c r="A3353" s="3" t="s">
        <v>5446</v>
      </c>
      <c r="B3353" s="58">
        <v>45978</v>
      </c>
      <c r="C3353" s="7" t="s">
        <v>575</v>
      </c>
      <c r="D3353" s="3"/>
      <c r="E3353" s="24" t="s">
        <v>5623</v>
      </c>
      <c r="F3353" s="3">
        <v>7</v>
      </c>
      <c r="G3353" s="2"/>
      <c r="H3353" s="2"/>
      <c r="I3353" s="2"/>
      <c r="J3353" s="2"/>
      <c r="K3353" s="2"/>
      <c r="L3353" s="3" t="s">
        <v>5600</v>
      </c>
      <c r="M3353" s="3"/>
      <c r="N3353" s="48"/>
    </row>
    <row r="3354" spans="1:14" customFormat="1" x14ac:dyDescent="0.45">
      <c r="A3354" s="3" t="s">
        <v>5446</v>
      </c>
      <c r="B3354" s="58">
        <v>45716</v>
      </c>
      <c r="C3354" s="7" t="s">
        <v>575</v>
      </c>
      <c r="D3354" s="3"/>
      <c r="E3354" s="24" t="s">
        <v>5624</v>
      </c>
      <c r="F3354" s="3">
        <v>13</v>
      </c>
      <c r="G3354" s="2"/>
      <c r="H3354" s="2"/>
      <c r="I3354" s="2"/>
      <c r="J3354" s="2"/>
      <c r="K3354" s="2"/>
      <c r="L3354" s="3"/>
      <c r="M3354" s="3"/>
      <c r="N3354" s="48"/>
    </row>
    <row r="3355" spans="1:14" customFormat="1" x14ac:dyDescent="0.45">
      <c r="A3355" s="3" t="s">
        <v>5446</v>
      </c>
      <c r="B3355" s="58">
        <v>45817</v>
      </c>
      <c r="C3355" s="7" t="s">
        <v>575</v>
      </c>
      <c r="D3355" s="3"/>
      <c r="E3355" s="24" t="s">
        <v>5625</v>
      </c>
      <c r="F3355" s="3">
        <v>9</v>
      </c>
      <c r="G3355" s="2"/>
      <c r="H3355" s="2"/>
      <c r="I3355" s="2"/>
      <c r="J3355" s="2"/>
      <c r="K3355" s="2"/>
      <c r="L3355" s="3"/>
      <c r="M3355" s="3"/>
      <c r="N3355" s="48"/>
    </row>
    <row r="3356" spans="1:14" customFormat="1" x14ac:dyDescent="0.45">
      <c r="A3356" s="3" t="s">
        <v>5446</v>
      </c>
      <c r="B3356" s="58">
        <v>45880</v>
      </c>
      <c r="C3356" s="7" t="s">
        <v>575</v>
      </c>
      <c r="D3356" s="3"/>
      <c r="E3356" s="24" t="s">
        <v>5626</v>
      </c>
      <c r="F3356" s="3">
        <v>1</v>
      </c>
      <c r="G3356" s="2"/>
      <c r="H3356" s="2"/>
      <c r="I3356" s="2"/>
      <c r="J3356" s="2"/>
      <c r="K3356" s="2"/>
      <c r="L3356" s="3" t="s">
        <v>5600</v>
      </c>
      <c r="M3356" s="3"/>
      <c r="N3356" s="48"/>
    </row>
    <row r="3357" spans="1:14" customFormat="1" x14ac:dyDescent="0.45">
      <c r="A3357" s="3" t="s">
        <v>5446</v>
      </c>
      <c r="B3357" s="58">
        <v>45880</v>
      </c>
      <c r="C3357" s="7" t="s">
        <v>575</v>
      </c>
      <c r="D3357" s="3"/>
      <c r="E3357" s="24" t="s">
        <v>5627</v>
      </c>
      <c r="F3357" s="3">
        <v>2</v>
      </c>
      <c r="G3357" s="2"/>
      <c r="H3357" s="2"/>
      <c r="I3357" s="2"/>
      <c r="J3357" s="2"/>
      <c r="K3357" s="2"/>
      <c r="L3357" s="3"/>
      <c r="M3357" s="3"/>
      <c r="N3357" s="48"/>
    </row>
    <row r="3358" spans="1:14" customFormat="1" x14ac:dyDescent="0.45">
      <c r="A3358" s="3" t="s">
        <v>5446</v>
      </c>
      <c r="B3358" s="58">
        <v>45447</v>
      </c>
      <c r="C3358" s="7" t="s">
        <v>575</v>
      </c>
      <c r="D3358" s="3"/>
      <c r="E3358" s="24" t="s">
        <v>5628</v>
      </c>
      <c r="F3358" s="3">
        <v>1</v>
      </c>
      <c r="G3358" s="2"/>
      <c r="H3358" s="2"/>
      <c r="I3358" s="2"/>
      <c r="J3358" s="2"/>
      <c r="K3358" s="2"/>
      <c r="L3358" s="3"/>
      <c r="M3358" s="3"/>
      <c r="N3358" s="48"/>
    </row>
    <row r="3359" spans="1:14" customFormat="1" x14ac:dyDescent="0.45">
      <c r="A3359" s="3" t="s">
        <v>5446</v>
      </c>
      <c r="B3359" s="58">
        <v>45873</v>
      </c>
      <c r="C3359" s="7" t="s">
        <v>575</v>
      </c>
      <c r="D3359" s="3"/>
      <c r="E3359" s="24" t="s">
        <v>5629</v>
      </c>
      <c r="F3359" s="3">
        <v>2</v>
      </c>
      <c r="G3359" s="2"/>
      <c r="H3359" s="2"/>
      <c r="I3359" s="2"/>
      <c r="J3359" s="2"/>
      <c r="K3359" s="2"/>
      <c r="L3359" s="3" t="s">
        <v>5600</v>
      </c>
      <c r="M3359" s="3"/>
      <c r="N3359" s="48"/>
    </row>
    <row r="3360" spans="1:14" customFormat="1" x14ac:dyDescent="0.45">
      <c r="A3360" s="3" t="s">
        <v>5446</v>
      </c>
      <c r="B3360" s="57">
        <v>45706</v>
      </c>
      <c r="C3360" s="7" t="s">
        <v>575</v>
      </c>
      <c r="D3360" s="3"/>
      <c r="E3360" s="24" t="s">
        <v>5630</v>
      </c>
      <c r="F3360" s="3">
        <v>6</v>
      </c>
      <c r="G3360" s="2"/>
      <c r="H3360" s="2"/>
      <c r="I3360" s="2"/>
      <c r="J3360" s="2"/>
      <c r="K3360" s="2"/>
      <c r="L3360" s="3" t="s">
        <v>5600</v>
      </c>
      <c r="M3360" s="3"/>
      <c r="N3360" s="48"/>
    </row>
    <row r="3361" spans="1:14" customFormat="1" x14ac:dyDescent="0.45">
      <c r="A3361" s="3" t="s">
        <v>5446</v>
      </c>
      <c r="B3361" s="57">
        <v>45707</v>
      </c>
      <c r="C3361" s="7" t="s">
        <v>575</v>
      </c>
      <c r="D3361" s="3"/>
      <c r="E3361" s="24" t="s">
        <v>5631</v>
      </c>
      <c r="F3361" s="3">
        <v>14</v>
      </c>
      <c r="G3361" s="2"/>
      <c r="H3361" s="2"/>
      <c r="I3361" s="2"/>
      <c r="J3361" s="2"/>
      <c r="K3361" s="2"/>
      <c r="L3361" s="3" t="s">
        <v>5600</v>
      </c>
      <c r="M3361" s="3"/>
      <c r="N3361" s="48"/>
    </row>
    <row r="3362" spans="1:14" customFormat="1" x14ac:dyDescent="0.45">
      <c r="A3362" s="3" t="s">
        <v>5446</v>
      </c>
      <c r="B3362" s="57">
        <v>45706</v>
      </c>
      <c r="C3362" s="7" t="s">
        <v>575</v>
      </c>
      <c r="D3362" s="3"/>
      <c r="E3362" s="24" t="s">
        <v>5632</v>
      </c>
      <c r="F3362" s="3">
        <v>14</v>
      </c>
      <c r="G3362" s="2"/>
      <c r="H3362" s="2"/>
      <c r="I3362" s="2"/>
      <c r="J3362" s="2"/>
      <c r="K3362" s="2"/>
      <c r="L3362" s="3" t="s">
        <v>5600</v>
      </c>
      <c r="M3362" s="3"/>
      <c r="N3362" s="48"/>
    </row>
    <row r="3363" spans="1:14" customFormat="1" x14ac:dyDescent="0.45">
      <c r="A3363" s="3" t="s">
        <v>5446</v>
      </c>
      <c r="B3363" s="57">
        <v>45706</v>
      </c>
      <c r="C3363" s="7" t="s">
        <v>575</v>
      </c>
      <c r="D3363" s="3"/>
      <c r="E3363" s="24" t="s">
        <v>5633</v>
      </c>
      <c r="F3363" s="3">
        <v>13</v>
      </c>
      <c r="G3363" s="2"/>
      <c r="H3363" s="2"/>
      <c r="I3363" s="2"/>
      <c r="J3363" s="2"/>
      <c r="K3363" s="2"/>
      <c r="L3363" s="3" t="s">
        <v>5600</v>
      </c>
      <c r="M3363" s="3"/>
      <c r="N3363" s="48"/>
    </row>
    <row r="3364" spans="1:14" customFormat="1" x14ac:dyDescent="0.45">
      <c r="A3364" s="3" t="s">
        <v>5446</v>
      </c>
      <c r="B3364" s="57">
        <v>45484</v>
      </c>
      <c r="C3364" s="7" t="s">
        <v>575</v>
      </c>
      <c r="D3364" s="3"/>
      <c r="E3364" s="24" t="s">
        <v>5634</v>
      </c>
      <c r="F3364" s="3">
        <v>2</v>
      </c>
      <c r="G3364" s="2"/>
      <c r="H3364" s="2"/>
      <c r="I3364" s="2"/>
      <c r="J3364" s="2"/>
      <c r="K3364" s="2"/>
      <c r="L3364" s="3" t="s">
        <v>5600</v>
      </c>
      <c r="M3364" s="3"/>
      <c r="N3364" s="48"/>
    </row>
    <row r="3365" spans="1:14" customFormat="1" x14ac:dyDescent="0.45">
      <c r="A3365" s="3" t="s">
        <v>5446</v>
      </c>
      <c r="B3365" s="57">
        <v>45541</v>
      </c>
      <c r="C3365" s="7" t="s">
        <v>587</v>
      </c>
      <c r="D3365" s="3"/>
      <c r="E3365" s="24" t="s">
        <v>5635</v>
      </c>
      <c r="F3365" s="3">
        <v>2</v>
      </c>
      <c r="G3365" s="2"/>
      <c r="H3365" s="2"/>
      <c r="I3365" s="2"/>
      <c r="J3365" s="2"/>
      <c r="K3365" s="2"/>
      <c r="L3365" s="3"/>
      <c r="M3365" s="3"/>
      <c r="N3365" s="48"/>
    </row>
    <row r="3366" spans="1:14" customFormat="1" x14ac:dyDescent="0.45">
      <c r="A3366" s="3" t="s">
        <v>5446</v>
      </c>
      <c r="B3366" s="57">
        <v>45394</v>
      </c>
      <c r="C3366" s="7" t="s">
        <v>587</v>
      </c>
      <c r="D3366" s="3"/>
      <c r="E3366" s="24" t="s">
        <v>5636</v>
      </c>
      <c r="F3366" s="3">
        <v>2</v>
      </c>
      <c r="G3366" s="2"/>
      <c r="H3366" s="2"/>
      <c r="I3366" s="2"/>
      <c r="J3366" s="2"/>
      <c r="K3366" s="2"/>
      <c r="L3366" s="3"/>
      <c r="M3366" s="3"/>
      <c r="N3366" s="48"/>
    </row>
    <row r="3367" spans="1:14" customFormat="1" x14ac:dyDescent="0.45">
      <c r="A3367" s="3" t="s">
        <v>5446</v>
      </c>
      <c r="B3367" s="57">
        <v>45714</v>
      </c>
      <c r="C3367" s="7" t="s">
        <v>587</v>
      </c>
      <c r="D3367" s="3"/>
      <c r="E3367" s="3" t="s">
        <v>5637</v>
      </c>
      <c r="F3367" s="3">
        <v>2</v>
      </c>
      <c r="G3367" s="2"/>
      <c r="H3367" s="2"/>
      <c r="I3367" s="2"/>
      <c r="J3367" s="2"/>
      <c r="K3367" s="2"/>
      <c r="L3367" s="3" t="s">
        <v>5639</v>
      </c>
      <c r="M3367" s="3" t="s">
        <v>5638</v>
      </c>
      <c r="N3367" s="48"/>
    </row>
    <row r="3368" spans="1:14" customFormat="1" x14ac:dyDescent="0.45">
      <c r="A3368" s="3" t="s">
        <v>5446</v>
      </c>
      <c r="B3368" s="57">
        <v>45880</v>
      </c>
      <c r="C3368" s="7" t="s">
        <v>575</v>
      </c>
      <c r="D3368" s="3"/>
      <c r="E3368" s="24" t="s">
        <v>5640</v>
      </c>
      <c r="F3368" s="3">
        <v>8</v>
      </c>
      <c r="G3368" s="2"/>
      <c r="H3368" s="2"/>
      <c r="I3368" s="2"/>
      <c r="J3368" s="2"/>
      <c r="K3368" s="2"/>
      <c r="L3368" s="3" t="s">
        <v>5600</v>
      </c>
      <c r="M3368" s="3"/>
      <c r="N3368" s="48"/>
    </row>
    <row r="3369" spans="1:14" customFormat="1" x14ac:dyDescent="0.45">
      <c r="A3369" s="3" t="s">
        <v>5446</v>
      </c>
      <c r="B3369" s="57">
        <v>45880</v>
      </c>
      <c r="C3369" s="7" t="s">
        <v>575</v>
      </c>
      <c r="D3369" s="3"/>
      <c r="E3369" s="24" t="s">
        <v>5641</v>
      </c>
      <c r="F3369" s="3">
        <v>2</v>
      </c>
      <c r="G3369" s="2"/>
      <c r="H3369" s="2"/>
      <c r="I3369" s="2"/>
      <c r="J3369" s="2"/>
      <c r="K3369" s="2"/>
      <c r="L3369" s="3" t="s">
        <v>5600</v>
      </c>
      <c r="M3369" s="3"/>
      <c r="N3369" s="48"/>
    </row>
    <row r="3370" spans="1:14" customFormat="1" x14ac:dyDescent="0.45">
      <c r="A3370" s="3" t="s">
        <v>5446</v>
      </c>
      <c r="B3370" s="57">
        <v>45860</v>
      </c>
      <c r="C3370" s="7" t="s">
        <v>302</v>
      </c>
      <c r="D3370" s="3"/>
      <c r="E3370" s="24" t="s">
        <v>5642</v>
      </c>
      <c r="F3370" s="3">
        <v>2</v>
      </c>
      <c r="G3370" s="2"/>
      <c r="H3370" s="2"/>
      <c r="I3370" s="2"/>
      <c r="J3370" s="2"/>
      <c r="K3370" s="2"/>
      <c r="L3370" s="3" t="s">
        <v>431</v>
      </c>
      <c r="M3370" s="3"/>
      <c r="N3370" s="48"/>
    </row>
    <row r="3371" spans="1:14" customFormat="1" x14ac:dyDescent="0.45">
      <c r="A3371" s="3" t="s">
        <v>5446</v>
      </c>
      <c r="B3371" s="3" t="s">
        <v>966</v>
      </c>
      <c r="C3371" s="3" t="s">
        <v>592</v>
      </c>
      <c r="D3371" s="3"/>
      <c r="E3371" s="24" t="s">
        <v>5643</v>
      </c>
      <c r="F3371" s="3">
        <v>18</v>
      </c>
      <c r="G3371" s="2"/>
      <c r="H3371" s="2"/>
      <c r="I3371" s="2"/>
      <c r="J3371" s="2"/>
      <c r="K3371" s="2"/>
      <c r="L3371" s="3"/>
      <c r="M3371" s="3"/>
      <c r="N3371" s="48"/>
    </row>
    <row r="3372" spans="1:14" customFormat="1" x14ac:dyDescent="0.45">
      <c r="A3372" s="3" t="s">
        <v>5446</v>
      </c>
      <c r="B3372" s="57">
        <v>45707</v>
      </c>
      <c r="C3372" s="7" t="s">
        <v>575</v>
      </c>
      <c r="D3372" s="3"/>
      <c r="E3372" s="24" t="s">
        <v>5644</v>
      </c>
      <c r="F3372" s="3">
        <v>17</v>
      </c>
      <c r="G3372" s="2"/>
      <c r="H3372" s="2"/>
      <c r="I3372" s="2"/>
      <c r="J3372" s="2"/>
      <c r="K3372" s="2"/>
      <c r="L3372" s="3" t="s">
        <v>5600</v>
      </c>
      <c r="M3372" s="3"/>
      <c r="N3372" s="48"/>
    </row>
    <row r="3373" spans="1:14" customFormat="1" x14ac:dyDescent="0.45">
      <c r="A3373" s="3" t="s">
        <v>5446</v>
      </c>
      <c r="B3373" s="57">
        <v>45806</v>
      </c>
      <c r="C3373" s="7" t="s">
        <v>575</v>
      </c>
      <c r="D3373" s="3"/>
      <c r="E3373" s="24" t="s">
        <v>5645</v>
      </c>
      <c r="F3373" s="3">
        <v>5</v>
      </c>
      <c r="G3373" s="2"/>
      <c r="H3373" s="2"/>
      <c r="I3373" s="2"/>
      <c r="J3373" s="2"/>
      <c r="K3373" s="2"/>
      <c r="L3373" s="3" t="s">
        <v>5600</v>
      </c>
      <c r="M3373" s="3"/>
      <c r="N3373" s="48"/>
    </row>
    <row r="3374" spans="1:14" customFormat="1" x14ac:dyDescent="0.45">
      <c r="A3374" s="3" t="s">
        <v>5446</v>
      </c>
      <c r="B3374" s="60" t="s">
        <v>5646</v>
      </c>
      <c r="C3374" s="7" t="s">
        <v>575</v>
      </c>
      <c r="D3374" s="3"/>
      <c r="E3374" s="24" t="s">
        <v>5647</v>
      </c>
      <c r="F3374" s="3">
        <v>82</v>
      </c>
      <c r="G3374" s="2"/>
      <c r="H3374" s="2"/>
      <c r="I3374" s="2"/>
      <c r="J3374" s="2"/>
      <c r="K3374" s="2"/>
      <c r="L3374" s="3" t="s">
        <v>5600</v>
      </c>
      <c r="M3374" s="3"/>
      <c r="N3374" s="48"/>
    </row>
    <row r="3375" spans="1:14" customFormat="1" x14ac:dyDescent="0.45">
      <c r="A3375" s="3" t="s">
        <v>5446</v>
      </c>
      <c r="B3375" s="60" t="s">
        <v>5648</v>
      </c>
      <c r="C3375" s="7" t="s">
        <v>575</v>
      </c>
      <c r="D3375" s="3"/>
      <c r="E3375" s="24" t="s">
        <v>5649</v>
      </c>
      <c r="F3375" s="3">
        <v>25</v>
      </c>
      <c r="G3375" s="2"/>
      <c r="H3375" s="2"/>
      <c r="I3375" s="2"/>
      <c r="J3375" s="2"/>
      <c r="K3375" s="2"/>
      <c r="L3375" s="3" t="s">
        <v>5600</v>
      </c>
      <c r="M3375" s="3"/>
      <c r="N3375" s="48"/>
    </row>
    <row r="3376" spans="1:14" customFormat="1" x14ac:dyDescent="0.45">
      <c r="A3376" s="3" t="s">
        <v>5446</v>
      </c>
      <c r="B3376" s="61" t="s">
        <v>5650</v>
      </c>
      <c r="C3376" s="7" t="s">
        <v>575</v>
      </c>
      <c r="D3376" s="3"/>
      <c r="E3376" s="24" t="s">
        <v>5651</v>
      </c>
      <c r="F3376" s="3">
        <v>26</v>
      </c>
      <c r="G3376" s="2"/>
      <c r="H3376" s="2"/>
      <c r="I3376" s="2"/>
      <c r="J3376" s="2"/>
      <c r="K3376" s="2"/>
      <c r="L3376" s="3" t="s">
        <v>5600</v>
      </c>
      <c r="M3376" s="3"/>
      <c r="N3376" s="48"/>
    </row>
    <row r="3377" spans="1:14" customFormat="1" x14ac:dyDescent="0.45">
      <c r="A3377" s="3" t="s">
        <v>5446</v>
      </c>
      <c r="B3377" s="57">
        <v>45699</v>
      </c>
      <c r="C3377" s="7" t="s">
        <v>302</v>
      </c>
      <c r="D3377" s="3"/>
      <c r="E3377" s="24" t="s">
        <v>5652</v>
      </c>
      <c r="F3377" s="3">
        <v>7</v>
      </c>
      <c r="G3377" s="2"/>
      <c r="H3377" s="2"/>
      <c r="I3377" s="2"/>
      <c r="J3377" s="2"/>
      <c r="K3377" s="2"/>
      <c r="L3377" s="3" t="s">
        <v>431</v>
      </c>
      <c r="M3377" s="3"/>
      <c r="N3377" s="48"/>
    </row>
    <row r="3378" spans="1:14" customFormat="1" x14ac:dyDescent="0.45">
      <c r="A3378" s="3" t="s">
        <v>5446</v>
      </c>
      <c r="B3378" s="57">
        <v>45646</v>
      </c>
      <c r="C3378" s="7" t="s">
        <v>575</v>
      </c>
      <c r="D3378" s="3"/>
      <c r="E3378" s="24" t="s">
        <v>5653</v>
      </c>
      <c r="F3378" s="3">
        <v>6</v>
      </c>
      <c r="G3378" s="2"/>
      <c r="H3378" s="2"/>
      <c r="I3378" s="2"/>
      <c r="J3378" s="2"/>
      <c r="K3378" s="2"/>
      <c r="L3378" s="3" t="s">
        <v>5600</v>
      </c>
      <c r="M3378" s="3"/>
      <c r="N3378" s="48"/>
    </row>
    <row r="3379" spans="1:14" customFormat="1" x14ac:dyDescent="0.45">
      <c r="A3379" s="3" t="s">
        <v>5446</v>
      </c>
      <c r="B3379" s="57">
        <v>44371</v>
      </c>
      <c r="C3379" s="7" t="s">
        <v>575</v>
      </c>
      <c r="D3379" s="3"/>
      <c r="E3379" s="24" t="s">
        <v>5654</v>
      </c>
      <c r="F3379" s="3">
        <v>6</v>
      </c>
      <c r="G3379" s="2"/>
      <c r="H3379" s="2"/>
      <c r="I3379" s="2"/>
      <c r="J3379" s="2"/>
      <c r="K3379" s="2"/>
      <c r="L3379" s="3" t="s">
        <v>5600</v>
      </c>
      <c r="M3379" s="3"/>
      <c r="N3379" s="48"/>
    </row>
    <row r="3380" spans="1:14" customFormat="1" x14ac:dyDescent="0.45">
      <c r="A3380" s="3" t="s">
        <v>5446</v>
      </c>
      <c r="B3380" s="57">
        <v>45587</v>
      </c>
      <c r="C3380" s="7" t="s">
        <v>575</v>
      </c>
      <c r="D3380" s="3"/>
      <c r="E3380" s="24" t="s">
        <v>5655</v>
      </c>
      <c r="F3380" s="3">
        <v>2</v>
      </c>
      <c r="G3380" s="2"/>
      <c r="H3380" s="2"/>
      <c r="I3380" s="2"/>
      <c r="J3380" s="2"/>
      <c r="K3380" s="2"/>
      <c r="L3380" s="3" t="s">
        <v>5600</v>
      </c>
      <c r="M3380" s="3"/>
      <c r="N3380" s="48"/>
    </row>
    <row r="3381" spans="1:14" customFormat="1" x14ac:dyDescent="0.45">
      <c r="A3381" s="3" t="s">
        <v>5446</v>
      </c>
      <c r="B3381" s="57">
        <v>45653</v>
      </c>
      <c r="C3381" s="7" t="s">
        <v>575</v>
      </c>
      <c r="D3381" s="3"/>
      <c r="E3381" s="24" t="s">
        <v>5656</v>
      </c>
      <c r="F3381" s="3">
        <v>39</v>
      </c>
      <c r="G3381" s="2"/>
      <c r="H3381" s="2"/>
      <c r="I3381" s="2"/>
      <c r="J3381" s="2"/>
      <c r="K3381" s="2"/>
      <c r="L3381" s="3" t="s">
        <v>5600</v>
      </c>
      <c r="M3381" s="3"/>
      <c r="N3381" s="48"/>
    </row>
    <row r="3382" spans="1:14" customFormat="1" x14ac:dyDescent="0.45">
      <c r="A3382" s="3" t="s">
        <v>5446</v>
      </c>
      <c r="B3382" s="57">
        <v>45712</v>
      </c>
      <c r="C3382" s="7" t="s">
        <v>575</v>
      </c>
      <c r="D3382" s="3"/>
      <c r="E3382" s="24" t="s">
        <v>5657</v>
      </c>
      <c r="F3382" s="3">
        <v>6</v>
      </c>
      <c r="G3382" s="2"/>
      <c r="H3382" s="2"/>
      <c r="I3382" s="2"/>
      <c r="J3382" s="2"/>
      <c r="K3382" s="2"/>
      <c r="L3382" s="3" t="s">
        <v>5600</v>
      </c>
      <c r="M3382" s="3"/>
      <c r="N3382" s="48"/>
    </row>
    <row r="3383" spans="1:14" customFormat="1" x14ac:dyDescent="0.45">
      <c r="A3383" s="3" t="s">
        <v>5446</v>
      </c>
      <c r="B3383" s="61" t="s">
        <v>5658</v>
      </c>
      <c r="C3383" s="7" t="s">
        <v>587</v>
      </c>
      <c r="D3383" s="3"/>
      <c r="E3383" s="62" t="s">
        <v>5659</v>
      </c>
      <c r="F3383" s="3">
        <v>3</v>
      </c>
      <c r="G3383" s="2"/>
      <c r="H3383" s="2"/>
      <c r="I3383" s="2"/>
      <c r="J3383" s="2"/>
      <c r="K3383" s="2"/>
      <c r="L3383" s="3" t="s">
        <v>5661</v>
      </c>
      <c r="M3383" s="3" t="s">
        <v>5660</v>
      </c>
      <c r="N3383" s="48"/>
    </row>
    <row r="3384" spans="1:14" customFormat="1" x14ac:dyDescent="0.45">
      <c r="A3384" s="3" t="s">
        <v>5446</v>
      </c>
      <c r="B3384" s="57">
        <v>45616</v>
      </c>
      <c r="C3384" s="7" t="s">
        <v>302</v>
      </c>
      <c r="D3384" s="3"/>
      <c r="E3384" s="24" t="s">
        <v>5662</v>
      </c>
      <c r="F3384" s="3">
        <v>3</v>
      </c>
      <c r="G3384" s="2"/>
      <c r="H3384" s="2"/>
      <c r="I3384" s="2"/>
      <c r="J3384" s="2"/>
      <c r="K3384" s="2"/>
      <c r="L3384" s="3" t="s">
        <v>431</v>
      </c>
      <c r="M3384" s="3"/>
      <c r="N3384" s="48"/>
    </row>
  </sheetData>
  <autoFilter ref="A1:L2272" xr:uid="{8880A408-7F6C-4BBA-B390-831D9394E995}">
    <sortState xmlns:xlrd2="http://schemas.microsoft.com/office/spreadsheetml/2017/richdata2" ref="A2:L2272">
      <sortCondition ref="A1:A2262"/>
    </sortState>
  </autoFilter>
  <hyperlinks>
    <hyperlink ref="E764" r:id="rId1" display="https://acf.gov/ecd/outreach-material/teli-synthesis" xr:uid="{9DDBC5D2-FA6F-4DC3-B98B-30330BF5600F}"/>
    <hyperlink ref="E765" r:id="rId2" display="https://acf.gov/ecd/outreach-material/teli-collaborative-success" xr:uid="{F84F1010-349A-49EB-9FE8-B3C147A63254}"/>
    <hyperlink ref="E747" r:id="rId3" display="https://acf.gov/cb/training-technical-assistance/revised-technical-bulletin" xr:uid="{94DF9175-77D9-4C97-BEED-1DAE3CE0B6B6}"/>
    <hyperlink ref="E746" r:id="rId4" display="https://acf.gov/cb/policy-guidance/im-25-05" xr:uid="{174B5B38-808E-40E2-A772-9B866FBABF33}"/>
    <hyperlink ref="E745" r:id="rId5" display="https://acf.gov/cb/policy-guidance/im-25-04" xr:uid="{4A6E0ED0-6870-4B8C-B9E5-F5B69AE6D96D}"/>
    <hyperlink ref="E744" r:id="rId6" display="https://acf.gov/cb/policy-guidance/pi-25-06" xr:uid="{C599DB04-20FD-40F7-A4BD-61CBCC69D79E}"/>
    <hyperlink ref="E742" r:id="rId7" display="https://acf.gov/cb/report/tribal-lookup-table-fy2026" xr:uid="{E1BAF375-D5CF-4FCC-9E3E-5181011CF0B0}"/>
    <hyperlink ref="E737" r:id="rId8" display="https://acf.gov/cb/policy-guidance/pi-25-03" xr:uid="{D358A471-B966-4071-8A40-502180F37214}"/>
    <hyperlink ref="E743" r:id="rId9" display="https://acf.gov/cb/report/tribal-fmap-reference-table-fy-2026" xr:uid="{47CF54F1-3E79-44E8-BF5A-BC3551BED711}"/>
    <hyperlink ref="E741" r:id="rId10" display="https://acf.gov/cb/policy-guidance/pi-25-05" xr:uid="{106B65AB-56A4-42A3-9964-9CBD4AA8DEAF}"/>
    <hyperlink ref="E738" r:id="rId11" display="https://acf.gov/cb/policy-guidance/pi-25-02" xr:uid="{51E45388-4BB3-442C-88E4-0344130A46AC}"/>
    <hyperlink ref="E739" r:id="rId12" display="https://acf.gov/cb/policy-guidance/pi-25-01" xr:uid="{86E2E91E-5011-4465-AB6A-3C32F6BE8453}"/>
    <hyperlink ref="E740" r:id="rId13" display="https://acf.gov/cb/policy-guidance/pi-25-04" xr:uid="{0B1D23E3-01DA-424C-8323-8094AA471EA1}"/>
    <hyperlink ref="E736" r:id="rId14" display="https://acf.gov/cb/policy-guidance/im-25-03" xr:uid="{35BE6BA3-CC8C-4EE2-90F8-20D189F3DACD}"/>
    <hyperlink ref="E735" r:id="rId15" display="https://acf.gov/cb/policy-guidance/im-25-01" xr:uid="{B17B717B-0804-41D5-B7E2-094E84E438FC}"/>
    <hyperlink ref="E733" r:id="rId16" display="https://acf.gov/cb/policy-guidance/pi-24-11" xr:uid="{57AF3EF2-909A-4216-878A-77F516F390A6}"/>
    <hyperlink ref="E734" r:id="rId17" display="https://acf.gov/cb/policy-guidance/pi-24-10" xr:uid="{DA058DCD-ADE9-4852-9AE8-B7AA70898436}"/>
    <hyperlink ref="E732" r:id="rId18" display="https://acf.gov/cb/policy-guidance/im-24-10" xr:uid="{18D4EF69-7A7B-4735-9BDD-E640A8CE3B57}"/>
    <hyperlink ref="E731" r:id="rId19" display="https://acf.gov/cb/policy-guidance/im-24-09" xr:uid="{17AD9315-86C9-4D1E-9B65-2C2E9CC4DB86}"/>
    <hyperlink ref="E730" r:id="rId20" display="https://acf.gov/cb/policy-guidance/dear-colleague-letter-adhering-epsdt-requirements" xr:uid="{0779B664-0939-43E6-B246-54F2EAEF4976}"/>
    <hyperlink ref="E729" r:id="rId21" display="https://acf.gov/cb/policy-guidance/im-24-08" xr:uid="{598389EC-C8E1-4A07-80D6-8DDE14E429EA}"/>
    <hyperlink ref="E728" r:id="rId22" display="https://acf.gov/cb/policy-guidance/im-24-07" xr:uid="{AC1A5E9F-B0F4-4B5E-A408-A55987187D40}"/>
    <hyperlink ref="E727" r:id="rId23" display="https://acf.gov/cb/policy-guidance/pi-24-09" xr:uid="{7CCFD2D0-7A78-439F-A2CC-209448FFFE89}"/>
    <hyperlink ref="E726" r:id="rId24" display="https://acf.gov/cb/training-technical-assistance/nytd-reporting-populations-and-cohort-schedule" xr:uid="{378163DC-F78C-4304-9AB3-EE1BEB51FE9E}"/>
    <hyperlink ref="E719" r:id="rId25" display="https://acf.gov/cb/faq/research-data-technology/reporting-systems/nytd/faq/section1" xr:uid="{63535BBB-2CE0-43AF-87F6-0866386BCF67}"/>
    <hyperlink ref="E721" r:id="rId26" display="https://acf.gov/cb/faq/research-data-technology/system-requirements/nytd/faq/section4" xr:uid="{A68A791A-F5D6-462F-BB63-6AAD2F34A0C1}"/>
    <hyperlink ref="E725" r:id="rId27" display="https://acf.gov/cb/faq/research-data-technology/miscellaneous/nytd/faq/section8" xr:uid="{662C8FCC-614E-4CC9-878E-78F7A3F9A2B7}"/>
    <hyperlink ref="E724" r:id="rId28" display="https://acf.gov/cb/faq/research-data-technology/implementation-costs-funding/nytd/faq/section7" xr:uid="{9A962AC2-4BD2-409D-B6CA-3D19CB0D681F}"/>
    <hyperlink ref="E723" r:id="rId29" display="https://acf.gov/cb/faq/research-data-technology/sampling/nytd/faq/section6" xr:uid="{E2A6CB50-FACF-4F86-B16E-539C591FEA93}"/>
    <hyperlink ref="E722" r:id="rId30" display="https://acf.gov/cb/faq/research-data-technology/compliance-standards/nytd/faq" xr:uid="{7666C793-7DA9-43EC-8BCB-792D637123A4}"/>
    <hyperlink ref="E720" r:id="rId31" display="https://acf.gov/cb/faq/research-data-technology/youth-outcomes-survey/nytd/faq/section3" xr:uid="{2D3DAD86-CB1A-4ACB-8729-C23D5D241C86}"/>
    <hyperlink ref="E714" r:id="rId32" display="https://acf.gov/cb/training-technical-assistance/tu2-nytd-compliance-status" xr:uid="{C92C86B2-E16B-4FB8-B0FD-27F4EEA7847F}"/>
    <hyperlink ref="E715" r:id="rId33" display="https://acf.gov/cb/training-technical-assistance/tu1-nytd-file-upload" xr:uid="{A60497A9-92DA-41EB-A110-D0694D282211}"/>
    <hyperlink ref="E713" r:id="rId34" display="https://acf.gov/cb/policy-guidance/pi-24-08" xr:uid="{F627C7DF-A760-4868-B8A8-A34DFA68AAF8}"/>
    <hyperlink ref="E712" r:id="rId35" display="https://acf.gov/cb/policy-guidance/dear-colleague-letter-dually-involved-youth" xr:uid="{A21A6381-B6DF-4EE3-8C02-73DCDC1246C5}"/>
    <hyperlink ref="E711" r:id="rId36" display="https://acf.gov/cb/policy-guidance/im-24-06" xr:uid="{533FBB1C-A1D0-4AF3-AE07-789D717929E1}"/>
    <hyperlink ref="E710" r:id="rId37" display="https://acf.gov/cb/policy-guidance/pi-24-07" xr:uid="{871494F0-4537-4B34-A7A2-A591CB4D1637}"/>
    <hyperlink ref="E709" r:id="rId38" display="https://acf.gov/cb/policy-guidance/im-24-05" xr:uid="{B62DA9D9-971E-4540-89EF-A7B080124779}"/>
    <hyperlink ref="E707" r:id="rId39" display="https://acf.gov/cb/faq/national-cbcap-nofo-faqs" xr:uid="{CCE9FB5C-8C28-4228-A59E-DBF88CC63E9C}"/>
    <hyperlink ref="E708" r:id="rId40" display="https://acf.gov/cb/faq/tribal-cip-nofo-faqs" xr:uid="{EC92D2AC-4984-41D5-B2BD-AEA021BF9FAF}"/>
    <hyperlink ref="E705" r:id="rId41" display="https://acf.gov/cb/policy-guidance/pi-24-05" xr:uid="{F3B08688-24CD-401A-9BD8-1A316AED931A}"/>
    <hyperlink ref="E706" r:id="rId42" display="https://acf.gov/cb/policy-guidance/pi-24-06" xr:uid="{CD8D8DB6-3DCD-45B3-A53D-2A0619ED9963}"/>
    <hyperlink ref="E704" r:id="rId43" display="https://acf.gov/cb/policy-guidance/pi-24-04" xr:uid="{BFB483EA-3FED-4CDE-88B1-95AC525B697A}"/>
    <hyperlink ref="E703" r:id="rId44" display="https://acf.gov/cb/policy-guidance/im-24-02" xr:uid="{BB06B6D3-4BE2-4F17-A21D-B4C6EF005289}"/>
    <hyperlink ref="E702" r:id="rId45" display="https://acf.gov/cb/policy-guidance/pi-24-03" xr:uid="{6B11FB59-F0F4-4A75-9165-1741E5F6B18F}"/>
    <hyperlink ref="E701" r:id="rId46" display="https://acf.gov/cb/policy-guidance/pi-24-02" xr:uid="{A52470AE-7EB2-488D-A9EC-5DE27B682C01}"/>
    <hyperlink ref="E699" r:id="rId47" display="https://acf.gov/cb/report/tribal-fmap-reference-table-fy-2025" xr:uid="{95C22533-418B-47DD-B11A-3AB7A193A6BA}"/>
    <hyperlink ref="E700" r:id="rId48" display="https://acf.gov/cb/report/tribal-lookup-table-fy2025" xr:uid="{1A7AC0CB-3302-454D-91FA-8FB83DE2D929}"/>
    <hyperlink ref="E698" r:id="rId49" display="https://acf.gov/cb/policy-guidance/pi-24-01" xr:uid="{60548953-9E5E-4283-BAC2-330A60192ED5}"/>
    <hyperlink ref="E697" r:id="rId50" display="https://acf.gov/cb/policy-guidance/im-23-10" xr:uid="{389B2E7E-71C3-4D13-9B99-65C15E78B163}"/>
    <hyperlink ref="E696" r:id="rId51" display="https://acf.gov/cb/policy-guidance/im-23-09" xr:uid="{3E3CF190-47D5-4FAA-9E59-F55422195765}"/>
    <hyperlink ref="E695" r:id="rId52" display="https://acf.gov/cb/policy-guidance/pi-23-10" xr:uid="{D980C4DD-4137-4A3F-9B7A-A5436FEEE591}"/>
    <hyperlink ref="E693" r:id="rId53" display="https://acf.gov/cb/policy-guidance/im-23-07" xr:uid="{8E783640-5BDD-4255-AE15-1ED9A1020F7F}"/>
    <hyperlink ref="E692" r:id="rId54" display="https://acf.gov/cb/policy-guidance/im-23-06" xr:uid="{8EF7A3DC-B575-41F3-B27D-3DE3370698E0}"/>
    <hyperlink ref="E691" r:id="rId55" display="https://acf.gov/cb/training-technical-assistance/ccwis-technical-bulletin-10" xr:uid="{CAC8CB89-20EB-41FA-8EB0-5503E4FFDC3A}"/>
    <hyperlink ref="E690" r:id="rId56" display="https://acf.gov/cb/policy-guidance/reminders-social-security-representative-payee-program" xr:uid="{0883E49E-D399-4C17-BCC6-AD1646417789}"/>
    <hyperlink ref="E689" r:id="rId57" display="https://acf.gov/cb/report/state-legal-judicial-specialist" xr:uid="{914F831A-CB27-400B-A0AE-205AEE5C8C5F}"/>
    <hyperlink ref="E688" r:id="rId58" display="https://acf.gov/cb/faq/research-data-technology/reporting-systems/nytd/faq/section2" xr:uid="{B21F0F69-499A-47B4-BDCE-1FC484216A87}"/>
    <hyperlink ref="E687" r:id="rId59" display="https://acf.gov/cb/policy-guidance/title-iv-e-foster-care-eligibility-reviews-schedule" xr:uid="{2485AABE-4026-49A2-9F5C-998A42349DCB}"/>
    <hyperlink ref="E681" r:id="rId60" display="https://acf.gov/cb/faq/nofo-copies-successful-past-proposals" xr:uid="{6D0A3968-5D72-4521-B9D4-D265E3B8F802}"/>
    <hyperlink ref="E682" r:id="rId61" display="https://acf.gov/cb/faq/nofo-how-many-applicants-submitted" xr:uid="{92D264B2-6DE4-44C8-97B4-DFC0BA22F512}"/>
    <hyperlink ref="E683" r:id="rId62" display="https://acf.gov/cb/faq/nofo-complex-needs-defined" xr:uid="{38471E4D-2355-4AD0-A6F3-689063D37989}"/>
    <hyperlink ref="E684" r:id="rId63" display="https://acf.gov/cb/faq/nofo-limited-serving-children" xr:uid="{F5DB6D33-0162-4AC2-8769-B9FD5EB47251}"/>
    <hyperlink ref="E685" r:id="rId64" display="https://acf.gov/cb/faq/nofo-interventions-evidence-based" xr:uid="{2FEF01B6-32A4-4B87-9072-EA8FFFE4091A}"/>
    <hyperlink ref="E686" r:id="rId65" display="https://acf.gov/cb/faq/how-do-i-submit-letter-intent" xr:uid="{EE83FDE6-F8CB-4A46-9D86-AAC4ED4DF528}"/>
    <hyperlink ref="E680" r:id="rId66" display="https://acf.gov/cb/training-technical-assistance/lessons-learned-text-chat" xr:uid="{29281E95-8BD5-4BFA-B090-B70A8C11E957}"/>
    <hyperlink ref="E676" r:id="rId67" display="https://acf.gov/cb/faq/nofo-fiscal-agent" xr:uid="{CA1A238E-E61B-4BEA-9950-D66B13B031B3}"/>
    <hyperlink ref="E677" r:id="rId68" display="https://acf.gov/cb/faq/nofo-award-ceiling" xr:uid="{76457258-4E04-4DD6-B246-D716B9017293}"/>
    <hyperlink ref="E678" r:id="rId69" display="https://acf.gov/cb/faq/nofo-prelim-questions" xr:uid="{BC0D1F66-C6CB-4480-B1E7-5E27F7B70F53}"/>
    <hyperlink ref="E679" r:id="rId70" display="https://acf.gov/cb/faq/nofo-evaluation-requirement" xr:uid="{3D1519F9-3BB1-4E05-A963-0B890576A29D}"/>
    <hyperlink ref="E675" r:id="rId71" display="https://acf.gov/cb/policy-guidance/pi-23-09" xr:uid="{D9054109-284A-455C-A0C1-A2012148CB54}"/>
    <hyperlink ref="E671" r:id="rId72" display="https://acf.gov/cb/faq/trauma-nofo-faq1" xr:uid="{89063258-6215-43C3-9BDF-C894CDEC5261}"/>
    <hyperlink ref="E672" r:id="rId73" display="https://acf.gov/cb/faq/suggested-page-length" xr:uid="{D75F079A-FFF7-4E8B-8620-4241B7B67E89}"/>
    <hyperlink ref="E673" r:id="rId74" display="https://acf.gov/cb/faq/funding-opportunity-open-public-and-state-institutions-higher-education" xr:uid="{6A6ECCA4-DEA1-46E0-BA52-E1855AE94C04}"/>
    <hyperlink ref="E674" r:id="rId75" display="https://acf.gov/cb/faq/apply-funding-opportunity" xr:uid="{3ED5CE65-3944-402B-B3D9-AAF6A7165782}"/>
    <hyperlink ref="E670" r:id="rId76" display="https://acf.gov/cb/report/cfsr4-pip-plan-template" xr:uid="{5B342CAD-6275-4755-AC9E-3B990CFF2760}"/>
    <hyperlink ref="E669" r:id="rId77" display="https://acf.gov/cb/policy-guidance/im-23-05" xr:uid="{FA2CAD5D-5E83-4A36-8FA8-200534FAB70F}"/>
    <hyperlink ref="E668" r:id="rId78" display="https://acf.gov/cb/policy-guidance/pi-23-08" xr:uid="{B781CE46-53BC-401E-95E3-2E27FC818D5A}"/>
    <hyperlink ref="E667" r:id="rId79" display="https://acf.gov/cb/policy-guidance/im-23-04" xr:uid="{1D86F7AD-FA24-4BF4-83C7-5B587FBD3779}"/>
    <hyperlink ref="E665" r:id="rId80" display="https://acf.gov/cb/report/tribal-lookup-table-fy-2024" xr:uid="{94B50D07-20A7-4C79-8233-C350C373E13B}"/>
    <hyperlink ref="E666" r:id="rId81" display="https://acf.gov/cb/report/tribal-fmap-fy-2024" xr:uid="{15B9EDDF-5780-4428-9BEB-BD11D7B632C1}"/>
    <hyperlink ref="E663" r:id="rId82" display="https://acf.gov/cb/policy-guidance/pi-23-07" xr:uid="{3E2C4777-4842-4E6B-AB88-55D518878F90}"/>
    <hyperlink ref="E659" r:id="rId83" display="https://acf.gov/cb/policy-guidance/pi-23-06" xr:uid="{1D1EDCDF-E5AA-4903-A9C4-A64E74B58BC8}"/>
    <hyperlink ref="E660" r:id="rId84" display="https://acf.gov/cb/training-technical-assistance/title-iv-e-instructions" xr:uid="{EEB60BC1-4B6A-4BAC-8A09-22461CF734AE}"/>
    <hyperlink ref="E661" r:id="rId85" display="https://acf.gov/cb/policy-guidance/title-iv-e-foster-care-eligibility-review-guide" xr:uid="{29975908-3C9A-40BA-A7D8-FA7AE52BFF9A}"/>
    <hyperlink ref="E662" r:id="rId86" display="https://acf.gov/cb/training-technical-assistance/title-iv-e-foster-care-eligibility-site-review-instrument" xr:uid="{34216583-74D4-4879-89AE-6AB651CCDB19}"/>
    <hyperlink ref="E658" r:id="rId87" display="https://acf.gov/cb/policy-guidance/pi-23-05" xr:uid="{51707EDE-EE75-4B79-8A93-BD4A3CD74290}"/>
    <hyperlink ref="E657" r:id="rId88" display="https://acf.gov/cb/training-technical-assistance/validation-technical-training-video" xr:uid="{B0F194C6-FF69-4AD7-9926-81EC93DA32D0}"/>
    <hyperlink ref="E656" r:id="rId89" display="https://acf.gov/cb/policy-guidance/im-23-03" xr:uid="{510A950B-B576-4EAE-965D-EF847F8E4F70}"/>
    <hyperlink ref="E655" r:id="rId90" display="https://acf.gov/cb/policy-guidance/pi-23-04" xr:uid="{911EDAE8-77CF-49CE-A733-FF4055281743}"/>
    <hyperlink ref="E654" r:id="rId91" display="https://acf.gov/cb/policy-guidance/im2302" xr:uid="{030DFD72-548D-4CA4-91D6-C7F06038CEF3}"/>
    <hyperlink ref="E653" r:id="rId92" display="https://acf.gov/cb/policy-guidance/pi-23-03" xr:uid="{859C7421-089F-4EC8-85BE-3522696FAD2C}"/>
    <hyperlink ref="E652" r:id="rId93" display="https://acf.gov/cb/policy-guidance/pi-23-02" xr:uid="{B5C830A4-AC10-4E9C-9DE4-3A9B23C3B9EF}"/>
    <hyperlink ref="E651" r:id="rId94" display="https://acf.gov/cb/policy-guidance/pi-23-01" xr:uid="{DCC916DC-352C-4640-9E81-370C93C1B568}"/>
    <hyperlink ref="E650" r:id="rId95" display="https://acf.gov/cb/policy-guidance/im2301" xr:uid="{719B3163-1F22-46D8-B239-B6114549E79F}"/>
    <hyperlink ref="E649" r:id="rId96" display="https://acf.gov/cb/training-technical-assistance/afcars2020-office-hours-dec2022" xr:uid="{A864EA5C-31EB-4F05-B23A-E353B53FF469}"/>
    <hyperlink ref="E648" r:id="rId97" display="https://acf.gov/cb/policy-guidance/acf-im-22-01" xr:uid="{225A4862-0200-4740-9C76-8F2B6F3F0C9B}"/>
    <hyperlink ref="E647" r:id="rId98" display="https://acf.gov/cb/training-technical-assistance/rationale-statement-narratives" xr:uid="{5F8344D9-DC1D-423D-B310-1612D2576339}"/>
    <hyperlink ref="E646" r:id="rId99" display="https://acf.gov/cb/report/cfsr-osri-application-review-period" xr:uid="{2C89F0F7-47AB-417B-B2FE-83D220CE004C}"/>
    <hyperlink ref="E645" r:id="rId100" display="https://acf.gov/cb/report/cfsr-termination-parental-rights" xr:uid="{BBF580F9-61CD-4334-9E26-80237D99EFB8}"/>
    <hyperlink ref="E644" r:id="rId101" display="https://acf.gov/cb/report/cfsr-r4-statewide-data-indicators-data-dictionary" xr:uid="{745C8DDF-F2EE-4D55-8903-0B888E66119E}"/>
    <hyperlink ref="E643" r:id="rId102" display="https://acf.gov/cb/fact-sheet/cfsr-r4-elected-officials-spanish" xr:uid="{B57E613A-83FD-47CC-8EF7-4B489C056D6D}"/>
    <hyperlink ref="E642" r:id="rId103" display="https://acf.gov/cb/policy-guidance/letter-assignment-rights-child-support" xr:uid="{705C6927-7ADD-488F-94C0-C05CC413313B}"/>
    <hyperlink ref="E633" r:id="rId104" display="https://acf.gov/cb/report/cfsr-requirements-benefits-state-led-reviews" xr:uid="{A46017AD-1396-4954-9611-0BE5A3909C42}"/>
    <hyperlink ref="E641" r:id="rId105" display="https://acf.gov/cb/infographic/cfsr-process-defined-regulation" xr:uid="{AAAB8CE4-0D01-43CD-9131-AAEC7E99D473}"/>
    <hyperlink ref="E640" r:id="rId106" display="https://acf.gov/cb/training-technical-assistance/ccwis-technical-bulletin-9" xr:uid="{9FAFDC35-BBB7-405F-8E04-AE7D0D2A7A89}"/>
    <hyperlink ref="E639" r:id="rId107" display="https://acf.gov/cb/report/cfsr-r4-case-elimination-guidance" xr:uid="{FC549100-BAE0-4520-A670-8775511B62BA}"/>
    <hyperlink ref="E638" r:id="rId108" display="https://acf.gov/cb/training-technical-assistance/afcars-2020-compliance-and-penalties" xr:uid="{C4D6792C-86F4-47AA-883E-268067B8A6C4}"/>
    <hyperlink ref="E637" r:id="rId109" display="https://acf.gov/cb/training-technical-assistance/cfsr-technical-bulletin-13a" xr:uid="{881ECEE5-61E9-4E3E-8316-207C6280F398}"/>
    <hyperlink ref="E636" r:id="rId110" display="https://acf.gov/cb/report/cfsr-state-led-case-review-criteria" xr:uid="{43406AF0-40F6-4C56-BE56-39FC99A85E40}"/>
    <hyperlink ref="E635" r:id="rId111" display="https://acf.gov/cb/grant-funding/court-improvement-program" xr:uid="{96273404-B386-4614-B814-538B0142BA31}"/>
    <hyperlink ref="E634" r:id="rId112" display="https://acf.gov/cb/policy-guidance/im-22-02" xr:uid="{88C71FFE-DFC7-40D5-8317-C067B3F66F9B}"/>
    <hyperlink ref="E632" r:id="rId113" display="https://acf.gov/cb/policy-guidance/pi-22-06" xr:uid="{AB368094-016F-4C55-AAB3-CE7591804D1E}"/>
    <hyperlink ref="E630" r:id="rId114" display="https://acf.gov/cb/report/tribal-lookup-table-fy-2023" xr:uid="{68A4A5CF-B074-42EC-9FCB-057914A81261}"/>
    <hyperlink ref="E631" r:id="rId115" display="https://acf.gov/cb/report/tribal-fmap-fy-2023" xr:uid="{7EB9DD1D-B4E7-4E63-8D6D-4A671F272D18}"/>
    <hyperlink ref="E629" r:id="rId116" display="https://acf.gov/cb/policy-guidance/pi-22-05" xr:uid="{6750E2E6-2BF4-461C-B905-E0E2863F5558}"/>
    <hyperlink ref="E628" r:id="rId117" display="https://acf.gov/cb/policy-guidance/pi-22-04" xr:uid="{4BE90D7D-C9B4-4671-9DE7-9474748511D8}"/>
    <hyperlink ref="E627" r:id="rId118" display="https://acf.gov/cb/policy-guidance/pi-22-03" xr:uid="{4FAD0C5A-460B-49FF-B93A-0627025521EB}"/>
    <hyperlink ref="E625" r:id="rId119" display="https://acf.gov/cb/policy-guidance/pi-22-02" xr:uid="{70A7BC1D-6B49-4AD6-85EB-033375CC0BBA}"/>
    <hyperlink ref="E626" r:id="rId120" display="https://acf.gov/cb/policy-guidance/pi-22-01" xr:uid="{EA52256C-EDE7-444F-9F7F-A8DB59B06137}"/>
    <hyperlink ref="E624" r:id="rId121" display="https://acf.gov/cb/report/cfsr-4-site-selection-spanish" xr:uid="{F3C46169-DC8B-418C-B4DF-9A948A67E903}"/>
    <hyperlink ref="E623" r:id="rId122" display="https://acf.gov/cb/training-technical-assistance/ccwis-technical-bulletin-8" xr:uid="{03E39266-3A91-45F3-81DC-9CDFDA6F9D19}"/>
    <hyperlink ref="E622" r:id="rId123" display="https://acf.gov/cb/policy-guidance/joint-letter-states-financial-assistance" xr:uid="{261F8715-728B-4DAB-A67C-12C886B82BE3}"/>
    <hyperlink ref="E601" r:id="rId124" display="https://acf.gov/cb/training-technical-assistance/ccwis-tb-7" xr:uid="{40175186-14FC-4D27-BAE1-06580561A04F}"/>
    <hyperlink ref="E621" r:id="rId125" display="https://acf.gov/cb/training-technical-assistance/ccwis-design-requirements-self-assessment" xr:uid="{AB04F123-BDC1-457E-8DE3-75A0FDE190FD}"/>
    <hyperlink ref="E620" r:id="rId126" display="https://acf.gov/cb/policy-guidance/pi-21-09" xr:uid="{18F0039B-080C-4485-A767-65B786BB5204}"/>
    <hyperlink ref="E619" r:id="rId127" display="https://acf.gov/cb/faq/grandparent-rights1" xr:uid="{77C7EE24-F90F-44C3-B73A-46047C090846}"/>
    <hyperlink ref="E606" r:id="rId128" display="https://acf.gov/cb/policy-guidance/pi-21-08" xr:uid="{233F11EA-7D38-43CF-B4F2-DD6531933162}"/>
    <hyperlink ref="E607" r:id="rId129" display="https://acf.gov/cb/faq/foster-care-5" xr:uid="{A6991E34-2620-4742-A1F7-000567CE68AD}"/>
    <hyperlink ref="E608" r:id="rId130" display="https://acf.gov/cb/faq/foster-care1" xr:uid="{5A3DDDEC-FD84-48F5-964E-F4951B1721F4}"/>
    <hyperlink ref="E609" r:id="rId131" display="https://acf.gov/cb/faq/custody2" xr:uid="{853EA0F5-68C3-49EA-B96B-F9947E26B238}"/>
    <hyperlink ref="E610" r:id="rId132" display="https://acf.gov/cb/faq/custody3" xr:uid="{19C6EE82-2715-42A1-91F9-4457F23DE7D3}"/>
    <hyperlink ref="E611" r:id="rId133" display="https://acf.gov/cb/faq/foster-care2" xr:uid="{291496F6-B18B-4FE0-86AC-31A3302D79EE}"/>
    <hyperlink ref="E612" r:id="rId134" display="https://acf.gov/cb/faq/foster-care7" xr:uid="{DFD6E265-3053-4578-80C4-79365473BFFC}"/>
    <hyperlink ref="E613" r:id="rId135" display="https://acf.gov/cb/faq/foster-care6" xr:uid="{71BBABF6-BE32-4C84-B60D-2601E2E42020}"/>
    <hyperlink ref="E614" r:id="rId136" display="https://acf.gov/cb/faq/custody6" xr:uid="{7B464D23-95A4-4C18-84D4-D71D027E7CFD}"/>
    <hyperlink ref="E615" r:id="rId137" display="https://acf.gov/cb/faq/custody1" xr:uid="{226CDFB5-3C04-41FC-8F86-C7588D4D7426}"/>
    <hyperlink ref="E616" r:id="rId138" display="https://acf.gov/cb/faq/custody4" xr:uid="{23E2C117-3A29-42FD-88BF-654BAE52A941}"/>
    <hyperlink ref="E617" r:id="rId139" display="https://acf.gov/cb/faq/custody7" xr:uid="{6246F76C-A7F1-4E3F-A5CE-60BEEEE24868}"/>
    <hyperlink ref="E618" r:id="rId140" display="https://acf.gov/cb/faq/policy1" xr:uid="{D3F1309B-091A-4921-B7AE-200E344D7A2D}"/>
    <hyperlink ref="E605" r:id="rId141" display="https://acf.gov/cb/report/cfsr-round-3-statewide-data-indicators-workbook" xr:uid="{86031D8F-80B9-414B-A0B6-5136FFBF450C}"/>
    <hyperlink ref="E716" r:id="rId142" display="https://acf.gov/cb/training-technical-assistance/technical-bulletin-23-compliance-data" xr:uid="{0239AEEB-2CD3-42E7-AFE9-B423FAF5A957}"/>
    <hyperlink ref="E717" r:id="rId143" display="https://acf.gov/cb/training-technical-assistance/technical-bulletin-22-reporting-population" xr:uid="{5CC6510C-4288-4B00-9EDA-0234C11C256E}"/>
    <hyperlink ref="E603" r:id="rId144" display="https://acf.gov/cb/policy-guidance/letter-child-welfare-directors-covid19" xr:uid="{D08FDE33-2E87-4F73-9106-7C3C8A109ADA}"/>
    <hyperlink ref="E604" r:id="rId145" display="https://acf.gov/cb/policy-guidance/appendix-3-disaster-relief-flexibilities" xr:uid="{83949EF2-E724-4D19-B3E5-DACD248A6C76}"/>
    <hyperlink ref="E602" r:id="rId146" display="https://acf.gov/cb/policy-guidance/pi-21-06" xr:uid="{6DD2AB3B-5198-4E24-B492-1495CC949A68}"/>
    <hyperlink ref="E600" r:id="rId147" display="https://acf.gov/cb/policy-guidance/pi-21-05" xr:uid="{FF0DDD7D-83CF-4238-9D09-1F2A040FA207}"/>
    <hyperlink ref="E599" r:id="rId148" display="https://acf.gov/cb/policy-guidance/pi-21-04" xr:uid="{FE89A9F1-A33A-49A4-B703-A9D9288CE6F8}"/>
    <hyperlink ref="E598" r:id="rId149" display="https://acf.gov/cb/policy-guidance/pi-21-03" xr:uid="{76910A73-49E9-403F-928A-26888867A696}"/>
    <hyperlink ref="E596" r:id="rId150" display="https://acf.gov/cb/policy-guidance/pi-21-02" xr:uid="{88237A6B-1F8E-49A1-94C2-A0FED329E7C2}"/>
    <hyperlink ref="E597" r:id="rId151" display="https://acf.gov/cb/policy-guidance/pi-21-01" xr:uid="{6F1E3ABB-4F38-4013-B986-3D765D9F9873}"/>
    <hyperlink ref="E594" r:id="rId152" display="https://acf.gov/cb/report/tribal-lookup-table-fy-2022" xr:uid="{2A2B5D1A-B31B-47C5-A626-DE8BF9AEB703}"/>
    <hyperlink ref="E595" r:id="rId153" display="https://acf.gov/cb/report/tribal-fmap-fys-2021-2022" xr:uid="{61A1A818-43F5-41E8-8717-0513C36168CA}"/>
    <hyperlink ref="E585" r:id="rId154" display="https://acf.gov/cb/policy-guidance/foster-youth-independence-initiative" xr:uid="{7BEC37D0-6159-47C7-883E-9062FB0EA896}"/>
    <hyperlink ref="E593" r:id="rId155" display="https://acf.gov/cb/policy-guidance/im-21-06" xr:uid="{F207CE18-2F7D-4381-8597-25F90D517E5A}"/>
    <hyperlink ref="E694" r:id="rId156" display="https://acf.gov/cb/training-technical-assistance/technical-bulletin-21-xml-file" xr:uid="{B1D84553-6CD1-4207-A084-EE6C05CA2EE7}"/>
    <hyperlink ref="E592" r:id="rId157" display="https://acf.gov/cb/policy-guidance/im-21-05" xr:uid="{32FDB771-BF3A-4916-BF7B-BA8645786552}"/>
    <hyperlink ref="E591" r:id="rId158" display="https://acf.gov/cb/policy-guidance/im-21-02" xr:uid="{FDEA2730-AC30-4C9F-AFAC-30CC5DE401D2}"/>
    <hyperlink ref="E590" r:id="rId159" display="https://acf.gov/cb/policy-guidance/im-21-01" xr:uid="{9DF90875-1697-47F1-BAD1-80F99FDF8BD4}"/>
    <hyperlink ref="D589" r:id="rId160" display="https://acf.gov/cb/policy-guidance/im-20-08" xr:uid="{FD2FCC61-19D7-499C-A0A2-D10AF5CBD602}"/>
    <hyperlink ref="D588" r:id="rId161" display="https://acf.gov/cb/policy-guidance/pi-20-14" xr:uid="{A86A6DEA-4D29-4FDB-895E-2296497A817C}"/>
    <hyperlink ref="D586" r:id="rId162" display="https://acf.gov/cb/policy-guidance/pi-20-12" xr:uid="{1BD18B4B-0813-41D2-80CA-906BE988D272}"/>
    <hyperlink ref="D587" r:id="rId163" display="https://acf.gov/cb/policy-guidance/pi-20-13" xr:uid="{92610219-5C37-4257-9907-B7C52F305179}"/>
    <hyperlink ref="E584" r:id="rId164" display="https://acf.gov/cb/policy-guidance/ensuring-continuation-critical-court-hearings-during-covid-19" xr:uid="{8FA7838B-6747-4D50-950A-FB8E0A341AB4}"/>
    <hyperlink ref="E582" r:id="rId165" display="https://acf.gov/cb/policy-guidance/letter-child-welfare-leaders-about-title-iv-e-prevention-program-flexibilities" xr:uid="{9BC8C87F-89A4-4AA5-B0BA-65701A7BE9C8}"/>
    <hyperlink ref="E583" r:id="rId166" display="https://acf.gov/cb/training-technical-assistance/afcars-20-questions-and-answers" xr:uid="{4BEEF3DE-63DC-4B22-9332-3A0D7B6FE8EC}"/>
    <hyperlink ref="E581" r:id="rId167" display="https://acf.gov/cb/policy-guidance/letter-regarding-roundtable-discussions" xr:uid="{64B54DA8-C9EE-4C19-8312-49C22CF81561}"/>
    <hyperlink ref="E718" r:id="rId168" display="https://acf.gov/cb/training-technical-assistance/technical-bulletin-20-data-adoption" xr:uid="{990B2AB8-63CD-4B6D-894B-5C369AB11833}"/>
    <hyperlink ref="E580" r:id="rId169" display="https://acf.gov/cb/policy-guidance/cfsp/apsr-reporting-schedule-states-and-tribes" xr:uid="{F52A9A95-B39E-4E5F-82F6-5CD8A434F31E}"/>
    <hyperlink ref="E579" r:id="rId170" display="https://acf.gov/cb/training-technical-assistance/afcars-21-questions-and-answers" xr:uid="{C09BE329-283E-4623-8CFD-9EAEFFF83FA1}"/>
    <hyperlink ref="E578" r:id="rId171" display="https://acf.gov/cb/training-technical-assistance/cfsr-technical-bulletin-12" xr:uid="{79BC31E1-720C-4545-B976-BE9DA800D82C}"/>
    <hyperlink ref="E577" r:id="rId172" display="https://acf.gov/cb/policy-guidance/letter-addresses-concerns-regarding-terminating-parental-rights-due-service" xr:uid="{F83E1866-B67B-401A-9A49-CE2398551583}"/>
    <hyperlink ref="D576" r:id="rId173" display="https://acf.gov/cb/policy-guidance/pi-20-11" xr:uid="{B8E05134-3373-443D-B8DA-DE483FB4E086}"/>
    <hyperlink ref="E575" r:id="rId174" display="https://acf.gov/cb/policy-guidance/letter-jerry-milner-cfsr-pip-measurement-non-overlapping-evaluation-period" xr:uid="{C1F27B0F-8229-49B3-AF2A-B23E43ECEB4F}"/>
    <hyperlink ref="E573" r:id="rId175" display="https://acf.gov/cb/policy-guidance/extended-foster-guidance-pandemic" xr:uid="{B3AE21DC-CF43-4B98-9F5D-B72B221DFE1B}"/>
    <hyperlink ref="E574" r:id="rId176" display="https://acf.gov/cb/policy-guidance/joint-letter-family-support-maternal-and-child-health-and-early-childhood" xr:uid="{79DEA34E-2622-4014-8A26-2869C2FAD0D4}"/>
    <hyperlink ref="E748" r:id="rId177" display="https://acf.gov/cb/training-technical-assistance/technical-bulletin-prevention-program" xr:uid="{A42EBD2C-1C35-4976-9364-D563E2E668C2}"/>
    <hyperlink ref="D572" r:id="rId178" display="https://acf.gov/cb/policy-guidance/im-20-07" xr:uid="{5639E1FD-10E4-41BD-AF27-D98792D177D5}"/>
    <hyperlink ref="D571" r:id="rId179" display="https://acf.gov/cb/policy-guidance/pi-20-10" xr:uid="{13BE4EB3-29EE-43BF-A478-3880D582D23D}"/>
    <hyperlink ref="D570" r:id="rId180" display="https://acf.gov/cb/policy-guidance/im-20-06" xr:uid="{5541E140-94B2-473E-BB2A-F1F2BE07572A}"/>
    <hyperlink ref="E569" r:id="rId181" display="https://acf.gov/cb/policy-guidance/childrens-bureau-letter-regarding-existing-title-iv-e-flexibility" xr:uid="{92763A22-80EE-4DEE-B4DD-80F1025F3C60}"/>
    <hyperlink ref="E568" r:id="rId182" display="https://acf.gov/cb/policy-guidance/letter-governors-regarding-personal-protective-equipment-child-welfare-workers" xr:uid="{22C81468-C612-4D4B-889A-8A7F1A23FA3D}"/>
    <hyperlink ref="E566" r:id="rId183" display="https://acf.gov/cb/policy-guidance/guidance-about-seeking-personal-protective-equipment-child-welfare-workers" xr:uid="{6E7C568E-17FC-45ED-A963-BB12744FCD9A}"/>
    <hyperlink ref="E567" r:id="rId184" display="https://acf.gov/cb/policy-guidance/letter-childrens-bureau-regarding-use-federal-funds-cell-phones-and-personal" xr:uid="{A2293CE4-C1F3-4F93-8E8D-A4852A7291D8}"/>
    <hyperlink ref="E563" r:id="rId185" display="https://acf.gov/cb/policy-guidance/use-court-improvement-programs-assist-dependency-courts-response-covid-19" xr:uid="{24CC1EDA-7F2C-4AB8-8E17-A59942D9813D}"/>
    <hyperlink ref="E564" r:id="rId186" display="https://acf.gov/cb/policy-guidance/guidance-regarding-fingerprint-and-caseworker-visit-requirements-during-covid-19" xr:uid="{2A127C31-8A4D-44E6-819B-9DC225544BD4}"/>
    <hyperlink ref="D565" r:id="rId187" display="https://acf.gov/cb/policy-guidance/pi-20-08" xr:uid="{C1EDF541-8CCB-4F8B-B406-9AB46B616566}"/>
    <hyperlink ref="E562" r:id="rId188" display="https://acf.gov/cb/policy-guidance/postponement-title-iv-e-foster-care-eligibility-reviews-and-national-youth" xr:uid="{87262F55-0C92-4888-9D8B-AF9E40249446}"/>
    <hyperlink ref="E558" r:id="rId189" display="https://acf.gov/cb/policy-guidance/joint-statement-child-welfare-courts-during-public-health-crisis-access-justice" xr:uid="{FE49FA7A-DBE3-40B4-8C83-BD3744ED7D56}"/>
    <hyperlink ref="D561" r:id="rId190" display="https://acf.gov/cb/policy-guidance/im-20-05" xr:uid="{A37A6792-308C-47AC-A0AA-FD309B92751D}"/>
    <hyperlink ref="E560" r:id="rId191" display="https://acf.gov/cb/policy-guidance/updates-formula-grant-opportunities-related-covid-19-pandemic" xr:uid="{CC9C1C95-2FD7-4C07-A5AA-875A05F7A5A8}"/>
    <hyperlink ref="E557" r:id="rId192" display="https://acf.gov/cb/policy-guidance/guidance-flexible-convening-court-hearings-during-covid-19" xr:uid="{96BC8D31-8C3F-4F0E-AD6D-34BCF4ECC535}"/>
    <hyperlink ref="D559" r:id="rId193" display="https://acf.gov/cb/policy-guidance/pi-20-09" xr:uid="{219CFFA5-0D05-415C-A404-273EE786C180}"/>
    <hyperlink ref="E556" r:id="rId194" display="https://acf.gov/cb/outreach-material/hhs-division-updates-covid-19" xr:uid="{F52CECF0-60EF-4E8D-AFAD-E6BF0852F3C2}"/>
    <hyperlink ref="D555" r:id="rId195" display="https://acf.gov/cb/policy-guidance/pi-20-07" xr:uid="{CEB5D4C7-3F5B-4EFA-99A5-0D7AB5E951ED}"/>
    <hyperlink ref="E554" r:id="rId196" display="https://acf.gov/cb/training-technical-assistance/ffpsa-title-iv-e-prevention-program-implementation-updates" xr:uid="{E54EE65B-96D8-40E9-AC4C-4F012376E0BB}"/>
    <hyperlink ref="D552" r:id="rId197" display="https://acf.gov/cb/policy-guidance/pi-20-05" xr:uid="{5B135E87-0643-4E04-BF3E-8C829B91BFDA}"/>
    <hyperlink ref="D553" r:id="rId198" display="https://acf.gov/cb/policy-guidance/pi-20-06" xr:uid="{34F6F68D-8669-4A51-B716-007448F05D3C}"/>
    <hyperlink ref="D551" r:id="rId199" display="https://acf.gov/cb/policy-guidance/pi-20-04" xr:uid="{A309D683-D63D-4F7A-885E-0303E475718B}"/>
    <hyperlink ref="E550" r:id="rId200" display="https://acf.gov/cb/report/cfsr-round-3-statewide-data-indicator-data-dictionary-2020" xr:uid="{0CFF6DBC-A8F9-407E-A25B-2F94261C9507}"/>
    <hyperlink ref="D549" r:id="rId201" display="https://acf.gov/cb/policy-guidance/im-20-04" xr:uid="{2607E38D-04BC-4D02-9F2C-D2AC4592C626}"/>
    <hyperlink ref="E548" r:id="rId202" display="https://acf.gov/cb/training-technical-assistance/cfsr-technical-bulletin-11" xr:uid="{BC00A19B-E4BE-437E-A5A6-03DD2D9AB979}"/>
    <hyperlink ref="D547" r:id="rId203" display="https://acf.gov/cb/policy-guidance/im-20-03" xr:uid="{1A31E775-76FB-48BA-ADA3-BFDCFA65F300}"/>
    <hyperlink ref="D546" r:id="rId204" display="https://acf.gov/cb/policy-guidance/pi-20-03" xr:uid="{15633FDF-3BCE-4533-9E91-B2E20A45409B}"/>
    <hyperlink ref="D545" r:id="rId205" display="https://acf.gov/cb/policy-guidance/im-20-02" xr:uid="{5108742A-4095-492F-9822-2C7D620E5704}"/>
    <hyperlink ref="D544" r:id="rId206" display="https://acf.gov/cb/policy-guidance/pi-20-02" xr:uid="{34580F6B-7A3B-4EE7-A8C4-950C88E23A44}"/>
    <hyperlink ref="D543" r:id="rId207" display="https://acf.gov/cb/policy-guidance/im-20-01" xr:uid="{ADC37256-054B-499B-9EA0-DBCC7118D330}"/>
    <hyperlink ref="E542" r:id="rId208" display="https://acf.gov/cb/report/tribal-federal-medical-assistance-percentage-reference-table-fy-2021" xr:uid="{26CD68FF-16A0-47B5-8DCF-C8F0F20AE958}"/>
    <hyperlink ref="E541" r:id="rId209" display="https://acf.gov/cb/report/tribal-federal-medical-assistance-percentage-look-table-fy-2021" xr:uid="{26DCBB02-3FF8-45C3-AD18-451E3D539F97}"/>
    <hyperlink ref="D540" r:id="rId210" display="https://acf.gov/cb/policy-guidance/pi-20-01" xr:uid="{C883627F-9312-423F-B415-05EA1873E420}"/>
    <hyperlink ref="D539" r:id="rId211" display="https://acf.gov/cb/policy-guidance/pi-19-07" xr:uid="{F41A02EF-B956-4046-81DF-56A5EF6D311B}"/>
    <hyperlink ref="E538" r:id="rId212" display="https://acf.gov/cb/training-technical-assistance/ncands-agency-file-codebook" xr:uid="{C2086E8A-7484-43DF-A608-832618AF97EC}"/>
    <hyperlink ref="E537" r:id="rId213" display="https://acf.gov/cb/training-technical-assistance/ncands-child-file-codebook" xr:uid="{83E98FD1-1D94-45B0-B068-9785A2CF8A4C}"/>
    <hyperlink ref="E536" r:id="rId214" display="https://acf.gov/cb/policy-guidance/title-iv-e-foster-care-eligibility-reviews-2020-schedule" xr:uid="{78DC0ACB-97E3-4D95-8611-90C0CF4F0CB4}"/>
    <hyperlink ref="E535" r:id="rId215" display="https://acf.gov/cb/report/tribal-federal-medical-assistance-percentage-reference-table-fy-2020" xr:uid="{5772DB99-110E-462B-9006-C8285FB3329F}"/>
    <hyperlink ref="E534" r:id="rId216" display="https://acf.gov/cb/report/tribal-federal-medical-assistance-percentage-look-table-fy-2020" xr:uid="{2F8D82D2-7B88-42ED-A983-0A3A4F59A95B}"/>
    <hyperlink ref="D533" r:id="rId217" display="https://acf.gov/cb/policy-guidance/im-19-04" xr:uid="{7797A560-077C-46B0-977D-A0F12E465EA5}"/>
    <hyperlink ref="E532" r:id="rId218" display="https://acf.gov/cb/training-technical-assistance/cfsr-technical-bulletin-10" xr:uid="{3BDBE51C-330E-493B-93D9-48DE131BA40C}"/>
    <hyperlink ref="E530" r:id="rId219" display="https://acf.gov/cb/training-technical-assistance/cfsr-round-3-statewide-data-indicator-data-dictionary-2019" xr:uid="{FB7C7ED9-64A7-49D5-BA10-F2F00B6488C7}"/>
    <hyperlink ref="E531" r:id="rId220" display="https://acf.gov/cb/training-technical-assistance/instructions-run-data-quality-dq-checks-and-observed-performance" xr:uid="{381FDA29-EAD3-4F95-8776-47E0EF893DA5}"/>
    <hyperlink ref="D529" r:id="rId221" display="https://acf.gov/cb/policy-guidance/im-19-03" xr:uid="{51FAD2B7-46D8-46A3-A1AF-1B1C22EBAD45}"/>
    <hyperlink ref="D528" r:id="rId222" display="https://acf.gov/cb/policy-guidance/pi-19-06" xr:uid="{FA2A43BD-0CC9-4C13-BF84-422B4D5C3B8C}"/>
    <hyperlink ref="E526" r:id="rId223" display="https://acf.gov/cb/faq/can15" xr:uid="{2E7B9241-6952-4197-A455-D5CD68D0BC0F}"/>
    <hyperlink ref="E525" r:id="rId224" display="https://acf.gov/cb/faq/can13" xr:uid="{DF672145-8BF2-44F5-ACB1-C273DC2594BA}"/>
    <hyperlink ref="E524" r:id="rId225" display="https://acf.gov/cb/faq/cw3" xr:uid="{F4C45E63-13C6-49AF-9476-1349E950D12C}"/>
    <hyperlink ref="E527" r:id="rId226" display="https://acf.gov/cb/faq/cw2" xr:uid="{644C303B-42ED-47AB-A5C1-0CE2A9E4036C}"/>
    <hyperlink ref="E523" r:id="rId227" display="https://acf.gov/cb/faq/can14" xr:uid="{6DC48270-55AB-4B2A-AB02-FF0723B84CFF}"/>
    <hyperlink ref="E522" r:id="rId228" display="https://acf.gov/cb/faq/can12" xr:uid="{3B1EC0F3-4410-4B43-BEBB-A232EF474ECA}"/>
    <hyperlink ref="E521" r:id="rId229" display="https://acf.gov/cb/faq/can11" xr:uid="{87F1A228-A958-4AB3-ABB8-B92708AD760F}"/>
    <hyperlink ref="E520" r:id="rId230" display="https://acf.gov/cb/grant-funding/checklist-2021-annual-progress-and-services-review-reports-apsrs-due-june-30-2020" xr:uid="{B546B439-9D6E-4F38-B3D7-29AB46F4324E}"/>
    <hyperlink ref="E519" r:id="rId231" display="https://acf.gov/cb/policy-guidance/questions-and-answers-afcars-nprm" xr:uid="{89ADE70B-81D9-4EA1-BCCE-5092E1DCF591}"/>
    <hyperlink ref="D518" r:id="rId232" display="https://acf.gov/cb/policy-guidance/im-19-02" xr:uid="{B124BFEF-562F-425D-9566-3C41FF713680}"/>
    <hyperlink ref="D517" r:id="rId233" display="https://acf.gov/cb/policy-guidance/pi-19-05" xr:uid="{F789BE9B-24E8-46E8-A6DC-3F75A5546AFF}"/>
    <hyperlink ref="D516" r:id="rId234" display="https://acf.gov/cb/policy-guidance/pi-19-04" xr:uid="{7835F342-7FE7-4D77-A00D-04159D514DC1}"/>
    <hyperlink ref="D515" r:id="rId235" display="https://acf.gov/cb/report/pi-19-03" xr:uid="{3DCF2148-551C-441E-AEC6-DB796934BAEF}"/>
    <hyperlink ref="E514" r:id="rId236" display="https://acf.gov/cb/data/ccwis-status-end-transition-period-july-31-2018" xr:uid="{B25AA2A4-0BC3-41E6-8845-4C4646609A59}"/>
    <hyperlink ref="E513" r:id="rId237" display="https://acf.gov/cb/grant-funding/childrens-bureau-tribal-consultation-response-tribal-consultation-title-iv-e" xr:uid="{CA0625DB-2B53-4473-8CA6-D0E2E48E9020}"/>
    <hyperlink ref="D512" r:id="rId238" display="https://acf.gov/cb/policy-guidance/pi-19-02" xr:uid="{187A20EF-9EF0-4876-8044-A94F67B2B548}"/>
    <hyperlink ref="D511" r:id="rId239" display="https://acf.gov/cb/policy-guidance/im-19-01" xr:uid="{FFC9A861-352A-490F-A66E-34D3BD4E28E9}"/>
    <hyperlink ref="E509" r:id="rId240" display="https://acf.gov/cb/report/tribal-federal-medical-assistance-percentage-look-table-fy-2019" xr:uid="{7179CAAF-15BF-4097-AE03-B0368F12043B}"/>
    <hyperlink ref="E510" r:id="rId241" display="https://acf.gov/cb/report/tribal-federal-medical-assistance-percentage-reference-table-fys-2018-2019" xr:uid="{71923807-341E-44A7-99BD-F2DB7CA36307}"/>
    <hyperlink ref="D508" r:id="rId242" display="https://acf.gov/cb/policy-guidance/pi-19-01" xr:uid="{98D376C8-D892-4582-A398-448A73A0D949}"/>
    <hyperlink ref="E507" r:id="rId243" display="https://acf.gov/cb/outreach-material/letter-update-child-welfare-directors-title-iv-e-prevention-services" xr:uid="{1C1DEA71-8E2F-48EF-97B4-8934859E237B}"/>
    <hyperlink ref="D503" r:id="rId244" display="https://acf.gov/cb/policy-guidance/pi-18-10" xr:uid="{64BED123-7231-4810-8969-B3C436EFEC55}"/>
    <hyperlink ref="D504" r:id="rId245" display="https://acf.gov/cb/policy-guidance/pi-18-11" xr:uid="{58DA2BC5-EF89-4262-856A-60DDA45D0D3E}"/>
    <hyperlink ref="D505" r:id="rId246" display="https://acf.gov/cb/policy-guidance/pi-18-12" xr:uid="{A481FEB9-CAE8-489F-979F-85074AE8A4EC}"/>
    <hyperlink ref="D506" r:id="rId247" display="https://acf.gov/cb/policy-guidance/pi-18-09" xr:uid="{16D1CB96-2E83-46E1-9140-C80C1E39324D}"/>
    <hyperlink ref="E502" r:id="rId248" display="https://acf.gov/cb/law-regulation/notice-biennial-publication-allotment-percentages-states-under-title-iv-b-subpart" xr:uid="{50B7DB5C-F4BB-4DE2-84DF-D96EA69B4A3C}"/>
    <hyperlink ref="D501" r:id="rId249" display="https://acf.gov/cb/training-technical-assistance/ccwis-technical-bulletin-6" xr:uid="{06C21887-B5CD-4C89-8F60-FD9134E12251}"/>
    <hyperlink ref="D500" r:id="rId250" display="https://acf.gov/cb/training-technical-assistance/ccwis-technical-bulletin-5" xr:uid="{ED4606CE-C1F3-4DA6-8B81-E3B183F3D51F}"/>
    <hyperlink ref="E499" r:id="rId251" display="https://acf.gov/cb/policy-guidance/im-18-05" xr:uid="{68055898-332F-4F49-8E10-5AAF30169558}"/>
    <hyperlink ref="D498" r:id="rId252" display="https://acf.gov/cb/policy-guidance/im-18-04" xr:uid="{CB71C05F-659B-4776-831B-522FBF938BFF}"/>
    <hyperlink ref="D497" r:id="rId253" display="https://acf.gov/cb/training-technical-assistance/ccwis-technical-bulletin-4" xr:uid="{0D7380E2-F9F4-4085-83E3-469FD2A79ADE}"/>
    <hyperlink ref="D496" r:id="rId254" display="https://acf.gov/cb/policy-guidance/im-18-03" xr:uid="{6832E74F-E9B8-4E35-AC2B-9EE9C23C91A9}"/>
    <hyperlink ref="E484" r:id="rId255" display="https://acf.gov/cb/policy-guidance/guide-nytd-review-transmittal-letter" xr:uid="{1C2B7EAC-5918-43E6-BC50-12915FE2086D}"/>
    <hyperlink ref="D216" r:id="rId256" display="https://acf.gov/cb/policy-guidance/ossp-00-01" xr:uid="{6846B26C-67AD-4796-94CB-7D45E063F4B9}"/>
    <hyperlink ref="D200" r:id="rId257" display="https://acf.gov/cb/policy-guidance/98-05" xr:uid="{957FC473-573F-4DDF-B6CA-CF19D2E77F51}"/>
    <hyperlink ref="D150" r:id="rId258" display="https://acf.gov/cb/policy-guidance/95-01" xr:uid="{A318AC66-0D3C-49F0-B62A-4037B47C00A6}"/>
    <hyperlink ref="D143" r:id="rId259" display="https://acf.gov/cb/policy-guidance/94-05" xr:uid="{432165DE-AADB-4755-9452-EC84B6D59856}"/>
    <hyperlink ref="D125" r:id="rId260" display="https://acf.gov/cb/policy-guidance/93-03" xr:uid="{07F5106F-B3F1-497F-B8C2-115ED9B30C89}"/>
    <hyperlink ref="D116" r:id="rId261" display="https://acf.gov/cb/policy-guidance/92-05" xr:uid="{9C8D2931-FF84-4433-B060-BF1F7297E8B5}"/>
    <hyperlink ref="D115" r:id="rId262" display="https://acf.gov/cb/policy-guidance/91-33" xr:uid="{94C78870-401B-4D83-85CD-F5F7D3E17CB3}"/>
    <hyperlink ref="D55" r:id="rId263" display="https://acf.gov/cb/policy-guidance/85-04" xr:uid="{D3865FBF-FE2A-484F-8C1F-30EBC06A2B88}"/>
    <hyperlink ref="D18" r:id="rId264" display="https://acf.gov/cb/policy-guidance/81-16" xr:uid="{D208DFDA-0E8D-4F40-92F9-DE9AC7B0E75E}"/>
    <hyperlink ref="D8" r:id="rId265" display="https://acf.gov/cb/policy-guidance/81-01" xr:uid="{0CDA197C-68B9-4F76-9DDB-9A4A396B2148}"/>
    <hyperlink ref="D7" r:id="rId266" display="https://acf.gov/cb/policy-guidance/80-05" xr:uid="{23DC1D38-FCB2-4663-BB32-E26D4F9EA90A}"/>
    <hyperlink ref="D6" r:id="rId267" display="https://acf.gov/cb/policy-guidance/80-04" xr:uid="{80E04269-CE4D-46D7-94FC-001F76EA1C58}"/>
    <hyperlink ref="D5" r:id="rId268" display="https://acf.gov/cb/policy-guidance/80-03" xr:uid="{0B821D30-6800-4DA3-BA51-6F4479E0FD0F}"/>
    <hyperlink ref="D4" r:id="rId269" display="https://acf.gov/cb/policy-guidance/80-02" xr:uid="{49CF2A2F-FC07-4500-A4D8-3AECB571EE26}"/>
    <hyperlink ref="D3" r:id="rId270" display="https://acf.gov/cb/policy-guidance/80-01" xr:uid="{5D489046-D84D-460B-8060-5C745B172EE7}"/>
    <hyperlink ref="D2" r:id="rId271" display="https://acf.gov/cb/policy-guidance/79-12" xr:uid="{5A009458-6C2D-4417-8387-30A37151E3BE}"/>
    <hyperlink ref="D490" r:id="rId272" display="https://acf.gov/cb/policy-guidance/im-18-02" xr:uid="{22C063E3-A96F-4A0A-8F51-9AFB6BC6FC5D}"/>
    <hyperlink ref="D489" r:id="rId273" display="https://acf.gov/cb/policy-guidance/im-18-01" xr:uid="{F0E948E3-E880-4A1D-9D1B-87663A90BE81}"/>
    <hyperlink ref="D482" r:id="rId274" display="https://acf.gov/cb/policy-guidance/im-17-05" xr:uid="{E7E7247C-327C-4226-9626-32265E4CD0F0}"/>
    <hyperlink ref="D481" r:id="rId275" display="https://acf.gov/cb/policy-guidance/im-17-04" xr:uid="{D02462C9-0C9D-46C5-B769-9C058DCC84C0}"/>
    <hyperlink ref="D476" r:id="rId276" display="https://acf.gov/cb/policy-guidance/im-17-02" xr:uid="{ADC2A95F-1E30-483D-BE02-91F4D39DF642}"/>
    <hyperlink ref="D474" r:id="rId277" display="https://acf.gov/cb/policy-guidance/im-17-01" xr:uid="{4E982F1C-D718-4BBB-9608-46DBBB2DA28D}"/>
    <hyperlink ref="E473" r:id="rId278" display="https://acf.gov/cb/policy-guidance/im-16-07" xr:uid="{5CFEF228-1372-4554-8261-AF4FD6FD17C5}"/>
    <hyperlink ref="D471" r:id="rId279" display="https://acf.gov/cb/policy-guidance/im-16-06" xr:uid="{8A123793-3C5D-43F7-BC6C-53E977586E67}"/>
    <hyperlink ref="D470" r:id="rId280" display="https://acf.gov/cb/policy-guidance/im-16-05" xr:uid="{AB8DE246-4F16-4874-B428-36DC35F4FA50}"/>
    <hyperlink ref="D469" r:id="rId281" display="https://acf.gov/cb/policy-guidance/im-16-04" xr:uid="{45DE62F6-53DE-4581-AF59-9C98481CB59E}"/>
    <hyperlink ref="D468" r:id="rId282" display="https://acf.gov/cb/policy-guidance/im-16-03" xr:uid="{E4AF3B9B-CB53-4048-8051-3C171FC61159}"/>
    <hyperlink ref="D463" r:id="rId283" display="https://acf.gov/cb/policy-guidance/im-16-02" xr:uid="{70B78037-CD26-4BE3-878B-21DD0127AF10}"/>
    <hyperlink ref="D460" r:id="rId284" display="https://acf.gov/cb/policy-guidance/im-16-01" xr:uid="{B1C0506A-0C4A-4E40-B67E-B095756F1B6D}"/>
    <hyperlink ref="D455" r:id="rId285" display="https://acf.gov/cb/policy-guidance/im-15-08" xr:uid="{42A86DAC-BF3C-47E3-B4F6-CE9D93BCEE2C}"/>
    <hyperlink ref="D454" r:id="rId286" display="https://acf.gov/cb/policy-guidance/im-15-07" xr:uid="{8E53F236-231F-4D71-916A-B3F92A803C25}"/>
    <hyperlink ref="D453" r:id="rId287" display="https://acf.gov/cb/policy-guidance/im-15-06" xr:uid="{A9395070-698F-4B13-BBAD-BFD992C1D94E}"/>
    <hyperlink ref="D451" r:id="rId288" display="https://acf.gov/cb/policy-guidance/im-15-05" xr:uid="{CA638992-BDA9-442B-99CD-E0143A0C94E0}"/>
    <hyperlink ref="D450" r:id="rId289" display="https://acf.gov/cb/policy-guidance/im-15-04" xr:uid="{8D96050B-EF62-4593-8CA6-AE5EC6E2815A}"/>
    <hyperlink ref="D446" r:id="rId290" display="https://acf.gov/cb/policy-guidance/im-15-03" xr:uid="{9964D817-F421-4A97-A6BA-617E8ADD6E90}"/>
    <hyperlink ref="D441" r:id="rId291" display="https://acf.gov/cb/policy-guidance/im-15-02" xr:uid="{E32C4DAF-B45F-4D05-956D-352F24849E31}"/>
    <hyperlink ref="D440" r:id="rId292" display="https://acf.gov/cb/policy-guidance/im-15-01" xr:uid="{D30D7BE7-5402-42F3-9B01-537D5327CE6F}"/>
    <hyperlink ref="D438" r:id="rId293" display="https://acf.gov/cb/policy-guidance/fysb-im-14-01" xr:uid="{6C3B190D-B961-42E8-9E69-153F954A9289}"/>
    <hyperlink ref="D437" r:id="rId294" display="https://acf.gov/cb/policy-guidance/im-14-04" xr:uid="{B5DAAC0B-4F02-414D-BD5E-272520A9D256}"/>
    <hyperlink ref="D436" r:id="rId295" display="https://acf.gov/cb/policy-guidance/im-14-03" xr:uid="{FBE9C1ED-2C9D-4B75-8291-75F22F38477E}"/>
    <hyperlink ref="D432" r:id="rId296" display="https://acf.gov/cb/policy-guidance/im-14-02" xr:uid="{E8E58CE5-E274-47AB-B7F6-827C7D8D6F5D}"/>
    <hyperlink ref="D427" r:id="rId297" display="https://acf.gov/cb/policy-guidance/im-14-01" xr:uid="{417B2143-60FD-4C65-BA8B-882F45A188F8}"/>
    <hyperlink ref="D424" r:id="rId298" display="https://acf.gov/cb/policy-guidance/im-13-02" xr:uid="{B1CE14F0-713F-4174-8241-EE633671DEF1}"/>
    <hyperlink ref="D405" r:id="rId299" display="https://acf.gov/cb/policy-guidance/im-13-01" xr:uid="{E442DFDA-AB23-4835-8A37-F063A2A4537E}"/>
    <hyperlink ref="D399" r:id="rId300" display="https://acf.gov/cb/policy-guidance/im-12-08" xr:uid="{E3E93637-F5A4-4EB7-B17E-BB7B23CF4C21}"/>
    <hyperlink ref="D398" r:id="rId301" display="https://acf.gov/cb/policy-guidance/im-12-07" xr:uid="{4682016E-9567-4DEF-86D9-75C76A0F5F64}"/>
    <hyperlink ref="D397" r:id="rId302" display="https://acf.gov/cb/policy-guidance/im-12-06" xr:uid="{0F2F6568-D24B-4F5A-B027-EB5525B1D161}"/>
    <hyperlink ref="D395" r:id="rId303" display="https://acf.gov/cb/policy-guidance/im-12-05" xr:uid="{37E1A0BC-E1B9-4669-8452-A6BF61B58FA1}"/>
    <hyperlink ref="D393" r:id="rId304" display="https://acf.gov/cb/policy-guidance/im-12-04" xr:uid="{3E35ED0F-E3FF-462D-ADDB-7EA646CF6625}"/>
    <hyperlink ref="D390" r:id="rId305" display="https://acf.gov/cb/policy-guidance/im-12-03" xr:uid="{B95F4690-AC3F-4240-BA72-6B4465CEE74A}"/>
    <hyperlink ref="D387" r:id="rId306" display="https://acf.gov/cb/policy-guidance/im-12-02" xr:uid="{FCC12C6C-DA14-4F2F-9D36-3782DF95A5AF}"/>
    <hyperlink ref="D384" r:id="rId307" display="https://acf.gov/cb/policy-guidance/im-12-01" xr:uid="{33F7DFBB-18C4-4F92-A44E-6C997C6C2925}"/>
    <hyperlink ref="D382" r:id="rId308" display="https://acf.gov/cb/policy-guidance/im-11-06" xr:uid="{9FDEE7F2-27F9-481B-A904-3118434ADEE6}"/>
    <hyperlink ref="D381" r:id="rId309" display="https://acf.gov/cb/policy-guidance/im-11-05" xr:uid="{35743832-6261-4385-8F19-C1857DDC7943}"/>
    <hyperlink ref="D379" r:id="rId310" display="https://acf.gov/cb/policy-guidance/im-11-04" xr:uid="{C58A4136-7624-4193-A1AB-8E892243181F}"/>
    <hyperlink ref="D373" r:id="rId311" display="https://acf.gov/cb/policy-guidance/im-11-02" xr:uid="{A0841455-75C2-488A-A206-0CD52C0C40BD}"/>
    <hyperlink ref="D371" r:id="rId312" display="https://acf.gov/cb/policy-guidance/im-11-01" xr:uid="{3D8328C3-AB4C-4493-BE60-6072CC24A8AE}"/>
    <hyperlink ref="D367" r:id="rId313" display="https://acf.gov/cb/policy-guidance/acf-cms-fns-im-11-18" xr:uid="{8961DE08-7CA0-472F-8C60-2EB680E89089}"/>
    <hyperlink ref="D366" r:id="rId314" display="https://acf.gov/cb/policy-guidance/im-10-02" xr:uid="{F6A81A5B-F7EB-4E4A-9075-09814825B251}"/>
    <hyperlink ref="D354" r:id="rId315" display="https://acf.gov/cb/policy-guidance/im-10-01" xr:uid="{BF197EB5-0D5A-434E-9180-E0928B42153E}"/>
    <hyperlink ref="D350" r:id="rId316" display="https://acf.gov/cb/policy-guidance/im-09-03" xr:uid="{E3C65881-26A2-4147-8AC8-8133EAB81247}"/>
    <hyperlink ref="D347" r:id="rId317" display="https://acf.gov/cb/policy-guidance/im-09-02" xr:uid="{7054B41A-145E-4931-A05F-12A43CB61E33}"/>
    <hyperlink ref="D341" r:id="rId318" display="https://acf.gov/cb/policy-guidance/im-09-01" xr:uid="{71FA297C-FA08-4410-BFED-4E05EBF4891C}"/>
    <hyperlink ref="D337" r:id="rId319" display="https://acf.gov/cb/policy-guidance/cms-acf-im-08-01" xr:uid="{A2FEF4A1-0CD3-4544-9C65-4DC33A33F4BA}"/>
    <hyperlink ref="D335" r:id="rId320" display="https://acf.gov/cb/policy-guidance/im-08-03" xr:uid="{B85702F4-3D89-482F-AF4D-1C6260B45CE8}"/>
    <hyperlink ref="D333" r:id="rId321" display="https://acf.gov/cb/policy-guidance/im-08-02" xr:uid="{1EB22323-B19F-49DE-8062-A3D53172757B}"/>
    <hyperlink ref="D329" r:id="rId322" display="https://acf.gov/cb/policy-guidance/im-08-01" xr:uid="{859476C7-E732-4071-A0BB-E32C62AD44F4}"/>
    <hyperlink ref="D327" r:id="rId323" display="https://acf.gov/cb/policy-guidance/im-07-09" xr:uid="{9C81CAB9-196E-4451-8C64-07F3C12750CE}"/>
    <hyperlink ref="D326" r:id="rId324" display="https://acf.gov/cb/policy-guidance/im-07-08" xr:uid="{8EB2933F-5C70-4058-9C97-2A4FCEC6AA1F}"/>
    <hyperlink ref="D324" r:id="rId325" display="https://acf.gov/cb/policy-guidance/im-07-05" xr:uid="{64BD5E0B-1294-4A6D-9DAD-0BDE70D2D5F1}"/>
    <hyperlink ref="D319" r:id="rId326" display="https://acf.gov/cb/policy-guidance/im-07-03" xr:uid="{C1F0C8AA-0E7D-4EB5-A3BD-A894242B61DF}"/>
    <hyperlink ref="D313" r:id="rId327" display="https://acf.gov/cb/policy-guidance/im-07-02" xr:uid="{015E654B-F9DE-4A59-9082-E0D4CCA10E53}"/>
    <hyperlink ref="D311" r:id="rId328" display="https://acf.gov/cb/policy-guidance/im-07-01" xr:uid="{D763782D-41CE-46F9-B0A7-7E7809422682}"/>
    <hyperlink ref="D309" r:id="rId329" display="https://acf.gov/cb/policy-guidance/im-06-05" xr:uid="{2086C73B-2714-4C40-B165-1A0CCDA2FEF8}"/>
    <hyperlink ref="D308" r:id="rId330" display="https://acf.gov/cb/policy-guidance/im-06-04" xr:uid="{259911C4-8691-4FE4-B4F4-22A5AEA1898E}"/>
    <hyperlink ref="D306" r:id="rId331" display="https://acf.gov/cb/policy-guidance/im-06-03" xr:uid="{A3178046-795C-496D-8E94-EEA5E9B2CD02}"/>
    <hyperlink ref="D304" r:id="rId332" display="https://acf.gov/cb/policy-guidance/im-06-02" xr:uid="{A5D53EE0-7C42-4C6C-8502-6EB18CBA383F}"/>
    <hyperlink ref="D299" r:id="rId333" display="https://acf.gov/cb/policy-guidance/im-06-01" xr:uid="{B6DD0F79-0779-45B3-8C0A-AACF8E75AB5A}"/>
    <hyperlink ref="D297" r:id="rId334" display="https://acf.gov/cb/policy-guidance/im-05-09" xr:uid="{B61C0006-985B-48A9-967A-F910F400BBB7}"/>
    <hyperlink ref="D296" r:id="rId335" display="https://acf.gov/cb/policy-guidance/im-05-08" xr:uid="{C75E63C8-2E62-4A38-80FD-EFE024AFADF8}"/>
    <hyperlink ref="D295" r:id="rId336" display="https://acf.gov/cb/policy-guidance/im-05-07" xr:uid="{30F33AD7-7C13-41EC-88C9-996B819CCC51}"/>
    <hyperlink ref="D294" r:id="rId337" display="https://acf.gov/cb/policy-guidance/im-05-06" xr:uid="{D4C70B0D-F9FE-4DF4-96CA-EF7ABDF0666D}"/>
    <hyperlink ref="D293" r:id="rId338" display="https://acf.gov/cb/policy-guidance/im-05-10" xr:uid="{730C4AB0-13E4-4C49-B8D3-C454E22AB748}"/>
    <hyperlink ref="D292" r:id="rId339" display="https://acf.gov/cb/policy-guidance/im-05-05" xr:uid="{B899DA52-0844-43D2-833F-DFBE48FB65B8}"/>
    <hyperlink ref="D290" r:id="rId340" display="https://acf.gov/cb/policy-guidance/im-05-02" xr:uid="{9D30FF16-30CD-4C93-A2C4-D0A46FDC816F}"/>
    <hyperlink ref="D291" r:id="rId341" display="https://acf.gov/cb/policy-guidance/im-05-04" xr:uid="{2274F78F-0E09-42C0-B3FC-EDBAE3182A09}"/>
    <hyperlink ref="D289" r:id="rId342" display="https://acf.gov/cb/policy-guidance/acf-cms-fns-im-05-04" xr:uid="{E6A7EEC6-C2E2-4CE2-8CA6-960351538591}"/>
    <hyperlink ref="D284" r:id="rId343" display="https://acf.gov/cb/policy-guidance/im-05-01" xr:uid="{FDFA1BD2-FE80-472E-AF05-74236D18CAE3}"/>
    <hyperlink ref="D282" r:id="rId344" display="https://acf.gov/cb/policy-guidance/im-04-08" xr:uid="{073D4D6E-4DDF-4532-B405-07D09EA8ADE5}"/>
    <hyperlink ref="D281" r:id="rId345" display="https://acf.gov/cb/policy-guidance/im-04-07" xr:uid="{BED67C77-6179-4DA2-AA7C-4996F58A4794}"/>
    <hyperlink ref="D280" r:id="rId346" display="https://acf.gov/cb/policy-guidance/im-04-06" xr:uid="{36C9BFB8-83F0-41EB-824D-EBE54B5BB53D}"/>
    <hyperlink ref="D276" r:id="rId347" display="https://acf.gov/cb/policy-guidance/im-04-03" xr:uid="{79B4B005-A85D-4B10-B3C5-9538A178AA2C}"/>
    <hyperlink ref="D274" r:id="rId348" display="https://acf.gov/cb/policy-guidance/im-04-04" xr:uid="{03699E04-C2BE-4991-B35B-7AC440070E7F}"/>
    <hyperlink ref="D273" r:id="rId349" display="https://acf.gov/cb/policy-guidance/im-04-01" xr:uid="{165C4B25-0838-4956-84A9-247932908A04}"/>
    <hyperlink ref="D269" r:id="rId350" display="https://acf.gov/cb/policy-guidance/im-03-06" xr:uid="{AC11B915-4655-4EDA-B174-989D1C476DAB}"/>
    <hyperlink ref="D268" r:id="rId351" display="https://acf.gov/cb/policy-guidance/im-03-05" xr:uid="{A14C2CB7-7148-4D39-A90C-B54129DEDABB}"/>
    <hyperlink ref="D266" r:id="rId352" display="https://acf.gov/cb/policy-guidance/im-03-04" xr:uid="{1ADB3DE3-7A5C-4239-B6D6-43F6E6371263}"/>
    <hyperlink ref="D264" r:id="rId353" display="https://acf.gov/cb/policy-guidance/im-03-03" xr:uid="{1ABFB72A-447B-4D03-9054-DB63F6266A51}"/>
    <hyperlink ref="D262" r:id="rId354" display="https://acf.gov/cb/policy-guidance/im-03-02" xr:uid="{CA144FB5-25E4-45D7-89C6-0094D31B45B1}"/>
    <hyperlink ref="D258" r:id="rId355" display="https://acf.gov/cb/policy-guidance/im-03-01" xr:uid="{9AB873E4-AF21-493F-B258-CB8146789581}"/>
    <hyperlink ref="D252" r:id="rId356" display="https://acf.gov/cb/policy-guidance/im-02-07" xr:uid="{BFD262CA-C295-410E-B235-0C724962E343}"/>
    <hyperlink ref="D251" r:id="rId357" display="https://acf.gov/cb/policy-guidance/im-02-06" xr:uid="{8DA6303F-1ADF-4F95-A0AA-AA6E12A84BC3}"/>
    <hyperlink ref="D249" r:id="rId358" display="https://acf.gov/cb/policy-guidance/im-02-02" xr:uid="{9C6DF3F7-1593-43DA-82DA-09BC79DC8EE1}"/>
    <hyperlink ref="D247" r:id="rId359" display="https://acf.gov/cb/policy-guidance/im-02-05" xr:uid="{17B17195-386E-4B76-9C30-97420B7023CA}"/>
    <hyperlink ref="D245" r:id="rId360" display="https://acf.gov/cb/policy-guidance/im-02-03" xr:uid="{EA188204-21BA-4DB4-AC3B-FC539414BE74}"/>
    <hyperlink ref="D244" r:id="rId361" display="https://acf.gov/cb/policy-guidance/im-02-04" xr:uid="{29A53F4E-13DC-4EA5-A98E-469A906F8672}"/>
    <hyperlink ref="D243" r:id="rId362" display="https://acf.gov/cb/policy-guidance/im-02-01" xr:uid="{07163B3F-2F73-48B7-94A4-8DC58DEB4A14}"/>
    <hyperlink ref="D241" r:id="rId363" display="https://acf.gov/cb/policy-guidance/im-01-11" xr:uid="{4387D909-16E3-4FD6-B3CB-7F0B64C05183}"/>
    <hyperlink ref="D240" r:id="rId364" display="https://acf.gov/cb/policy-guidance/im-01-10" xr:uid="{9A1FEE3F-63D0-4B72-95E0-7E2353AB5952}"/>
    <hyperlink ref="D238" r:id="rId365" display="https://acf.gov/cb/policy-guidance/im-01-08" xr:uid="{D1A424B1-4445-46FC-AD9B-D9E845BF27AB}"/>
    <hyperlink ref="D237" r:id="rId366" display="https://acf.gov/cb/policy-guidance/im-01-09" xr:uid="{B52448A1-C652-43E2-83B9-94FE9FCBFFE9}"/>
    <hyperlink ref="D235" r:id="rId367" display="https://acf.gov/cb/policy-guidance/im-01-07" xr:uid="{C240ED06-232B-4B25-9AFA-4A0C7CBED711}"/>
    <hyperlink ref="D234" r:id="rId368" display="https://acf.gov/cb/policy-guidance/im-01-06" xr:uid="{A18D0937-DD02-408A-90C6-9B6A3B78078D}"/>
    <hyperlink ref="D233" r:id="rId369" display="https://acf.gov/cb/policy-guidance/im-01-05" xr:uid="{65A20E1E-195A-42C2-AB05-74E88E82D951}"/>
    <hyperlink ref="D232" r:id="rId370" display="https://acf.gov/cb/policy-guidance/im-01-04" xr:uid="{6EBA1119-37FF-4D79-83E9-379D96170767}"/>
    <hyperlink ref="D227" r:id="rId371" display="https://acf.gov/cb/policy-guidance/im-01-03" xr:uid="{EB7558BA-4E84-4274-B6D7-6E4B75E7F1CB}"/>
    <hyperlink ref="D226" r:id="rId372" display="https://acf.gov/cb/policy-guidance/im-01-01" xr:uid="{D3D99F1A-F213-4606-A5D2-91A385D0973C}"/>
    <hyperlink ref="D223" r:id="rId373" display="https://acf.gov/cb/policy-guidance/im-00-11" xr:uid="{4DEFDF89-31F5-4E9C-951E-3159D935F8F8}"/>
    <hyperlink ref="D222" r:id="rId374" display="https://acf.gov/cb/policy-guidance/im-00-09" xr:uid="{36B75835-A56F-4D71-9427-809CBACDF463}"/>
    <hyperlink ref="D220" r:id="rId375" display="https://acf.gov/cb/policy-guidance/im-00-07" xr:uid="{EE2AF82C-1D0C-47DD-B637-661F5A5248D0}"/>
    <hyperlink ref="D218" r:id="rId376" display="https://acf.gov/cb/policy-guidance/im-00-04" xr:uid="{E1FF3B0F-3B47-4C1F-B1CE-E89E31EEA3CF}"/>
    <hyperlink ref="D217" r:id="rId377" display="https://acf.gov/cb/policy-guidance/im-00-03" xr:uid="{793ED850-D0F8-4790-B4EE-ECC567248D48}"/>
    <hyperlink ref="D215" r:id="rId378" display="https://acf.gov/cb/policy-guidance/im-00-02" xr:uid="{9C8C2FB6-B5E8-4224-85B1-9BC691F792C2}"/>
    <hyperlink ref="D213" r:id="rId379" display="https://acf.gov/cb/policy-guidance/im-00-01" xr:uid="{83471AB7-769E-4856-A216-DEBA8855577E}"/>
    <hyperlink ref="D275" r:id="rId380" display="https://acf.gov/cb/policy-guidance/im-04-02" xr:uid="{74B1B1B8-FC02-461B-86B4-E7FCD006441B}"/>
    <hyperlink ref="D206" r:id="rId381" display="https://acf.gov/cb/policy-guidance/im-99-03" xr:uid="{D4E9F13D-9AE4-48F9-B17D-B18CD8DB4BBF}"/>
    <hyperlink ref="D205" r:id="rId382" display="https://acf.gov/cb/policy-guidance/im-99-02" xr:uid="{04E82908-CA32-4279-B0B4-DA3800DF59FC}"/>
    <hyperlink ref="D204" r:id="rId383" display="https://acf.gov/cb/policy-guidance/im-99-01" xr:uid="{C57B7293-8C39-482B-A984-82F4C412C060}"/>
    <hyperlink ref="D203" r:id="rId384" display="https://acf.gov/cb/policy-guidance/im-98-05" xr:uid="{BCCEC8FF-6698-42FC-BBDB-60D2A5309D84}"/>
    <hyperlink ref="D202" r:id="rId385" display="https://acf.gov/cb/policy-guidance/im-98-04" xr:uid="{A76B796F-D88C-4D89-AF7A-F59999DBB179}"/>
    <hyperlink ref="D193" r:id="rId386" display="https://acf.gov/cb/policy-guidance/im-98-03" xr:uid="{796937B4-F3A7-436E-9701-7F60DD219EAD}"/>
    <hyperlink ref="D189" r:id="rId387" display="https://acf.gov/cb/policy-guidance/im-98-02" xr:uid="{F53AB447-DD23-4B2B-95A4-8D62DE52E3AE}"/>
    <hyperlink ref="D188" r:id="rId388" display="https://acf.gov/cb/policy-guidance/im-98-01" xr:uid="{2FA88450-FCC6-476B-BE6A-06C20E6D4BFB}"/>
    <hyperlink ref="D185" r:id="rId389" display="https://acf.gov/cb/policy-guidance/im-97-09" xr:uid="{00F48664-2CB7-499A-BF0A-227AC45EF1FD}"/>
    <hyperlink ref="D183" r:id="rId390" display="https://acf.gov/cb/policy-guidance/im-97-08" xr:uid="{4CD34A73-4850-4F77-BC59-A4FE86EC08A3}"/>
    <hyperlink ref="D182" r:id="rId391" display="https://acf.gov/cb/policy-guidance/im-97-07" xr:uid="{F660A582-D97E-4919-8371-8C2A34771DAE}"/>
    <hyperlink ref="D180" r:id="rId392" display="https://acf.gov/cb/policy-guidance/im-97-05" xr:uid="{6D1DF098-C69E-4F53-831B-52D6A3494D3D}"/>
    <hyperlink ref="D179" r:id="rId393" display="https://acf.gov/cb/policy-guidance/im-97-04" xr:uid="{514B2E89-4653-429D-A0DA-CB2A46F25D40}"/>
    <hyperlink ref="D176" r:id="rId394" display="https://acf.gov/cb/policy-guidance/im-97-03" xr:uid="{4A26411B-FAEB-4CCF-B366-2151BD71AD0B}"/>
    <hyperlink ref="D173" r:id="rId395" display="https://acf.gov/cb/policy-guidance/im-97-02" xr:uid="{9EC081B5-32BC-4592-906E-56664B05B5D0}"/>
    <hyperlink ref="D172" r:id="rId396" display="https://acf.gov/cb/policy-guidance/im-96-29" xr:uid="{1CAB3848-7558-4113-95D5-3024816C166F}"/>
    <hyperlink ref="D171" r:id="rId397" display="https://acf.gov/cb/policy-guidance/im-96-27" xr:uid="{D8B7A04D-7F58-4E1C-A223-96305BFE8D0A}"/>
    <hyperlink ref="D170" r:id="rId398" display="https://acf.gov/cb/policy-guidance/im-96-24" xr:uid="{8CD8E06D-89A7-415F-AF51-EC5D5FFD12AC}"/>
    <hyperlink ref="D168" r:id="rId399" display="https://acf.gov/cb/policy-guidance/im-96-16" xr:uid="{BEFC0B41-E0C6-4470-904F-BFC4F0463ECE}"/>
    <hyperlink ref="D163" r:id="rId400" display="https://acf.gov/cb/policy-guidance/im-96-09" xr:uid="{4691A999-ECE7-4217-98E1-B0559A2BE794}"/>
    <hyperlink ref="D161" r:id="rId401" display="https://acf.gov/cb/policy-guidance/im-96-02" xr:uid="{73D51E24-3234-4944-9C6D-ECF8DC4485C9}"/>
    <hyperlink ref="D160" r:id="rId402" display="https://acf.gov/cb/policy-guidance/im-96-01" xr:uid="{1A97A264-9D74-4689-B8E9-27BBF5E36E9B}"/>
    <hyperlink ref="D158" r:id="rId403" display="https://acf.gov/cb/policy-guidance/im-95-32" xr:uid="{11FEE2DE-2108-4DA0-937A-F4DF6A77E99B}"/>
    <hyperlink ref="D156" r:id="rId404" display="https://acf.gov/cb/policy-guidance/im-95-28" xr:uid="{AC4736E1-17AF-45FA-A932-E7E50D2316D8}"/>
    <hyperlink ref="D152" r:id="rId405" display="https://acf.gov/cb/policy-guidance/im-95-12" xr:uid="{CB265DE1-DC39-4C60-BA28-A01C3CF9F5D1}"/>
    <hyperlink ref="D151" r:id="rId406" display="https://acf.gov/cb/policy-guidance/im-95-11" xr:uid="{0FA17E44-BE4E-4C67-AAE9-387C180758CD}"/>
    <hyperlink ref="D149" r:id="rId407" display="https://acf.gov/cb/policy-guidance/im-95-05" xr:uid="{52B86E30-259B-4A65-A1B3-A3D428023659}"/>
    <hyperlink ref="D148" r:id="rId408" display="https://acf.gov/cb/policy-guidance/im-94-23" xr:uid="{710DC462-5C6E-4E4F-9CD7-9841947BD655}"/>
    <hyperlink ref="D147" r:id="rId409" display="https://acf.gov/cb/policy-guidance/im-94-22" xr:uid="{5A83782D-BDB4-400E-9271-59F483D112D0}"/>
    <hyperlink ref="D146" r:id="rId410" display="https://acf.gov/cb/policy-guidance/im-94-19" xr:uid="{5197EC47-9708-47F2-A8F7-98B97B6D4522}"/>
    <hyperlink ref="D144" r:id="rId411" display="https://acf.gov/cb/policy-guidance/im-94-17" xr:uid="{D0198579-EABC-488E-9C5D-9FFE4EC5F0AC}"/>
    <hyperlink ref="D141" r:id="rId412" display="https://acf.gov/cb/policy-guidance/im-94-10" xr:uid="{98FB18FD-3D71-492B-9639-694F64264A34}"/>
    <hyperlink ref="D137" r:id="rId413" display="https://acf.gov/cb/policy-guidance/im-93-27" xr:uid="{314292FC-FE4E-4452-AE95-502544AB63FF}"/>
    <hyperlink ref="D135" r:id="rId414" display="https://acf.gov/cb/policy-guidance/oism-acf-im-93-4" xr:uid="{91F8EDBF-8F8E-489F-BFDF-3D3B9F39FADC}"/>
    <hyperlink ref="D134" r:id="rId415" display="https://acf.gov/cb/policy-guidance/im-93-22" xr:uid="{76303956-7621-4CA1-B340-65ECD65F0AEC}"/>
    <hyperlink ref="D133" r:id="rId416" display="https://acf.gov/cb/policy-guidance/im-93-20" xr:uid="{1B78392D-399A-42E2-A4EE-BB5392F99257}"/>
    <hyperlink ref="D132" r:id="rId417" display="https://acf.gov/cb/policy-guidance/im-93-19" xr:uid="{DD8C879C-2B03-4851-81B9-6DF4BB747297}"/>
    <hyperlink ref="D127" r:id="rId418" display="https://acf.gov/cb/policy-guidance/im-93-04" xr:uid="{F9F4A094-759E-4504-8AA7-9DB640580216}"/>
    <hyperlink ref="D123" r:id="rId419" display="https://acf.gov/cb/policy-guidance/oism-im-93-01" xr:uid="{21B0D0D0-0749-4376-8EB8-A6A3E95F472A}"/>
    <hyperlink ref="D121" r:id="rId420" display="https://acf.gov/cb/policy-guidance/im-92-16" xr:uid="{00EFEF36-9303-4348-8B20-3CEB29FDCE53}"/>
    <hyperlink ref="D117" r:id="rId421" display="https://acf.gov/cb/policy-guidance/im-92-04" xr:uid="{91F7FFF7-EDA7-4B04-8B9A-C9F8AE264335}"/>
    <hyperlink ref="D114" r:id="rId422" display="https://acf.gov/cb/policy-guidance/im-91-25" xr:uid="{6CD5C4FA-24EE-4749-93D8-E14BB51A1FD0}"/>
    <hyperlink ref="D113" r:id="rId423" display="https://acf.gov/cb/policy-guidance/im-91-19" xr:uid="{2F5A0053-CE2F-49BE-ADBA-8E31F8EBED0A}"/>
    <hyperlink ref="D112" r:id="rId424" display="https://acf.gov/cb/policy-guidance/im-91-15" xr:uid="{8562ABCF-C3F4-44B1-897A-C3CD73DE521B}"/>
    <hyperlink ref="D111" r:id="rId425" display="https://acf.gov/cb/policy-guidance/im-91-11" xr:uid="{7FF6E16B-1B78-4ACD-BD70-7498F8BA9AC4}"/>
    <hyperlink ref="D109" r:id="rId426" display="https://acf.gov/cb/policy-guidance/im-90-27" xr:uid="{06B14717-818C-491A-A2F8-09F7D569F921}"/>
    <hyperlink ref="D110" r:id="rId427" display="https://acf.gov/cb/policy-guidance/im-90-28" xr:uid="{030F7C56-903D-4BC7-A41E-74F34ABA9734}"/>
    <hyperlink ref="D108" r:id="rId428" display="https://acf.gov/cb/policy-guidance/im-90-26" xr:uid="{5E4D2323-BE36-4774-9390-8C4856D09E1B}"/>
    <hyperlink ref="D106" r:id="rId429" display="https://acf.gov/cb/policy-guidance/im-90-18" xr:uid="{95D65525-980B-4307-97F4-56B9D597219D}"/>
    <hyperlink ref="D104" r:id="rId430" display="https://acf.gov/cb/policy-guidance/im-90-17" xr:uid="{F6356D48-3DB3-4615-B92C-C8A22ABA33C8}"/>
    <hyperlink ref="D102" r:id="rId431" display="https://acf.gov/cb/policy-guidance/im-90-08" xr:uid="{D4CDB156-6A13-4DFC-8D35-FDF928397C8E}"/>
    <hyperlink ref="D101" r:id="rId432" display="https://acf.gov/cb/policy-guidance/im-90-07" xr:uid="{632A7D0D-D251-47CA-B4A7-0852E162EEA2}"/>
    <hyperlink ref="D99" r:id="rId433" display="https://acf.gov/cb/policy-guidance/im-89-23" xr:uid="{C322B089-76F5-4640-BF29-C00B5B5A03C0}"/>
    <hyperlink ref="D98" r:id="rId434" display="https://acf.gov/cb/policy-guidance/inf-89-01" xr:uid="{0BFC53F8-5AD1-4096-AC79-11EBE2DC12D1}"/>
    <hyperlink ref="D94" r:id="rId435" display="https://acf.gov/cb/policy-guidance/im-89-09" xr:uid="{98DAF56F-6C7E-44DE-A4F2-41CADED37F8F}"/>
    <hyperlink ref="D93" r:id="rId436" display="https://acf.gov/cb/policy-guidance/im-89-08" xr:uid="{1FDCCA63-DDF9-4CAC-9CC6-084A90781CBD}"/>
    <hyperlink ref="D92" r:id="rId437" display="https://acf.gov/cb/policy-guidance/im-89-03" xr:uid="{BDC40C63-3FAA-4AFB-8739-82DD717EBA0C}"/>
    <hyperlink ref="D91" r:id="rId438" display="https://acf.gov/cb/policy-guidance/im-89-02" xr:uid="{35D1B159-0E55-46A6-BB62-760D8F06D09E}"/>
    <hyperlink ref="D89" r:id="rId439" display="https://acf.gov/cb/policy-guidance/im-88-32" xr:uid="{F11D3001-3972-44CB-B805-45F9A0CEF73C}"/>
    <hyperlink ref="D88" r:id="rId440" display="https://acf.gov/cb/policy-guidance/im-88-24" xr:uid="{227E1BE3-45B1-49AA-94FF-80D5E68EF7D5}"/>
    <hyperlink ref="D87" r:id="rId441" display="https://acf.gov/cb/policy-guidance/im-88-28" xr:uid="{34FDE218-FD61-4CCA-986B-2AED6DAA38B7}"/>
    <hyperlink ref="D85" r:id="rId442" display="https://acf.gov/cb/policy-guidance/im-88-22" xr:uid="{65761EA4-A714-4B30-8FCE-8F0DD728B259}"/>
    <hyperlink ref="D84" r:id="rId443" display="https://acf.gov/cb/policy-guidance/im-88-15" xr:uid="{90159BAF-7969-44C9-B893-2CA7989C7532}"/>
    <hyperlink ref="D83" r:id="rId444" display="https://acf.gov/cb/policy-guidance/im-88-13" xr:uid="{72A81EE8-0CC9-48DD-8914-D88357379BEB}"/>
    <hyperlink ref="D82" r:id="rId445" display="https://acf.gov/cb/policy-guidance/im-88-12" xr:uid="{90191676-47C1-4277-ADE5-7ACBA89B445F}"/>
    <hyperlink ref="D81" r:id="rId446" display="https://acf.gov/cb/policy-guidance/im-88-02" xr:uid="{86F84675-4093-4DAB-9BF0-294113F43826}"/>
    <hyperlink ref="D80" r:id="rId447" display="https://acf.gov/cb/policy-guidance/im-88-01" xr:uid="{3221812B-1AC1-4D93-BB60-23EE735B249D}"/>
    <hyperlink ref="D78" r:id="rId448" display="https://acf.gov/cb/policy-guidance/im-87-31" xr:uid="{145DC36D-C538-45D2-B166-515CE827D876}"/>
    <hyperlink ref="D77" r:id="rId449" display="https://acf.gov/cb/policy-guidance/im-87-28" xr:uid="{FEDE57AA-FBED-4D52-AB39-F0EB3CCCDDD5}"/>
    <hyperlink ref="D76" r:id="rId450" display="https://acf.gov/cb/policy-guidance/im-87-15" xr:uid="{683A8C59-887F-49A1-8079-182D15C78AFA}"/>
    <hyperlink ref="D75" r:id="rId451" display="https://acf.gov/cb/policy-guidance/im-87-11" xr:uid="{E10883E4-ED0A-4397-95BB-6C8D67B2D474}"/>
    <hyperlink ref="D74" r:id="rId452" display="https://acf.gov/cb/policy-guidance/im-87-09" xr:uid="{D8E4A32A-0D6B-4518-896A-79549E793E9E}"/>
    <hyperlink ref="D73" r:id="rId453" display="https://acf.gov/cb/policy-guidance/im-87-08" xr:uid="{6F16A11E-2213-402F-8E3B-DA508F231683}"/>
    <hyperlink ref="D72" r:id="rId454" display="https://acf.gov/cb/policy-guidance/im-87-07" xr:uid="{F3BC93DD-B985-4A57-B59E-3F6F75AB0EF5}"/>
    <hyperlink ref="D71" r:id="rId455" display="https://acf.gov/cb/policy-guidance/im-87-06" xr:uid="{669828E2-69B4-458F-BC7E-71D021753470}"/>
    <hyperlink ref="D69" r:id="rId456" display="https://acf.gov/cb/policy-guidance/im-87-04" xr:uid="{73BE01AC-12B8-40A4-BBCF-B2CE3DC859BC}"/>
    <hyperlink ref="D68" r:id="rId457" display="https://acf.gov/cb/policy-guidance/im-86-31" xr:uid="{24C57D27-799A-4004-95B0-D8393AD7CC84}"/>
    <hyperlink ref="D66" r:id="rId458" display="https://acf.gov/cb/policy-guidance/im-86-26" xr:uid="{D657EDE5-8775-4F68-AEC2-8123B3634538}"/>
    <hyperlink ref="D65" r:id="rId459" display="https://acf.gov/cb/policy-guidance/im-86-24" xr:uid="{5131E9FD-B9BF-4995-B861-5E5816176FA9}"/>
    <hyperlink ref="D64" r:id="rId460" display="https://acf.gov/cb/policy-guidance/im-86-19" xr:uid="{31EB8A36-E6E4-4712-B43C-BB2DE3D7B3E3}"/>
    <hyperlink ref="D62" r:id="rId461" display="https://acf.gov/cb/policy-guidance/im-86-09" xr:uid="{E7ABD72C-9501-48C8-82E2-5B4ECB228066}"/>
    <hyperlink ref="D61" r:id="rId462" display="https://acf.gov/cb/policy-guidance/im-85-36" xr:uid="{CE19C6E8-6CF6-484B-9A17-20A21C692B49}"/>
    <hyperlink ref="D60" r:id="rId463" display="https://acf.gov/cb/policy-guidance/im-85-34" xr:uid="{681CFA6C-24A6-49F5-9FF4-196D2BAC56E4}"/>
    <hyperlink ref="D59" r:id="rId464" display="https://acf.gov/cb/policy-guidance/im-85-25" xr:uid="{0922372F-F0BD-421E-B140-FBBFE7BB0A67}"/>
    <hyperlink ref="D58" r:id="rId465" display="https://acf.gov/cb/policy-guidance/im-85-24" xr:uid="{C0F891D9-3176-46D3-8BC2-5D4E95411B93}"/>
    <hyperlink ref="D56" r:id="rId466" display="https://acf.gov/cb/policy-guidance/im-85-15" xr:uid="{5C93E1C9-D969-4BAD-BAC8-C73FF7D493FD}"/>
    <hyperlink ref="D54" r:id="rId467" display="https://acf.gov/cb/policy-guidance/im-85-11" xr:uid="{2C9E5601-E810-4357-A9E9-6A6E124FDCDF}"/>
    <hyperlink ref="D52" r:id="rId468" display="https://acf.gov/cb/policy-guidance/im-85-10" xr:uid="{DE92E974-915A-4948-85B4-DA02D358D649}"/>
    <hyperlink ref="D50" r:id="rId469" display="https://acf.gov/cb/policy-guidance/im-85-04" xr:uid="{3AF04F31-8CBB-49A6-9B7F-8142117E82B9}"/>
    <hyperlink ref="D49" r:id="rId470" display="https://acf.gov/cb/policy-guidance/im-85-02" xr:uid="{845B3465-5120-4627-AFEA-7828BF7A4863}"/>
    <hyperlink ref="D47" r:id="rId471" display="https://acf.gov/cb/policy-guidance/im-84-31" xr:uid="{15B06649-B6D6-4718-AD89-702C47664930}"/>
    <hyperlink ref="D46" r:id="rId472" display="https://acf.gov/cb/policy-guidance/im-84-29" xr:uid="{08A62F30-79B5-4808-8E64-56DD11466AE9}"/>
    <hyperlink ref="D45" r:id="rId473" display="https://acf.gov/cb/policy-guidance/im-84-27" xr:uid="{E4C0B367-F77B-493B-8BE3-E9D8F41E19D6}"/>
    <hyperlink ref="D44" r:id="rId474" display="https://acf.gov/cb/policy-guidance/im-84-22" xr:uid="{7469A069-E58A-4588-B67A-642B6AC5A99C}"/>
    <hyperlink ref="D43" r:id="rId475" display="https://acf.gov/cb/policy-guidance/im-84-21" xr:uid="{525B799D-5294-496E-9319-7334727155A1}"/>
    <hyperlink ref="D40" r:id="rId476" display="https://acf.gov/cb/policy-guidance/im-84-09" xr:uid="{AAF5A062-E7D1-4EDE-8831-51951CFA0E8B}"/>
    <hyperlink ref="D38" r:id="rId477" display="https://acf.gov/cb/policy-guidance/im-84-02" xr:uid="{6A7C561F-CEC6-462F-AC97-5D3D6C6DD9BD}"/>
    <hyperlink ref="D33" r:id="rId478" display="https://acf.gov/cb/policy-guidance/im-83-14" xr:uid="{B193E7D8-7766-4C5E-B0B2-CA3BE121B1C6}"/>
    <hyperlink ref="D31" r:id="rId479" display="https://acf.gov/cb/policy-guidance/im-83-04" xr:uid="{55A0C32E-D928-4E5D-AC90-FB12CD4F7D6B}"/>
    <hyperlink ref="D29" r:id="rId480" display="https://acf.gov/cb/policy-guidance/im-83-08" xr:uid="{A78FBF2C-5EF1-445B-A1BE-9B6FE5DE49FA}"/>
    <hyperlink ref="D25" r:id="rId481" display="https://acf.gov/cb/policy-guidance/im-82-06" xr:uid="{F2413F5D-909C-41CA-B816-AA90002A3C9C}"/>
    <hyperlink ref="D23" r:id="rId482" display="https://acf.gov/cb/policy-guidance/im-82-02" xr:uid="{EAFDD9AF-12AC-4DD2-B5C1-349840F78E4D}"/>
    <hyperlink ref="D16" r:id="rId483" display="https://acf.gov/cb/policy-guidance/im-81-03" xr:uid="{1E1C7F93-3F6B-476D-85EE-F18BB7689392}"/>
    <hyperlink ref="D14" r:id="rId484" display="https://acf.gov/cb/policy-guidance/im-81-02" xr:uid="{6C11D6A6-CE58-4D05-9F6E-A268FE9C348D}"/>
    <hyperlink ref="D12" r:id="rId485" display="https://acf.gov/cb/policy-guidance/im-81-01" xr:uid="{82EA9A85-9D7F-417B-8518-60242A2FF2F5}"/>
    <hyperlink ref="D483" r:id="rId486" display="https://acf.gov/cb/training-technical-assistance/ccwis-technical-bulletin-2" xr:uid="{3A4223B6-401B-40D8-8F9C-865B6158E7C4}"/>
    <hyperlink ref="D396" r:id="rId487" display="https://acf.gov/cb/training-technical-assistance/cfsr-technical-bulletin-1-implementation-training" xr:uid="{3A1E85FF-DC80-422C-9506-DB3364EF58E8}"/>
    <hyperlink ref="D283" r:id="rId488" display="https://acf.gov/cb/training-technical-assistance/child-and-family-services-review-technical-bulletin-1" xr:uid="{E194FD2F-2AF8-4053-A423-9FACA7F9AEF1}"/>
    <hyperlink ref="D495" r:id="rId489" display="https://acf.gov/cb/policy-guidance/pi-18-08" xr:uid="{5F637112-FBD5-42B8-8193-989BDB1EDD74}"/>
    <hyperlink ref="D494" r:id="rId490" display="https://acf.gov/cb/policy-guidance/pi-18-07" xr:uid="{490BE4D3-3781-43E3-B6CB-F450A4BCE2AB}"/>
    <hyperlink ref="D492" r:id="rId491" display="https://acf.gov/cb/policy-guidance/pi-18-06" xr:uid="{4A60ACB9-4FDC-40DF-921B-3727A2FD9C15}"/>
    <hyperlink ref="D491" r:id="rId492" display="https://acf.gov/cb/policy-guidance/pi-18-05" xr:uid="{000E18EE-DA38-4817-A717-7B5020230C95}"/>
    <hyperlink ref="D487" r:id="rId493" display="https://acf.gov/cb/policy-guidance/pi-18-04" xr:uid="{5BAEFA32-651A-42F2-8493-A0A529DB43FB}"/>
    <hyperlink ref="D488" r:id="rId494" display="https://acf.gov/cb/policy-guidance/pi-18-03" xr:uid="{B33F511A-FA08-4924-94CC-7040DDFD065D}"/>
    <hyperlink ref="D485" r:id="rId495" display="https://acf.gov/cb/policy-guidance/pi-18-01" xr:uid="{B21DBBE4-B290-4BD3-BDAC-3BA18A3A8D80}"/>
    <hyperlink ref="D486" r:id="rId496" display="https://acf.gov/cb/policy-guidance/pi-18-02" xr:uid="{41A43099-E09F-4A9B-BF9A-98254797593A}"/>
    <hyperlink ref="D480" r:id="rId497" display="https://acf.gov/cb/policy-guidance/pi-17-06" xr:uid="{1F10D258-08F4-4C12-92AB-A5916BDAAF11}"/>
    <hyperlink ref="D479" r:id="rId498" display="https://acf.gov/cb/policy-guidance/pi-17-05" xr:uid="{8A6FA1CD-726B-4614-B520-6785B40A4153}"/>
    <hyperlink ref="D478" r:id="rId499" display="https://acf.gov/cb/policy-guidance/pi-17-04" xr:uid="{8B216EDF-55E8-447A-96CE-F1AEB9CDA676}"/>
    <hyperlink ref="D477" r:id="rId500" display="https://acf.gov/cb/policy-guidance/pi-17-02" xr:uid="{630FF63A-17C3-45C8-97E0-AC01B1ED061E}"/>
    <hyperlink ref="D475" r:id="rId501" display="https://acf.gov/cb/policy-guidance/pi-17-01" xr:uid="{32C0B6F5-789E-45EE-8A03-9A4C06EC811C}"/>
    <hyperlink ref="D472" r:id="rId502" display="https://acf.gov/cb/policy-guidance/pi-16-05" xr:uid="{A00BC542-2C75-400A-A882-514C517D4C00}"/>
    <hyperlink ref="D462" r:id="rId503" display="https://acf.gov/cb/policy-guidance/pi-16-04" xr:uid="{21425149-B345-4DDE-9853-F2EA4246516D}"/>
    <hyperlink ref="D461" r:id="rId504" display="https://acf.gov/cb/policy-guidance/pi-16-03" xr:uid="{1F7BF1E1-F544-4ED2-AAFE-22729EDFB69C}"/>
    <hyperlink ref="D459" r:id="rId505" display="https://acf.gov/cb/policy-guidance/pi-16-02" xr:uid="{5E446D94-6ABB-48C2-A531-74EB7B5AA5D8}"/>
    <hyperlink ref="D458" r:id="rId506" display="https://acf.gov/cb/policy-guidance/pi-16-01" xr:uid="{E5CA03BF-EF11-45F3-AE3C-B735827F6E37}"/>
    <hyperlink ref="D457" r:id="rId507" display="https://acf.gov/cb/policy-guidance/pi-15-10" xr:uid="{29DCB57E-219A-416A-8F08-FF00B28255B8}"/>
    <hyperlink ref="D456" r:id="rId508" display="https://acf.gov/cb/policy-guidance/pi-15-09" xr:uid="{EDDA62BF-68E1-4F2D-BE5C-C2B4A548A6D3}"/>
    <hyperlink ref="D452" r:id="rId509" display="https://acf.gov/cb/policy-guidance/pi-15-08" xr:uid="{E4AD30AF-18EA-42C0-AD00-68883AB56C4C}"/>
    <hyperlink ref="D449" r:id="rId510" display="https://acf.gov/cb/policy-guidance/pi-15-07" xr:uid="{D1F2C74B-9A1C-41F2-9412-FFAEFAFDC499}"/>
    <hyperlink ref="D448" r:id="rId511" display="https://acf.gov/cb/policy-guidance/pi-15-05" xr:uid="{84EFF1B3-E590-4CBD-A740-48C5F975B943}"/>
    <hyperlink ref="D447" r:id="rId512" display="https://acf.gov/cb/policy-guidance/pi-15-06" xr:uid="{2A07B9D7-656C-41D7-B7D2-EDEB14E4E1D2}"/>
    <hyperlink ref="D445" r:id="rId513" display="https://acf.gov/cb/policy-guidance/pi-15-04" xr:uid="{156EF3F8-A92B-4A8A-8CD9-08734EAE9CAE}"/>
    <hyperlink ref="D444" r:id="rId514" display="https://acf.gov/cb/policy-guidance/pi-15-03" xr:uid="{3A8D3698-59F8-44D0-B669-2B35F7D3BF9A}"/>
    <hyperlink ref="D442" r:id="rId515" display="https://acf.gov/cb/policy-guidance/pi-15-01" xr:uid="{1535A0DD-02E8-4D37-8A01-184BE4DF1FC7}"/>
    <hyperlink ref="D443" r:id="rId516" display="https://acf.gov/cb/policy-guidance/pi-15-02" xr:uid="{F5A4466A-CA24-46D5-AC41-F31CAC6AF88D}"/>
    <hyperlink ref="D439" r:id="rId517" display="https://acf.gov/cb/policy-guidance/pi-14-06" xr:uid="{F46BF465-F11B-4917-8D28-CCED00115A0F}"/>
    <hyperlink ref="D431" r:id="rId518" display="https://acf.gov/cb/policy-guidance/pi-14-05" xr:uid="{FFA09ACC-CB73-49C5-8A78-BA8C456902BC}"/>
    <hyperlink ref="D429" r:id="rId519" display="https://acf.gov/cb/policy-guidance/pi-14-04" xr:uid="{B912507B-B011-465F-8CE8-9836FCDB051D}"/>
    <hyperlink ref="D430" r:id="rId520" display="https://acf.gov/cb/policy-guidance/pi-14-03" xr:uid="{7237A9DC-E822-4D31-8E9A-8B1777174571}"/>
    <hyperlink ref="D428" r:id="rId521" display="https://acf.gov/cb/policy-guidance/pi-14-02" xr:uid="{B74025B4-1488-4D67-B480-6B8A66F65D38}"/>
    <hyperlink ref="D426" r:id="rId522" display="https://acf.gov/cb/policy-guidance/pi-14-01" xr:uid="{2CC60AA1-7179-47D5-AADF-777C7DEFC560}"/>
    <hyperlink ref="D425" r:id="rId523" display="https://acf.gov/cb/policy-guidance/pi-13-06" xr:uid="{96A19AEF-F932-45C3-9F3D-71B3865DFB16}"/>
    <hyperlink ref="D406" r:id="rId524" display="https://acf.gov/cb/policy-guidance/acf-oa-pi-13-01" xr:uid="{2756045C-A281-49F8-83C3-91446B9281CA}"/>
    <hyperlink ref="D404" r:id="rId525" display="https://acf.gov/cb/policy-guidance/pi-13-05" xr:uid="{5D4711CF-EF85-4E93-8F15-899A0E088A51}"/>
    <hyperlink ref="D402" r:id="rId526" display="https://acf.gov/cb/policy-guidance/pi-13-04" xr:uid="{31A982A3-0EBC-46EF-845D-D39705842D9C}"/>
    <hyperlink ref="D403" r:id="rId527" display="https://acf.gov/cb/policy-guidance/pi-13-03" xr:uid="{220A5A70-9BB2-450D-9919-1C450C45A043}"/>
    <hyperlink ref="D401" r:id="rId528" display="https://acf.gov/cb/policy-guidance/pi-13-02" xr:uid="{A88C339F-6DD1-435C-AD78-1E019A2E89E0}"/>
    <hyperlink ref="D400" r:id="rId529" display="https://acf.gov/cb/policy-guidance/pi-13-01" xr:uid="{0A7BC621-D115-43A9-A54B-52E8E5EB23D1}"/>
    <hyperlink ref="D394" r:id="rId530" display="https://acf.gov/cb/policy-guidance/pi-12-07" xr:uid="{23CA09C3-2C00-401A-A628-E22BC39496F0}"/>
    <hyperlink ref="D391" r:id="rId531" display="https://acf.gov/cb/policy-guidance/pi-12-06" xr:uid="{E6C77900-FC87-422B-A4A4-1DB20EC4DF82}"/>
    <hyperlink ref="D392" r:id="rId532" display="https://acf.gov/cb/policy-guidance/pi-12-05" xr:uid="{12E328A8-9A67-45C6-A1E0-A82986BCD430}"/>
    <hyperlink ref="D389" r:id="rId533" display="https://acf.gov/cb/policy-guidance/pi-12-04" xr:uid="{C74D7B99-AAA3-4342-A79B-E3A958BD368B}"/>
    <hyperlink ref="D388" r:id="rId534" display="https://acf.gov/cb/policy-guidance/pi-12-03" xr:uid="{66AE7969-C3EB-45F0-BCFD-1B98BC0EDA75}"/>
    <hyperlink ref="D386" r:id="rId535" display="https://acf.gov/cb/policy-guidance/pi-12-02" xr:uid="{92006348-95BF-4D92-AA5D-2D3658721897}"/>
    <hyperlink ref="D385" r:id="rId536" display="https://acf.gov/cb/policy-guidance/pi-12-01" xr:uid="{0BE23894-CA7B-4D03-A50F-8CC26B6417E1}"/>
    <hyperlink ref="D383" r:id="rId537" display="https://acf.gov/cb/policy-guidance/pi-11-09" xr:uid="{3B6A227A-7503-427D-BC4F-C64D8AA999A1}"/>
    <hyperlink ref="D380" r:id="rId538" display="https://acf.gov/cb/policy-guidance/pi-11-08" xr:uid="{AC42A361-70B3-4B4C-B99D-BEF10D0D792B}"/>
    <hyperlink ref="D378" r:id="rId539" display="https://acf.gov/cb/policy-guidance/pi-11-07" xr:uid="{A9C2DFAE-C7F7-43CB-91DD-3667DBE43B52}"/>
    <hyperlink ref="D377" r:id="rId540" display="https://acf.gov/cb/policy-guidance/pi-11-06" xr:uid="{5CE5E301-EBB5-4AB0-AC12-DCEA44C8B24F}"/>
    <hyperlink ref="D376" r:id="rId541" display="https://acf.gov/cb/policy-guidance/pi-11-05" xr:uid="{88C2E240-A694-4BB8-A3D9-6E6F95720783}"/>
    <hyperlink ref="D375" r:id="rId542" display="https://acf.gov/cb/policy-guidance/pi-11-04" xr:uid="{162E44D0-1B35-4BCE-8685-F06F651A1946}"/>
    <hyperlink ref="D374" r:id="rId543" display="https://acf.gov/cb/policy-guidance/pi-11-03" xr:uid="{2D8E5C4F-6742-482A-8BA0-5AC64F333197}"/>
    <hyperlink ref="D372" r:id="rId544" display="https://acf.gov/cb/policy-guidance/pi-11-02" xr:uid="{93228578-2404-456C-803F-89E27E1AD811}"/>
    <hyperlink ref="D370" r:id="rId545" display="https://acf.gov/cb/policy-guidance/pi-11-01" xr:uid="{51CFF5ED-CEBD-4427-93C9-2352A37DAE49}"/>
    <hyperlink ref="D368" r:id="rId546" display="https://acf.gov/cb/policy-guidance/pi-10-13" xr:uid="{A5E757C6-72B5-47DD-A186-14C1F9544279}"/>
    <hyperlink ref="D369" r:id="rId547" display="https://acf.gov/cb/policy-guidance/pi-10-14" xr:uid="{E83B9127-E50E-4735-BE6F-12362640A490}"/>
    <hyperlink ref="D365" r:id="rId548" display="https://acf.gov/cb/policy-guidance/pi-10-12" xr:uid="{03C28B56-5DBD-4892-9155-E2C256306C06}"/>
    <hyperlink ref="D364" r:id="rId549" display="https://acf.gov/cb/policy-guidance/pi-10-11" xr:uid="{8108BA3C-FF0A-49CF-89AB-0D3DA6EAD7BA}"/>
    <hyperlink ref="D363" r:id="rId550" display="https://acf.gov/cb/policy-guidance/pi-10-10" xr:uid="{F4909C4B-EF0D-49CC-8B90-37DF43066212}"/>
    <hyperlink ref="D361" r:id="rId551" display="https://acf.gov/cb/policy-guidance/pi-10-08" xr:uid="{9426F8BE-8ADA-4F42-A7D9-3933B6CB6097}"/>
    <hyperlink ref="D362" r:id="rId552" display="https://acf.gov/cb/policy-guidance/pi-10-09" xr:uid="{470CD309-30F3-4141-BC37-DF723B26096A}"/>
    <hyperlink ref="D360" r:id="rId553" display="https://acf.gov/cb/policy-guidance/pi-10-07" xr:uid="{40E70AB6-BCF2-4274-BAFB-E0B369CFCAA9}"/>
    <hyperlink ref="D359" r:id="rId554" display="https://acf.gov/cb/policy-guidance/pi-10-06" xr:uid="{F4A52188-E6EE-4E6D-961F-7A9D4DC232D2}"/>
    <hyperlink ref="D358" r:id="rId555" display="https://acf.gov/cb/policy-guidance/pi-10-05" xr:uid="{095681AE-E887-426A-BA5D-A6A05078ED17}"/>
    <hyperlink ref="D357" r:id="rId556" display="https://acf.gov/cb/policy-guidance/pi-10-04" xr:uid="{708A8A73-196C-4815-AF78-3D152B97CBC4}"/>
    <hyperlink ref="D356" r:id="rId557" display="https://acf.gov/cb/policy-guidance/pi-10-03" xr:uid="{783022B8-DAB9-4537-9075-51F9AF9DFF0D}"/>
    <hyperlink ref="D355" r:id="rId558" display="https://acf.gov/cb/policy-guidance/pi-10-02" xr:uid="{DBAF2263-9CD7-4075-8F5D-1BD3D3393056}"/>
    <hyperlink ref="D353" r:id="rId559" display="https://acf.gov/cb/policy-guidance/pi-10-01" xr:uid="{D8911B1F-5AD3-4E2F-A150-563B9771ED8A}"/>
    <hyperlink ref="D352" r:id="rId560" display="https://acf.gov/cb/policy-guidance/pi-09-08" xr:uid="{E3D56AA6-19E7-49AA-BD3B-9ACBB809C72D}"/>
    <hyperlink ref="D351" r:id="rId561" display="https://acf.gov/cb/policy-guidance/pi-09-11" xr:uid="{ED14C360-3DD8-44A5-96F4-1F9708924F37}"/>
    <hyperlink ref="D349" r:id="rId562" display="https://acf.gov/cb/policy-guidance/pi-09-10" xr:uid="{70B0D010-36C7-4DB5-ABAD-81D847BF7215}"/>
    <hyperlink ref="D348" r:id="rId563" display="https://acf.gov/cb/policy-guidance/pi-09-09" xr:uid="{4DE171BF-C8D3-4194-AAD2-750606A4D3A8}"/>
    <hyperlink ref="D345" r:id="rId564" display="https://acf.gov/cb/policy-guidance/pi-09-07" xr:uid="{6AA62EDA-C674-4F72-86A4-ABC654D53457}"/>
    <hyperlink ref="D346" r:id="rId565" display="https://acf.gov/cb/policy-guidance/pi-09-06" xr:uid="{151E6B01-E178-4962-8698-8199670A6AB3}"/>
    <hyperlink ref="D344" r:id="rId566" display="https://acf.gov/cb/policy-guidance/pi-09-05" xr:uid="{73E284F7-3946-46D7-A792-7D1AFF5795AA}"/>
    <hyperlink ref="D343" r:id="rId567" display="https://acf.gov/cb/policy-guidance/pi-09-04" xr:uid="{AB5B3A71-D582-4BAB-9B01-69A5D7D369E3}"/>
    <hyperlink ref="D342" r:id="rId568" display="https://acf.gov/cb/policy-guidance/pi-09-03" xr:uid="{27CFFDD1-C5FF-4259-9A13-C0479F29C65D}"/>
    <hyperlink ref="D340" r:id="rId569" display="https://acf.gov/cb/policy-guidance/pi-09-02" xr:uid="{48D1702C-A468-48CF-A6BD-0B8B31CAEAF9}"/>
    <hyperlink ref="D339" r:id="rId570" display="https://acf.gov/cb/policy-guidance/pi-09-01" xr:uid="{9AC5D8D7-4519-4D8A-BA38-EFFA371FA1C3}"/>
    <hyperlink ref="D338" r:id="rId571" display="https://acf.gov/cb/policy-guidance/pi-08-07" xr:uid="{61F0299A-68ED-4439-93FD-08A472C39C65}"/>
    <hyperlink ref="D336" r:id="rId572" display="https://acf.gov/cb/policy-guidance/pi-08-06" xr:uid="{56DD2F11-2DD0-4330-A374-86CA43CCF331}"/>
    <hyperlink ref="D334" r:id="rId573" display="https://acf.gov/cb/policy-guidance/pi-08-05" xr:uid="{1DC36741-79CD-4579-8413-CB51E98E7E87}"/>
    <hyperlink ref="D332" r:id="rId574" display="https://acf.gov/cb/policy-guidance/pi-08-04" xr:uid="{84F54A57-D785-4D28-A378-A485E4CF4377}"/>
    <hyperlink ref="D331" r:id="rId575" display="https://acf.gov/cb/policy-guidance/pi-08-03" xr:uid="{A867B445-A80B-405D-92FB-9B56EF3BEECC}"/>
    <hyperlink ref="D330" r:id="rId576" display="https://acf.gov/cb/policy-guidance/pi-08-02" xr:uid="{DAB68216-0452-42CF-ABF5-C94EEBD3A547}"/>
    <hyperlink ref="D328" r:id="rId577" display="https://acf.gov/cb/policy-guidance/pi-08-01" xr:uid="{94660026-AEEA-4B0F-A0C1-E8AD356BBCF5}"/>
    <hyperlink ref="D325" r:id="rId578" display="https://acf.gov/cb/policy-guidance/im-07-06" xr:uid="{6E6E9B0D-D5F7-4F9B-A3FD-B96114FFCC14}"/>
    <hyperlink ref="D323" r:id="rId579" display="https://acf.gov/cb/policy-guidance/pi-07-09" xr:uid="{CBDAD342-78FE-4092-BEF9-F46BDDB44896}"/>
    <hyperlink ref="D322" r:id="rId580" display="https://acf.gov/cb/policy-guidance/pi-07-08" xr:uid="{405426D1-9494-41EF-8D59-CB7889905402}"/>
    <hyperlink ref="D321" r:id="rId581" display="https://acf.gov/cb/policy-guidance/pi-07-10" xr:uid="{06B07D06-E2C3-4D69-AEFC-1025F984461A}"/>
    <hyperlink ref="D320" r:id="rId582" display="https://acf.gov/cb/policy-guidance/im-07-04" xr:uid="{EBFD8D45-2E11-4E92-86E8-30F389F46DA7}"/>
    <hyperlink ref="D318" r:id="rId583" display="https://acf.gov/cb/policy-guidance/pi-07-07" xr:uid="{F588F051-5546-4C56-9193-D7E1D4404540}"/>
    <hyperlink ref="D317" r:id="rId584" display="https://acf.gov/cb/policy-guidance/pi-07-06" xr:uid="{95C643C6-578B-44A3-A807-83645EDD680E}"/>
    <hyperlink ref="D316" r:id="rId585" display="https://acf.gov/cb/policy-guidance/pi-07-05" xr:uid="{3544C060-84D2-4D9B-B3EB-33FCAE602161}"/>
    <hyperlink ref="D315" r:id="rId586" display="https://acf.gov/cb/policy-guidance/pi-07-03" xr:uid="{96E81353-281F-424B-AF31-B47B51E906D5}"/>
    <hyperlink ref="D314" r:id="rId587" display="https://acf.gov/cb/policy-guidance/pi-07-04" xr:uid="{4C1FC60B-C1B3-4679-BC9D-E1274CB95181}"/>
    <hyperlink ref="D312" r:id="rId588" display="https://acf.gov/cb/policy-guidance/pi-07-02" xr:uid="{34BFFFE1-7F2F-4EC9-8F82-D87F7DA61346}"/>
    <hyperlink ref="D310" r:id="rId589" display="https://acf.gov/cb/policy-guidance/pi-06-07" xr:uid="{CFDADF87-97CF-4899-8510-2756DC351AF4}"/>
    <hyperlink ref="D307" r:id="rId590" display="https://acf.gov/cb/policy-guidance/pi-06-06" xr:uid="{FC5A6B9A-9A8F-4030-8313-E59B23E40ACA}"/>
    <hyperlink ref="D305" r:id="rId591" display="https://acf.gov/cb/policy-guidance/pi-06-05" xr:uid="{4A7FC8CB-A04F-441E-B830-E907DB69B65C}"/>
    <hyperlink ref="D302" r:id="rId592" display="https://acf.gov/cb/policy-guidance/pi-06-03" xr:uid="{73867142-A574-4B1B-91ED-DA217E1ED8AB}"/>
    <hyperlink ref="D303" r:id="rId593" display="https://acf.gov/cb/policy-guidance/pi-06-04" xr:uid="{D5F89096-2EE6-443D-BE00-F8825276DCF4}"/>
    <hyperlink ref="D301" r:id="rId594" display="https://acf.gov/cb/policy-guidance/pi-06-02" xr:uid="{1372EF28-CE52-4FBE-BA17-36BDD91FD2A8}"/>
    <hyperlink ref="D300" r:id="rId595" display="https://acf.gov/cb/policy-guidance/pi-06-01" xr:uid="{9D17CCFE-24FF-4F0E-A6BE-49D9FCE76A74}"/>
    <hyperlink ref="D298" r:id="rId596" display="https://acf.gov/cb/policy-guidance/pi-05-06" xr:uid="{46FCF2D8-8530-4D89-9F54-AF819B1F6FD4}"/>
    <hyperlink ref="D287" r:id="rId597" display="https://acf.gov/cb/policy-guidance/pi-05-05" xr:uid="{2C77BF55-DC4D-4CDC-A5FA-904F75E37F53}"/>
    <hyperlink ref="D288" r:id="rId598" display="https://acf.gov/cb/policy-guidance/pi-05-04" xr:uid="{231C1334-9ACE-4123-B184-099CFC969086}"/>
    <hyperlink ref="D286" r:id="rId599" display="https://acf.gov/cb/policy-guidance/pi-05-01" xr:uid="{6E9E9FD0-C617-460B-96A1-CA19960B9702}"/>
    <hyperlink ref="D285" r:id="rId600" display="https://acf.gov/cb/policy-guidance/pi-05-03" xr:uid="{6BE02988-7EFA-4D16-AD6F-7BD487D2CA09}"/>
    <hyperlink ref="D278" r:id="rId601" display="https://acf.gov/cb/policy-guidance/pi-04-04" xr:uid="{712436F3-9041-4BDC-94AD-CD4EEA4A3204}"/>
    <hyperlink ref="D279" r:id="rId602" display="https://acf.gov/cb/policy-guidance/pi-04-05" xr:uid="{2DE6ACF9-F1F7-4F8A-8857-B0072798D118}"/>
    <hyperlink ref="D277" r:id="rId603" display="https://acf.gov/cb/policy-guidance/pi-04-03" xr:uid="{F4542ACE-49A2-4546-9447-FF772A04F726}"/>
    <hyperlink ref="D271" r:id="rId604" display="https://acf.gov/cb/policy-guidance/pi-04-01" xr:uid="{7A919F8F-C8F3-4034-B808-5E726BD39FC0}"/>
    <hyperlink ref="D272" r:id="rId605" display="https://acf.gov/cb/policy-guidance/pi-04-02" xr:uid="{3928DD35-72CA-4B3E-B447-34C48BA6B48C}"/>
    <hyperlink ref="D270" r:id="rId606" display="https://acf.gov/cb/policy-guidance/pi-03-08" xr:uid="{6D90A09A-C33B-4B61-B0CA-5D38EFDD3413}"/>
    <hyperlink ref="D267" r:id="rId607" display="https://acf.gov/cb/policy-guidance/pi-03-07" xr:uid="{57ED0428-2C1E-4397-9935-B351E255CD1A}"/>
    <hyperlink ref="D265" r:id="rId608" display="https://acf.gov/cb/policy-guidance/pi-03-06" xr:uid="{57FBDA8F-4ECD-4DB0-9780-5993F1FF1381}"/>
    <hyperlink ref="D263" r:id="rId609" display="https://acf.gov/cb/policy-guidance/pi-03-05" xr:uid="{A796F458-8402-4586-BB65-187A9A428BC1}"/>
    <hyperlink ref="D261" r:id="rId610" display="https://acf.gov/cb/policy-guidance/pi-03-02" xr:uid="{9F1EB9C5-4842-42D9-BD58-05DC7B4A69A8}"/>
    <hyperlink ref="D260" r:id="rId611" display="https://acf.gov/cb/policy-guidance/pi-03-01" xr:uid="{3D1054BF-E371-4338-8259-0E316EA56529}"/>
    <hyperlink ref="D259" r:id="rId612" display="https://acf.gov/cb/policy-guidance/pi-03-04" xr:uid="{35286E78-B513-4D4E-8994-A9EF3309F83F}"/>
    <hyperlink ref="D257" r:id="rId613" display="https://acf.gov/cb/policy-guidance/pi-03-03" xr:uid="{B30134BD-F051-4B54-822F-A1A0450C5019}"/>
    <hyperlink ref="D256" r:id="rId614" display="https://acf.gov/cb/policy-guidance/pi-02-09" xr:uid="{99FBD80E-9A9A-46BE-A288-43944CDEA260}"/>
    <hyperlink ref="D255" r:id="rId615" display="https://acf.gov/cb/policy-guidance/pi-02-08" xr:uid="{E078E47C-1DE5-4E46-9003-1E424997EDCB}"/>
    <hyperlink ref="D254" r:id="rId616" display="https://acf.gov/cb/policy-guidance/pi-02-07" xr:uid="{652DBED9-4B2A-4636-B4C4-6F8CF424B901}"/>
    <hyperlink ref="D253" r:id="rId617" display="https://acf.gov/cb/policy-guidance/pi-02-06" xr:uid="{5EEDF1CC-EB62-414D-987A-74B6D412F8C0}"/>
    <hyperlink ref="D250" r:id="rId618" display="https://acf.gov/cb/policy-guidance/pi-02-05" xr:uid="{85DF56FB-9D4B-47D9-BF54-D2382A4E7482}"/>
    <hyperlink ref="D248" r:id="rId619" display="https://acf.gov/cb/policy-guidance/pi-02-04" xr:uid="{1AD38D06-5728-470F-A3D0-72CA7FD93454}"/>
    <hyperlink ref="D246" r:id="rId620" display="https://acf.gov/cb/policy-guidance/pi-02-03" xr:uid="{4351DD3B-809B-4B1F-9851-8654C7DB405E}"/>
    <hyperlink ref="D242" r:id="rId621" display="https://acf.gov/cb/policy-guidance/pi-02-01" xr:uid="{99010888-8860-4C77-8C6A-2BCE159907CE}"/>
    <hyperlink ref="D239" r:id="rId622" display="https://acf.gov/cb/policy-guidance/pi-01-09" xr:uid="{4595008B-F16A-46DA-A938-CF91FC5CD82E}"/>
    <hyperlink ref="D236" r:id="rId623" display="https://acf.gov/cb/policy-guidance/pi-01-08" xr:uid="{1338CB7E-A585-4A02-B208-CD941D1B851D}"/>
    <hyperlink ref="D231" r:id="rId624" display="https://acf.gov/cb/policy-guidance/pi-01-07" xr:uid="{C692EF00-9609-43C1-A31C-FF38353DC896}"/>
    <hyperlink ref="D229" r:id="rId625" display="https://acf.gov/cb/policy-guidance/pi-01-06" xr:uid="{DA959F75-5CC4-477C-8198-B4B0C1E34649}"/>
    <hyperlink ref="D228" r:id="rId626" display="https://acf.gov/cb/policy-guidance/pi-01-05" xr:uid="{E6A1CB7B-4B28-46B7-BD91-F27BDAD195F0}"/>
    <hyperlink ref="D225" r:id="rId627" display="https://acf.gov/cb/policy-guidance/pi-01-03" xr:uid="{F1AB0DEC-2560-4E90-8421-CE8AB3ADB601}"/>
    <hyperlink ref="D224" r:id="rId628" display="https://acf.gov/cb/policy-guidance/pi-01-02" xr:uid="{253B1720-107D-422B-BFB4-3A6EDEE86BA3}"/>
    <hyperlink ref="D221" r:id="rId629" display="https://acf.gov/cb/policy-guidance/pi-00-04" xr:uid="{A84A1A8C-6FA6-4C88-9D1A-B142A91CE995}"/>
    <hyperlink ref="D219" r:id="rId630" display="https://acf.gov/cb/policy-guidance/pi-00-03" xr:uid="{042A029E-15E6-4BE3-B8A6-2FE62DB9084B}"/>
    <hyperlink ref="D214" r:id="rId631" display="https://acf.gov/cb/policy-guidance/pi-00-01" xr:uid="{887FC20E-DF40-4458-9A2D-E6D80B2EB82D}"/>
    <hyperlink ref="D212" r:id="rId632" display="https://acf.gov/cb/policy-guidance/pi-99-09" xr:uid="{BD877F3D-EF0F-437C-BAB8-C9DFEC83FBBB}"/>
    <hyperlink ref="D211" r:id="rId633" display="https://acf.gov/cb/policy-guidance/pi-99-07" xr:uid="{07AF79FE-0BB6-4732-9DDD-BC2BA619253F}"/>
    <hyperlink ref="D210" r:id="rId634" display="https://acf.gov/cb/policy-guidance/pi-99-05" xr:uid="{2ACC1D7D-FB39-42CA-89F1-83F24FB7F2E0}"/>
    <hyperlink ref="D209" r:id="rId635" display="https://acf.gov/cb/policy-guidance/pi-99-04" xr:uid="{9821652E-1D7C-4FDE-9978-A22D68D84031}"/>
    <hyperlink ref="D208" r:id="rId636" display="https://acf.gov/cb/policy-guidance/pi-99-02" xr:uid="{66EA47F3-2125-4168-8A9D-7B6655253319}"/>
    <hyperlink ref="D207" r:id="rId637" display="https://acf.gov/cb/policy-guidance/pi-99-01" xr:uid="{B9A3B18A-9870-4B66-9F9F-53D53374ED48}"/>
    <hyperlink ref="D201" r:id="rId638" display="https://acf.gov/cb/policy-guidance/pi-98-15" xr:uid="{89CC70DE-B129-41A1-A49C-EAEA3DF9C9AB}"/>
    <hyperlink ref="D199" r:id="rId639" display="https://acf.gov/cb/policy-guidance/pi-98-14" xr:uid="{5DAE5FC8-E68D-4184-8C54-69DA9EFFBD09}"/>
    <hyperlink ref="E196" r:id="rId640" display="https://acf.gov/cb/policy-guidance/pi-98-11" xr:uid="{72635F66-8E21-43B5-BEA1-4FC8F6281521}"/>
    <hyperlink ref="D195" r:id="rId641" display="https://acf.gov/cb/policy-guidance/pi-98-10" xr:uid="{4A9BA0B0-ABA1-4D81-96FD-F65FC112A1B4}"/>
    <hyperlink ref="D194" r:id="rId642" display="https://acf.gov/cb/policy-guidance/pi-98-06" xr:uid="{FEADC703-F388-4A6A-BA78-F64480B6095E}"/>
    <hyperlink ref="D192" r:id="rId643" display="https://acf.gov/cb/policy-guidance/pi-98-07" xr:uid="{7D66DCDE-173B-480B-9553-9FE43E9DE9B8}"/>
    <hyperlink ref="D191" r:id="rId644" display="https://acf.gov/cb/policy-guidance/pi-98-05" xr:uid="{8F7E49C7-29EE-41D4-9B24-15677920D3BB}"/>
    <hyperlink ref="D190" r:id="rId645" display="https://acf.gov/cb/policy-guidance/pi-98-03" xr:uid="{22D58C24-3A07-4BDA-B06F-34289F61C621}"/>
    <hyperlink ref="D187" r:id="rId646" display="https://acf.gov/cb/policy-guidance/pi-98-02" xr:uid="{2EC29924-B739-4B1E-A0DD-2BBD8F9DE391}"/>
    <hyperlink ref="D186" r:id="rId647" display="https://acf.gov/cb/policy-guidance/pi-98-01" xr:uid="{69E18CE0-5276-44D7-86B5-AFBD06F6B637}"/>
    <hyperlink ref="D184" r:id="rId648" display="https://acf.gov/cb/policy-guidance/pi-97-05" xr:uid="{401F7A59-D7C6-4377-A240-A3C2C0C0AE44}"/>
    <hyperlink ref="D181" r:id="rId649" display="https://acf.gov/cb/policy-guidance/pi-97-04" xr:uid="{0563013D-92F9-4E57-9A93-A873E81E8716}"/>
    <hyperlink ref="D178" r:id="rId650" display="https://acf.gov/cb/policy-guidance/pi-97-03" xr:uid="{B0E4C61C-CC18-4219-8E03-CF8C7D2428C3}"/>
    <hyperlink ref="D177" r:id="rId651" display="https://acf.gov/cb/policy-guidance/pi-97-02" xr:uid="{B66DA27B-0182-454B-8214-66B5DAB9760B}"/>
    <hyperlink ref="D175" r:id="rId652" display="https://acf.gov/cb/policy-guidance/pi-97-01" xr:uid="{314AD947-2392-4121-A748-9C0ABEE625F9}"/>
    <hyperlink ref="D174" r:id="rId653" display="https://acf.gov/cb/policy-guidance/pi-nccan-97-01" xr:uid="{BD386D59-942C-4AED-B799-860A32A97C8A}"/>
    <hyperlink ref="D169" r:id="rId654" display="https://acf.gov/cb/policy-guidance/pi-96-15" xr:uid="{8291988B-A3CF-478D-9D67-AEEA83D18309}"/>
    <hyperlink ref="D167" r:id="rId655" display="https://acf.gov/cb/policy-guidance/pi-96-11" xr:uid="{5691606D-4137-4FE0-B556-AF00EC2DAFAA}"/>
    <hyperlink ref="D165" r:id="rId656" display="https://acf.gov/cb/policy-guidance/pi-96-06" xr:uid="{47D14B8E-14D4-4ED9-8AD0-4BF453DD7EC6}"/>
    <hyperlink ref="D166" r:id="rId657" display="https://acf.gov/cb/policy-guidance/pi-96-07" xr:uid="{F1E1F479-C50E-4FC7-A338-5B0BDACA70E2}"/>
    <hyperlink ref="D164" r:id="rId658" display="https://acf.gov/cb/policy-guidance/pi-96-05" xr:uid="{3F02F360-F1DF-4842-8F46-E43C968A14CD}"/>
    <hyperlink ref="D162" r:id="rId659" display="https://acf.gov/cb/policy-guidance/pi-96-01" xr:uid="{11312284-3CF7-490F-AC96-3F048A855FBE}"/>
    <hyperlink ref="D159" r:id="rId660" display="https://acf.gov/cb/policy-guidance/pi-95-23" xr:uid="{1DE6F241-8609-46AB-BBB1-0E246CA071A3}"/>
    <hyperlink ref="D157" r:id="rId661" display="https://acf.gov/cb/policy-guidance/pi-95-12" xr:uid="{ED9F4DFC-40C0-4F7F-A365-F55262207F67}"/>
    <hyperlink ref="D155" r:id="rId662" display="https://acf.gov/cb/policy-guidance/pi-95-09" xr:uid="{6F5E3C70-4614-4348-827C-11A534C371B1}"/>
    <hyperlink ref="D154" r:id="rId663" display="https://acf.gov/cb/policy-guidance/pi-95-11" xr:uid="{83F6A55E-638F-4D40-86E2-3869865DCFCC}"/>
    <hyperlink ref="D153" r:id="rId664" display="https://acf.gov/cb/policy-guidance/pi-95-10" xr:uid="{6020CF39-4DC6-4ED2-8E7F-FA55D48BDEED}"/>
    <hyperlink ref="D145" r:id="rId665" display="https://acf.gov/cb/policy-guidance/pi-94-15" xr:uid="{64BB678A-0E6B-4559-B8B8-647245E2CA67}"/>
    <hyperlink ref="D142" r:id="rId666" display="https://acf.gov/cb/policy-guidance/pi-94-12" xr:uid="{5F6BE5FF-99A4-4C42-A4A7-77B23945A803}"/>
    <hyperlink ref="D138" r:id="rId667" display="https://acf.gov/cb/policy-guidance/pi-94-04" xr:uid="{582D5DCF-0541-4361-A916-FC438409E227}"/>
    <hyperlink ref="D139" r:id="rId668" display="https://acf.gov/cb/policy-guidance/pi-94-03" xr:uid="{74071824-4685-44A1-903D-A875D56E7F20}"/>
    <hyperlink ref="D140" r:id="rId669" display="https://acf.gov/cb/policy-guidance/pi-94-01" xr:uid="{59F844D6-A466-4200-985A-2DC4523ED706}"/>
    <hyperlink ref="D136" r:id="rId670" display="https://acf.gov/cb/policy-guidance/pi-93-16" xr:uid="{9C76CFD5-5EF0-45C4-BDF8-543CC53C91C5}"/>
    <hyperlink ref="D131" r:id="rId671" display="https://acf.gov/cb/policy-guidance/pi-93-13" xr:uid="{A30DAA84-637A-4E69-95AC-957F8AF41DE4}"/>
    <hyperlink ref="D198" r:id="rId672" display="https://acf.gov/cb/policy-guidance/pi-98-13" xr:uid="{323EF669-5C14-4C51-8E35-AA19DB385DB5}"/>
    <hyperlink ref="D197" r:id="rId673" display="https://acf.gov/cb/policy-guidance/pi-98-12" xr:uid="{B5955150-4354-4CBB-AEF7-B2C56C99CA56}"/>
    <hyperlink ref="D130" r:id="rId674" display="https://acf.gov/cb/policy-guidance/pi-93-10" xr:uid="{55E32096-76BB-4FCE-8D10-62FA0A11F5F5}"/>
    <hyperlink ref="D129" r:id="rId675" display="https://acf.gov/cb/policy-guidance/pi-93-09" xr:uid="{9E79BCEF-E352-4865-9FC6-1A6DB55234C8}"/>
    <hyperlink ref="D128" r:id="rId676" display="https://acf.gov/cb/policy-guidance/pi-93-02" xr:uid="{0B7E0950-6AD1-4005-9E2C-B54E23C2EE0F}"/>
    <hyperlink ref="D126" r:id="rId677" display="https://acf.gov/cb/policy-guidance/pi-93-01" xr:uid="{ED0EC1EB-0D3E-4129-84B7-EA2FA27725DA}"/>
    <hyperlink ref="D124" r:id="rId678" display="https://acf.gov/cb/policy-guidance/pi-92-13" xr:uid="{B768D984-97A8-4375-B4A8-DC91809F5D21}"/>
    <hyperlink ref="D122" r:id="rId679" display="https://acf.gov/cb/policy-guidance/pi-92-11" xr:uid="{90C2F6E0-4960-4909-9EFD-15D82618FF28}"/>
    <hyperlink ref="D119" r:id="rId680" display="https://acf.gov/cb/policy-guidance/pi-92-07" xr:uid="{99FB0EB9-3E75-491E-8C9B-339D274BBDCF}"/>
    <hyperlink ref="D120" r:id="rId681" display="https://acf.gov/cb/policy-guidance/pi-92-06" xr:uid="{0FEE9D66-8C4E-40F2-8541-75F3F9B9570C}"/>
    <hyperlink ref="D118" r:id="rId682" display="https://acf.gov/cb/policy-guidance/pi-92-03" xr:uid="{F3903860-AA86-4126-BEF9-0348B9DB733B}"/>
    <hyperlink ref="D107" r:id="rId683" display="https://acf.gov/cb/policy-guidance/pi-90-16" xr:uid="{793CE963-CD9B-4945-8B44-4FEB905BBE2D}"/>
    <hyperlink ref="D105" r:id="rId684" display="https://acf.gov/cb/policy-guidance/im-90-11" xr:uid="{93C96096-6000-407D-A934-E6E395D119B0}"/>
    <hyperlink ref="D103" r:id="rId685" display="https://acf.gov/cb/policy-guidance/pi-90-09" xr:uid="{E7929816-C8CA-46A3-B6B1-EB5175B1DC0A}"/>
    <hyperlink ref="D100" r:id="rId686" display="https://acf.gov/cb/policy-guidance/pi-90-01" xr:uid="{6C4CFF36-17D7-4628-BA33-3917FEDB67A5}"/>
    <hyperlink ref="D97" r:id="rId687" display="https://acf.gov/cb/policy-guidance/pi-89-09" xr:uid="{D2875EAD-549B-4BFD-A0B3-D7A1BA1A9B0E}"/>
    <hyperlink ref="D96" r:id="rId688" display="https://acf.gov/cb/policy-guidance/pi-89-07" xr:uid="{A432A5F2-951D-4CB2-B71D-F2C8B417C54B}"/>
    <hyperlink ref="D95" r:id="rId689" display="https://acf.gov/cb/policy-guidance/pi-89-05" xr:uid="{4BDD01DA-62A7-4D15-A0C6-8DC6AB70B2C9}"/>
    <hyperlink ref="D90" r:id="rId690" display="https://acf.gov/cb/policy-guidance/pi-88-08" xr:uid="{773322F7-8367-4AAE-B823-7A90FA4C8971}"/>
    <hyperlink ref="D86" r:id="rId691" display="https://acf.gov/cb/policy-guidance/pi-88-07" xr:uid="{581E42F5-B868-430C-ADF5-28BE5E39DF2A}"/>
    <hyperlink ref="D79" r:id="rId692" display="https://acf.gov/cb/policy-guidance/pi-87-06" xr:uid="{CA0DA005-863C-46BB-B1F1-FDA49BDE1A83}"/>
    <hyperlink ref="D70" r:id="rId693" display="https://acf.gov/cb/policy-guidance/pi-87-01" xr:uid="{B236AAF3-E006-4E15-A28B-080E33C3EBEE}"/>
    <hyperlink ref="D67" r:id="rId694" display="https://acf.gov/cb/policy-guidance/pi-86-03" xr:uid="{EE5D8EBB-A02A-4A77-B6C7-3C51E6CF23BE}"/>
    <hyperlink ref="D63" r:id="rId695" display="https://acf.gov/cb/policy-guidance/pi-86-01" xr:uid="{C07441BE-9345-46BE-8FA5-3B82920C22C6}"/>
    <hyperlink ref="D57" r:id="rId696" display="https://acf.gov/cb/policy-guidance/pi-85-07" xr:uid="{2C9A812E-3B12-4897-9463-438E668B7165}"/>
    <hyperlink ref="D53" r:id="rId697" display="https://acf.gov/cb/policy-guidance/pi-85-03" xr:uid="{A5D84695-4462-4728-BAB7-A91D6D4C673B}"/>
    <hyperlink ref="D51" r:id="rId698" display="https://acf.gov/cb/policy-guidance/pi-85-02" xr:uid="{85E8A07E-EF9D-4206-83D5-A4144D8BCB21}"/>
    <hyperlink ref="D48" r:id="rId699" display="https://acf.gov/cb/policy-guidance/pi-85-01" xr:uid="{5F8071E7-7BC5-4197-99BD-F6E3AED9B31D}"/>
    <hyperlink ref="D42" r:id="rId700" display="https://acf.gov/cb/policy-guidance/pi-84-04" xr:uid="{CFFA5DE5-1423-4F2A-80B6-DA094D4AB56C}"/>
    <hyperlink ref="D41" r:id="rId701" display="https://acf.gov/cb/policy-guidance/pi-84-06" xr:uid="{29AB2469-43A7-4095-A288-8DDA55E09554}"/>
    <hyperlink ref="D39" r:id="rId702" display="https://acf.gov/cb/policy-guidance/pi-84-05" xr:uid="{171AEF31-859C-4F05-95A0-1C23EE2A298A}"/>
    <hyperlink ref="D37" r:id="rId703" display="https://acf.gov/cb/policy-guidance/pi-84-02" xr:uid="{162F203E-72C8-4FC7-BAEF-A8AA74FFE881}"/>
    <hyperlink ref="D36" r:id="rId704" display="https://acf.gov/cb/policy-guidance/pi-83-08" xr:uid="{439CFA0F-39E6-4C83-A633-34ACF0E5AC25}"/>
    <hyperlink ref="D35" r:id="rId705" display="https://acf.gov/cb/policy-guidance/pi-83-07" xr:uid="{7E6CC9BC-054D-46D8-85AD-F16ABC111181}"/>
    <hyperlink ref="D34" r:id="rId706" display="https://acf.gov/cb/policy-guidance/pi-83-06" xr:uid="{E84197C7-BDB0-4669-AEF8-2FF0882D9663}"/>
    <hyperlink ref="D32" r:id="rId707" display="https://acf.gov/cb/policy-guidance/pi-83-03" xr:uid="{D11251B6-6E83-4DD4-822F-EE2128126E90}"/>
    <hyperlink ref="D30" r:id="rId708" display="https://acf.gov/cb/policy-guidance/pi-83-04" xr:uid="{902F2C13-CD97-4652-9786-DBC668FAF278}"/>
    <hyperlink ref="D28" r:id="rId709" display="https://acf.gov/cb/policy-guidance/pi-83-02" xr:uid="{840F70EF-A5D9-43D4-BBEB-2524D128EF38}"/>
    <hyperlink ref="D27" r:id="rId710" display="https://acf.gov/cb/policy-guidance/pi-82-07" xr:uid="{93E1F93B-7F66-48E5-BD27-A920112AD124}"/>
    <hyperlink ref="D26" r:id="rId711" display="https://acf.gov/cb/policy-guidance/pi-82-06" xr:uid="{E0C22FD8-06A6-4A57-B7FF-2BC7370AFF64}"/>
    <hyperlink ref="D24" r:id="rId712" display="https://acf.gov/cb/policy-guidance/pi-82-04" xr:uid="{22F5136E-A387-40BC-A054-B89FBBA31954}"/>
    <hyperlink ref="D22" r:id="rId713" display="https://acf.gov/cb/policy-guidance/pi-82-01" xr:uid="{A9BB9D6E-00B8-4258-BCCA-4A542E9257B1}"/>
    <hyperlink ref="D21" r:id="rId714" display="https://acf.gov/cb/policy-guidance/pi-81-08" xr:uid="{164D9F81-7CD7-4220-8C34-85ABFE74CFA2}"/>
    <hyperlink ref="D20" r:id="rId715" display="https://acf.gov/cb/policy-guidance/pi-81-07" xr:uid="{675EB4D1-06F9-4822-AF67-EA447CEAB37B}"/>
    <hyperlink ref="D19" r:id="rId716" display="https://acf.gov/cb/policy-guidance/pi-81-05" xr:uid="{3474F0DC-ECAF-4753-951C-17538680C059}"/>
    <hyperlink ref="D17" r:id="rId717" display="https://acf.gov/cb/policy-guidance/pi-81-06" xr:uid="{71688977-D638-4EF5-8F93-EA4C760BC4B2}"/>
    <hyperlink ref="D15" r:id="rId718" display="https://acf.gov/cb/policy-guidance/pi-81-02" xr:uid="{0A41B2FF-446A-4A26-973C-C4AA32C2A8FA}"/>
    <hyperlink ref="D13" r:id="rId719" display="https://acf.gov/cb/policy-guidance/pi-81-01" xr:uid="{886F2C26-64DA-472D-A8BA-4171CF8427FC}"/>
    <hyperlink ref="D11" r:id="rId720" display="https://acf.gov/cb/policy-guidance/pi-80-03" xr:uid="{C589F8EF-5680-4E96-95E3-47BC2B0B0253}"/>
    <hyperlink ref="D10" r:id="rId721" display="https://acf.gov/cb/policy-guidance/pi-80-02" xr:uid="{43FEB2E1-851B-4B06-BF8D-F262A2636650}"/>
    <hyperlink ref="D9" r:id="rId722" display="https://acf.gov/cb/policy-guidance/pi-80-01" xr:uid="{F1014ADB-9744-47D4-B813-EDD3218A1662}"/>
    <hyperlink ref="E493" r:id="rId723" display="https://acf.gov/cb/faq/can4" xr:uid="{2848149B-8F8A-4B18-B483-10D4F3DB2F1D}"/>
    <hyperlink ref="E465" r:id="rId724" display="https://acf.gov/cb/faq/adoption17" xr:uid="{88232607-5AF3-4F93-B499-2938FDB7B2B9}"/>
    <hyperlink ref="E464" r:id="rId725" display="https://acf.gov/cb/faq/can10" xr:uid="{DF41FAE6-3238-440A-B6FC-C4258D7AF994}"/>
    <hyperlink ref="E467" r:id="rId726" display="https://acf.gov/cb/faq/grandparent-rights2" xr:uid="{3E697E2B-B2A4-43C9-B61F-019AA7BC24A8}"/>
    <hyperlink ref="E466" r:id="rId727" display="https://acf.gov/cb/faq/custody5" xr:uid="{0B5A402F-0781-4D43-918A-28DACF7E1E0A}"/>
    <hyperlink ref="E434" r:id="rId728" display="https://acf.gov/cb/faq/can7" xr:uid="{0AFCD39D-8943-4408-A7DB-CB4BD42E3092}"/>
    <hyperlink ref="E435" r:id="rId729" display="https://acf.gov/cb/faq/adoption14" xr:uid="{E15B9F66-B8F4-4DDF-8B36-BCDB18078387}"/>
    <hyperlink ref="E433" r:id="rId730" display="https://acf.gov/cb/faq/can8" xr:uid="{ED9DA397-FE1A-4764-9163-1845947663EB}"/>
    <hyperlink ref="E418" r:id="rId731" display="https://acf.gov/cb/faq/adoption5" xr:uid="{ABE63C90-675B-4A0F-B163-4C6966BF7E87}"/>
    <hyperlink ref="E423" r:id="rId732" display="https://acf.gov/cb/faq/can6" xr:uid="{AB5C54FF-F70C-447B-B61C-A338CFE8C755}"/>
    <hyperlink ref="E411" r:id="rId733" display="https://acf.gov/cb/faq/funding2" xr:uid="{23503B58-485F-4613-AD97-7FD491DA841D}"/>
    <hyperlink ref="E417" r:id="rId734" display="https://acf.gov/cb/faq/adoption12" xr:uid="{1FA3F508-05F0-4668-9E18-A9233CED241D}"/>
    <hyperlink ref="E415" r:id="rId735" display="https://acf.gov/cb/faq/can3" xr:uid="{729C5959-26C5-4393-A991-E358D1F14ECC}"/>
    <hyperlink ref="E408" r:id="rId736" display="https://acf.gov/cb/faq/can2" xr:uid="{1020617F-3946-49D4-8A0D-6742A63992A9}"/>
    <hyperlink ref="E416" r:id="rId737" display="https://acf.gov/cb/faq/adoption3" xr:uid="{445E47B3-C21C-4EF2-A079-D500449288D6}"/>
    <hyperlink ref="E414" r:id="rId738" display="https://acf.gov/cb/faq/adoption4" xr:uid="{08617785-EECB-4AFD-B801-C6EB4CF2E9E1}"/>
    <hyperlink ref="E412" r:id="rId739" display="https://acf.gov/cb/faq/adoption8" xr:uid="{541C552C-1266-44C3-BD36-8847ED564710}"/>
    <hyperlink ref="E422" r:id="rId740" display="https://acf.gov/cb/faq/can1" xr:uid="{0F0464CF-AB5C-4EFF-88AE-F7ADA5E87830}"/>
    <hyperlink ref="E410" r:id="rId741" display="https://acf.gov/cb/faq/funding1" xr:uid="{2596DF38-EBA1-41F5-A13E-A6AFCFD7846C}"/>
    <hyperlink ref="E421" r:id="rId742" display="https://acf.gov/cb/faq/adoption9" xr:uid="{A45D0B14-C2F3-4867-A78F-AB3F672AB3CF}"/>
    <hyperlink ref="E413" r:id="rId743" display="https://acf.gov/cb/faq/adoption10" xr:uid="{9A030D70-2B49-4E92-94B4-254256453B9D}"/>
    <hyperlink ref="E407" r:id="rId744" display="https://acf.gov/cb/faq/am-i-eligible-scholarship" xr:uid="{37502B91-D465-4A38-B3ED-8D5050CE4B7B}"/>
    <hyperlink ref="E420" r:id="rId745" display="https://acf.gov/cb/faq/can5" xr:uid="{C6772D1C-55C9-4277-8AC9-49373E3B1F23}"/>
    <hyperlink ref="E749" r:id="rId746" display="https://acf.gov/cb/faq/adoption11" xr:uid="{AAC5B68E-97D8-42C8-A008-6A5E5A208110}"/>
    <hyperlink ref="E419" r:id="rId747" display="https://acf.gov/cb/faq/adoption2" xr:uid="{63168CA9-173B-4D72-9B7F-55947AC404A2}"/>
    <hyperlink ref="E409" r:id="rId748" display="https://acf.gov/cb/faq/adoption7" xr:uid="{6D833D29-B7E2-47CD-AD28-405F484A35CB}"/>
    <hyperlink ref="E664" r:id="rId749" display="https://acf.gov/cb/training-technical-assistance/xml-concepts-technical-training-video" xr:uid="{95E61AD2-6D3D-4EE7-A038-FF8DEBD856DB}"/>
    <hyperlink ref="E230" r:id="rId750" xr:uid="{0CB1F9E9-D43C-4C04-9124-38381AAC32DF}"/>
    <hyperlink ref="E810" r:id="rId751" display="https://acf.gov/occ/policy-guidance/educational-freedom-and-opportunities-for-families-acf-occ-ccdf-im-25-04" xr:uid="{C13D438A-B12F-4802-98BD-6353F45E3D51}"/>
    <hyperlink ref="E811" r:id="rId752" display="https://acf.gov/occ/policy-guidance/american-relief-act-ccdf-discretionary-supplemental-funds-acf-occ-ccdf-im-25-03" xr:uid="{0E1F6F9A-2478-4314-9D65-D839B8B6C804}"/>
    <hyperlink ref="E812" r:id="rId753" display="https://acf.gov/occ/policy-guidance/implementation-ccdf-through-tribal-consortium-acf-occ-ccdf-im-25-02" xr:uid="{B9D4B85E-9575-4BEE-8873-80FF7B20EF6A}"/>
    <hyperlink ref="E813" r:id="rId754" display="https://acf.gov/occ/policy-guidance/ccdf-requirements-tribal-lead-agencies-parental-acf-occ-ccdf-im-25-01" xr:uid="{CAC38A98-F865-4334-A7FF-BA4AACFADC0E}"/>
    <hyperlink ref="E814" r:id="rId755" display="https://acf.gov/occ/policy-guidance/use-federal-early-childhood-funds-housing-tribal-workforce-acf-occ-ccdf-im-24" xr:uid="{0B8DA32B-BF35-4ED5-9970-849A7C8076FA}"/>
    <hyperlink ref="E815" r:id="rId756" display="https://acf.gov/occ/policy-guidance/engage-individuals-direct-experience-child-care-acf-ecd-occ-im-24-09" xr:uid="{7AE64416-7BD2-4DF4-87A3-DC21BF1A0FFC}"/>
    <hyperlink ref="E816" r:id="rId757" display="https://acf.gov/occ/policy-guidance/using-ccdf-promote-mental-health-well-being-acf-occ-ccdf-im-24-01" xr:uid="{0CA2AFA3-ED87-4155-879F-41ED84930747}"/>
    <hyperlink ref="E817" r:id="rId758" display="https://acf.gov/occ/policy-guidance/ccdf-acf-im-2022-02" xr:uid="{979E98C5-0B04-40D2-B1CF-2BE3D4F13275}"/>
    <hyperlink ref="E818" r:id="rId759" display="https://acf.gov/occ/policy-guidance/ccdf-acf-im-2022-01" xr:uid="{77E8F394-0432-4A47-8C2A-F6ABEAA922AD}"/>
    <hyperlink ref="E820" r:id="rId760" display="https://acf.gov/occ/policy-guidance/ccdf-acf-im-2021-03" xr:uid="{8A40875C-C838-4532-9AF3-BB4A7AFE9CE7}"/>
    <hyperlink ref="E821" r:id="rId761" display="https://acf.gov/occ/policy-guidance/ccdf-acf-im-2021-02" xr:uid="{8D570B13-FED7-40B6-89F1-94A05455A327}"/>
    <hyperlink ref="E822" r:id="rId762" display="https://acf.gov/occ/policy-guidance/ccdf-discretionary-funds-appropriated-crrsa-act-public-law-116-260-signed-law" xr:uid="{B86447EB-3C79-40AA-A3CE-12706F7D7466}"/>
    <hyperlink ref="E823" r:id="rId763" display="https://acf.gov/sites/default/files/documents/ocs/im_acf_oa_2020_01_acf_covid_flexibilities.pdf" xr:uid="{028E6112-7FFA-46A2-8D8D-835736FDDE2C}"/>
    <hyperlink ref="E824" r:id="rId764" display="https://acf.gov/occ/resource/ccdf-acf-im-2020-01" xr:uid="{EEE7519E-3E0A-4400-B633-127856303E05}"/>
    <hyperlink ref="E825" r:id="rId765" display="https://acf.gov/occ/resource/ccdf-acf-im-2019-01" xr:uid="{081C81CD-05D2-4099-9BBF-0ED1ACFBE7BC}"/>
    <hyperlink ref="E826" r:id="rId766" display="https://acf.gov/occ/resource/ccdf-acf-im-2018-03" xr:uid="{0BCA6491-1088-4F66-86AA-3548A59B7337}"/>
    <hyperlink ref="E827" r:id="rId767" display="https://acf.gov/occ/resource/im-18-01" xr:uid="{BA345D75-F71B-4685-B692-2C11DA2F4F3A}"/>
    <hyperlink ref="E828" r:id="rId768" display="https://acf.gov/occ/resource/ccdf-acf-im-2018-02" xr:uid="{EC403D01-8068-4E13-B826-4CCD11E00DB9}"/>
    <hyperlink ref="E829" r:id="rId769" display="https://acf.gov/occ/resource/im-2018-01" xr:uid="{C9E5B2DC-29C5-4AA7-89F2-92F71238977E}"/>
    <hyperlink ref="E830" r:id="rId770" display="https://acf.gov/occ/resource/im-2017-01" xr:uid="{85B45586-2860-433F-BD4B-5128F45A4769}"/>
    <hyperlink ref="E831" r:id="rId771" display="https://acf.gov/occ/resource/im-2017-02" xr:uid="{C62315A5-4D79-4531-A088-B13CC1AFFAF4}"/>
    <hyperlink ref="E832" r:id="rId772" display="https://acf.gov/occ/resource/im-2016-04" xr:uid="{A32D1303-4D09-4567-9BD1-4BA6949435CE}"/>
    <hyperlink ref="E833" r:id="rId773" display="https://acf.gov/occ/resource/im-2016-02" xr:uid="{B2EFA769-A518-4A3C-9665-9A5AD7972AAA}"/>
    <hyperlink ref="E834" r:id="rId774" display="https://acf.gov/occ/resource/im-2016-01" xr:uid="{1A1BF074-6DEE-4075-B24F-1F0FDF5E9B8F}"/>
    <hyperlink ref="E835" r:id="rId775" display="https://acf.gov/occ/resource/im-2015-02" xr:uid="{A5F22088-93E7-497C-8D26-909F42EA799C}"/>
    <hyperlink ref="E836" r:id="rId776" display="https://acf.gov/occ/resource/im-2015-01" xr:uid="{81DD97C5-3607-4C2E-AF8B-226BFA16AEE6}"/>
    <hyperlink ref="E837" r:id="rId777" display="https://acf.gov/occ/resource/im-ohs-2015-03" xr:uid="{D3198B2C-7962-47A2-B543-C8EB9AB3B910}"/>
    <hyperlink ref="E838" r:id="rId778" display="https://acf.gov/occ/resource/im-refugee-resettlement" xr:uid="{73E89E3A-CABC-4A73-8615-C8C8BFC67809}"/>
    <hyperlink ref="E839" r:id="rId779" display="https://acf.gov/occ/resource/crib-standards-information-memorandum" xr:uid="{6754BEA8-8337-4974-9490-32EA8171C003}"/>
    <hyperlink ref="E840" r:id="rId780" display="https://acf.gov/occ/resource/im-2012-01" xr:uid="{EBAD79A0-2CB0-41D5-A065-CB5D7719FD98}"/>
    <hyperlink ref="E841" r:id="rId781" display="https://acf.gov/occ/resource/im2011-06" xr:uid="{A476E910-3894-4BA0-B20E-6687776DD1AD}"/>
    <hyperlink ref="E842" r:id="rId782" display="https://acf.gov/archive/occ/policy-guidance/background-checks-health-and-safety-requirements-ccdf-plan" xr:uid="{A4DE1C07-A58A-43D9-AFEF-26C97C766422}"/>
    <hyperlink ref="E843" r:id="rId783" display="https://acf.gov/occ/resource/im-2011-04" xr:uid="{2F90F4F4-3813-4B20-9E21-B8502B7FBBBA}"/>
    <hyperlink ref="E844" r:id="rId784" display="https://acf.gov/occ/resource/im2011-03" xr:uid="{91EDA8B1-49A2-4C44-8ADE-D4E13BCE3C68}"/>
    <hyperlink ref="E845" r:id="rId785" display="https://acf.gov/occ/resource/im-child-welfare" xr:uid="{11A7A8B7-D2FF-487D-937A-9EDC60E0B9D3}"/>
    <hyperlink ref="E809" r:id="rId786" display="https://acf.gov/archive/occ/policy-guidance/fy-2011-tribal-application-plan-procedures-ccdf-grantees-0" xr:uid="{F5A9B1E6-8CA1-4B65-A296-C3DDBDBEA6E4}"/>
    <hyperlink ref="E846" r:id="rId787" display="https://acf.gov/occ/resource/im-2010-02" xr:uid="{934CC0CD-16B3-42F5-8C62-00402362BC67}"/>
    <hyperlink ref="E847" r:id="rId788" display="https://acf.gov/occ/policy-guidance/child-care-and-development-fund-ccdf-acf-im-2010-01" xr:uid="{ECE20100-1C0B-47DD-BE9B-E2A7B29C83B9}"/>
    <hyperlink ref="E848" r:id="rId789" display="https://acf.gov/occ/resource/ccdf-acf-im-09-01" xr:uid="{8E481F99-384E-4734-BBAE-1F3ED6C1345E}"/>
    <hyperlink ref="E849" r:id="rId790" display="https://acf.gov/occ/policy-guidance/acyf-im-cc-05-03" xr:uid="{2DA3D81B-A0B7-42AF-B4AE-5E398C7A7573}"/>
    <hyperlink ref="E850" r:id="rId791" display="https://acf.gov/occ/policy-guidance/acyf-im-cc-05-02" xr:uid="{5616397C-8055-46A6-95F8-B4E5585D3B53}"/>
    <hyperlink ref="E851" r:id="rId792" display="https://acf.gov/occ/resource/im-cc-03-01" xr:uid="{85AE96FE-F528-4858-BA68-5EF86CB11D36}"/>
    <hyperlink ref="E819" r:id="rId793" display="https://acf.gov/occ/policy-guidance/arp-act-increased-mandatory-and-matching-funds" xr:uid="{2597A98C-C9A3-4D34-9444-8F880315685F}"/>
    <hyperlink ref="E852" r:id="rId794" display="https://acf.gov/occ/resource/ccdf-acf-piq-2018-01" xr:uid="{BFF6BAAB-C143-4491-9862-B50FB3875BEC}"/>
    <hyperlink ref="E853" r:id="rId795" display="https://acf.gov/occ/resource/ccdf-acf-piq-2017-01" xr:uid="{1170D494-C670-402F-854B-7C7B6D9D5792}"/>
    <hyperlink ref="E854" r:id="rId796" display="https://acf.gov/occ/resource/piq-cc-99-01" xr:uid="{355E7E2F-9991-451B-A13F-C7427A1FDD37}"/>
    <hyperlink ref="E855" r:id="rId797" display="https://acf.gov/occ/resource/piq2012-01" xr:uid="{897C0DD2-D146-4EDF-BE40-BD6BC288DE55}"/>
    <hyperlink ref="E856" r:id="rId798" display="https://acf.gov/occ/resource/111-312-states" xr:uid="{A6525FA5-A75E-4638-B31D-A8E56944437F}"/>
    <hyperlink ref="E857" r:id="rId799" display="https://acf.gov/occ/resource/111-312-tribes" xr:uid="{A9724C8A-A12B-4357-B283-5561F301F32A}"/>
    <hyperlink ref="E858" r:id="rId800" display="https://acf.gov/occ/policy-guidance/parental-choice-provisions-included-ccdf-regulations" xr:uid="{5DC62016-1ACE-4466-A31F-622375C2FB60}"/>
    <hyperlink ref="E859" r:id="rId801" display="https://www.hhs.gov/guidance/sites/default/files/hhs-guidance-documents/pq9902.pdf" xr:uid="{BCCDE1FE-B18D-405E-89BA-31F7E73759E6}"/>
    <hyperlink ref="E860" r:id="rId802" display="https://acf.gov/occ/resource/piq-acyf-piq-cc-97-01" xr:uid="{7CA52DBB-42E9-49A6-8A92-9FBE3728F70D}"/>
    <hyperlink ref="E861" r:id="rId803" display="https://acf.gov/occ/policy-guidance/acf-800-annual-aggregate-report-instructions-acf-occ-ccdf-pi-2025-08" xr:uid="{13CD08B6-5B7D-4158-B2CB-C54C127872F1}"/>
    <hyperlink ref="E862" r:id="rId804" display="https://acf.gov/occ/policy-guidance/ffy-2025-tribal-annual-report-acf-occ-ccdf-pi-2025-10" xr:uid="{867C91B4-0BB8-47A0-B7A4-489C0191E4DD}"/>
    <hyperlink ref="E863" r:id="rId805" display="https://acf.gov/occ/policy-guidance/disaster-funds-2023-2024-acf-occ-ccdf-pi-2025-06" xr:uid="{7AC95339-2133-44AB-8B2F-B8E047B83A07}"/>
    <hyperlink ref="E864" r:id="rId806" display="https://acf.gov/occ/policy-guidance/financial-reporting-tribes-acf696t-acf-occ-pi-2025-05" xr:uid="{DB91E86F-0813-49F6-ADEE-F30A3A60FFEC}"/>
    <hyperlink ref="E865" r:id="rId807" display="https://acf.gov/occ/policy-guidance/cost-methodologies-evaluation-criteria-acf-occ-ccdf-pi-25-04" xr:uid="{C0184956-89A4-4C1C-BF31-54341189A020}"/>
    <hyperlink ref="E866" r:id="rId808" display="https://acf.gov/occ/policy-guidance/submit-tribal-ccdf-plan-2026-2028-acf-occ-ccdf-pi-2025-03" xr:uid="{B49017FD-D3BB-4CA9-93F1-F2167282E29C}"/>
    <hyperlink ref="D867" r:id="rId809" display="https://acf.gov/occ/policy-guidance/guidance-tribal-lead-agencies-ccdf-eligibility-final-rule-acf-occ-ccdf-pi-25-02" xr:uid="{DF87863A-D485-4A18-8A13-002445ABBE9A}"/>
    <hyperlink ref="D868" r:id="rId810" display="https://acf.gov/occ/policy-guidance/ffy-2024-tribal-annual-report-acf-occ-ccdf-pi-24-08" xr:uid="{F0ADCDB5-6BB9-41C5-9E97-371D60B11E1A}"/>
    <hyperlink ref="D869" r:id="rId811" display="https://acf.gov/archive/occ/policy-guidance/quality-progress-report-acf-218-ffy-2024-ccdf-acf-pi-2024-07" xr:uid="{4A81B472-4C70-4277-93FF-31392038BBE3}"/>
    <hyperlink ref="D870" r:id="rId812" display="https://acf.gov/occ/policy-guidance/acf-696-form-ccdf-acf-pi-2024-06" xr:uid="{F65A1951-134A-43DA-B8D6-3799F4F40C74}"/>
    <hyperlink ref="D871" r:id="rId813" display="https://acf.gov/occ/policy-guidance/guidance-tribal-lead-agencies-2024-ccdf-final-rule-provisions-and-waiver" xr:uid="{0E228E0B-2FEF-40F6-BAE9-60AE82F7C84A}"/>
    <hyperlink ref="D872" r:id="rId814" display="https://acf.gov/occ/policy-guidance/ccdf-triennial-child-count-ffy-2026-2028-ccdf-acf-pi-2024-04" xr:uid="{84235C54-0A63-4180-A5C7-EFBE947B50C6}"/>
    <hyperlink ref="D873" r:id="rId815" display="https://acf.gov/occ/policy-guidance/2024-ccdf-final-rule-transitional-waiver-flexibilities-acf-occ-ccdf-pi-24-03" xr:uid="{093CDF0D-A2E3-4ED1-B2C3-23EA51BF9604}"/>
    <hyperlink ref="D874" r:id="rId816" display="https://acf.gov/occ/policy-guidance/supplemental-funds-disaster-recovery-implementation-grants-ccdf-acf-pi-2024-02" xr:uid="{8414A992-162C-43C4-BFFF-E482CE2C5243}"/>
    <hyperlink ref="D875" r:id="rId817" display="https://acf.gov/occ/policy-guidance/fy-2025-2027-ccdf-plan-states-and-territories-ccdf-acf-pi-2024-01" xr:uid="{2AB70F51-2591-40A9-8B60-1E4471B302BD}"/>
    <hyperlink ref="D876" r:id="rId818" display="https://acf.gov/occ/policy-guidance/policy-guidance/financial-reporting-tribes-ccdf-acf-pi-2023-05" xr:uid="{97DB6126-60AF-48B1-9C56-1A01D8A4FF2E}"/>
    <hyperlink ref="D877" r:id="rId819" display="https://acf.gov/occ/policy-guidance/ffy-2023-tribal-annual-report-ccdf-acf-pi-2023-04" xr:uid="{585A0947-C0F2-4388-A3C0-2DF5F150B6E5}"/>
    <hyperlink ref="D878" r:id="rId820" display="https://acf.gov/occ/policy-guidance/qpr-acf-218-ccdf-ffy-2023-pi-2023-03" xr:uid="{95F32E78-3E80-462E-8698-D63149ACB204}"/>
    <hyperlink ref="D879" r:id="rId821" display="https://acf.gov/occ/policy-guidance/supplemental-funds-child-care-disaster-recovery-planning-grants-hurricanes" xr:uid="{BCCD9BC2-88AE-4B90-BC45-8BD4EA6697D8}"/>
    <hyperlink ref="D881" r:id="rId822" display="https://acf.gov/occ/policy-guidance/ccdf-acf-pi-2022-09" xr:uid="{7B6EC65E-697B-4E8F-B8B4-2B35AB363820}"/>
    <hyperlink ref="D882" r:id="rId823" display="https://acf.gov/occ/policy-guidance/ccdf-acf-pi-2022-08" xr:uid="{168970A4-C909-4C7D-8D37-8532A486B33B}"/>
    <hyperlink ref="D883" r:id="rId824" display="https://acf.gov/occ/policy-guidance/ccdf-acf-pi-2022-07" xr:uid="{267416A6-3847-48AA-9BF1-5BFDFB6D1F2A}"/>
    <hyperlink ref="D888" r:id="rId825" display="https://acf.gov/occ/policy-guidance/ccdf-acf-pi-2022-02" xr:uid="{04D5C943-B79A-4455-BBF5-F41ADBC85D30}"/>
    <hyperlink ref="D890" r:id="rId826" display="https://acf.gov/occ/policy-guidance/ccdf-acf-pi-2021-08" xr:uid="{5F50A0B6-AB80-4CE6-94C8-E9773797C032}"/>
    <hyperlink ref="D891" r:id="rId827" display="https://acf.gov/occ/policy-guidance/ccdf-acf-pi-2021-07" xr:uid="{DAA8A24A-B08C-40F6-A518-14408B7F6973}"/>
    <hyperlink ref="D892" r:id="rId828" display="https://acf.gov/occ/policy-guidance/ccdf-acf-pi-2021-06" xr:uid="{F857F806-D265-4D8D-84CD-4A42102AF0BE}"/>
    <hyperlink ref="D893" r:id="rId829" display="https://acf.gov/occ/policy-guidance/ccdf-acf-pi-2021-05" xr:uid="{E08680EC-23EF-4D0A-8224-AB3145E1D7B4}"/>
    <hyperlink ref="D894" r:id="rId830" display="https://acf.gov/occ/policy-guidance/ccdf-acf-pi-2021-04" xr:uid="{E17E3CCA-CE20-423F-B55C-9BA2734611AA}"/>
    <hyperlink ref="D895" r:id="rId831" display="https://acf.gov/occ/policy-guidance/ccdf-acf-pi-2021-03" xr:uid="{D804F792-63CE-443E-A9F8-93532CE25C80}"/>
    <hyperlink ref="D896" r:id="rId832" display="https://acf.gov/occ/policy-guidance/ffy2022-2024-ccdf-plan-preprint-states-and-territories" xr:uid="{55B3BB7E-EF0A-40A1-97A3-40B56320CF6F}"/>
    <hyperlink ref="D897" r:id="rId833" display="https://acf.gov/occ/policy-guidance/planned-use-child-care-and-development-fund-ccdf-coronavirus-response-and" xr:uid="{D8910AA9-79E8-43B8-AA49-51342C6AF06D}"/>
    <hyperlink ref="D900" r:id="rId834" display="https://acf.gov/occ/resource/ccdf-acf-pi-2020-06" xr:uid="{23A4F949-0FB2-4A9F-B68A-0D710B116731}"/>
    <hyperlink ref="D901" r:id="rId835" display="https://acf.gov/occ/resource/ccdf-acf-pi-2020-05" xr:uid="{7D58565F-8AF2-4603-A5C0-229F651847C3}"/>
    <hyperlink ref="D902" r:id="rId836" display="https://acf.gov/occ/resource/ccdf-acf-pi-2020-04" xr:uid="{AB64FCC7-C9DF-41CC-B4B4-B616CB49C8A0}"/>
    <hyperlink ref="D903" r:id="rId837" display="https://acf.gov/occ/resource/ccdf-acf-pi-2020-03" xr:uid="{D0A16861-AD31-482B-BDC2-A9DA6CCB888D}"/>
    <hyperlink ref="D906" r:id="rId838" display="https://acf.gov/occ/resource/ccdf-acf-pi-2019-09" xr:uid="{1BE5BEFC-72DA-4FA9-8153-A1CCC847377E}"/>
    <hyperlink ref="D907" r:id="rId839" display="https://acf.gov/occ/resource/ccdf-acf-pi-2019-08" xr:uid="{E5C3B150-4F16-48CD-B76D-D43006362F71}"/>
    <hyperlink ref="D908" r:id="rId840" display="https://acf.gov/occ/resource/ccdf-acf-pi-2019-07" xr:uid="{CC994431-89ED-4954-8278-55201176D0AF}"/>
    <hyperlink ref="D914" r:id="rId841" display="https://acf.gov/occ/resource/ccdf-acf-pi-2019-01" xr:uid="{5052CAEE-5F82-4B3F-8A8A-0B704B36267B}"/>
    <hyperlink ref="D915" r:id="rId842" display="https://acf.gov/occ/resource/ccdf-acf-pi-2018-04" xr:uid="{362DF8CE-7A85-4478-9ED6-B102562E7807}"/>
    <hyperlink ref="D916" r:id="rId843" display="https://acf.gov/occ/resource/ccdf-acf-pi-2018-03" xr:uid="{E1175E39-5203-44B1-AC73-AC00C37F628A}"/>
    <hyperlink ref="D919" r:id="rId844" display="https://acf.gov/occ/resource/ccdf-acf-pi-2017-06" xr:uid="{94FFD78C-6DB8-4B64-A028-DCA26DFB3D0B}"/>
    <hyperlink ref="D920" r:id="rId845" display="https://acf.gov/occ/resource/ccdf-acf-pi-2017-05" xr:uid="{CC10CBF3-F68B-4AB8-B109-BB805437A9C0}"/>
    <hyperlink ref="D921" r:id="rId846" display="https://acf.gov/occ/resource/ccdf-acf-pi-2017-04" xr:uid="{CC5880DA-825A-417C-AEC1-D5D238D4BA46}"/>
    <hyperlink ref="D923" r:id="rId847" display="https://acf.gov/occ/resource/ccdf-acf-pi-2017-02" xr:uid="{213F4A9D-7D62-4772-B3E0-D400C2CDAE98}"/>
    <hyperlink ref="D924" r:id="rId848" display="https://acf.gov/occ/resource/ccdf-acf-pi-2017-01" xr:uid="{27CA15AF-3B94-42C5-B564-50F5ACE30206}"/>
    <hyperlink ref="D927" r:id="rId849" display="https://acf.gov/occ/resource/ccdf-acf-pi-2016-06" xr:uid="{AA4767B7-BC3F-48D5-A07C-E75F510633D0}"/>
    <hyperlink ref="D930" r:id="rId850" display="https://acf.gov/archive/occ/policy-guidance/resource/ccdf-acf-pi-2016-03" xr:uid="{81106DF8-1285-445E-9C1A-93BAB0476C28}"/>
    <hyperlink ref="D933" r:id="rId851" display="https://acf.gov/archive/occ/policy-guidance/resource/pi-2015-09" xr:uid="{7FBE5ADC-1D89-4782-8D0E-57884C762ECB}"/>
    <hyperlink ref="D934" r:id="rId852" display="https://acf.gov/occ/resource/pi2015-08" xr:uid="{0B96CDE1-DFB5-40FF-BE9A-E0BD14A51E39}"/>
    <hyperlink ref="D935" r:id="rId853" display="https://acf.gov/archive/occ/policy-guidance/resource/pi-2015-07" xr:uid="{D120B961-4556-4E85-BF1B-7D51EEE758E1}"/>
    <hyperlink ref="D937" r:id="rId854" display="https://acf.gov/archive/occ/policy-guidance/resource/pi-2015-05" xr:uid="{87FD2F5F-068C-4722-B3B7-119735E9D1F3}"/>
    <hyperlink ref="D938" r:id="rId855" display="https://acf.gov/occ/resource/guidance-on-extension-and-submission-requirements-for-the-fy-20162018-ccdf-plans-for-states-and-territories" xr:uid="{1FE215A7-AC45-4280-937E-5CE08DA61523}"/>
    <hyperlink ref="D943" r:id="rId856" display="https://acf.gov/occ/resource/pi2014-04" xr:uid="{16079918-ACB5-4013-A443-B61DEC84941E}"/>
    <hyperlink ref="D945" r:id="rId857" display="https://acf.gov/archive/occ/policy-guidance/resource/pi-2014-02" xr:uid="{091D3187-2571-4719-8398-16AB7E5F848B}"/>
    <hyperlink ref="D946" r:id="rId858" display="https://acf.gov/archive/occ/policy-guidance/program-instruction-ccdf-acf-pi-2014-01" xr:uid="{8B795803-9FE7-4ADA-82FE-38910B863BD5}"/>
    <hyperlink ref="D947" r:id="rId859" display="https://acf.gov/occ/resource/pi2013-08" xr:uid="{678AA8CF-3D84-4E92-9D3C-57661302AC91}"/>
    <hyperlink ref="D948" r:id="rId860" display="https://acf.gov/archive/occ/policy-guidance/program-instruction-ccdf-acf-pi-2013-07" xr:uid="{ABACE7E6-0F04-4635-B17F-34C6FD666620}"/>
    <hyperlink ref="E949" r:id="rId861" display="https://acf.gov/occ/resource/pi2013-06" xr:uid="{3D59CBE9-40B6-4A95-98D0-082DE3C55885}"/>
    <hyperlink ref="D950" r:id="rId862" display="https://acf.gov/occ/resource/pi-2013-05" xr:uid="{3B294B9C-C8F0-4B73-852F-1C09E5E6D42C}"/>
    <hyperlink ref="E951" r:id="rId863" display="https://acf.gov/archive/occ/policy-guidance/consolidating-ccdf-under-102-477-indian-employment-training-and-related" xr:uid="{C32F6499-85AE-4F3D-83CF-33E47F34B9A7}"/>
    <hyperlink ref="E952" r:id="rId864" display="https://acf.gov/archive/occ/policy-guidance/program-instruction-ccdf-acf-pi-2013-03" xr:uid="{9EDFC7CC-DBBC-41E5-B913-0CA88A9211B5}"/>
    <hyperlink ref="E953" r:id="rId865" display="https://acf.gov/occ/resource/ccdf-acf-pi-2013-02" xr:uid="{08FA5359-5637-4ADC-8D4D-B25D3D22F80E}"/>
    <hyperlink ref="E954" r:id="rId866" display="https://acf.gov/occ/policy-guidance/program-instruction-ccdf-acf-pi-2012-07" xr:uid="{5220B51A-1151-40C8-8F60-232C6061E3DD}"/>
    <hyperlink ref="E955" r:id="rId867" display="https://acf.gov/occ/resource/program-instruction-ccdf-acf-pi-2012-06-ccdf-annual-report-for-tribal-lead" xr:uid="{E39203DC-1B23-4D70-BFBC-726D903B05B6}"/>
    <hyperlink ref="E956" r:id="rId868" display="https://acf.gov/occ/resource/acf-800-child-care-annual-aggregate-report-and-instructions" xr:uid="{368A70FE-BD28-4141-9394-FCB2F5983521}"/>
    <hyperlink ref="E957" r:id="rId869" display="https://acf.gov/archive/occ/policy-guidance/fy2013-child-care-and-development-fund-ccdf-tribal-mandatory-and" xr:uid="{81B34A85-1482-4037-89CA-B0489DC7B291}"/>
    <hyperlink ref="E958" r:id="rId870" display="https://acf.gov/occ/policy-guidance/ccdf-acf-pi-2012-03" xr:uid="{1B8C4817-B617-457D-B3F2-77FD78E0C94F}"/>
    <hyperlink ref="E959" r:id="rId871" display="https://acf.gov/occ/resource/program-instruction-ccdf-acf-pi-2012-02" xr:uid="{E64565EC-D74F-4050-A5A6-F7E2CBF0394D}"/>
    <hyperlink ref="E960" r:id="rId872" display="https://acf.gov/occ/resource/pi-2012-01" xr:uid="{1A64345C-7389-4B9D-8ACE-840A54D8DCE1}"/>
    <hyperlink ref="E961" r:id="rId873" display="https://acf.gov/occ/policy-guidance/ccdf-acf-pi-2011-05" xr:uid="{8E6D90DC-9215-42E9-84CB-2BAA6132A22D}"/>
    <hyperlink ref="E962" r:id="rId874" display="https://acf.gov/occ/resource/pi2011-04" xr:uid="{8E523719-6F23-433F-B660-CFFBC72E1C26}"/>
    <hyperlink ref="E963" r:id="rId875" display="https://acf.gov/occ/policy-guidance/ccdf-acf-pi-2011-02" xr:uid="{29E32C97-A392-46D7-847A-372CB49F1067}"/>
    <hyperlink ref="E964" r:id="rId876" display="https://acf.gov/occ/resource/pi-2011-03" xr:uid="{E8DF8FC4-DE51-43CE-8A92-8256894AD313}"/>
    <hyperlink ref="E965" r:id="rId877" display="https://acf.gov/archive/occ/policy-guidance/fy-2011-tribal-application-plan-procedures-ccdf-grantees-0" xr:uid="{BAD8170E-BBB3-4832-8DFA-D4BADD23CFAF}"/>
    <hyperlink ref="E966" r:id="rId878" display="https://acf.gov/occ/policy-guidance/ccdf-acf-pi-2010-08" xr:uid="{269F73F6-DFBE-4A60-8C28-FA50DB3ACBA8}"/>
    <hyperlink ref="E967" r:id="rId879" display="https://acf.gov/occ/resource/pi2010-07" xr:uid="{F751DDFB-9D77-4E08-9B63-F12073211868}"/>
    <hyperlink ref="E968" r:id="rId880" display="https://acf.gov/occ/policy-guidance/program-integrity-financial-accountability-access-child-care" xr:uid="{0B83DAAD-7FAB-4B86-AE78-C88C43743926}"/>
    <hyperlink ref="E969" r:id="rId881" display="https://acf.gov/archive/occ/policy-guidance/fy-2011-tribal-application-plan-procedures-ccdf-grantees" xr:uid="{A041094D-4239-459E-84E6-7CAC756458DA}"/>
    <hyperlink ref="E970" r:id="rId882" display="https://acf.gov/occ/resource/pi-2010-05" xr:uid="{66B04AFF-C1CC-4AF7-9F93-83C04948BA84}"/>
    <hyperlink ref="E971" r:id="rId883" display="https://acf.gov/occ/policy-guidance/ccdf-acf-pi-2013-01" xr:uid="{07DFA438-9B34-49CF-8CD7-915B3A19FED0}"/>
    <hyperlink ref="E972" r:id="rId884" display="https://acf.gov/occ/policy-guidance/ccdf-acf-pi-2010-03" xr:uid="{C9EFFF17-0DD8-4CB1-AC87-99717C284056}"/>
    <hyperlink ref="E973" r:id="rId885" display="https://acf.gov/occ/policy-guidance/ccdf-acf-pi-2010-02" xr:uid="{E3ADF35B-EB5C-426F-8C20-33C6CDEC636E}"/>
    <hyperlink ref="E974" r:id="rId886" display="https://acf.gov/occ/resource/pi-2010-01" xr:uid="{F36F1D1E-090B-4D4E-B339-3057092624BA}"/>
    <hyperlink ref="E975" r:id="rId887" display="https://acf.gov/occ/resource/pi2009-09" xr:uid="{AA9B85C2-886A-42AC-918C-4A5C17368C2D}"/>
    <hyperlink ref="D976" r:id="rId888" display="https://acf.gov/occ/resource/pi-2009-08" xr:uid="{916D413C-F2E2-40D4-945F-718BA6A4D691}"/>
    <hyperlink ref="E977" r:id="rId889" display="https://acf.gov/occ/resource/pi-2009-07" xr:uid="{EEFFFD83-3E7F-4E3C-BD95-A4E7D4FFFB64}"/>
    <hyperlink ref="E978" r:id="rId890" display="https://acf.gov/occ/policy-guidance/ccdf-acf-pi-2009-06" xr:uid="{6BD28959-9EA3-43BF-AEBC-E7FF9D28EB3D}"/>
    <hyperlink ref="E979" r:id="rId891" display="https://acf.gov/occ/policy-guidance/ccdf-acf-pi-2009-04" xr:uid="{0E1A84CA-57DC-46E0-BA4F-2457256C6D2B}"/>
    <hyperlink ref="D980" r:id="rId892" display="https://acf.gov/occ/resource/pi-2009-05" xr:uid="{5E5F15E0-B127-4BFC-9C09-D757A140005A}"/>
    <hyperlink ref="E981" r:id="rId893" display="https://acf.gov/occ/resource/pi-2009-03" xr:uid="{82955705-58B2-4692-B4D6-5C3D95E6397B}"/>
    <hyperlink ref="E982" r:id="rId894" display="https://acf.gov/occ/policy-guidance/ccdf-acf-pi-2009-02" xr:uid="{4D50A5F4-70D5-44D2-8A8D-F842CECDBF45}"/>
    <hyperlink ref="E983" r:id="rId895" display="https://acf.gov/occ/policy-guidance/ccdf-acf-pi-2009-01" xr:uid="{49562B3C-A435-4A44-B9F9-750057F8B166}"/>
    <hyperlink ref="E984" r:id="rId896" display="https://acf.gov/occ/resource/pi-2008-01" xr:uid="{023CDE9A-9E50-4D7C-ADE3-C1C22A66C92E}"/>
    <hyperlink ref="E985" r:id="rId897" display="https://acf.gov/occ/policy-guidance/ccdf-acf-pi-2007-08" xr:uid="{CE71E609-FB35-4073-9557-6A7E55B940A6}"/>
    <hyperlink ref="E986" r:id="rId898" display="https://acf.gov/occ/policy-guidance/pi-cc-05-02" xr:uid="{1BF01EB6-CFDA-42E2-83D3-F6D1A3011A04}"/>
    <hyperlink ref="E987" r:id="rId899" display="https://acf.gov/occ/resource/pi-cc-01-07" xr:uid="{D3DAAFE6-919E-4C4F-BAC7-79085CC05410}"/>
    <hyperlink ref="E988" r:id="rId900" display="https://acf.gov/occ/resource/pi-cc-00-04" xr:uid="{EF884E25-615F-44C2-BFE8-7101724ECBF2}"/>
    <hyperlink ref="E989" r:id="rId901" display="https://acf.gov/occ/resource/pi-cc-99-05" xr:uid="{13DAA85F-FAC1-480C-955C-65F5A4FAF4D0}"/>
    <hyperlink ref="E990" r:id="rId902" display="https://acf.gov/occ/resource/pi-cc-98-08" xr:uid="{8AF6A4A8-35BD-4ADF-816D-4798CA201622}"/>
    <hyperlink ref="D898" r:id="rId903" display="CCDF-ACF-PI-2020-08 (Archived)" xr:uid="{453781DF-5BD8-4B02-818F-FDA01CEC9635}"/>
    <hyperlink ref="E991" r:id="rId904" display="https://acf.gov/occ/training-technical-assistance/occ/training-technical-assistance/acf-800-state-level-data" xr:uid="{4CA050C9-1E69-474A-91F7-F6C5A6B2DF6C}"/>
    <hyperlink ref="E993" r:id="rId905" display="https://acf.gov/occ/training-technical-assistance/acf-801-case-level-data-standards-tb3r-v9" xr:uid="{12CC3FB8-6C1D-4B3D-BF0B-774160B10F72}"/>
    <hyperlink ref="E994" r:id="rId906" display="https://acf.gov/occ/training-technical-assistance/acf-801-case-level-file-format-tb4r-v7" xr:uid="{67BF95CF-D713-4C6C-B636-107EFB11AE8E}"/>
    <hyperlink ref="E995" r:id="rId907" display="https://acf.gov/sites/default/files/documents/occ/tb5r_v4.pdf" xr:uid="{51801BA7-4E52-4EB6-B81D-6110A061A83E}"/>
    <hyperlink ref="E998" r:id="rId908" display="https://acf.gov/occ/training-technical-assistance/ccdf-acf-801-clarifications-tb8rv7" xr:uid="{D84B2F29-FB63-4A8A-890A-35DD2B0CBF13}"/>
    <hyperlink ref="E999" r:id="rId909" display="https://acf.gov/occ/training-technical-assistance/using-acf-801-data-assessment-report-tb-9r-v6" xr:uid="{132B374C-3238-49E6-A110-A14ABCADC93E}"/>
    <hyperlink ref="E1000" r:id="rId910" display="https://acf.gov/occ/training-technical-assistance/ccdf-acf-700-clarifications-tribal-reporting-requirements-tb11rv6" xr:uid="{97E5900F-E9E2-4C2C-93FA-C28D9A70D564}"/>
    <hyperlink ref="E1001" r:id="rId911" display="https://acf.gov/occ/training-technical-assistance/ccdf-acf-700-clarifications-tb12rv3" xr:uid="{76FBFBAB-870F-4CCA-9211-FD53E5D36346}"/>
    <hyperlink ref="E1003" r:id="rId912" display="https://acf.gov/occ/training-technical-assistance/ccdf-acf-reporting-clarifications-tribal-centers-tb14rv3" xr:uid="{BAFA7ED9-385E-42E9-8F24-C84DFB077A14}"/>
    <hyperlink ref="E1004" r:id="rId913" display="https://acf.gov/occ/training-technical-assistance/technical-bulletin-17" xr:uid="{D38A01D2-7965-4349-A606-8E3E1D2BDC10}"/>
    <hyperlink ref="E1005" r:id="rId914" display="https://acf.gov/occ/faq/2024-ccdf-final-rule" xr:uid="{14EBFA8E-BDDB-4D9F-8299-8151A271515F}"/>
    <hyperlink ref="E1006" r:id="rId915" display="https://acf.gov/occ/faq/child-care-and-development-fund-final-rule-frequently-asked-questions" xr:uid="{441EA4BC-5AFD-4E39-9782-F39C520A564A}"/>
    <hyperlink ref="E1007" r:id="rId916" display="https://acf.gov/occ/faq/how-many-children-and-families-are-currently-being-served-ccdf" xr:uid="{F172DBF1-1D44-4071-8E00-DB7DDF70577F}"/>
    <hyperlink ref="E1008" r:id="rId917" display="https://acf.gov/occ/faq/what-child-care-and-development-fund-ccdf-0" xr:uid="{C7459954-50ED-4DF3-9FB0-7F753D824DA6}"/>
    <hyperlink ref="E1009" r:id="rId918" display="https://acf.gov/occ/faq/how-ccdf-plan-organized" xr:uid="{B600F49C-0EED-4F1B-943E-0E9BC264100E}"/>
    <hyperlink ref="E1010" r:id="rId919" display="https://acf.gov/occ/faq/what-does-conditional-approval-mean" xr:uid="{5430BCB2-3C3D-4204-86F4-9D3C67E4D30C}"/>
    <hyperlink ref="E1011" r:id="rId920" display="https://acf.gov/occ/faq/will-occ-continually-update-these-documents-reflect-ongoing-progress-implementation" xr:uid="{E1C02BCE-C093-4875-B7B4-1853284F8CCC}"/>
    <hyperlink ref="E1012" r:id="rId921" display="https://acf.gov/occ/faq/what-are-deadlines-implementing-new-provisions-ccdbg-act-2014" xr:uid="{810E0065-B1D7-434C-8FD6-8B3628092BDD}"/>
    <hyperlink ref="E1013" r:id="rId922" display="https://acf.gov/occ/faq/why-occ-releasing-fy-2016-2018-ccdf-plans" xr:uid="{C57F0536-32F8-4AEC-BA37-CF003888F7AC}"/>
    <hyperlink ref="E1014" r:id="rId923" display="https://acf.gov/occ/faq/what-was-occs-approach-reviewing-waiver-requests" xr:uid="{199798F0-A795-432B-BCDE-07C97CE58099}"/>
    <hyperlink ref="E1015" r:id="rId924" display="https://acf.gov/occ/faq/has-final-rule-been-issued-implement-ccdbg-act" xr:uid="{74AEB9C8-AA7D-4C31-A4D8-2090B5DFD8EB}"/>
    <hyperlink ref="E1016" r:id="rId925" display="https://acf.gov/occ/faq/what-items-are-included-fy-2016-2018-ccdf-plans" xr:uid="{F2689792-27BE-4DB7-B505-561BB7F32E98}"/>
    <hyperlink ref="E1017" r:id="rId926" display="https://acf.gov/occ/faq/what-are-waiver-requests" xr:uid="{4A0066C9-0D78-410D-9E66-290EFAC46228}"/>
    <hyperlink ref="E1018" r:id="rId927" display="https://acf.gov/occ/faq/why-does-conditional-approval-plan-not-constitute-final-determination-regarding-payment" xr:uid="{A39BBF3E-1640-421E-9B5A-A23F063BFA54}"/>
    <hyperlink ref="E1019" r:id="rId928" display="https://acf.gov/occ/faq/who-should-be-contacted-if-we-have-questions-about-ccdf-plan" xr:uid="{662BB3CE-BC6B-41AE-B510-47D1175B03A4}"/>
    <hyperlink ref="E1020" r:id="rId929" display="https://acf.gov/occ/faq/how-will-new-law-help-working-low-income-parents-achieve-financial-stability" xr:uid="{5B4D6624-39A1-42AB-ADE3-46CF81A42C0C}"/>
    <hyperlink ref="E1021" r:id="rId930" display="https://acf.gov/occ/faq/how-does-reauthorization-change-funding-ccdf-program" xr:uid="{A6EF7021-7FE2-4697-B85A-794B4A495842}"/>
    <hyperlink ref="E1022" r:id="rId931" display="https://acf.gov/occ/faq/how-does-tribal-plan-extension-impact-102-477-tribes" xr:uid="{C2B93F39-EEF9-4031-A2A8-CE58B8FDAB7C}"/>
    <hyperlink ref="E1023" r:id="rId932" display="https://acf.gov/occ/faq/what-new-requirement-graduated-phase-out-assistance" xr:uid="{49586CD8-A2C8-49FD-BCC1-DB268B04266A}"/>
    <hyperlink ref="E1024" r:id="rId933" display="https://acf.gov/occ/faq/what-does-it-mean-not-unduly-disrupt-employment" xr:uid="{C6BFA566-46F8-4947-AB79-FC861C3A7267}"/>
    <hyperlink ref="E1025" r:id="rId934" display="https://acf.gov/occ/faq/what-does-it-mean-market-rate-survey-be-statistically-valid-and-reliable" xr:uid="{1DB782FF-9326-4F5F-8E3A-FB6A08C2FAF3}"/>
    <hyperlink ref="E1026" r:id="rId935" display="https://acf.gov/occ/faq/does-law-still-allow-states-exempt-certain-providers-licensing-requirements" xr:uid="{F782E63F-50AE-439B-8670-5A9EE99E1324}"/>
    <hyperlink ref="E1027" r:id="rId936" display="https://acf.gov/occ/faq/what-are-monitoring-requirements-new-law" xr:uid="{ACD7B478-5D88-4F2B-B97B-3CE35022D554}"/>
    <hyperlink ref="E1028" r:id="rId937" display="https://acf.gov/occ/faq/how-will-law-support-expanded-supply-quality-child-care-providers" xr:uid="{F525FA1C-BE9F-4EF6-9ACA-F0308D267D61}"/>
    <hyperlink ref="E1029" r:id="rId938" display="https://acf.gov/occ/faq/will-existing-infant-and-toddler-targeted-funds-remain-place" xr:uid="{6FF7931C-2C33-4DBA-B367-3E691828BCB5}"/>
    <hyperlink ref="E1030" r:id="rId939" display="https://acf.gov/occ/faq/what-would-make-child-care-staff-member-ineligible-employment" xr:uid="{9D60D20C-ADD9-45FB-B622-A8EA82D85C60}"/>
    <hyperlink ref="E1031" r:id="rId940" display="https://acf.gov/occ/faq/who-affected-new-law" xr:uid="{C4423261-447C-4C3B-A083-F8DA3A3F5F16}"/>
    <hyperlink ref="E1032" r:id="rId941" display="https://acf.gov/occ/faq/how-will-new-law-support-child-development-and-school-readiness" xr:uid="{4758115E-FEFF-40A0-999D-BAC899366B40}"/>
    <hyperlink ref="E1033" r:id="rId942" display="https://acf.gov/occ/faq/how-are-states-make-available-results-monitoring-and-inspections" xr:uid="{00BC6BC3-9326-49D5-A0AE-537FEBBDA992}"/>
    <hyperlink ref="E1034" r:id="rId943" display="https://acf.gov/occ/faq/do-states-have-provide-information-about-developmental-screenings" xr:uid="{82F38FB7-8E8B-4CD3-9C47-22C4902B5925}"/>
    <hyperlink ref="E1035" r:id="rId944" display="https://acf.gov/occ/faq/does-law-specify-length-time-re-determining-familys-eligibility" xr:uid="{AA87A8D3-AB5B-4B82-8FAA-1B2AEB1BAE44}"/>
    <hyperlink ref="E1036" r:id="rId945" display="https://acf.gov/occ/faq/do-special-requirements-apply-how-states-serve-homeless-families" xr:uid="{E2AC7597-5EE8-478F-92C6-3668C16FCB37}"/>
    <hyperlink ref="E1037" r:id="rId946" display="https://acf.gov/occ/faq/are-states-required-take-account-cost-providing-high-quality-child-care" xr:uid="{6064BE00-EB48-46B8-B4EE-0DE57E4EB8A2}"/>
    <hyperlink ref="E1038" r:id="rId947" display="https://acf.gov/occ/faq/does-new-law-require-group-size-limits-or-child-provider-ratios" xr:uid="{AFB635F7-CF0E-4991-8771-37B335BB4CD3}"/>
    <hyperlink ref="E1039" r:id="rId948" display="https://acf.gov/occ/faq/what-information-about-background-checks-must-states-make-publicly-available" xr:uid="{82C49E84-1A87-4DC8-82B8-17559B9A21BE}"/>
    <hyperlink ref="E1040" r:id="rId949" display="https://acf.gov/occ/faq/when-must-state-have-policies-and-procedures-background-checks-place" xr:uid="{490A4022-9360-4C4A-8564-D9C24A8EC1E5}"/>
    <hyperlink ref="E1041" r:id="rId950" display="https://acf.gov/occ/faq/how-does-law-help-build-stable-effective-early-care-and-education-workforce" xr:uid="{28C3F066-DC2D-4771-818E-0BD2F8A550F6}"/>
    <hyperlink ref="E1042" r:id="rId951" display="https://acf.gov/occ/faq/will-targeted-funds-school-age-care-child-care-resource-and-referral-remain-place" xr:uid="{2BC2505B-8E43-4310-A754-BC372EDCE04B}"/>
    <hyperlink ref="E1043" r:id="rId952" display="https://acf.gov/occ/faq/what-does-comprehensive-background-check-include-under-new-law" xr:uid="{30F8C5F1-8472-4690-812C-2ED2519E146D}"/>
    <hyperlink ref="E1044" r:id="rId953" display="https://acf.gov/occ/faq/does-acf-intend-change-or-modify-error-rate-reporting-process" xr:uid="{2115CD82-6CB9-45A6-8A0D-01D7EB5107AE}"/>
    <hyperlink ref="E1045" r:id="rId954" display="https://acf.gov/occ/faq/how-will-new-law-make-child-care-more-healthy-safe-and-high-quality" xr:uid="{E167B6EF-6FB2-4A42-B502-951DEE1D8A44}"/>
    <hyperlink ref="E1046" r:id="rId955" display="https://acf.gov/occ/faq/does-new-law-allow-states-apply-waivers" xr:uid="{984D1FC5-E1A5-45FE-A9ED-0D1F91C16485}"/>
    <hyperlink ref="E1047" r:id="rId956" display="https://acf.gov/occ/faq/how-does-ccdf-reauthorization-impact-tribal-ccdf-funding" xr:uid="{2EF733EB-50DA-4021-ADC0-7EC4E2323BDB}"/>
    <hyperlink ref="E1048" r:id="rId957" display="https://acf.gov/occ/faq/how-does-new-law-help-parents-make-more-informed-child-care-choices" xr:uid="{AF2ABAE8-7292-445D-A71B-5B71A1644EBF}"/>
    <hyperlink ref="E1049" r:id="rId958" display="https://acf.gov/occ/faq/how-timely-payment-child-care-services-defined" xr:uid="{F9CC00F6-A4FB-4E09-AFA0-EB03716039F4}"/>
    <hyperlink ref="E1050" r:id="rId959" display="https://acf.gov/occ/faq/does-new-law-include-health-and-safety-requirements-specific-topic-areas" xr:uid="{C9F2ABE8-1A96-40B0-9CF8-624B18FB5ED8}"/>
    <hyperlink ref="E1051" r:id="rId960" display="https://acf.gov/occ/faq/do-current-regulations-still-apply-and-when-will-acf-issue-new-proposed-rule" xr:uid="{34DC90BA-8107-44E8-BBB5-EEAE42675BEA}"/>
    <hyperlink ref="E1052" r:id="rId961" display="https://acf.gov/occ/faq/what-effective-dates-are-specified-law" xr:uid="{7C9EB45D-1038-45E9-AFB0-CA772976E30A}"/>
    <hyperlink ref="E1053" r:id="rId962" display="https://acf.gov/occ/faq/will-acf-be-extending-approved-tribal-plans" xr:uid="{057FA458-CDEB-46DC-A3AE-AB2F40D407A1}"/>
    <hyperlink ref="E1054" r:id="rId963" display="https://acf.gov/occ/faq/may-states-use-ccdf-child-care-resource-and-referral-ccrr-systems" xr:uid="{358D1430-F6BD-42A9-A1FA-99F30CB49F1F}"/>
    <hyperlink ref="E1055" r:id="rId964" display="https://acf.gov/occ/faq/will-states-6-month-eligibility-re-determination-period-have-change-12-months" xr:uid="{87A3E37E-3EB5-48CF-913B-9B234F15FE86}"/>
    <hyperlink ref="E1056" r:id="rId965" display="https://acf.gov/occ/faq/how-does-law-help-build-supply-high-quality-providers-caring-all-children" xr:uid="{E3C0B15E-FB9B-4108-BE20-22EFADB48432}"/>
    <hyperlink ref="E1057" r:id="rId966" display="https://acf.gov/occ/faq/does-law-allow-states-use-grants-and-contracts-build-supply-high-quality-child-care" xr:uid="{48FA5695-5A26-499C-8DD7-FF2E7A52435D}"/>
    <hyperlink ref="E1058" r:id="rId967" display="https://acf.gov/occ/faq/what-are-new-requirements-regarding-market-rate-survey-used-set-payment-rates" xr:uid="{4E3A02ED-29D0-42BF-9CD4-28DC4ED7A9C6}"/>
    <hyperlink ref="E1059" r:id="rId968" display="https://acf.gov/occ/faq/what-alternative-methodology-can-be-used-instead-market-rate-survey" xr:uid="{4F4E57E1-A555-40D3-A5BC-E7DE39362858}"/>
    <hyperlink ref="E1060" r:id="rId969" display="https://acf.gov/occ/faq/must-states-use-current-market-rate-survey-or-alternative-methodology-set-rates" xr:uid="{9100123F-7571-4AAF-A232-6634549CC39E}"/>
    <hyperlink ref="E1061" r:id="rId970" display="https://acf.gov/occ/faq/what-meant-generally-accepted-payment-practices" xr:uid="{E45B470E-C38D-429A-AC7C-B412082193B2}"/>
    <hyperlink ref="E1062" r:id="rId971" display="https://acf.gov/occ/faq/does-new-law-require-minimum-health-and-safety-trainings-ccdf-providers" xr:uid="{BE702DA4-4454-4395-AAD3-376FFFB49B68}"/>
    <hyperlink ref="E1063" r:id="rId972" display="https://acf.gov/occ/faq/are-states-required-post-results-monitoring-and-inspection-visits" xr:uid="{0CB2A691-53D2-4FB4-B82F-A82EA9D5B724}"/>
    <hyperlink ref="E1064" r:id="rId973" display="https://acf.gov/occ/faq/who-does-background-check-requirement-apply" xr:uid="{4CA76066-C79C-414E-82BD-CCEA364022B1}"/>
    <hyperlink ref="E1065" r:id="rId974" display="https://acf.gov/occ/faq/does-background-check-requirement-apply-family-child-care-providers" xr:uid="{0930EC4A-586A-409D-B837-6240B9E399B3}"/>
    <hyperlink ref="E1066" r:id="rId975" display="https://acf.gov/occ/faq/are-states-required-have-appeals-process" xr:uid="{E2535DE4-E15E-4037-A1AE-F8116B0C7F2A}"/>
    <hyperlink ref="E1067" r:id="rId976" display="https://acf.gov/occ/faq/are-states-allowed-publicly-release-results-individual-background-checks" xr:uid="{32C03D5F-2A3D-46C2-835F-CF53DD5B5F78}"/>
    <hyperlink ref="E1068" r:id="rId977" display="https://acf.gov/occ/faq/what-are-costs-comprehensive-background-check" xr:uid="{03BA1F66-4107-4270-A793-FA4F3A42F2E3}"/>
    <hyperlink ref="E1069" r:id="rId978" display="https://acf.gov/occ/faq/does-law-require-child-care-providers-acquire-credentials-receive-ccdf" xr:uid="{26FB0CF1-B236-43D0-AFD2-081D2961BEFC}"/>
    <hyperlink ref="E1070" r:id="rId979" display="https://acf.gov/occ/faq/which-quality-activities-count-toward-quality-set-aside" xr:uid="{68C7F44A-19D7-4AF1-B2B6-C9F1DF40E48E}"/>
    <hyperlink ref="E1071" r:id="rId980" display="https://acf.gov/occ/faq/how-will-changes-eligibility-change-state-processes-protect-against-improper-payments" xr:uid="{3ABAAEB6-DB9E-43C3-B8CC-2770F643609A}"/>
    <hyperlink ref="E1072" r:id="rId981" display="https://acf.gov/occ/faq/what-are-purposes-ccdf" xr:uid="{77849720-3F74-4322-A0A7-B9E89B66761A}"/>
    <hyperlink ref="E1073" r:id="rId982" display="https://acf.gov/occ/faq/how-can-i-keep-date-information-about-implementation-new-law" xr:uid="{903E22DC-E3D1-47FC-AC11-2E0F81DFC7DF}"/>
    <hyperlink ref="E1074" r:id="rId983" display="https://acf.gov/occ/faq/does-reauthorization-change-amount-mandatory-or-matching-funds" xr:uid="{A1125F50-A244-4512-A0DC-B778F8238B4C}"/>
    <hyperlink ref="E1075" r:id="rId984" display="https://acf.gov/occ/faq/what-provisions-new-law-are-effective-upon-enactment" xr:uid="{78B3ABA1-B4CB-4638-B28F-E85F4A18E6F7}"/>
    <hyperlink ref="E1076" r:id="rId985" display="https://acf.gov/occ/faq/how-will-acf-determine-compliance" xr:uid="{2C37E624-8FF8-4B55-AA23-07B1C1818978}"/>
    <hyperlink ref="E1077" r:id="rId986" display="https://acf.gov/occ/faq/what-does-ccdf-reauthorization-mean-tribes" xr:uid="{63F959CD-912C-492B-95A8-5916E563CCD2}"/>
    <hyperlink ref="E1078" r:id="rId987" display="https://acf.gov/occ/faq/what-deadline-states-post-results-inspection-reports" xr:uid="{68883BBF-ACDC-413F-B4C2-928563240FA6}"/>
    <hyperlink ref="E1079" r:id="rId988" display="https://acf.gov/occ/faq/what-information-must-states-make-available-consumer-education-website" xr:uid="{678235BD-E749-4F8F-AB79-C4251F577A3B}"/>
    <hyperlink ref="E1080" r:id="rId989" display="https://acf.gov/occ/faq/does-law-require-states-offer-families-period-job-search" xr:uid="{171C81AB-F0EE-40B5-9E6C-E3F5FA773246}"/>
    <hyperlink ref="E1081" r:id="rId990" display="https://acf.gov/occ/faq/can-homeless-children-receive-ccdf-if-they-dont-have-immunizations-or-documentation" xr:uid="{A6D5289C-8CB8-4B66-91C1-C712D175EA64}"/>
    <hyperlink ref="E1082" r:id="rId991" display="https://acf.gov/occ/faq/does-law-require-states-pay-absence-days" xr:uid="{3A181B2D-5396-43E7-885D-2404A72D55C1}"/>
    <hyperlink ref="E1083" r:id="rId992" display="https://acf.gov/occ/faq/what-are-new-child-abuse-reporting-requirements-law" xr:uid="{9F52562B-4065-4A0E-B1ED-C6009239201F}"/>
    <hyperlink ref="E1084" r:id="rId993" display="https://acf.gov/occ/faq/can-states-use-differential-monitoring-strategy" xr:uid="{343C0461-A89C-46CA-85A9-C6C18FF83B1C}"/>
    <hyperlink ref="E1085" r:id="rId994" display="https://acf.gov/occ/faq/how-often-must-background-checks-be-conducted" xr:uid="{5098F150-43DB-4717-AFA3-EB4BA7B61F39}"/>
    <hyperlink ref="E1086" r:id="rId995" display="https://acf.gov/occ/faq/are-states-required-protect-privacy-results-background-checks" xr:uid="{D18BFAF3-0DDB-4EAF-ADC0-174AE18F0DEE}"/>
    <hyperlink ref="E1087" r:id="rId996" display="https://acf.gov/occ/faq/does-quality-set-aside-apply-full-ccdf-grant-award" xr:uid="{DB0779B5-522F-4895-9ECF-7B1182B4608A}"/>
    <hyperlink ref="E1088" r:id="rId997" display="https://acf.gov/occ/faq/does-law-change-how-much-states-must-spend-quality-activities" xr:uid="{F77C0285-4786-4F73-945C-E19ABDF4BCD9}"/>
    <hyperlink ref="E1089" r:id="rId998" display="https://acf.gov/occ/faq/what-ccdf-reauthorization" xr:uid="{39AF62B5-4181-4B5E-BC59-2B2B05165668}"/>
    <hyperlink ref="L999" r:id="rId999" display="https://acf.gov/occ/training-technical-assistance/using-acf-801-data-assessment-report-tb-9r-v6" xr:uid="{C8E7183A-9282-4D64-A333-0B4822E41010}"/>
    <hyperlink ref="D1090" r:id="rId1000" display="https://acf.gov/occ/training-technical-assistance/technical-bulletin-1r-v5" xr:uid="{3E66D52C-6D11-4D1A-9BC9-911B38AB349D}"/>
    <hyperlink ref="E1091" r:id="rId1001" display="https://acf.gov/occ/policy-guidance/letter-mayors-re-ccdf-covid-19-resources" xr:uid="{792CDB7A-331C-42F7-8531-8DF2D9832C94}"/>
    <hyperlink ref="E1092" r:id="rId1002" display="https://acf.gov/occ/policy-guidance/letter-ccdf-administrators-about-legislation-guide" xr:uid="{09D64F96-A9BF-4CED-A524-65432A9F83EB}"/>
    <hyperlink ref="E1093" r:id="rId1003" display="https://acf.gov/occ/policy-guidance/letter-regarding-im-acf-oa-2020-01" xr:uid="{D7824366-07C0-48FC-9F3C-3F2196E3EA66}"/>
    <hyperlink ref="E1094" r:id="rId1004" display="https://acf.gov/occ/policy-guidance/ccdf-acf-pi-2013-01" xr:uid="{2DFCBD43-F6EA-46F5-B825-469A1A11AC9E}"/>
    <hyperlink ref="E1095" r:id="rId1005" display="https://acf.gov/occ/policy-guidance/ccdf-acf-800-form-instructions-expires-6-30-2015" xr:uid="{8B730F2C-0B75-4B52-985E-38292278B4C1}"/>
    <hyperlink ref="E1096" r:id="rId1006" display="https://acf.gov/occ/policy-guidance/draft-guidance-disaster-supplemental-funds-child-care-2023-2024" xr:uid="{1ADB64DA-AF47-4F23-828C-6569F0EE95D8}"/>
    <hyperlink ref="E904" r:id="rId1007" display="https://acf.gov/occ/policy-guidance/tribal-construction-or-major-renovation" xr:uid="{226495D1-04D0-4722-9AB5-6E193823ECB6}"/>
    <hyperlink ref="E905" r:id="rId1008" display="https://acf.gov/occ/policy-guidance/supplemental-disaster-relief-funds-child-care" xr:uid="{BB56A04D-1FC9-4B48-BA6C-929C305E962E}"/>
    <hyperlink ref="E909" r:id="rId1009" display="https://acf.gov/occ/policy-guidance/program-instruction-supplemental-disaster-funds" xr:uid="{F84DAA7D-3EC8-4B77-8306-24FC59A654AA}"/>
    <hyperlink ref="E910" r:id="rId1010" display="https://acf.gov/occ/policy-guidance/guidance-alternative-approaches-purposes-conducting-background-checks-child" xr:uid="{1371BEC4-E19E-43B4-A7A4-4E30BD2C0DF3}"/>
    <hyperlink ref="E911" r:id="rId1011" display="https://acf.gov/occ/policy-guidance/consolidate-ccdf-under-indian-employment-training-and-related-services" xr:uid="{A477003E-8573-456C-B7A2-0D79BD4CF2E9}"/>
    <hyperlink ref="E912" r:id="rId1012" display="https://acf.gov/occ/policy-guidance/fiscal-year-2020-2022-ccdf-plan-and-plan-preprint-tribes" xr:uid="{0D381095-311D-430C-B4EF-A949D8B18153}"/>
    <hyperlink ref="E913" r:id="rId1013" display="https://acf.gov/occ/policy-guidance/process-submit-child-count-declaration-form-and-definition-indian-reservation" xr:uid="{BB2B33F0-899E-4ADB-94A8-F125489D6018}"/>
    <hyperlink ref="E917" r:id="rId1014" display="https://acf.gov/occ/policy-guidance/ccdf-acf-pi-2018-02" xr:uid="{301719E9-FF8E-4CA0-904D-2D280F649F8E}"/>
    <hyperlink ref="E918" r:id="rId1015" display="https://acf.gov/occ/policy-guidance/ccdf-acf-pi-2018-01" xr:uid="{3DDEC5A5-48F0-462C-AAAC-D43CD5DB4143}"/>
    <hyperlink ref="E922" r:id="rId1016" display="https://acf.gov/occ/policy-guidance/ccdf-acf-pi-2017-03" xr:uid="{CF081C79-FCD8-4BE7-875A-64162ECCA207}"/>
    <hyperlink ref="E925" r:id="rId1017" display="https://acf.gov/occ/policy-guidance/ccdf-acf-pi-2016-08" xr:uid="{70A60622-B3A3-4C26-8138-F9403A925083}"/>
    <hyperlink ref="E926" r:id="rId1018" display="https://acf.gov/occ/policy-guidance/ccdf-acf-pi-2016-07" xr:uid="{52DFD8A3-2550-4FE9-B782-6A1A42E4174B}"/>
    <hyperlink ref="E928" r:id="rId1019" display="https://acf.gov/occ/policy-guidance/ccdf-acf-pi-2016-05" xr:uid="{93B4B032-32FC-43E5-972D-733975CDF55C}"/>
    <hyperlink ref="E929" r:id="rId1020" display="https://acf.gov/occ/policy-guidance/ccdf-acf-pi-2016-04" xr:uid="{1F3993BE-6880-4E1E-A6F5-BAF0F5D38FD7}"/>
    <hyperlink ref="E931" r:id="rId1021" display="https://acf.gov/occ/policy-guidance/program-instruction-ccdf-acf-2016-02" xr:uid="{FF632158-206D-4F9C-BE97-340EE2248FA2}"/>
    <hyperlink ref="E932" r:id="rId1022" display="https://acf.gov/occ/policy-guidance/program-instruction-ccdf-acf-2016-01" xr:uid="{06A59021-3D12-48F0-B045-A0FD8001D5A3}"/>
    <hyperlink ref="E936" r:id="rId1023" display="https://acf.gov/occ/policy-guidance/procedures-consolidate-child-care-and-development-fund-ccdf-program-other" xr:uid="{4FC235C0-4F32-497D-9FD7-87E5E034C811}"/>
    <hyperlink ref="E939" r:id="rId1024" display="https://acf.gov/occ/policy-guidance/guidance-child-care-and-development-block-grant-ccdbg-act-2014-relevant-tribes" xr:uid="{14F51FAA-8FCB-4A4A-A188-F23EEE06B046}"/>
    <hyperlink ref="E940" r:id="rId1025" display="https://acf.gov/occ/policy-guidance/program-instruction-ccdf-reauthorization-effective-dates" xr:uid="{381855AF-664D-4AC6-941F-17A068DE9172}"/>
    <hyperlink ref="E941" r:id="rId1026" display="https://acf.gov/occ/policy-guidance/uniform-administrative-requirements-cost-principles-and-audit-requirements" xr:uid="{B14557F2-88E3-4265-BCF1-B2BEDE1DD08E}"/>
    <hyperlink ref="E942" r:id="rId1027" display="https://acf.gov/occ/policy-guidance/quality-performance-report-acf-118-appendix-1-ccdf-program-fiscal-year-2014" xr:uid="{6CED59DD-EC05-4975-94E3-B6F52D84A00B}"/>
    <hyperlink ref="E944" r:id="rId1028" display="https://acf.gov/occ/policy-guidance/program-instruction-ccdf-acf-pi-2014-03" xr:uid="{82CF9405-DC0B-4B21-BB75-006BA8C3DB5D}"/>
    <hyperlink ref="E880" r:id="rId1029" display="https://acf.gov/occ/policy-guidance/ccdf-acf-pi-2023-01" xr:uid="{4F8B1D7D-E670-4C41-9DFA-B74278923B90}"/>
    <hyperlink ref="E884" r:id="rId1030" display="https://acf.gov/occ/policy-guidance/ccdf-acf-pi-2022-06" xr:uid="{72CFC4F3-7153-4081-9712-23C308824D54}"/>
    <hyperlink ref="E885" r:id="rId1031" display="https://acf.gov/occ/policy-guidance/ccdf-acf-pi-2022-05" xr:uid="{6D70CB8B-BE74-4F06-AA30-4C95D68ACBB5}"/>
    <hyperlink ref="E886" r:id="rId1032" display="https://acf.gov/occ/policy-guidance/acf-800-annual-aggregate-report-instructions-ccdf-acf-pi-2022-04" xr:uid="{2AE19837-A5DB-4AF0-B9E0-7A3E1DBC9787}"/>
    <hyperlink ref="E887" r:id="rId1033" display="https://acf.gov/occ/policy-guidance/ccdf-acf-pi-2022-03" xr:uid="{D756D9B5-226E-4743-B5C1-D6CED86C7B2B}"/>
    <hyperlink ref="E889" r:id="rId1034" display="https://acf.gov/occ/policy-guidance/ccdf-acf-pi-2022-01" xr:uid="{A42BD0E5-02E9-4DC7-AF6B-F789EB24A16B}"/>
    <hyperlink ref="E1098" r:id="rId1035" display="https://acf.gov/occ/policy-guidance/ccdf-plan-preprint-tribes-fy-2023-2025-and-paperwork-reduction-act-30-day" xr:uid="{B9374A4D-0B80-4CEF-823F-023D410ACFA1}"/>
    <hyperlink ref="E1099" r:id="rId1036" display="https://acf.gov/occ/policy-guidance/extension-acf-218-quality-progress-report-deadline" xr:uid="{F54AFA24-5706-45D2-8536-BA21A214B5B2}"/>
    <hyperlink ref="E899" r:id="rId1037" display="https://acf.gov/occ/policy-guidance/qpr-acf-218-ccdf-program-ffy-2020" xr:uid="{706B3A19-91BD-4A49-99D5-C939EDDBF929}"/>
    <hyperlink ref="E1100" r:id="rId1038" display="https://acf.gov/occ/policy-guidance/clarifications-reporting-ccdf-direct-services-acf-801-report-during-covid-19" xr:uid="{68DBC1F0-BE39-46A0-96D0-1A037EC519B7}"/>
    <hyperlink ref="E1101" r:id="rId1039" display="https://acf.gov/occ/policy-guidance/program-integrity-and-accountability-improper-payments-error-rate-review" xr:uid="{34C72EC4-C436-4861-A44C-00853B2C9390}"/>
    <hyperlink ref="E1102" r:id="rId1040" display="https://acf.gov/occ/policy-guidance/summary-child-care-provisions-coronavirus-aid-relief-and-economic-security-act" xr:uid="{713B5BD2-FC0A-4BFF-AB84-CF4C0050FE06}"/>
    <hyperlink ref="E1103" r:id="rId1041" display="https://acf.gov/occ/policy-guidance/information-about-covid-19-ccdf-lead-agencies-relevant-flexibilities-ccdf-law" xr:uid="{4DBB6257-8E6C-4BF4-B223-78C40453F3BB}"/>
    <hyperlink ref="E1104" r:id="rId1042" display="https://acf.gov/occ/policy-guidance/list-potential-options-narrow-cost-analysis" xr:uid="{8812917D-26B7-4A5E-B87D-7BE8AF037EFF}"/>
    <hyperlink ref="E782" r:id="rId1043" display="https://acf.gov/occ/policy-guidance/tribal-home-visiting-implementation-plan-guidance" xr:uid="{9E28E951-184F-4B13-927F-783F3C1477A7}"/>
    <hyperlink ref="E783" r:id="rId1044" display="https://acf.gov/occ/policy-guidance/tribal-home-visiting-implementation-plan-guidance-cohort-3" xr:uid="{76CF1D8D-BA11-4597-A1E4-D3573C829296}"/>
    <hyperlink ref="E1105" r:id="rId1045" display="https://acf.gov/occ/policy-guidance/ccdf-financial-reporting-form-acf-696-fy-2009-grant-award-arra-2009" xr:uid="{FB565FA7-9CEF-4D67-AC91-33CCDB2E6EB1}"/>
    <hyperlink ref="E1106" r:id="rId1046" display="https://acf.gov/occ/policy-guidance/policies/resources-expanding-ece-services-homeless-children-families" xr:uid="{895F76A9-2BDD-49BC-AE27-4D13C10A30E4}"/>
    <hyperlink ref="E1107" r:id="rId1047" display="https://acf.gov/occ/policy-guidance/timeliness-acf-700-data-submissions" xr:uid="{F9A64F76-8145-44F7-9103-F20A3FEC451E}"/>
    <hyperlink ref="E1108" r:id="rId1048" display="https://acf.gov/occ/policy-guidance/acf-700-reporting-tips" xr:uid="{770ACDBD-BEB7-400F-A52E-F8AE96B43CB2}"/>
    <hyperlink ref="E1109" r:id="rId1049" display="https://acf.gov/occ/policy-guidance/using-acf-700-cars" xr:uid="{E5280AF4-D09E-4977-B51D-359625CAB2BA}"/>
    <hyperlink ref="E1110" r:id="rId1050" display="https://acf.gov/occ/policy-guidance/ccdf-funding-allocations-and-periods-availability" xr:uid="{72852DE7-A1C3-400A-961F-918F5B3DE152}"/>
    <hyperlink ref="E1111" r:id="rId1051" display="https://acf.gov/occ/policy-guidance/timeliness-acf-801-data-submissions" xr:uid="{CC8E3530-6E6C-4B62-89FE-5FE9631022DF}"/>
    <hyperlink ref="E1112" r:id="rId1052" display="https://acf.gov/occ/policy-guidance/overview-case-level-reporting-states-and-territories-acf-801" xr:uid="{1942943F-5F5B-42A3-B988-5B270DFFD4AC}"/>
    <hyperlink ref="E784" r:id="rId1053" display="https://acf.gov/occ/policy-guidance/guidance-submitting-needs-assessment-and-plan-responding-identified-needs-phase" xr:uid="{54BF89B7-8D03-4EC4-9202-2DED1E79BE0B}"/>
    <hyperlink ref="E1113" r:id="rId1054" display="https://acf.gov/occ/policy-guidance/using-acf-800-data-submission-site" xr:uid="{0EBFC260-60BB-4979-85D2-B9AEF3985247}"/>
    <hyperlink ref="E1114" r:id="rId1055" display="https://acf.gov/occ/policy-guidance/acf-800-reporting-instructions/definitions" xr:uid="{8C88C1FC-AE3F-449F-AE02-E73CD285BB59}"/>
    <hyperlink ref="E1115" r:id="rId1056" display="https://acf.gov/occ/policy-guidance/acf-800-submission-site" xr:uid="{2D76ACDD-7830-4B64-AD21-69126C9BAE38}"/>
    <hyperlink ref="E1116" r:id="rId1057" display="https://acf.gov/occ/policy-guidance/state-and-territory-responses-emergency-preparedness-planning-questions-fy2010" xr:uid="{A6E09D10-D285-4891-9419-B55FD4137347}"/>
    <hyperlink ref="E1117" r:id="rId1058" display="https://acf.gov/occ/policy-guidance/fy-2014-2015-ccdf-plan-preprint" xr:uid="{DF6F20E6-2458-43ED-B950-3F0C9FB55C01}"/>
    <hyperlink ref="E1118" r:id="rId1059" display="https://acf.gov/occ/policy-guidance/cdc-issues-flu-guidance" xr:uid="{06A129A1-7E1B-4649-A367-77866A63EF52}"/>
    <hyperlink ref="E1119" r:id="rId1060" display="https://acf.gov/occ/policy-guidance/tribal-ccdf-guide-financial-management-grants-administration-and-program" xr:uid="{8D92A0EE-23FE-4712-BEE1-DF7796734D75}"/>
    <hyperlink ref="E1120" r:id="rId1061" display="https://acf.gov/occ/policy-guidance/ccdf-specific-guidance-transparency-act-requirements" xr:uid="{B48808BF-6D3C-4032-9607-D3CDCCF5BEA5}"/>
    <hyperlink ref="E1121" r:id="rId1062" display="https://acf.gov/occ/policy-guidance/child-welfare-and-child-care-partnerships-partnering-families-involved-child" xr:uid="{E389B0A4-9B0F-4714-A023-A25E4394468D}"/>
    <hyperlink ref="E1122" r:id="rId1063" display="https://acf.gov/occ/policy-guidance/disregard-federal-tax-refunds-determining-ccdf-eligibility" xr:uid="{668904AD-D04A-4FFD-B0CA-951DA6622EFC}"/>
    <hyperlink ref="E1123" r:id="rId1064" display="https://acf.gov/ocs/policy-guidance/acf-ocs-liheap-2025-01-liheap-quarterly-report-submission-fy-2025" xr:uid="{D6330F7A-5EF1-4990-A45C-C23D5C9CDABD}"/>
    <hyperlink ref="E1124" r:id="rId1065" display="https://acf.gov/ocs/policy-guidance/liheap-2025-02-liheap-performance-data-form-fiscal-year-fy-2024" xr:uid="{91562AE4-14AD-41B2-B829-23A4CF51280F}"/>
    <hyperlink ref="E1125" r:id="rId1066" display="https://acf.gov/ocs/policy-guidance/acf-ocs-liheap-2025-03-state-and-tribe-agreements" xr:uid="{D3B33274-1F69-42AC-BCE3-D021BF60EDEB}"/>
    <hyperlink ref="E1126" r:id="rId1067" display="https://acf.gov/ocs/policy-guidance/liheap-2025-04-model-plan-application-liheap-funding-federal-fiscal-year-2026" xr:uid="{6C8498AC-9DD8-4407-8090-B69D2F1AFAAD}"/>
    <hyperlink ref="E1127" r:id="rId1068" display="https://acf.gov/ocs/policy-guidance/liheap-household-report-long-form-and-short-form-federal-fiscal-year-ffy-2025" xr:uid="{B9FAE039-96F7-457C-9A24-BE8B05C96B4D}"/>
    <hyperlink ref="E1128" r:id="rId1069" display="https://acf.gov/ocs/policy-guidance/liheap-2024-01-liheap-performance-data-form-fy23" xr:uid="{9CA11C68-0126-4D73-A526-7868AB5994D7}"/>
    <hyperlink ref="E1129" r:id="rId1070" display="https://acf.gov/ocs/policy-guidance/liheap-2024-02-quarterly-report-submission-fy-2024" xr:uid="{B4FB6056-B232-4534-9377-7F995C8587FC}"/>
    <hyperlink ref="E1130" r:id="rId1071" display="https://acf.gov/ocs/policy-guidance/liheap-at2024-03-model-plan-application-funding-federal-fy-2025" xr:uid="{3C15246E-3483-4947-8BD1-B8A494644AF4}"/>
    <hyperlink ref="E1131" r:id="rId1072" display="https://acf.gov/ocs/policy-guidance/acf-ocs-liheap-2024-04-state-tribe-agreements" xr:uid="{7F47C040-EBAF-4347-9250-F07D7BFC5D50}"/>
    <hyperlink ref="E1132" r:id="rId1073" display="https://acf.gov/ocs/policy-guidance/acf-ocs-liheap-2024-05-carryover-and-reallotment-report-fy-2024" xr:uid="{121A2991-3B92-4ECC-B4DD-BB99DDDB92F4}"/>
    <hyperlink ref="E1133" r:id="rId1074" display="https://acf.gov/ocs/policy-guidance/liheap-2024-06-liheap-household-report-long-form-and-short-form-fy24" xr:uid="{2F952B1C-088B-456F-BB65-55A50CE24AEE}"/>
    <hyperlink ref="E1134" r:id="rId1075" display="https://acf.gov/ocs/policy-guidance/liheap-2023-01-liheap-household-report-short-form-and-long-form-ffy-2022" xr:uid="{4EDEF5C7-9E69-418A-A8B1-71700ECBDF6E}"/>
    <hyperlink ref="E1135" r:id="rId1076" display="https://acf.gov/ocs/policy-guidance/liheap-2023-02-performance-data-form-ffy-2022" xr:uid="{A5E85B50-3B85-418B-8D88-1FC90B86436B}"/>
    <hyperlink ref="E1136" r:id="rId1077" display="https://acf.gov/ocs/policy-guidance/liheap-2023-03-quarterly-report-submission-fy-2023" xr:uid="{CEDE6569-EB8F-4819-B820-7748EA92D21F}"/>
    <hyperlink ref="E1137" r:id="rId1078" display="https://acf.gov/ocs/policy-guidance/liheap-household-report-short-form-and-long-form-federal-fiscal-year-2023" xr:uid="{6714591C-28F9-48A5-8B2D-4BDFB8034FD3}"/>
    <hyperlink ref="E1138" r:id="rId1079" display="https://acf.gov/ocs/policy-guidance/liheap-2023-05-model-plan-application-liheap-funding-federal-fiscal-year-fy" xr:uid="{AEB66504-B52F-4A91-9AF7-0979060E25B9}"/>
    <hyperlink ref="E1139" r:id="rId1080" display="https://acf.gov/ocs/policy-guidance/liheap-2023-06-carryover-and-reallotment-report-federal-fiscal-year-2023" xr:uid="{C97F8C57-98CC-40FD-A6F8-2D97524D4A76}"/>
    <hyperlink ref="E1140" r:id="rId1081" tooltip="LIHEAP-AT-2022-01 SF-425 Federal FInancial Report Submissions FY2022" display="https://acf.gov/ocs/policy-guidance/liheap-2022-01-sf-425-submissions-fy2022" xr:uid="{F2785EDB-A216-4512-AD6B-DCC1A5333C9D}"/>
    <hyperlink ref="E1141" r:id="rId1082" display="https://acf.gov/ocs/policy-guidance/liheap-2022-02-liheap-performance-data-form-fy-2021" xr:uid="{0AADB00B-4B95-4AEB-AA0E-EAD019F69EF6}"/>
    <hyperlink ref="E1142" r:id="rId1083" display="https://acf.gov/ocs/policy-guidance/liheap-at2022-03-quarterly-report-submission-fy22" xr:uid="{914480B1-A914-4C1A-A7E8-A67B8E536FA1}"/>
    <hyperlink ref="E1143" r:id="rId1084" tooltip="LIHEAP AT 2022-04 Model Plan Application for LIHEAP Funding for Federal Fiscal Year (FY) 2023" display="https://acf.gov/ocs/policy-guidance/liheap-2022-04-model-plan-application-liheap-funding-federal-fiscal-year-fy" xr:uid="{B993ACCA-0928-4EBB-9C5F-5A9D7999C906}"/>
    <hyperlink ref="E1144" r:id="rId1085" display="https://acf.gov/ocs/policy-guidance/liheap-at2022-05-carryover-and-reallotment-report-ffy-2022" xr:uid="{EBAC948A-F2AF-4572-BD7F-DAA8AF56C4D5}"/>
    <hyperlink ref="E1145" r:id="rId1086" tooltip="LIHEAP AT-2021-01 Reinstatement without Change of the FY 2020 Residential Energy Consumption Survey (RECS)" display="https://acf.gov/ocs/policy-guidance/liheap-at2021-01-recs-2020" xr:uid="{21C459AB-D9A1-43A8-A2E4-BBCF713C335C}"/>
    <hyperlink ref="E1146" r:id="rId1087" tooltip="LIHEAP AT-2021-02 Performance Data Form for FY 2020" display="https://acf.gov/ocs/policy-guidance/liheap-2021-02-performance-data-form-fy-2020" xr:uid="{91F78562-10BB-4C28-AD71-BE9648155505}"/>
    <hyperlink ref="E1147" r:id="rId1088" tooltip="LIHEAP AT-2021-03 Model Plan AT FY2022" display="https://acf.gov/ocs/policy-guidance/liheap-2021-03-model-plan-fy2022" xr:uid="{9E1640BB-3635-4F4E-9540-25162FBC0053}"/>
    <hyperlink ref="E1148" r:id="rId1089" tooltip="LIHEAP AT-2021-04 Carryover Reallotment FY2021" display="https://acf.gov/ocs/policy-guidance/liheap-2021-04-carryoverreallot-fy2021" xr:uid="{DAC240BF-E0DA-4F76-BED2-2FF518058465}"/>
    <hyperlink ref="E1149" r:id="rId1090" tooltip="LIHEAP AT-2021-05 Household Report FY2021" display="https://acf.gov/ocs/policy-guidance/liheap-2021-05-household-report-fy2021" xr:uid="{94F1EE47-2256-43C8-A78E-81A753C2B28C}"/>
    <hyperlink ref="E1150" r:id="rId1091" tooltip="LIHEAP Performance Data Form for Fiscal Year (FY) 2019" display="https://acf.gov/ocs/resource/liheap-at-2020-01-performance-data-form-for-fy-2019" xr:uid="{B18004D2-3D6D-4D7D-8DDB-1D910FDADA4C}"/>
    <hyperlink ref="E1151" r:id="rId1092" tooltip="Household Report Long and Short Form FY 2019" display="https://acf.gov/ocs/resource/liheap-at-2020-02-household-report-short-and-long-form-fy-2019" xr:uid="{8D49A508-3BD7-4929-BADD-4FDED8AA612B}"/>
    <hyperlink ref="E1152" r:id="rId1093" tooltip="Carryover and Reallotment Report FY 2019" display="https://acf.gov/ocs/resource/liheap-at-2020-03-carryover-and-reallotment-report-fy-2019" xr:uid="{F197EA6F-DD36-4B95-8FC0-0AC095340E26}"/>
    <hyperlink ref="E1153" r:id="rId1094" tooltip="Model Plan Application for Funding FY 2021" display="https://acf.gov/ocs/resource/liheap-at-2020-04-model-plan-application-for-funding-for-fy-21" xr:uid="{925B8FAC-06C9-4800-8D45-06ECDB01A5C5}"/>
    <hyperlink ref="E1154" r:id="rId1095" tooltip="Carryover and Reallotment Report FY 2020" display="https://acf.gov/ocs/resource/liheap-at-2020-05-carryover-and-reallotment-report-fy-2020" xr:uid="{58A07200-E0B1-4491-9908-F5A8E36DBEB0}"/>
    <hyperlink ref="E1155" r:id="rId1096" tooltip="Household Report Long and Short Form FY 2020" display="https://acf.gov/ocs/resource/liheap-at-2020-06-household-report-long-and-short-form-fy20" xr:uid="{7C34B1CF-26BB-4E3D-84C0-FD4992E75236}"/>
    <hyperlink ref="E1156" r:id="rId1097" tooltip="Standard Form (SF) 425 for Federal Fiscal Year (FFY) 2020" display="https://acf.gov/ocs/policy-guidance/liheap-2020-07-standard-form-sf-425-federal-fiscal-year-ffy-2020" xr:uid="{32DB8C4F-A84E-44B7-9C9B-43022DFC77C7}"/>
    <hyperlink ref="E1157" r:id="rId1098" tooltip="LIHEAP Performance Data Form for Fiscal Year (FY) 2018" display="https://acf.gov/ocs/resource/liheap-action-transmittal-2019-01-performance-data-form-for-fiscal-year-2018" xr:uid="{B19CCCB0-CD73-439E-A58B-D81F0786A956}"/>
    <hyperlink ref="E1158" r:id="rId1099" tooltip="Household Report Long and Short Form FY 2018" display="https://acf.gov/ocs/resource/liheap-at-2019-02-household-report-short-form-and-long-form-for-fy-2018" xr:uid="{F261C212-6B1A-432C-A112-F5CBCCD9F777}"/>
    <hyperlink ref="E1159" r:id="rId1100" tooltip="Model Plan Application for LIHEAP Funding for Fiscal Year (FY) 2020" display="https://acf.gov/ocs/resource/liheap/at-2019-03-modelplan-fy20" xr:uid="{CB204851-6ACF-43E5-A4D4-E4D2D523947E}"/>
    <hyperlink ref="E1160" r:id="rId1101" tooltip="Model Plan Application for LIHEAP Funding for Fiscal Year (FY) 2018" display="https://acf.gov/ocs/resource/liheap-at-2018-01-model-plan-application-for-fy2018-funding" xr:uid="{64B80F44-6EFE-45EB-8DE0-83D3BA68CCEB}"/>
    <hyperlink ref="E1161" r:id="rId1102" tooltip="Household Report Short Form and Long Form for Federal Fiscal Year (FY) 2017" display="https://acf.gov/ocs/resource/action-transmittal-2018-02-household-report-short-form-and-long-form-for-fy-2017" xr:uid="{30548F8C-B719-41DA-8B82-0A668BD3ADAC}"/>
    <hyperlink ref="E1162" r:id="rId1103" tooltip="Revised FFY 2017 LIHEAP Carryover and Reallotment Report" display="https://acf.gov/ocs/resource/action-transmittal-2018-03-revised-ffy-2017-liheap-carryover-and-reallotment-report" xr:uid="{11AD6026-E5AF-44B3-B2AE-D23DD6E564A7}"/>
    <hyperlink ref="E1163" r:id="rId1104" tooltip="LIHEAP Performance Data Form for Fiscal Year (FY) 2017" display="https://acf.gov/ocs/resource/at-2018-04-liheap-performance-data-form-for-fy-2017" xr:uid="{3907476B-F72F-49FE-A72E-5FE27149BCA9}"/>
    <hyperlink ref="E1164" r:id="rId1105" tooltip="Model Plan Application for LIHEAP Funding for Fiscal Year 2019" display="https://acf.gov/ocs/resource/model-plan-application-for-liheap-funding-for-fiscal-year-2019" xr:uid="{D5171F2D-BBD5-4C9C-B208-221AF7DDC7AC}"/>
    <hyperlink ref="E1165" r:id="rId1106" tooltip="LIHEAP Performance Data Form for Fiscal Year 2017" display="https://acf.gov/ocs/resource/performance-data-form-fiscal-year-2017" xr:uid="{751443FC-9C83-44E1-A714-5F38248C1E6A}"/>
    <hyperlink ref="E1166" r:id="rId1107" tooltip="FY 2016 Carryover and Reallotment Report" display="https://acf.gov/ocs/resource/liheap-fy-2016-carryover-and-reallotment-report" xr:uid="{ACA6933C-76D8-4C74-9DE4-B5237E614E00}"/>
    <hyperlink ref="E1167" r:id="rId1108" tooltip="LIHEAP Performance Data Form for Fiscal Year (FY) 2016" display="https://acf.gov/ocs/resource/liheap-performance-data-form-for-fiscal-year-fy-2016" xr:uid="{8DBB431A-B55E-4A28-B495-8F89C6817E31}"/>
    <hyperlink ref="E1168" r:id="rId1109" tooltip="2015 RECS LIHEAP Household Administrative Data Matching" display="https://acf.gov/ocs/resource/2015-recs-liheap-household-administrative-data-matching" xr:uid="{A2E3B84F-473E-420E-A4A6-6B4B4C111445}"/>
    <hyperlink ref="E1169" r:id="rId1110" tooltip="Model Plan Application for LIHEAP Funding for Fiscal Year (FY) 2018 (Application deadline TBD)" display="https://acf.gov/ocs/resource/at-2017-04-model-plan-application-fy-2018" xr:uid="{32C4226E-2281-40F8-B387-7AFFD0EAD16A}"/>
    <hyperlink ref="E1170" r:id="rId1111" tooltip="FY 2015 Carryover and Reallotment Report" display="https://acf.gov/ocs/resource/liheap-at-2016-01-fy-2015-carryover-and-reallotment-report" xr:uid="{BE9AA8D9-A71D-4E5D-BCDF-1F74681DDBBF}"/>
    <hyperlink ref="E1171" r:id="rId1112" tooltip="LIHEAP Household Report Short Form and Long Form for Federal Fiscal Year (FY) 2015" display="https://acf.gov/ocs/resource/liheap-action-transmittal-2016-02-on-fy-2015-hhr" xr:uid="{D543DA53-6C0B-4838-9063-38CE52CC45E6}"/>
    <hyperlink ref="E1172" r:id="rId1113" tooltip="LIHEAP Performance Data Form for Fiscal Year (FY) 2015" display="https://acf.gov/ocs/resource/liheap-at-2016-03-performance-data-form-for-fy-2015" xr:uid="{DB3C228B-4102-49F7-B1AE-E23AB76D4F63}"/>
    <hyperlink ref="E1173" r:id="rId1114" tooltip="LIHEAP Performance Data Form Revised Instructions for Fiscal Year 2015" display="https://acf.gov/ocs/resource/liheap-performance-data-form-for-federal-fiscal-year-2015" xr:uid="{66154E24-2168-419D-8D29-C282AE73E539}"/>
    <hyperlink ref="E1174" r:id="rId1115" tooltip="Revised Reporting Instructions for the LIHEAP Household Report" display="https://acf.gov/ocs/resource/liheap-revised-reporting-instructions-for-the-household-report-fy-2015" xr:uid="{2DF0C6E4-5252-44EA-9A5C-8DAC426CB579}"/>
    <hyperlink ref="E1175" r:id="rId1116" tooltip="Model Plan Application for Funding for FY 2017 (All Applications Due September 1, 2016" display="https://acf.gov/ocs/resource/liheap-at-2016-06-model-plan-application-for-liheap-funding-for-fy-2017" xr:uid="{3C9C307A-D742-48BD-B7BB-83A5A12DAFFC}"/>
    <hyperlink ref="E1176" r:id="rId1117" tooltip="Correction Needed to LIHEAP Grantee Survey for Federal Fiscal Year (FFY) 2013" display="https://acf.gov/ocs/resource/liheap-at-2014-06-correction-needed-to-grantee-survey-for-fy-2013" xr:uid="{CF2BF465-1AF7-4620-AD66-FD633A633616}"/>
    <hyperlink ref="E1177" r:id="rId1118" tooltip="LIHEAP Performance Data Form for Fiscal Year (FY) 2014" display="https://acf.gov/ocs/resource/liheap-at-2015-2-performance-data-form-for-fy-2014" xr:uid="{7823785D-103B-44F3-96C0-F358D69B47CD}"/>
    <hyperlink ref="E1178" r:id="rId1119" tooltip="Model Plan Application for LIHEAP Funding for Fiscal Year (FY) 2016 (All Applications due September 1, 2015)" display="https://acf.gov/ocs/resource/liheap-at-on-model-plan-application-funding-for-fy-2016" xr:uid="{A9E7349A-EC03-4710-94D6-B66622C11178}"/>
    <hyperlink ref="E1179" r:id="rId1120" tooltip="LIHEAP Grantee Survey for Federal Fiscal Year (FFY) 2013" display="https://acf.gov/ocs/resource/liheap-action-transmittal-2014-1-grantee-survey-for-fiscal-year-2013" xr:uid="{44C7597E-B479-4645-BC05-B7C10521CA32}"/>
    <hyperlink ref="E1180" r:id="rId1121" tooltip="LIHEAP Carryover and Reallotment Report" display="https://acf.gov/ocs/resource/liheap-action-transmittal-2014-2" xr:uid="{F2A02859-B72F-4A74-B61A-B6A7ED53F279}"/>
    <hyperlink ref="E1181" r:id="rId1122" tooltip="LIHEAP Model Plan Application for FY 2015" display="https://acf.gov/ocs/resource/liheap-at-model-plan-application-for-liheap-funding-fy2015" xr:uid="{CD57767E-2739-4BEB-B204-2B0D3DC9CC86}"/>
    <hyperlink ref="E1182" r:id="rId1123" tooltip="Estimates of Quarterly Obligations for the Fiscal Year (FY) 2015 Low Income Home Energy Assistance Program (LIHEAP)" display="https://acf.gov/ocs/resource/liheap-at-2014-4-estimates-of-quarterly-obligations-for-fy-2015" xr:uid="{653BD742-6C57-4B61-AF03-11B48C04807D}"/>
    <hyperlink ref="E1183" r:id="rId1124" tooltip="LIHEAP Household Report for Federal Fiscal Year (FFY) 2014 - Short Form and Long Form" display="https://acf.gov/ocs/resource/liheap-at-2014-5-household-report-for-fy-2014" xr:uid="{A2A9818C-451D-4BAF-8011-62682BBBAB5A}"/>
    <hyperlink ref="E1184" r:id="rId1125" tooltip="LIHEAP Grantee Survey for Federal Fiscal Year (FFY) 2012" display="https://acf.gov/ocs/resource/ffy-2012-grantee-survey" xr:uid="{49FF44C4-AC74-4940-9B0B-FFED47149C46}"/>
    <hyperlink ref="E1185" r:id="rId1126" tooltip="Financial Reporting Requirements for All LIHEAP Grantees - SF 425 Report" display="https://acf.gov/ocs/resource/financial-reporting-requirement-for-all-liheap-grantees-sf-425-report-0" xr:uid="{EE0D289C-677D-4C2A-BB85-92657277D93C}"/>
    <hyperlink ref="E1186" r:id="rId1127" tooltip="Carryover and Reallotment Report" display="https://acf.gov/ocs/resource/carryover-and-reallotment-report-2013" xr:uid="{04D34703-1FC5-44B7-97C9-06DCD22D4A4A}"/>
    <hyperlink ref="E1187" r:id="rId1128" tooltip="LIHEAP Household Report for Federal Fiscal Year (FFY) 2013" display="https://acf.gov/ocs/resource/liheap-household-report-for-federal-fiscal-year-2013" xr:uid="{2BD8730A-B38D-4C82-8A46-8A10597AF8AD}"/>
    <hyperlink ref="E1188" r:id="rId1129" tooltip="LIHEAP Application Requirements for FY 2014 and Deadline for All Applications of September 1, 2013" display="https://acf.gov/ocs/resource/liheap-application-requirements-for-fy-2014" xr:uid="{A1A358CB-F479-4422-A38A-2A3F0705CD78}"/>
    <hyperlink ref="E1189" r:id="rId1130" tooltip="Estimates of Quarterly Obligations for the Fiscal Year (FY) 2013 Low Income Home Energy Assistance Program (LIHEAP)" display="https://acf.gov/ocs/resource/estimates-of-quarterly-obligations-for-the-fiscal-year-fy-2013" xr:uid="{64B7D6C6-3DDD-4437-B200-94A03A4A152D}"/>
    <hyperlink ref="E1190" r:id="rId1131" tooltip="Financial Reporting Requirement for All LIHEAP Grantees--SF 425 Report" display="https://acf.gov/ocs/resource/financial-reporting-requirement-for-all-liheap-grantees-sf-425-report" xr:uid="{6F9DDB21-B72E-46E2-B9D7-057BE99D62A9}"/>
    <hyperlink ref="E1191" r:id="rId1132" tooltip="LIHEAP Grantee Survey for Federal Fiscal Year (FFY) 2011" display="https://acf.gov/ocs/resource/grantee-survey-for-federal-fiscal-year-2011" xr:uid="{76C85BE7-D184-4E78-96C4-322613809BF4}"/>
    <hyperlink ref="E1192" r:id="rId1133" tooltip="Request for FY 2012 Applications for the Residential Energy Assistance Challenge Program (REACH)" display="https://acf.gov/ocs/resource/request-for-fy-2012-applications-for-the-residential-energy-assistance" xr:uid="{584AE347-B500-4CA1-BC3B-0EE3A2A24F26}"/>
    <hyperlink ref="E1193" r:id="rId1134" tooltip="Carryover and Reallotment Report 2012" display="https://acf.gov/ocs/resource/fiscal-year-2012-carryover-and-reallotment-report" xr:uid="{33152F40-DDC1-4474-A24F-522B87A78379}"/>
    <hyperlink ref="E1194" r:id="rId1135" tooltip="LIHEAP Application Requirements for FY 2013 and Deadline of September 4, 2012 for All Applications" display="https://acf.gov/ocs/resource/liheap-application-requirements-for-fy-2013" xr:uid="{F14D8392-B3F4-4B35-B62C-2F2B74D28424}"/>
    <hyperlink ref="E1195" r:id="rId1136" tooltip="Estimates of Quarterly Obligations for the Fiscal Year (FY) 2013 Low Income Home Energy Assistance Program (LIHEAP)" display="https://acf.gov/ocs/resource/estimates-of-quarterly-obligations-for-the-fiscal-year-2013" xr:uid="{DBFE0A76-094A-424C-B1B9-9DC2A29DC13F}"/>
    <hyperlink ref="E1196" r:id="rId1137" tooltip="Household Report for FFY 2012-Short Form and Long Form" display="https://acf.gov/ocs/resource/household-report-for-ffy-2012-short-form-and-long-form" xr:uid="{76E30B11-8AE7-47C2-BB44-3E7D029E5391}"/>
    <hyperlink ref="E1197" r:id="rId1138" tooltip="LIHEAP Grantee Survey for Federal Fiscal Year (FFY) 2010" display="https://acf.gov/ocs/resource/fiscal-year-2010-liheap-grantee-survey" xr:uid="{71AB1F4E-0A93-49BA-B6D9-39E80D64EFD4}"/>
    <hyperlink ref="E1198" r:id="rId1139" tooltip="Financial Reporting Requirement for All LIHEAP Grantees — SF 269A Report" display="https://acf.gov/ocs/resource/financial-reporting-requirement-for-all-liheap-grantees-sf-269a-report" xr:uid="{9D83AD0B-601D-4899-AEDE-D068F8374C07}"/>
    <hyperlink ref="E1199" r:id="rId1140" tooltip="Carryover and Reallotment Report" display="https://acf.gov/ocs/resource/fy-2011-carryover-and-reallotment-report" xr:uid="{FAD5DB61-5AD3-44A4-9E43-FADC9E4FBEAA}"/>
    <hyperlink ref="E1200" r:id="rId1141" tooltip="LIHEAP Application Requirements for FY 2012 and Deadline for All Applications of September 1, 2011" display="https://acf.gov/ocs/resource/liheap-application-requirements-for-fy-2012-and-deadline-for-all" xr:uid="{DAEB3926-A9AF-4EA8-A0C6-D08FCF9C1C4F}"/>
    <hyperlink ref="E1201" r:id="rId1142" tooltip="Estimates of Quarterly Obligations for the Fiscal Year (FY) 2012 Low Income Home Energy Assistance Program (LIHEAP)" display="https://acf.gov/ocs/resource/estimates-of-quarterly-obligations-for-the-fiscal-year-fy-2012-low-income" xr:uid="{C278CB25-2845-4DD1-AAAC-ABA6ECE23817}"/>
    <hyperlink ref="E1202" r:id="rId1143" tooltip="LIHEAP Household Report for Federal Fiscal Year (FFY) 2011" display="https://acf.gov/ocs/resource/liheap-household-report-for-federal-fiscal-year-ffy-2011" xr:uid="{41311FF2-70CE-483F-8207-C9C21AF4BA1D}"/>
    <hyperlink ref="E1203" r:id="rId1144" tooltip="Financial Reporting Requirement for All LIHEAP Grantees - SF 269A Report" display="https://acf.gov/ocs/resource/fy-2010-financial-reporting-requirement-for-all-liheap" xr:uid="{F6AAD346-7890-4E18-B074-D6F4F1D5C268}"/>
    <hyperlink ref="E1204" r:id="rId1145" tooltip="LIHEAP Grantee Survey for Federal Fiscal Year (FFY) 2009" display="https://acf.gov/ocs/resource/liheap-grantee-survey-for-federal-fiscal-year-ffy-2009" xr:uid="{29DB7E8A-8380-4113-A24E-0D07167D1049}"/>
    <hyperlink ref="E1205" r:id="rId1146" tooltip="Request for FY 2010 Applications for the Residential Energy Assistance Challenge Program (REACH)" display="https://acf.gov/ocs/resource/request-for-fy-2010-applications-for-the-residential-energy-assistance" xr:uid="{726CC9D6-301E-4317-BBFB-B8CA99D879BE}"/>
    <hyperlink ref="E1206" r:id="rId1147" tooltip="Implementing LIHEAP Outcome Performance Measures" display="https://acf.gov/ocs/resource/implementing-liheap-outcome-performance-measures" xr:uid="{022810CD-770A-4A0C-B42A-19E71A9B257C}"/>
    <hyperlink ref="E1207" r:id="rId1148" tooltip="Comments on extension of Office of Management and Budget (OMB) approval for the LIHEAP Grantee Survey" display="https://acf.gov/ocs/resource/comments-on-extension-of-office-of-management-and" xr:uid="{D5906389-B143-489F-BD82-8E33B41FA489}"/>
    <hyperlink ref="E1208" r:id="rId1149" tooltip="Plan Supplement Required for Fiscal Year (FY) 2011: LIHEAP Program Integrity Plan — Application for LIHEAP Funding" display="https://acf.gov/ocs/resource/plan-supplement-required-for-fiscal-year-2011" xr:uid="{292A18B9-34D9-474D-8A87-4586A4B5D044}"/>
    <hyperlink ref="E1209" r:id="rId1150" tooltip="State FY 2010 LIHEAP Household Administrative Data Matching" display="https://acf.gov/ocs/resource/state-fy-2010-liheap-household-administrative-data-matching" xr:uid="{55CE9E97-8D93-4B20-B99E-68BEAFBE43EB}"/>
    <hyperlink ref="E1210" r:id="rId1151" tooltip="Carryover and Reallotment Report" display="https://acf.gov/ocs/resource/carryover-and-reallotment-report-fy2010" xr:uid="{265E264E-0C89-4030-9C7E-AC3EF72F97EE}"/>
    <hyperlink ref="E1211" r:id="rId1152" tooltip="LIHEAP Household Report for Federal Fiscal Year (FFY) 2010" display="https://acf.gov/ocs/resource/liheap-household-report-for-federal-fiscal-year-ffy-2010" xr:uid="{7CA86AFE-6D47-42A0-AB76-94034ABB2CD2}"/>
    <hyperlink ref="E1212" r:id="rId1153" tooltip="LIHEAP Application Requirements for FY 2011 and Deadline for All Applications of September 1, 2010" display="https://acf.gov/ocs/liheap/guidance/action_transmittals/at10-10.html" xr:uid="{1E01DBBF-B1BB-4730-8F7E-9D2CB7E45583}"/>
    <hyperlink ref="E1213" r:id="rId1154" tooltip="Estimates of Quarterly Obligations for the Fiscal Year (FY) 2011 Low Income Home Energy Assistance Program (LIHEAP)" display="https://acf.gov/ocs/resource/liheap-estimates-of-quarterly-obligations-for-the-fiscal-2011" xr:uid="{3284AC82-97A9-4202-B456-68F61B0BA302}"/>
    <hyperlink ref="E1214" r:id="rId1155" tooltip="Submission of leveraging reports on FY 2010 leveraging activities" display="https://acf.gov/ocs/resource/submission-of-leveraging-reports-on-fy-2010-leveraging-activities-in-order" xr:uid="{D098A9E6-F57B-4FEF-A858-FE8CE01FAF9C}"/>
    <hyperlink ref="E1215" r:id="rId1156" display="https://acf.gov/ocs/policy-guidance/liheap-dcl-2025-01-first-funding-release-ffy-2025" xr:uid="{366499C6-EF60-45AB-B6DB-CB6C9CA9898A}"/>
    <hyperlink ref="E1216" r:id="rId1157" display="https://acf.gov/ocs/policy-guidance/liheap-dcl-2025-02-final-funding-release-federal-fiscal-year-2025" xr:uid="{B7D29332-8B1C-4233-B9F5-8694F48687A9}"/>
    <hyperlink ref="E1217" r:id="rId1158" display="https://acf.gov/ocs/policy-guidance/liheap-dcl-2024-02-proposed-changes-liheap-model-plan-application-fy-25" xr:uid="{215573EF-3268-43D2-8D03-2FD3590F5529}"/>
    <hyperlink ref="E1218" r:id="rId1159" display="https://acf.gov/ocs/policy-guidance/liheap-dcl-2024-02-first-liheap-funding-announced-award-fy-2024" xr:uid="{194374E2-E275-436D-8FA6-BDFE19D1D74E}"/>
    <hyperlink ref="E1219" r:id="rId1160" display="https://acf.gov/ocs/policy-guidance/liheap-dcl-2024-03-third-party-data-verification-liheap-applications-webinar" xr:uid="{A1CA1986-F2C7-4B96-B3C7-193669909AC0}"/>
    <hyperlink ref="E1220" r:id="rId1161" display="https://acf.gov/ocs/policy-guidance/acf-ocs-liheap-dcl-2024-04-energy-assistance-day" xr:uid="{E7D1EB53-E2DC-4DAE-86F7-4BB2BCAA0740}"/>
    <hyperlink ref="E1221" r:id="rId1162" display="https://acf.gov/ocs/policy-guidance/liheap-dcl-2024-three-year-anniversary-american-rescue-plan-act" xr:uid="{2B5FE8A0-BF13-4F32-923F-4C4A647E8A4F}"/>
    <hyperlink ref="E1222" r:id="rId1163" display="https://acf.gov/ocs/policy-guidance/liheap-dcl-2024-06-second-release-federal-fiscal-year-funds-fy24" xr:uid="{3A1F85D6-36E9-4391-A67C-23B656EE4A3E}"/>
    <hyperlink ref="E1223" r:id="rId1164" display="https://acf.gov/ocs/policy-guidance/acf-ocs-liheap-dcl-2024-07-third-funding-release-fy-2024" xr:uid="{72421CBB-6A5F-4F88-9D68-410BD9E09BBA}"/>
    <hyperlink ref="E1224" r:id="rId1165" display="https://acf.gov/ocs/policy-guidance/training-and-technical-assistance-planning-t/ta-fy25" xr:uid="{82435973-382E-4D6B-9153-B69FD9BECCE3}"/>
    <hyperlink ref="E1225" r:id="rId1166" display="https://acf.gov/ocs/policy-guidance/acf-ocs-liheap-dcl-2024-09-reallotment-federal-fiscal-year-2023" xr:uid="{5E28E54A-A04D-418C-B32D-2D924A308F78}"/>
    <hyperlink ref="E1226" r:id="rId1167" display="https://acf.gov/ocs/policy-guidance/dcl-liheap-first-funding-release-fy23" xr:uid="{F37D7F43-6AF6-4FD5-BBDF-2E0E3EA88E87}"/>
    <hyperlink ref="E1227" r:id="rId1168" display="https://acf.gov/ocs/policy-guidance/liheap-dcl-2023-02-announcing-new-dea-senior-advisor" xr:uid="{2D3AD1C1-27E2-497B-8C21-48713D641944}"/>
    <hyperlink ref="E1228" r:id="rId1169" display="https://acf.gov/ocs/policy-guidance/liheap-dcl-third-liheap-supplemental-grant-funding-release-ffy-2023" xr:uid="{92535744-38B1-48E2-9A8F-E5E71FA5F006}"/>
    <hyperlink ref="E1229" r:id="rId1170" display="https://acf.gov/ocs/policy-guidance/liheap-dcl-2023-04-upcoming/temporary-regular-liheap-block-grant-draw-down" xr:uid="{187A3A12-8A39-4E02-ACA7-E75F3A98DAA5}"/>
    <hyperlink ref="E1230" r:id="rId1171" display="https://acf.gov/ocs/policy-guidance/liheap-dcl-2023-05-third-supplemental-block-grant-funding-release-fy-2023" xr:uid="{2675164F-921A-429E-B3CF-9BC48C77B25B}"/>
    <hyperlink ref="E1231" r:id="rId1172" display="https://acf.gov/ocs/policy-guidance/liheap-dcl-2023-06-reporting-requirements-fy-2023" xr:uid="{4285AC67-64F7-4D34-AB1C-6AEAFA0CA87A}"/>
    <hyperlink ref="E1232" r:id="rId1173" display="https://acf.gov/ocs/policy-guidance/liheap-dcl-2023-07-ocs-launches-liheap-data-dashboard" xr:uid="{95ED1481-4336-4ABE-8D76-56BDF246411D}"/>
    <hyperlink ref="E1233" r:id="rId1174" display="https://acf.gov/ocs/policy-guidance/liheap-dcl-2023-08-liheap-flexibilities-during-hurricane-and-tropical-storm" xr:uid="{A19FDD50-712F-44A8-AE7F-6C96E1874C18}"/>
    <hyperlink ref="E1234" r:id="rId1175" display="https://acf.gov/ocs/policy-guidance/liheap-dcl-2023-09-introducing-new-division-energy-assistance-leaders" xr:uid="{8057E937-2362-4F71-9722-446E561DFAD5}"/>
    <hyperlink ref="E1235" r:id="rId1176" display="https://acf.gov/ocs/policy-guidance/liheap-dcl-2023-10-fy-23-and-first-quarter-fy-24-liheap-monitoring-review" xr:uid="{3AC6A123-A0ED-4304-8D13-7C43C77448F6}"/>
    <hyperlink ref="E1236" r:id="rId1177" display="https://acf.gov/ocs/policy-guidance/fourth-fy-2023-liheap-funding-release" xr:uid="{1C4BC257-ED4F-42E9-9FDA-F443BAE27836}"/>
    <hyperlink ref="E1237" r:id="rId1178" display="https://acf.gov/ocs/policy-guidance/liheap-data-dashboard-update" xr:uid="{DB5DFC68-D6AF-482E-B6D8-9798F7D1D6FE}"/>
    <hyperlink ref="E1238" r:id="rId1179" display="https://acf.gov/ocs/policy-guidance/liheap-dcl-2023-13-energy-efficiency-month-webinar" xr:uid="{44536E69-E133-43C9-8049-DD9E4ED285C4}"/>
    <hyperlink ref="E1239" r:id="rId1180" display="https://acf.gov/ocs/policy-guidance/liheap-dcl-2023-14-application-streamline-and-electronic-verification-asev" xr:uid="{828DFE01-09C3-4C3B-886C-0ECB3FF465DC}"/>
    <hyperlink ref="E1240" r:id="rId1181" display="https://acf.gov/ocs/policy-guidance/liheap-dcl-2023-15-reallotment-liheap-funds-ffy-2022" xr:uid="{931BE79F-0535-4CCC-A156-820392F0CED8}"/>
    <hyperlink ref="E1241" r:id="rId1182" display="https://acf.gov/ocs/policy-guidance/liheap-dcl-2022-01-first-funding-release-fy-2022" xr:uid="{5C95AC97-D19A-4E96-AD37-5C96D36D4D22}"/>
    <hyperlink ref="E1242" r:id="rId1183" display="https://acf.gov/ocs/policy-guidance/liheap-dcl-2022-02-training-and-technical-assistance-opportunities-guidance" xr:uid="{4C1F4FB3-91DF-40B3-94AC-5379E078EDAB}"/>
    <hyperlink ref="E1243" r:id="rId1184" display="https://acf.gov/ocs/policy-guidance/liheap-dcl-2022-03-preparation-data-collection-and-reporting-enhancements" xr:uid="{182D7CA8-6661-45EE-B516-42FAC26ED19D}"/>
    <hyperlink ref="E1244" r:id="rId1185" display="https://acf.gov/ocs/policy-guidance/liheap-dcl-2022-04-additional-training-opportunities-guidance-emergency-rental" xr:uid="{F9FD3446-226E-486F-9C19-DA90AAC2E71C}"/>
    <hyperlink ref="E1245" r:id="rId1186" tooltip="Infrastructure Funding Release FY2022" display="https://acf.gov/ocs/policy-guidance/liheap-dcl-2022-05-infrastructure-funding-release-fy2022" xr:uid="{71B7E488-9EA8-4A69-A4C9-FF7237436DFC}"/>
    <hyperlink ref="E1246" r:id="rId1187" tooltip="National Energy Assistance Day FY2022" display="https://acf.gov/ocs/policy-guidance/liheap-dcl-2022-06-national-energy-assistance-day-fy2022" xr:uid="{B24D86A0-E229-4152-A85A-592E599EB203}"/>
    <hyperlink ref="E1247" r:id="rId1188" display="https://acf.gov/ocs/policy-guidance/liheap-dcl-2022-07-additional-uses-administrative-data-collected-2020-recs-data" xr:uid="{1BB644E8-4B79-4736-BB04-825282061928}"/>
    <hyperlink ref="E1248" r:id="rId1189" display="https://acf.gov/ocs/policy-guidance/liheap-dcl-2022-08-preparation-liheap-quarterly-performance-and-management-data" xr:uid="{66375D43-87A8-4384-AB06-C537DFFA00BE}"/>
    <hyperlink ref="E1249" r:id="rId1190" display="https://acf.gov/ocs/policy-guidance/liheap-dcl-2022-09-training/technical-assistance-opportunities-quarterly" xr:uid="{9FAD2074-D3CF-4AF0-B832-AC17BA43C179}"/>
    <hyperlink ref="E1250" r:id="rId1191" display="https://acf.gov/ocs/policy-guidance/liheap-dcl-2022-10-second-non-supplemental-block-grant-funding-release-fy-22" xr:uid="{64A036E5-23D4-4DAC-88B7-82AA488AB66E}"/>
    <hyperlink ref="E1251" r:id="rId1192" tooltip="LIHEAP DCL-2022-11 Heat Stress FY2022" display="https://acf.gov/ocs/policy-guidance/liheap-dcl-2022-11-heat-stress-fy2022" xr:uid="{79F02C2A-DFBC-4392-8FAC-7A2851AD253C}"/>
    <hyperlink ref="E1252" r:id="rId1193" tooltip="LIHEAP DCL-2022-12 Heat Stress Webinars FY2022" display="https://acf.gov/ocs/policy-guidance/liheap-dcl-2022-12-heat-stress-webinars-fy2022" xr:uid="{66273A84-9542-4B50-9C1D-D392DB8BBC35}"/>
    <hyperlink ref="E1253" r:id="rId1194" display="https://acf.gov/ocs/policy-guidance/liheap-dcl-2022-13-third/final-fy-2022-liheap-non-supplemental-funding-release" xr:uid="{5BE92583-D40E-4A08-A8DD-64443780C5D5}"/>
    <hyperlink ref="E1254" r:id="rId1195" tooltip="LIHEAP DCL-2022-14 Reallotment of FFY 2021 LIHEAP Funds FY2022" display="https://acf.gov/ocs/policy-guidance/liheap-dcl-2022-14-reallotment-ffy-2021-liheap-funds-fy2022" xr:uid="{9E1AD7E5-AB32-42AC-B16B-23D9BD645092}"/>
    <hyperlink ref="E1255" r:id="rId1196" display="https://acf.gov/ocs/policy-guidance/ocs-dcl-2023-04-liheap-heating-season-toolkit-fy2023" xr:uid="{83166BBD-463E-447C-93DE-518B361B8AA5}"/>
    <hyperlink ref="E1256" r:id="rId1197" display="https://acf.gov/ocs/policy-guidance/ocs-dcl-2022-15-ocs-relaunches-customer-facing-energy-help-website-fy2022" xr:uid="{79199396-69BD-4A95-A172-37B9A74AF0A4}"/>
    <hyperlink ref="E1257" r:id="rId1198" tooltip="FY 2021 Funding Release" display="https://acf.gov/ocs/resource/liheap-dcl-2020-01-funding-release-fy-21" xr:uid="{88D15D1C-BD14-4976-A869-80C3E3EFBA8D}"/>
    <hyperlink ref="E1258" r:id="rId1199" tooltip="National LIHEAP Grantee Virtual Training Conference FY21" display="https://acf.gov/ocs/policy-guidance/liheap-dcl-2021-02-fy-2021-national-liheap-grantee-virtual-training-conference" xr:uid="{18D9E91A-DA2D-4DF3-9084-A9F8900F4A82}"/>
    <hyperlink ref="E1259" r:id="rId1200" tooltip="LIHEAP Flexibilities During Winter Storm" display="https://acf.gov/ocs/policy-guidance/liheap-dcl-2021-03-liheap-flexibilities-during-winter-storm" xr:uid="{F233B6B9-D9B2-47C4-9401-D2579E54E9C5}"/>
    <hyperlink ref="E1260" r:id="rId1201" tooltip="Second FY 2021 LIHEAP Funding Release" display="https://acf.gov/ocs/policy-guidance/liheap-dcl-2021-04-second-funding-release-fy-2021" xr:uid="{CCBCCB30-52AB-4918-9986-C1754B8DA394}"/>
    <hyperlink ref="E1261" r:id="rId1202" tooltip="FY 2021 Supplemental LIHEAP Funding Release under the American Rescue Plan Act of 2021" display="https://acf.gov/ocs/policy-guidance/liheap-dcl-2021-05-supplemental-funding-release-fy-21" xr:uid="{3A65E985-6238-4BA2-8E9C-828EB335C3D1}"/>
    <hyperlink ref="E1262" r:id="rId1203" tooltip="Call for Action: 40th Anniversary of Low Income Home Energy Assistance Program (LIHEAP) #LIHEAP40" display="https://acf.gov/ocs/policy-guidance/liheapdcl-2021-07-40th-anniversary" xr:uid="{E8D179CD-8633-4809-ABD4-EB86BDB38692}"/>
    <hyperlink ref="E1263" r:id="rId1204" tooltip="LIHEAP DCL 2021-11 Reallotment of Federal Fiscal Year (FFY) 2020 LIHEAP Funds" display="https://acf.gov/ocs/policy-guidance/liheap-dcl-2021-11-reallotment-federal-fiscal-year-ffy-2020-liheap-funds" xr:uid="{63A73905-C673-4D30-9F09-98B78DC9C64F}"/>
    <hyperlink ref="E1264" r:id="rId1205" tooltip="Flex-Hurricane-Season FY2021" display="https://acf.gov/ocs/policy-guidance/liheap-dcl-2021-09-flex-hurricane-season-fy2021" xr:uid="{BB8D0FC4-7E14-4CD5-8C71-1A655E65F868}"/>
    <hyperlink ref="E1265" r:id="rId1206" tooltip="American Customer Satisfaction Index Survey on LIHEAP T&amp;TA" display="https://acf.gov/ocs/resource/liheap-dcl-american-customer-satisfaction-index-survey-on-tta" xr:uid="{22631D59-9655-40ED-AF4C-E166C61F5734}"/>
    <hyperlink ref="E1266" r:id="rId1207" tooltip="LIHEAP DCL Funding Release FY 2020" display="https://acf.gov/ocs/resource/liheap-dcl-funding-release-fy20" xr:uid="{59BDADBD-4F3B-47E2-B80D-0D574C837A88}"/>
    <hyperlink ref="E1267" r:id="rId1208" tooltip="FY 2020 Compliance Review Monitoring Schedule" display="https://acf.gov/ocs/resource/liheap-dcl-compliance-review-monitoring-schedule-fy20" xr:uid="{851D01FC-5A7D-41CC-ADF0-891D41545F06}"/>
    <hyperlink ref="E1268" r:id="rId1209" tooltip="FY 2020 Second Funding Release" display="https://acf.gov/ocs/resource/liheap-dcl-second-funding-release" xr:uid="{C79D5FD2-E2A0-4F41-BEF5-A9586D39FD4B}"/>
    <hyperlink ref="E1269" r:id="rId1210" tooltip="LIHEAP DCL Third Funding Release FY 2020" display="https://acf.gov/ocs/resource/liheap-dcl" xr:uid="{C9046A92-0577-4295-A5A5-EC57FD2808A6}"/>
    <hyperlink ref="E1270" r:id="rId1211" tooltip="CARES Act Supplemental Funding FY2020" display="https://acf.gov/ocs/resource/liheap-dcl-2020-10-cares-act-supplemental-funding-release-ffy20" xr:uid="{E912670B-A91A-4AB5-965D-6121A9D76302}"/>
    <hyperlink ref="E1271" r:id="rId1212" tooltip="LIHEAP DCL 2020-12 Reallotment of Federal Fiscal Year (FFY) 2019 Funds" display="https://acf.gov/ocs/resource/liheap-dcl-2020-12-reallotment-of-federal-fiscal-year-ffy-2019-funds" xr:uid="{F1969AD5-C81D-48FF-8E0C-E709A8924819}"/>
    <hyperlink ref="E1272" r:id="rId1213" tooltip="DCL Partnership to Address the Spread of COVID-19" display="https://acf.gov/ocs/resource/liheap-dcl-partnership-to-address-the-spread-of-covid-19" xr:uid="{BC859F15-9AC8-4534-AC4F-3BC837BAED6F}"/>
    <hyperlink ref="E1273" r:id="rId1214" tooltip="ACF Grant Flexibilities in Conducting Human Service Activities Related to or Affected by COVID-19" display="https://acf.gov/ocs/resource/liheap-dcl-im-acf-oa-2020-1-acf-covid-flexibilities" xr:uid="{77728D24-3542-49DE-B78A-61182ED5563B}"/>
    <hyperlink ref="E1274" r:id="rId1215" tooltip="Initial COVID-19 Program Guidance" display="https://acf.gov/ocs/resource/liheap-dcl-initial-covid-19-program-guidance" xr:uid="{01954470-732A-4EA7-892C-697E1A89CD92}"/>
    <hyperlink ref="E1275" r:id="rId1216" tooltip="Invitation to comment on the Council on Economic Mobility’s Request for Information" display="https://acf.gov/ocs/resource/liheap-dcl-2020-11-invitation-to-comment-on-the-council-on-economic-mobilitys-request-for-information" xr:uid="{8BA2B91C-C73A-42E5-BBBB-AD7A2D502ABB}"/>
    <hyperlink ref="E1276" r:id="rId1217" tooltip="FY 2019 Regular Block Grant Funding Release" display="https://acf.gov/ocs/resource/dear-colleague-notice-on-liheap-fy-2019-funding-release" xr:uid="{FD881BB8-E4E8-4F2C-B664-2DA6D99C6B9D}"/>
    <hyperlink ref="E1277" r:id="rId1218" tooltip="FY 2019 Compliance Review Monitoring Schedule" display="https://acf.gov/ocs/resource/fy-2019-compliance-review-monitoring-schedule" xr:uid="{6B93F513-EF2B-445C-9F4B-B3FD27496A6C}"/>
    <hyperlink ref="E1278" r:id="rId1219" tooltip="New Format and Defined Use for OCS’ ATs, DCLs, and IMs" display="https://acf.gov/ocs/resource/liheap-dcl-new-format-ims-ats-dcls" xr:uid="{7D1F1F7D-7643-4884-80E0-E33A2A6BAF5D}"/>
    <hyperlink ref="E1279" r:id="rId1220" tooltip="2019 LIHEAP Training Meeting" display="https://acf.gov/ocs/resource/dcl-2019-national-liheap-training-meeting" xr:uid="{A95F9019-9FAB-4572-9394-DF3EE263E433}"/>
    <hyperlink ref="E1280" r:id="rId1221" tooltip="FY 2018 Funding Release" display="https://acf.gov/ocs/resource/fy-2018-funding-release" xr:uid="{20EF2358-BC61-4986-900F-8CEF1B4712E9}"/>
    <hyperlink ref="E1281" r:id="rId1222" tooltip="Tribal Training through Tribal Tech, LLC" display="https://acf.gov/ocs/resource/dear-colleague-notice-regarding-tribal-training-through-tribal-tech-llc" xr:uid="{69B72691-CEF7-412C-A057-D6442F8AB4E6}"/>
    <hyperlink ref="E1282" r:id="rId1223" tooltip="2018 National LIHEAP Training Meeting" display="https://acf.gov/ocs/resource/dear-colleague-notice-2018-national-liheap-training-meeting" xr:uid="{EC1871E6-A166-4E6F-891D-92C4BFA04570}"/>
    <hyperlink ref="E1283" r:id="rId1224" tooltip="FY 2018 Second and Final LIHEAP Funding Release" display="https://acf.gov/ocs/resource/fy-2018-second-and-final-liheap-funding-release" xr:uid="{1E9215D2-EF1B-45CD-AE90-3509FE18F97F}"/>
    <hyperlink ref="E1284" r:id="rId1225" tooltip="Release of Preliminary FFY 2016 and FFY 2015 LIHEAP Data" display="https://acf.gov/ocs/resource/release-of-preliminary-ffy-2016-and-ffy-2015-liheap-data" xr:uid="{BE93BCDA-8CE8-4DB5-AC4C-F39F6787AE09}"/>
    <hyperlink ref="E1285" r:id="rId1226" tooltip="Reallotment of FY 2017 LIHEAP Funding" display="https://acf.gov/ocs/resource/dear-colleague-notice-on-reallotment-of-fy-2017-liheap-funding" xr:uid="{CEC0FAF3-D307-4852-B876-F8DAD12374E7}"/>
    <hyperlink ref="E1286" r:id="rId1227" tooltip="Annual Tribal Consultation Meeting" display="https://acf.gov/sites/default/files/documents/ocs/2018_tribal_consultation_meeting.pdf" xr:uid="{0A233C4D-33FC-45B0-9C9F-98119743C75A}"/>
    <hyperlink ref="E1287" r:id="rId1228" tooltip="Release of Approximately $3.09 Billion of Regular Block Grant Funding FY 2017" display="https://acf.gov/ocs/resource/liheap-dear-colleague-notice-on-release-of-approximately-309-billion-of-regular-block-grant-funding-fy-2017" xr:uid="{0C331D23-A5F6-4B8D-9346-D6A4B51A5180}"/>
    <hyperlink ref="E1288" r:id="rId1229" tooltip="Webinar Behind on Bills Financial Coaching Tool" display="https://acf.gov/ocs/resource/dear-colleague-notice-on-webinar-behind-on-bills-financial-coaching-tool" xr:uid="{6A7CE826-F2C9-4F39-BEB0-F94BDB341305}"/>
    <hyperlink ref="E1289" r:id="rId1230" tooltip="2017 OCS National Grantee Training Meeting" display="https://acf.gov/ocs/resource/dear-colleague-letter-2017-ocs-national-grantee-training-meetings" xr:uid="{2261A48C-78DA-4D3A-B050-0353764E5521}"/>
    <hyperlink ref="E1290" r:id="rId1231" tooltip="Announcement of the Public Launch of the Performance Management Website" display="https://acf.gov/ocs/resource/dear-colleague-letter-announcement-of-the-public-launch-of-the-liheap-performance-management-website" xr:uid="{808B056C-39C8-4B03-809D-56F741E607F7}"/>
    <hyperlink ref="E1291" r:id="rId1232" tooltip="FY 2017 Second/Final LIHEAP Funding Release" display="https://acf.gov/ocs/resource/im-2017-fy-2017-second-final-liheap-funding-release" xr:uid="{24CEAB43-3E30-4350-BB41-A101D1B9AFFD}"/>
    <hyperlink ref="E1292" r:id="rId1233" tooltip="Release of Reallotment Funds from FY 2016" display="https://acf.gov/ocs/resource/liheap-dear-collegue-notice-on-fy-2016-liheap-reallotment-in-fy-2017" xr:uid="{7C26C990-C477-498A-AF69-952314BEE677}"/>
    <hyperlink ref="E1293" r:id="rId1234" tooltip="Reallotment of FY 2014 LIHEAP Funds" display="https://acf.gov/ocs/resource/liheap-dear-colleague-notice-on-reallotment-of-fy-2014-funds" xr:uid="{0AD7A8F1-B98E-47D6-97A6-EF33C157B565}"/>
    <hyperlink ref="E1294" r:id="rId1235" tooltip="FY 2016 Funding Release" display="https://acf.gov/ocs/resource/liheap-dear-colleague-notice-fy-2016-funding-release" xr:uid="{3089F2A6-4EB0-492C-8EBA-902CFB6015A2}"/>
    <hyperlink ref="E1295" r:id="rId1236" tooltip="2015 Native Heritage Youth Empowerment" display="https://acf.gov/ocs/resource/dear-colleague-notice-on-native-heritage-youth-empowerment" xr:uid="{68BF5A79-6FC1-4E3A-A4E0-3DFA483A2ECE}"/>
    <hyperlink ref="E1297" r:id="rId1237" tooltip="Grantee Participation at a 2016 LIHEAP Regional Conference Strongly Encouraged" display="https://acf.gov/ocs/resource/liheap-dear-colleague-notice-on-grantee-participation-at-the-2016-regional-conference" xr:uid="{DCAC5DD4-AD7D-4EE8-A784-7EFF1DB2D87A}"/>
    <hyperlink ref="E1298" r:id="rId1238" tooltip="Affordable Care Act Study" display="https://acf.gov/ocs/resource/liheap-dear-colleague-notice-on-affordable-care-act-study" xr:uid="{293390FC-6CA0-4455-BAC8-29126BAD825D}"/>
    <hyperlink ref="E1299" r:id="rId1239" tooltip="Webinar on HHS Online Community Services" display="https://acf.gov/ocs/resource/liheap-dear-colleague-notice-regarding-a-webinar-on-the-health-and-human-services-online-community" xr:uid="{99BB4B3E-A890-4A40-8732-A73783DDE236}"/>
    <hyperlink ref="E1300" r:id="rId1240" tooltip="Second FY 2016 LIHEAP Funding Release" display="https://acf.gov/ocs/resource/liheap-dear-colleague-notice-on-second-funding-release-fy-2016" xr:uid="{4A4FE91A-E8FE-4ED6-98A4-16BEF2A5D1ED}"/>
    <hyperlink ref="E1301" r:id="rId1241" tooltip="Extreme Heat Week Resources May 23-27th" display="https://acf.gov/ocs/resource/dear-colleague-notice-on-extreme-heat-week-resources" xr:uid="{46ED91C8-FC55-402D-AEB1-F172C7D2049E}"/>
    <hyperlink ref="E1302" r:id="rId1242" tooltip="LIHEAP Grantee Training and Technical Assistance" display="https://acf.gov/ocs/resource/liheap-dear-colleague-notice-on-grantee-training-and-technical-assistance" xr:uid="{F408FB20-DDED-4A83-8AFA-B1EEA786FDF0}"/>
    <hyperlink ref="E1303" r:id="rId1243" tooltip="Free Financial Capability Integration Technical Assistance Opportunity" display="https://acf.gov/ocs/resource/liheap-dear-colleague-notice-on-free-financial-capability-integration-technical-assistance-opportunity" xr:uid="{DC9D1A01-A2CD-4A89-B99A-2E4F382814E1}"/>
    <hyperlink ref="E1304" r:id="rId1244" tooltip="Summer 2016 Heat Wave and LIHEAP Assistance" display="https://acf.gov/ocs/resource/low-income-home-energy-assistance-program-liheap-grantees" xr:uid="{FCBC124A-26C1-4F05-9BB3-1BF656B89AB8}"/>
    <hyperlink ref="E1305" r:id="rId1245" tooltip="Recent Zika Virus Outbreak" display="https://acf.gov/ocs/resource/liheap-dear-colleague-on-zika-virus-outbreak" xr:uid="{68366CA4-E297-4D7B-A790-6BF51D39837F}"/>
    <hyperlink ref="E1306" r:id="rId1246" tooltip="LIHEAP FY 2016 Third Funding Release and Anticipated Reallotment" display="https://acf.gov/ocs/resource/liheapfy-2016-third-liheap-funding-release-and-anticipated-reallotment" xr:uid="{58FB4411-5F23-49B3-9348-C74180C11884}"/>
    <hyperlink ref="E1307" r:id="rId1247" tooltip="Update on the Status of Reallotment Award Letters for FY 2015" display="https://acf.gov/ocs/resource/liheap-dear-colleague-letter-with-the-amount-of-fy-2015-reallotment-funding-awarded-in-fy-2016" xr:uid="{6744A808-EE8A-4B06-9A8D-C58A0E91577F}"/>
    <hyperlink ref="E1308" r:id="rId1248" tooltip="Reallotment of FY 2015 Funds into FY 2016" display="https://acf.gov/ocs/resource/liheap-dear-colleague-notice-on-reallotment-of-fy-2015-liheap-funds-into-fy-2016" xr:uid="{59F7B02D-36EE-4601-9606-BB70D3775DB4}"/>
    <hyperlink ref="E1309" r:id="rId1249" display="https://acf.gov/ocs/resource/liheap-dear-colleague-notice-on-behind-on-bills" xr:uid="{2010AEA3-44A0-45E5-8481-2B36663450CF}"/>
    <hyperlink ref="E1310" r:id="rId1250" tooltip="Deadlines Postponed for Some FY 2015 LIHEAP Reports" display="https://acf.gov/ocs/resource/deadlines-posted-for-some-fy-2015-liheap-reports" xr:uid="{67DE1D5E-7826-4DE2-ABF5-8EE9AADBBADB}"/>
    <hyperlink ref="E1311" r:id="rId1251" tooltip="2015 LIHEAP Funding Release" display="https://acf.gov/ocs/resource/liheap-dear-colleague-letter-2015-funding-release" xr:uid="{D34A9D80-F359-4D63-B71B-CE40F40B355F}"/>
    <hyperlink ref="E1312" r:id="rId1252" tooltip="New DEA Staff" display="https://acf.gov/ocs/resource/dear-colleague-notice-on-dea-new-staff" xr:uid="{88950782-FB54-4503-83EB-6E734A138523}"/>
    <hyperlink ref="E1313" r:id="rId1253" tooltip="Information and Resources Related to Financial Capability" display="https://acf.gov/ocs/resource/dear-colleague-notice-on-information-and-resources-related-to-financial-capability" xr:uid="{22BFB581-4F96-48EA-8E6B-684E254F4B18}"/>
    <hyperlink ref="E1314" r:id="rId1254" tooltip="FY 2016 Budget" display="https://acf.gov/ocs/resource/dear-colleague-notice-on-fy-2016" xr:uid="{9F043757-FC6C-4B21-9DBA-0AE387417318}"/>
    <hyperlink ref="E1315" r:id="rId1255" tooltip="Grantee Mentoring Program" display="https://acf.gov/ocs/resource/dear-colleague-notice-on-peer-to-peer-mentoring-program" xr:uid="{8E59D37C-5C3F-4664-91B4-32CF3E20E45E}"/>
    <hyperlink ref="E1316" r:id="rId1256" tooltip="2015 Grantee Training Meeting" display="https://acf.gov/ocs/resource/liheap-dear-colleague-notice-on-grantee-national-grantee-training-meeting-2015" xr:uid="{95912D5A-2694-4AAA-9353-ECF23C983736}"/>
    <hyperlink ref="E1317" r:id="rId1257" tooltip="FY 2015 Second LIHEAP Funding Release" display="https://acf.gov/ocs/resource/liheap-dear-colleague-on-second-funding-release-fy-2015" xr:uid="{E46D6CE5-B3B9-4D48-8981-AEF846FC4332}"/>
    <hyperlink ref="E1318" r:id="rId1258" tooltip="Reminder of Deadline for Final LIHEAP Household Report Data for FFY 2014" display="https://acf.gov/ocs/resource/liheap-dear-colleaguereminder-of-deadline-for-final-liheap-household-report-data-for-ffy-2014" xr:uid="{F12FA2C8-6A76-4582-9310-34D762749AF1}"/>
    <hyperlink ref="E1319" r:id="rId1259" tooltip="LIHEAP Tribal Webinars" display="https://acf.gov/ocs/resource/liheap-dear-colleague-notice-on-tribal-webinars" xr:uid="{FA6F08A4-E442-4D83-95EE-38A75EDDE967}"/>
    <hyperlink ref="E1320" r:id="rId1260" tooltip="OMB Clearance of New LIHEAP Performance Measures and Upcoming Webinars on Federal LIHEAP Performance Reporting Requirements" display="https://acf.gov/ocs/resource/liheap-dear-colleague-notice-on-omb-clearance-of-new-performance-measures-and-upcoming-webinars" xr:uid="{C7985D1B-6424-477A-BCDA-02FE4AA72B4C}"/>
    <hyperlink ref="E1321" r:id="rId1261" tooltip="Affordable Care Act Outreach and Open Enrollment" display="https://acf.gov/ocs/resource/liheap-affordable-care-act-aca-outreach-and-enrollment" xr:uid="{9CBC13D3-E30C-43DC-8E6E-FE7FF4D2728A}"/>
    <hyperlink ref="E1322" r:id="rId1262" tooltip="Family Violence Awareness Month in October" display="https://acf.gov/ocs/resource/liheap-dear-colleague-notice-on-family-violence-awareness-month-in-october" xr:uid="{65361978-AB29-40B5-939C-D5345248FF65}"/>
    <hyperlink ref="E1323" r:id="rId1263" tooltip="Release of Approximately $3.05 Billion of Regular Block Grant Funding for FY 2015" display="https://acf.gov/ocs/resource/liheap-dear-colleague-notice-to-announce-the-release-of-approximately-305-billion-of-regular-block-grant-funding-fy-2015" xr:uid="{F6F94C87-7207-4C3B-9F0A-554B66E4A709}"/>
    <hyperlink ref="E1324" r:id="rId1264" display="https://acf.gov/ocs/resource/liheap-dear-colleague-notice-on-contracts-awarded-in-september-2014" xr:uid="{AD4E49CA-85F6-4A7F-8F86-5C039F2C5ACA}"/>
    <hyperlink ref="E1325" r:id="rId1265" display="https://acf.gov/ocs/resource/liheap-dear-colleague-notice-on-plan-and-oldc-system-updates" xr:uid="{6CB85F04-3B07-4FAA-9C5F-BE67CD33AA99}"/>
    <hyperlink ref="E1326" r:id="rId1266" display="https://acf.gov/ocs/policy-guidance/ocs-dcl-2023-05-arp-2nd-anniversary-fy2023" xr:uid="{919B7A52-8507-47ED-97E1-9A28626A6E8C}"/>
    <hyperlink ref="E1327" r:id="rId1267" display="https://acf.gov/ocs/policy-guidance/ocs-dcl-2022-04-joint-dcl-ocs-and-acl-fy2022" xr:uid="{D8E6E8D2-F5C3-4E85-B766-D5D1D79F72F8}"/>
    <hyperlink ref="E1328" r:id="rId1268" display="https://acf.gov/ocs/policy-guidance/ocs-dcl-2022-07-arp-anniversary-fy2022" xr:uid="{B934C001-A116-4570-AEBD-BB3656E1848A}"/>
    <hyperlink ref="E1329" r:id="rId1269" tooltip="Reallotment of FY 2013 LIHEAP Funds" display="https://acf.gov/ocs/resource/liheap-dear-colleague-notice-on-reallotment-of-funds-fy-2013" xr:uid="{B1624019-B38B-472E-817D-CA694EA205CA}"/>
    <hyperlink ref="E1330" r:id="rId1270" tooltip="Release of Research Brief on Energy Assistance Funding Applications" display="https://acf.gov/ocs/resource/liheap-dear-colleague-notice-release-of-research-brief-on-energy-assistance-funding-approaches" xr:uid="{B3928885-722E-454B-A879-BCD30DE47B3E}"/>
    <hyperlink ref="E1331" r:id="rId1271" tooltip="Final FY 2014 LIHEAP Budget" display="https://acf.gov/ocs/resource/liheap-dear-colleague-notice-final-budget-for-fy-2014" xr:uid="{27462020-448A-4AEC-8D84-5E8193F912FE}"/>
    <hyperlink ref="E1332" r:id="rId1272" tooltip="Announcement of the National Energy Assistance Directors Association (NEADA) Webinars" display="https://acf.gov/ocs/resource/liheap-dear-colleague-notice-on-upcoming-webinars-conducted-by-neada" xr:uid="{7D1C8E87-F18D-4FCC-A8E0-BA96442F0A7D}"/>
    <hyperlink ref="E1333" r:id="rId1273" tooltip="Webinar on Preparing for a Federal LIHEAP Monitoring Review" display="https://acf.gov/ocs/resource/liheap-dear-colleague-notice-webinar-on-preparing-for-a-federal-liheap-monitoring-review" xr:uid="{24AE5394-93E7-4B23-B486-411802C67CDD}"/>
    <hyperlink ref="E1334" r:id="rId1274" tooltip="LIHEAP Public Comment Open on LIHEAP Activities" display="https://acf.gov/ocs/resource/liheap-dear-colleague-notice-on" xr:uid="{1DD249D1-1103-451F-B1E3-86D5E783B6FA}"/>
    <hyperlink ref="E1335" r:id="rId1275" tooltip="FY 2014 Appropriation Release of LIHEAP Regular Block Grant Funds" display="https://acf.gov/ocs/resource/liheap-dear-colleague-letter-final-fy-2014-funding-release" xr:uid="{8D1F1889-348F-4114-8DAB-BB66B8D0751A}"/>
    <hyperlink ref="E1336" r:id="rId1276" tooltip="State LIHEAP Grantee Needs Assessment on Third-Party Verification and Data Collection Capacity" display="https://acf.gov/ocs/resource/liheap-dear-colleague-state-grantees-needs-assessment-third-party" xr:uid="{535511C0-16B2-4E54-91AC-D362D62FC75E}"/>
    <hyperlink ref="E1337" r:id="rId1277" tooltip="LIHEAP Grantee Participation at a 2014 LIHEAP Regional Training Workshop Strongly Encouraged" display="https://acf.gov/ocs/resource/liheap-dear-colleague-notice-grantee-regional-training-workshop-2014" xr:uid="{9713343A-DF80-46B1-B771-DCF840E6AA5B}"/>
    <hyperlink ref="E1338" r:id="rId1278" tooltip="Revisions to the Proposed New LIHEAP Performance Measures" display="https://acf.gov/ocs/resource/liheap-dear-colleague-letter-revisions-to-the-proposed-new-liheap" xr:uid="{1CD5C9B6-2536-4542-9D80-C6CF6DBBD287}"/>
    <hyperlink ref="E1339" r:id="rId1279" tooltip="Reminder of Deadline for Final FFY 2013 Household Report Data" display="https://acf.gov/ocs/resource/liheap-dear-colleague-reminder-of-deadline-for-final-household-report-data" xr:uid="{898B0B81-4150-4C3C-A7A3-2086EF00B8BF}"/>
    <hyperlink ref="E1340" r:id="rId1280" tooltip="FY 2014 LIHEAP Allocation for Territories" display="https://acf.gov/ocs/resource/liheap-allocation-for-territories-fy-2014" xr:uid="{8E4AF802-0C47-4723-B9AC-D45A4728B1D5}"/>
    <hyperlink ref="E1341" r:id="rId1281" tooltip="Initial FY 2014 Funding Release" display="https://acf.gov/ocs/resource/liheap-dear-colleague-notice-on-the-initial-fy-2014-funding-release" xr:uid="{F3486824-6591-4F53-8A6D-393695D03FB7}"/>
    <hyperlink ref="E1342" r:id="rId1282" tooltip="LIHEAP Federal Regulations at 45 C.F.R. § 96.49 for Tribal Grantees" display="https://acf.gov/ocs/resource/liheap-federal-regulations-at-45-cfr-9649-tribes" xr:uid="{D2E6CDB7-972A-4BAD-8401-EE5615A65AC4}"/>
    <hyperlink ref="E1343" r:id="rId1283" tooltip="LIHEAP Federal Regulations at 45 C.F.R. § 96.49 for State and Territory Grantees" display="https://acf.gov/ocs/resource/liheap-regulations-45-cfr-9649-states" xr:uid="{FED6CF45-EF12-4085-B444-B30FAFA79FCE}"/>
    <hyperlink ref="E1344" r:id="rId1284" tooltip="CR Notice regarding the LIHEAP Leveraging Incentive Program" display="https://acf.gov/ocs/resource/fy-2013-leveraging-activities-once-the-final-fy-2013-liheap-appropriation" xr:uid="{755222AA-C639-47AF-BB23-92E23DDF45A1}"/>
    <hyperlink ref="E1345" r:id="rId1285" tooltip="The Office of Community Services awarded four new contracts that will help support improved program integrity in the Low Income Home Energy Assistance Program" display="https://acf.gov/ocs/resource/ocs-awarded-of-four-new-contracts-in-the-low-income-home-energy-assistance" xr:uid="{5C162B0E-C4DA-4B14-B90F-F88DB64E4814}"/>
    <hyperlink ref="E1348" r:id="rId1286" tooltip="LIHEAP Disaster Relief and Outreach in the Wake of Recent Storms and Power Outages" display="https://acf.gov/ocs/resource/liheap-disaster-relief-and-outreach-in-the-wake-of-recent-storms-and-power" xr:uid="{8DBCE088-8F5F-4571-A6EF-5C4924A995F1}"/>
    <hyperlink ref="E1350" r:id="rId1287" tooltip="Teleconference/Webinar for Tribal and Territory Grantees on Plan Requirements for the Low Income Home Energy Assistance Program (LIHEAP)" display="https://acf.gov/ocs/resource/liheap-webinar-for-tribal-and-territory-grantees-on-plan-requirements" xr:uid="{13756EF9-57B7-472B-B1E3-ECE431626796}"/>
    <hyperlink ref="E1351" r:id="rId1288" tooltip="Best Practice Exchange in Building an Effective Relationship with the Social Security Administration" display="https://acf.gov/ocs/resource/liheap-webinar-on-best-practice-exchange-in-building-an-effective" xr:uid="{56DA1609-2E4A-4DEB-863A-84C552B87A35}"/>
    <hyperlink ref="E1352" r:id="rId1289" tooltip="LIHEAP Block Grant Funds for FY 2012" display="https://acf.gov/ocs/resource/liheap-webinar-on-block-grant-funds-for-fy-2012" xr:uid="{1C184FDF-F881-42ED-B4A8-2C9AA7B1B4A1}"/>
    <hyperlink ref="E1353" r:id="rId1290" tooltip="Release of LIHEAP Funds" display="https://acf.gov/ocs/resource/liheap-webinar-on-the-release-of-liheap-funds" xr:uid="{09BBC971-1AB4-4BA4-8B65-4B44F91561A4}"/>
    <hyperlink ref="E1354" r:id="rId1291" tooltip="Additional LIHEAP funds" display="https://acf.gov/ocs/resource/liheap-webinar-on-additional-liheap-funds" xr:uid="{56712698-F8DE-4A51-B8B2-AECE8489DBB2}"/>
    <hyperlink ref="E1356" r:id="rId1292" tooltip="New LIHEAP Policy Manual and Webinar for Tribal Grantees" display="https://acf.gov/ocs/resource/liheap-webinar-on-the-new-policy-manual-for-tribal-grantees" xr:uid="{8911C862-31F3-4759-8054-EA1FD4EE7DFE}"/>
    <hyperlink ref="E1357" r:id="rId1293" tooltip="New LIHEAP Policy Manual and Webinar for State Grantees" display="https://acf.gov/ocs/resource/liheap-webinar-on-new-liheap-policy-manual-for-state-grantees" xr:uid="{2041CDEA-B4FD-4327-BB91-C921A4C31AEC}"/>
    <hyperlink ref="E1358" r:id="rId1294" tooltip="Status of FY 2012 LIHEAP Funding" display="https://acf.gov/ocs/resource/liheap-webinar-on-status-of-fy-2012-liheap-funding" xr:uid="{5FFBE1BE-DA70-41B5-A12C-52174F4663DC}"/>
    <hyperlink ref="E1359" r:id="rId1295" display="https://acf.gov/ocs/policy-guidance/acf-ocs-liheap-im-2025-01-compliance-monitoring-process-overview-and-trends-fy" xr:uid="{CB984A3D-9138-4BBA-8080-E7BE0C859146}"/>
    <hyperlink ref="E1360" r:id="rId1296" display="https://acf.gov/ocs/policy-guidance/liheap-im2025-02-federal-poverty-guidelines-and-state-median-income-estimates" xr:uid="{B8B12E87-E1AB-46C6-B25D-1872B4E425C1}"/>
    <hyperlink ref="E1361" r:id="rId1297" display="https://acf.gov/ocs/policy-guidance/liheap-compliance-monitoring-process-overview-and-trends" xr:uid="{D9F7B468-3D02-40BB-A7FE-53F61E70119D}"/>
    <hyperlink ref="E1362" r:id="rId1298" display="https://acf.gov/ocs/policy-guidance/liheap-im-2024-02-federal-poverty-guidelines-and-state-median-income-estimates" xr:uid="{C0B8F946-ABF8-4F32-98B6-2A9CF1C67AD7}"/>
    <hyperlink ref="E1363" r:id="rId1299" display="https://acf.gov/ocs/policy-guidance/liheap-im-2024-03-changes-liheap-eligibility-citizens-countries-governed" xr:uid="{3B21CAD4-C3DD-4C30-99A7-E11672F4C4B1}"/>
    <hyperlink ref="E1364" r:id="rId1300" display="https://acf.gov/ocs/policy-guidance/liheap-im-2024-04-liheap-obligations-expenditures-and-refunds" xr:uid="{F99BF745-F5E3-4807-A6A6-F90797BA5A42}"/>
    <hyperlink ref="E1365" r:id="rId1301" display="https://acf.gov/ocs/policy-guidance/liheap-im-2023-01-federal-poverty-guidelines-optional-use-ffy-2023and-mandatory" xr:uid="{753ED889-90FB-45B3-B045-2CDD80EDB5DF}"/>
    <hyperlink ref="E1366" r:id="rId1302" display="https://acf.gov/ocs/policy-guidance/liheap-im-2023-02-state-median-income-estimates-optional-use-ffy-2023-and" xr:uid="{1986E16E-A767-4795-B615-1E26AAF4DA46}"/>
    <hyperlink ref="E1367" r:id="rId1303" display="https://acf.gov/ocs/policy-guidance/liheap-im-2023-03-assistance-eligible-household-members-residing-ineligible" xr:uid="{32C61CA8-4654-47CD-BC82-C4FFE909B62F}"/>
    <hyperlink ref="E1368" r:id="rId1304" display="https://acf.gov/ocs/policy-guidance/liheap-im-2023-04-community-solar-and-liheap-considerations" xr:uid="{3187AD74-DFC1-4F21-BAC3-13D778045FA0}"/>
    <hyperlink ref="E1369" r:id="rId1305" display="https://acf.gov/ocs/policy-guidance/liheap-im-2022-01-liheap-coordination-era-during-winter-fy22" xr:uid="{ACB8AA16-6DC0-4E74-8805-D9FD29BC6556}"/>
    <hyperlink ref="E1370" r:id="rId1306" tooltip="LIHEAP IM-2022-02 Expenditures FY2022" display="https://acf.gov/ocs/policy-guidance/liheap-im-2022-02-expenditures-fy2022" xr:uid="{E1FF9D0D-6D82-41FF-8CDC-45FD43BFBC2C}"/>
    <hyperlink ref="E1371" r:id="rId1307" display="https://acf.gov/ocs/policy-guidance/liheap-im-2022-03-federal-poverty-guidelines-optional-use-ffy-2022-and" xr:uid="{5F5CADA7-C4DC-4288-88DA-F032CFA67A4A}"/>
    <hyperlink ref="E1372" r:id="rId1308" display="https://acf.gov/ocs/policy-guidance/liheap-im-2022-04-state-median-income-estimates-optional-use-ffy-2022-and" xr:uid="{C794A33F-3153-4F24-AC84-909B679CC84C}"/>
    <hyperlink ref="E1373" r:id="rId1309" display="https://acf.gov/ocs/policy-guidance/liheap-im-2022-05-cares-act-and-arp-act-funds-obligation-and-drawdown-plan" xr:uid="{85F50715-1093-48C7-91CA-DD5CA7CFF02D}"/>
    <hyperlink ref="E1374" r:id="rId1310" tooltip="LIHEAP IM-2022-06 Heat Stress Flexibilities and Resources FY2022" display="https://acf.gov/ocs/policy-guidance/liheap-im-2022-06-heat-stress-flexibilities-and-resources-fy2022" xr:uid="{26C2986D-EFD8-4913-994E-44AE4775E4AE}"/>
    <hyperlink ref="E1375" r:id="rId1311" display="https://acf.gov/ocs/policy-guidance/liheap-im2022-07-funds-appropriated-american-rescue-plan-arp-act-2021" xr:uid="{43CFF64C-CD80-43E9-9BCF-CCF70C7ABFB7}"/>
    <hyperlink ref="E1376" r:id="rId1312" tooltip="Heat Stress Flexibilities and Resources" display="https://acf.gov/ocs/policy-guidance/liheap-im-2021-01-heat-stress-flexibilities-and-resources" xr:uid="{06631555-1CAC-4450-A208-5D5EDE12DACE}"/>
    <hyperlink ref="E1377" r:id="rId1313" tooltip="Federal Poverty Guidelines for Optional Use in Federal Fiscal Year (FFY) 2021 LIHEAP and Mandatory Use in FFY 2022 LIHEAP" display="https://acf.gov/ocs/policy-guidance/liheap-im-2021-02-federal-poverty-guidelines-optional-use-federal-fiscal-year" xr:uid="{EED94B59-FF4A-446B-852C-DC8C52E29FEF}"/>
    <hyperlink ref="E1378" r:id="rId1314" tooltip="State Median Income Estimates for Optional Use in Federal Fiscal Year (FY) 2021 LIHEAP and Mandatory Use in FY 2022 LIHEAP" display="https://acf.gov/ocs/policy-guidance/liheap-im-2021-03-state-median-income-estimates-optional-use-fy-2021" xr:uid="{448D6199-8A07-4A6B-9C7C-18D1AE65A33F}"/>
    <hyperlink ref="E1379" r:id="rId1315" tooltip="LIHEAP IM-2020-01 HHS Poverty Guidelines for Optional Use in FFY 2020 and Mandatory Use in FFY 2021" display="https://acf.gov/ocs/resource/liheap-im-2020-01-hhs-poverty-guidelines-for-optional-use-in-ffy-2020-and-mandatory-use-in-ffy-2021" xr:uid="{60FB95FD-A6BB-48C0-837A-4051F4F6C18A}"/>
    <hyperlink ref="E1380" r:id="rId1316" tooltip="LIHEAP IM-2020-02 State Median Income Estimates for Optional Use in FFY 2020 and Mandatory Use FFY 2021" display="https://acf.gov/ocs/resource/liheap-im-2020-02-state-median-income-estimates-for-optional-use-fy2020-and-mandatory-use-fy2021" xr:uid="{C0E2845C-29AC-4BA5-BE64-748186F352A6}"/>
    <hyperlink ref="E1381" r:id="rId1317" tooltip="HHS Poverty Guidelines for Optional Use in Federal Fiscal Year (FFY) 2019 LIHEAP Programs and Mandatory Use in FFY 2020 LIHEAP Programs" display="https://acf.gov/ocs/resource/liheap-im2019-01-hhs-poverty-guidelines-fy2019" xr:uid="{1CEADAC6-FD21-4F56-8E0A-21B7CDC2BDE0}"/>
    <hyperlink ref="E1382" r:id="rId1318" tooltip="State Median Income Estimates for Optional Use in Federal Fiscal Year 2019 " display="https://acf.gov/ocs/resource/liheap-im-2019-02-state-median-income-estimates-fy-2019" xr:uid="{81F14AA4-9526-46C4-86B2-1971096080E0}"/>
    <hyperlink ref="E1383" r:id="rId1319" tooltip="LIHEAP Compliance Review Monitoring Schedule: FY 2018" display="https://acf.gov/ocs/resource/im-2018-01-liheap-grantee-monitoring-schedule" xr:uid="{D6D3EA36-1944-48CC-A380-0397A78FF2CF}"/>
    <hyperlink ref="E1384" r:id="rId1320" tooltip="HHS Poverty Guidelines for Optional Use in Federal Fiscal Year (FFY) 2018 LIHEAP Programs and Mandatory Use in FFY 2019 LIHEAP Programs" display="https://acf.gov/ocs/resource/hhs-poverty-guidelines-for-optional-use-in-ffy-2018" xr:uid="{50DE0773-5D07-4B7B-A8D9-3136DCCC7D31}"/>
    <hyperlink ref="E1385" r:id="rId1321" tooltip="State Median Income Estimates for Optional Use in Federal Fiscal Year 2018" display="https://acf.gov/ocs/resource/state-median-income-estimates-for-optional-use-in-fy-2018-and-mandatory-use-in-fy-2019" xr:uid="{07DE0225-16DD-4D0F-A661-F10BC453D11E}"/>
    <hyperlink ref="E1386" r:id="rId1322" tooltip="LIHEAP Compliance Review Monitoring Schedule: FY 2017" display="https://acf.gov/ocs/resource/im-2017-01-liheap-compliance-review-monitoring-schedule-fy-2017" xr:uid="{B18D0CE7-2A19-4562-AE79-2B488CD048F2}"/>
    <hyperlink ref="E1387" r:id="rId1323" tooltip="HHS Poverty Guidelines for Optional Use in FY 2017 and Mandatory Use in FY 2018 LIHEAP Programs" display="https://acf.gov/ocs/resource/liheap-im-2017-02-fy-2017-hhs-federal-poverty-guidelines" xr:uid="{F9AFD212-1DF1-452A-9019-7A22523114F7}"/>
    <hyperlink ref="E1388" r:id="rId1324" tooltip="State Median Income Estimates for Optional Use in Federal Fiscal Year 2017" display="https://acf.gov/ocs/resource/liheap-im2017-03" xr:uid="{B510B9B5-3DC1-46C7-80F4-376BE203130A}"/>
    <hyperlink ref="E1389" r:id="rId1325" tooltip="LIHEAP Compliance Review Monitoring Schedule: FY 2016" display="https://acf.gov/ocs/resource/liheap-information-memorandum-on-monitoring-schedule-fy-2016" xr:uid="{2075E5F2-8D66-4C40-863F-EABD84D7AA1A}"/>
    <hyperlink ref="E1390" r:id="rId1326" tooltip="Department of Health and Human Services (HHS) Poverty Guidelines for Optional Use in Federal Fiscal Year (FFY) 2016 LIHEAP and Mandatory Use in FFY 2017" display="https://acf.gov/ocs/resource/liheap-im-2016-02-hhs-poverty-guidelines-for-optional-use-in-ffy-2016" xr:uid="{F613AA49-DCBF-4F7B-9E92-BCD97B32FF27}"/>
    <hyperlink ref="E1391" r:id="rId1327" tooltip="State Median Income Estimates for Optional Use in Federal Fiscal Year 2016" display="https://acf.gov/ocs/resource/liheap-im-2016-03-state-median-income-estimates-for-optional-use-in-ffy-2016-and-mandatory-use-in-ffy-2017" xr:uid="{EA8DBD0B-E6DA-4E40-BF3E-3D50077D5529}"/>
    <hyperlink ref="E1392" r:id="rId1328" tooltip="HHS Guidance on the Use of Social Security Numbers (SSNs) and Citizenship Status Verification for Assistance by LIHEAP Grantees’ Programs" display="https://acf.gov/ocs/resource/liheap-im-hhs-guidance-on-the-use-of-social-security-numbers-ssns-and-citizenship-status-verification" xr:uid="{887C6729-CD1B-42C8-9D6E-F28B620CCFF2}"/>
    <hyperlink ref="E1393" r:id="rId1329" tooltip="LIHEAP Compliance Review Monitoring Schedule: FY 2015" display="https://acf.gov/ocs/resource/liheap-im-2015-2-compliance-review-monitoring-schedule-fy-2015" xr:uid="{2A435D96-D1C0-4D5B-8019-7EE477FC4170}"/>
    <hyperlink ref="E1394" r:id="rId1330" tooltip="HHS Poverty Guidelines for Optional Use in Federal Fiscal Year (FFY) 2015 and Mandatory Use in FFY 2016 LIHEAP Programs" display="https://acf.gov/ocs/resource/liheap-hhs-poverty-guidelines-for-optional-use-in-ffy-2015-and-mandatory-use-in-ffy-2016" xr:uid="{F059578D-2DA0-420A-A552-3FDE24A0EBDC}"/>
    <hyperlink ref="E1395" r:id="rId1331" tooltip="Applicability of the Office of Management and Budget (OMB) Uniform Administrative Requirements, Cost Principles, and Audit Requirements to LIHEAP Awards" display="https://acf.gov/ocs/resource/liheap-im-2015-04-applicability-of-the-omb-uniform-administrative-requirements-cost-principles" xr:uid="{3BAAA195-3A2A-44C2-BE9D-F7C0DF476053}"/>
    <hyperlink ref="E1396" r:id="rId1332" tooltip="LIHEAP Compliance Review Monitoring Schedule: FY 2014" display="https://acf.gov/ocs/resource/liheap-compliance-review-schedule" xr:uid="{C3CBEA34-3A85-48E7-BC6C-6DA20F3C646E}"/>
    <hyperlink ref="E1397" r:id="rId1333" tooltip="Common Findings from Compliance Reviews Conducted in FY 2011, FY 2012, and FY 2013" display="https://acf.gov/ocs/resource/liheap-im-2014-2-common-findings-from-compliance-reviews-conducted-in-fy" xr:uid="{C8A3CFE5-3D0E-4D4E-B907-24A712EBB8C7}"/>
    <hyperlink ref="E1398" r:id="rId1334" tooltip="Best Practices Identified During Compliance Reviews Conducted in FY 2011, FY 2012, and FY 2013" display="https://acf.gov/ocs/resource/liheap-im-2014-3-best-practices-identified-during-compliance-reviews" xr:uid="{B9D6BFA1-F01F-4ED3-AAD7-CFE6A0D7AE04}"/>
    <hyperlink ref="E1399" r:id="rId1335" tooltip="American Community Survey Tabulation of LIHEAP Income-eligible Households" display="https://acf.gov/ocs/resource/liheap-information-memoranda-2014-4-american-community-survey-tabulation" xr:uid="{A6AF58DF-BC23-4DE7-BFD5-CF32A67406D7}"/>
    <hyperlink ref="E1400" r:id="rId1336" tooltip="State Median Income Estimates for Optional Use in Federal Fiscal Year 2014 LIHEAP Programs and Mandatory Use in Federal Fiscal Year 2015 LIHEAP Programs" display="https://acf.gov/ocs/resource/liheap-im-2014-05-state-median-income-estimates" xr:uid="{6FAECE1C-945F-4D06-844E-061E88FBDC95}"/>
    <hyperlink ref="E1401" r:id="rId1337" tooltip="HHS Poverty Guidelines for Optional Use in FY 2014 LIHEAP Programs and Mandatory Use in FY 2015 LIHEAP Programs" display="https://acf.gov/ocs/resource/liheap-hhs-poverty-guidelines-for-optional-use-in-fy-2014-and-mandatory-use-in-fy-2015" xr:uid="{7B44F34B-0D07-4955-92EE-AEBB74CEAAEE}"/>
    <hyperlink ref="E1402" r:id="rId1338" tooltip="Model Plan Application for LIHEAP Funding for Fiscal Year (FY) 2014 (All Applications due September 1, 2013)" display="https://acf.gov/ocs/resource/fy-2014-model-plan-application" xr:uid="{C0DB1C60-B11D-4BE8-B595-F8954A2C9720}"/>
    <hyperlink ref="E1403" r:id="rId1339" tooltip="HHS Poverty Guidelines for Optional Use in FFY 2013 Federal Energy Assistance Programs and Mandatory Use in FFY 2014 Federal Energy Assistance Programs" display="https://acf.gov/ocs/resource/hhs-poverty-guidelines-for-optional-use-in-ffy-2013" xr:uid="{7132764E-355A-49B1-941F-49293484B7E4}"/>
    <hyperlink ref="E1404" r:id="rId1340" tooltip="State Median Income Estimates for Optional Use in Federal Fiscal Year 2013 LIHEAP Programs and Mandatory Use in Federal Fiscal Year 2014 LIHEAP Programs" display="https://acf.gov/ocs/resource/state-median-income-estimates-for-fy-2013" xr:uid="{F0E70357-27BA-49AB-9D93-49123FD7BD61}"/>
    <hyperlink ref="E1405" r:id="rId1341" tooltip="Low Income Home Energy Assistance Program Report to Congress for Fiscal Year 2008" display="https://acf.gov/ocs/resource/low-income-home-energy-assistance-program-report-to-congress-for-fiscal-0" xr:uid="{1B52489C-365D-40C8-924A-ED65ABB79913}"/>
    <hyperlink ref="E1406" r:id="rId1342" tooltip="Update to the LIHEAP Allocation Formula for Federal Fiscal Year (FFY) 2012" display="https://acf.gov/ocs/resource/update-to-the-liheap-allocation-formula-for-federal-fiscal-year-ffy-2012" xr:uid="{C7F5EA84-9BF4-4C13-A2DD-3FBF9327A03E}"/>
    <hyperlink ref="E1407" r:id="rId1343" tooltip="State-Level Recipiency Targeting Indexes for Elderly and Young Child Households that Received Heating Assistance in Federal Fiscal Year (FFY) 2008" display="https://acf.gov/ocs/resource/state-level-recipiency-targeting-indexes-ffy-2008" xr:uid="{E26DA1BD-F4CE-47E9-B2FC-103DCCF95C15}"/>
    <hyperlink ref="E1408" r:id="rId1344" tooltip="U.S. Department of Health and Human Services (HHS) Poverty Guidelines for Optional Use in Federal Fiscal Year (FFY) 2012 Federal Energy Assistance Programs and Mandatory Use in FFY 2013 Federal Energy Assistance Programs" display="https://acf.gov/ocs/resource/hhs-poverty-guidelines-ffy-2012-" xr:uid="{849A4E47-CAB4-404D-8974-E50AF9428B02}"/>
    <hyperlink ref="E1409" r:id="rId1345" tooltip="Model Plan Application for LIHEAP Funding for Fiscal Year (FY) 2013 (All Applications due September 1, 2012)" display="https://acf.gov/ocs/resource/model-plan-application-for-liheap-funding-for-fiscal-year-fy-2013-all" xr:uid="{62E8413F-4E94-464F-9FDF-73F383A42537}"/>
    <hyperlink ref="E1410" r:id="rId1346" tooltip="State Median Income Estimates for Optional Use in Federal Fiscal Year 2012 LIHEAP Programs and Mandatory Use in Federal Fiscal Year 2013 LIHEAP Programs" display="https://acf.gov/ocs/resource/state-median-income-estimates-for-fy-2012-liheap-program" xr:uid="{314233B4-639D-435A-AA2E-FDB64A754855}"/>
    <hyperlink ref="E1411" r:id="rId1347" tooltip="Grant Awards for the FY 2012 Residential Energy Assistance Challenge Program (REACH)" display="https://acf.gov/ocs/resource/grant-awards-for-the-fy-2012-residential-energy-assistance-challenge" xr:uid="{ACA597AA-F1F3-4AD2-AFBB-7E88F69194E8}"/>
    <hyperlink ref="E1412" r:id="rId1348" tooltip="Grant Awards for the FY 2012 Leveraging Incentive Program" display="https://acf.gov/ocs/resource/grant-awards-for-the-fy-2012-leveraging-incentive-program" xr:uid="{2AECAD60-CA63-436E-926D-0541356B8DA8}"/>
    <hyperlink ref="E1413" r:id="rId1349" tooltip="LIHEAP Allocations from the FY 2010 Energy Emergency Contingency Fund - $101 MILLION DISTRIBUTION ON SEPTEMBER 20, 2010" display="https://acf.gov/ocs/resource/liheap-allocations-from-the-fy-2010-energy-emergency-contingency-fund-101-0" xr:uid="{407BEEBE-6B98-4A1C-9A11-A16DC629A70F}"/>
    <hyperlink ref="E1414" r:id="rId1350" tooltip="Treatment of Per Capita Payments" display="https://acf.gov/ocs/resource/treatment-of-per-capita-payments-0" xr:uid="{EC805AB3-152B-4E89-921C-7E406417F02A}"/>
    <hyperlink ref="E1415" r:id="rId1351" tooltip="Tax Refunds Disregarded as Income Per the Tax Relief, Unemployment Insurance Reauthorization, and Job Creation Act of 2010" display="https://acf.gov/ocs/resource/tax-refunds-disregarded-as-income-per-the-tax-relief-unemployment" xr:uid="{32E23682-26ED-4DF0-A707-D0D5C312EF92}"/>
    <hyperlink ref="E1416" r:id="rId1352" tooltip="Three Year LIHEAP Compliance Review Monitoring Schedule: FY 2011 through FY 2013" display="https://acf.gov/ocs/resource/three-year-liheap-compliance-review-monitoring-schedule" xr:uid="{B0F1D35D-7340-435D-AD3F-C6F80651E27E}"/>
    <hyperlink ref="E1417" r:id="rId1353" tooltip="Staff Assignments for the Division of Energy Assistance" display="https://acf.gov/ocs/resource/staff-assignments-for-the-division-of-energy-assistance" xr:uid="{527C831F-A041-42B2-A00A-2EE80C1676BB}"/>
    <hyperlink ref="E1418" r:id="rId1354" tooltip="Low Income Home Energy Assistance Program Report to Congress for Fiscal Year 2007" display="https://acf.gov/ocs/resource/fy-07-report-to-congress" xr:uid="{CF175F92-BCD3-44AB-AE31-6660A00B58DC}"/>
    <hyperlink ref="E1419" r:id="rId1355" tooltip="Model Plan and Program Integrity Assessment Application for LIHEAP Funding for Fiscal Year (FY) 2012 (All Applications due September 1, 2011-new electronic submission requirement" display="https://acf.gov/ocs/resource/model-plan-and-program-integrity-assessment-application-for-liheap" xr:uid="{CDC4E6FA-E6B2-4B45-B45F-89B04109937C}"/>
    <hyperlink ref="E1420" r:id="rId1356" tooltip="Federal Poverty Guidelines for Optional Use in federal Fiscal Year 2011 LIHEAP Programs and Mandatory Use in Federal Fiscal Year 2012 LIHEAP Programs" display="https://acf.gov/ocs/resource/federal-poverty-guidelines-for-mandatory-use-in-federal-fiscal-year-2012" xr:uid="{D9DAD637-4799-465F-AD96-D0ED565E672C}"/>
    <hyperlink ref="E1421" r:id="rId1357" tooltip="State Median Income Estimates for Optional Use in Federal Fiscal Year 2011 LIHEAP Programs and Mandatory Use in Federal Fiscal Year 2012 LIHEAP Programs" display="https://acf.gov/ocs/resource/state-median-income-estimates-for-optional-use-in-fy-2011" xr:uid="{BFAB9ADF-BAF6-4937-8FE8-D36ACE5CC14F}"/>
    <hyperlink ref="E1422" r:id="rId1358" tooltip="Tips From the Centers for Disease Control on How to Prevent Heat-Related Illness" display="https://acf.gov/ocs/resource/cdc-tips-how-to-prevent-heat-related-illness" xr:uid="{5E1DD883-2AAC-4F1B-820E-3ED75E06F772}"/>
    <hyperlink ref="E1423" r:id="rId1359" tooltip="Update on the New LIHEAP Performance Measures and Upcoming Webinars" display="https://acf.gov/ocs/resource/update-on-the-new-liheap-performance-measures-and-upcoming-webinars" xr:uid="{4A8DDE8E-D8C6-4349-9D77-1C91E2DBD1F6}"/>
    <hyperlink ref="E1424" r:id="rId1360" tooltip="FY 2011 Low Income Home Energy Assistance Program Appropriations" display="https://acf.gov/ocs/resource/fy-2011-liheap-appropriations" xr:uid="{A7954111-0FD8-4B6E-AFD4-01D49989961B}"/>
    <hyperlink ref="E1425" r:id="rId1361" tooltip="LIHEAP Allocations of FY 2011 Emergency Contingency Funds - $200 MILLION DISTRUBUTION ON JANUARY 24, 2011" display="https://acf.gov/ocs/resource/liheap-fy-2011-allocations-200-million-emergency-contingency-funds" xr:uid="{398F6784-BF49-477B-BB27-108166C923CE}"/>
    <hyperlink ref="E1426" r:id="rId1362" tooltip="Treatment of Making Work Pay (MWP), Other Tax Credits and Refunds when Determining Eligibility" display="https://acf.gov/ocs/resource/treatment-of-making-work-pay-mwp-other-tax-credits-and-refunds-when-0" xr:uid="{4AA2F0DD-6E9C-4E53-85B1-830C73FF379D}"/>
    <hyperlink ref="E1427" r:id="rId1363" tooltip="Three Year LIHEAP Compliance Review Monitoring Schedule: FY 2010 through FY 2012" display="https://acf.gov/ocs/resource/three-year-liheap-compliance-review-monitoring-schedule-fy-2010-through-fy" xr:uid="{2ADCDE77-98FD-4B7E-88A0-555481CA84A8}"/>
    <hyperlink ref="E1428" r:id="rId1364" tooltip="LIHEAP Appropriations and Regular Block Grant Allocations for Fiscal Year (FY) 2010" display="https://acf.gov/ocs/resource/liheap-appropriations-and-regular-block-grant-allocations-for-fiscal-year" xr:uid="{A9E89269-F3C1-4FDA-BA37-64548B834689}"/>
    <hyperlink ref="E1429" r:id="rId1365" tooltip="LIHEAP Allocations from the FY 2010 Energy Emergency Contingency Fund - $490 MILLION DISTRIBUTION ON JANUARY 20, 2010" display="https://acf.gov/ocs/resource/liheap-allocations-fy-2010-emergency-contingency-490-million" xr:uid="{74AF0FEA-E1B6-4F21-A21F-7E7A65817E4A}"/>
    <hyperlink ref="E1430" r:id="rId1366" tooltip="Model Plan Application for LIHEAP Funding for Fiscal Year (FY) 2011 (All Applications due September 1, 2010" display="https://acf.gov/ocs/resource/model-plan-application-for-fy-2011" xr:uid="{1D5B0D0D-EC9A-463D-B130-CF291F3E974F}"/>
    <hyperlink ref="E1431" r:id="rId1367" tooltip="States are Strongly Encouraged to Exercise their Discretion to Require Social Security Numbers in Determining Eligibility for LIHEAP" display="https://acf.gov/ocs/resource/states-discretion-to-require-social-security-numbers-in-determining" xr:uid="{216E3AC5-3043-4152-AC37-E89D00C893F0}"/>
    <hyperlink ref="E1432" r:id="rId1368" tooltip="Exclusions from Income when Determining LIHEAP Eligibility" display="https://acf.gov/ocs/resource/exclusions-from-income-when-determining-liheap-eligibility" xr:uid="{A37BBC12-846B-4E59-A401-0E4ECA6D5AA3}"/>
    <hyperlink ref="E1433" r:id="rId1369" tooltip="Staffing Changes in the Division of Energy Assistance" display="https://acf.gov/ocs/resource/staffing-changes-in-the-division-of-energy-assistance" xr:uid="{1F020BCA-00D6-49DB-B7A2-4BBE22AA6426}"/>
    <hyperlink ref="E1434" r:id="rId1370" tooltip="State Median Income Estimates for Optional Use in Federal Fiscal Year 2010 LIHEAP Programs and Mandatory Use in Federal Fiscal Year 2011 LIHEAP Programs" display="https://acf.gov/ocs/resource/state-median-income-estimates-for-fy-2010" xr:uid="{4BB6143E-C5FE-4D6E-9EB0-24203BA4434D}"/>
    <hyperlink ref="E1435" r:id="rId1371" tooltip="Awards of FY 2010 LIHEAP Leveraging Incentive Grants" display="https://acf.gov/ocs/resource/awards-of-fy-2010-liheap-leveraging-incentive-grants" xr:uid="{B165D201-6CE3-4CB0-A351-DADB72845BD4}"/>
    <hyperlink ref="E1436" r:id="rId1372" tooltip="Availability of LIHEAP Home Energy Notebook for Fiscal Year 2008" display="https://acf.gov/ocs/resource/availability-of-liheap-home-energy-notebook-for-fiscal-year-2008" xr:uid="{4441E1B0-4E68-488C-80DA-5EFD75890649}"/>
    <hyperlink ref="E1437" r:id="rId1373" tooltip="Awards of FY 2010 REACH Grants" display="https://acf.gov/ocs/resource/awards-of-fy-2010-reach-grants" xr:uid="{1D4E429C-BF5C-4A63-994F-82CF13BF2DD0}"/>
    <hyperlink ref="E1438" r:id="rId1374" tooltip="Use of LIHEAP Funds Coordinated with Vendor Assistance Programs" display="https://acf.gov/ocs/resource/use-of-liheap-funds-coordinated-with-vendor-assistance-programs" xr:uid="{87C10D37-3146-40B3-8219-2BBCFAF3D7F8}"/>
    <hyperlink ref="E1439" r:id="rId1375" tooltip="Data on State-Level Recipiency Targeting Indexes and Rankings for Elderly and Young Child Households that Received Heating Assistance in Federal Fiscal Year (FFY) 2007" display="https://acf.gov/ocs/resource/fy-07-state-level-recipiency-targeting-indexes-and-rankings" xr:uid="{37374908-5A20-4B14-B553-BA54DB74D01F}"/>
    <hyperlink ref="E1440" r:id="rId1376" tooltip="Update to the LIHEAP Allocation Formula" display="https://acf.gov/ocs/resource/update-to-the-liheap-allocation-formula" xr:uid="{6A1537F2-C17D-428C-9C21-9B6065227765}"/>
    <hyperlink ref="E1441" r:id="rId1377" display="https://liheapch.acf.gov/tribal-manual" xr:uid="{9E2599E6-D895-49DE-BF3C-D911462C3976}"/>
    <hyperlink ref="E1442" r:id="rId1378" display="https://acf.gov/ocs/resource/professional-frequently-asked-questions" xr:uid="{33342F67-B6CC-48CF-86C7-CB056D06E414}"/>
    <hyperlink ref="E1443" r:id="rId1379" display="https://acf.gov/ocs/resource/grantee-deadlines-0" xr:uid="{80F42FCB-2BE3-416C-9BB5-AC01A8357CB9}"/>
    <hyperlink ref="E1444" r:id="rId1380" display="https://acf.gov/ocs/resource/liheap-eligibility-criteria" xr:uid="{D172A1BE-845F-4696-861D-C08EECE94C3A}"/>
    <hyperlink ref="E1445" r:id="rId1381" display="https://acf.gov/sites/default/files/documents/ocs/COMM_LIHEAP_AT2024_HHR_LongFormInstr_FY24_2.pdf" xr:uid="{3458D767-26C7-46E8-81A1-BA56456B5114}"/>
    <hyperlink ref="E1446" r:id="rId1382" display="https://acf.gov/sites/default/files/documents/ocs/COMM_LIHEAP_AT2024_HHR_ShortFormInstr_FY24_1.pdf" xr:uid="{CDFDE2A2-46D7-4C7D-A579-EDA696522DD3}"/>
    <hyperlink ref="E1447" r:id="rId1383" display="https://acf.gov/sites/default/files/documents/ocs/COMM_LIHEAP_AT2024-05_Carryover-ReallotInstrs_FY2024_1.pdf" xr:uid="{035F1FCF-E5D0-43AA-BDAE-374EA7D7107A}"/>
    <hyperlink ref="E1448" r:id="rId1384" display="https://acf.gov/sites/default/files/documents/ocs/COMM_LIHEAP_AT2024-01_PerformanceDataFormInstructions_FY23_1.pdf" xr:uid="{7649FA7F-ACCF-4AF3-B4E7-93D87A3313C0}"/>
    <hyperlink ref="E1449" r:id="rId1385" display="https://acf.gov/sites/default/files/documents/ocs/LIHEAP_Quarterly_Report_OLDC_Instructions_FY2024.pdf" xr:uid="{9C16B050-CDEE-4F87-BBEA-CD07556A453A}"/>
    <hyperlink ref="E1450" r:id="rId1386" display="https://acf.gov/sites/default/files/documents/OCS-93-568-LIHEAP T%26amp%3BCS %28OCT-2021%29 Final.pdf" xr:uid="{4C412F3D-96AA-4A07-8D5C-727EBE0AE775}"/>
    <hyperlink ref="E1452" r:id="rId1387" display="https://acf.gov/ocs/resource/disregard-of-monetary-allowances-for-certain-children-of-vietnam-war" xr:uid="{C4D2EEA1-3969-44CD-ABB9-CC0422608EE9}"/>
    <hyperlink ref="E1453" r:id="rId1388" display="https://acf.gov/ocs/resource/guidance-on-federal-means-tested-public-benefits" xr:uid="{C29918C5-60BF-4758-AB81-B2595B4729F6}"/>
    <hyperlink ref="E1454" r:id="rId1389" display="https://acf.gov/ocs/resource/federal-public-benefits-under-the-welfare-reform-law-revised-guidance" xr:uid="{766BC4F4-D064-4C45-BFCF-797844270629}"/>
    <hyperlink ref="E1455" r:id="rId1390" display="https://acf.gov/ocs/resource/interpretation-of-federal-benefits-revised" xr:uid="{92850F87-92B0-4AA7-89D0-61943617C7F4}"/>
    <hyperlink ref="E1456" r:id="rId1391" display="https://acf.gov/ocs/resource/lead-paint-hazard-control-and-weatherization" xr:uid="{F8AC0B40-B781-4820-AA97-8B9ABD44891D}"/>
    <hyperlink ref="E1457" r:id="rId1392" display="https://acf.gov/ocs/resource/liheap-disaster-relief" xr:uid="{59B50BCD-AEF4-4D21-B20A-5C240EDAB277}"/>
    <hyperlink ref="E1458" r:id="rId1393" display="https://acf.gov/ocs/resource/optional-use-of-doe-weatherization-rules-for" xr:uid="{9EA8C455-2773-4876-B3CA-7992B6B4E9B7}"/>
    <hyperlink ref="E1459" r:id="rId1394" display="https://acf.gov/ocs/resource/policy-guidance-on-serving-persons-with-limited-english-proficiency" xr:uid="{72973B4C-9248-410C-B6C1-48AE53AE227F}"/>
    <hyperlink ref="E1460" r:id="rId1395" display="https://acf.gov/ocs/resource/fact-sheet-on-us-citizenship-requirements" xr:uid="{61374216-DF28-4C18-B74B-E5C832937A00}"/>
    <hyperlink ref="E1461" r:id="rId1396" display="https://acf.gov/ocs/resource/uses-of-liheap-funds" xr:uid="{D3D2CD38-44EE-4B5F-9594-A10D008B104B}"/>
    <hyperlink ref="E1462" r:id="rId1397" display="https://acf.gov/sites/default/files/documents/ocs/COMM_LIHEAP_IM 91-19.pdf" xr:uid="{0627DCE7-BB61-4BDD-AB97-2382BA884585}"/>
    <hyperlink ref="E1463" r:id="rId1398" display="https://acf.gov/sites/default/files/documents/ocs/COMM_LIHEAP_IM9108AdminCostReference_122790.pdf" xr:uid="{6A3457DC-F870-4DBE-9D36-8446BEE0EF28}"/>
    <hyperlink ref="E1464" r:id="rId1399" display="https://acf.gov/ocs/faq/liheap-faqs-consumers" xr:uid="{A658295B-3F72-4E2D-BE06-06C8F0FDB07D}"/>
    <hyperlink ref="E1465" r:id="rId1400" display="https://acf.gov/ocs/faq/liheap-faqs-professionals" xr:uid="{0717FA9C-DBC5-45BB-9A7A-27FCA306745C}"/>
    <hyperlink ref="E1466" r:id="rId1401" display="https://acf.gov/ocs/faq/liheap-resource-guide-finding-energy-assistance" xr:uid="{23B03D93-2DFA-456C-9C6C-F3E057E5C1C7}"/>
    <hyperlink ref="E1467" r:id="rId1402" display="https://acf.gov/ocs/training-technical-assistance/liheap-resource-guide-indoor-health-and-safety" xr:uid="{E3CDF4E0-CD83-4526-9AA3-2CB78BE51155}"/>
    <hyperlink ref="E1296" r:id="rId1403" display="https://acf.gov/ocs/policy-guidance/liheap-dcl-extension-87-cost-allocation-exception" xr:uid="{FF7601AB-0958-4356-AE7F-E8CBCE5D4954}"/>
    <hyperlink ref="E1346" r:id="rId1404" display="https://acf.gov/ocs/policy-guidance/liheap-dcl-clearinghouse-report-outlining-recommendations-improving-program" xr:uid="{7B94DF1B-CEB4-4518-A012-7FFB88355ED3}"/>
    <hyperlink ref="E1347" r:id="rId1405" display="https://acf.gov/ocs/policy-guidance/liheap-dcl-four-contract-solicitations" xr:uid="{81D13663-F86B-4B64-BF8A-D6A9B01DDA51}"/>
    <hyperlink ref="E1349" r:id="rId1406" display="https://acf.gov/ocs/policy-guidance/liheap-dcl-about-upcoming-gao-request" xr:uid="{E24FC818-C7ED-4199-9C9F-EBF82E35FCE2}"/>
    <hyperlink ref="E1355" r:id="rId1407" display="https://acf.gov/ocs/policy-guidance/liheap-dcl-first-quarter-funds-under-continuing-resolution" xr:uid="{86E897E1-CF92-4F82-B21D-77C70081B3F6}"/>
    <hyperlink ref="E1451" r:id="rId1408" display="https://acf.gov/ocs/policy-guidance/liheap-im-2000-12-costs-planning-and-administration-updated-information" xr:uid="{E811A611-5736-4E53-92B3-C02C21750DC4}"/>
    <hyperlink ref="E1468" r:id="rId1409" display="https://acf.gov/ocs/policy-guidance/liheap-dcl-announcing-supervisory-auditor-position" xr:uid="{6CEC7527-0D79-403D-9418-1E2C41DEB4A1}"/>
    <hyperlink ref="E1469" r:id="rId1410" display="https://acf.gov/ocs/policy-guidance/partnership-address-covid-19-spread" xr:uid="{127BF877-434D-4656-ACBC-54F7BD9D132C}"/>
    <hyperlink ref="E1471" r:id="rId1411" display="https://acf.gov/ocs/policy-guidance/liheap-resurce-guide-winter-preparedeness-information" xr:uid="{E8877692-DF8A-4EB2-A8E9-59090F0E7608}"/>
    <hyperlink ref="E1472" r:id="rId1412" display="https://acf.gov/ocs/policy-guidance/liheap-dcl-initial-cr-release-block-grant-funds-indian-tribes-and-tribal" xr:uid="{FB154138-8731-478D-9DF1-E459A348D57A}"/>
    <hyperlink ref="E1474" r:id="rId1413" display="https://acf.gov/ocs/policy-guidance/liheap-fact-sheet-fy-2014" xr:uid="{53F5712D-4D91-430E-8743-F15CB6DD8B17}"/>
    <hyperlink ref="E1475" r:id="rId1414" display="https://acf.gov/ocs/policy-guidance/liheap-dcl-grantee-needs-assessment" xr:uid="{91D5ACED-B256-47E7-B727-651CA615ABD9}"/>
    <hyperlink ref="E1476" r:id="rId1415" display="https://acf.gov/ocs/policy-guidance/liheap-dcl-webinar-electronic-submission-carryover-report" xr:uid="{6875EDDD-4E3A-47AC-8561-5CE1C6CE2093}"/>
    <hyperlink ref="E1477" r:id="rId1416" display="https://acf.gov/ocs/policy-guidance/liheap-dcl-release-1874-million-states" xr:uid="{16BCE9D6-A5D8-4CEE-AAE3-C22DF51A57E9}"/>
    <hyperlink ref="E1478" r:id="rId1417" display="https://acf.gov/ocs/policy-guidance/liheap-dcl-3rd-quarter-allocation-update" xr:uid="{748498C6-2420-4961-ABCA-BA60AD0155BD}"/>
    <hyperlink ref="E1479" r:id="rId1418" display="https://acf.gov/ocs/policy-guidance/liheap-dcl-follow-announcement-american-customer-satisfaction-index" xr:uid="{57216DB7-B9CE-4F27-984C-087070E9068D}"/>
    <hyperlink ref="E1480" r:id="rId1419" display="https://acf.gov/ocs/policy-guidance/liheap-dcl-budget-update-fy-2013" xr:uid="{66B176C1-4CFD-4964-B927-A2348ECD5DA6}"/>
    <hyperlink ref="E1481" r:id="rId1420" display="https://acf.gov/ocs/policy-guidance/liheap-dcl-training-and-technical-assistance-meeting-san-diego-ca" xr:uid="{0ED6BF9F-59B2-4382-926C-41A18CA0D9BC}"/>
    <hyperlink ref="E1482" r:id="rId1421" display="https://acf.gov/ocs/policy-guidance/liheap-dcl-sequestration-update" xr:uid="{A9E8DD14-0260-4BC2-8B5D-DFAA13F9F799}"/>
    <hyperlink ref="E1483" r:id="rId1422" display="https://acf.gov/ocs/policy-guidance/liheap-dcl-acsi-survey-result-csbg-and-liheap" xr:uid="{816E7029-98A7-4230-94F5-4ED567D85283}"/>
    <hyperlink ref="E1484" r:id="rId1423" display="https://acf.gov/ocs/policy-guidance/liheap-dcl-allocations-under-current-continuing-resolution-fy-2013" xr:uid="{248DCD60-3B19-4DCA-87E8-D665FF20EEF0}"/>
    <hyperlink ref="E1485" r:id="rId1424" display="https://acf.gov/ocs/policy-guidance/liheap-dcl-customer-service-feedback" xr:uid="{4252FD8E-AD94-482E-80A5-47F6025C251A}"/>
    <hyperlink ref="E1486" r:id="rId1425" display="https://acf.gov/ocs/policy-guidance/liheap-dcl-affordable-care-act" xr:uid="{B0EF8A7F-DD15-4BD4-8C13-2D8017B6289B}"/>
    <hyperlink ref="E1487" r:id="rId1426" display="https://acf.gov/ocs/policy-guidance/liheap-dcl-federal-register-notice-announcing-approximately-31-million" xr:uid="{E04971B8-C802-4430-83CE-BE19A9D2CA74}"/>
    <hyperlink ref="E1489" r:id="rId1427" display="https://acf.gov/ocs/policy-guidance/liheap-dcl-request-proposals" xr:uid="{FC362A47-A0E7-41C9-8586-DB881A1C6251}"/>
    <hyperlink ref="E1490" r:id="rId1428" display="https://acf.gov/ocs/policy-guidance/liheap-income-eligibility-guidelines" xr:uid="{6D8A72F7-6A19-45A4-8E12-D25EB111C9EB}"/>
    <hyperlink ref="E1492" r:id="rId1429" display="https://acf.gov/ocs/policy-guidance/liheap-policy-manual" xr:uid="{29C3F6D4-3540-4CBD-8BEA-C5881F2A526A}"/>
    <hyperlink ref="E1494" r:id="rId1430" display="https://acf.gov/ocs/policy-guidance/liheap-im-2011-11-update-new-liheap-performance-measures-and-webinars" xr:uid="{3453A21C-0D39-409F-8AB5-986DA5948A33}"/>
    <hyperlink ref="E1495" r:id="rId1431" display="https://acf.gov/ocs/policy-guidance/liheap-2011-4-application-requirements-and-deadline-all-applications-fy-2012" xr:uid="{64B03EEB-3FFC-430E-BE9F-D18B18D61CF7}"/>
    <hyperlink ref="E1496" r:id="rId1432" display="https://acf.gov/ocs/policy-guidance/liheap-im-2011-8-federal-poverty-guidelines-optional-use-fy-2011" xr:uid="{ADB34795-343C-4267-8A15-0AE69E0DA1FE}"/>
    <hyperlink ref="E1497" r:id="rId1433" display="https://acf.gov/ocs/policy-guidance/liheap-im-2011-07-model-plan-and-program-integrity-assessment-application-fy" xr:uid="{22FB7281-F208-4DB5-A788-0B5E2778A8E7}"/>
    <hyperlink ref="E1498" r:id="rId1434" display="https://acf.gov/ocs/policy-guidance/liheap-im-2011-5-dea-staff-assignments" xr:uid="{3FA04081-B491-4E7B-9D45-DA73FD4D7AF5}"/>
    <hyperlink ref="E1499" r:id="rId1435" display="https://acf.gov/ocs/policy-guidance/liheap-im-2011-6-report-congress-fy-2007" xr:uid="{FF623342-D939-4ED3-A07D-B06F6350DF76}"/>
    <hyperlink ref="E1500" r:id="rId1436" display="https://acf.gov/ocs/policy-guidance/liheap-im-2011-6-publication-report-congress-fy-2007" xr:uid="{12D6E5B9-C094-4D55-930F-DBD0C6C1C42E}"/>
    <hyperlink ref="E1501" r:id="rId1437" display="https://acf.gov/ocs/policy-guidance/liheap-2011-2-financial-reporting-requirement-all-grantees-sf-269a-report-fy" xr:uid="{44DC03F9-83A9-479F-9A28-FB356987F23F}"/>
    <hyperlink ref="E1502" r:id="rId1438" display="https://acf.gov/ocs/policy-guidance/liheap-im-2010-13-use-liheap-funds-coordinated-vendor-assistance-programs-0" xr:uid="{E408C75F-543D-4F0C-907E-4574E3E81F14}"/>
    <hyperlink ref="E1503" r:id="rId1439" display="https://acf.gov/ocs/policy-guidance/liheap-2010-8-carryover-and-reallotment-report-fy-2010-0" xr:uid="{B8E8BDBA-5BCD-4E4A-95BD-7D40985B74C2}"/>
    <hyperlink ref="E1504" r:id="rId1440" display="https://acf.gov/ocs/policy-guidance/liheap-2010-7-state-household-administrative-data-fy-2010" xr:uid="{195F636B-4952-462C-B942-A0F51F6FF615}"/>
    <hyperlink ref="E1470" r:id="rId1441" display="https://acf.gov/ocs/policy-guidance/liheap-dcl-reallotment-funds-fy-2015" xr:uid="{343CE449-0FE3-4D4A-B2C3-7E67DEBCA2D4}"/>
    <hyperlink ref="E1473" r:id="rId1442" display="https://acf.gov/ocs/policy-guidance/liheap-attachment-dcl-initial-cr-release-block-grant-funds-fy-2014" xr:uid="{EC110A2C-0E29-420C-AB0A-12DD7874CB87}"/>
    <hyperlink ref="E1488" r:id="rId1443" display="https://acf.gov/ocs/policy-guidance/liheap-dcl-clearinghouse-program-integrity-working-group-report" xr:uid="{BD51EFD5-08A2-415D-8F74-AB8CE46BD307}"/>
    <hyperlink ref="E1491" r:id="rId1444" display="https://acf.gov/ocs/policy-guidance/liheap-im-2012-5-model-plan-application-fy-2013-0" xr:uid="{479D9B3C-B99B-421D-A305-B782891EC536}"/>
    <hyperlink ref="E1493" r:id="rId1445" display="https://acf.gov/ocs/policy-guidance/liheap-im-2011-13-emergency-contingency-funds-fy-2011" xr:uid="{9915D03E-A89F-4913-AD10-C94F190C5797}"/>
    <hyperlink ref="E1505" r:id="rId1446" display="https://acf.gov/ocs/policy-guidance/liheap-2010-3-request-applications-residential-fy-2010" xr:uid="{8E122F7B-52DB-4F25-8225-F70D9F0C2A8A}"/>
    <hyperlink ref="E1506" r:id="rId1447" display="https://acf.gov/css/policy-guidance/ocse-75-form-and-instructions-expires-june-30-2028" xr:uid="{839DD078-5BB3-4C19-9BD3-70B662797A14}"/>
    <hyperlink ref="E1507" r:id="rId1448" display="https://acf.gov/css/policy-guidance/submittal-sf-424-mandatory-form-fy-2026" xr:uid="{EDDB2464-EBD9-488D-BC36-EDB20C891297}"/>
    <hyperlink ref="E1508" r:id="rId1449" display="https://acf.gov/css/policy-guidance/revised-ocss-396-and-ocss-34-forms-expire-june-30-2027" xr:uid="{BC9CDCB6-3743-42C8-80F4-FD8D3D17BA8F}"/>
    <hyperlink ref="E1509" r:id="rId1450" display="https://acf.gov/css/policy-guidance/amended-guidance-snap-only-cases-federal-reporting-forms" xr:uid="{852BAF06-AE95-42A4-B479-01E7247DD2F4}"/>
    <hyperlink ref="E1510" r:id="rId1451" display="https://acf.gov/css/policy-guidance/revision-tribal-direct-funding-request-45-cfr-309-plan" xr:uid="{63A6118D-C8E1-478F-960D-76DB90609366}"/>
    <hyperlink ref="E1511" r:id="rId1452" display="https://acf.gov/css/policy-guidance/snap-only-cases-federal-reporting-forms" xr:uid="{CFE5E85E-B7E9-4515-AF39-15608DF2DE91}"/>
    <hyperlink ref="E1512" r:id="rId1453" display="https://acf.gov/css/policy-guidance/administrative-subpoena-and-notice-lien-forms-expire-april-30-2027" xr:uid="{625D5D14-A90C-4991-8D71-DE02D7C9C7AE}"/>
    <hyperlink ref="E1513" r:id="rId1454" display="https://acf.gov/css/policy-guidance/nprm-employment-training-services-ncp-cs-program-comments-july30" xr:uid="{944F7388-6C9E-46BA-9C3F-7F862B676F7E}"/>
    <hyperlink ref="E1514" r:id="rId1455" display="https://acf.gov/css/policy-guidance/submittal-sf-424-mandatory-form-fy-2025" xr:uid="{9AD8DAED-6160-4C42-B423-100B8E251C4B}"/>
    <hyperlink ref="E1515" r:id="rId1456" display="https://acf.gov/css/policy-guidance/updated-tribal-budget-and-narrative-templates-may-2026" xr:uid="{902D57AD-C8AE-4B4A-8742-B92D09446C07}"/>
    <hyperlink ref="E1516" r:id="rId1457" display="https://acf.gov/css/policy-guidance/final-rule-modifications-performance-standards-during-natural-disasters" xr:uid="{E1469838-19ED-4479-AED8-C1F36577E8A8}"/>
    <hyperlink ref="E1517" r:id="rId1458" display="https://acf.gov/css/policy-guidance/final-rule-elimination-tribal-non-federal-share-requirement" xr:uid="{DED1A762-0C4C-42A9-A20D-56B6CA3F21A2}"/>
    <hyperlink ref="E1518" r:id="rId1459" display="https://acf.gov/css/policy-guidance/required-data-elements-paternity-establishment-affidavits-expires-jan-31-2027" xr:uid="{90047532-AAA1-4159-B8B5-92476E4331A3}"/>
    <hyperlink ref="E1519" r:id="rId1460" display="https://acf.gov/css/policy-guidance/2023-open-comment-period-tribal-child-support-direct-funding-request" xr:uid="{E79827B7-031E-4901-8943-3C4CEE4A9D9D}"/>
    <hyperlink ref="E1520" r:id="rId1461" display="https://acf.gov/css/policy-guidance/revised-iwo-form-and-instructions-expire-aug-31-2026" xr:uid="{8AD54839-E404-4CE9-B47A-D0DD3403249D}"/>
    <hyperlink ref="E1521" r:id="rId1462" display="https://acf.gov/css/policy-guidance/final-rule-privacy-act-implementation" xr:uid="{BBED69E8-EB6F-471C-8781-A24EB1496C59}"/>
    <hyperlink ref="E1522" r:id="rId1463" display="https://acf.gov/css/policy-guidance/nprm-modifications-performance-standards-during-natural-disasters-and-other" xr:uid="{12C3BD9B-F5C9-426F-B959-C38312896D27}"/>
    <hyperlink ref="E1523" r:id="rId1464" display="https://acf.gov/css/policy-guidance/tribal-budget-and-narrative-justification-templates-expire-may-2026" xr:uid="{EC956FB1-51C7-4B8E-96AD-BF05E90232F1}"/>
    <hyperlink ref="E1524" r:id="rId1465" display="https://acf.gov/css/policy-guidance/state-plan-material-expires-may-31-2026" xr:uid="{77F22041-82DC-4A4A-A09D-E9F8298E0F69}"/>
    <hyperlink ref="E1525" r:id="rId1466" display="https://acf.gov/css/policy-guidance/nprm-elimination-tribal-non-federal-share-requirement-comments-due-june-20-2023" xr:uid="{AFAFB29D-19C6-46FC-B85B-6D4186B67825}"/>
    <hyperlink ref="E1526" r:id="rId1467" display="https://acf.gov/css/policy-guidance/tribal-direct-funding-request-45-cfr-309-plan" xr:uid="{F4E55E6C-F776-4F96-A16E-314BEF36E83F}"/>
    <hyperlink ref="E1527" r:id="rId1468" display="https://acf.gov/css/policy-guidance/hague-child-support-convention-forms-expire-march-31-2026" xr:uid="{79B52500-C388-4556-B573-532EBB052F72}"/>
    <hyperlink ref="E1528" r:id="rId1469" display="https://acf.gov/css/policy-guidance/standard-intergovernmental-child-support-enforcement-forms-expire-feb-28-2026" xr:uid="{3CCF9CDF-D06F-471C-A3AE-E74A4DAF2849}"/>
    <hyperlink ref="E1529" r:id="rId1470" display="https://acf.gov/css/policy-guidance/revised-nmsn-parts-and-b-expire-nov-30-2025" xr:uid="{D44D780B-15FD-485B-B6FE-A160E6A4E50E}"/>
    <hyperlink ref="E1530" r:id="rId1471" display="https://acf.gov/css/policy-guidance/implementing-revised-ocse-157-form-and-instructions-fy-2023" xr:uid="{EDE6AB39-A0E4-4262-8DD9-80D6CC48666B}"/>
    <hyperlink ref="E1531" r:id="rId1472" display="https://acf.gov/css/policy-guidance/final-rule-paternity-establishment-percentage-performance-relief" xr:uid="{0ABBB1C5-D784-4786-831B-11460A28885F}"/>
    <hyperlink ref="E1532" r:id="rId1473" display="https://acf.gov/css/policy-guidance/implementing-revised-ocse-75-form-and-instructions-effective-fy-2023" xr:uid="{AA685DD9-DCD9-421B-AEB3-7C132F6F336B}"/>
    <hyperlink ref="E1533" r:id="rId1474" display="https://acf.gov/css/policy-guidance/implementing-revised-ocse-396-and-ocse-34-instructions" xr:uid="{C0F8B784-E2A7-4D21-8625-B8902E9D28B1}"/>
    <hyperlink ref="E1534" r:id="rId1475" display="https://acf.gov/css/policy-guidance/nprm-paternity-establishment-percentage-performance-relief" xr:uid="{7D1B4C5D-9482-4E77-9398-93413F2689ED}"/>
    <hyperlink ref="E1535" r:id="rId1476" display="https://acf.gov/css/policy-guidance/required-data-elements-paternity-establishment-affidavits-expires-1/31/2024" xr:uid="{320DE0F5-FFED-4D97-B9A1-85BAB244A08C}"/>
    <hyperlink ref="E1536" r:id="rId1477" display="https://acf.gov/css/policy-guidance/streamlined-feasibility-study-child-support-system-modernization" xr:uid="{5488E6AC-D464-4AFF-BC5F-76C39C81029A}"/>
    <hyperlink ref="E1537" r:id="rId1478" display="https://acf.gov/css/policy-guidance/final-rule-regulatory-clean-up-initiative" xr:uid="{17265CBF-2A2A-42A5-AE04-3D01A540DB3D}"/>
    <hyperlink ref="E1538" r:id="rId1479" display="https://acf.gov/css/policy-guidance/updated-interstate-child-support-policy" xr:uid="{9A670511-3A53-4FC6-A2A8-419D2F5ACCE7}"/>
    <hyperlink ref="E1539" r:id="rId1480" display="https://acf.gov/css/policy-guidance/2020-revisions-iwo-form-and-instructions" xr:uid="{E2104052-076D-43E5-B147-5AF69F767D8B}"/>
    <hyperlink ref="E1540" r:id="rId1481" display="https://acf.gov/css/policy-guidance/nprm-optional-exceptions-child-support-guidelines" xr:uid="{DB08E8A8-40B1-44B4-8EA9-BB5F8FD79874}"/>
    <hyperlink ref="E1541" r:id="rId1482" display="https://acf.gov/css/policy-guidance/submit-revised-state-iv-d-plan-page-38-3-comply-technical-corrections-final" xr:uid="{65272D9A-C469-4476-95DB-000AAC043D0C}"/>
    <hyperlink ref="E1542" r:id="rId1483" display="https://acf.gov/css/policy-guidance/final-rule-child-support-technical-corrections" xr:uid="{17CA4ACC-08E7-4982-A547-315371317FEF}"/>
    <hyperlink ref="E1543" r:id="rId1484" display="https://acf.gov/css/policy-guidance/delayed-implementation-revised-ocse-157-data-report-oct-1-2021" xr:uid="{60277DEF-8C40-424F-9E29-95B7E669B17B}"/>
    <hyperlink ref="E1544" r:id="rId1485" display="https://acf.gov/css/policy-guidance/hague-child-support-convention-forms-renewal-expire-feb-28-2023" xr:uid="{E62D0485-3AB5-4F63-A117-85DE582DBBC3}"/>
    <hyperlink ref="E1545" r:id="rId1486" display="https://acf.gov/css/policy-guidance/extension-tribal-annual-data-report-form-ocse-75-and-tribal-narrative" xr:uid="{DC90E9AD-F000-4D40-8A05-61E7BADD1B5F}"/>
    <hyperlink ref="E1546" r:id="rId1487" display="https://acf.gov/css/policy-guidance/resubmission-state-plan-cover-page-and-316" xr:uid="{C7CCCA55-7A1A-48F6-9FD7-19EE62A09F25}"/>
    <hyperlink ref="E1547" r:id="rId1488" display="https://acf.gov/css/policy-guidance/reinvesting-child-support-incentive-payments" xr:uid="{41980513-995F-4FFC-9D46-7EAB9A2D6916}"/>
    <hyperlink ref="E1548" r:id="rId1489" display="https://acf.gov/css/policy-guidance/exemption-requests-mandatory-laws-and-procedures" xr:uid="{1F636E72-AED7-4F78-9952-DC102844FC17}"/>
    <hyperlink ref="E1549" r:id="rId1490" display="https://acf.gov/css/policy-guidance/update-revised-part-national-medical-support-notice-and-instructions" xr:uid="{8DD98638-581C-42E2-AD9A-C17DC2F0F7DE}"/>
    <hyperlink ref="E1550" r:id="rId1491" display="https://acf.gov/css/policy-guidance/revised-part-national-medical-support-notice-nmsn-and-instructions" xr:uid="{7550DDFF-409E-4AB4-8241-2A9B015375B7}"/>
    <hyperlink ref="E1551" r:id="rId1492" display="https://acf.gov/css/policy-guidance/state-self-assessment-report-extended-until-april-30-2022" xr:uid="{43E28EF3-F391-498E-B430-BEC16B5E0B8F}"/>
    <hyperlink ref="E1552" r:id="rId1493" display="https://acf.gov/css/policy-guidance/nprm-2018-child-support-technical-corrections" xr:uid="{2B38BC2A-9CD0-476C-9DA6-D60C885CB1C7}"/>
    <hyperlink ref="E1553" r:id="rId1494" display="https://acf.gov/css/policy-guidance/compliance-medical-support-final-rule-requirements" xr:uid="{44533931-656F-4DD1-8806-8B7892907A07}"/>
    <hyperlink ref="E1554" r:id="rId1495" display="https://acf.gov/css/policy-guidance/availability-ffp-making-arrests-pursuant-appropriate-state-process-updated" xr:uid="{C489B628-903F-46DB-B848-D041BB66C568}"/>
    <hyperlink ref="E1555" r:id="rId1496" display="https://acf.gov/css/policy-guidance/modernizing-child-support-enforcement-fees" xr:uid="{E47B4540-D82C-4ACD-8DE3-D7B582B5CAD4}"/>
    <hyperlink ref="E1556" r:id="rId1497" display="https://acf.gov/css/policy-guidance/extension-ocse-34-and-ocse-396-forms-expire-december-31-2020" xr:uid="{DB6C5FBF-E759-483E-9EF2-2180A8187DC9}"/>
    <hyperlink ref="E1557" r:id="rId1498" display="https://acf.gov/css/policy-guidance/base-year-level-spending-reminder" xr:uid="{386D4B54-BDCA-414B-A063-08C22261EB8B}"/>
    <hyperlink ref="E1558" r:id="rId1499" display="https://acf.gov/css/policy-guidance/2017-update-automated-systems-child-support-enforcement-guide-states" xr:uid="{D3419772-79F7-4124-9345-659103391542}"/>
    <hyperlink ref="E1559" r:id="rId1500" display="https://acf.gov/css/policy-guidance/extension-ocse-157-annual-data-report-july-2020" xr:uid="{92F660B0-0303-4EC4-BFDC-4C8D6BC1257E}"/>
    <hyperlink ref="E1560" r:id="rId1501" display="https://acf.gov/css/policy-guidance/interstate-child-support-payment-processing" xr:uid="{5673E7B6-3F89-4096-84DC-50949C460167}"/>
    <hyperlink ref="E1561" r:id="rId1502" display="https://acf.gov/css/policy-guidance/omb-approved-hague-child-support-convention-forms" xr:uid="{275292AA-CBB1-41C4-A942-5735FF42B0E1}"/>
    <hyperlink ref="E1562" r:id="rId1503" display="https://acf.gov/css/policy-guidance/extension-form-ocse-75-and-tribal-narrative" xr:uid="{75E7D43F-A493-4718-AB85-23E4BF97A1C4}"/>
    <hyperlink ref="E1563" r:id="rId1504" display="https://acf.gov/css/policy-guidance/revisions-and-resubmission-state-iv-d-plan-pages-comply-fem" xr:uid="{81512A86-7275-436B-83E3-BD1B01EDD21B}"/>
    <hyperlink ref="E1564" r:id="rId1505" display="https://acf.gov/css/policy-guidance/final-rule-flexibility-efficiency-and-modernization-child-support-enforcement" xr:uid="{6BB4E20F-AFBA-4E64-9255-70C48E9F0815}"/>
    <hyperlink ref="E1565" r:id="rId1506" display="https://acf.gov/css/policy-guidance/correctly-withholding-child-support-weekly-and-biweekly-pay-cycles" xr:uid="{5B09575C-FAC1-48F0-B5F5-489A99970D33}"/>
    <hyperlink ref="E1566" r:id="rId1507" display="https://acf.gov/css/policy-guidance/timeframe-distribute-tax-offsets-referred-fraud" xr:uid="{310B04B4-EEA7-4A28-8D75-2EDAEE876493}"/>
    <hyperlink ref="E1567" r:id="rId1508" display="https://acf.gov/css/policy-guidance/automated-state-plan-submission-and-review-process" xr:uid="{F8BD097F-6D9F-4384-963E-5F646CCFEF89}"/>
    <hyperlink ref="E1568" r:id="rId1509" display="https://acf.gov/css/policy-guidance/nprm-flexibility-efficiency-and-modernization-child-support-enforcement" xr:uid="{2115EB47-C599-4D77-B61C-AEE13BF74954}"/>
    <hyperlink ref="E1569" r:id="rId1510" display="https://acf.gov/css/policy-guidance/e-iwo-implementation-and-amendment-title-iv-d-state-plan-preprint-page-38-3" xr:uid="{386BA9CD-2F35-424E-828E-A1F75D89CE41}"/>
    <hyperlink ref="E1570" r:id="rId1511" display="https://acf.gov/css/policy-guidance/pl-113-183-uifsa-2008-enactment" xr:uid="{0CE7B429-65D1-48D1-8C1A-810AF385F9C3}"/>
    <hyperlink ref="E1571" r:id="rId1512" display="https://acf.gov/css/policy-guidance/hr-4980-preventing-sex-trafficking-and-strengthening-families-act-2014" xr:uid="{A1A73808-82EF-47BF-A679-C0F5438B8B49}"/>
    <hyperlink ref="E1572" r:id="rId1513" display="https://acf.gov/css/policy-guidance/notice-sf-424m-annual-submission-requirement" xr:uid="{14614EA4-498D-4421-8B19-2FF8C2B5FD83}"/>
    <hyperlink ref="E1573" r:id="rId1514" display="https://acf.gov/css/policy-guidance/tribal-apd-process-and-mts-frequently-asked-questions" xr:uid="{1916455C-008E-4BD2-A01E-B0B5EF0F5E77}"/>
    <hyperlink ref="E1574" r:id="rId1515" display="https://acf.gov/css/policy-guidance/turner-v-rogers-guidance" xr:uid="{CC503E00-05CB-4A06-9902-D500F7B4D257}"/>
    <hyperlink ref="E1575" r:id="rId1516" display="https://acf.gov/css/policy-guidance/reporting-adoptions-ocse-157-child-support-enforcement-annual-data-report" xr:uid="{31F953F5-B850-43E3-9ABD-DC3FAFFB6303}"/>
    <hyperlink ref="E1576" r:id="rId1517" display="https://acf.gov/css/policy-guidance/notice-changes-ocse-157-form-regarding-medical-support" xr:uid="{A9917E0A-18D0-4308-82D3-4C251F54A440}"/>
    <hyperlink ref="E1577" r:id="rId1518" display="https://acf.gov/css/policy-guidance/project-save-our-children-psoc-procedures" xr:uid="{B4AF7AD3-BE03-4D06-8C1D-207E56FE047B}"/>
    <hyperlink ref="E1578" r:id="rId1519" display="https://acf.gov/css/policy-guidance/final-rule-safeguarding-child-support-information" xr:uid="{DA88C8CC-B3F7-4AAF-89C0-0DDDC863C2C4}"/>
    <hyperlink ref="E1579" r:id="rId1520" display="https://acf.gov/css/policy-guidance/alternative-methods-meet-monthly-notification-requirement" xr:uid="{86FFE850-E002-4143-BBD4-BBC37B720F52}"/>
    <hyperlink ref="E1580" r:id="rId1521" display="https://acf.gov/css/policy-guidance/final-rule-state-systems-advance-planning-document-process" xr:uid="{B08708C7-4728-483D-9D1F-CAF0B405E92A}"/>
    <hyperlink ref="E1581" r:id="rId1522" display="https://acf.gov/css/policy-guidance/final-rule-intergovernmental-child-support" xr:uid="{F2844C95-EACE-4152-97EC-FF8012B9E504}"/>
    <hyperlink ref="E1582" r:id="rId1523" display="https://acf.gov/css/policy-guidance/continuation-annual-state-self-assessment-review-and-report" xr:uid="{52249033-5848-4E06-9D48-7C6393B93E0C}"/>
    <hyperlink ref="E1583" r:id="rId1524" display="https://acf.gov/css/policy-guidance/collection-and-enforcement-past-due-child-support-obligations" xr:uid="{67A8B281-F1EF-4359-B625-AF1A4DE85A70}"/>
    <hyperlink ref="E1584" r:id="rId1525" display="https://acf.gov/css/policy-guidance/nprm-safeguarding-child-support-information" xr:uid="{63136667-62CC-4F1F-8AEB-AF4850F725AB}"/>
    <hyperlink ref="E1585" r:id="rId1526" display="https://acf.gov/css/policy-guidance/final-rule-computerized-tribal-iv-d-systems-and-office-automation" xr:uid="{4E8B4821-C14E-46E1-A21A-435E7E2872CE}"/>
    <hyperlink ref="E1586" r:id="rId1527" display="https://acf.gov/css/policy-guidance/final-rule-child-support-provisions-deficit-reduction-act-2005" xr:uid="{340A03C4-BD4C-4267-B9F5-B1244A241C1F}"/>
    <hyperlink ref="E1587" r:id="rId1528" display="https://acf.gov/css/policy-guidance/nprm-child-support-enforcement-program-intergovernmental-child-support" xr:uid="{E2DC7576-9117-41E0-8B07-EC4D3F5A983F}"/>
    <hyperlink ref="E1588" r:id="rId1529" display="https://acf.gov/css/policy-guidance/final-rule-state-parent-locator-service-safeguarding-child-support-information" xr:uid="{CEA50F5F-E460-4FD0-85D1-3465F86A181F}"/>
    <hyperlink ref="E1589" r:id="rId1530" display="https://acf.gov/css/policy-guidance/final-rule-child-support-enforcement-program-medical-support" xr:uid="{BE98CB85-AEBC-43F9-9AA7-8539A0BB48BB}"/>
    <hyperlink ref="E1590" r:id="rId1531" display="https://acf.gov/css/policy-guidance/nprm-computerized-tribal-iv-d-systems-and-office-automation-and-consultations" xr:uid="{0D91EFA1-2329-4A5C-A856-8F5FC0448924}"/>
    <hyperlink ref="E1591" r:id="rId1532" display="https://acf.gov/css/policy-guidance/implementing-section-466a14-social-security-act" xr:uid="{D4596BC6-839E-4929-960D-3D67335D2908}"/>
    <hyperlink ref="E1592" r:id="rId1533" display="https://acf.gov/css/policy-guidance/nprm-state-systems-advance-planning-document-apd-process" xr:uid="{B6D3F22F-1188-404A-B3DF-AF25D2A3F406}"/>
    <hyperlink ref="E1593" r:id="rId1534" display="https://acf.gov/css/policy-guidance/assignment-and-distribution-child-support-under-sections-408a3-and-457-social" xr:uid="{7AD6F619-3EC3-44CE-A33F-3904286E08C1}"/>
    <hyperlink ref="E1594" r:id="rId1535" display="https://acf.gov/css/policy-guidance/recommended-state-child-support-enforcement-program-self-assessment-report" xr:uid="{2F7C2AE7-B698-4BD0-A14C-A9FCF2FC2F2E}"/>
    <hyperlink ref="E1595" r:id="rId1536" display="https://acf.gov/css/policy-guidance/coordination-between-tanf-and-cse-programs-deficit-reduction-act-2005" xr:uid="{5DAD2B45-2BBB-4350-B610-A036D5B4B060}"/>
    <hyperlink ref="E1596" r:id="rId1537" display="https://acf.gov/css/policy-guidance/nprm-implementing-provisions-title-iv-d-social-security-act-amended-deficit" xr:uid="{10868760-3BA7-494C-9420-6B7641C736C2}"/>
    <hyperlink ref="E1597" r:id="rId1538" display="https://acf.gov/css/policy-guidance/revisions-ocse-financial-reporting-instructions-fy-2007" xr:uid="{528A19C5-C9AC-4727-8523-3BFB7B672244}"/>
    <hyperlink ref="E1598" r:id="rId1539" display="https://acf.gov/css/policy-guidance/issues-regarding-child-support-provisions-new-federal-bankruptcy-law-pl109-8" xr:uid="{9C44B1B6-54E9-4A50-AFB1-F5DB0F65342C}"/>
    <hyperlink ref="E1599" r:id="rId1540" display="https://acf.gov/css/policy-guidance/nprm-child-support-enforcement-program-medical-support" xr:uid="{ADC32679-74BD-4F6E-B160-529ECF50988E}"/>
    <hyperlink ref="E1600" r:id="rId1541" display="https://acf.gov/css/policy-guidance/policy-clarifications-automated-systems-title-iv-d-child-support-enforcement" xr:uid="{979BAC17-C780-4C64-943F-1AB1B059FC65}"/>
    <hyperlink ref="E1601" r:id="rId1542" display="https://acf.gov/css/policy-guidance/final-rule-reasonable-quantitative-standards-review-and-adjustment-child" xr:uid="{FCCB5DEA-DE28-4612-90A7-883B8C88DAA7}"/>
    <hyperlink ref="E1602" r:id="rId1543" display="https://acf.gov/css/policy-guidance/child-support-provision-deficit-reduction-act-2005" xr:uid="{18C2CF20-4CB8-4FAD-97A1-97A67D9C1B09}"/>
    <hyperlink ref="E1603" r:id="rId1544" display="https://acf.gov/css/policy-guidance/nprm-state-parent-locator-service-safeguarding-child-support-information" xr:uid="{39858F64-2A8D-4113-BC8E-6CA0ED39EAEF}"/>
    <hyperlink ref="E1604" r:id="rId1545" display="https://acf.gov/css/policy-guidance/annual-data-report-instructions-completing-revised-ocse-157-form" xr:uid="{A7A2D6FB-32CD-47ED-82A3-E57C2D2E6715}"/>
    <hyperlink ref="E1605" r:id="rId1546" display="https://acf.gov/css/policy-guidance/miscellaneous-issues-regarding-45-cfr-part-309-tribal-child-support-enforcement" xr:uid="{F22343C4-3B7D-4D7E-9C0D-D5D9C6175088}"/>
    <hyperlink ref="E1606" r:id="rId1547" display="https://acf.gov/css/policy-guidance/final-rule-tribal-child-support-program-systems-and-financial-policy-questions" xr:uid="{1DD25E97-4E7E-45D7-BE58-BEF2697023F0}"/>
    <hyperlink ref="E1607" r:id="rId1548" display="https://acf.gov/css/policy-guidance/interim-final-rule-quantitative-standards-review-and-adjustment-child-support" xr:uid="{1C80A7AB-7B6F-4819-B2A8-4D144E31985E}"/>
    <hyperlink ref="E1608" r:id="rId1549" display="https://acf.gov/css/policy-guidance/schedule-udc-financial-reporting-form-itemized-undistributed-collections" xr:uid="{F99D142F-60FE-488C-A4B3-DEADD1A3EE34}"/>
    <hyperlink ref="E1609" r:id="rId1550" display="https://acf.gov/css/policy-guidance/final-rule-federal-tax-refund-offset" xr:uid="{85091829-4399-4826-A96E-D86E48EDF0E5}"/>
    <hyperlink ref="E1610" r:id="rId1551" display="https://acf.gov/css/policy-guidance/final-rule-tribal-child-support-enforcement-programs" xr:uid="{EAF3D3AC-FDAA-4D04-A9CA-FF4ACC16DEFC}"/>
    <hyperlink ref="E1611" r:id="rId1552" display="https://acf.gov/css/policy-guidance/requests-information-fpls-parental-kidnapping-child-custody-or-visitation" xr:uid="{FB5A1C66-419B-4EBB-9DE2-5CE023F436B9}"/>
    <hyperlink ref="E1612" r:id="rId1553" display="https://acf.gov/css/policy-guidance/submission-latest-security-review-findings-and-determination-compliance-part-95" xr:uid="{C5E396E1-F651-4502-B806-9F3FA36E9C4B}"/>
    <hyperlink ref="E1613" r:id="rId1554" display="https://acf.gov/css/policy-guidance/interim-final-rule-comment-period-federal-tax-refund-offset" xr:uid="{6452987E-91A2-4FB5-85CC-A3D3691394AD}"/>
    <hyperlink ref="E1614" r:id="rId1555" display="https://acf.gov/css/policy-guidance/technical-corrections-final-rule" xr:uid="{C0EACBAE-AC5F-49EB-93DF-7A44F0E888F1}"/>
    <hyperlink ref="E1615" r:id="rId1556" display="https://acf.gov/css/policy-guidance/providing-fpls-locate-services-agent-child-child-support-purposes" xr:uid="{F84913FC-CFDD-4231-8148-72FDD885AFE4}"/>
    <hyperlink ref="E1616" r:id="rId1557" display="https://acf.gov/css/policy-guidance/applicability-full-faith-and-credit-child-support-orders-act-states-and-tribes" xr:uid="{6877746C-EA31-4C64-829F-7542D342538B}"/>
    <hyperlink ref="E1617" r:id="rId1558" display="https://acf.gov/css/policy-guidance/requesting-exemption-mandatory-law-and-procedure-section-466f-social-security" xr:uid="{BC01FEBF-03F4-44F5-82D1-D9608D2C3309}"/>
    <hyperlink ref="E1618" r:id="rId1559" display="https://acf.gov/css/policy-guidance/clarification-time-deposit-accounts-related-financial-institution-data-matches" xr:uid="{E90DCE78-F4EA-49A8-936D-FC759BA85EEF}"/>
    <hyperlink ref="E1619" r:id="rId1560" display="https://acf.gov/css/policy-guidance/reinvestment-child-support-incentive-payments" xr:uid="{FE8649DE-FB70-4AEE-89FC-A1279504C37C}"/>
    <hyperlink ref="E1620" r:id="rId1561" display="https://acf.gov/css/policy-guidance/final-rule-national-medical-support-notice" xr:uid="{9A2A0968-582E-4B09-B2F0-11DAEAEFE4F7}"/>
    <hyperlink ref="E1621" r:id="rId1562" display="https://acf.gov/css/policy-guidance/final-rule-incentives-penalties-and-audit" xr:uid="{E064E2B7-FA2A-4770-96F1-5519CBA9DF99}"/>
    <hyperlink ref="E1622" r:id="rId1563" display="https://acf.gov/css/policy-guidance/final-rule-state-self-assessment" xr:uid="{3041CBBD-10C4-4201-BE5A-0589ED197238}"/>
    <hyperlink ref="E1623" r:id="rId1564" display="https://acf.gov/css/policy-guidance/questions-and-responses-regarding-collaborative-efforts-iv-d-agencies-and" xr:uid="{891036ED-7EB0-4EAD-B1D3-DF7385BBD2E1}"/>
    <hyperlink ref="E1624" r:id="rId1565" display="https://acf.gov/css/policy-guidance/nprm-and-interim-final-rule-tribal-child-support-enforcement-programs" xr:uid="{1CA2B508-9136-497B-B733-511E75E8C4E4}"/>
    <hyperlink ref="E1625" r:id="rId1566" display="https://acf.gov/css/policy-guidance/consideration-ffp-state-system-acquisitions-without-prior-approval" xr:uid="{5621CE08-AFFC-43B2-9816-8E5F9C75F1BB}"/>
    <hyperlink ref="E1626" r:id="rId1567" display="https://acf.gov/css/policy-guidance/nprm-national-medical-support-notice" xr:uid="{476AEAFF-19BB-465F-9DE4-DF07567644E4}"/>
    <hyperlink ref="E1627" r:id="rId1568" display="https://acf.gov/css/policy-guidance/nprm-incentives-penalties-and-audit" xr:uid="{373766BC-E42D-4AF0-83F5-C50F20363ADD}"/>
    <hyperlink ref="E1628" r:id="rId1569" display="https://acf.gov/css/policy-guidance/definition-assistance-paid-family-child-support-enforcement-collection-purposes" xr:uid="{38B6B278-F6C7-4799-9082-7CFBC9EF3128}"/>
    <hyperlink ref="E1629" r:id="rId1570" display="https://acf.gov/css/policy-guidance/policy-questions-and-responses-regarding-requests-information-fpls" xr:uid="{01724364-3099-4D59-8826-98AE223EE172}"/>
    <hyperlink ref="E1630" r:id="rId1571" display="https://acf.gov/css/policy-guidance/reduction-penalty-states-failing-meet-statewide-automated-systems-deadline" xr:uid="{3B087AE5-5D8E-4218-8805-7FDC643BC536}"/>
    <hyperlink ref="E1631" r:id="rId1572" display="https://acf.gov/css/policy-guidance/final-rule-grants-states-access-and-visitation-programs" xr:uid="{87736E02-035A-4FF8-BA09-B69D8078AB46}"/>
    <hyperlink ref="E1632" r:id="rId1573" display="https://acf.gov/css/policy-guidance/policy-questions-and-responses-regarding-ndnh-and-sdnh" xr:uid="{8D8C4722-037B-4753-A8E1-3BA45442B88D}"/>
    <hyperlink ref="E1633" r:id="rId1574" display="https://acf.gov/css/policy-guidance/distribution-addendum-state-systems-apd-guide-child-support-enforcement-systems" xr:uid="{1DC38DBC-53E5-44E5-AEFE-01DE6CD2CE54}"/>
    <hyperlink ref="E1634" r:id="rId1575" display="https://acf.gov/css/policy-guidance/final-rule-case-closure-criteria-45-cfr-part-303" xr:uid="{AB0231E2-F564-496D-A627-B1D2FC071861}"/>
    <hyperlink ref="E1635" r:id="rId1576" display="https://acf.gov/css/policy-guidance/final-rule-implementing-part-paternity-establishment-provisions-prwora" xr:uid="{F1396B64-728F-4CE6-8CDF-FAC755D64BE1}"/>
    <hyperlink ref="E1636" r:id="rId1577" display="https://acf.gov/css/policy-guidance/interim-final-rule-conforming-child-support-enforcement-rules-prwora" xr:uid="{6AA09B89-29AF-4E01-AD34-04E50C903E6C}"/>
    <hyperlink ref="E1637" r:id="rId1578" display="https://acf.gov/css/policy-guidance/prwora-requiring-placement-family-violence-indicator" xr:uid="{8EDCCDD2-989A-4679-8733-E20D4D40F240}"/>
    <hyperlink ref="E1638" r:id="rId1579" display="https://acf.gov/css/policy-guidance/final-rule-standards-program-operations-program-automation" xr:uid="{C6B7A6FC-EDF8-4543-8D30-5549ED530F8A}"/>
    <hyperlink ref="E1639" r:id="rId1580" display="https://acf.gov/css/policy-guidance/final-rule-allocation-80-percent-matching-funds" xr:uid="{08D9FE1A-FCF1-4A68-993A-7880B55323AB}"/>
    <hyperlink ref="E1640" r:id="rId1581" display="https://acf.gov/css/policy-guidance/instructions-distribution-child-support-definition-assistance-paid-family" xr:uid="{6C5F84A3-05C9-4297-9A9D-798576178D98}"/>
    <hyperlink ref="E1641" r:id="rId1582" display="https://acf.gov/css/policy-guidance/final-rule-standards-program-operations-quarterly-wage-and-unemployment" xr:uid="{BE762DFA-9D32-4A15-842E-013B10DEA4CB}"/>
    <hyperlink ref="E1642" r:id="rId1583" display="https://acf.gov/css/policy-guidance/alternative-system-configuration-implement-automation-provisions-cspia-1998" xr:uid="{EAC02F54-253D-479F-9B5E-773D054DD382}"/>
    <hyperlink ref="E1643" r:id="rId1584" display="https://acf.gov/css/policy-guidance/alternative-penalty-states-which-fail-implement-statewide-automated-systems" xr:uid="{28430537-037F-4232-B84D-ED03961D36F7}"/>
    <hyperlink ref="E1644" r:id="rId1585" display="https://acf.gov/css/policy-guidance/cooperative-agreements-between-indian-tribes-and-state-iv-d-agencies" xr:uid="{2D3CFEAB-E482-4B6D-8F60-F0CD492121D9}"/>
    <hyperlink ref="E1645" r:id="rId1586" display="https://acf.gov/css/policy-guidance/payment-procedures-recover-delinquent-child-support-noncustodial-parents" xr:uid="{B02E8A6D-DFC2-42A2-BDD6-B62D458DD58B}"/>
    <hyperlink ref="E1646" r:id="rId1587" display="https://acf.gov/css/policy-guidance/instructions-completing-form-ocse-157-child-support-enforcement-annual-data" xr:uid="{E06792CA-446C-4ACD-9E51-63665D8B8DA9}"/>
    <hyperlink ref="E1647" r:id="rId1588" display="https://acf.gov/css/policy-guidance/financial-distribution-test-deck-generator-child-support-distributions-under" xr:uid="{2775F52F-C004-4CE3-A40C-62C353C8EF1D}"/>
    <hyperlink ref="E1648" r:id="rId1589" display="https://acf.gov/css/policy-guidance/request-comments-automation-requirements-under-prwora" xr:uid="{2AAD5E34-DCA3-42A5-8EE5-9A0C73316396}"/>
    <hyperlink ref="E1649" r:id="rId1590" display="https://acf.gov/css/policy-guidance/nprm-prwora-child-support-enforcement-program-automation" xr:uid="{8531930A-31BA-4DF6-AA31-EA2D38AAD413}"/>
    <hyperlink ref="E1650" r:id="rId1591" display="https://acf.gov/css/policy-guidance/implementation-hold-harmless-provision-state-share-child-support-collections" xr:uid="{AB7E436E-54A8-4F65-88A6-E052A2071C65}"/>
    <hyperlink ref="E1651" r:id="rId1592" display="https://acf.gov/css/policy-guidance/nprm-automated-data-processing-funding-limitation-child-support-enforcement" xr:uid="{7BEB79AB-FD49-46C5-9AA4-10BBC88651B6}"/>
    <hyperlink ref="E1652" r:id="rId1593" display="https://acf.gov/css/policy-guidance/policy-responses-regarding-state-case-registry-and-federal-case-registry" xr:uid="{100456E2-5382-44F4-84B8-7B4E44D34A0A}"/>
    <hyperlink ref="E1653" r:id="rId1594" display="https://acf.gov/css/policy-guidance/financial-institution-data-match-requirements-under-prwora" xr:uid="{5E9AB3DA-F5D1-4F5E-8D0F-A86FC2B2379B}"/>
    <hyperlink ref="E1654" r:id="rId1595" display="https://acf.gov/css/policy-guidance/nprm-paternity-establishment-provisions-contained-section-331-prwora" xr:uid="{65FA9A47-0FB3-4A50-B010-B4FE587CDFDF}"/>
    <hyperlink ref="E1655" r:id="rId1596" display="https://acf.gov/css/policy-guidance/nprm-reporting-quarterly-wage-and-unemployment-compensation-claims-data-ndnh" xr:uid="{A68547FB-EEF9-4268-94DD-6443E538D7C8}"/>
    <hyperlink ref="E1656" r:id="rId1597" display="https://acf.gov/css/policy-guidance/instructions-distribution-child-support-under-section-457-social-security-act" xr:uid="{7FABB411-E8D7-4CA2-B715-C83103C78E83}"/>
    <hyperlink ref="E1657" r:id="rId1598" display="https://acf.gov/css/policy-guidance/collection-and-disbursement-support-payments" xr:uid="{BE57850D-9539-4F5D-801A-995F100DAE30}"/>
    <hyperlink ref="E1658" r:id="rId1599" display="https://acf.gov/css/policy-guidance/policy-questions-and-responses-miscellaneous-issues-regarding-prwora" xr:uid="{A4646981-3AD8-4B35-A409-30035DB674B8}"/>
    <hyperlink ref="E1659" r:id="rId1600" display="https://acf.gov/css/policy-guidance/revisions-title-iv-d-state-plan-preprint-due-september-1997" xr:uid="{9025AF64-87B2-4012-9668-4AEC83D35AFC}"/>
    <hyperlink ref="E1660" r:id="rId1601" display="https://acf.gov/css/policy-guidance/reduction-federal-financial-participation-ffp-rates-child-support-enforcement" xr:uid="{BE7F7CB9-F4F6-456A-A4DA-5EBDFFD2CE2B}"/>
    <hyperlink ref="E1661" r:id="rId1602" display="https://acf.gov/css/policy-guidance/procedures-determining-state-iv-d-plan-disapproved" xr:uid="{1A8A6B06-8D4F-4575-BDDB-5F40F289C4A9}"/>
    <hyperlink ref="E1662" r:id="rId1603" display="https://acf.gov/css/policy-guidance/requesting-exemption-mandatory-laws-and-procedures-section-466-act" xr:uid="{7A4B350E-71FB-4E33-87E4-93E06AD1CE4C}"/>
    <hyperlink ref="E1663" r:id="rId1604" display="https://acf.gov/css/policy-guidance/recoupment-federal-share-collections-made-behalf-children-foster-care" xr:uid="{0E9D390A-1A48-4E51-AA45-31E09BE44544}"/>
    <hyperlink ref="E1664" r:id="rId1605" display="https://acf.gov/css/policy-guidance/availability-federal-financial-participation-enhanced-rate-under-prwora" xr:uid="{62B378A1-F5E1-47B4-ACDB-DBCAFED7D068}"/>
    <hyperlink ref="E1665" r:id="rId1606" display="https://acf.gov/css/policy-guidance/final-rule-revisions-presidents-reform-initiative-certified-statewide-systems" xr:uid="{D34B839C-3F4D-4F94-AB58-32B651C4D37E}"/>
    <hyperlink ref="E1666" r:id="rId1607" display="https://acf.gov/css/policy-guidance/revision-title-iv-d-state-plan-preprint-computerized-support-enforcement" xr:uid="{4FD5DD03-92E4-40E9-86E0-6D22FCD0B1E4}"/>
    <hyperlink ref="E1667" r:id="rId1608" display="https://acf.gov/css/policy-guidance/recoupment-federal-share-collections-and-payment-child-support-incentives-under" xr:uid="{C7AD4948-4E62-4DD9-9A0C-29FE057280EC}"/>
    <hyperlink ref="E1668" r:id="rId1609" display="https://acf.gov/css/policy-guidance/collection-child-support-irs-through-federal-income-tax-refunds-offset-1996" xr:uid="{CB88D39C-93E5-4675-A4EE-8E1126A2B250}"/>
    <hyperlink ref="E1669" r:id="rId1610" display="https://acf.gov/css/policy-guidance/nprm-consumer-reporting-agencies-certified-statewide-systems-presidents-reform" xr:uid="{F38DA73E-ECCD-41A5-A518-87DC2BFE33A2}"/>
    <hyperlink ref="E1670" r:id="rId1611" display="https://acf.gov/css/policy-guidance/charge-backs-ocse-printing-and-processing-ocse-issued-pre-offset-notices" xr:uid="{E0581904-C086-40D5-AEEE-9A0042ABE892}"/>
    <hyperlink ref="E1671" r:id="rId1612" display="https://acf.gov/css/policy-guidance/final-rule-processing-garnishment-orders-child-support-and/or-alimony-3" xr:uid="{A0C505F9-2F16-4C2C-A654-FB69ED2E4E42}"/>
    <hyperlink ref="E1672" r:id="rId1613" display="https://acf.gov/css/policy-guidance/final-rule-paternity-establishment-and-revision-child-support-audit-regulations" xr:uid="{9DF0D4EA-15BD-463F-B2EB-49628CCE2740}"/>
    <hyperlink ref="E1673" r:id="rId1614" display="https://acf.gov/css/policy-guidance/collection-child-support-irs-through-federal-income-tax-refunds-offset-1994" xr:uid="{9D710152-C3E7-4407-B494-B2DAC70EA40F}"/>
    <hyperlink ref="E1674" r:id="rId1615" display="https://acf.gov/css/policy-guidance/elimination-annual-three-year-hardware-and-software-configuration-plan" xr:uid="{F30E83B8-D837-47FB-9359-894A1A1DD9F3}"/>
    <hyperlink ref="E1675" r:id="rId1616" display="https://acf.gov/css/policy-guidance/charge-backs-child-support-enforcement-network-csenet-usage" xr:uid="{90C5E66C-E4B4-40D3-BECA-F489A4FDB852}"/>
    <hyperlink ref="E1676" r:id="rId1617" display="https://acf.gov/css/policy-guidance/revised-program-instructions-immediate-wage-withholding" xr:uid="{33FC5109-BC73-4228-82C6-EA1C4416B948}"/>
    <hyperlink ref="E1677" r:id="rId1618" display="https://acf.gov/css/policy-guidance/nprm-paternity-establishment-provisions-omnibus-budget-reconciliation-act-1993" xr:uid="{865E3C74-4645-4689-8124-49095B6652DC}"/>
    <hyperlink ref="E1678" r:id="rId1619" display="https://acf.gov/css/policy-guidance/nprm-revision-child-support-enforcement-program-and-audit-regulations" xr:uid="{0ECF9208-71A0-411D-8E1E-B02B9B232FC9}"/>
    <hyperlink ref="E1679" r:id="rId1620" display="https://acf.gov/css/policy-guidance/final-rule-safeguarding-information-federal-income-tax-refund-offset" xr:uid="{2FD8645C-30EC-4CB2-8FC4-EB5775AEB023}"/>
    <hyperlink ref="E1680" r:id="rId1621" display="https://acf.gov/css/policy-guidance/final-rule-processing-garnishment-orders-child-support-and/or-alimony-1" xr:uid="{C9385895-6C55-4B93-9ABE-2412ADE74DAF}"/>
    <hyperlink ref="E1681" r:id="rId1622" display="https://acf.gov/css/policy-guidance/clarification-use-presumptive-guidelines-establishment-support/collection" xr:uid="{78CC30B9-4891-44CD-A744-DFAA0D6AAC9C}"/>
    <hyperlink ref="E1682" r:id="rId1623" display="https://acf.gov/css/policy-guidance/requirements-immediate-wage-withholding-all-orders-not-being-enforced-under" xr:uid="{1B1767F0-27DA-43BC-8FC9-8E184642AE53}"/>
    <hyperlink ref="E1683" r:id="rId1624" display="https://acf.gov/css/policy-guidance/use-presumptive-child-support-guidelines-establish-and-collect-support" xr:uid="{5C027CB7-441E-42DA-AC8A-6B99F636D4E3}"/>
    <hyperlink ref="E1684" r:id="rId1625" display="https://acf.gov/css/policy-guidance/clarification-case-closure-criteria" xr:uid="{DE1D86A3-63D9-4C57-9EAA-99D78B0F42A9}"/>
    <hyperlink ref="E1685" r:id="rId1626" display="https://acf.gov/css/policy-guidance/review-and-adjustment-requirements-child-support-orders-final-rule-correction" xr:uid="{18954A0A-7588-4376-A039-4650BEE74140}"/>
    <hyperlink ref="E1686" r:id="rId1627" display="https://acf.gov/css/policy-guidance/submitting-processing-fees-fpls-non-afdc-cases-locate-only-and-parental" xr:uid="{6F43DBE2-DAF8-4089-B0E0-223B72D6B799}"/>
    <hyperlink ref="E1687" r:id="rId1628" display="https://acf.gov/css/policy-guidance/final-rule-review-and-adjustment-requirements-child-support-orders-effective" xr:uid="{5E860740-7F69-4025-8046-0B812DA209C1}"/>
    <hyperlink ref="E1688" r:id="rId1629" display="https://acf.gov/css/policy-guidance/final-rule-prohibition-federal-funding-costs-guardians-ad-litem-iv-d-actions" xr:uid="{07CD6112-E5AE-4ED9-B350-D2D5102374C2}"/>
    <hyperlink ref="E1689" r:id="rId1630" display="https://acf.gov/css/policy-guidance/final-rule-revision-timeframes-distributing-5000-pass-through-payments" xr:uid="{A4C053AA-B220-4FEC-B83C-16DF3869BED5}"/>
    <hyperlink ref="E1690" r:id="rId1631" display="https://acf.gov/css/policy-guidance/ssns-under-social-security-administrations-enumeration-verification-system" xr:uid="{8D34E688-3BE6-487C-B035-7781C145F75E}"/>
    <hyperlink ref="E1691" r:id="rId1632" display="https://acf.gov/css/policy-guidance/guidance-states-child-support-enforcement-network-csenet-contract-award" xr:uid="{0C62DEC9-A2B9-4F87-98C3-D831C5787034}"/>
    <hyperlink ref="E1692" r:id="rId1633" display="https://acf.gov/css/policy-guidance/fees-submitting-cases-federal-parent-locator-service" xr:uid="{D658A08C-7B71-4A18-865F-D650983D2C9E}"/>
    <hyperlink ref="E1693" r:id="rId1634" display="https://acf.gov/css/policy-guidance/final-rule-income-withholding-review-and-adjustment-notice-assigned-support" xr:uid="{B2470D18-0175-43C3-8A7C-F37B41343CDD}"/>
    <hyperlink ref="E1694" r:id="rId1635" display="https://acf.gov/css/policy-guidance/final-rule-federal-parent-locator-service-fees" xr:uid="{AE0CA677-330D-4513-B89C-D2A10A811F43}"/>
    <hyperlink ref="E1695" r:id="rId1636" display="https://acf.gov/css/policy-guidance/nprm-safeguarding-information-federal-income-tax-refund-offset" xr:uid="{4DE53A22-F05E-4B66-8007-79B73A9C0EDF}"/>
    <hyperlink ref="E1696" r:id="rId1637" display="https://acf.gov/css/policy-guidance/submission-state-plan-page-submitting-advance-planning-document-or-apd-update" xr:uid="{B1B14CEA-9D8B-4988-8CAA-6962A8BA88C2}"/>
    <hyperlink ref="E1697" r:id="rId1638" display="https://acf.gov/css/policy-guidance/nprm-revision-timeframes-distributing-5000-pass-through-payments" xr:uid="{65AB4B68-21C6-45D3-9139-1E3DF82FA48C}"/>
    <hyperlink ref="E1698" r:id="rId1639" display="https://acf.gov/css/policy-guidance/audit-resolution-process-ocse-audits" xr:uid="{04F0A635-BAB0-4012-8E6D-3A3AA75F54EE}"/>
    <hyperlink ref="E1699" r:id="rId1640" display="https://acf.gov/css/policy-guidance/revision-title-iv-d-state-plan-preprint-and-submission-state-plan-pages" xr:uid="{6EA993B6-90FE-4A02-887B-1B240BC54661}"/>
    <hyperlink ref="E1700" r:id="rId1641" display="https://acf.gov/css/policy-guidance/information-absent-parents-forms-1099-wage-and-information-document-master-file" xr:uid="{D4E1448B-8575-478E-A385-E3E8EE25C336}"/>
    <hyperlink ref="E1701" r:id="rId1642" display="https://acf.gov/css/policy-guidance/nprm-prohibition-federal-funding-costs-guardians-ad-litem" xr:uid="{C1BF62FF-806B-40B3-BB3E-66348F9F0AD9}"/>
    <hyperlink ref="E1702" r:id="rId1643" display="https://acf.gov/css/policy-guidance/final-rule-50-pass-through-support-guidelines-mandatory-genetic-testing" xr:uid="{8A745312-ABF4-45D7-9E01-DFF764E2B420}"/>
    <hyperlink ref="E1703" r:id="rId1644" display="https://acf.gov/css/policy-guidance/final-rule-extension-iv-d-child-support-enforcement-services" xr:uid="{D5196445-A5FA-443B-970D-88064D6A098E}"/>
    <hyperlink ref="E1704" r:id="rId1645" display="https://acf.gov/css/policy-guidance/nprm-federal-parent-locator-service-fees" xr:uid="{6244ED30-2A34-49DC-94C4-FD604477855F}"/>
    <hyperlink ref="E1705" r:id="rId1646" display="https://acf.gov/css/policy-guidance/restrictions-use-federal-funds-influence-awarding-federal-grants-or-contracts" xr:uid="{B49CB75B-E66B-4062-A00C-1F86866089AC}"/>
    <hyperlink ref="E1706" r:id="rId1647" display="https://acf.gov/css/policy-guidance/policy-clarification-relating-automated-child-support-enforcement-systems" xr:uid="{CA8AE6C1-0A44-4DEA-9B3F-3C074C96F5FB}"/>
    <hyperlink ref="E1707" r:id="rId1648" display="https://acf.gov/css/policy-guidance/apd-requirements-meet-child-support-system-provision-family-support-act-1988" xr:uid="{989C3569-9317-46B0-87E3-8A1D304B53A4}"/>
    <hyperlink ref="E1708" r:id="rId1649" display="https://acf.gov/css/policy-guidance/nprm-processing-garnishments-child-support-and/or-alimony" xr:uid="{0CD2C24C-2F84-4575-A5E6-0A9CFC36B436}"/>
    <hyperlink ref="E1709" r:id="rId1650" display="https://acf.gov/css/policy-guidance/treatment-interest-earned-non-afdc-child-support-collections" xr:uid="{783F388D-8157-40B5-BBDD-55C704CDB0E8}"/>
    <hyperlink ref="E1710" r:id="rId1651" display="https://acf.gov/css/policy-guidance/nprm-immediate-income-withholding-review-and-modification-notice-support" xr:uid="{42653790-CCB4-4E62-BA20-BB485D94BDE3}"/>
    <hyperlink ref="E1711" r:id="rId1652" display="https://acf.gov/css/policy-guidance/final-rule-standards-program-operations-corrections-notification" xr:uid="{743A9AB9-83E7-420D-BFE2-2F83C3EA0BFB}"/>
    <hyperlink ref="E1712" r:id="rId1653" display="https://acf.gov/css/policy-guidance/birth-registration-and-social-security-numbers" xr:uid="{CA665FD1-EC71-4C6D-8FD7-2F8A79ABF990}"/>
    <hyperlink ref="E1713" r:id="rId1654" display="https://acf.gov/css/policy-guidance/final-rule-child-support-enforcement-program-audit" xr:uid="{AFDBE6B3-749E-43AA-8714-B52671E85287}"/>
    <hyperlink ref="E1714" r:id="rId1655" display="https://acf.gov/css/policy-guidance/interstate-referral-guide-irg" xr:uid="{4972FE27-9A37-4060-814D-8775D79ECC1B}"/>
    <hyperlink ref="E1715" r:id="rId1656" display="https://acf.gov/css/policy-guidance/final-rule-processing-garnishment-orders-child-support-and/or-alimony-0" xr:uid="{746B0BBD-A2C5-4FE4-9B92-317FC17A6487}"/>
    <hyperlink ref="E1716" r:id="rId1657" display="https://acf.gov/css/policy-guidance/nprm-50-pass-through-support-guidelines-genetic-testing-paternity-establishment" xr:uid="{75250717-9B97-47D3-9436-3DA9C469A442}"/>
    <hyperlink ref="E1717" r:id="rId1658" display="https://acf.gov/css/policy-guidance/treatment-income-earned-states-interest-investments-or-other-income" xr:uid="{68F49693-98F6-4713-B35C-DE90A4767126}"/>
    <hyperlink ref="E1718" r:id="rId1659" display="https://acf.gov/css/policy-guidance/final-rule-standards-program-operations-processing-cases-and-distributing" xr:uid="{2C6F1487-D863-44A0-ABC2-9F828D1966C3}"/>
    <hyperlink ref="E1719" r:id="rId1660" display="https://acf.gov/css/policy-guidance/final-rule-cooperative-arrangements" xr:uid="{06F45BB0-88FC-422F-8B34-CDFA66805519}"/>
    <hyperlink ref="E1720" r:id="rId1661" display="https://acf.gov/css/policy-guidance/nprm-cooperation-pursue-third-party-health-coverage" xr:uid="{4CE440B6-9A13-433D-8869-7D8F23A3FFA8}"/>
    <hyperlink ref="E1721" r:id="rId1662" display="https://acf.gov/css/policy-guidance/nprm-extension-iv-d-child-support-enforcement-services" xr:uid="{12D43B21-2258-4BF2-B1CF-1D7FBAAC7206}"/>
    <hyperlink ref="E1722" r:id="rId1663" display="https://acf.gov/css/policy-guidance/revised-minimum-data-elements-required-certifiable-famis-and-cse-systems" xr:uid="{0CD2A8C4-920F-45B3-85C6-73751FE87FFD}"/>
    <hyperlink ref="E1723" r:id="rId1664" display="https://acf.gov/css/policy-guidance/nprm-standards-program-operations-processing-cases-and-distributing-collections" xr:uid="{EC81ABD3-6F00-4450-8837-A06B72907BD2}"/>
    <hyperlink ref="E1724" r:id="rId1665" display="https://acf.gov/css/policy-guidance/final-rule-medical-support-enforcement-1988" xr:uid="{973D0034-208B-4CB9-944F-749C95389464}"/>
    <hyperlink ref="E1725" r:id="rId1666" display="https://acf.gov/css/policy-guidance/child-support-enforcement-program-audit-nprm" xr:uid="{7811D4E9-3E35-4F8F-9AFE-4CC54DF156F7}"/>
    <hyperlink ref="E1726" r:id="rId1667" display="https://acf.gov/css/policy-guidance/revisions-financial-reporting-requirements-conform-recent-legislation" xr:uid="{6CEC5FC5-12F1-4389-9BA0-F45CF390ED5C}"/>
    <hyperlink ref="E1727" r:id="rId1668" display="https://acf.gov/css/policy-guidance/final-rule-federal-income-tax-refund-offset" xr:uid="{7232C60D-4A90-447B-A046-64487716C008}"/>
    <hyperlink ref="E1728" r:id="rId1669" display="https://acf.gov/css/policy-guidance/family-support-act-1988" xr:uid="{E14AF45E-CB96-452F-B34B-AF7534A29EE0}"/>
    <hyperlink ref="E1729" r:id="rId1670" display="https://acf.gov/css/policy-guidance/nprm-cooperative-arrangements" xr:uid="{5F329D8E-70E7-4117-AF99-4B68855BF06E}"/>
    <hyperlink ref="E1730" r:id="rId1671" display="https://acf.gov/css/policy-guidance/final-rule-disregard-child-support-payments-correction-88-11" xr:uid="{E175095F-0AA1-486E-B5D6-DEE26B8288AF}"/>
    <hyperlink ref="E1731" r:id="rId1672" display="https://acf.gov/css/policy-guidance/corrections-final-rule-provision-services-interstate-iv-d-cases" xr:uid="{E662D55E-6B9A-4A28-A38A-4CA60D93B9F9}"/>
    <hyperlink ref="E1732" r:id="rId1673" display="https://acf.gov/css/policy-guidance/final-rule-disregard-child-support-payments" xr:uid="{5E1FCB84-84D2-4467-9E0C-888FE6850080}"/>
    <hyperlink ref="E1733" r:id="rId1674" display="https://acf.gov/css/policy-guidance/prorating-costs-relating-approved-apd-expenditures" xr:uid="{3CD62034-D27C-46D8-B47C-5F05D6B7D354}"/>
    <hyperlink ref="E1734" r:id="rId1675" display="https://acf.gov/css/policy-guidance/assessment-interest-disallowed-claims-federal-financial-participation" xr:uid="{ECA08BA9-4BD1-4341-9F32-FA93B38D9AF7}"/>
    <hyperlink ref="E1735" r:id="rId1676" display="https://acf.gov/css/policy-guidance/final-rule-provision-services-interstate-iv-d-cases" xr:uid="{E17A9421-8DFE-4381-943A-9B0D717A6A58}"/>
    <hyperlink ref="E1736" r:id="rId1677" display="https://acf.gov/css/policy-guidance/final-rule-automatic-data-processing-equipment-and-services-conditions-ffp-1988" xr:uid="{47E77024-8C3B-4B05-9F06-D721FB6B32D7}"/>
    <hyperlink ref="E1737" r:id="rId1678" display="https://acf.gov/css/policy-guidance/retrieval-information-absent-parents-forms-1099-irs" xr:uid="{86619D8C-158B-4C12-B95A-4347D15464DE}"/>
    <hyperlink ref="E1738" r:id="rId1679" display="https://acf.gov/css/policy-guidance/guide-states-seeking-enhanced-funding-computerized-child-support-enforcement" xr:uid="{4812FAF5-25BB-4FFD-BE28-161BC3853FC2}"/>
    <hyperlink ref="E1739" r:id="rId1680" display="https://acf.gov/css/policy-guidance/final-rule-prohibition-ffp-incarceration/counsel-indigent-absent-parents" xr:uid="{5BB3794B-FAEF-4268-ACF4-1EA8A5771B10}"/>
    <hyperlink ref="E1740" r:id="rId1681" display="https://acf.gov/css/policy-guidance/reduction-ffp-rate-administrative-expenditures" xr:uid="{318023B7-2CAA-497B-9FF6-5596BB8441AB}"/>
    <hyperlink ref="E1741" r:id="rId1682" display="https://acf.gov/css/policy-guidance/final-rule-correction-headings-reflect-establishment-family-support" xr:uid="{4E4C275C-1849-40A8-BDC4-86F8E05618E3}"/>
    <hyperlink ref="E1742" r:id="rId1683" display="https://acf.gov/css/policy-guidance/final-rule-automatic-data-processing-equipment-and-services-conditions-ffp-1987" xr:uid="{9BF19598-D4CB-4B6C-BDA0-F78D8CBDE9CB}"/>
    <hyperlink ref="E1743" r:id="rId1684" display="https://acf.gov/css/policy-guidance/final-rule-grants-states-public-assistance-programs-and-ffp" xr:uid="{67B20178-29AC-4DE6-B613-E5DCB6B2840F}"/>
    <hyperlink ref="E1744" r:id="rId1685" display="https://acf.gov/css/policy-guidance/procedures-determining-state-iv-d-plan-disapproved-0" xr:uid="{F5228948-3B4A-44E8-BC60-A66E24C1E6E4}"/>
    <hyperlink ref="E1745" r:id="rId1686" display="https://acf.gov/css/policy-guidance/nprm-provision-services-interstate-iv-d-cases" xr:uid="{8B059C6C-249B-45BE-85A6-C8A2362EA75B}"/>
    <hyperlink ref="E1746" r:id="rId1687" display="https://acf.gov/css/policy-guidance/revision-title-iv-d-state-plan-preprint" xr:uid="{D5F3DBB7-8104-4872-871B-5AE77C44377D}"/>
    <hyperlink ref="E1747" r:id="rId1688" display="https://acf.gov/css/policy-guidance/final-rule-computing-supplemental-payment-states" xr:uid="{0152B5AA-0F75-417A-8B80-A98D680FD7E8}"/>
    <hyperlink ref="E1748" r:id="rId1689" display="https://acf.gov/css/policy-guidance/establishing-paternity-and-securing-support-correction" xr:uid="{C85A530D-C8A5-478E-9C17-6ACE01F5B886}"/>
    <hyperlink ref="E1749" r:id="rId1690" display="https://acf.gov/css/policy-guidance/final-rule-allotments-child-and-spousal-support" xr:uid="{078DEEA7-9E21-48BF-BBC3-F08312D8E136}"/>
    <hyperlink ref="E1750" r:id="rId1691" display="https://acf.gov/css/policy-guidance/nprm-prohibition-federal-funding-costs-incarceration-and-counsel" xr:uid="{ED578820-A760-49D3-8792-3E62BAECDD49}"/>
    <hyperlink ref="E1751" r:id="rId1692" display="https://acf.gov/css/policy-guidance/nprm-processing-garnishment-orders-child-support-and/or-alimony" xr:uid="{0070D3E9-16BE-4DA4-A195-FBCFF7FEE4A8}"/>
    <hyperlink ref="E1752" r:id="rId1693" display="https://acf.gov/css/policy-guidance/interim-final-rule-federal-employees-health-benefits-program" xr:uid="{C4C3A059-A978-4C02-B85D-D2984884E00B}"/>
    <hyperlink ref="E1753" r:id="rId1694" display="https://acf.gov/css/policy-guidance/final-rule-afdc-grants-states-reporting-federal-share-child-support-collections" xr:uid="{05010226-BC13-44DA-B223-607EDCB16243}"/>
    <hyperlink ref="E1754" r:id="rId1695" display="https://acf.gov/css/policy-guidance/change-rates-federal-financial-participation-ffp" xr:uid="{E306F82C-812F-4713-821B-B9E6F8DFE393}"/>
    <hyperlink ref="E1755" r:id="rId1696" display="https://acf.gov/css/policy-guidance/final-rule-disclosure-change-address-and-post-office-boxholder-information" xr:uid="{DCA02928-7D01-49FF-9BEF-61450CCB96E2}"/>
    <hyperlink ref="E1756" r:id="rId1697" display="https://acf.gov/css/policy-guidance/final-rule-income-and-eligibility-verification-procedures" xr:uid="{AD8FDC1A-1D2B-448B-8B1E-C86538E898FE}"/>
    <hyperlink ref="E1757" r:id="rId1698" display="https://acf.gov/css/policy-guidance/interim-final-rule-automatic-data-processing-equipment-and-services-conditions" xr:uid="{335A598D-C11B-48DA-95E6-1EE7B2C157EB}"/>
    <hyperlink ref="E1758" r:id="rId1699" display="https://acf.gov/css/policy-guidance/final-rule-us-army-family-support-child-custody-and-paternity" xr:uid="{EC13116E-7481-407C-8988-D1E216B869DB}"/>
    <hyperlink ref="E1759" r:id="rId1700" display="https://acf.gov/css/policy-guidance/final-rule-corrections-revision-child-support-enforcement-program-audit" xr:uid="{63308279-4BC7-42BC-8282-538A2E00BB8C}"/>
    <hyperlink ref="E1760" r:id="rId1701" display="https://acf.gov/css/policy-guidance/final-rule-medical-support-enforcement-1985" xr:uid="{989E2AD2-B431-48FF-A316-AEEB48C72D6A}"/>
    <hyperlink ref="E1761" r:id="rId1702" display="https://acf.gov/css/policy-guidance/final-rule-revision-child-support-enforcement-program-audit-regulations" xr:uid="{C72B5BA3-4244-453C-84A8-49B33E5812F8}"/>
    <hyperlink ref="E1762" r:id="rId1703" display="https://acf.gov/css/policy-guidance/final-rule-corrections-implementation-child-support-enforcement-amendments-1984" xr:uid="{EC015247-22F9-437C-B344-F848210B1EB8}"/>
    <hyperlink ref="E1763" r:id="rId1704" display="https://acf.gov/css/policy-guidance/final-rule-railroad-retirement-garnishment" xr:uid="{0E892DEC-F366-4178-8778-AF6230C6A740}"/>
    <hyperlink ref="E1764" r:id="rId1705" display="https://acf.gov/css/policy-guidance/final-rule-implementation-child-support-enforcement-amendments-1984" xr:uid="{5345C81A-4907-41BD-9491-3992BB5D9EC6}"/>
    <hyperlink ref="E1765" r:id="rId1706" display="https://acf.gov/css/policy-guidance/final-rule-former-spouse-payments-retired-pay" xr:uid="{94857CDA-57C9-48C5-9F81-8B4B53795255}"/>
    <hyperlink ref="E1766" r:id="rId1707" display="https://acf.gov/css/policy-guidance/final-rule-conditions-imposition-remedial-actions-applicable-letter-credit" xr:uid="{EE1BA9EC-A7DB-4F66-B16D-420A303B2256}"/>
    <hyperlink ref="E1767" r:id="rId1708" display="https://acf.gov/css/policy-guidance/nprm-automatic-data-processing-equipment-and-services-conditions-ffp" xr:uid="{5B4EE967-363F-423A-A132-2E020DCDF201}"/>
    <hyperlink ref="E1768" r:id="rId1709" display="https://acf.gov/css/policy-guidance/final-rule-case-assessment-costs-services-non-afdc-families-reduction-program" xr:uid="{36953ECD-E067-4A1A-ADA8-D58E358334D3}"/>
    <hyperlink ref="E1769" r:id="rId1710" display="https://acf.gov/css/policy-guidance/final-rule-implementation-deficit-reduction-act-1984-afdc-and-child-support" xr:uid="{7168A5B3-6DB9-45B6-B215-2E585AEFEF87}"/>
    <hyperlink ref="E1770" r:id="rId1711" display="https://acf.gov/css/policy-guidance/final-rule-computerized-support-enforcement-systems" xr:uid="{2AD9FA92-02FC-4241-9AA3-5469179DDB4B}"/>
    <hyperlink ref="E1771" r:id="rId1712" display="https://acf.gov/css/policy-guidance/revised-application-form-request-full-collection-services-irs" xr:uid="{A3D9A11A-5D2D-48AB-ADC1-0CFF7953449B}"/>
    <hyperlink ref="E1772" r:id="rId1713" display="https://acf.gov/css/policy-guidance/final-rule-elimination-double-support-payments" xr:uid="{1CE2B2EF-5FDB-46F3-9EC3-32EF255AE412}"/>
    <hyperlink ref="E1773" r:id="rId1714" display="https://acf.gov/css/policy-guidance/final-rule-withholding-unemployment-benefits-support-purposes" xr:uid="{35A10742-F880-4143-B57C-D6DC2CE7D8C3}"/>
    <hyperlink ref="E1774" r:id="rId1715" display="https://acf.gov/css/policy-guidance/final-rule-involuntary-child-and-spousal-support-allotments" xr:uid="{AB805593-FB8B-4E98-B576-9001E9BFE156}"/>
    <hyperlink ref="E1775" r:id="rId1716" display="https://acf.gov/css/policy-guidance/final-rule-requests-use-fpls-parental-kidnapping-and-child-custody-cases" xr:uid="{02FEB2F8-F2C7-4D08-A8FD-4936CD8078FA}"/>
    <hyperlink ref="E1776" r:id="rId1717" display="https://acf.gov/css/policy-guidance/nprm-involuntary-child-and-spousal-support-allotments" xr:uid="{4E3C6C4A-2EA3-46B1-A2FB-2D52A1FD7759}"/>
    <hyperlink ref="E1777" r:id="rId1718" display="https://acf.gov/css/policy-guidance/final-rule-processing-garnishment-orders-child-support-and/or-alimony-2" xr:uid="{4D31FF48-3FE7-48BE-9912-FE864E207825}"/>
    <hyperlink ref="E1778" r:id="rId1719" display="https://acf.gov/css/policy-guidance/final-rule-allotments-military-pay-certain-support-obligations" xr:uid="{939435ED-64AB-4B72-9335-B0E76123394D}"/>
    <hyperlink ref="E1779" r:id="rId1720" display="https://acf.gov/css/policy-guidance/final-rule-collection-past-due-support-federal-tax-refunds" xr:uid="{68FE574D-3B85-4D45-9B0C-DF68D6EBFB86}"/>
    <hyperlink ref="E1780" r:id="rId1721" display="https://acf.gov/css/policy-guidance/final-rule-comment-period-collection-support-certain-adults" xr:uid="{146F1BDC-64C4-4304-AFB8-92743E728AAA}"/>
    <hyperlink ref="E1781" r:id="rId1722" display="https://acf.gov/css/policy-guidance/final-rule-ffp-costs-cooperative-agreements-courts-and-law-enforcement" xr:uid="{54DA8A1C-C8D1-452B-9B2F-58671D6AEFF3}"/>
    <hyperlink ref="E1782" r:id="rId1723" display="https://acf.gov/css/policy-guidance/final-rule-equipment-acquired-under-public-assistance-programs" xr:uid="{AB15272D-82E3-4E88-B792-D7911C13A400}"/>
    <hyperlink ref="E1783" r:id="rId1724" display="https://acf.gov/css/policy-guidance/final-rule-comment-period-assigned-support-received-afdc-applicants-or" xr:uid="{105992EA-9E6F-4DB5-AA9A-BF1C8C7D67B8}"/>
    <hyperlink ref="E1784" r:id="rId1725" display="https://acf.gov/css/policy-guidance/final-rule-incentive-payments-states-and-political-subdivisions-0" xr:uid="{4D689CDF-95D0-485F-80BD-2EA5E86AFE9D}"/>
    <hyperlink ref="E1785" r:id="rId1726" display="https://acf.gov/css/policy-guidance/interim-final-rule-cost-allocation-plans-public-assistance-programs" xr:uid="{280BD033-84E0-4155-ACDB-372BC0923BA2}"/>
    <hyperlink ref="E1786" r:id="rId1727" display="https://acf.gov/css/policy-guidance/final-rule-requests-full-collection-services" xr:uid="{60D052C6-D5C9-4DC6-AA8F-474E84F50D35}"/>
    <hyperlink ref="E1787" r:id="rId1728" display="https://acf.gov/css/policy-guidance/withholding-unemployment-benefits-section-2335-public-law-97-35" xr:uid="{FC80E53E-A49E-40AA-AA3B-052B48B6CDFF}"/>
    <hyperlink ref="E1788" r:id="rId1729" display="https://acf.gov/css/policy-guidance/final-rule-withholding-advance-funds-failure-report" xr:uid="{0EFFE7FF-564C-494A-8A97-836E1D9A9242}"/>
    <hyperlink ref="E1789" r:id="rId1730" display="https://acf.gov/css/policy-guidance/interim-final-rule-collection-past-due-support-federal-tax-refunds" xr:uid="{E967915C-1B72-40B3-9323-593B7E31DCBE}"/>
    <hyperlink ref="E1790" r:id="rId1731" display="https://acf.gov/css/policy-guidance/final-rule-time-limits-states-file-claims" xr:uid="{6A11C81C-8BB7-4056-ACE5-B44304A3E1B7}"/>
    <hyperlink ref="E1791" r:id="rId1732" display="https://acf.gov/css/policy-guidance/child-support-obligations-not-discharged-bankruptcy" xr:uid="{4348DDFD-FAE2-4B12-A866-D9BCD96ECE2D}"/>
    <hyperlink ref="E1792" r:id="rId1733" display="https://acf.gov/css/policy-guidance/definition-short-term-training" xr:uid="{55121230-C6F1-4130-BBB1-E467883C2C52}"/>
    <hyperlink ref="E1793" r:id="rId1734" display="https://acf.gov/css/policy-guidance/final-rule-administration-grants" xr:uid="{7A89C301-E34F-4850-A21C-C980F03755EF}"/>
    <hyperlink ref="E1794" r:id="rId1735" display="https://acf.gov/css/policy-guidance/use-fpls-parental-kidnapping-and-child-custody-cases" xr:uid="{B9811BCD-EFD7-44A6-B8AA-9758899244F7}"/>
    <hyperlink ref="E1795" r:id="rId1736" display="https://acf.gov/css/policy-guidance/requests-fpls-information-absent-parents-state-user-guide" xr:uid="{B8CE6DBA-CE7A-4D06-BDE5-160C748A9388}"/>
    <hyperlink ref="E1796" r:id="rId1737" display="https://acf.gov/css/policy-guidance/final-rule-time-limits-states-file-claims-ffp" xr:uid="{AB374E9C-0019-485F-B3BF-D2022CCE7718}"/>
    <hyperlink ref="E1797" r:id="rId1738" display="https://acf.gov/css/policy-guidance/final-rule-optional-use-current-rate-ffp-distribute-arrearage-collections" xr:uid="{34DF7DB0-F114-420A-B846-F261F6702122}"/>
    <hyperlink ref="E1798" r:id="rId1739" display="https://acf.gov/css/policy-guidance/final-rule-matching-payments-states-non-afdc-related-expenditures" xr:uid="{868896E7-DCAD-4487-833A-40BB4B53430A}"/>
    <hyperlink ref="E1799" r:id="rId1740" display="https://acf.gov/css/policy-guidance/new-financial-requirements-imposed-public-laws-96-265-and-96-272" xr:uid="{92A4D6D0-D50F-47C3-BB8E-20CDEDEBEE12}"/>
    <hyperlink ref="E1800" r:id="rId1741" display="https://acf.gov/css/policy-guidance/requirements-receiving-expanded-federal-matching-court-costs-revision-80-14" xr:uid="{F2FD7A18-5DB2-4477-888A-36F206FCCCA4}"/>
    <hyperlink ref="E1801" r:id="rId1742" display="https://acf.gov/css/policy-guidance/pl-96-265-use-irs-collect-child-support-and-ffp-duties-performed-courts" xr:uid="{6718B99E-E8D4-4A54-A6EF-636EB0F6EB0B}"/>
    <hyperlink ref="E1802" r:id="rId1743" display="https://acf.gov/css/policy-guidance/final-rule-administration-grants-0" xr:uid="{14805226-B61F-4954-9BCD-FB410DDDFD09}"/>
    <hyperlink ref="E1803" r:id="rId1744" display="https://acf.gov/css/policy-guidance/appeals-procedures-subsequent-disallowance-action-regional-representatives" xr:uid="{F267CBE5-73C2-4FEC-BA04-B129C37BF6F3}"/>
    <hyperlink ref="E1804" r:id="rId1745" display="https://acf.gov/css/policy-guidance/final-rule-automated-data-processing-equipment-and-services-conditions-ffp" xr:uid="{B67C9DC8-0300-4CB5-B4D5-BF79BDFD5798}"/>
    <hyperlink ref="E1805" r:id="rId1746" display="https://acf.gov/css/policy-guidance/final-rule-medical-support-enforcement-1980" xr:uid="{8949ED9C-A39B-4265-AED5-23F020192D17}"/>
    <hyperlink ref="E1806" r:id="rId1747" display="https://acf.gov/css/policy-guidance/fee-cases-certified-internal-revenue-service" xr:uid="{A10C08E1-8281-42A8-8DCD-86C7610C0BB4}"/>
    <hyperlink ref="E1807" r:id="rId1748" display="https://acf.gov/css/policy-guidance/revision-effective-date-regulation-45-cfr-30421-ffp-costs-cooperative" xr:uid="{ED9470D9-116D-46B0-BAB2-61889FC13324}"/>
    <hyperlink ref="E1808" r:id="rId1749" display="https://acf.gov/css/policy-guidance/final-rule-bonding-employees-and-handling-cash-receipts-child-support-program" xr:uid="{BD1E9888-E5BF-44FE-BCC3-75AFCB590EE6}"/>
    <hyperlink ref="E1809" r:id="rId1750" display="https://acf.gov/css/policy-guidance/final-rule-conditions-ffp-costs-automatic-data-processing" xr:uid="{CD646493-EC09-41A3-BFC0-88A0F51D2A34}"/>
    <hyperlink ref="E1810" r:id="rId1751" display="https://acf.gov/css/policy-guidance/final-rule-good-cause-refusing-cooperate" xr:uid="{CAD67CE2-6A71-4345-87E3-FD63B56EBB26}"/>
    <hyperlink ref="E1811" r:id="rId1752" display="https://acf.gov/css/policy-guidance/procedures-implementing-changes-45-cfr-30235-30270-and-3033-access-fpls" xr:uid="{CA5D97DF-CEE6-41FD-89D7-93B9C31B8887}"/>
    <hyperlink ref="E1812" r:id="rId1753" display="https://acf.gov/css/policy-guidance/request-comments-final-rule-good-cause-refusing-cooperate" xr:uid="{3D64521C-F2AC-4106-8101-A9715673B796}"/>
    <hyperlink ref="E1813" r:id="rId1754" display="https://acf.gov/css/policy-guidance/preparation-requests-proposals-automated-child-support-information-systems" xr:uid="{8296BF8F-8917-4DFB-8EF5-6438B483D042}"/>
    <hyperlink ref="E1814" r:id="rId1755" display="https://acf.gov/css/policy-guidance/tax-reform-act-1976" xr:uid="{1B6C348A-DACD-4AC1-B6AC-71A54BE93A6A}"/>
    <hyperlink ref="E1815" r:id="rId1756" display="https://acf.gov/css/policy-guidance/final-rule-incentive-payments-states-and-political-subdivisions" xr:uid="{EE040CBE-0ECD-4495-816F-A147AB5CD8DF}"/>
    <hyperlink ref="E1816" r:id="rId1757" display="https://acf.gov/css/policy-guidance/restrictions-ffp-publicly-owned-buildings" xr:uid="{1335958D-55D4-4A31-88D1-4EAACAB7CF1C}"/>
    <hyperlink ref="E1817" r:id="rId1758" display="https://acf.gov/css/policy-guidance/final-rule-repayment-federal-funds-installments" xr:uid="{271B5233-0C34-402B-8066-809F084568EA}"/>
    <hyperlink ref="E1818" r:id="rId1759" display="https://acf.gov/css/policy-guidance/final-rule-revocation-deadline-submission-claims-ffp" xr:uid="{B6B7222B-0A6B-4317-92CB-BF7886F99423}"/>
    <hyperlink ref="E1819" r:id="rId1760" display="https://acf.gov/css/policy-guidance/final-rule-disallowance-deferral-and-reconsideration" xr:uid="{12E495C1-0032-4D58-892A-BE87C62F67D1}"/>
    <hyperlink ref="E1820" r:id="rId1761" display="https://acf.gov/css/policy-guidance/documentation-required-support-claims-ffp-made-pursuant-cooperative-agreements" xr:uid="{D4796787-21EA-4489-B5E2-91FC7FBB23EB}"/>
    <hyperlink ref="E1821" r:id="rId1762" display="https://acf.gov/css/policy-guidance/state-employment-offices-supply-data-assist-child-support-program" xr:uid="{31FD3EB0-C48A-4C64-AB02-52144B3D481A}"/>
    <hyperlink ref="E1822" r:id="rId1763" display="https://acf.gov/css/policy-guidance/revised-applications-states-use-courts-united-states-enforce-child-support" xr:uid="{67A53D04-288E-48AF-B14E-CFE259E0C278}"/>
    <hyperlink ref="E1823" r:id="rId1764" display="https://acf.gov/css/policy-guidance/public-sources-states-share" xr:uid="{2CD01229-F93B-4849-A193-95A3BCBCFF6D}"/>
    <hyperlink ref="E1824" r:id="rId1765" display="https://acf.gov/css/policy-guidance/applications-states-use-courts-united-states-enforce-child-support-orders" xr:uid="{BDBDCC6C-5F85-45DC-A633-403BC5E67BBC}"/>
    <hyperlink ref="E1825" r:id="rId1766" display="https://acf.gov/css/policy-guidance/2025-open-comment-period-hague-convention-forms-annual-burden" xr:uid="{3CE3E778-7147-4A53-9636-E920A0402182}"/>
    <hyperlink ref="E1826" r:id="rId1767" display="https://acf.gov/css/policy-guidance/report-tribal-consultation-june-30-2025" xr:uid="{95326BDF-54B7-4C0D-8CBF-8490071C3587}"/>
    <hyperlink ref="E1827" r:id="rId1768" display="https://acf.gov/css/policy-guidance/submittal-annual-certification-letter-2025" xr:uid="{22A1365A-4230-4C5F-B2DA-68870513D251}"/>
    <hyperlink ref="E1828" r:id="rId1769" display="https://acf.gov/css/policy-guidance/data-reliability-audit-requirements-fy-2025" xr:uid="{D1B20BCC-6D86-4A74-BDB5-01EDEDBDBE81}"/>
    <hyperlink ref="E1829" r:id="rId1770" display="https://acf.gov/css/policy-guidance/2025-open-comment-period-standard-intergovernmental-forms" xr:uid="{A1FB9F3A-1614-418E-9A9A-F69D17B61DC8}"/>
    <hyperlink ref="E1830" r:id="rId1771" display="https://acf.gov/css/policy-guidance/submit-ocse-157-fy-2025-october-30" xr:uid="{90483084-0DF6-41E2-9FD6-F4F45676CC81}"/>
    <hyperlink ref="E1831" r:id="rId1772" display="https://acf.gov/css/policy-guidance/fy-2024-preliminary-data-report-and-tables" xr:uid="{18B7B15C-69BA-4F9C-8A24-985EB8855A05}"/>
    <hyperlink ref="E1832" r:id="rId1773" display="https://acf.gov/css/policy-guidance/open-comment-period-revised-national-medical-support-notice" xr:uid="{E834725F-6F9A-4D46-A103-FC6F84266ECA}"/>
    <hyperlink ref="E1833" r:id="rId1774" display="https://acf.gov/css/policy-guidance/2025-certification-statement-compliance-security-and-privacy-requirements-due" xr:uid="{72E2A315-AA58-4D68-BFAC-2B19901093ED}"/>
    <hyperlink ref="E1834" r:id="rId1775" display="https://acf.gov/css/policy-guidance/strengthening-state-and-tribal-child-support-enforcement-act" xr:uid="{8128E9B0-F622-4044-AF3A-78F0FE2107FA}"/>
    <hyperlink ref="E1835" r:id="rId1776" display="https://acf.gov/css/policy-guidance/ofa-ocss-joint-letter-tribal-child-support-cooperation-requirements" xr:uid="{0CAAA717-8064-40EF-A68E-3BA62A6E87CD}"/>
    <hyperlink ref="E1836" r:id="rId1777" display="https://acf.gov/css/policy-guidance/ofa-ocss-joint-letter-child-support-cooperation-requirements" xr:uid="{3CB3ACC4-BD29-49C2-B2AD-96BF66585903}"/>
    <hyperlink ref="E1837" r:id="rId1778" display="https://acf.gov/css/policy-guidance/direct-final-rule-45-cfr-chapter-iii-technical-corrections" xr:uid="{E2396AA7-5BF6-4BAF-B3B5-0EE62B4461D4}"/>
    <hyperlink ref="E1838" r:id="rId1779" display="https://acf.gov/css/policy-guidance/final-rule-employment-training-services-ncps-child-support" xr:uid="{02F1AEAD-72C4-4F31-9E06-40D2D7DCC69D}"/>
    <hyperlink ref="E1839" r:id="rId1780" display="https://acf.gov/css/policy-guidance/fy-2025-incentive-payment-pool-amount" xr:uid="{57E99FA7-249A-41CE-9548-2F7FD4E965EA}"/>
    <hyperlink ref="E1840" r:id="rId1781" display="https://acf.gov/css/policy-guidance/open-comment-period-ocss-75-tribal-child-support-data-report" xr:uid="{304A85BF-4229-489D-B161-084C7B001BDF}"/>
    <hyperlink ref="E1841" r:id="rId1782" display="https://acf.gov/css/policy-guidance/fy-2025-user-fees-fpls-and-csenet" xr:uid="{870EC332-CCA1-4049-BDB8-EE88A829CA2F}"/>
    <hyperlink ref="E1842" r:id="rId1783" display="https://acf.gov/css/policy-guidance/best-practices-child-support-system-modernization" xr:uid="{24863193-F0A8-4623-8DF8-B889C53CDD9A}"/>
    <hyperlink ref="E1843" r:id="rId1784" display="https://acf.gov/css/policy-guidance/submittal-ocse-75-fy-2024" xr:uid="{409F7321-2282-40E2-BCDB-14469BE16CED}"/>
    <hyperlink ref="E1844" r:id="rId1785" display="https://acf.gov/css/policy-guidance/open-comment-period-state-self-assessment-report" xr:uid="{D60267BA-7F6C-412A-BCC4-59B4A9B8208A}"/>
    <hyperlink ref="E1845" r:id="rId1786" display="https://acf.gov/css/policy-guidance/data-reliability-audit-requirements-fy-2024" xr:uid="{318F9DE3-CF4A-44FB-8A0A-59E5030D5878}"/>
    <hyperlink ref="E1846" r:id="rId1787" display="https://acf.gov/css/policy-guidance/submittal-annual-certification-letter-2024" xr:uid="{26235C71-A392-4180-8593-AD6839BC55AA}"/>
    <hyperlink ref="E1847" r:id="rId1788" display="https://acf.gov/css/policy-guidance/open-comment-period-intergovernmental-reference-guide-2024" xr:uid="{6AA49348-FA87-4739-99BF-FFAB35A7F6E9}"/>
    <hyperlink ref="E1848" r:id="rId1789" display="https://acf.gov/css/policy-guidance/open-comment-period-ocss-157-annual-data-report" xr:uid="{DA2DF272-091C-4426-9DED-79E10954E073}"/>
    <hyperlink ref="E1849" r:id="rId1790" display="https://acf.gov/css/policy-guidance/submit-ocse-157-fy-2024-october-30" xr:uid="{DD32A606-E5AA-4F0B-BD9E-19761416218B}"/>
    <hyperlink ref="E1850" r:id="rId1791" display="https://acf.gov/css/policy-guidance/withdrawal-us-objection-accession-kazakhstan-hague-convention" xr:uid="{0C7608BC-F065-41E4-8C78-D671F15F5D1C}"/>
    <hyperlink ref="E1851" r:id="rId1792" display="https://acf.gov/css/policy-guidance/fy-2023-preliminary-data-report-and-tables" xr:uid="{038C1292-DD11-444D-9ED1-50B5EA5E2E60}"/>
    <hyperlink ref="E1852" r:id="rId1793" display="https://acf.gov/css/policy-guidance/section-1115-waiver-requests-tribal-innovation" xr:uid="{EB767B0E-1F42-41DF-83EE-4182A2780EDF}"/>
    <hyperlink ref="E1853" r:id="rId1794" display="https://acf.gov/css/policy-guidance/listening-session-tribal-systems-june18" xr:uid="{CCD99152-D591-4060-AD59-755F63D642C5}"/>
    <hyperlink ref="E1854" r:id="rId1795" display="https://acf.gov/css/policy-guidance/certification-statement-compliance-security-privacy-requirements-june28-2024" xr:uid="{0A201FB7-5600-48EE-A15D-04F285EE9EEE}"/>
    <hyperlink ref="E1855" r:id="rId1796" display="https://acf.gov/css/policy-guidance/us-objection-accession-azerbaijan-hague-convention" xr:uid="{23386327-B700-497E-9E68-12EF6510192F}"/>
    <hyperlink ref="E1856" r:id="rId1797" display="https://acf.gov/css/policy-guidance/open-comment-period-interstate-administrative-subpoena-and-notice-lien" xr:uid="{3918ED35-04FC-43CC-BD38-2D1E4D78FF83}"/>
    <hyperlink ref="E1857" r:id="rId1798" display="https://acf.gov/css/policy-guidance/fy-2024-incentive-payment-pool-amount" xr:uid="{004CA322-3947-4711-A924-DB3419A3108F}"/>
    <hyperlink ref="E1858" r:id="rId1799" display="https://acf.gov/css/policy-guidance/us-objection-accession-botswana-hague-convention" xr:uid="{2447D6C7-B7BF-463B-A480-F821E572DE9C}"/>
    <hyperlink ref="E1859" r:id="rId1800" display="https://acf.gov/css/policy-guidance/fy-2024-user-fees-fpls-and-csenet" xr:uid="{51809D45-8F43-418B-A26C-E94A99ADEE70}"/>
    <hyperlink ref="E1860" r:id="rId1801" display="https://acf.gov/css/policy-guidance/submittal-ocse-75-fy-2023" xr:uid="{A697965C-D20B-4928-800F-00657ABEBA7B}"/>
    <hyperlink ref="E1861" r:id="rId1802" display="https://acf.gov/css/policy-guidance/federal-offset-and-pre-offset-notice-program-fees-fy-2024" xr:uid="{2900BD07-33D3-49D6-A44C-1575BBE5820B}"/>
    <hyperlink ref="E1862" r:id="rId1803" display="https://acf.gov/css/policy-guidance/submittal-annual-certification-letter-2023" xr:uid="{34D41808-F7B1-41D9-8F1F-6DC7E02B7DD2}"/>
    <hyperlink ref="E1863" r:id="rId1804" display="https://acf.gov/css/policy-guidance/recommendations-personal-computers-tribes-using-mts" xr:uid="{B183B6E5-D4FA-4BA7-BE41-53E80542FADF}"/>
    <hyperlink ref="E1864" r:id="rId1805" display="https://acf.gov/css/policy-guidance/data-reliability-audit-requirements-fy-2023" xr:uid="{3A0CD880-A37B-4585-A8F5-62F95665BBF3}"/>
    <hyperlink ref="E1865" r:id="rId1806" display="https://acf.gov/css/policy-guidance/submittal-ocse-157-fy-2023-oct-30" xr:uid="{CBD6F81A-C38D-417C-AA16-1E7287779FC7}"/>
    <hyperlink ref="E1866" r:id="rId1807" display="https://acf.gov/css/policy-guidance/open-comment-period-voluntary-paternity-acknowledgment-and-required-data" xr:uid="{F9ED4659-B3CB-437F-A888-E06CCEC73835}"/>
    <hyperlink ref="E1867" r:id="rId1808" display="https://acf.gov/css/policy-guidance/report-consultation-april-6-2023" xr:uid="{C3316094-F3AA-4334-ADC2-D44BBE24F35C}"/>
    <hyperlink ref="E1868" r:id="rId1809" display="https://acf.gov/css/policy-guidance/fy-2022-preliminary-data-report-and-tables" xr:uid="{A5430F76-A41B-4299-8E63-91C043342B4F}"/>
    <hyperlink ref="E1869" r:id="rId1810" display="https://acf.gov/css/policy-guidance/security-and-privacy-program-ocss-security-agreement-2023" xr:uid="{5AB9276C-E9A2-42E3-95B8-5DC201ED5009}"/>
    <hyperlink ref="E1870" r:id="rId1811" display="https://acf.gov/css/policy-guidance/updates-covid-19-flexibilities" xr:uid="{740732CE-9856-4142-848C-8CE34429B531}"/>
    <hyperlink ref="E1871" r:id="rId1812" display="https://acf.gov/css/policy-guidance/tribal-child-support-consultation" xr:uid="{A800324C-994A-41B4-A7FE-E024D16AD7B5}"/>
    <hyperlink ref="E1872" r:id="rId1813" display="https://acf.gov/css/policy-guidance/2023-open-comment-period-revised-iwo-form-and-instructions" xr:uid="{A5843B75-F614-4322-BD6F-E9813178D1CF}"/>
    <hyperlink ref="E1873" r:id="rId1814" display="https://acf.gov/css/policy-guidance/enrollment-cap-service-international-payments" xr:uid="{934BF6EA-DEAE-4916-9B1B-8D4CAC91BDB3}"/>
    <hyperlink ref="E1874" r:id="rId1815" display="https://acf.gov/css/policy-guidance/2023-open-comment-period-state-plan-pages" xr:uid="{058DCB0A-7B3F-4156-AC05-F6CD6D693D90}"/>
    <hyperlink ref="E1875" r:id="rId1816" display="https://acf.gov/css/policy-guidance/fcr-and-scr-family-violence-indicator-override-process" xr:uid="{7A6552DA-75CE-484E-B022-FEA2EBEDCD4E}"/>
    <hyperlink ref="E1876" r:id="rId1817" display="https://acf.gov/css/policy-guidance/german-federal-office-justice-not-accepting-checks-after-march-20-2023" xr:uid="{3A2CE10A-5606-4BC7-BE40-B49523A0C6CA}"/>
    <hyperlink ref="E1877" r:id="rId1818" display="https://acf.gov/css/policy-guidance/fy-2022-and-fy-2023-incentive-payment-pool-amounts" xr:uid="{DAFCF4C9-D774-4FC3-AC82-A5A6A82673E3}"/>
    <hyperlink ref="E1878" r:id="rId1819" display="https://acf.gov/css/policy-guidance/submittal-ocse-75-fy-2022" xr:uid="{AB285DB1-3A64-4DB1-9C4E-236459C62351}"/>
    <hyperlink ref="E1879" r:id="rId1820" display="https://acf.gov/css/policy-guidance/fy-2023-user-fees-fpls-and-csenet" xr:uid="{8FAC3FD5-5AA4-4249-A7FF-0E788D3B3713}"/>
    <hyperlink ref="E1880" r:id="rId1821" display="https://acf.gov/css/policy-guidance/open-comment-period-tribal-child-support-direct-funding-request" xr:uid="{17BC80E4-61E4-4CFC-9BA0-2F8FE448E9B4}"/>
    <hyperlink ref="E1881" r:id="rId1822" display="https://acf.gov/css/policy-guidance/fy-2023-federal-offset-and-pre-offset-notice-program-fees" xr:uid="{A7992534-3B02-4938-AEF1-DA163596ACBF}"/>
    <hyperlink ref="E1882" r:id="rId1823" display="https://acf.gov/css/policy-guidance/data-reliability-audit-requirements-fy-2022" xr:uid="{5888407C-5894-445D-8B76-1A9E3D0728E1}"/>
    <hyperlink ref="E1883" r:id="rId1824" display="https://acf.gov/css/policy-guidance/submittal-annual-certification-letter-2022" xr:uid="{49171C29-78FD-4ACE-97D2-3B20316A36D5}"/>
    <hyperlink ref="E1884" r:id="rId1825" display="https://acf.gov/css/policy-guidance/submittal-ocse-157-fy-2022-oct-30" xr:uid="{2422D3B7-7380-41B2-B025-7BB02CF9DA96}"/>
    <hyperlink ref="E1885" r:id="rId1826" display="https://acf.gov/css/policy-guidance/open-comment-period-hague-convention-forms-annual-burden" xr:uid="{997F1293-160E-407C-8141-C30F7CFE4B80}"/>
    <hyperlink ref="E1886" r:id="rId1827" display="https://acf.gov/css/policy-guidance/childrens-bureau-ocse-joint-letter-updated-child-support-referral-policy" xr:uid="{9B2296B2-7982-4B17-B915-D171E64AD1EF}"/>
    <hyperlink ref="E1887" r:id="rId1828" display="https://acf.gov/css/policy-guidance/fy-2021-preliminary-data-report-and-tables" xr:uid="{08EA2071-6FEF-49D1-B512-1A4BB85016B0}"/>
    <hyperlink ref="E1888" r:id="rId1829" display="https://acf.gov/css/policy-guidance/irs-releases-revised-publication-1075" xr:uid="{0158DF43-057D-4D08-AAA3-E97DE5921980}"/>
    <hyperlink ref="E1889" r:id="rId1830" display="https://acf.gov/css/policy-guidance/open-comment-period-ocse-75" xr:uid="{F646DD30-060E-402A-8661-6B29AC4FFBF4}"/>
    <hyperlink ref="E1890" r:id="rId1831" display="https://acf.gov/css/policy-guidance/new-open-comment-period-forms-ocse-396-and-ocse-34" xr:uid="{8E11DFEE-38EE-4A6C-B7DE-F7DA4D375A57}"/>
    <hyperlink ref="E1891" r:id="rId1832" display="https://acf.gov/css/policy-guidance/nprm-withdrawal-optional-exceptions-child-support-guidelines" xr:uid="{273FD0FB-EE1E-457D-BC27-75D5ECDB3EA1}"/>
    <hyperlink ref="E1892" r:id="rId1833" display="https://acf.gov/css/policy-guidance/open-comment-period-ocse-157-annual-data-report-2021" xr:uid="{75C29749-FF33-4D10-8A1B-0D2A89E77027}"/>
    <hyperlink ref="E1893" r:id="rId1834" display="https://acf.gov/css/policy-guidance/data-reliability-audit-requirements-fy-2021" xr:uid="{E3B39D0F-1289-4AF6-9DA8-B26F8C57284F}"/>
    <hyperlink ref="E1894" r:id="rId1835" display="https://acf.gov/css/policy-guidance/submittal-annual-certification-letter-2021" xr:uid="{CC7428FE-612D-4AD6-B005-5D4AE64075D7}"/>
    <hyperlink ref="E1895" r:id="rId1836" display="https://acf.gov/css/policy-guidance/essentials-attorneys-child-support-enforcement-4th-edition-released" xr:uid="{9915BDB8-94A2-48D0-9863-1F8A297F6E1E}"/>
    <hyperlink ref="E1896" r:id="rId1837" display="https://acf.gov/css/policy-guidance/open-comment-period-intergovernmental-reference-guide-2021" xr:uid="{0CBEC2A4-32DA-42E8-A298-33442EBB2A90}"/>
    <hyperlink ref="E1897" r:id="rId1838" display="https://acf.gov/css/policy-guidance/submittal-ocse-157-fy-2021-10-30" xr:uid="{0B0093E1-DCF2-4957-9DA7-A0040F4A87FE}"/>
    <hyperlink ref="E1898" r:id="rId1839" display="https://acf.gov/css/policy-guidance/written-tribal-consultation-ocse-75-form" xr:uid="{6C032ACB-F5CB-46A0-998D-75581DD50AB9}"/>
    <hyperlink ref="E1899" r:id="rId1840" display="https://acf.gov/css/policy-guidance/open-comment-period-forms-ocse-396-and-ocse-34" xr:uid="{BE5F1E0E-67B1-4C6D-B011-DB7287FA7245}"/>
    <hyperlink ref="E1900" r:id="rId1841" display="https://acf.gov/css/policy-guidance/open-comment-period-administrative-subpoena-and-notice-lien" xr:uid="{673203BB-FDB5-4ABD-8757-C60C17F91D15}"/>
    <hyperlink ref="E1901" r:id="rId1842" display="https://acf.gov/css/policy-guidance/open-comment-period-insurance-match-collection-activity" xr:uid="{FFE5DBC8-71C1-4589-9FE3-5B00AF3E7892}"/>
    <hyperlink ref="E1902" r:id="rId1843" display="https://acf.gov/css/policy-guidance/open-comment-period-msfidm-fast-levy" xr:uid="{6B3DF32B-4794-4754-AD7D-2A1475BE66BC}"/>
    <hyperlink ref="E1903" r:id="rId1844" display="https://acf.gov/css/policy-guidance/data-reliability-audit-requirements-fy-2020" xr:uid="{F5A5CCF7-1B2A-4B0F-B8D9-8C442CDFA22E}"/>
    <hyperlink ref="E1904" r:id="rId1845" display="https://acf.gov/css/policy-guidance/fy-2021-federal-offset-and-pre-offset-notice-program-fees" xr:uid="{376744EF-436B-4762-B0EE-EEE0EE16DF24}"/>
    <hyperlink ref="E1905" r:id="rId1846" display="https://acf.gov/css/policy-guidance/open-comment-period-msfidm-fast-levy-collection-activity" xr:uid="{A2F1B9A0-7EA3-42CC-A27C-89DA6FD192C9}"/>
    <hyperlink ref="E1906" r:id="rId1847" display="https://acf.gov/css/policy-guidance/federal-collections-enforcement-annual-certification-letter-2020" xr:uid="{C8D579AA-9D46-4211-9ECE-31F396759A2C}"/>
    <hyperlink ref="E1907" r:id="rId1848" display="https://acf.gov/css/policy-guidance/submittal-ocse-157-fy-2020" xr:uid="{F350463F-6F16-40A4-9FA2-9EFAA524F433}"/>
    <hyperlink ref="E1908" r:id="rId1849" display="https://acf.gov/css/policy-guidance/us-objection-accession-guyana-hague-convention" xr:uid="{54D19FD6-23BC-4FE0-AD37-9BE08240A232}"/>
    <hyperlink ref="E1909" r:id="rId1850" display="https://acf.gov/css/policy-guidance/open-comment-period-tribal-budget-and-narrative-justification-template" xr:uid="{3EA877DB-FE82-489B-A9C7-CAFAE9C6F517}"/>
    <hyperlink ref="E1910" r:id="rId1851" display="https://acf.gov/css/policy-guidance/request-comments-revised-iwo-form-and-instructions" xr:uid="{C4CDCAD6-F7C6-4400-9147-C36EDEC88A8B}"/>
    <hyperlink ref="E1911" r:id="rId1852" display="https://acf.gov/css/policy-guidance/open-comment-period-intergovernmental-reference-guide" xr:uid="{19D96F01-ED4B-4D3F-8726-FB3286189570}"/>
    <hyperlink ref="E1912" r:id="rId1853" display="https://acf.gov/css/policy-guidance/open-comment-period-ocse-75-tribal-annual-data-report" xr:uid="{99608C0E-AF63-46C1-9C42-D46D5EDADABC}"/>
    <hyperlink ref="E1913" r:id="rId1854" display="https://acf.gov/css/policy-guidance/open-comment-period-hague-convention-case-processing-forms" xr:uid="{BB6D9B8F-D6B4-4391-B098-3438E9BFE507}"/>
    <hyperlink ref="E1914" r:id="rId1855" display="https://acf.gov/css/policy-guidance/medical-support-outgoing-cases-canada" xr:uid="{03C222A1-2908-4C55-AD85-F465ACF06225}"/>
    <hyperlink ref="E1915" r:id="rId1856" display="https://acf.gov/css/policy-guidance/us-objection-accession-kazakhstan-hague-convention" xr:uid="{305D97E4-4364-428F-9A46-BAE6CAB8C3E7}"/>
    <hyperlink ref="E1916" r:id="rId1857" display="https://acf.gov/css/policy-guidance/hague-convention-forms-foreign-languages" xr:uid="{0F702C3D-DCF7-47FD-913E-F473D9FA1C93}"/>
    <hyperlink ref="E1917" r:id="rId1858" display="https://acf.gov/css/policy-guidance/streamlining-feasibility-studies" xr:uid="{93452C40-557B-4022-886C-38B06452974C}"/>
    <hyperlink ref="E1918" r:id="rId1859" display="https://acf.gov/css/policy-guidance/accessing-us-federal-parent-locator-service" xr:uid="{8657FD8C-2A35-4E6A-B529-D90BEA21E99D}"/>
    <hyperlink ref="E1919" r:id="rId1860" display="https://acf.gov/css/policy-guidance/model-tribal-system-mts-services-tribes" xr:uid="{E746A081-7E0D-4A1B-9D11-24090280A8A2}"/>
    <hyperlink ref="E1920" r:id="rId1861" display="https://acf.gov/css/policy-guidance/training-finding-right-security-control-assessor-fpls-access" xr:uid="{8D0778A2-1C1F-4F1B-8AAA-8D9CABC59F87}"/>
    <hyperlink ref="E1921" r:id="rId1862" display="https://acf.gov/css/policy-guidance/summary-information-software-releases-17-01-and-17-02" xr:uid="{4F2B70DC-565D-4E3A-8782-A13C676E0FA4}"/>
    <hyperlink ref="E1922" r:id="rId1863" display="https://acf.gov/css/policy-guidance/tribal-directors-resource-guide" xr:uid="{D339326E-00CD-4E2A-AD3F-B2B13E908B57}"/>
    <hyperlink ref="E1923" r:id="rId1864" display="https://acf.gov/css/policy-guidance/child-support-final-rule-fact-sheets" xr:uid="{7ADC0342-5FA4-45ED-AAF1-C2B6C5484D9D}"/>
    <hyperlink ref="E1924" r:id="rId1865" display="https://acf.gov/css/policy-guidance/wioa-final-rule" xr:uid="{018D82F5-414A-444B-ACD3-1BB89C9456FC}"/>
    <hyperlink ref="E1925" r:id="rId1866" display="https://acf.gov/css/policy-guidance/us-ratification-hague-child-support-convention" xr:uid="{70E0E31E-4A93-4A7C-ABCE-1D8428394786}"/>
    <hyperlink ref="E1926" r:id="rId1867" display="https://acf.gov/css/policy-guidance/justice-department-announces-resources-reform-practices" xr:uid="{FF6CED9F-EBCA-4AE7-BD09-10A32D1B3A00}"/>
    <hyperlink ref="E1927" r:id="rId1868" display="https://acf.gov/css/policy-guidance/state-plan-system-frequently-asked-questions" xr:uid="{591F197C-ED1B-4016-AA11-D99FF4F3D698}"/>
    <hyperlink ref="E1928" r:id="rId1869" display="https://acf.gov/css/policy-guidance/quadrennial-review-child-support-guidelines" xr:uid="{40CCA8F0-2217-43AB-832F-9D7F69641641}"/>
    <hyperlink ref="E1929" r:id="rId1870" display="https://acf.gov/css/policy-guidance/offset-tax-refund-payments-collect-past-due-support-interim-final-rule" xr:uid="{E5FFA1FC-4439-477B-BEF7-F85FF1906677}"/>
    <hyperlink ref="E1930" r:id="rId1871" display="https://acf.gov/css/policy-guidance/intergovernmental-reference-guide-irg-international-requirements" xr:uid="{176C8586-6132-4FDF-9A5B-61FCB6BCD3DC}"/>
    <hyperlink ref="E1931" r:id="rId1872" display="https://acf.gov/css/policy-guidance/changing-child-support-order-guide" xr:uid="{48A47E6F-35A3-4E70-A616-5B1B6C572A30}"/>
    <hyperlink ref="E1932" r:id="rId1873" display="https://acf.gov/css/policy-guidance/updated-locator-codes-data-standards" xr:uid="{E3B268E2-20C0-42BE-9670-4A2896C63B52}"/>
    <hyperlink ref="E1933" r:id="rId1874" display="https://acf.gov/css/policy-guidance/instructions-australian-child-support-secure-email-system" xr:uid="{A9557D21-359F-4677-A728-C6B980E8D852}"/>
    <hyperlink ref="E1934" r:id="rId1875" display="https://acf.gov/css/policy-guidance/manitoba-canada-addresses-and-procedures" xr:uid="{E9CD5086-62D8-4F0D-B092-DA340A0D6596}"/>
    <hyperlink ref="E1935" r:id="rId1876" display="https://acf.gov/css/policy-guidance/garnishment-supplemental-security-income-benefits" xr:uid="{37413710-9161-4216-A31D-AF0AE29414A0}"/>
    <hyperlink ref="E1936" r:id="rId1877" display="https://acf.gov/css/policy-guidance/paying-child-support-paper-check" xr:uid="{F6B32203-F67C-4156-B5A5-B3348E70E562}"/>
    <hyperlink ref="E1937" r:id="rId1878" display="https://acf.gov/css/policy-guidance/update-erroneous-federal-tax-refund-offsets-based-upon-fraudulent-returns" xr:uid="{D8B3F721-4F7F-4482-AF06-A0D274BF3766}"/>
    <hyperlink ref="E1938" r:id="rId1879" display="https://acf.gov/css/policy-guidance/use-federal-intergovernmental-forms-foreign-reciprocating-countries" xr:uid="{7AB01722-74D6-4A87-87DA-72F6F1CA1230}"/>
    <hyperlink ref="E1939" r:id="rId1880" display="https://acf.gov/css/policy-guidance/plan-amendments-change-tdcl-10-07" xr:uid="{CA3F2FDD-22DD-4BA5-B73B-DD9361DDD710}"/>
    <hyperlink ref="E1940" r:id="rId1881" display="https://acf.gov/css/policy-guidance/erroneous-federal-tax-refund-offsets-based-upon-fraudulent-returns" xr:uid="{0BF83677-4FA6-4750-A394-BFFBBD336F63}"/>
    <hyperlink ref="E1941" r:id="rId1882" display="https://acf.gov/css/policy-guidance/federal-offset-and-passport-denial-state-services-portal-applications" xr:uid="{8853C21C-F647-4BB9-8CD7-D0A301174D7A}"/>
    <hyperlink ref="E1942" r:id="rId1883" display="https://acf.gov/css/policy-guidance/use-social-security-administration-data-improve-performance" xr:uid="{2C26C73C-1C6F-4799-92C3-0B8E7C2BA12A}"/>
    <hyperlink ref="E1943" r:id="rId1884" display="https://acf.gov/css/policy-guidance/restructured-project-save-our-children-psoc-services" xr:uid="{3358F900-7FBE-4A43-82FB-6B705E8F7E86}"/>
    <hyperlink ref="E1944" r:id="rId1885" display="https://acf.gov/css/policy-guidance/hague-convention-international-recovery-child-support" xr:uid="{DCEE0701-A54B-4AAE-8E2F-C619662DCB58}"/>
    <hyperlink ref="E1945" r:id="rId1886" display="https://acf.gov/css/policy-guidance/plan-amendments" xr:uid="{4296ACB8-F18D-45FF-B00E-118F46529666}"/>
    <hyperlink ref="E1946" r:id="rId1887" display="https://acf.gov/css/policy-guidance/tribal-irs-safeguarding-guidance" xr:uid="{330D9792-DAA2-44A1-ACDA-51886F7ACD30}"/>
    <hyperlink ref="E1947" r:id="rId1888" display="https://acf.gov/css/policy-guidance/certified-copies-orders-canadian-provinces-and-territories" xr:uid="{F18D854D-5F17-45B3-97B1-2A943F7CCE23}"/>
    <hyperlink ref="E1948" r:id="rId1889" display="https://acf.gov/css/policy-guidance/private-collection-agencies-and-redirection-payments" xr:uid="{A2B369DF-9448-4495-AC8A-BE9D57B5E1C2}"/>
    <hyperlink ref="E1949" r:id="rId1890" display="https://acf.gov/css/policy-guidance/moving-start-comprehensive-program-tool-submitting-application" xr:uid="{8F652E89-195F-4368-BD8C-3207B36EB1DA}"/>
    <hyperlink ref="E1950" r:id="rId1891" display="https://acf.gov/css/policy-guidance/ocse-self-assessment-reporting-system" xr:uid="{14B58EFA-A307-4AC2-A91D-E16C026F0833}"/>
    <hyperlink ref="E1951" r:id="rId1892" display="https://acf.gov/css/policy-guidance/new-collaborative-planning-guide-child-support-and-judiciary" xr:uid="{F66C8F4C-4DF1-4D69-AD69-3FA589A8A51D}"/>
    <hyperlink ref="E1952" r:id="rId1893" display="https://acf.gov/css/policy-guidance/quick-internet" xr:uid="{02F2DDC5-B196-4FC6-BF71-3502578377EB}"/>
    <hyperlink ref="E1953" r:id="rId1894" display="https://acf.gov/css/policy-guidance/distribution-options-under-deficit-reduction-act-2005" xr:uid="{66517750-D049-4C8C-BCD7-8F4E3897D3AC}"/>
    <hyperlink ref="E1954" r:id="rId1895" display="https://acf.gov/css/policy-guidance/child-support-and-court/judicial-message-exchange-data-model" xr:uid="{86BC3A51-33BE-4194-BF27-0CB784CEE128}"/>
    <hyperlink ref="E1955" r:id="rId1896" display="https://acf.gov/css/policy-guidance/dod-determinations-dependency-health-care-benefits-children-born-out-wedlock" xr:uid="{A33A5E33-8D02-4E56-A6F9-9D3CDD9DD2DD}"/>
    <hyperlink ref="E1956" r:id="rId1897" display="https://acf.gov/css/policy-guidance/establishment-paternity-and-service-process-when-noncustodial-parent-us" xr:uid="{64BF2B5B-A67E-4128-B85C-AD8E347E5D1B}"/>
    <hyperlink ref="E1957" r:id="rId1898" display="https://acf.gov/css/policy-guidance/automated-systems-cse-guide-electronic-document-management" xr:uid="{91C466E1-D8FF-481B-AA95-D61EAD1A79FF}"/>
    <hyperlink ref="E1958" r:id="rId1899" display="https://acf.gov/css/policy-guidance/child-welfare-and-child-support-working-together-help-children" xr:uid="{0CA127DD-B473-44A8-8DD4-8E9A5051D40F}"/>
    <hyperlink ref="E1959" r:id="rId1900" display="https://acf.gov/css/policy-guidance/publication-how-use-electronic-information-establish-and-modify-child-support" xr:uid="{39642E03-2AF1-41E5-B1C0-62A7617A09F8}"/>
    <hyperlink ref="E1960" r:id="rId1901" display="https://acf.gov/css/policy-guidance/implementation-new-passport-denial-threshold" xr:uid="{5BF9BAEE-6CFA-4650-AA93-59A845CBA894}"/>
    <hyperlink ref="E1961" r:id="rId1902" display="https://acf.gov/css/policy-guidance/query-interstate-cases-kids-quick" xr:uid="{47DF6445-F957-4B7E-9654-B6AA453E04EE}"/>
    <hyperlink ref="E1962" r:id="rId1903" display="https://acf.gov/css/policy-guidance/automated-systems-child-support-guide-enhancing-review-and-adjustment" xr:uid="{CB986FB2-8601-4946-9397-B9EDB4904854}"/>
    <hyperlink ref="E1963" r:id="rId1904" display="https://acf.gov/css/policy-guidance/cost-free-service-process-federal-reciprocating-countries" xr:uid="{7060BF32-420A-4AC6-9F12-FA664A74ECB5}"/>
    <hyperlink ref="E1964" r:id="rId1905" display="https://acf.gov/css/policy-guidance/recommendations-location-codes-aka-fips-workgroup" xr:uid="{B0B10000-FB28-4B1C-AA61-A8DF27C58620}"/>
    <hyperlink ref="E1965" r:id="rId1906" display="https://acf.gov/css/policy-guidance/implementation-new-passport-denial-threshold-effective-oct-1-2006" xr:uid="{B55822F0-A4F3-4C84-A3CE-9E866A9666B2}"/>
    <hyperlink ref="E1966" r:id="rId1907" display="https://acf.gov/css/policy-guidance/compliance-equal-treatment-regulations" xr:uid="{85E8C96A-92D2-44B6-A88D-D1DABD0EE027}"/>
    <hyperlink ref="E1967" r:id="rId1908" display="https://acf.gov/css/policy-guidance/interstate-case-reconciliations-2006" xr:uid="{EB4796BA-0F59-48E8-8B42-F27B5393849E}"/>
    <hyperlink ref="E1968" r:id="rId1909" display="https://acf.gov/css/policy-guidance/state-verification-and-exchange-system-sves-garnishment-match" xr:uid="{CF15D80F-E87E-48CB-A674-4F28054B1276}"/>
    <hyperlink ref="E1969" r:id="rId1910" display="https://acf.gov/css/policy-guidance/privacy-act-disclosure-requirement" xr:uid="{A0F06CD9-C00C-40C8-8693-00FD3AE5BFA4}"/>
    <hyperlink ref="E1970" r:id="rId1911" display="https://acf.gov/css/policy-guidance/additional-information-regarding-dfas-restitution-letters" xr:uid="{274D2FB1-B956-494B-BF96-A3FFBF0AAF49}"/>
    <hyperlink ref="E1971" r:id="rId1912" display="https://acf.gov/css/policy-guidance/military-trainer-guide-working-military-child-support-matters" xr:uid="{14118073-2C16-4F89-955E-AE09902A28A0}"/>
    <hyperlink ref="E1972" r:id="rId1913" display="https://acf.gov/css/policy-guidance/federal-parent-locator-service-continuous-service-improvement-questions-and" xr:uid="{73303439-F671-4B11-8E77-FD72DB429178}"/>
    <hyperlink ref="E1973" r:id="rId1914" display="https://acf.gov/css/policy-guidance/dfas-restitution-letters" xr:uid="{5B418B7D-65AF-475E-99BD-BBD736637641}"/>
    <hyperlink ref="E1974" r:id="rId1915" display="https://acf.gov/css/policy-guidance/standardization-iv-d-case-identifiers" xr:uid="{39F4B9EE-003B-4486-8D7A-FFC2643244D9}"/>
    <hyperlink ref="E1975" r:id="rId1916" display="https://acf.gov/css/policy-guidance/cost-allocation-methodologies-toolkit" xr:uid="{960818CD-37D1-4685-8E6A-0DDB3F2AF82B}"/>
    <hyperlink ref="E1976" r:id="rId1917" display="https://acf.gov/css/policy-guidance/improving-processing-ndnh-data" xr:uid="{E7B75699-9464-4001-9D70-230D436EED68}"/>
    <hyperlink ref="E1977" r:id="rId1918" display="https://acf.gov/css/policy-guidance/data-reliability-audit-process-auditing-states-less-frequently-annually" xr:uid="{676EE773-BD23-47A0-A607-F4179B8B837A}"/>
    <hyperlink ref="E1978" r:id="rId1919" display="https://acf.gov/css/policy-guidance/disclosure-federal-tax-data-iv-d-iv" xr:uid="{6BF87C6C-C983-4870-8797-D28F4E64B1E2}"/>
    <hyperlink ref="E1979" r:id="rId1920" display="https://acf.gov/css/policy-guidance/international-child-support-payments-poland" xr:uid="{D3E3E18A-D05F-45AE-A9B8-9B37E051D9EE}"/>
    <hyperlink ref="E1980" r:id="rId1921" display="https://acf.gov/css/policy-guidance/review-federal-case-registry-options" xr:uid="{027523DF-39E5-4D18-8E2A-4E8C748AFF46}"/>
    <hyperlink ref="E1981" r:id="rId1922" display="https://acf.gov/css/policy-guidance/service-process-child-support-matters-united-states" xr:uid="{DD74AF11-FBFC-4BEC-8EBC-6B84E7E8FE97}"/>
    <hyperlink ref="E1982" r:id="rId1923" display="https://acf.gov/css/policy-guidance/state-disbursement-unit-payment-processing-and-physical-security" xr:uid="{84EDDDE5-62C6-4FF7-A1E5-922D29EA3FEE}"/>
    <hyperlink ref="E1983" r:id="rId1924" display="https://acf.gov/css/policy-guidance/report-study-administrative-and-judicial-processes-establishing-child-support" xr:uid="{7D95C62E-CB01-40ED-BCE6-67754290282A}"/>
    <hyperlink ref="E1984" r:id="rId1925" display="https://acf.gov/css/policy-guidance/federal-guidance-international-child-support-payments" xr:uid="{86C3879C-9691-4F1B-A66A-0B5F001E9092}"/>
    <hyperlink ref="E1985" r:id="rId1926" display="https://acf.gov/css/policy-guidance/guidebook-common-methodology" xr:uid="{1C46AFCD-96A3-4D5E-A2B5-30F070748A47}"/>
    <hyperlink ref="E1986" r:id="rId1927" display="https://acf.gov/css/policy-guidance/base-level-program-expenditures-incentive-reinvestment-purposes-revision" xr:uid="{D70F6220-04A8-4753-934E-D309768D4145}"/>
    <hyperlink ref="E1987" r:id="rId1928" display="https://acf.gov/css/policy-guidance/computer-data-match-between-department-education-and-ndnh" xr:uid="{C0A947B9-4107-4DAF-AD05-17D7D5F2420B}"/>
    <hyperlink ref="E1988" r:id="rId1929" display="https://acf.gov/css/policy-guidance/attachment-social-security-benefits" xr:uid="{BD5E5438-E102-403C-A894-EFF644371E36}"/>
    <hyperlink ref="E1989" r:id="rId1930" display="https://acf.gov/css/policy-guidance/department-state-passport-denial-procedures" xr:uid="{A25E2568-B2F5-4386-9416-F00031866241}"/>
    <hyperlink ref="E1990" r:id="rId1931" display="https://acf.gov/css/policy-guidance/removal-full-locate-functionality-state-cse-system-and-csenet-2000" xr:uid="{A1E7B380-4C26-417B-BE21-291FB31A1A22}"/>
    <hyperlink ref="E1991" r:id="rId1932" display="https://acf.gov/css/policy-guidance/processing-bankruptcies" xr:uid="{4B209B8D-585A-4C68-917E-FB6984847997}"/>
    <hyperlink ref="E1992" r:id="rId1933" display="https://acf.gov/css/policy-guidance/internal-revenue-services-use-federal-case-registry-information" xr:uid="{E62054E3-1D53-4687-B272-FEE63DE35E9B}"/>
    <hyperlink ref="E1993" r:id="rId1934" display="https://acf.gov/css/policy-guidance/state-best-practices-fpls-data-new-hire-reporting-fvi-fcr-automation" xr:uid="{124D35DD-E9C4-449D-A27D-29C17C37F981}"/>
    <hyperlink ref="E1994" r:id="rId1935" display="https://acf.gov/css/policy-guidance/online-interstate-roster-and-referral-guide-record-layout-and-state-fips-codes" xr:uid="{5C9298C1-ED31-43E9-ADA3-E290F16B40A4}"/>
    <hyperlink ref="E1995" r:id="rId1936" display="https://acf.gov/css/policy-guidance/follow-federal-offset-conference-calls" xr:uid="{28C60427-4AEB-4A69-A870-ED222B75FAC2}"/>
    <hyperlink ref="E1996" r:id="rId1937" display="https://acf.gov/css/policy-guidance/international-child-abduction" xr:uid="{AE9B6174-B972-4D46-84F3-C2D5B7DB5442}"/>
    <hyperlink ref="E1997" r:id="rId1938" display="https://acf.gov/css/policy-guidance/requests-information-fpls" xr:uid="{1E8D397D-B66F-40BA-A6B9-2F828B9A4711}"/>
    <hyperlink ref="E1998" r:id="rId1939" display="https://acf.gov/css/policy-guidance/recent-legislation-relating-iv-d-program-taxpayer-relief-act-1997" xr:uid="{786D428C-ACA0-48BE-82BB-DC129F5AE394}"/>
    <hyperlink ref="E1999" r:id="rId1940" display="https://acf.gov/css/policy-guidance/facilitate-family-preservation-and-promote-adoption" xr:uid="{147729E4-8ABA-4916-A70A-9E070F67A915}"/>
    <hyperlink ref="E2000" r:id="rId1941" display="https://acf.gov/css/policy-guidance/clarification-claim-charge-backs-pre-offset-notices" xr:uid="{AF32C288-6113-44B4-8EC7-7A4DAD9A77A0}"/>
    <hyperlink ref="E2001" r:id="rId1942" display="https://acf.gov/css/policy-guidance/small-business-act-and-financial-assistance" xr:uid="{6C8134DB-1A9D-4763-935C-2779CB98804B}"/>
    <hyperlink ref="E2002" r:id="rId1943" display="https://acf.gov/css/policy-guidance/charge-backs-printing-and-processing-pre-offset-notices" xr:uid="{F688B005-36AC-46D9-BAB1-E2C8ACB37D38}"/>
    <hyperlink ref="E2003" r:id="rId1944" display="https://acf.gov/css/policy-guidance/additional-prosecutions-federal-criminal-nonsupport-cases" xr:uid="{95187830-59D8-49CC-83FB-5BC79D6A9DFE}"/>
    <hyperlink ref="E2004" r:id="rId1945" display="https://acf.gov/css/policy-guidance/change-expedited-processes-exemption-requirements" xr:uid="{57F9D6E1-64B8-48E9-BA9F-9DDFBF279EB9}"/>
    <hyperlink ref="E2005" r:id="rId1946" display="https://acf.gov/css/policy-guidance/final-rule-medicaid-extension-when-iv-d-support-collection-results-termination" xr:uid="{7790478E-1AEF-4401-A333-07CF071223A9}"/>
    <hyperlink ref="E2006" r:id="rId1947" display="https://acf.gov/css/policy-guidance/recently-enacted-laws-impacting-child-support-enforcement-iv-d-program" xr:uid="{86A57F7E-77A6-4004-8E43-63731BFF90EA}"/>
    <hyperlink ref="E2007" r:id="rId1948" display="https://acf.gov/css/policy-guidance/residency-requirements-iv-d-services" xr:uid="{4DCB69EF-4B75-44EB-A56A-A029AE62C051}"/>
    <hyperlink ref="E2008" r:id="rId1949" display="https://acf.gov/css/policy-guidance/non-iv-d-immediate-wage-withholding" xr:uid="{34B48370-942A-4470-8BF1-5F10D253DC20}"/>
    <hyperlink ref="E2009" r:id="rId1950" display="https://acf.gov/css/policy-guidance/international-parental-kidnapping-crime-act-1993" xr:uid="{D9FC731C-402E-4A53-9B50-7798C2BF014C}"/>
    <hyperlink ref="E2010" r:id="rId1951" display="https://acf.gov/css/policy-guidance/criminal-non-support-child-support" xr:uid="{CF66FB32-183A-47A5-B2E8-B5E29AFB7EB7}"/>
    <hyperlink ref="E2011" r:id="rId1952" display="https://acf.gov/css/policy-guidance/omnibus-budget-reconciliation-act-1993-pl-103-66" xr:uid="{17044FF2-E9A9-4960-8457-C916167B3BB0}"/>
    <hyperlink ref="E2012" r:id="rId1953" display="https://acf.gov/css/policy-guidance/hcfa-final-rule-poverty-level-pregnant-women-eligible-medicaid" xr:uid="{52B37F83-94D4-41B5-B5FA-B05C5F899499}"/>
    <hyperlink ref="E2013" r:id="rId1954" display="https://acf.gov/css/policy-guidance/reimbursement-states-use-fpls" xr:uid="{9B7DAC52-E02C-470A-8F94-1E7C4C057EE1}"/>
    <hyperlink ref="E2014" r:id="rId1955" display="https://acf.gov/css/policy-guidance/credit-reporting-agencies" xr:uid="{FCDE161A-23D8-4AB5-9AB6-A5E3C540C13E}"/>
    <hyperlink ref="E2015" r:id="rId1956" display="https://acf.gov/css/policy-guidance/employment-and-training-services-funding-and-resources" xr:uid="{6C4FFD8D-EBCC-45E3-8FAC-C5469F499D46}"/>
    <hyperlink ref="E2016" r:id="rId1957" display="https://acf.gov/css/policy-guidance/section-1115-waivers-fund-ncp-work-activities-update" xr:uid="{E4F5AAF1-651C-4A38-A302-93F33B8910CA}"/>
    <hyperlink ref="E2017" r:id="rId1958" display="https://acf.gov/css/policy-guidance/section-1115-grant-funding-process-update" xr:uid="{07E95134-6F45-45CC-81DB-08855A1CC4C8}"/>
    <hyperlink ref="E2018" r:id="rId1959" display="https://acf.gov/css/policy-guidance/section-1115-waivers-update" xr:uid="{A8D030AD-7E87-4C8F-B185-5F41BCBFFD2C}"/>
    <hyperlink ref="E2019" r:id="rId1960" display="https://acf.gov/css/policy-guidance/fmap-rates-state-iv-d-agencies-fy-2024-and-2025" xr:uid="{C7D0A91F-E242-4CD4-9A08-83ABEE108CBC}"/>
    <hyperlink ref="E2020" r:id="rId1961" display="https://acf.gov/css/policy-guidance/guidance-tribal-child-support-program-start-up-application-process" xr:uid="{8885CD7C-DA57-4462-82EC-8C77351656BA}"/>
    <hyperlink ref="E2021" r:id="rId1962" display="https://acf.gov/css/policy-guidance/usps-contact-information-child-support-agencies-updated" xr:uid="{6775AC0A-BC2F-4494-94C9-C4D126586630}"/>
    <hyperlink ref="E2022" r:id="rId1963" display="https://acf.gov/css/policy-guidance/name-change-office-child-support-services-ocss" xr:uid="{5522BBF4-72BF-4AE3-AFED-D4E833759797}"/>
    <hyperlink ref="E2023" r:id="rId1964" display="https://acf.gov/css/policy-guidance/new-webpage-parents" xr:uid="{B76F6A63-8B1A-4981-86C8-01F1F7A5B10C}"/>
    <hyperlink ref="E2024" r:id="rId1965" display="https://acf.gov/css/policy-guidance/tribal-iv-d-program-job-descriptions" xr:uid="{5B9EC309-EA24-490E-A31B-B686BAC8F8B9}"/>
    <hyperlink ref="E2025" r:id="rId1966" display="https://acf.gov/css/policy-guidance/wire-payments-countries-not-accepting-paper-checks" xr:uid="{EF0939FA-8D62-4EE1-82DC-850CC5E3D52D}"/>
    <hyperlink ref="E2026" r:id="rId1967" display="https://acf.gov/css/policy-guidance/child-support-resource-guide-state-iv-d-directors-2021" xr:uid="{2CC3ABEA-0FBB-439D-95A3-9935A10EBE94}"/>
    <hyperlink ref="E2027" r:id="rId1968" display="https://acf.gov/css/policy-guidance/omb-approved-msfidm-and-fast-levy-documents-expires-january-31-2024" xr:uid="{6EC6E69E-1278-423F-90B0-4A9EBA6DF4CF}"/>
    <hyperlink ref="E2028" r:id="rId1969" display="https://acf.gov/css/policy-guidance/omb-approved-insurance-match-standard-input-file-record-expires-january-31-2024" xr:uid="{371E6DE3-5D9E-4D94-BA47-0F86DC73309D}"/>
    <hyperlink ref="E2029" r:id="rId1970" display="https://acf.gov/css/policy-guidance/united-kingdoms-ratification-hague-child-support-convention" xr:uid="{55124F30-592F-49F9-A098-0BB288CF1575}"/>
    <hyperlink ref="E2030" r:id="rId1971" display="https://acf.gov/css/policy-guidance/section-1115-grant-funding-streamlined-process" xr:uid="{E9317406-0E71-4FAC-8F6C-5A9639EB55A7}"/>
    <hyperlink ref="E2031" r:id="rId1972" display="https://acf.gov/css/policy-guidance/tribal-property-and-uniform-cost-principles" xr:uid="{5A83CD0A-ECD2-46EC-86B1-4DCE59B800D9}"/>
    <hyperlink ref="E2032" r:id="rId1973" display="https://acf.gov/css/policy-guidance/united-kingdoms-withdrawal-european-union-procedures-us-states" xr:uid="{E8726B30-AC07-4249-966D-5FE84339C728}"/>
    <hyperlink ref="E2033" r:id="rId1974" display="https://acf.gov/css/policy-guidance/questions-and-answers-working-child-support-cases-canada" xr:uid="{772749CA-BC94-40E4-9426-1629F1A9ABE4}"/>
    <hyperlink ref="E2034" r:id="rId1975" display="https://acf.gov/css/policy-guidance/ssn-ocse-issued-pre-offset-notice" xr:uid="{5D645BC8-F6DA-4191-87A1-8E66E5D1E3F3}"/>
    <hyperlink ref="E2035" r:id="rId1976" display="https://acf.gov/css/policy-guidance/model-procedures-domestic-violence-cases" xr:uid="{7930AC3A-5C58-483F-911C-616056CCBD04}"/>
    <hyperlink ref="E2036" r:id="rId1977" display="https://acf.gov/css/policy-guidance/judicial-bench-cards-uifsa-and-hague-convention-cases" xr:uid="{DF3C4149-86DC-4848-A679-2DA9103574ED}"/>
    <hyperlink ref="E2037" r:id="rId1978" display="https://acf.gov/css/policy-guidance/irs-requirements-tribes-accessing-federal-tax-information" xr:uid="{1C5C1EDD-8D27-44C8-864A-E37DB1FC124A}"/>
    <hyperlink ref="E2038" r:id="rId1979" display="https://acf.gov/css/policy-guidance/provide-only-us-state-residence-international-locate-requests" xr:uid="{A8E68929-DBFD-46FF-83CA-DEC34CFE5D02}"/>
    <hyperlink ref="E2039" r:id="rId1980" display="https://acf.gov/css/policy-guidance/outgoing-convention-applications-portugal-recognition-and-enforcement-decision" xr:uid="{58B9E159-E41C-4147-BDBA-CBDCCFCFCE0D}"/>
    <hyperlink ref="E2040" r:id="rId1981" display="https://acf.gov/css/policy-guidance/international-locate-requests-central-authorities-only" xr:uid="{B1DC301C-FF9A-4752-B6E1-E790B060F1B8}"/>
    <hyperlink ref="E2041" r:id="rId1982" display="https://acf.gov/css/policy-guidance/sending-wire-payments-austria-czech-republic-slovakia-and-switzerland" xr:uid="{D2D143A5-1501-4B4B-9A18-4D89F8DE4843}"/>
    <hyperlink ref="E2042" r:id="rId1983" display="https://acf.gov/css/policy-guidance/hague-child-support-convention-judicial-guide" xr:uid="{4966D3E0-174F-470B-8835-D63E077E4922}"/>
    <hyperlink ref="E2043" r:id="rId1984" display="https://acf.gov/css/policy-guidance/caseworkers-guide-processing-cases-australia" xr:uid="{FF146C7E-BD88-4954-BB58-48187F4A2CB3}"/>
    <hyperlink ref="E2044" r:id="rId1985" display="https://acf.gov/css/policy-guidance/dol-opinion-ccpa-and-lump-sum-payments" xr:uid="{3500C1BE-AAC3-411B-BD1D-4880969C24BF}"/>
    <hyperlink ref="E2045" r:id="rId1986" display="https://acf.gov/css/policy-guidance/iv-d-state-plan-training-materials" xr:uid="{2689DA3D-1582-4781-AACE-DFFC03F280E5}"/>
    <hyperlink ref="E2046" r:id="rId1987" display="https://acf.gov/css/policy-guidance/use-iv-d-incentive-funds-ncp-work-activities" xr:uid="{EE9EBFDF-8981-4713-841F-9F161C1A33F0}"/>
    <hyperlink ref="E2047" r:id="rId1988" display="https://acf.gov/css/policy-guidance/minimum-requirement-ocse-debtor-file-submittals" xr:uid="{FBA52679-22A9-4B9A-BFEC-E53A473A9825}"/>
    <hyperlink ref="E2048" r:id="rId1989" display="https://acf.gov/css/policy-guidance/toolkit-collaborations-assist-veterans" xr:uid="{5190D267-D455-4210-A843-DE8683E9BEB4}"/>
    <hyperlink ref="E2049" r:id="rId1990" display="https://acf.gov/css/policy-guidance/ocse-intergovernmental-forms-training" xr:uid="{2045CD14-C960-49BD-A68B-3414AEC2C120}"/>
    <hyperlink ref="E2050" r:id="rId1991" display="https://acf.gov/css/policy-guidance/training-materials-available-international-case-processing-under-uifsa-2008" xr:uid="{B2E398D1-14CF-4883-A3AA-80DB21E7B645}"/>
    <hyperlink ref="E2051" r:id="rId1992" display="https://acf.gov/css/policy-guidance/procedures-sending-payments-norway" xr:uid="{2148ABAC-D489-48C3-9CD8-E08DE249746D}"/>
    <hyperlink ref="E2052" r:id="rId1993" display="https://acf.gov/css/policy-guidance/information-tribal-access-fpls" xr:uid="{1F6D90D4-12E0-42CF-9C7E-442E3565911B}"/>
    <hyperlink ref="E2053" r:id="rId1994" display="https://acf.gov/css/policy-guidance/2008-revisions-uniform-interstate-family-support-act" xr:uid="{6B11F7B4-D63F-4D6A-9CB9-0829203AA8F5}"/>
    <hyperlink ref="E2054" r:id="rId1995" display="https://acf.gov/css/policy-guidance/tribal-child-support-budget-toolbox-and-technical-assistance" xr:uid="{C6C5EA49-E6BF-4CB8-9B3B-2053A64402B4}"/>
    <hyperlink ref="E2055" r:id="rId1996" display="https://acf.gov/css/policy-guidance/proper-case-type-reporting-ocse-157" xr:uid="{C9509F48-26FB-4776-9397-E2EEE6EA08B4}"/>
    <hyperlink ref="E2056" r:id="rId1997" display="https://acf.gov/css/policy-guidance/safe-access-child-support-services-scope-issue" xr:uid="{AACABD4B-F5C2-49FE-B92D-7E683AC2DBA7}"/>
    <hyperlink ref="E2057" r:id="rId1998" display="https://acf.gov/css/policy-guidance/uniform-interstate-family-support-act-2008-and-hague-treaty-provisions" xr:uid="{1D713175-1682-4382-AFF6-8D5E907FEE6F}"/>
    <hyperlink ref="E2058" r:id="rId1999" display="https://acf.gov/css/policy-guidance/domestic-violence-awareness-month-focus-resources-collaboration-and" xr:uid="{501B954D-14C2-473E-AC9E-59F2B7E55047}"/>
    <hyperlink ref="E2059" r:id="rId2000" display="https://acf.gov/css/policy-guidance/medicaid-referrals-iv-d-agency" xr:uid="{B7606E9D-AB43-417E-887F-889EC3D6DEEC}"/>
    <hyperlink ref="E2060" r:id="rId2001" display="https://acf.gov/css/policy-guidance/changes-currency-conversion-policy-british-columbia-and-manitoba-canada" xr:uid="{00D77065-D22F-46BD-8272-A19F3B920852}"/>
    <hyperlink ref="E2061" r:id="rId2002" display="https://acf.gov/css/policy-guidance/updated-caseworkers-guide-processing-cases-canada" xr:uid="{7E4A936F-6B03-4FA3-9960-07742CB7DE2E}"/>
    <hyperlink ref="E2062" r:id="rId2003" display="https://acf.gov/css/policy-guidance/facts-garnishing-federal-benefits-child-support" xr:uid="{A1CEAF9C-B6E3-46F7-9793-7AAA4427D165}"/>
    <hyperlink ref="E2063" r:id="rId2004" display="https://acf.gov/css/policy-guidance/requests-locate-services-referrals-and-electronic-interface" xr:uid="{3233B246-0F05-4866-8D5B-2EACAF850CDC}"/>
    <hyperlink ref="E2064" r:id="rId2005" display="https://acf.gov/css/policy-guidance/alternatives-incarceration" xr:uid="{911156A7-5F21-4825-A3A7-44411F522B49}"/>
    <hyperlink ref="E2065" r:id="rId2006" display="https://acf.gov/css/policy-guidance/questions-and-responses-regarding-model-tribal-system-final-rule" xr:uid="{46EE8D42-CE6E-48EE-9258-415F690B4CAA}"/>
    <hyperlink ref="E2066" r:id="rId2007" display="https://acf.gov/css/policy-guidance/caseworkers-guide-processing-cases-el-salvador" xr:uid="{E7EA7C0C-BBE7-466D-B32C-60EAD1675869}"/>
    <hyperlink ref="E2067" r:id="rId2008" display="https://acf.gov/css/policy-guidance/caseworkers-guide-processing-cases-switzerland" xr:uid="{35AAD615-1816-4DCC-BBD1-607C5AC901C1}"/>
    <hyperlink ref="E2068" r:id="rId2009" display="https://acf.gov/css/policy-guidance/guidance-enterprise-architecture-state-automated-human-services-systems" xr:uid="{85EFD129-49A6-47A0-9A67-EC76AABF7B36}"/>
    <hyperlink ref="E2069" r:id="rId2010" display="https://acf.gov/css/policy-guidance/iv-and-iv-d-interface-and-data-exchange-report" xr:uid="{92438A39-5A33-4639-BB75-5DF915573831}"/>
    <hyperlink ref="E2070" r:id="rId2011" display="https://acf.gov/css/policy-guidance/story-behind-numbers-understanding-and-managing-child-support-debt" xr:uid="{83F3A3A9-A5A7-4CFB-9B3F-F64C71AFFD2A}"/>
    <hyperlink ref="E2071" r:id="rId2012" display="https://acf.gov/css/policy-guidance/guidance-referral-medicaid-cases-title-iv-d-child-support" xr:uid="{B6F4CF0D-32F2-4554-86C7-8E3AE4A0810A}"/>
    <hyperlink ref="E2072" r:id="rId2013" display="https://acf.gov/css/policy-guidance/earned-income-tax-credit" xr:uid="{D759E38D-32F3-479A-8D41-1A5946E083AA}"/>
    <hyperlink ref="E2073" r:id="rId2014" display="https://acf.gov/css/policy-guidance/issuance-food-stamp-agency" xr:uid="{E6EECCE4-19A3-4CCE-9269-EF6996A19D8A}"/>
    <hyperlink ref="E2074" r:id="rId2015" display="https://acf.gov/css/policy-guidance/referrals-location-applications-and-electronic-interface-between-child-welfare" xr:uid="{CF8E3399-C658-4B09-A27F-19F4327BA026}"/>
    <hyperlink ref="E2075" r:id="rId2016" display="https://acf.gov/css/policy-guidance/child-support-and-vital-records-data-exchange-successful-practices" xr:uid="{87C747E6-6B19-48FF-B6C7-EE8CF88AAD64}"/>
    <hyperlink ref="E2076" r:id="rId2017" display="https://acf.gov/css/policy-guidance/tribal-and-state-jurisdiction-establish-and-enforce-child-support" xr:uid="{69F445D5-0210-404F-8B18-E53CD070F2A7}"/>
    <hyperlink ref="E2077" r:id="rId2018" display="https://acf.gov/css/policy-guidance/distribution-tribal-iv-d-cases-trainers-guide-and-participant-guide" xr:uid="{A6710825-44F9-45D6-B031-FAF08C4253BE}"/>
    <hyperlink ref="E2078" r:id="rId2019" display="https://acf.gov/css/policy-guidance/social-security-administration-court-order-garnishment-system" xr:uid="{6E12BADE-3779-4BD1-A803-D325545EB0BA}"/>
    <hyperlink ref="E2079" r:id="rId2020" display="https://acf.gov/css/policy-guidance/interstate-child-support-hearings" xr:uid="{7124250B-ABE5-4C3A-A186-8A2C9AAFEDFF}"/>
    <hyperlink ref="E2080" r:id="rId2021" display="https://acf.gov/css/policy-guidance/social-security-administration-updates-2005" xr:uid="{0F494998-65BC-4E04-8EC9-4574C9423FF6}"/>
    <hyperlink ref="E2081" r:id="rId2022" display="https://acf.gov/css/policy-guidance/story-behind-numbers-collecting-interstate-child-support" xr:uid="{B6E6C8ED-B429-49BA-8156-F3853AED4F2C}"/>
    <hyperlink ref="E2082" r:id="rId2023" display="https://acf.gov/css/policy-guidance/new-federal-bankruptcy-law-contains-child-support-provisions" xr:uid="{57A28DA2-34F0-49F5-9AE4-952E46EC3CE7}"/>
    <hyperlink ref="E2083" r:id="rId2024" display="https://acf.gov/css/policy-guidance/optional-checklist-exemption-prior-approval-it-acquisitions" xr:uid="{B73EC2A6-078C-471E-8F57-98468E487156}"/>
    <hyperlink ref="E2084" r:id="rId2025" display="https://acf.gov/css/policy-guidance/use-enterprise-software-automated-human-services-information-systems" xr:uid="{EDE54F64-1C5B-4315-B49F-C10D26066CA2}"/>
    <hyperlink ref="E2085" r:id="rId2026" display="https://acf.gov/css/policy-guidance/master-contracts-state-it-products-or-services" xr:uid="{A5DE628C-82B1-4FA8-87B1-D171B9A9B186}"/>
    <hyperlink ref="E2086" r:id="rId2027" display="https://acf.gov/css/policy-guidance/story-behind-numbers-who-owes-child-support-debt" xr:uid="{50B47A5B-49E2-4234-9E6F-E31E75554AAB}"/>
    <hyperlink ref="E2087" r:id="rId2028" display="https://acf.gov/css/policy-guidance/reactivating-fpls-external-locate-function-department-defense-verify-employment" xr:uid="{E944DCD1-8B32-4979-A8EA-59B219CE7DD2}"/>
    <hyperlink ref="E2088" r:id="rId2029" display="https://acf.gov/css/policy-guidance/state-best-practices-fpls-data-automation-employer-database-employer-new-hire" xr:uid="{95733C2E-4C3D-41DD-8E9D-902A516F474B}"/>
    <hyperlink ref="E2089" r:id="rId2030" display="https://acf.gov/css/policy-guidance/quick-guide-working-military-employer-2003" xr:uid="{BC1B3F0A-8FF6-4E43-8760-F9F136142F8B}"/>
    <hyperlink ref="E2090" r:id="rId2031" display="https://acf.gov/css/policy-guidance/state-best-practices-fpls-data-quarterly-wage-and-unemployment-insurance" xr:uid="{36FA9B91-625C-4F82-B6E3-61D042C6556F}"/>
    <hyperlink ref="E2091" r:id="rId2032" display="https://acf.gov/css/policy-guidance/employment-verification-federal-agencies-and-military" xr:uid="{0DB352F3-F876-4D36-A12B-13F84D7163AA}"/>
    <hyperlink ref="E2092" r:id="rId2033" display="https://acf.gov/css/policy-guidance/brown-bag-training-whats-your-security-iq" xr:uid="{16FFCE45-D7D5-4909-8622-6C7C2AEDA14E}"/>
    <hyperlink ref="E2093" r:id="rId2034" display="https://acf.gov/css/policy-guidance/state-best-practices-fpls-data-quarterly-wage-data-match-and-asset-seizure-fidm" xr:uid="{585740CB-45F9-49F5-80DA-6278AF2C742C}"/>
    <hyperlink ref="E2094" r:id="rId2035" display="https://acf.gov/css/policy-guidance/income-withholding-federal-employees-working-indian-reservations" xr:uid="{96A3392A-C683-4EB2-8D15-493633C76825}"/>
    <hyperlink ref="E2095" r:id="rId2036" display="https://acf.gov/css/policy-guidance/final-rules-schip-and-medicaid-presumptive-eligibility" xr:uid="{472A0B03-9EE5-4364-97FB-8E0D28DD5D24}"/>
    <hyperlink ref="E2096" r:id="rId2037" display="https://acf.gov/css/policy-guidance/techniques-one-state-and-limited-services-interstate-case-processing" xr:uid="{BE3946A5-3030-4B10-AD46-DDCE12F6135C}"/>
    <hyperlink ref="E2097" r:id="rId2038" display="https://acf.gov/css/policy-guidance/techniques-effective-income-withholding-2001" xr:uid="{615F68C5-78B9-4ADB-B070-9FCB59D7A551}"/>
    <hyperlink ref="E2098" r:id="rId2039" display="https://acf.gov/css/policy-guidance/ocse-web-page-financial-institution-data-match" xr:uid="{546CF21F-6572-4AA6-8AFE-8C91532D2270}"/>
    <hyperlink ref="E2099" r:id="rId2040" display="https://acf.gov/css/policy-guidance/guidance-prohibition-national-origin-discrimination" xr:uid="{0D37F358-CDDC-48C7-B2BD-CC09B36BA0D1}"/>
    <hyperlink ref="E2100" r:id="rId2041" display="https://acf.gov/css/policy-guidance/tips-techniques-and-technology-using-fpls-data" xr:uid="{4B004D61-7EFA-4EFD-B8F3-7BF24C48E529}"/>
    <hyperlink ref="E2101" r:id="rId2042" display="https://acf.gov/css/policy-guidance/impact-welfare-recidivism-prwora-child-support-arrears-distribution-policy" xr:uid="{53CE1E40-A740-4710-97F1-6B3EC4064777}"/>
    <hyperlink ref="E2102" r:id="rId2043" display="https://acf.gov/css/policy-guidance/use-federal-parent-locator-service-child-welfare-services" xr:uid="{F19B1DA5-E2ED-4291-890B-E510E09B0C8E}"/>
    <hyperlink ref="E2103" r:id="rId2044" display="https://acf.gov/css/policy-guidance/financial-support-children-benefits-paid-veterans-affairs" xr:uid="{228F8A04-2883-423B-B481-6F7C5D8BCCA5}"/>
    <hyperlink ref="E2104" r:id="rId2045" display="https://acf.gov/css/policy-guidance/directory-interstate-central-registries" xr:uid="{07ECE9CE-90DF-47F9-9029-EB29855F34AA}"/>
    <hyperlink ref="E2105" r:id="rId2046" display="https://acf.gov/css/policy-guidance/technical-amendments-legislation-pertaining-medical-child-support-orders" xr:uid="{40D84178-0A77-459C-85FE-61AAF9B89930}"/>
    <hyperlink ref="E2106" r:id="rId2047" display="https://acf.gov/css/policy-guidance/accreditation-genetic-testing-labs" xr:uid="{83BB2272-1206-4C99-9F59-4EB6332295B9}"/>
    <hyperlink ref="E2107" r:id="rId2048" display="https://acf.gov/css/policy-guidance/child-support-recovery-act-1992" xr:uid="{B7CFF312-73A3-43D5-A8DC-CB34828B437B}"/>
    <hyperlink ref="E2108" r:id="rId2049" display="https://acf.gov/css/policy-guidance/enlistment-policy-men-who-acknowledge-paternity" xr:uid="{F1C3EF08-F01A-49C4-91AB-CA88189CD6C5}"/>
    <hyperlink ref="E2109" r:id="rId2050" display="https://acf.gov/css/policy-guidance/tools-assist-child-support-enforcement-agencies-issues-involving-military" xr:uid="{AD12C1E5-9680-4239-A648-652A6C6CA34A}"/>
    <hyperlink ref="E2110" r:id="rId2051" display="https://acf.gov/css/policy-guidance/full-faith-and-credit-child-support-orders-act" xr:uid="{A712612C-BB04-4FE3-BE44-ADED3550E83E}"/>
    <hyperlink ref="E2111" r:id="rId2052" display="https://acf.gov/css/policy-guidance/administrative-determination-paternity" xr:uid="{B1036938-5B5F-421B-A014-06137205E0F1}"/>
    <hyperlink ref="E2112" r:id="rId2053" display="https://acf.gov/css/policy-guidance/state-monitoring-program-standards-implementation" xr:uid="{CB87B013-A0C0-439B-8CE9-2DB2511F175A}"/>
    <hyperlink ref="E2113" r:id="rId2054" display="https://acf.gov/css/policy-guidance/state-advancements-paternity-establishment" xr:uid="{9862F386-0299-433E-9B4A-D1CDE84E9B24}"/>
    <hyperlink ref="E2114" r:id="rId2055" display="https://acf.gov/css/policy-guidance/employers-wage-withholding-guide-small-business" xr:uid="{AA067116-0439-4B14-99ED-D8C1217B63E6}"/>
    <hyperlink ref="E2115" r:id="rId2056" display="https://acf.gov/css/policy-guidance/policies-promote-safety-and-economic-stability-survivors-domestic-violence" xr:uid="{3ED97658-213C-4BEB-ACFD-D8AC428D59D8}"/>
    <hyperlink ref="E2116" r:id="rId2057" display="https://acf.gov/css/policy-guidance/responding-specific-measures-requests-hague-convention-countries" xr:uid="{3D1E9D10-0929-4E2A-9785-38C903DC20B9}"/>
    <hyperlink ref="E2117" r:id="rId2058" display="https://acf.gov/css/policy-guidance/processing-incoming-cases-under-2007-hague-child-support-convention" xr:uid="{5E0385FB-F708-4C13-8381-9F7729551110}"/>
    <hyperlink ref="E2118" r:id="rId2059" display="https://acf.gov/css/policy-guidance/translation-outgoing-international-cases" xr:uid="{DDCA63AB-7E0F-4E77-8BAD-E01E66BD7240}"/>
    <hyperlink ref="E2119" r:id="rId2060" display="https://acf.gov/css/policy-guidance/tribal-contract-provisions" xr:uid="{44FFA5D0-3EDB-4052-B89B-A16E916BD1BE}"/>
    <hyperlink ref="E2120" r:id="rId2061" display="https://acf.gov/css/policy-guidance/using-intergovernmental-forms-case-processing" xr:uid="{0788AE64-5C0C-4D59-B5EC-E6D7540D410A}"/>
    <hyperlink ref="E2121" r:id="rId2062" display="https://acf.gov/css/policy-guidance/state-medicaid-agency-incentive-payments-assigned-medical-support-collection" xr:uid="{7901A3A6-7012-44FD-8D4A-0847D5BE2A6F}"/>
    <hyperlink ref="E2122" r:id="rId2063" display="https://acf.gov/css/policy-guidance/allowable-costs-tribal-child-support-programs" xr:uid="{60F349CC-C7A0-4114-A9F0-13A08E3A1432}"/>
    <hyperlink ref="E2123" r:id="rId2064" display="https://acf.gov/css/policy-guidance/federal-tax-refund-offset-administrative-offset-and-passport-denial-tribes" xr:uid="{B0EF64E5-77F1-4186-BA77-391124AC7E1A}"/>
    <hyperlink ref="E2124" r:id="rId2065" display="https://acf.gov/css/policy-guidance/electronic-documents-and-tribunals-under-uifsa-section-316" xr:uid="{CA932D73-81DC-4760-83A7-D3DD7005FDC6}"/>
    <hyperlink ref="E2125" r:id="rId2066" display="https://acf.gov/css/policy-guidance/partnering-other-programs-including-outreach-referral-and-case-management" xr:uid="{22FA9D55-A1B8-4645-A012-F98A47D1F526}"/>
    <hyperlink ref="E2126" r:id="rId2067" display="https://acf.gov/css/policy-guidance/administrative-offset-attorney-fees-under-equal-access-justice-act" xr:uid="{2F834568-C67C-4B6B-BB2D-416D5D64879D}"/>
    <hyperlink ref="E2127" r:id="rId2068" display="https://acf.gov/css/policy-guidance/federal-financial-participation-and-non-iv-d-activities" xr:uid="{E2683A72-A989-4CC4-86CC-AB1C0ADB871E}"/>
    <hyperlink ref="E2128" r:id="rId2069" display="https://acf.gov/css/policy-guidance/use-electronic-signatures-applications-iv-d-services" xr:uid="{57C88D19-0C5C-495E-8A9F-81293E5FBD47}"/>
    <hyperlink ref="E2129" r:id="rId2070" display="https://acf.gov/css/policy-guidance/garnishment-federal-payments-child-support-obligations" xr:uid="{F993A8CF-C9B5-459B-94F9-A9146B43AD32}"/>
    <hyperlink ref="E2130" r:id="rId2071" display="https://acf.gov/css/policy-guidance/inclusion-self-insurers-federal-insurance-match" xr:uid="{E2C5172E-6E5D-4642-BD25-7240D9F9568F}"/>
    <hyperlink ref="E2131" r:id="rId2072" display="https://acf.gov/css/policy-guidance/enforcing-child-support-when-obligor-bankruptcy" xr:uid="{B28B052E-5609-4D67-AB61-25D7AE60A15C}"/>
    <hyperlink ref="E2132" r:id="rId2073" display="https://acf.gov/css/policy-guidance/ffp-state-systems-related-tribal-iv-d-programs-cases-federal-tax-refund-offset" xr:uid="{077CA063-051F-4122-9E93-8467C1C9E4CC}"/>
    <hyperlink ref="E2133" r:id="rId2074" display="https://acf.gov/css/policy-guidance/ffp-state-automated-systems-costs-service-agreements-submitting-tribal-cases" xr:uid="{0B77158D-AD17-4359-A9A8-C51FF06884F5}"/>
    <hyperlink ref="E2134" r:id="rId2075" display="https://acf.gov/css/policy-guidance/disclosures-child-support-enforcement-information-state-iv-b-iv-e-child-welfare" xr:uid="{46B71BDD-4EE7-47F2-A93E-D1887ABDBFB7}"/>
    <hyperlink ref="E2135" r:id="rId2076" display="https://acf.gov/css/policy-guidance/moving-start-comprehensive-tribal-iv-d-program" xr:uid="{A9E9D313-F38E-4DAC-9510-D9708168D87E}"/>
    <hyperlink ref="E2136" r:id="rId2077" display="https://acf.gov/css/policy-guidance/federal-income-tax-refund-offset-program-recoup-medical-or-birthing-expenses" xr:uid="{E1C63231-8873-4731-B7A4-DD9B003F627D}"/>
    <hyperlink ref="E2137" r:id="rId2078" display="https://acf.gov/css/policy-guidance/guidance-sending-national-medical-support-notice-defense-manpower-data-center" xr:uid="{606ACD68-ACE5-4200-A704-14F858EBCDD6}"/>
    <hyperlink ref="E2138" r:id="rId2079" display="https://acf.gov/css/policy-guidance/non-recurring-short-term-cash-benefit-tanf-cases-and-closing-such-cases-were" xr:uid="{D44A4F17-5626-4252-81D2-E020308B0674}"/>
    <hyperlink ref="E2139" r:id="rId2080" display="https://acf.gov/css/policy-guidance/sending-national-medical-support-notice-defense-management-data-center" xr:uid="{A03D74EF-B2A7-4D34-86E0-D4522D720E98}"/>
    <hyperlink ref="E2140" r:id="rId2081" display="https://acf.gov/css/policy-guidance/state-iv-d-agencies-use-federal-income-withholding-form-tribal-employers" xr:uid="{182B3C15-A041-4A09-B91A-3C11714E55B1}"/>
    <hyperlink ref="E2141" r:id="rId2082" display="https://acf.gov/css/policy-guidance/ffp-costs-carrying-out-expedited-administrative-processes-under-section-466a2" xr:uid="{411BE3EA-357C-4656-BD69-75486A710AF6}"/>
    <hyperlink ref="E2142" r:id="rId2083" display="https://acf.gov/css/policy-guidance/case-initiation-previously-closed-iv-d-cases" xr:uid="{545BCD72-FB4A-414E-A87B-7FD7CC54A18A}"/>
    <hyperlink ref="E2143" r:id="rId2084" display="https://acf.gov/css/policy-guidance/reduction-unreimbursed-assistance-balance-when-permanently-assigned-arrearages" xr:uid="{CDE1E5B7-59EC-42A7-B3A9-90F1E9D97B61}"/>
    <hyperlink ref="E2144" r:id="rId2085" display="https://acf.gov/css/policy-guidance/applicability-45-cfr-part-303-tribal-iv-d-programs-jurisdiction-and-cooperation" xr:uid="{9E9CDC71-C517-4917-9D29-BC790CF02F17}"/>
    <hyperlink ref="E2145" r:id="rId2086" display="https://acf.gov/css/policy-guidance/use-iv-d-funding-pay-private-attorney-fees-establishment-and-modification" xr:uid="{14CCF3D9-B7B4-470A-987F-DA0131A25259}"/>
    <hyperlink ref="E2146" r:id="rId2087" display="https://acf.gov/css/policy-guidance/direct-income-withholding-when-employers-are-subject-tribes-jurisdiction" xr:uid="{783A613C-C968-4AB4-A322-56B3E171C226}"/>
    <hyperlink ref="E2147" r:id="rId2088" display="https://acf.gov/css/policy-guidance/electronic-disbursement-child-support-payments" xr:uid="{573D8207-E0FF-4512-9C1F-9AE1EC0A88E9}"/>
    <hyperlink ref="E2148" r:id="rId2089" display="https://acf.gov/css/policy-guidance/medical-support-enforcement-under-iv-d-program-and-privacy-protections-under" xr:uid="{4A782DD8-153F-4D46-B9C2-1D53622F057E}"/>
    <hyperlink ref="E2149" r:id="rId2090" display="https://acf.gov/css/policy-guidance/electronic-payment-withdrawal-alternative-income-withholding" xr:uid="{E54C4ADE-83A4-41BC-A690-6B378E7024AB}"/>
    <hyperlink ref="E2150" r:id="rId2091" display="https://acf.gov/css/policy-guidance/case-closure-child-only-medicaid-cases" xr:uid="{7B1ADEF5-2911-47FB-9D9A-764873C62012}"/>
    <hyperlink ref="E2151" r:id="rId2092" display="https://acf.gov/css/policy-guidance/medical-support-child-support-orders-definition-reasonable-cost" xr:uid="{FB4A902E-A756-48C2-BE67-4ABB50C7C45E}"/>
    <hyperlink ref="E2152" r:id="rId2093" display="https://acf.gov/css/policy-guidance/hold-period-joint-non-iv-tax-refund-offsets" xr:uid="{D18CA6C4-5EDF-4597-9B15-E803646D7BCB}"/>
    <hyperlink ref="E2153" r:id="rId2094" display="https://acf.gov/css/policy-guidance/noncustodial-parents-witness-protection-program" xr:uid="{B3824B06-5934-4159-8105-687F8A8EEEBE}"/>
    <hyperlink ref="E2154" r:id="rId2095" display="https://acf.gov/css/policy-guidance/private-collection-agencies-agent-child-and-third-party-address-correspondence" xr:uid="{97F804BA-10A1-4AF1-B623-AB7CB32E78E6}"/>
    <hyperlink ref="E2155" r:id="rId2096" display="https://acf.gov/css/policy-guidance/paternity-disestablishment" xr:uid="{93E5457B-150F-4747-9809-0D8D91D083D0}"/>
    <hyperlink ref="E2156" r:id="rId2097" display="https://acf.gov/css/policy-guidance/foreign-currency-child-support-payments" xr:uid="{962484D6-8E03-4EA8-8540-F3AA508739DA}"/>
    <hyperlink ref="E2157" r:id="rId2098" display="https://acf.gov/css/policy-guidance/recoupment-child-support-overpayment-guidance-2003" xr:uid="{5D9116BA-EC9D-4D31-913A-7CF6EDAA2751}"/>
    <hyperlink ref="E2158" r:id="rId2099" display="https://acf.gov/css/policy-guidance/issuing-and-complying-federal-income-withholding" xr:uid="{2C41BC20-DA08-4FF0-A1C1-0FB0587068BF}"/>
    <hyperlink ref="E2159" r:id="rId2100" display="https://acf.gov/css/policy-guidance/medical-support-enforcement-policy-clarifications" xr:uid="{5E19B78B-183B-450E-8583-EC12DD4F514F}"/>
    <hyperlink ref="E2160" r:id="rId2101" display="https://acf.gov/css/policy-guidance/requests-custodial-parents-change-address-disbursement-support" xr:uid="{9414F1C4-4F47-4D5F-B8C6-29BD8A4E2AF9}"/>
    <hyperlink ref="E2161" r:id="rId2102" display="https://acf.gov/css/policy-guidance/recoupment-child-support-overpayment-guidance-2002" xr:uid="{FB3A25D9-6CE8-41E3-9EB6-6DA1FB199B44}"/>
    <hyperlink ref="E2162" r:id="rId2103" display="https://acf.gov/css/policy-guidance/selling-child-support-arrears" xr:uid="{CD426AA6-E2E1-4B62-9F4F-E9C355B78796}"/>
    <hyperlink ref="E2163" r:id="rId2104" display="https://acf.gov/css/policy-guidance/thresholds-federal-income-tax-refund-offset" xr:uid="{A35E01BB-0793-409D-88EB-94228A290E7E}"/>
    <hyperlink ref="E2164" r:id="rId2105" display="https://acf.gov/css/policy-guidance/ssa-requests-information-state-case-registries" xr:uid="{3D35C867-5AFC-4E04-B0C1-D31E0CBC1A61}"/>
    <hyperlink ref="E2165" r:id="rId2106" display="https://acf.gov/css/policy-guidance/locate-requirements-after-expanded-federal-parent-locator-service" xr:uid="{E3E58613-75C7-4BE6-86CF-F5248C67AE4A}"/>
    <hyperlink ref="E2166" r:id="rId2107" display="https://acf.gov/css/policy-guidance/use-federal-order/notice-withhold-income-child-support" xr:uid="{BF5C8B2C-42BD-4CBD-B389-12D6C74C3CC6}"/>
    <hyperlink ref="E2167" r:id="rId2108" display="https://acf.gov/css/policy-guidance/state-iv-d-program-flexibility-respect-low-income-obligors" xr:uid="{35E45CCF-F23F-47D2-9B04-55FAFF3CABCF}"/>
    <hyperlink ref="E2168" r:id="rId2109" display="https://acf.gov/css/policy-guidance/direct-imposition-liens-and-levies-across-state-lines" xr:uid="{F1D83FA9-8D00-4E29-AD7D-66AD2BC8CB5C}"/>
    <hyperlink ref="E2169" r:id="rId2110" display="https://acf.gov/css/policy-guidance/social-security-numbers-license-applications-and-other-documents" xr:uid="{37D25A9E-4E67-4002-A36B-411C97FA3C08}"/>
    <hyperlink ref="E2170" r:id="rId2111" display="https://acf.gov/css/policy-guidance/policy-supporting-two-parent-families/compromise-arrearages" xr:uid="{7B507564-49E6-4DDA-8D88-DF114476243E}"/>
    <hyperlink ref="E2171" r:id="rId2112" display="https://acf.gov/css/policy-guidance/direct-unemployment-compensation-intercepts" xr:uid="{CE049E21-3A9E-4F08-A9DC-7C8E6FAF1913}"/>
    <hyperlink ref="E2172" r:id="rId2113" display="https://acf.gov/css/policy-guidance/order/notice-withhold-income-child-support" xr:uid="{8D3E5EF9-A046-4736-A313-1E7FD21D4D73}"/>
    <hyperlink ref="E2173" r:id="rId2114" display="https://acf.gov/css/policy-guidance/direct-application-title-iv-d-services-international-residents" xr:uid="{8B47E61D-615E-4272-AE03-B5796D5B9DDA}"/>
    <hyperlink ref="E2174" r:id="rId2115" display="https://acf.gov/css/faq/e-nmsn-answers-employers-questions" xr:uid="{4CF94F64-C2A1-4ED5-86DB-67E3BA5E4996}"/>
    <hyperlink ref="E2175" r:id="rId2116" display="https://acf.gov/css/faq/how-does-federal-tax-refund-offset-program-work" xr:uid="{911B12F2-8B25-4F90-A9FC-F3DDFFEE59F1}"/>
    <hyperlink ref="E2176" r:id="rId2117" display="https://acf.gov/css/faq/what-role-federal-office-child-support" xr:uid="{1127F61B-0AC6-4D91-8F01-4CAA62A6BB2A}"/>
    <hyperlink ref="E2177" r:id="rId2118" display="https://acf.gov/css/faq/how-does-passport-denial-program-work" xr:uid="{0F39AB15-7B75-4B99-8753-4907254469F9}"/>
    <hyperlink ref="E2178" r:id="rId2119" display="https://acf.gov/css/faq/what-employers-should-know-when-working-tribes" xr:uid="{F2727F67-1688-4B15-9071-3A5014775FA4}"/>
    <hyperlink ref="E2179" r:id="rId2120" display="https://acf.gov/css/faq/income-withholding-and-medical-support-federal-workers-compensation-answers-state-agencies" xr:uid="{20EC5B8C-7A2E-4E91-BB30-FB3995CA4E7A}"/>
    <hyperlink ref="E2180" r:id="rId2121" display="https://acf.gov/css/faq/income-withholding-answers-employers-questions" xr:uid="{5045304A-B13F-42C6-83C0-C9F263BB2D8C}"/>
    <hyperlink ref="E2181" r:id="rId2122" display="https://acf.gov/css/faq/bonus/lump-sum-reporting-answers-employers-questions" xr:uid="{568F92D0-463F-4A15-A581-72EA6223F42B}"/>
    <hyperlink ref="E2182" r:id="rId2123" display="https://acf.gov/css/faq/electronic-income-withholding-orders-e-iwo-answers-employers-questions" xr:uid="{FD5BB8E2-C1D4-496F-9098-66442895276C}"/>
    <hyperlink ref="E2183" r:id="rId2124" display="https://acf.gov/css/faq/thrift-savings-plan-questions-answers-ocss" xr:uid="{E97B45A9-2185-410F-B8E8-29B746B72B91}"/>
    <hyperlink ref="E2184" r:id="rId2125" display="https://acf.gov/css/faq/what-steps-should-i-take-if-state-department-has-denied-my-passport-because-past-due" xr:uid="{BA11ACA2-056F-4C3C-80BC-F7660FA03FA9}"/>
    <hyperlink ref="E2185" r:id="rId2126" display="https://acf.gov/css/faq/will-i-have-extra-costs-if-my-agency-has-work-my-case-another-state-or-jurisdiction" xr:uid="{94873705-411D-4CC1-A237-26FC434101E8}"/>
    <hyperlink ref="E2186" r:id="rId2127" display="https://acf.gov/css/faq/what-does-child-support-program-do" xr:uid="{A4AEC1C7-EF99-4A76-B1EA-9C80CD73C624}"/>
    <hyperlink ref="E2187" r:id="rId2128" display="https://acf.gov/css/faq/how-amount-my-child-support-order-set" xr:uid="{9768ADB7-F163-409A-9362-309B1EE3F51E}"/>
    <hyperlink ref="E2188" r:id="rId2129" display="https://acf.gov/css/faq/new-hire-reporting-answers-employer-questions" xr:uid="{093AD29B-E10F-4BC7-B74F-9944A514ACDE}"/>
    <hyperlink ref="E2189" r:id="rId2130" display="https://acf.gov/css/faq/what-difference-between-judicial-and-administrative-modification" xr:uid="{CABC06D7-37DA-4AED-917D-134085A1B8F0}"/>
    <hyperlink ref="E2190" r:id="rId2131" display="https://acf.gov/css/faq/how-child-support-order-changed" xr:uid="{633FB52B-E69F-4818-98DA-29EB423696AC}"/>
    <hyperlink ref="E2191" r:id="rId2132" display="https://acf.gov/css/faq/can-i-request-change-my-order-without-going-through-child-support-office" xr:uid="{DEE99523-3FF4-4552-A3C7-99056F4A2FD9}"/>
    <hyperlink ref="E2192" r:id="rId2133" display="https://acf.gov/css/faq/if-i-ask-have-my-order-changed-will-amount-decrease" xr:uid="{D940766C-7B60-4119-A014-F3B1FD452334}"/>
    <hyperlink ref="E2193" r:id="rId2134" display="https://acf.gov/css/faq/what-if-i-have-more-one-child-support-order" xr:uid="{12303410-B249-44C2-BA11-F9C7F4CA8E09}"/>
    <hyperlink ref="E2194" r:id="rId2135" display="https://acf.gov/css/faq/if-either-parent-loses-job-or-earning-more-money-will-child-support-automatically-be" xr:uid="{969471C2-1B54-44B2-8B91-46781C55E438}"/>
    <hyperlink ref="E2195" r:id="rId2136" display="https://acf.gov/css/faq/noncustodial-parent-what-happens-if-i-have-remarried-and-part-income-tax-refund-belongs-my" xr:uid="{5679C822-89C4-436E-8A4E-D4582EF391B2}"/>
    <hyperlink ref="E2196" r:id="rId2137" display="https://acf.gov/css/faq/how-does-federal-tax-refund-offset-program-handle-interstate-case" xr:uid="{E7AB1EC5-4603-4897-9EC4-95ED7886AE8B}"/>
    <hyperlink ref="E2197" r:id="rId2138" display="https://acf.gov/css/faq/what-can-i-do-make-sure-my-child-support-order-amount-fair" xr:uid="{431FE684-BBFC-4259-965E-E829252DB170}"/>
    <hyperlink ref="E2198" r:id="rId2139" display="https://acf.gov/css/faq/how-do-i-sign-up-child-support-services" xr:uid="{E1DE1AF0-22C1-4A4A-92B9-342478EC89EB}"/>
    <hyperlink ref="E2199" r:id="rId2140" display="https://acf.gov/css/faq/my-income-has-changed-can-my-order-be-revised" xr:uid="{9732FEE7-6C02-4DD1-BD6C-D8818ABFACCE}"/>
    <hyperlink ref="E2200" r:id="rId2141" display="https://acf.gov/css/faq/case-eligible-federal-tax-refund-offset-program" xr:uid="{1B1554E6-332A-4718-B1FA-56D3543941C6}"/>
    <hyperlink ref="E2201" r:id="rId2142" display="https://acf.gov/css/faq/how-can-i-contact-my-local-child-support-office" xr:uid="{E25EC6A3-10AE-4A51-B239-E565C63B443B}"/>
    <hyperlink ref="E2202" r:id="rId2143" display="https://acf.gov/css/faq/can-i-establish-paternity-even-though-father-my-child-lives-another-state" xr:uid="{6D18FA58-2195-481F-9645-85946CB2BD7C}"/>
    <hyperlink ref="E2203" r:id="rId2144" display="https://acf.gov/css/faq/noncustodial-parent-not-paying-who-can-help-me-collect-money" xr:uid="{047F641E-2DA6-419C-A797-7492B174DB76}"/>
    <hyperlink ref="E2204" r:id="rId2145" display="https://acf.gov/css/faq/how-much-do-child-support-services-cost" xr:uid="{CF0B08AA-735F-4E70-88D9-DDAA9A42E27A}"/>
    <hyperlink ref="E2205" r:id="rId2146" display="https://acf.gov/css/faq/there-limit-amount-money-can-be-taken-my-paycheck-child-support" xr:uid="{A4970310-7882-4B7A-A59A-ECE52B503913}"/>
    <hyperlink ref="E2206" r:id="rId2147" display="https://acf.gov/css/faq/how-can-i-access-payment-information-my-child-support-account" xr:uid="{A1DCFB2C-FB0E-48A0-9406-C0316DA58898}"/>
    <hyperlink ref="E2207" r:id="rId2148" display="https://acf.gov/css/faq/what-income-withholding" xr:uid="{82D94DD9-FE73-4452-9408-F917C60668AE}"/>
    <hyperlink ref="E2208" r:id="rId2149" display="https://acf.gov/css/faq/i-know-location-non-paying-parent" xr:uid="{0F5CDCDC-C382-42D9-85A5-49162D590046}"/>
    <hyperlink ref="E2209" r:id="rId2150" display="https://acf.gov/css/faq/what-documents-do-i-need-bring-child-support-office" xr:uid="{9AC5F5C5-7DC9-47A4-89B1-B586E3D300BD}"/>
    <hyperlink ref="E2210" r:id="rId2151" display="https://acf.gov/css/faq/my-children-no-longer-minor-will-debt-still-be-submitted-federal-tax-refund-offset" xr:uid="{55FC968D-28FF-4656-8A3B-2E02B02C69C3}"/>
    <hyperlink ref="E2211" r:id="rId2152" display="https://acf.gov/css/faq/visitation-and-parenting-time-help" xr:uid="{448796C2-24D5-4C93-AC04-E62A60389B1D}"/>
    <hyperlink ref="E2212" r:id="rId2153" display="https://acf.gov/css/faq/there-application-fee" xr:uid="{E8F89A5E-908C-4BC1-8EBB-98AF05CC20A1}"/>
    <hyperlink ref="E2213" r:id="rId2154" display="https://acf.gov/css/faq/income-withholding-and-medical-support-department-veterans-affairs-benefits" xr:uid="{57567213-EE26-43C8-A98F-6A87D6BE565F}"/>
    <hyperlink ref="E2214" r:id="rId2155" display="https://acf.gov/css/faq/income-withholding-and-medical-support-social-security-beneficiaries-answers-states" xr:uid="{E7497113-6890-4771-A3F0-D6F2D09CF83F}"/>
    <hyperlink ref="E2215" r:id="rId2156" display="https://acf.gov/css/faq/medical-support-answers-employers-questions" xr:uid="{CD375457-48F7-43F9-A674-8B8F236CC346}"/>
    <hyperlink ref="E2216" r:id="rId2157" display="https://acf.gov/css/faq/remitting-payments-answers-employers-questions" xr:uid="{68F5A7AC-6328-443B-A990-2EFA1DAE00D9}"/>
    <hyperlink ref="E2217" r:id="rId2158" display="https://acf.gov/css/faq/tribal-child-support-order-and-moving-my-reservation" xr:uid="{8B1FAFFD-11CA-440A-826B-E4AC1BB341D9}"/>
    <hyperlink ref="E2218" r:id="rId2159" display="https://acf.gov/css/faq/income-withholding-and-medical-support-federal-retirees-answers-state-agencies" xr:uid="{8BD6A377-95BC-4F41-BE0A-46339D4AC77F}"/>
    <hyperlink ref="E2219" r:id="rId2160" display="https://acf.gov/css/training-technical-assistance/federal-collection-and-passport-denial-technical-guide" xr:uid="{0EE1DD67-8417-4956-B9CD-3F24C0327B76}"/>
    <hyperlink ref="E2220" r:id="rId2161" display="https://acf.gov/css/training-technical-assistance/overview-ocss-ivv-assessment" xr:uid="{102B3B01-89C5-4282-A1ED-288793A48126}"/>
    <hyperlink ref="E2221" r:id="rId2162" display="https://acf.gov/css/training-technical-assistance/interstate-case-reconciliation-case-id-matrix" xr:uid="{31FB6916-16C1-491A-9BDD-2A707933AE9B}"/>
    <hyperlink ref="E2222" r:id="rId2163" display="https://acf.gov/css/training-technical-assistance/interstate-case-reconciliation-reason-codes-quick-reference" xr:uid="{7258DA02-8B2F-490C-8632-4201C6A3035A}"/>
    <hyperlink ref="E2223" r:id="rId2164" display="https://acf.gov/css/training-technical-assistance/msfidm-state-cost-reimbursement-table" xr:uid="{A8517A7E-3D9C-442D-8C7B-F4F63013A2EC}"/>
    <hyperlink ref="E2224" r:id="rId2165" display="https://acf.gov/css/training-technical-assistance/guide-national-directory-new-hires" xr:uid="{112CFAD4-1B48-48E6-9538-91FE074B8076}"/>
    <hyperlink ref="E2225" r:id="rId2166" display="https://acf.gov/css/training-technical-assistance/thrift-savings-plan-quick-guide-child-support-agencies" xr:uid="{4237905D-F6EF-4BA3-A028-152F621B4B15}"/>
    <hyperlink ref="E2226" r:id="rId2167" display="https://acf.gov/css/training-technical-assistance/reporting-employee-terminations-private-employers-and-federal" xr:uid="{48D72264-4544-44D6-B6A4-5C322510DEF9}"/>
    <hyperlink ref="E2227" r:id="rId2168" display="https://acf.gov/css/training-technical-assistance/irg-state-and-tribal-administrators-guide" xr:uid="{2533C549-F04A-499E-92AF-431111A46A97}"/>
    <hyperlink ref="E2228" r:id="rId2169" display="https://acf.gov/css/training-technical-assistance/irg-state-and-tribal-child-support-users-guide" xr:uid="{0B48DEDA-6F45-4031-A4DD-83604A7C30D4}"/>
    <hyperlink ref="E2229" r:id="rId2170" display="https://acf.gov/css/training-technical-assistance/ndnh-research-request-form" xr:uid="{64F3B163-8DC8-477A-A696-C21199B32571}"/>
    <hyperlink ref="E2230" r:id="rId2171" display="https://acf.gov/css/training-technical-assistance/ndnh-guide-data-submission" xr:uid="{F54A7DB7-4DA0-4985-9FF3-3D32C9F855CB}"/>
    <hyperlink ref="E2231" r:id="rId2172" display="https://acf.gov/css/training-technical-assistance/operational-apd-instructions-and-template" xr:uid="{1A2302C3-D386-43E8-8E96-3EEF7F5A7EEC}"/>
    <hyperlink ref="E2232" r:id="rId2173" display="https://acf.gov/css/training-technical-assistance/organization-multiple-fein-templates" xr:uid="{ED1EE3F5-9D34-4D57-AC2B-6C72C670A117}"/>
    <hyperlink ref="E2233" r:id="rId2174" display="https://acf.gov/css/training-technical-assistance/irg-state-profile-questions" xr:uid="{C210EF92-A95D-4AAC-8C32-D99AD4CC1849}"/>
    <hyperlink ref="E2234" r:id="rId2175" display="https://acf.gov/css/training-technical-assistance/irg-tribal-profile-questions" xr:uid="{80D79391-1EF6-4619-BBFC-757D033D406A}"/>
    <hyperlink ref="E2235" r:id="rId2176" display="https://acf.gov/css/training-technical-assistance/e-nmsn-software-interface-specification" xr:uid="{BBC951BB-388B-4C21-84F5-09709F5B9439}"/>
    <hyperlink ref="E2236" r:id="rId2177" display="https://acf.gov/css/training-technical-assistance/federal-case-registry-interface-guidance-document" xr:uid="{2D0249AD-D88B-4F69-95ED-DFE00DB0E172}"/>
    <hyperlink ref="E2237" r:id="rId2178" display="https://acf.gov/css/training-technical-assistance/irg-download-record-layout" xr:uid="{6B4F8D2E-7631-4A3C-8446-06D3CE2C1A36}"/>
    <hyperlink ref="E2238" r:id="rId2179" display="https://acf.gov/css/training-technical-assistance/federal-case-registry-data-election-guide" xr:uid="{E47D0608-3DCF-4960-808E-84067BBABBA3}"/>
    <hyperlink ref="E2239" r:id="rId2180" display="https://acf.gov/css/training-technical-assistance/essentials-attorneys-child-support-enforcement" xr:uid="{56DD3391-00C7-4126-931F-B5F32F9801D5}"/>
    <hyperlink ref="E2240" r:id="rId2181" display="https://acf.gov/css/training-technical-assistance/im-implementation-guide" xr:uid="{61759C57-D76F-4593-BD9B-F1296894E4D5}"/>
    <hyperlink ref="E2241" r:id="rId2182" display="https://acf.gov/css/training-technical-assistance/fast-levy-software-interface-specification" xr:uid="{EC2FE550-A375-42BF-B92E-16EDD819E21C}"/>
    <hyperlink ref="E2242" r:id="rId2183" display="https://acf.gov/css/training-technical-assistance/msfidm-specifications-handbook" xr:uid="{529813A2-67A2-478C-BC17-06DD6C464158}"/>
    <hyperlink ref="E2243" r:id="rId2184" display="https://acf.gov/css/training-technical-assistance/apd-101/201-presentation" xr:uid="{27EC1EA6-2CC4-4E90-8722-B8859F53AA67}"/>
    <hyperlink ref="E2244" r:id="rId2185" display="https://acf.gov/css/training-technical-assistance/guide-processing-national-interstate-case-reconciliation" xr:uid="{E273D389-E8F7-4718-8478-564EE17510F1}"/>
    <hyperlink ref="E2245" r:id="rId2186" display="https://acf.gov/css/training-technical-assistance/model-tribal-system-documentation" xr:uid="{6A5A47D7-9933-42F9-B612-F410B4F99070}"/>
    <hyperlink ref="E2246" r:id="rId2187" display="https://acf.gov/css/training-technical-assistance/automated-systems-child-support-enforcement-guide-states" xr:uid="{3731533B-9E0E-41AF-9474-6915D0415643}"/>
    <hyperlink ref="E2247" r:id="rId2188" display="https://acf.gov/css/training-technical-assistance/tribal-apd-template" xr:uid="{61AEDC3F-FAB7-4868-AC52-366088A65275}"/>
    <hyperlink ref="E2248" r:id="rId2189" display="https://acf.gov/css/training-technical-assistance/system-system-interface-option-states-and-employers" xr:uid="{ED6C207A-AA7F-415A-9589-BF34EDFDAEFA}"/>
    <hyperlink ref="E2249" r:id="rId2190" display="https://acf.gov/css/training-technical-assistance/personal-computer-hardware-specifications" xr:uid="{6017303D-BBCE-4F3C-93BE-E281DB896990}"/>
    <hyperlink ref="E2250" r:id="rId2191" display="https://acf.gov/css/training-technical-assistance/income-withholding-support-and-state-disbursement-unit" xr:uid="{4752FDE9-42E3-4C2E-B0C9-9A86F15141AA}"/>
    <hyperlink ref="E2251" r:id="rId2192" display="https://acf.gov/css/training-technical-assistance/finding-right-security-control-assessor" xr:uid="{64FB076D-604E-4CE3-97ED-41DE2A3D8995}"/>
    <hyperlink ref="E2252" r:id="rId2193" display="https://acf.gov/css/training-technical-assistance/child-and-spousal-support-courts-and-attorneys" xr:uid="{412C89DC-979E-4D73-BE0F-7408C3786BF8}"/>
    <hyperlink ref="E2253" r:id="rId2194" display="https://acf.gov/css/training-technical-assistance/debt-inquiry-service-system-interface-specifications" xr:uid="{FD472AAB-C6E5-4E0C-B8B1-F1EB07D98766}"/>
    <hyperlink ref="E2254" r:id="rId2195" display="https://acf.gov/css/training-technical-assistance/roundtable-domestic-violence-center-policy-research" xr:uid="{30AF7803-FD40-45E7-8157-A831F14042D2}"/>
    <hyperlink ref="E2255" r:id="rId2196" display="https://acf.gov/css/training-technical-assistance/caseworkers-guide-processing-cases-israel" xr:uid="{B532CB61-0452-4ACA-AECC-AF50849D668D}"/>
    <hyperlink ref="E2256" r:id="rId2197" display="https://acf.gov/css/training-technical-assistance/guidebook-common-methodology-determining-ndnh-attributable-child" xr:uid="{1C9BBA55-D5F0-4C3C-9017-607F1B0D16E7}"/>
    <hyperlink ref="E2257" r:id="rId2198" display="https://acf.gov/css/training-technical-assistance/no-programming-option-employers" xr:uid="{591F6A01-124E-4AB8-B351-1BA818B26A26}"/>
    <hyperlink ref="E2258" r:id="rId2199" display="https://acf.gov/css/training-technical-assistance/ivv-assessment-options" xr:uid="{DC70A151-0A0D-4ECD-86CC-356C7066684F}"/>
    <hyperlink ref="E2259" r:id="rId2200" display="https://acf.gov/css/training-technical-assistance/statutory-and-regulatory-authority-income-withholding-allocation" xr:uid="{1F65F098-4C08-4F0E-B26D-B7970199B92F}"/>
    <hyperlink ref="E2260" r:id="rId2201" display="https://acf.gov/css/training-technical-assistance/online-social-security-number-verification-tool" xr:uid="{E545B716-73E4-44EB-942E-6FDE61A7948B}"/>
    <hyperlink ref="E2261" r:id="rId2202" display="https://acf.gov/css/training-technical-assistance/employees-called-active-duty" xr:uid="{DDDD2203-4ABD-44BF-82A5-73F19E155002}"/>
    <hyperlink ref="E2262" r:id="rId2203" display="https://acf.gov/css/training-technical-assistance/procurement-and-contracts-presentation" xr:uid="{9F9AED60-2F99-40FE-907E-99D39440C560}"/>
    <hyperlink ref="E2263" r:id="rId2204" display="https://acf.gov/css/training-technical-assistance/csenet-interface-guidance-document" xr:uid="{253A1592-D195-4C11-AF59-CD9B94EF32CE}"/>
    <hyperlink ref="E2264" r:id="rId2205" display="https://acf.gov/css/training-technical-assistance/state-systems-apd-guide" xr:uid="{78B1BB9D-7039-4C7A-9553-5EA6B5E1E7A1}"/>
    <hyperlink ref="E2265" r:id="rId2206" display="https://acf.gov/css/training-technical-assistance/automated-systems-child-support-enforcement-guide-enhancing-case" xr:uid="{6E304CC2-AA8B-4B5F-88DA-476834B7EC0D}"/>
    <hyperlink ref="E2266" r:id="rId2207" display="https://acf.gov/css/training-technical-assistance/arrears-reconciliation-calculator" xr:uid="{A3107F6B-6CC5-4A10-B235-65475F659931}"/>
    <hyperlink ref="E2267" r:id="rId2208" display="https://acf.gov/css/training-technical-assistance/cost-benefit-analysis-illustrated" xr:uid="{77358D63-3864-40C4-9A4E-DE0EBCEEBB0D}"/>
    <hyperlink ref="E2268" r:id="rId2209" display="https://acf.gov/css/training-technical-assistance/feasibility-alternatives-and-cost-benefit-analysis-guide" xr:uid="{B87DAA48-5984-4417-ABF3-1CEEEB92C24F}"/>
    <hyperlink ref="E2269" r:id="rId2210" display="https://acf.gov/css/policy-guidance/open-comment-period-tribal-direct-funding-request-45-cfr-309-plan" xr:uid="{6696D9D0-0122-4D84-B5CF-AB234661FE01}"/>
    <hyperlink ref="E2270" r:id="rId2211" display="https://acf.gov/css/policy-guidance/tribal-access-fpls" xr:uid="{C0F0A1ED-7612-4F58-BB22-C4A0A86B6E32}"/>
    <hyperlink ref="E2271" r:id="rId2212" display="https://acf.gov/css/policy-guidance/spousal-support-only-cases" xr:uid="{121D386B-8ECD-4DA5-96AD-778BAFFCDBFD}"/>
    <hyperlink ref="E768" r:id="rId2213" display="https://acf.gov/ecd/policy-guidance/opportunities-tribal-maternal-infant-and-early-childhood-home-visiting-miechv" xr:uid="{09DDB53D-93F7-4924-8885-98B4DFACD246}"/>
    <hyperlink ref="E766" r:id="rId2214" display="https://acf.gov/ecd/policy-guidance/supporting-food-security-tribal" xr:uid="{2F5DEC2C-1530-4924-8AE5-8B10B3E1E3A1}"/>
    <hyperlink ref="E767" r:id="rId2215" display="https://acf.gov/ecd/policy-guidance/use-federal-early-childhood-program-funds-improve-housing-related-supports" xr:uid="{833B7F12-D5D3-44A1-A400-D5592DFA30C0}"/>
    <hyperlink ref="E769" r:id="rId2216" display="https://acf.gov/ecd/policy-guidance/tribal-miechv-implementation-plan-guidance-and-form-1-1" xr:uid="{549F6C89-41B7-4E9D-866F-92D1DB052286}"/>
    <hyperlink ref="E770" r:id="rId2217" display="https://acf.gov/ecd/policy-guidance/tribal-home-visiting-emergency-response-covid-19-guidance-tribal-home-visiting" xr:uid="{1BC9066E-2DA9-46ED-9445-6430A2D69C95}"/>
    <hyperlink ref="E771" r:id="rId2218" display="https://acf.gov/ecd/policy-guidance/tribal-miechv-homelessness-letter-0" xr:uid="{58187CC5-FB27-4EC4-B16E-DCD26FFFDF30}"/>
    <hyperlink ref="E772" r:id="rId2219" display="https://acf.gov/ecd/policy-guidance/ed-and-hhs-miechv-part-c-guidance" xr:uid="{6ED33D1B-CF2A-4AB8-BCD3-11AABE1E2C71}"/>
    <hyperlink ref="E773" r:id="rId2220" display="https://acf.gov/ecd/policy-guidance/letter-tribal-leaders-stac" xr:uid="{2DE31408-4A9E-48FA-A19E-52740D527BE7}"/>
    <hyperlink ref="E774" r:id="rId2221" display="https://acf.gov/ecd/policy-guidance/tribal-policy-statement" xr:uid="{59CA2772-FE5F-4E4A-8C63-91A90F34271B}"/>
    <hyperlink ref="E775" r:id="rId2222" display="https://acf.gov/ecd/policy-guidance/tribal-miechv-implementation-plan-guidance-and-form-1-0" xr:uid="{E94A5D9C-19FF-4D58-8EA0-DA107313B769}"/>
    <hyperlink ref="E776" r:id="rId2223" display="https://acf.gov/ecd/policy-guidance/tribal-miechv-implementation-plan-guidance-and-form-1" xr:uid="{E8ACBDC3-CFFA-4B50-869E-2E5B25D56B19}"/>
    <hyperlink ref="E777" r:id="rId2224" display="https://acf.gov/ecd/policy-guidance/tribal-miechv-performance-measurement-system-0" xr:uid="{5E4708FE-B793-46A2-BCF1-75A153BE396C}"/>
    <hyperlink ref="E778" r:id="rId2225" display="https://acf.gov/ecd/policy-guidance/tribal-miechv-performance-measurement-system" xr:uid="{B8445CAF-9300-428F-9496-65F89898A03C}"/>
    <hyperlink ref="E779" r:id="rId2226" display="https://acf.gov/ecd/policy-guidance/tribal-miechv-homelessness-letter" xr:uid="{2A85CCD0-1901-42A4-986B-5B3E71B0D04C}"/>
    <hyperlink ref="E780" r:id="rId2227" display="https://acf.gov/ecd/policy-guidance/tribal-hv-implementation-plan-guidance-cohort-3" xr:uid="{0E3F2C4B-60D8-498E-A28C-0FDFF3D03120}"/>
    <hyperlink ref="E781" r:id="rId2228" display="https://acf.gov/ecd/policy-guidance/tribal-hv-implementation-plan-guidance" xr:uid="{21DD0734-C75D-4C21-9D4C-848D5EA19D8C}"/>
    <hyperlink ref="E785" r:id="rId2229" display="https://acf.gov/ecd/policy-guidance/dear-colleague-letter-tribal-leaders" xr:uid="{3301C392-15FB-43A2-9F95-0353AE56B016}"/>
    <hyperlink ref="E786" r:id="rId2230" display="https://acf.gov/ecd/policy-guidance/hrsa-acf-letter-state-miechv-grantees" xr:uid="{71AFD522-1F43-4338-9A32-D5479CE51B43}"/>
    <hyperlink ref="E787" r:id="rId2231" display="https://acf.gov/ecd/policy-guidance/head-start-act-and-child-care-and-development-block-grant-act-allow-american" xr:uid="{5D17F39A-271E-4165-8584-1343C23621BF}"/>
    <hyperlink ref="E788" r:id="rId2232" display="https://acf.gov/ecd/policy-guidance/early-care-and-education-workforce-salary-scale-playbook-implementation-guide" xr:uid="{679A2F98-CE36-4D32-8CDA-284E03E200F8}"/>
    <hyperlink ref="E789" r:id="rId2233" display="https://acf.gov/ecd/policy-guidance/ccdf-ch" xr:uid="{22FBE93A-346C-4F3A-AA3A-073C1C6B752C}"/>
    <hyperlink ref="E790" r:id="rId2234" display="https://acf.gov/ecd/policy-guidance/ccdf-chart-homelessness-state-plans" xr:uid="{65411D01-6866-46D7-815B-0BBF3A9D8AFF}"/>
    <hyperlink ref="E791" r:id="rId2235" display="https://acf.gov/ecd/policy-guidance/interagency-policy-board-report-secretaries" xr:uid="{42FFF7DB-3C75-42CE-A20B-3B2456DDEA5D}"/>
    <hyperlink ref="E792" r:id="rId2236" display="https://acf.gov/ecd/policy-guidance/expulsion-and-suspension-resource-guide-0" xr:uid="{94A634B5-E602-4C8F-8E99-BBB62230E643}"/>
    <hyperlink ref="E793" r:id="rId2237" display="https://acf.gov/ecd/policy-guidance/expulsion-and-suspension-resource-guide" xr:uid="{EA54ED75-1050-4821-A98C-782A3EAB9B31}"/>
    <hyperlink ref="E794" r:id="rId2238" display="https://acf.gov/ecd/policy-guidance/early-childhood-homelessness-guidance-document" xr:uid="{DCCA03AC-7FCB-41AD-99F4-3681A85CA8E5}"/>
    <hyperlink ref="E795" r:id="rId2239" display="https://acf.gov/ecd/policy-guidance/joint-guidance-brief-early-learning-and-use-technology" xr:uid="{6EB9A36D-0C76-4256-8690-F45FD587A1B8}"/>
    <hyperlink ref="E796" r:id="rId2240" display="https://acf.gov/ecd/policy-guidance/ece-crosswalk" xr:uid="{C66F5F44-0855-4B58-88B1-7684E60E1913}"/>
    <hyperlink ref="E797" r:id="rId2241" display="https://acf.gov/ecd/policy-guidance/final-hhs-usda-joint-monitoring-guidance-document" xr:uid="{9400F782-B650-4A40-9B74-E179C9F947A6}"/>
    <hyperlink ref="E798" r:id="rId2242" display="https://acf.gov/ecd/policy-guidance/joint-policy-statement-release" xr:uid="{73F72471-6875-4B7B-AE31-7CC8C55CFD22}"/>
    <hyperlink ref="E799" r:id="rId2243" display="https://acf.gov/ecd/policy-guidance/sac-joint-statement" xr:uid="{A448B19E-0787-4C75-B108-5171C1242CE5}"/>
    <hyperlink ref="E800" r:id="rId2244" display="https://acf.gov/ecd/policy-guidance/access-early-childhood-development-services-homeless-families-young-children" xr:uid="{DEBFC7BE-FF5C-40C4-B6FC-37A8C972C9E2}"/>
    <hyperlink ref="E801" r:id="rId2245" display="https://acf.gov/ecd/policy-guidance/guidance-document-early-childhood-career-pathways" xr:uid="{B75FABC7-D262-47AC-84F3-B2B88C532AFD}"/>
    <hyperlink ref="E802" r:id="rId2246" display="https://acf.gov/ecd/policy-guidance/policy-statement-family-engagement" xr:uid="{849360A9-39B7-4B22-9883-90369C449A98}"/>
    <hyperlink ref="E803" r:id="rId2247" display="https://acf.gov/ecd/policy-guidance/intervention-implementation-guide" xr:uid="{FB75CC3E-9983-43F5-87EB-09042CDA75CF}"/>
    <hyperlink ref="E804" r:id="rId2248" display="https://acf.gov/ecd/policy-guidance/implementing-parenting-interventions-early-care-and-education" xr:uid="{9C6DCB4A-E988-4465-B1AF-4D30488D2131}"/>
    <hyperlink ref="E805" r:id="rId2249" display="https://acf.gov/ecd/policy-guidance/guidance-document-expulsion-and-suspension-policies-early-childhood-settings" xr:uid="{7A0871D2-BA16-498F-B05F-50449F2AB04B}"/>
    <hyperlink ref="E806" r:id="rId2250" display="https://acf.gov/ecd/policy-guidance/summary-strong-start-americas-children-act" xr:uid="{A3811D21-CE21-48D0-B41B-EF0447EAD347}"/>
    <hyperlink ref="E807" r:id="rId2251" display="https://acf.gov/ecd/policy-guidance/strong-start-americas-children-2013-house-bill" xr:uid="{5ECDC343-ECE1-4A0B-B78D-B7110CEE5004}"/>
    <hyperlink ref="E808" r:id="rId2252" display="https://acf.gov/ecd/policy-guidance/strong-start-americas-children-senate-bill" xr:uid="{0922587B-4E02-40FD-9286-F49D794CF4B5}"/>
    <hyperlink ref="E1097" r:id="rId2253" display="https://acf.gov/occ/policy-guidance/ffy-2025-2027-ccdf-monitoring" xr:uid="{7AF65DF7-2FC2-449F-9EE0-69A95996F333}"/>
    <hyperlink ref="E2272" r:id="rId2254" display="https://acf.gov/css/policy-guidance/personal-responsibility-and-work-opportunity-reconciliation-act-1996" xr:uid="{57858402-1F58-40B3-919A-0318691B1008}"/>
    <hyperlink ref="E750" r:id="rId2255" display="https://acf.gov/cb/training-technical-assistance/nytd-technical-bulletin-1-file-structure" xr:uid="{69E89221-673E-476D-8004-CE85BF7D9D13}"/>
    <hyperlink ref="E751" r:id="rId2256" display="https://acf.gov/cb/training-technical-assistance/nytd-technical-bulletin-2-compliance-standards" xr:uid="{0C9103F0-3133-4D5F-9B7D-04FA82AE14C0}"/>
    <hyperlink ref="E752" r:id="rId2257" display="https://acf.gov/cb/training-technical-assistance/nytd-technical-bulletin-3-data-quality-advisories" xr:uid="{5E738222-87E6-44FE-AA7D-061D2E3FB066}"/>
    <hyperlink ref="E753" r:id="rId2258" display="https://acf.gov/cb/training-technical-assistance/nytd-technical-bulletin-4-system-user-roles-and-responsibilities" xr:uid="{7950797C-012F-4598-8316-B2874C849229}"/>
    <hyperlink ref="E754" r:id="rId2259" display="https://acf.gov/cb/training-technical-assistance/nytd-technical-bulletin-5-cohort-management-and-sampling" xr:uid="{C332B65B-D8A8-4B30-B052-9A00E7920485}"/>
    <hyperlink ref="E755" r:id="rId2260" display="https://acf.gov/cb/training-technical-assistance/tu1-nytd-file-upload" xr:uid="{D6BDBE24-C765-49AB-96F8-B59ACE275B40}"/>
    <hyperlink ref="E756" r:id="rId2261" display="https://acf.gov/cb/training-technical-assistance/tu2-nytd-compliance-status" xr:uid="{605A28F8-F048-4E6C-9EC1-D8F471CED98B}"/>
    <hyperlink ref="E757" r:id="rId2262" display="https://acf.gov/cb/training-technical-assistance/tips-administering-nytd-survey" xr:uid="{89015820-73EB-42AE-996F-61AF49675C33}"/>
    <hyperlink ref="E758" r:id="rId2263" display="https://acf.gov/cb/training-technical-assistance/tips-building-social-media-presence" xr:uid="{CB237C72-B18E-4302-8572-1506F6190F49}"/>
    <hyperlink ref="E759" r:id="rId2264" display="https://acf.gov/cb/training-technical-assistance/engaging-17-year-olds-nytd-survey" xr:uid="{54D67389-B895-4DFD-98F4-5CA356323FA4}"/>
    <hyperlink ref="E760" r:id="rId2265" display="https://acf.gov/cb/training-technical-assistance/tips-hiring-young-people-lived-experience" xr:uid="{1C243DC3-4645-4620-8995-7D9D4B53C2D7}"/>
    <hyperlink ref="E761" r:id="rId2266" display="https://acf.gov/cb/training-technical-assistance/social-media-engage-nytd-survey" xr:uid="{01D2944B-1E8F-4C3C-B941-E7D0A3AFBF3A}"/>
    <hyperlink ref="E762" r:id="rId2267" display="https://acf.gov/cb/training-technical-assistance/technology-engage-nytd-survey" xr:uid="{219A282A-BF96-4D55-89CB-4D665D5AF838}"/>
    <hyperlink ref="E763" r:id="rId2268" display="https://acf.gov/cb/training-technical-assistance/tips-using-and-supplementing-nytd-data-snapshots" xr:uid="{15F3A421-A682-4E49-9FF3-B0EF21DCCD04}"/>
    <hyperlink ref="E2277" r:id="rId2269" display="https://acf.gov/orr/policy/dear-colleague-letters/25-11" xr:uid="{89C60AFF-7C12-4D9B-912D-855F02ABC112}"/>
    <hyperlink ref="D2273" r:id="rId2270" display="https://acf.gov/orr/dcl-25-15" xr:uid="{9F5A6DF1-3BDA-4795-BFE9-BE3F6F6EE355}"/>
    <hyperlink ref="D2274" r:id="rId2271" display="https://acf.gov/orr/dcl-25-14" xr:uid="{7932DEC4-09BE-4DB1-8301-CA7E6F7CCEBF}"/>
    <hyperlink ref="D2275" r:id="rId2272" display="https://acf.gov/orr/policy/dear-colleague-letters/25-13" xr:uid="{2A7EE465-BF6C-4330-933B-E20A2FE9545B}"/>
    <hyperlink ref="D2276" r:id="rId2273" display="https://acf.gov/orr/policy/dear-colleague-letters/25-12" xr:uid="{3872F996-F46E-4771-A1B0-6FCD935192CD}"/>
    <hyperlink ref="D2278" r:id="rId2274" display="https://acf.gov/orr/policy/dear-colleague-letters/25-10" xr:uid="{FD4A9735-B9AD-4E96-980F-091BDCCD7F80}"/>
    <hyperlink ref="D2279" r:id="rId2275" display="https://acf.gov/orr/policy/dear-colleague-letters/25-09" xr:uid="{5B22D550-E83B-4A21-8173-EC1FE6AE56DF}"/>
    <hyperlink ref="D2280" r:id="rId2276" display="https://acf.gov/orr/policy/dear-colleague-letters/25-08" xr:uid="{FE3B47B9-511A-4DE9-BC36-9931C8C60B5A}"/>
    <hyperlink ref="D2281" r:id="rId2277" display="https://acf.gov/orr/policy/dear-colleague-letters/25-07" xr:uid="{6B3D7572-8791-435E-93A7-5D2FE4EA8BCF}"/>
    <hyperlink ref="D2282" r:id="rId2278" display="https://acf.gov/orr/policy/dear-colleague-letters/25-06" xr:uid="{37C9332E-72D6-4A4C-AB68-CD17CB77E201}"/>
    <hyperlink ref="D2283" r:id="rId2279" display="https://acf.gov/orr/policy/dear-colleague-letters/25-05" xr:uid="{250DA53A-1D8C-4FFA-8FB4-08613E2B58FE}"/>
    <hyperlink ref="D2284" r:id="rId2280" display="https://acf.gov/orr/policy/dear-colleague-letters/25-04" xr:uid="{2F4BF094-E70C-4615-9F7D-39562CE0B9F6}"/>
    <hyperlink ref="D2285" r:id="rId2281" display="https://acf.gov/orr/policy/dear-colleague-letters/25-03" xr:uid="{BE4209F2-00A2-4A22-AC1B-8D5AADCAE55C}"/>
    <hyperlink ref="D2286" r:id="rId2282" display="https://acf.gov/orr/policy/dear-colleague-letters/25-02" xr:uid="{EC0FC7AC-9A6B-4051-A13B-466C45BBD22C}"/>
    <hyperlink ref="D2288" r:id="rId2283" display="https://acf.gov/orr/policy/dear-colleague-letters/24-14" xr:uid="{AC99A91C-3E06-4AD0-ABE0-7E1832824DF4}"/>
    <hyperlink ref="D2289" r:id="rId2284" display="https://acf.gov/orr/policy/dear-colleague-letters/24-13" xr:uid="{A02105DF-7025-40A0-BE8E-A0FBC9A369B8}"/>
    <hyperlink ref="D2290" r:id="rId2285" display="https://acf.gov/orr/policy/dear-colleague-letters/24-12" xr:uid="{DB08D383-F750-424F-82AA-8CD96D7905E0}"/>
    <hyperlink ref="D2291" r:id="rId2286" display="https://acf.gov/orr/policy-guidance/dear-colleague-letters/24-11" xr:uid="{D26A70A3-12B9-4AE7-A4DE-75F172A11C81}"/>
    <hyperlink ref="D2292" r:id="rId2287" display="https://acf.gov/orr/policy-guidance/dear-colleague-letters/24-10" xr:uid="{80FE959C-0AF5-4925-B306-FE34B8AD136E}"/>
    <hyperlink ref="D2293" r:id="rId2288" display="https://acf.gov/orr/policy-guidance/dear-colleague-letters/24-09" xr:uid="{558DC66F-BE85-4C66-94A7-AE085616D54C}"/>
    <hyperlink ref="D2294" r:id="rId2289" display="https://acf.gov/sites/default/files/documents/orr/dcl-24-08-refugee-health-promotion-set-aside-fy24-funding.pdf" xr:uid="{D462B4D8-3817-4B03-AF79-A51D37CC63C8}"/>
    <hyperlink ref="D2295" r:id="rId2290" display="https://acf.gov/sites/default/files/documents/orr/dcl-24-07-youth-mentoring-set-aside-fy24-funding.pdf" xr:uid="{BE9A4F56-81D4-4BAC-9BB5-638C8BD66289}"/>
    <hyperlink ref="D2296" r:id="rId2291" display="https://acf.gov/sites/default/files/documents/orr/dcl-24-06-services-to-older-refugees-set-aside-fy2024-funding.pdf" xr:uid="{D422E3A4-6FA0-46C1-AFA6-C0481915D38D}"/>
    <hyperlink ref="D2297" r:id="rId2292" display="https://acf.gov/sites/default/files/documents/orr/dcl-24-05-refugee-school-impact-set-aside-fy24-funding.pdf" xr:uid="{C4589949-0E64-472B-9C4F-1D9EB3572643}"/>
    <hyperlink ref="D2298" r:id="rId2293" display="https://acf.gov/sites/default/files/documents/orr/ORR_DCL_24_04_Timely_Placement_of_UC_into_the_URM_Program.pdf" xr:uid="{E81E79D2-1299-4EC7-A70D-E3C51C0B2A6E}"/>
    <hyperlink ref="D2299" r:id="rId2294" display="https://acf.gov/sites/default/files/documents/orr/ORR_DCL_24_03_ORR-5_Submission_Process_for_FY23_data.pdf" xr:uid="{3B213F65-C6EA-4C5C-B915-9925C04C6037}"/>
    <hyperlink ref="D2300" r:id="rId2295" display="https://acf.gov/sites/default/files/documents/orr/dcl-24-02-refugee-technical-assistance-project-grantee-announcement.pdf" xr:uid="{A3D59966-A653-4992-B683-401EE268EBFB}"/>
    <hyperlink ref="D2301" r:id="rId2296" display="https://acf.gov/orr/policy/dear-colleague-letters/24-01" xr:uid="{0146D6D9-60C9-43A0-A946-FA8C6B2E0E92}"/>
    <hyperlink ref="D2302" r:id="rId2297" display="https://acf.gov/sites/default/files/documents/orr/dcl-23-39-response-potential-government-shutdown.pdf" xr:uid="{CE70AA5C-DBEE-4584-80FB-335EE2565DF1}"/>
    <hyperlink ref="D2303" r:id="rId2298" display="https://acf.gov/sites/default/files/documents/orr/dcl-23-38-fy2023-rss-asa-third-allocation.pdf" xr:uid="{571E8C04-5DB7-4807-81FB-410AA86D4C04}"/>
    <hyperlink ref="D2304" r:id="rId2299" display="https://acf.gov/sites/default/files/documents/orr/dcl-23-37-ausaa-rss-third-allocation.pdf" xr:uid="{109C7AB5-7668-4842-8120-1557B3D1F28E}"/>
    <hyperlink ref="D2305" r:id="rId2300" display="https://acf.gov/sites/default/files/documents/orr/dcl-23-36-reminder-asa-immigration-related-legal-assistance.pdf" xr:uid="{1B445672-F74E-4253-84F1-105FCB580675}"/>
    <hyperlink ref="D2306" r:id="rId2301" display="https://acf.gov/sites/default/files/documents/orr/dcl-23-35-private-sponsorship-intersection-with-orr-funded-refugee-resettlement-program.pdf" xr:uid="{8859133B-6EDF-4059-9114-7D9826A0B0A7}"/>
    <hyperlink ref="D2307" r:id="rId2302" display="https://acf.gov/sites/default/files/documents/orr/dcl-23-34-fy23-24-cma-deadline-extension.pdf" xr:uid="{736B509A-0971-45E4-88FA-A57D496EB8AD}"/>
    <hyperlink ref="D2308" r:id="rId2303" display="https://acf.gov/sites/default/files/documents/orr/dcl-23-33-orr-funded-behavioral-health-resources-afghan-arrivals.pdf" xr:uid="{565C216C-257B-446E-B7F1-36716A8D4B39}"/>
    <hyperlink ref="D2309" r:id="rId2304" display="https://acf.gov/sites/default/files/documents/orr/dcl-23-32-hud-mou.pdf" xr:uid="{4E7A75E3-0EDD-43AD-BFB5-EB45DA234D78}"/>
    <hyperlink ref="D2310" r:id="rId2305" display="https://acf.gov/sites/default/files/documents/orr/ORR DCL 23-31-CMA ORR-2-Supplemental-Data-Collection.pdf" xr:uid="{0ACA5A0B-B56D-489D-AD86-E336A652D1FD}"/>
    <hyperlink ref="D2311" r:id="rId2306" display="https://acf.gov/sites/default/files/documents/orr/dcl-23-30-medicaid-childrens-health-insurance-plan-updates-recommendations.pdf" xr:uid="{1841789A-D8B2-4C28-AC13-8B3C47682F95}"/>
    <hyperlink ref="D2312" r:id="rId2307" display="https://acf.gov/sites/default/files/documents/orr/dcl-23-29-ausaa-rss-second-allocation.pdf" xr:uid="{05488869-A387-485B-9E75-71AF13AAD090}"/>
    <hyperlink ref="D2313" r:id="rId2308" display="https://acf.gov/sites/default/files/documents/orr/dcl-23-28-fy-2023-second-asa-arhp-allocation.pdf" xr:uid="{707501FD-9244-48BC-AE3A-9E5257F80E73}"/>
    <hyperlink ref="D2314" r:id="rId2309" display="https://acf.gov/sites/default/files/documents/orr/dcl-23-27-arsi-fy2023-allocation.pdf" xr:uid="{E99FA9F9-B23C-4BF7-8DDD-B89E1B2637D1}"/>
    <hyperlink ref="D2315" r:id="rId2310" display="https://acf.gov/sites/default/files/documents/orr/dcl-23-26-rss-asa-fy2023-second-allocation.pdf" xr:uid="{0ABD5BA3-D070-44E3-8DBB-1D8D62CBEBAA}"/>
    <hyperlink ref="D2316" r:id="rId2311" display="https://acf.gov/sites/default/files/documents/orr/dcl-23-25-rss-obligation-liquidation-extension.pdf" xr:uid="{8E7CE4CC-7414-4CA5-A0C5-3C04B08F07CA}"/>
    <hyperlink ref="D2317" r:id="rId2312" display="https://acf.gov/sites/default/files/documents/orr/dcl-23-24-rss-federal-financial-report-sf-425-supplemental-data-collection.pdf" xr:uid="{E23F1A96-0CAC-4CF0-AE78-A6CAFE2BF261}"/>
    <hyperlink ref="D2318" r:id="rId2313" display="https://acf.gov/sites/default/files/documents/orr/DCL-23-23-refugee-health-promotion-fy-2023-supplement.pdf" xr:uid="{FF80A040-CB2A-4D9D-8820-EAD404493506}"/>
    <hyperlink ref="D2319" r:id="rId2314" display="https://acf.gov/sites/default/files/documents/orr/DCL-23-22-refugee-school-impact-fy2023-supplement.pdf" xr:uid="{BF43D77F-7389-4841-8B48-C3CF8B1F7A7B}"/>
    <hyperlink ref="D2320" r:id="rId2315" display="https://acf.gov/sites/default/files/documents/orr/DCL-23-21-fy-2023-rss-formula-allocations.pdf" xr:uid="{09D78E35-2E6B-41B3-AA8D-A759BB763B23}"/>
    <hyperlink ref="D2321" r:id="rId2316" display="https://acf.gov/sites/default/files/documents/orr/DCL-23-20-rss-asa-legal-services-fy2023.pdf" xr:uid="{78FF26DD-F440-49B5-B617-4418C6CD574D}"/>
    <hyperlink ref="D2322" r:id="rId2317" display="https://acf.gov/sites/default/files/documents/orr/DCL-23-19-Continued-Eligibilty-of-UAM-for-URM.pdf" xr:uid="{D2389B91-F3CE-466B-93FD-63CB1DAA481D}"/>
    <hyperlink ref="D2324" r:id="rId2318" display="https://acf.gov/sites/default/files/documents/orr/dcl-23-17-services-to-afghan-surivors-impacted-by-combat.pdf" xr:uid="{D6867D85-84AC-4284-91E1-C0ADD89F16F7}"/>
    <hyperlink ref="D2325" r:id="rId2319" display="https://acf.gov/sites/default/files/documents/orr/dcl-23-16-sot-program-for-nicaraguan-former-political-prisoners.pdf" xr:uid="{FF84B116-3AB5-44EF-B30A-7909432FA5C4}"/>
    <hyperlink ref="D2326" r:id="rId2320" display="https://acf.gov/sites/default/files/documents/orr/DCL-23-15-Immigration-Legal-Services-for-Afghan-Arrivals.pdf" xr:uid="{9120C6A9-6DE0-46E9-A649-9F9AAD4A4FBA}"/>
    <hyperlink ref="D2327" r:id="rId2321" display="https://acf.gov/sites/default/files/documents/orr/DCL-23-14-Revisions-to-RADS-for-Forumla-Funds-Allocations.pdf" xr:uid="{DEAFBC0C-776D-45C5-B226-B1052AB4277B}"/>
    <hyperlink ref="D2328" r:id="rId2322" display="https://acf.gov/sites/default/files/documents/orr/DCL-23-13-New-USCIS-Parole-Process-CHNV.pdf" xr:uid="{9F1C7054-8966-44B9-A886-BD451BDC0DD2}"/>
    <hyperlink ref="E2329" r:id="rId2323" display="https://acf.gov/sites/default/files/documents/orr/DCL-23-12-ORR-Funded-Behavioral-Health-Support-Program-Afghan-Arrivals.pdf" xr:uid="{C7DCA004-14DE-45A2-AF58-4D9144652174}"/>
    <hyperlink ref="D2330" r:id="rId2324" display="https://acf.gov/sites/default/files/documents/orr/dcl-23-11-fy-2023-uhp-rss-formula-allocations.pdf" xr:uid="{D8E1675A-B7B9-40B2-B2CB-A7DB898E9957}"/>
    <hyperlink ref="D2331" r:id="rId2325" display="https://acf.gov/sites/default/files/documents/orr/dcl-23-10-fy-2023-asa-arhp-allocations.pdf" xr:uid="{B2AE9AC8-F27B-4A47-A797-13EBB67B1022}"/>
    <hyperlink ref="D2332" r:id="rId2326" display="https://acf.gov/sites/default/files/documents/orr/DCL-23-09-RSS-ASA-FY2023-Q1-Allocations.pdf" xr:uid="{2CE4A229-ECAE-4DE8-B932-678457824A19}"/>
    <hyperlink ref="D2333" r:id="rId2327" display="https://acf.gov/orr/policy/dear-colleague-letters/23-08" xr:uid="{AF844958-649D-41B6-8F3A-E9ABFF64FCC8}"/>
    <hyperlink ref="D2334" r:id="rId2328" display="https://acf.gov/sites/default/files/documents/orr/DCL-23-07-New-USCIS-Process-for-Venezuelans.pdf" xr:uid="{E0D0D2FC-3A18-429D-A088-CABA2EDDB42C}"/>
    <hyperlink ref="D2335" r:id="rId2329" display="https://acf.gov/sites/default/files/documents/orr/DCL-23-06-AUSAA-Ukrainian-Refugee-School-Impact-FY2023.pdf" xr:uid="{D51CDA12-0D95-4AEA-9842-B72FC7956810}"/>
    <hyperlink ref="D2336" r:id="rId2330" display="https://acf.gov/sites/default/files/documents/orr/DCL-23-05-AUSAA-Ukrainian-Refugee-Health-Promotion-FY2023.pdf" xr:uid="{AF563200-3DB2-41F9-BFFC-7E43342F5343}"/>
    <hyperlink ref="D2337" r:id="rId2331" display="https://acf.gov/sites/default/files/documents/orr/DCL-23-04-Refugee-School-Impact-Set-Aside-FY2023-Funding.pdf" xr:uid="{5B5F2C26-4EAD-489D-AC15-57FD3ACFA939}"/>
    <hyperlink ref="D2338" r:id="rId2332" display="https://acf.gov/sites/default/files/documents/orr/DCL-23-03-Youth-Mentoring-Set-Aside-FY2023-Funding.pdf" xr:uid="{EA0E1F09-7B2C-41E0-9074-48CBFBEBD5F3}"/>
    <hyperlink ref="D2339" r:id="rId2333" display="https://acf.gov/sites/default/files/documents/orr/DCL-23-02-Services-to-Older-Refugees-Set-Aside-FY2023-Funding.pdf" xr:uid="{A93E5873-50DE-4755-84C7-6419E7D0FCC0}"/>
    <hyperlink ref="D2340" r:id="rId2334" display="https://acf.gov/sites/default/files/documents/orr/DCL-23-01-Refugee-Health-Promotion-Set-Aside-FY2023-Funding.pdf" xr:uid="{787C0413-1AD5-4BDF-BF43-88703FE044EB}"/>
    <hyperlink ref="D2341" r:id="rId2335" display="https://acf.gov/orr/policy/dear-colleague-letters/22-24" xr:uid="{70BB28EE-E596-41E8-A278-714A4D8F7F10}"/>
    <hyperlink ref="D2342" r:id="rId2336" display="https://acf.gov/sites/default/files/documents/orr/DCL-22-23-RSS-ASA-FY22-Fourth-Allocation.pdf" xr:uid="{9F7FB099-BB85-4C30-8AEA-FBDF83F1BBE3}"/>
    <hyperlink ref="D2343" r:id="rId2337" display="https://acf.gov/sites/default/files/documents/orr/ORR-DCL-22-22-Immigration-Related-Legal-Assistance-For-UC-Enrolled-In-URM.pdf" xr:uid="{AA71CD0A-BF82-4683-8E01-2893C7999201}"/>
    <hyperlink ref="D2344" r:id="rId2338" display="https://acf.gov/sites/default/files/documents/orr/DCL-22-21-Ukraine-RSS-Supplement.pdf" xr:uid="{540B8018-6A27-48CB-BA01-9FF4C1AA1C40}"/>
    <hyperlink ref="D2345" r:id="rId2339" display="https://acf.gov/sites/default/files/documents/orr/DCL-22-20-Clarification-Related-to-UHPs-Eligibility-for-RCA-RMA.pdf" xr:uid="{94183964-EDBB-4DC9-A3FC-B891E9237586}"/>
    <hyperlink ref="D2346" r:id="rId2340" display="https://acf.gov/sites/default/files/documents/orr/DCL-22-19-FY2022-RSS-Formula-Allocations.pdf" xr:uid="{91810A6A-6F1E-44CA-A353-36DF72E91E0C}"/>
    <hyperlink ref="D2347" r:id="rId2341" display="https://acf.gov/sites/default/files/documents/orr/DCL-22-18-ARSI-S2S-Allocation.pdf" xr:uid="{A13683E1-4179-44FD-A720-497CD2F1AC9E}"/>
    <hyperlink ref="D2348" r:id="rId2342" display="https://acf.gov/sites/default/files/documents/orr/ORR-DCL-22-17-Alabama-Inspiritus-Replacement-Designee.pdf" xr:uid="{95E0EB67-CF27-44C8-B18F-E86F977A4FD7}"/>
    <hyperlink ref="D2349" r:id="rId2343" display="https://acf.gov/sites/default/files/documents/orr/ORR-DCL-22-16-ASOR-FY2022-Allocation.pdf" xr:uid="{366408D9-97AB-4D4D-96AA-76250228CC8A}"/>
    <hyperlink ref="D2350" r:id="rId2344" display="https://acf.gov/sites/default/files/documents/orr/ORR-DCL-22-15-AYM-FY2022-Allocation.pdf" xr:uid="{1FF6EF95-EC42-4B60-9AC5-311D679A2730}"/>
    <hyperlink ref="D2351" r:id="rId2345" display="https://acf.gov/sites/default/files/documents/orr/ORR-DCL-22-14-ARHP-FY2022-Second-Allocation.pdf" xr:uid="{26A532D5-C7F1-472A-AF66-EC7F4AEB0C9E}"/>
    <hyperlink ref="D2352" r:id="rId2346" display="https://acf.gov/sites/default/files/documents/orr/ORR-DCL-22-13-ARSI-FY2022-Second-Allocation.pdf" xr:uid="{08DAE0FD-6FC6-439B-8C84-134E7263DD3B}"/>
    <hyperlink ref="D2353" r:id="rId2347" display="https://acf.gov/sites/default/files/documents/orr/ORR-DCL-22-12-Expansion-of-RCA-and-RMA-Eligibility-Period.pdf" xr:uid="{61A20D2A-5314-42F2-B12B-DD26CC0F741E}"/>
    <hyperlink ref="D2354" r:id="rId2348" display="https://acf.gov/sites/default/files/documents/orr/ORR-DCL-22-11-ASA-RSS-FY2022-Third-Allocation-Legal-Assistance.pdf" xr:uid="{9E85B18D-0A25-4CB4-8EC6-5BA90F53CD27}"/>
    <hyperlink ref="D2355" r:id="rId2349" display="https://acf.gov/sites/default/files/documents/orr/orr-dcl-22-10-rss-asa-fy2022-second-allocation.pdf" xr:uid="{16FC6CCE-3E86-4F2B-8A1B-9A6F203F0E9F}"/>
    <hyperlink ref="D2356" r:id="rId2350" display="https://acf.gov/sites/default/files/documents/orr/orr-dcl-22-09-fy2021-arrivals-and-service-data-collection-process.pdf" xr:uid="{94F12DBD-E8AA-4E75-AEFD-4052FF136FCF}"/>
    <hyperlink ref="D2357" r:id="rId2351" display="https://acf.gov/sites/default/files/documents/orr/orr-dcl-22-08-refugee-health-promotion-mental-health-fy2022-funding.pdf" xr:uid="{A87C4B0B-136C-4D50-A1B3-377F7FC2C0EA}"/>
    <hyperlink ref="D2358" r:id="rId2352" display="https://acf.gov/sites/default/files/documents/orr/orr-dcl-22-07-services-to-older-refugees-fy2022-funding.pdf" xr:uid="{8D505E98-8968-464C-B0C6-9A76E02F4B1E}"/>
    <hyperlink ref="D2359" r:id="rId2353" display="https://acf.gov/sites/default/files/documents/orr/orr-dcl-22-06-refugee-school-impact-fy2022-funding.pdf" xr:uid="{94C43F7E-88B5-4B20-8C12-688A174F75C6}"/>
    <hyperlink ref="D2360" r:id="rId2354" display="https://acf.gov/sites/default/files/documents/orr/ORR-DCL-22-05-AHP-FY2022-Q1-Allocations.pdf" xr:uid="{8180AD4D-3D9A-45DC-B861-BC29DA125112}"/>
    <hyperlink ref="D2361" r:id="rId2355" display="https://acf.gov/sites/default/files/documents/orr/ORR-DCL-22-04-ARSI-FY2022-Q1-Allocations.pdf" xr:uid="{4343AA1D-8DF0-4BFD-88AD-D9FA17AD53F2}"/>
    <hyperlink ref="D2362" r:id="rId2356" display="https://acf.gov/sites/default/files/documents/orr/ORR-DCL-22-03-RSS-ASA-FY2022-Q1-Allocations.pdf" xr:uid="{363FD87D-8DAF-4607-BE6C-62707D5F0AD1}"/>
    <hyperlink ref="D2363" r:id="rId2357" display="https://acf.gov/sites/default/files/documents/orr/ORR-DCL-22-02-FY2022-Replacement-Designee-Selections.pdf" xr:uid="{2DA8E16C-292C-49EF-AE7E-F8965E2A5B84}"/>
    <hyperlink ref="D2364" r:id="rId2358" display="https://acf.gov/sites/default/files/documents/orr/ORR-DCL-22-01-PPP-RCA-maximum-payment-ceilings.pdf" xr:uid="{159E6B0C-B9C1-4210-B61F-CD38162017FB}"/>
    <hyperlink ref="D2365" r:id="rId2359" display="https://acf.gov/sites/default/files/documents/orr/ORR-DCL-21-18-Eligibility-Status-of-Certain-Afghan-Parolees.pdf" xr:uid="{E596064E-3F31-41E9-AD00-066D155EB678}"/>
    <hyperlink ref="D2366" r:id="rId2360" display="https://acf.gov/sites/default/files/documents/orr/ORR-DCL-21-17-RSS-SIV-Supplemental-Allocation.pdf" xr:uid="{B6FADADF-DF87-4851-A556-1E9B3B31AE20}"/>
    <hyperlink ref="D2367" r:id="rId2361" display="https://acf.gov/sites/default/files/documents/orr/ORR-DCL-21-16-Clarification-Related-to-Afghan-SQSI-Parolees-Eligibility-for-RCA-RMA-8.5.2021.pdf" xr:uid="{36645DFF-CAFB-4153-99E4-5F22BD9D1757}"/>
    <hyperlink ref="D2368" r:id="rId2362" display="https://acf.gov/sites/default/files/documents/orr/ORR-DCL-21-15-SQ-SI-Parole-8.3.2021.pdf" xr:uid="{344E8112-8735-4CEA-9199-11281CAD53B6}"/>
    <hyperlink ref="D2369" r:id="rId2363" display="https://acf.gov/sites/default/files/documents/orr/ORR-DCL-21-14-Updates-to-RADS-Functionality.pdf" xr:uid="{0FCE67D5-D4CB-427C-AF8E-7E47DEA9E45B}"/>
    <hyperlink ref="D2370" r:id="rId2364" display="https://acf.gov/sites/default/files/documents/orr/ORR-DCL-21-13-Revisions-to-RADS-for-Formula-Funds-Allocations-ORR-5.pdf" xr:uid="{BB89329F-BE13-48E2-9F77-A16A8C4F7DEA}"/>
    <hyperlink ref="D2371" r:id="rId2365" display="https://acf.gov/sites/default/files/documents/orr/DCL-21-12_FY_21_RHP_Set-Aside.pdf" xr:uid="{3BAE8F4C-6C02-47C3-AB52-62B908859CE1}"/>
    <hyperlink ref="D2372" r:id="rId2366" display="https://acf.gov/sites/default/files/documents/orr/DCL_21_11_FY_2021_YM_Set-Asides.pdf" xr:uid="{95C656B9-AD3B-4123-893C-05C964D5C3E6}"/>
    <hyperlink ref="D2373" r:id="rId2367" display="https://acf.gov/sites/default/files/documents/orr/DCL_21_10_FY_21_RSS_Formula_Allocations.pdf" xr:uid="{4C9481E1-2C6C-48AB-913E-A56B73A68F7D}"/>
    <hyperlink ref="D2374" r:id="rId2368" display="https://acf.gov/sites/default/files/documents/orr/ORR-DCL-21-09-State-Plan-Template.pdf" xr:uid="{C41AA8AE-5C0F-44C8-AE0C-1F6F4C30F64C}"/>
    <hyperlink ref="D2375" r:id="rId2369" display="https://acf.gov/sites/default/files/documents/orr/DCL_21_08_COVID-19-Vaccination-and-Medical-Screening_5.20.2021.pdf" xr:uid="{21974FEE-FBBE-4079-93EB-37008E0B3E7C}"/>
    <hyperlink ref="D2376" r:id="rId2370" display="https://acf.gov/sites/default/files/documents/orr/DCL-21-07-Replacement-Designee-Competition.pdf" xr:uid="{63B28AC1-7EE5-460D-AC8B-C8755D7C1336}"/>
    <hyperlink ref="D2377" r:id="rId2371" display="https://acf.gov/sites/default/files/documents/orr/DCL-21-06-Transition-of-the-North-Dakota-Refugee-Resettlement-Program.pdf" xr:uid="{7609854B-E46D-49A8-B803-7A7DCB77029A}"/>
    <hyperlink ref="D2379" r:id="rId2372" display="https://acf.gov/sites/default/files/documents/orr/ORR-DCL-21-04-Revision-22-04-19.pdf" xr:uid="{07796188-8250-497F-86E6-A2C28DA96805}"/>
    <hyperlink ref="D2380" r:id="rId2373" display="https://acf.gov/sites/default/files/documents/orr/DCL-21-03-ORR-Grants-May-Be-Used-As-A-Match-For-CNCS-Programs.pdf" xr:uid="{509FD80C-0FC6-4765-BC23-71B8AD37F3D1}"/>
    <hyperlink ref="D2381" r:id="rId2374" display="https://acf.gov/sites/default/files/documents/orr/dcl_21_02_state_arrival_service_data_collection_process_for_fiscal_year.pdf" xr:uid="{814DD062-D6F2-43BC-9868-01A9A2DF177B}"/>
    <hyperlink ref="D2382" r:id="rId2375" display="https://acf.gov/sites/default/files/documents/orr/dcl_21_01_wftcp_grantees.pdf" xr:uid="{32867E24-1F23-4C07-B119-28DBD0118F31}"/>
    <hyperlink ref="D2383" r:id="rId2376" display="https://acf.gov/sites/default/files/documents/orr/dcl_20_12_fy_2021_rsi_rss_set_aside.pdf" xr:uid="{533B1920-438D-41F1-8A0E-2A3959899A28}"/>
    <hyperlink ref="D2384" r:id="rId2377" display="https://acf.gov/sites/default/files/documents/orr/dcl_20_11_fy_2021_sor_rss_set_aside.pdf" xr:uid="{D252666A-5156-4088-B73C-46F5AA23648B}"/>
    <hyperlink ref="D2385" r:id="rId2378" display="https://acf.gov/sites/default/files/documents/orr/dcl_20_10_fy20_revised_rss_formula_allocations.pdf" xr:uid="{7C5B10D6-F50C-40FD-9502-E0E4F4A64DA8}"/>
    <hyperlink ref="D2386" r:id="rId2379" display="https://acf.gov/sites/default/files/documents/orr/dcl_20_09_fy_2020_youth_mentoring_set_aside.pdf" xr:uid="{DE984823-6863-4E11-9DFA-787D8667A53E}"/>
    <hyperlink ref="D2387" r:id="rId2380" display="https://acf.gov/sites/default/files/documents/orr/dcl_20_08_fy_2020_2021_refugee_health_promotion_set_aside.pdf" xr:uid="{48A0AA70-6B04-49E7-A3E5-29EAF6FAFB2D}"/>
    <hyperlink ref="D2388" r:id="rId2381" display="https://acf.gov/sites/default/files/documents/orr/dcl_20_07_rss_covid_19_supplemental_allocation.pdf" xr:uid="{764F334E-73BC-450F-9455-AC3120D01509}"/>
    <hyperlink ref="D2389" r:id="rId2382" display="https://acf.gov/sites/default/files/documents/orr/dcl_20_06_fy20_rss_allocations.pdf" xr:uid="{5C5D19DA-36AA-4790-BD27-50489B564892}"/>
    <hyperlink ref="D2390" r:id="rId2383" display="https://acf.gov/sites/default/files/documents/orr/dcl_20_05_categorization_of_refugee_programs.pdf" xr:uid="{1CBC2408-FE13-4CD4-8D4D-6F7ACF0C40A5}"/>
    <hyperlink ref="D2391" r:id="rId2384" display="https://acf.gov/sites/default/files/documents/orr/dcl_20_04_ussc_ruling_public_charge.pdf" xr:uid="{5BD701E4-F9BC-4D3A-BFC9-E9B1CB28AB81}"/>
    <hyperlink ref="D2392" r:id="rId2385" display="https://acf.gov/orr/resource/fiscal-year-2020-refugee-school-impact-support-services-set-aside" xr:uid="{C094C94D-AAF8-47A5-B7D8-670EE8D03C13}"/>
    <hyperlink ref="D2393" r:id="rId2386" display="https://acf.gov/orr/resource/fiscal-year-2020-services-to-older-refugees-support-services-set-aside" xr:uid="{C14623D6-0A22-4CA5-A7BE-FF1903FF8114}"/>
    <hyperlink ref="D2394" r:id="rId2387" display="https://acf.gov/orr/resource/dcl-20-01-state-arrival-and-service-data-collection-process-for-fy-2019" xr:uid="{703430C5-A070-4915-88D7-D9A56DB263BC}"/>
    <hyperlink ref="D2395" r:id="rId2388" display="https://acf.gov/orr/resource/dhs-final-rule-on-public-charge-does-not-affect-orr-populations" xr:uid="{D7232676-939D-4AE6-BD70-3D6C98707889}"/>
    <hyperlink ref="D2396" r:id="rId2389" display="https://acf.gov/orr/resource/fy-2019-refugee-support-services-formula-allocation" xr:uid="{E855A05C-10D2-4A39-9707-4F3CF9B0EAB7}"/>
    <hyperlink ref="D2397" r:id="rId2390" display="https://acf.gov/orr/resource/fy-2019-youth-mentoring-set-aside" xr:uid="{A25D3F99-B3D2-443C-B3CF-DCF55071D937}"/>
    <hyperlink ref="D2399" r:id="rId2391" display="https://acf.gov/orr/resource/state-arrival-and-service-data-collection-process-for-fiscal-year-2018" xr:uid="{B5040842-9E5A-42B1-8808-449C927EF10B}"/>
    <hyperlink ref="D2400" r:id="rId2392" display="https://acf.gov/orr/resource/refugee-technical-assistance-grantee" xr:uid="{6007A084-771A-4207-8996-E9E1FB4D3529}"/>
    <hyperlink ref="D2401" r:id="rId2393" display="https://acf.gov/orr/resource/fiscal-year-2019-services-to-older-refugees-support-services-set-aside" xr:uid="{20FFE3B7-AB9B-492E-9A4C-2CC11CB7D6D4}"/>
    <hyperlink ref="D2402" r:id="rId2394" display="https://acf.gov/orr/resource/fiscal-year-2019-refugee-school-impact-support-services-set-aside" xr:uid="{69726EE2-D524-423B-9415-918FB960C24B}"/>
    <hyperlink ref="D2403" r:id="rId2395" display="https://acf.gov/orr/resource/fy-2018-youth-mentoring-set-aside" xr:uid="{6792639B-97E4-4D41-88CE-1CD08D7CAFEA}"/>
    <hyperlink ref="D2404" r:id="rId2396" display="https://acf.gov/orr/resource/fy-2018-refugee-social-services-formula-allocations" xr:uid="{8B21C852-EF59-4188-A944-5828DD58784F}"/>
    <hyperlink ref="D2405" r:id="rId2397" display="https://acf.gov/orr/resource/public-charge-nprm-and-orr-populations" xr:uid="{83BF0A80-FB35-4C2E-9D0A-E582594241BF}"/>
    <hyperlink ref="D2406" r:id="rId2398" display="https://acf.gov/orr/resource/missouri-replacement-designees" xr:uid="{C0EA4954-48B7-4C19-98A5-5E347D741A62}"/>
    <hyperlink ref="D2407" r:id="rId2399" display="https://acf.gov/orr/resource/fiscal-year-2018-services-to-older-refugees-social-services-set-aside" xr:uid="{69472437-8420-4EC3-9852-9C9CF89243A6}"/>
    <hyperlink ref="D2408" r:id="rId2400" display="https://acf.gov/orr/resource/fiscal-year-2018-refugee-school-impact-social-services-set-aside" xr:uid="{AC853FFA-DF85-4D23-8878-6B15A0B97817}"/>
    <hyperlink ref="D2409" r:id="rId2401" display="https://acf.gov/orr/resource/fiscal-year-2017-targeted-assistance-formula-allocations" xr:uid="{C6E90A37-0C59-4DEE-BDC1-CEE128374334}"/>
    <hyperlink ref="D2410" r:id="rId2402" display="https://acf.gov/orr/resource/expanded-data-match-process-for-fiscal-year-2018" xr:uid="{CCC63BF9-8E64-49E8-8638-A64935277A97}"/>
    <hyperlink ref="D2411" r:id="rId2403" display="https://acf.gov/orr/resource/fy-2017-refugee-social-services-formula-allocations" xr:uid="{D03B6E50-58F5-48D3-8F41-CC7B77D99165}"/>
    <hyperlink ref="D2412" r:id="rId2404" display="https://acf.gov/orr/resource/monitoring-initiative" xr:uid="{F49A9B8A-CA3E-476E-AAC4-355F69BA4159}"/>
    <hyperlink ref="D2413" r:id="rId2405" display="https://acf.gov/orr/resource/discontinuation-of-cuban-haitian-social-services-set-aside-program" xr:uid="{FCDFC682-F5F7-40FE-BDAB-F039F50FB00F}"/>
    <hyperlink ref="D2414" r:id="rId2406" display="https://acf.gov/orr/resource/maine-replacement-designee" xr:uid="{A00C4045-82E0-40AF-B284-DF70F62434FF}"/>
    <hyperlink ref="D2415" r:id="rId2407" display="https://acf.gov/orr/resource/texas-replacement-designees" xr:uid="{62E4E5E4-96E6-47DA-96C4-3588DEECC29C}"/>
    <hyperlink ref="D2416" r:id="rId2408" display="https://acf.gov/orr/resource/human-trafficking-awareness-day-2017" xr:uid="{971C94BB-77A2-4DFC-85D3-53BE6EF7A0B1}"/>
    <hyperlink ref="D2417" r:id="rId2409" display="https://acf.gov/orr/resource/data-submission-procedures-for-fy-2017-social-services-and-targeted-assistance-grant-formula-allocations" xr:uid="{E37217E6-6032-4F0B-825B-7FE18FD218B6}"/>
    <hyperlink ref="D2418" r:id="rId2410" display="https://acf.gov/orr/resource/additional-fiscal-year-2016-funding" xr:uid="{3F51D6CA-554F-44F6-A42D-C959B3842DBB}"/>
    <hyperlink ref="D2419" r:id="rId2411" display="https://acf.gov/orr/resource/fiscal-year-2016-targeted-assistance-formula-allocations" xr:uid="{F7B2C83C-8651-4615-99D1-F2A21A1E1329}"/>
    <hyperlink ref="D2420" r:id="rId2412" display="https://acf.gov/orr/resource/cuban-haitian-social-services-set-aside-fiscal-year-2017" xr:uid="{C2C6F8BF-67E5-4DDA-846A-2C12CDAE575D}"/>
    <hyperlink ref="D2421" r:id="rId2413" display="https://acf.gov/orr/resource/services-to-older-refugees-social-services-set-aside-fiscal-year-2017" xr:uid="{1C95A902-1158-41D1-9E7F-1BA5172DD2A6}"/>
    <hyperlink ref="D2422" r:id="rId2414" display="https://acf.gov/orr/resource/fy-16-refugee-school-impact-social-services-set-aside" xr:uid="{C3F6C178-566A-429C-BB00-B8F6A3666EF8}"/>
    <hyperlink ref="D2423" r:id="rId2415" display="https://acf.gov/orr/resource/fy-2016-social-services-formula-allocations" xr:uid="{5D5D145E-67C1-4AA9-917C-AED190C49E10}"/>
    <hyperlink ref="D2424" r:id="rId2416" display="https://acf.gov/orr/resource/fiscal-year-2017-planning" xr:uid="{5D9AA894-BEC2-4B1C-B497-A1043739BA44}"/>
    <hyperlink ref="D2425" r:id="rId2417" display="https://acf.gov/orr/resource/orr-monitoring-initiative" xr:uid="{823EE85B-7519-435B-B784-6A60A03C381A}"/>
    <hyperlink ref="D2426" r:id="rId2418" display="https://acf.gov/orr/resource/refugee-technical-assistance-grantees" xr:uid="{7A201817-64C3-4976-96C1-E464BB6D178F}"/>
    <hyperlink ref="D2427" r:id="rId2419" display="https://acf.gov/orr/resource/resettlement-of-syrian-refugees" xr:uid="{9FF3BD63-BB11-4CD7-A396-28813C50BD3F}"/>
    <hyperlink ref="D2428" r:id="rId2420" display="https://acf.gov/orr/resource/dear-colleague-letter-october-1-2015" xr:uid="{64D416C3-B861-4243-BAEF-D2ABEEF10498}"/>
    <hyperlink ref="E2398" r:id="rId2421" display="https://acf.gov/orr/resource/changes-to-categorization-of-refugee-resettlement-programs" xr:uid="{C28BA9BE-5192-4E24-8E10-B8569D1C8104}"/>
    <hyperlink ref="D2429" r:id="rId2422" display="https://acf.gov/orr/policy/policy-letters/25-04" xr:uid="{190D07F6-0687-4B56-A5CC-A46C35BE0CB9}"/>
    <hyperlink ref="D2430" r:id="rId2423" display="https://acf.gov/sites/default/files/documents/orr/ACF-ORR-RPB-Policy-Letter-25-03-and-PRM-RA-01-REV-Quarterly-Consultation-Requirements.pdf" xr:uid="{6AD28584-84B2-432E-8284-E4ECDA59E059}"/>
    <hyperlink ref="D2431" r:id="rId2424" display="https://acf.gov/orr/policy/policy-letters/25-02" xr:uid="{3297C9C5-D297-417F-929B-E7E8A300D894}"/>
    <hyperlink ref="D2432" r:id="rId2425" display="https://acf.gov/orr/policy/policy-letters/25-01" xr:uid="{70710EED-20F2-400D-B975-FC3CE718F26A}"/>
    <hyperlink ref="D2433" r:id="rId2426" display="https://acf.gov/orr/policy/policy-letters/24-03" xr:uid="{F0EEBFA8-0607-43FE-B4DD-8D647A186145}"/>
    <hyperlink ref="D2435" r:id="rId2427" display="https://acf.gov/orr/policy/policy-letters/24-01" xr:uid="{CA917D36-F6BE-44E5-A43A-E9BC21011820}"/>
    <hyperlink ref="D2436" r:id="rId2428" display="https://acf.gov/sites/default/files/documents/orr/pl-23-07-waiver-for-rma-coverage-for-full-fime-students.pdf" xr:uid="{F44219BB-6F58-4D0A-851F-609481140F14}"/>
    <hyperlink ref="D2437" r:id="rId2429" display="https://acf.gov/sites/default/files/documents/orr/PL 23-06-continuation-of-orr-services-for-afghans.pdf" xr:uid="{E62F785D-5407-420A-BC12-1D9811B86FDE}"/>
    <hyperlink ref="D2438" r:id="rId2430" display="https://acf.gov/sites/default/files/documents/orr/pl-23-05-orr-authorized-legal-assistance-using-ausaa-funds.pdf" xr:uid="{2A2FA450-BAF1-4668-B721-C1192F242635}"/>
    <hyperlink ref="D2439" r:id="rId2431" display="https://acf.gov/sites/default/files/documents/orr/pl-23-04-expanding-income-disregards-for-rca.pdf" xr:uid="{213641C6-D94A-40B5-A76E-002D4B598260}"/>
    <hyperlink ref="D2440" r:id="rId2432" display="https://acf.gov/sites/default/files/documents/orr/pl-23-03-asa-afghan-xcm-xco.pdf" xr:uid="{31E03E14-2D01-4F78-88C7-67E5EF9213E9}"/>
    <hyperlink ref="D2441" r:id="rId2433" display="https://acf.gov/sites/default/files/documents/orr/PL-23-02-Waiver-for-Shift-in-RCA-Time-Eligibility-Period.pdf" xr:uid="{DCA68E10-5963-496B-805E-424C8A6B23B3}"/>
    <hyperlink ref="D2442" r:id="rId2434" display="https://acf.gov/sites/default/files/documents/orr/PL-23-01-Waivers-and-Flexibilities-for-Capacity-Management.pdf" xr:uid="{B8994FB2-1627-474B-9CB1-3A844F2CB68E}"/>
    <hyperlink ref="D2443" r:id="rId2435" display="https://acf.gov/sites/default/files/documents/orr/PL-22-16-Extension-Flexibilities-Waivers-From-ORRPL-21-08.pdf" xr:uid="{469D36CA-5897-4FBB-9FB8-096674C0152F}"/>
    <hyperlink ref="D2444" r:id="rId2436" display="https://acf.gov/sites/default/files/documents/orr/PL-22-15-RSS-Funded-Additional-Ukraine-Supplemental-Appropriations-Act-revised.pdf" xr:uid="{E58EAD93-8F5A-4B8D-B945-C31E94568347}"/>
    <hyperlink ref="D2446" r:id="rId2437" display="https://acf.gov/orr/policy/policy-letters/22-13" xr:uid="{3DA53AD2-9930-41B0-A7A9-278E6F4CC0BC}"/>
    <hyperlink ref="D2447" r:id="rId2438" display="https://acf.gov/sites/default/files/documents/orr/ORR-PL-22-12-ARSI-Support-to-Schools-Initiative.pdf" xr:uid="{AAA1AAA7-622D-49C7-BC1E-B974ADD88E54}"/>
    <hyperlink ref="D2448" r:id="rId2439" display="https://acf.gov/sites/default/files/documents/orr/Revised-PL-22-11-ASA-Legal-Assistance-RPU.pdf" xr:uid="{428A1264-2C77-40C3-9710-C89428263816}"/>
    <hyperlink ref="D2449" r:id="rId2440" display="https://acf.gov/sites/default/files/documents/orr/ORR-PL-22-10-ASA-eligibility_0.pdf" xr:uid="{24A261AA-F9EC-422E-ABB7-296B69EE1189}"/>
    <hyperlink ref="D2450" r:id="rId2441" display="https://acf.gov/sites/default/files/documents/orr/orr-pl-22-09-youth-mentoring-program-2021-12-08-revised.pdf" xr:uid="{2AB2F8B7-2264-4C12-B3D5-C41BAC99A84E}"/>
    <hyperlink ref="D2451" r:id="rId2442" display="https://acf.gov/sites/default/files/documents/orr/orr-pl-22-08-services-to-older-refugees-program-2021-12-08-revised.pdf" xr:uid="{4149924F-0831-4927-9E02-8F7F74775EBA}"/>
    <hyperlink ref="D2452" r:id="rId2443" display="https://acf.gov/sites/default/files/documents/orr/orr-pl-22-07-refugee-school-impact-2021-12-08-revised.pdf" xr:uid="{9724BCCF-5087-4AAD-986E-9643A3B5CD5A}"/>
    <hyperlink ref="D2453" r:id="rId2444" display="https://acf.gov/sites/default/files/documents/orr/orr-pl-22-06-refugee-mental-health-initiative-within-the-refugee-health-promotion-program-2021-12-08-revised.pdf" xr:uid="{70835882-D36F-4B91-9BD0-8BC58DE30F8C}"/>
    <hyperlink ref="D2454" r:id="rId2445" display="https://acf.gov/sites/default/files/documents/orr/orr-pl-22-05-orr-funds-and-flexibilities-during-emergencies-and-disasters.pdf" xr:uid="{0587B572-2CCD-44D6-A79E-03F6CFDF4CC8}"/>
    <hyperlink ref="D2455" r:id="rId2446" display="https://acf.gov/sites/default/files/documents/orr/orr-pl-22-04-virtual-refugee-service-delivery-and-elements-of-program-administration_.pdf" xr:uid="{43A57895-BA9A-472A-A614-B412490BBAD4}"/>
    <hyperlink ref="D2456" r:id="rId2447" display="https://acf.gov/sites/default/files/documents/orr/orr_pl-22-03-rss-asa012725-revised.pdf" xr:uid="{72FDD271-3DBF-4D7F-9EAC-0AB4DA4EE73F}"/>
    <hyperlink ref="D2457" r:id="rId2448" display="https://acf.gov/sites/default/files/documents/orr/ORR-PL-22-02-Additional-ORR-Eligibility-Categories-and-Documentation-Requirements-for-Afghan-Nationals-Revised.pdf" xr:uid="{104C5BDC-AC34-4D80-BAC5-BB2BB8F4B5B8}"/>
    <hyperlink ref="D2458" r:id="rId2449" display="https://acf.gov/sites/default/files/documents/orr/ORR-PL-22-01-ORR-Authority-to-Serve-Afghan-Humanitarian-Parolees.pdf" xr:uid="{EAA7C81C-B4C0-4BA5-8AB8-99C959A45053}"/>
    <hyperlink ref="D2459" r:id="rId2450" display="https://acf.gov/sites/default/files/documents/orr/ORR-PL-21-08-FY2022-Continued-Flexibilities-Related-to-COVID-19.pdf" xr:uid="{425C8D65-CB9A-41BD-BC92-C2F877C5253D}"/>
    <hyperlink ref="D2461" r:id="rId2451" display="https://acf.gov/orr/policy/policy-letters/21-06" xr:uid="{EBAD320D-1669-45E8-B499-AA374F2FDC00}"/>
    <hyperlink ref="D2462" r:id="rId2452" display="https://acf.gov/sites/default/files/documents/orr/ORR-PL-21-05-Continued-Assistance-for-ORR-Populations-through-September-30-2021.pdf" xr:uid="{D617CCF5-7ADD-4D69-A6B0-744166D55CB8}"/>
    <hyperlink ref="D2463" r:id="rId2453" display="https://acf.gov/sites/default/files/documents/orr/ORR-PL-21-04-Public-Private-RCA-Programs.pdf" xr:uid="{B0C44439-6660-480B-9D4B-13E18F142C56}"/>
    <hyperlink ref="D2464" r:id="rId2454" display="https://acf.gov/sites/default/files/documents/orr/ORR-PL-21-03-RD-Authorization-Role-Resp-Status-Change.pdf" xr:uid="{2D969D7F-04BB-4122-81B3-2ECCC21E5D69}"/>
    <hyperlink ref="D2465" r:id="rId2455" display="https://acf.gov/sites/default/files/documents/orr/PL-21-02-COVID-19-Assistance-for-URM-Youth.pdf" xr:uid="{A885EAC7-11EB-4D20-B001-53E01FE11121}"/>
    <hyperlink ref="D2466" r:id="rId2456" display="https://acf.gov/sites/default/files/documents/orr/PL-21-01-Continued-Assistance-For-ORR-Populations-Affected-By-COVID-19.pdf" xr:uid="{9B510DF6-5B31-4573-B3BA-A97B324CF189}"/>
    <hyperlink ref="D2467" r:id="rId2457" display="https://acf.gov/sites/default/files/documents/orr/pl_20_06_extended_assistance_for_orr_populations_affected_by_covid.pdf" xr:uid="{CDDAE10B-A25C-470A-ADF2-4E76FD88D462}"/>
    <hyperlink ref="D2468" r:id="rId2458" display="https://acf.gov/sites/default/files/documents/orr/pl_20_05_rhp_transitions_to_rss6_1.pdf" xr:uid="{4D0CE872-5D48-4980-904F-6E88E7F00781}"/>
    <hyperlink ref="D2469" r:id="rId2459" display="https://acf.gov/sites/default/files/documents/orr/pl20_04_assistance_for_orr_populations_affected_by_covid_19.pdf" xr:uid="{8B5C99F0-ACE5-4A66-9E7F-01AE7E71B016}"/>
    <hyperlink ref="D2470" r:id="rId2460" display="https://acf.gov/sites/default/files/documents/orr/pl_20_03_rca_rma_extension_covid_19.pdf" xr:uid="{50CDD763-5648-4221-B2CB-424C386C8DAB}"/>
    <hyperlink ref="D2471" r:id="rId2461" display="https://acf.gov/orr/policy-guidance/limitations-collection-orr-client-information-refugee-programs" xr:uid="{0E4D3645-A3C0-49B5-AC08-73902C8170BE}"/>
    <hyperlink ref="D2472" r:id="rId2462" display="https://acf.gov/sites/default/files/documents/orr/pl_esl_20_01_final.pdf" xr:uid="{595C3BDD-61E8-482E-92C2-0CFEE392C0B3}"/>
    <hyperlink ref="D2473" r:id="rId2463" display="https://acf.gov/orr/resource/family-self-sufficiency-plan-requirements" xr:uid="{051E6170-AD67-499C-B3C5-2C33760C478A}"/>
    <hyperlink ref="D2474" r:id="rId2464" display="https://acf.gov/orr/resource/eligibility-for-orr-services-for-cuban-and-haitian-entrants-without-work-authorization" xr:uid="{13B3149F-C95C-4776-92D3-5E1237187B8B}"/>
    <hyperlink ref="D2475" r:id="rId2465" display="https://acf.gov/orr/resource/medical-costs-incurred-during-transit" xr:uid="{D8B1211D-A548-4D2F-A263-32741E789B05}"/>
    <hyperlink ref="D2476" r:id="rId2466" display="https://acf.gov/orr/resource/privately-administered-refugee-medical-assistance-through-a-medical-replacement-designee" xr:uid="{DAC0409D-11BE-42DA-A21F-56D915799925}"/>
    <hyperlink ref="D2477" r:id="rId2467" display="https://acf.gov/orr/resource/services-for-older-refugees-program" xr:uid="{EF5E983A-1E19-403B-9AB6-7F0B993230CB}"/>
    <hyperlink ref="D2478" r:id="rId2468" display="https://acf.gov/orr/resource/youth-mentoring-program" xr:uid="{D36E5927-EADC-4556-9C73-7B99B0AE2475}"/>
    <hyperlink ref="D2479" r:id="rId2469" display="https://acf.gov/orr/resource/refugee-school-impact-program" xr:uid="{454A8C7A-8814-4B16-9115-2EA9BC899BFD}"/>
    <hyperlink ref="D2480" r:id="rId2470" display="https://acf.gov/orr/resource/refugee-support-services" xr:uid="{1EF181A9-E894-4400-B81B-F74509854305}"/>
    <hyperlink ref="D2482" r:id="rId2471" display="https://acf.gov/orr/resource/medical-copays-and-out-of-pocket-costs-in-the-urm-program" xr:uid="{F028B339-636D-4D83-A315-E85F28A27E38}"/>
    <hyperlink ref="D2483" r:id="rId2472" display="https://acf.gov/orr/resource/federal-lobbying-restrictions" xr:uid="{EC8B1610-B101-4B42-AF29-21DB9264012B}"/>
    <hyperlink ref="D2484" r:id="rId2473" display="https://acf.gov/orr/resource/orr-populations-displaced-or-affected-by-hurricanes-harvey-and-irma" xr:uid="{111259CC-62D8-4326-885B-662ECA689D2C}"/>
    <hyperlink ref="D2485" r:id="rId2474" display="https://acf.gov/orr/resource/data-sharing" xr:uid="{5DC5BC48-C263-4EA1-92E7-5694878221FD}"/>
    <hyperlink ref="D2486" r:id="rId2475" display="https://acf.gov/orr/resource/cuban-entrants-remain-eligible-for-orr-benefits-and-services" xr:uid="{A65888DC-0534-4361-91AD-BA2A5097786C}"/>
    <hyperlink ref="D2487" r:id="rId2476" display="https://acf.gov/orr/resource/snap-work-requirements-and-participation-in-office-of-refugee-resettlement-training-programs" xr:uid="{214A0002-5C97-49FD-98AB-06F88E44F39D}"/>
    <hyperlink ref="D2489" r:id="rId2477" display="https://acf.gov/orr/resource/orr-repatriation-program-compliance-with-the-windsor-and-obergefell-decisions" xr:uid="{641EE678-CE19-4BC1-8A96-62911294AC77}"/>
    <hyperlink ref="D2490" r:id="rId2478" display="https://acf.gov/orr/resource/the-role-of-refugee-health-coordinators" xr:uid="{33A30A5E-4188-488C-9C6A-9243AF0911B7}"/>
    <hyperlink ref="D2491" r:id="rId2479" display="https://acf.gov/orr/resource/aca-reporting-requirements-for-rma" xr:uid="{5502177F-C85E-46C2-B5B7-0400ADCE18AA}"/>
    <hyperlink ref="D2492" r:id="rId2480" display="https://acf.gov/orr/resource/policy-letter-16-03" xr:uid="{B88C8B50-8DFC-4D39-96CB-D264040FBDAC}"/>
    <hyperlink ref="D2493" r:id="rId2481" display="https://acf.gov/orr/resource/pl-16-02-extension-of-the-waiver-of-rma-financial-eligibility-standards" xr:uid="{94CE08AE-4EB1-4AD5-9DA0-69FF3D94955C}"/>
    <hyperlink ref="D2494" r:id="rId2482" display="https://acf.gov/orr/resource/policy-letter-16-01" xr:uid="{32E5DAAF-4852-4EC3-AA73-C75997E2EA65}"/>
    <hyperlink ref="E2495" r:id="rId2483" display="https://acf.gov/orr/faq/pl-23-06" xr:uid="{68067044-31FB-4BB7-9D49-4F25BF5AD625}"/>
    <hyperlink ref="E2496" r:id="rId2484" display="https://acf.gov/orr/faq/orr-policy-letter-16-01-frequently-asked-questions" xr:uid="{C7FA6AA0-D627-40AC-B6C7-957061F065FF}"/>
    <hyperlink ref="E2497" r:id="rId2485" display="https://acf.gov/orr/policy-guidance/documentation-requirements-refugee-resettlement-program" xr:uid="{BE6D697B-8EE0-4CDE-94C5-47EC4066A428}"/>
    <hyperlink ref="D2498" r:id="rId2486" display="https://acf.gov/orr/policy-guidance/state-letter-15-12" xr:uid="{6B68D952-16F7-47BB-98EF-943CE1A15E7D}"/>
    <hyperlink ref="D2499" r:id="rId2487" display="https://acf.gov/orr/policy-guidance/state-letter-15-11" xr:uid="{97A80E7C-0DAE-4AB2-AFB8-EEA3459F6173}"/>
    <hyperlink ref="D2500" r:id="rId2488" display="https://acf.gov/orr/policy-guidance/state-letter-15-10" xr:uid="{42773F36-E735-414D-A863-559C55E5BDCC}"/>
    <hyperlink ref="D2501" r:id="rId2489" display="https://acf.gov/orr/policy-guidance/state-letter-15-09" xr:uid="{26332E84-54AB-4D60-A62A-369F99D75EBB}"/>
    <hyperlink ref="D2502" r:id="rId2490" display="https://acf.gov/orr/policy-guidance/state-letter-15-08" xr:uid="{2FEB0A0B-7272-4EE0-BAB6-42AC119DEF84}"/>
    <hyperlink ref="D2504" r:id="rId2491" display="https://acf.gov/orr/policy-guidance/state-letter-15-05" xr:uid="{83FDA89D-45DB-46FE-A297-24BE7094B297}"/>
    <hyperlink ref="D2505" r:id="rId2492" display="https://acf.gov/orr/policy-guidance/state-letter-15-04" xr:uid="{26D8FBA9-0BD9-4293-A80E-7A2B251B2B6C}"/>
    <hyperlink ref="D2506" r:id="rId2493" display="https://acf.gov/orr/policy-guidance/state-letter-15-02" xr:uid="{412DCE16-1E61-437C-B389-A800F8C1432B}"/>
    <hyperlink ref="D2507" r:id="rId2494" display="https://acf.gov/orr/policy-guidance/state-letter-15-01" xr:uid="{C64EC54C-BA8C-407D-B8C1-6EE7DB5B00BF}"/>
    <hyperlink ref="D2509" r:id="rId2495" display="https://acf.gov/orr/resource/state-letter-14-06" xr:uid="{180CA41D-66BB-4653-8D8D-6C7DCE807CBE}"/>
    <hyperlink ref="D2510" r:id="rId2496" display="https://acf.gov/orr/resource/state-letter-14-05" xr:uid="{405E4C16-9CA2-4EEB-B357-B6E95027F132}"/>
    <hyperlink ref="D2511" r:id="rId2497" display="https://acf.gov/orr/resource/state-letter-14-04" xr:uid="{2BE91E4C-10D1-436E-8F4B-3D0D9E5A28C2}"/>
    <hyperlink ref="D2513" r:id="rId2498" display="https://acf.gov/orr/resource/state-letter-14-02" xr:uid="{CA0DFBD1-3033-447D-B824-0E3900165A7F}"/>
    <hyperlink ref="D2514" r:id="rId2499" display="https://acf.gov/orr/policy-guidance/state-letter-13-10" xr:uid="{E8581A0A-06BC-4B2B-996B-F43C221C3697}"/>
    <hyperlink ref="D2515" r:id="rId2500" display="https://acf.gov/orr/policy-guidance/state-letter-13-09" xr:uid="{38B62368-3D8E-4C6D-BDE9-14C7D816870D}"/>
    <hyperlink ref="D2516" r:id="rId2501" display="https://acf.gov/orr/policy-guidance/state-letter-13-08" xr:uid="{F21A31CD-E434-4327-A46A-97DE47FDE1AA}"/>
    <hyperlink ref="D2517" r:id="rId2502" display="https://acf.gov/orr/policy-guidance/state-letter-13-07" xr:uid="{18DC3817-1DED-4EE9-AE37-4407FAD3285D}"/>
    <hyperlink ref="D2518" r:id="rId2503" display="https://acf.gov/orr/policy-guidance/state-letter-13-06" xr:uid="{DA5070D6-AAEE-4E5B-9DA5-B09735EC5E37}"/>
    <hyperlink ref="D2519" r:id="rId2504" display="https://acf.gov/orr/policy-guidance/state-letter-13-05" xr:uid="{668017AF-E9D3-41ED-88F5-B531317EC9FC}"/>
    <hyperlink ref="D2520" r:id="rId2505" display="https://acf.gov/orr/policy-guidance/state-letter-13-04" xr:uid="{A8B269AF-B6BB-4A37-B75C-18E3384E3224}"/>
    <hyperlink ref="D2521" r:id="rId2506" display="https://acf.gov/orr/policy-guidance/state-letter-13-03" xr:uid="{A091358C-019C-45AC-A9E4-2DCD2A2F1129}"/>
    <hyperlink ref="D2522" r:id="rId2507" display="https://acf.gov/orr/policy-guidance/state-letter-13-02" xr:uid="{E4AA956C-CBD8-415E-B562-C3D9FF4EBFFF}"/>
    <hyperlink ref="D2523" r:id="rId2508" display="https://acf.gov/orr/policy-guidance/state-letter-13-01" xr:uid="{2B63C3CF-57E2-403B-BA2B-382FC123E0F0}"/>
    <hyperlink ref="D2524" r:id="rId2509" display="https://acf.gov/orr/resource/state-letter-12-13" xr:uid="{DD715688-DA53-49EB-A3DC-E3A9399371B3}"/>
    <hyperlink ref="D2525" r:id="rId2510" display="https://acf.gov/orr/resource/state-letter-12-12" xr:uid="{5BA9C332-5FB7-41C2-ACAE-D7140599A06C}"/>
    <hyperlink ref="D2526" r:id="rId2511" display="https://acf.gov/orr/resource/state-letter-12-11" xr:uid="{04DE0675-D460-4A28-9431-EED7A8ACEDBF}"/>
    <hyperlink ref="D2528" r:id="rId2512" display="https://acf.gov/orr/resource/state-letter-12-09" xr:uid="{85D823FA-9B51-470C-8C02-C1617EEA8C15}"/>
    <hyperlink ref="D2529" r:id="rId2513" display="https://acf.gov/orr/resource/state-letter-12-06" xr:uid="{EE8A77A2-FB71-4404-995F-31742D811219}"/>
    <hyperlink ref="D2530" r:id="rId2514" display="https://acf.gov/orr/resource/state-letter-12-05" xr:uid="{6833E914-E547-4AB3-BCEE-6B5F987266B3}"/>
    <hyperlink ref="D2531" r:id="rId2515" display="https://acf.gov/orr/resource/state-letter-12-04" xr:uid="{889F389E-8299-4CD5-ADD6-E96200066D49}"/>
    <hyperlink ref="D2532" r:id="rId2516" display="https://acf.gov/orr/resource/state-letter-12-03" xr:uid="{041B93D6-93EC-4125-AB4C-F1F8EBD2B93D}"/>
    <hyperlink ref="D2534" r:id="rId2517" display="https://acf.gov/orr/resource/state-letter-12-01" xr:uid="{1D378C8A-E51F-49FC-91ED-3F6DB25F8878}"/>
    <hyperlink ref="D2535" r:id="rId2518" display="https://acf.gov/orr/policy-guidance/state-letter-11-06" xr:uid="{D8D7C1C6-F837-4C18-8BCB-C219DB98B913}"/>
    <hyperlink ref="D2536" r:id="rId2519" display="https://acf.gov/orr/policy-guidance/state-letter-11-05" xr:uid="{BBE889DB-9545-49F1-B576-7867DE316A08}"/>
    <hyperlink ref="D2537" r:id="rId2520" display="https://acf.gov/orr/policy-guidance/state-letter-11-04" xr:uid="{642553D5-98FC-4D3D-9BFF-AB265F182C0C}"/>
    <hyperlink ref="D2538" r:id="rId2521" display="https://acf.gov/orr/policy-guidance/state-letter-11-03" xr:uid="{DCD03DFC-803B-490B-8121-613CAD08FEAA}"/>
    <hyperlink ref="D2539" r:id="rId2522" display="https://acf.gov/orr/policy-guidance/state-letter-11-01" xr:uid="{253C69E1-97AE-4741-B56A-13F99E3DFB9B}"/>
    <hyperlink ref="D2540" r:id="rId2523" display="https://acf.gov/orr/policy-guidance/state-letter-10-10" xr:uid="{E88D881E-79B3-4F23-B182-DB24FBEED643}"/>
    <hyperlink ref="D2541" r:id="rId2524" display="https://acf.gov/orr/policy-guidance/state-letter-10-09" xr:uid="{4567629F-D49C-4608-B8C4-05B00082DB00}"/>
    <hyperlink ref="D2542" r:id="rId2525" display="https://acf.gov/orr/policy-guidance/state-letter-10-07" xr:uid="{44652571-DCC8-457A-B5C5-6B0886BA07D2}"/>
    <hyperlink ref="D2543" r:id="rId2526" display="https://acf.gov/orr/policy-guidance/state-letter-10-06" xr:uid="{BA39F711-6A82-4DEB-9732-0E894687E4C6}"/>
    <hyperlink ref="D2544" r:id="rId2527" display="https://acf.gov/orr/policy-guidance/state-letter-10-05" xr:uid="{B2B2B0D6-C451-42C9-B3CF-A5F4F380691B}"/>
    <hyperlink ref="D2545" r:id="rId2528" display="https://acf.gov/orr/policy-guidance/state-letter-10-04" xr:uid="{1E3DD933-4829-4927-AE59-00C1C5444973}"/>
    <hyperlink ref="D2546" r:id="rId2529" display="https://acf.gov/orr/policy-guidance/state-letter-10-03" xr:uid="{526226F3-1824-4BF6-B516-F322824024A5}"/>
    <hyperlink ref="D2547" r:id="rId2530" display="https://acf.gov/orr/policy-guidance/state-letter-10-02" xr:uid="{03261641-8199-4C94-BA5F-2185B4F7C43D}"/>
    <hyperlink ref="D2548" r:id="rId2531" display="https://acf.gov/orr/policy-guidance/state-letter-10-01" xr:uid="{2E682959-8760-46B0-8963-18C8AD56DC7F}"/>
    <hyperlink ref="D2549" r:id="rId2532" display="https://acf.gov/orr/policy-guidance/state-letter-09-30" xr:uid="{06AD32FE-9F11-4933-9232-A09F01BCB5C1}"/>
    <hyperlink ref="D2550" r:id="rId2533" display="https://acf.gov/orr/policy-guidance/state-letter-09-27" xr:uid="{5BE35381-A4D9-4005-8D57-56D6403771D3}"/>
    <hyperlink ref="D2551" r:id="rId2534" display="https://acf.gov/orr/policy-guidance/state-letter-09-26" xr:uid="{3FBFBA06-8DB2-4652-8026-ED45D8656107}"/>
    <hyperlink ref="D2552" r:id="rId2535" display="https://acf.gov/orr/policy-guidance/state-letter-09-25" xr:uid="{F22E8B1A-49F1-40F7-9C32-0527A843FE2C}"/>
    <hyperlink ref="D2553" r:id="rId2536" display="https://acf.gov/orr/policy-guidance/state-letter-09-24" xr:uid="{3403932B-AC6E-4D3A-A258-CB416D60CFD9}"/>
    <hyperlink ref="D2554" r:id="rId2537" display="https://acf.gov/orr/policy-guidance/state-letter-09-22" xr:uid="{1AA59B9D-70A5-4B2E-804A-9E4E689D7EDA}"/>
    <hyperlink ref="D2555" r:id="rId2538" display="https://acf.gov/orr/policy-guidance/state-letter-09-21" xr:uid="{A93EEDEC-279E-40FA-B5C8-E209A4299EBA}"/>
    <hyperlink ref="D2556" r:id="rId2539" display="https://acf.gov/orr/policy-guidance/state-letter-09-19" xr:uid="{7A716AE3-D567-4A15-81EB-D01ED879B4AF}"/>
    <hyperlink ref="D2557" r:id="rId2540" display="https://acf.gov/orr/policy-guidance/state-letter-09-18" xr:uid="{3611A299-E5E3-449C-9D2D-DEB6A9D59935}"/>
    <hyperlink ref="D2558" r:id="rId2541" display="https://acf.gov/orr/policy-guidance/state-letter-09-17" xr:uid="{EA9AF268-C336-498E-868F-B60F627998F6}"/>
    <hyperlink ref="D2559" r:id="rId2542" display="https://acf.gov/orr/policy-guidance/state-letter-09-15" xr:uid="{4A17A5CD-29BA-4B9C-B242-BD489422E95A}"/>
    <hyperlink ref="D2560" r:id="rId2543" display="https://acf.gov/orr/policy-guidance/state-letter-09-14" xr:uid="{3695835C-E027-4972-ADB6-7C5930985EE1}"/>
    <hyperlink ref="D2561" r:id="rId2544" display="https://acf.gov/orr/policy-guidance/state-letter-09-13" xr:uid="{BD7CD73A-7D39-427E-A1CA-96870BEDE492}"/>
    <hyperlink ref="D2562" r:id="rId2545" display="https://acf.gov/orr/policy-guidance/state-letter-09-11" xr:uid="{9A504CFB-D68C-47B5-AAED-A64AD057ABE9}"/>
    <hyperlink ref="D2563" r:id="rId2546" display="https://acf.gov/orr/policy-guidance/state-letter-09-09" xr:uid="{8806655B-59AF-4515-99F2-E04A297D4331}"/>
    <hyperlink ref="D2564" r:id="rId2547" display="https://acf.gov/orr/policy-guidance/state-letter-09-06" xr:uid="{12100EC7-9AD8-4210-A2D8-190F734C35C0}"/>
    <hyperlink ref="D2565" r:id="rId2548" display="https://acf.gov/orr/policy-guidance/state-letter-09-04" xr:uid="{4607C805-D7B7-4D9C-923C-CDBE1F21567E}"/>
    <hyperlink ref="D2566" r:id="rId2549" display="https://acf.gov/orr/policy-guidance/state-letter-09-03" xr:uid="{41A08173-2E76-4945-B3F9-F6C6B01DD751}"/>
    <hyperlink ref="D2567" r:id="rId2550" display="https://acf.gov/orr/policy-guidance/state-letter-09-02" xr:uid="{3EA5AD22-ABB5-4898-AB74-5030AAF5E8A1}"/>
    <hyperlink ref="D2568" r:id="rId2551" display="https://acf.gov/orr/policy-guidance/state-letter-08-01" xr:uid="{20327D16-6FB1-4CD3-8D28-1F9054405357}"/>
    <hyperlink ref="D2569" r:id="rId2552" display="https://acf.gov/orr/policy-guidance/state-letter-08-02" xr:uid="{84006385-2AD4-4E31-A916-D318A8604B0D}"/>
    <hyperlink ref="D2570" r:id="rId2553" display="https://acf.gov/orr/policy-guidance/state-letter-08-04" xr:uid="{ACD4DF25-A19D-4CA0-91CE-B610C9E560A9}"/>
    <hyperlink ref="D2571" r:id="rId2554" display="https://acf.gov/orr/policy-guidance/state-letter-08-05" xr:uid="{FE35880F-6CEE-4CAD-8041-FD88450E700D}"/>
    <hyperlink ref="D2572" r:id="rId2555" display="https://acf.gov/orr/policy-guidance/state-letter-08-06" xr:uid="{1C854393-D498-4C00-9991-9A40641A3F43}"/>
    <hyperlink ref="D2573" r:id="rId2556" display="https://acf.gov/orr/policy-guidance/state-letter-08-07" xr:uid="{909EF4CA-E926-46C7-B0C4-494A45EA9165}"/>
    <hyperlink ref="D2574" r:id="rId2557" display="https://acf.gov/orr/policy-guidance/state-letter-08-08" xr:uid="{8568D366-A897-414D-93C1-DE5F40CCE359}"/>
    <hyperlink ref="D2575" r:id="rId2558" display="https://acf.gov/orr/policy-guidance/state-letter-08-09" xr:uid="{64BB096D-21BD-4E8B-BEE3-EB6226375AF5}"/>
    <hyperlink ref="D2576" r:id="rId2559" display="https://acf.gov/orr/policy-guidance/state-letter-08-10" xr:uid="{28746DF7-E786-4205-9EA8-931400D8F994}"/>
    <hyperlink ref="D2577" r:id="rId2560" display="https://acf.gov/orr/policy-guidance/state-letter-08-11" xr:uid="{03E6AD92-E4B5-405F-8220-13466CF38C7B}"/>
    <hyperlink ref="D2578" r:id="rId2561" display="https://acf.gov/orr/policy-guidance/state-letter-08-12" xr:uid="{5B6BDF63-5A64-42D9-98B1-01B0990844C3}"/>
    <hyperlink ref="D2579" r:id="rId2562" display="https://acf.gov/orr/policy-guidance/state-letter-07-01" xr:uid="{B74BA45A-9177-4445-9A6E-475F5D6895A3}"/>
    <hyperlink ref="D2580" r:id="rId2563" display="https://acf.gov/orr/policy-guidance/state-letter-07-02" xr:uid="{4F1D2FEA-E098-454C-8C7A-1757164DB3E8}"/>
    <hyperlink ref="D2581" r:id="rId2564" display="https://acf.gov/orr/policy-guidance/state-letter-07-03" xr:uid="{73A8BABE-DA4F-48DC-BEBE-5A25E8D75462}"/>
    <hyperlink ref="D2582" r:id="rId2565" display="https://acf.gov/orr/policy-guidance/state-letter-07-04" xr:uid="{15DFE722-C51B-43DE-A47E-2F72C5088159}"/>
    <hyperlink ref="D2583" r:id="rId2566" display="https://acf.gov/orr/policy-guidance/state-letter-07-06" xr:uid="{3AFB7B8C-5FE3-40D1-A374-B873D8A9B84E}"/>
    <hyperlink ref="D2584" r:id="rId2567" display="https://acf.gov/orr/policy-guidance/state-letter-07-07" xr:uid="{82D7609A-D2A6-4C3F-B665-09FF4453018A}"/>
    <hyperlink ref="D2585" r:id="rId2568" display="https://acf.gov/orr/policy-guidance/state-letter-07-08" xr:uid="{F2AF936B-57B8-4893-B5CD-A97730721783}"/>
    <hyperlink ref="D2586" r:id="rId2569" display="https://acf.gov/orr/policy-guidance/state-letter-07-09" xr:uid="{C9EA14EF-FF0A-43FB-910F-35461891784E}"/>
    <hyperlink ref="D2587" r:id="rId2570" display="https://acf.gov/orr/policy-guidance/state-letter-07-10" xr:uid="{FA2BC13F-1953-4960-9F7B-ADEA80685236}"/>
    <hyperlink ref="D2588" r:id="rId2571" display="https://acf.gov/orr/policy-guidance/state-letter-07-11" xr:uid="{EA66911D-09D6-4221-BD57-9FDD206F871D}"/>
    <hyperlink ref="D2589" r:id="rId2572" display="https://acf.gov/orr/policy-guidance/state-letter-07-12" xr:uid="{B7B543F3-BFDB-4767-B040-7DA99375FB9E}"/>
    <hyperlink ref="D2590" r:id="rId2573" display="https://acf.gov/orr/policy-guidance/state-letter-07-13" xr:uid="{6A2F811B-992E-4029-B65B-0EB85179E22B}"/>
    <hyperlink ref="D2591" r:id="rId2574" display="https://acf.gov/orr/policy-guidance/state-letter-07-14" xr:uid="{1B2198B9-36FA-4F43-A1B9-A775C5A8DA9F}"/>
    <hyperlink ref="D2592" r:id="rId2575" display="https://acf.gov/orr/policy-guidance/state-letter-07-15" xr:uid="{34CDC552-D31F-4EC3-A570-34DE0A34F181}"/>
    <hyperlink ref="D2593" r:id="rId2576" display="https://acf.gov/orr/policy-guidance/state-letter-07-16" xr:uid="{8FE6B930-E36A-4AAC-95E3-8B631DD1EF39}"/>
    <hyperlink ref="D2594" r:id="rId2577" display="https://acf.gov/orr/policy-guidance/state-letter-07-17" xr:uid="{1F6EAFEF-7571-4A02-A525-B335757119B6}"/>
    <hyperlink ref="D2595" r:id="rId2578" display="https://acf.gov/orr/policy-guidance/state-letter-06-01" xr:uid="{3CCD5926-367E-4C7E-B431-585F2F22B606}"/>
    <hyperlink ref="D2596" r:id="rId2579" display="https://acf.gov/orr/policy-guidance/state-letter-06-03" xr:uid="{58A9E9CA-0832-47C6-9A95-DDACA18E2E04}"/>
    <hyperlink ref="D2597" r:id="rId2580" display="https://acf.gov/orr/policy-guidance/state-letter-06-04" xr:uid="{B0B869A0-A654-4544-A411-EDA4931AAABF}"/>
    <hyperlink ref="D2598" r:id="rId2581" display="https://acf.gov/orr/policy-guidance/state-letter-06-05" xr:uid="{FF964661-1687-4360-9266-0C41BCEA757D}"/>
    <hyperlink ref="D2599" r:id="rId2582" display="https://acf.gov/orr/policy-guidance/state-letter-06-07" xr:uid="{002C8878-2EBA-481A-8E26-12A9F040A238}"/>
    <hyperlink ref="D2600" r:id="rId2583" display="https://acf.gov/orr/policy-guidance/state-letter-06-08" xr:uid="{0FF75E5C-F306-4A92-A672-65B45EADABFB}"/>
    <hyperlink ref="D2601" r:id="rId2584" display="https://acf.gov/orr/policy-guidance/state-letter-06-09" xr:uid="{87499040-C51F-4086-98E8-32E7AEB978C2}"/>
    <hyperlink ref="D2602" r:id="rId2585" display="https://acf.gov/orr/policy-guidance/state-letter-06-10" xr:uid="{0980F2F8-47B7-42F2-8FF9-1960CCFBB34A}"/>
    <hyperlink ref="D2603" r:id="rId2586" display="https://acf.gov/orr/policy-guidance/state-letter-06-11" xr:uid="{D763CB5E-760B-4555-B19F-884BE2537AD2}"/>
    <hyperlink ref="D2604" r:id="rId2587" display="https://acf.gov/orr/policy-guidance/state-letter-06-12" xr:uid="{B62EB4D9-069A-427C-8B4B-5A322F724796}"/>
    <hyperlink ref="D2605" r:id="rId2588" display="https://acf.gov/orr/policy-guidance/state-letter-06-13" xr:uid="{2CF9E757-8859-4C8F-B2B1-3B3A671FF3C8}"/>
    <hyperlink ref="D2606" r:id="rId2589" display="https://acf.gov/orr/policy-guidance/state-letter-06-14" xr:uid="{C1F173A0-5D60-466B-B8E7-4E6C1E3092C7}"/>
    <hyperlink ref="D2607" r:id="rId2590" display="https://acf.gov/orr/policy-guidance/state-letter-06-15" xr:uid="{C41320A4-22AC-4911-B5D1-00F412E479F0}"/>
    <hyperlink ref="D2608" r:id="rId2591" display="https://acf.gov/orr/policy-guidance/state-letter-06-17" xr:uid="{CF66F4FC-2E85-43BF-B03F-7A370EE4F5B3}"/>
    <hyperlink ref="D2609" r:id="rId2592" display="https://acf.gov/orr/policy-guidance/state-letter-06-19" xr:uid="{C8F3898D-572B-45D3-B3D8-093245BA55AC}"/>
    <hyperlink ref="D2610" r:id="rId2593" display="https://acf.gov/archive/orr/policy-guidance/clarification-medicaid-programs-new-guidance-citizenship-documentation" xr:uid="{FD5202F5-23BD-4D66-B941-E170FFEBB9F0}"/>
    <hyperlink ref="D2611" r:id="rId2594" display="https://acf.gov/archive/orr/policy-guidance/testing-refugee-children-lead" xr:uid="{6843D59E-A8E5-43CA-9029-9DBDA8C2C6DC}"/>
    <hyperlink ref="D2612" r:id="rId2595" display="https://acf.gov/archive/orr/policy-guidance/public-charge-and-orr-populations" xr:uid="{8FEA6694-1FF7-4AB5-A386-B8E3B8B28230}"/>
    <hyperlink ref="D2613" r:id="rId2596" display="https://acf.gov/orr/policy-guidance/state-letter-05-03" xr:uid="{C233F9A9-3C70-450E-B3DB-23073C08DE88}"/>
    <hyperlink ref="D2614" r:id="rId2597" display="https://acf.gov/archive/orr/policy-guidance/immigration-consequences-criminal-conviction" xr:uid="{50D7815F-8AC6-45EC-A9BA-F9E8202EA397}"/>
    <hyperlink ref="D2615" r:id="rId2598" display="https://acf.gov/orr/policy-guidance/state-letter-05-05" xr:uid="{709CD260-4116-4F92-824E-043F5FC7D750}"/>
    <hyperlink ref="D2616" r:id="rId2599" display="https://acf.gov/orr/policy-guidance/state-letter-05-06" xr:uid="{635D95B4-DB4A-44AD-A829-CD06D64DE3C9}"/>
    <hyperlink ref="D2617" r:id="rId2600" display="https://acf.gov/archive/orr/policy-guidance/cdc-recommendations-lead-poisoning-prevention-refugee-children" xr:uid="{DEE0B2A4-9195-435F-AEE6-15C4A9DDF981}"/>
    <hyperlink ref="D2618" r:id="rId2601" display="https://acf.gov/orr/resource/state-letter-05-08" xr:uid="{4A2429F7-7165-49A8-8117-77B3A0A147D7}"/>
    <hyperlink ref="D2619" r:id="rId2602" display="https://acf.gov/orr/policy-guidance/state-letter-05-09" xr:uid="{01930D2F-FDE3-436A-9726-CA352FDAB51B}"/>
    <hyperlink ref="D2620" r:id="rId2603" display="https://acf.gov/orr/policy-guidance/state-letter-05-10" xr:uid="{9FA62039-E5EA-4465-A845-0B863E2858C2}"/>
    <hyperlink ref="D2621" r:id="rId2604" display="https://acf.gov/orr/policy-guidance/state-letter-05-11" xr:uid="{3530F3A6-B043-4B1E-A894-8CE20FFB4F1D}"/>
    <hyperlink ref="D2622" r:id="rId2605" display="https://acf.gov/orr/policy-guidance/state-letter-05-12" xr:uid="{CBBD97E9-A5D8-4109-8650-EACC2825F3AE}"/>
    <hyperlink ref="D2623" r:id="rId2606" display="https://acf.gov/orr/policy-guidance/state-letter-05-13" xr:uid="{A17ECB24-A44D-4FC2-92F7-22C70D764D6B}"/>
    <hyperlink ref="D2624" r:id="rId2607" display="https://acf.gov/orr/policy-guidance/state-letter-05-15" xr:uid="{33F87081-2219-4FF3-8638-5BB9F1FFCC53}"/>
    <hyperlink ref="D2625" r:id="rId2608" display="https://acf.gov/orr/policy-guidance/state-letter-05-16" xr:uid="{B7337DCA-B47D-4DFD-A5CC-F9A609E480E0}"/>
    <hyperlink ref="D2626" r:id="rId2609" display="https://acf.gov/orr/policy-guidance/state-letter-05-17" xr:uid="{9A23B575-FA2C-4B94-9FF8-BDE100A8C4F5}"/>
    <hyperlink ref="D2627" r:id="rId2610" display="https://acf.gov/orr/policy-guidance/state-letter-05-18" xr:uid="{055A66B3-2F78-4181-ADAB-4B7FF7AC331F}"/>
    <hyperlink ref="D2628" r:id="rId2611" display="https://acf.gov/orr/policy-guidance/state-letter-05-19" xr:uid="{78C23001-413A-4BFB-9004-B804FC964745}"/>
    <hyperlink ref="D2629" r:id="rId2612" display="https://acf.gov/orr/resource/state-letter-05-20" xr:uid="{8C520256-EB36-4488-828E-715FDFAFDDB1}"/>
    <hyperlink ref="D2630" r:id="rId2613" display="https://acf.gov/orr/policy-guidance/state-letter-05-21" xr:uid="{A4326ECF-4BDE-4015-BFF3-F51746EF5447}"/>
    <hyperlink ref="D2631" r:id="rId2614" display="https://acf.gov/orr/policy-guidance/state-letter-05-22" xr:uid="{F5D629C3-AD5B-49E3-9D87-FF3C848F2F03}"/>
    <hyperlink ref="D2632" r:id="rId2615" display="https://acf.gov/orr/policy-guidance/state-letter-05-23" xr:uid="{8EE985A9-5454-4FEE-BC75-A68DAC2ABD40}"/>
    <hyperlink ref="D2633" r:id="rId2616" display="https://acf.gov/orr/policy-guidance/state-letter-05-24" xr:uid="{F5129790-97C7-40AB-A420-675A1EE97F12}"/>
    <hyperlink ref="D2634" r:id="rId2617" display="https://acf.gov/orr/policy-guidance/state-letter-05-25" xr:uid="{9805BF1D-9EE6-4827-AEE9-D34C8EA0DAEC}"/>
    <hyperlink ref="D2635" r:id="rId2618" display="https://acf.gov/orr/policy-guidance/state-letter-05-25a" xr:uid="{57AF68A4-CBE5-4981-A78C-94CE224CD7C9}"/>
    <hyperlink ref="D2636" r:id="rId2619" display="https://acf.gov/orr/policy-guidance/state-letter-05-26" xr:uid="{1F46FD71-215E-4600-BAEF-ABBA8602A108}"/>
    <hyperlink ref="D2637" r:id="rId2620" display="https://acf.gov/orr/policy-guidance/state-letter-05-27" xr:uid="{976B5C9D-05E1-47A8-B11B-7B5ADE745EBF}"/>
    <hyperlink ref="D2638" r:id="rId2621" display="https://acf.gov/orr/policy-guidance/state-letter-05-28" xr:uid="{48CCABF9-07E9-4F8D-96EB-4C9921C59E8E}"/>
    <hyperlink ref="D2639" r:id="rId2622" display="https://acf.gov/orr/policy-guidance/state-letter-05-30" xr:uid="{88882E54-9EED-4C36-A490-5E69B0C82D86}"/>
    <hyperlink ref="D2640" r:id="rId2623" display="https://acf.gov/orr/policy-guidance/state-letter-05-31" xr:uid="{0F2F926F-0CD6-467A-84C6-081389D5DEA2}"/>
    <hyperlink ref="D2641" r:id="rId2624" display="https://acf.gov/orr/policy-guidance/state-letter-05-32" xr:uid="{E9CCC638-55D2-4131-B07E-FCB297559023}"/>
    <hyperlink ref="D2642" r:id="rId2625" display="https://acf.gov/orr/policy-guidance/state-letter-05-33" xr:uid="{68FFF30B-F033-43F4-85DE-012D67B31721}"/>
    <hyperlink ref="D2643" r:id="rId2626" display="https://acf.gov/orr/policy-guidance/state-letter-04-02" xr:uid="{AAE5EF92-7BDE-46C3-8095-03EED2650843}"/>
    <hyperlink ref="D2644" r:id="rId2627" display="https://acf.gov/orr/policy-guidance/state-letter-04-03" xr:uid="{1A25B783-7794-4633-9039-D8F0B3905F30}"/>
    <hyperlink ref="D2645" r:id="rId2628" display="https://acf.gov/orr/policy-guidance/state-letter-04-04" xr:uid="{FC7FBFC2-326D-4ADB-B6EA-9BC6DF2E2110}"/>
    <hyperlink ref="D2646" r:id="rId2629" display="https://acf.gov/orr/policy-guidance/state-letter-04-05" xr:uid="{00987064-63DD-4E85-BE3B-53E8097D13F5}"/>
    <hyperlink ref="D2647" r:id="rId2630" display="https://acf.gov/orr/policy-guidance/state-letter-04-06" xr:uid="{FE64A823-D412-406A-8A28-195C9E1DA2CB}"/>
    <hyperlink ref="D2648" r:id="rId2631" display="https://acf.gov/orr/policy-guidance/state-letter-04-07" xr:uid="{BC05EE6E-AA1C-4284-AE2B-A6B856528DBF}"/>
    <hyperlink ref="D2649" r:id="rId2632" display="https://acf.gov/orr/policy-guidance/state-letter-04-08" xr:uid="{E97308E6-64A5-48CA-B950-00BEA5EF99B5}"/>
    <hyperlink ref="D2650" r:id="rId2633" display="https://acf.gov/orr/policy-guidance/state-letter-04-09" xr:uid="{F85E3370-DF42-4B20-852D-6611B078307F}"/>
    <hyperlink ref="D2651" r:id="rId2634" display="https://acf.gov/orr/policy-guidance/state-letter-04-10" xr:uid="{397BA980-4796-4F6E-94E2-6B6F4E36ADF1}"/>
    <hyperlink ref="D2652" r:id="rId2635" display="https://acf.gov/orr/policy-guidance/state-letter-04-11" xr:uid="{17D8F5C3-6D2E-4203-8B33-EF978A6F840C}"/>
    <hyperlink ref="D2653" r:id="rId2636" display="https://acf.gov/archive/otip/report/state-letter-04-12" xr:uid="{4249AC5C-9FB8-4DCD-91D9-A6E83514CE2A}"/>
    <hyperlink ref="D2654" r:id="rId2637" display="https://acf.gov/orr/policy-guidance/state-letter-04-13" xr:uid="{341757AD-00AC-40E3-992A-FD881497AC63}"/>
    <hyperlink ref="D2655" r:id="rId2638" display="https://acf.gov/orr/policy-guidance/state-letter-04-14" xr:uid="{DCA9A66A-D0E4-412B-AC97-4DF9FABC3064}"/>
    <hyperlink ref="D2656" r:id="rId2639" display="https://acf.gov/orr/policy-guidance/state-letter-04-15" xr:uid="{E9707F1E-2DCE-481E-AF90-B808E97A9A06}"/>
    <hyperlink ref="D2657" r:id="rId2640" display="https://acf.gov/orr/policy-guidance/state-letter-04-16" xr:uid="{053BE294-A412-4AC1-9C32-5B4774E637B5}"/>
    <hyperlink ref="D2658" r:id="rId2641" display="https://acf.gov/orr/policy-guidance/state-letter-04-17" xr:uid="{02511F68-3876-422E-BEAC-18872C5DBFF9}"/>
    <hyperlink ref="D2659" r:id="rId2642" display="https://acf.gov/orr/policy-guidance/state-letter-04-18" xr:uid="{AC6471FA-D711-404E-BA28-0CFB098D5070}"/>
    <hyperlink ref="D2660" r:id="rId2643" display="https://acf.gov/orr/policy-guidance/state-letter-04-19" xr:uid="{D46BCD4A-EEC8-438E-A716-2F06B468FBC6}"/>
    <hyperlink ref="D2661" r:id="rId2644" display="https://acf.gov/orr/policy-guidance/state-letter-04-20" xr:uid="{5EA9833F-D024-40D4-966F-201C7FBC730D}"/>
    <hyperlink ref="D2662" r:id="rId2645" display="https://acf.gov/orr/policy-guidance/state-letter-03-01" xr:uid="{81EC018A-23DE-457D-963D-5489330D46AE}"/>
    <hyperlink ref="D2663" r:id="rId2646" display="https://acf.gov/orr/policy-guidance/state-letter-03-02" xr:uid="{136221A9-DAF6-4790-B368-B67A5B706D2D}"/>
    <hyperlink ref="D2664" r:id="rId2647" display="https://acf.gov/orr/policy-guidance/state-letter-03-03" xr:uid="{858E0CBA-C484-41BF-9880-98493A0442C3}"/>
    <hyperlink ref="D2665" r:id="rId2648" display="https://acf.gov/orr/policy-guidance/state-letter-03-04" xr:uid="{BF67EFA7-EB6D-438F-999E-530EC144FD6D}"/>
    <hyperlink ref="D2666" r:id="rId2649" display="https://acf.gov/orr/policy-guidance/state-letter-03-05" xr:uid="{0090FDA4-B70A-4F62-AB5E-1714DC7B9FD0}"/>
    <hyperlink ref="D2667" r:id="rId2650" display="https://acf.gov/orr/policy-guidance/state-letter-03-07" xr:uid="{6F063057-14C4-4BBA-B592-EA1EB46F9462}"/>
    <hyperlink ref="D2668" r:id="rId2651" display="https://acf.gov/orr/policy-guidance/state-letter-03-08" xr:uid="{6EE902A1-581E-454A-9530-4902B4901207}"/>
    <hyperlink ref="D2669" r:id="rId2652" display="https://acf.gov/orr/policy-guidance/state-letter-03-09" xr:uid="{66BF376B-EC1F-4570-813A-8EF88C0BF453}"/>
    <hyperlink ref="D2670" r:id="rId2653" display="https://acf.gov/orr/policy-guidance/state-letter-03-11" xr:uid="{9B834CDB-8DF8-4868-8585-C5A430B6B39E}"/>
    <hyperlink ref="D2671" r:id="rId2654" display="https://acf.gov/orr/policy-guidance/state-letter-03-12" xr:uid="{58BA0F35-BFBE-4219-B19F-958E985A7FB2}"/>
    <hyperlink ref="D2672" r:id="rId2655" display="https://acf.gov/orr/policy-guidance/state-letter-03-13" xr:uid="{453ADE3C-91B5-4F86-81BC-2F20513DEFBD}"/>
    <hyperlink ref="D2673" r:id="rId2656" display="https://acf.gov/orr/policy-guidance/state-letter-03-14" xr:uid="{2AABF9C2-2389-4A8C-9715-F6353D78F9B4}"/>
    <hyperlink ref="D2674" r:id="rId2657" display="https://acf.gov/orr/policy-guidance/state-letter-03-15" xr:uid="{6B5BBE40-9947-47C6-A470-E1C6074ECA02}"/>
    <hyperlink ref="D2675" r:id="rId2658" display="https://acf.gov/orr/policy-guidance/state-letter-03-16" xr:uid="{070C8C6D-609D-4C33-A803-BC8357733CF3}"/>
    <hyperlink ref="D2676" r:id="rId2659" display="https://acf.gov/orr/policy-guidance/state-letter-03-18" xr:uid="{303DB723-9933-4E8C-8A41-8B4C907EFA5B}"/>
    <hyperlink ref="D2677" r:id="rId2660" display="https://acf.gov/orr/policy-guidance/state-letter-03-19" xr:uid="{BF96D54C-C056-41AE-B9E1-14FACDC5ADBD}"/>
    <hyperlink ref="D2678" r:id="rId2661" display="https://acf.gov/orr/policy-guidance/state-letter-03-20" xr:uid="{8338B290-E6CB-43A1-8B58-62098692FA65}"/>
    <hyperlink ref="D2679" r:id="rId2662" display="https://acf.gov/orr/policy-guidance/state-letter-03-21" xr:uid="{AA430874-50C9-4561-B437-EBBEC571C715}"/>
    <hyperlink ref="D2680" r:id="rId2663" display="https://acf.gov/orr/policy-guidance/state-letter-03-22" xr:uid="{A4B3CAAC-D42A-4CCF-9180-09CA41DB4F77}"/>
    <hyperlink ref="D2681" r:id="rId2664" display="https://acf.gov/orr/policy-guidance/state-letter-03-24" xr:uid="{F73AE5A9-1C4B-414A-A41F-5B26CA38BBB0}"/>
    <hyperlink ref="D2682" r:id="rId2665" display="https://acf.gov/archive/otip/policy-guidance/state-letter-02-01" xr:uid="{7E4A61B2-3CFF-4FC9-8EA8-9A34FE88E4CF}"/>
    <hyperlink ref="D2683" r:id="rId2666" display="https://acf.gov/sites/default/files/documents/orr/nvhwcome.doc" xr:uid="{885A25E1-53DC-432B-8BAA-D9444AFCBAEB}"/>
    <hyperlink ref="D2684" r:id="rId2667" display="https://acf.gov/orr/policy-guidance/verification-refugee-status-department-state-refugee-data-center" xr:uid="{DC9B9BFC-39F1-4AC5-B333-76C5622CA3A7}"/>
    <hyperlink ref="D2685" r:id="rId2668" display="https://acf.gov/orr/policy-guidance/state-letter-02-05" xr:uid="{D384EF55-6E46-422E-BC4D-EC587BF7E959}"/>
    <hyperlink ref="D2686" r:id="rId2669" display="https://acf.gov/orr/policy-guidance/state-letter-02-06" xr:uid="{BF3D9617-57E2-4F52-B615-ABE046433034}"/>
    <hyperlink ref="D2687" r:id="rId2670" display="https://acf.gov/orr/policy-guidance/state-letter-02-08" xr:uid="{06F9FA3C-8AEB-440C-8F56-6BCD8BE31F49}"/>
    <hyperlink ref="D2688" r:id="rId2671" display="https://acf.gov/orr/policy-guidance/state-letter-02-09" xr:uid="{0F50C31C-6B62-4655-B3A6-6B7BD9DDEFC1}"/>
    <hyperlink ref="D2689" r:id="rId2672" display="https://acf.gov/orr/policy-guidance/state-letter-02-10" xr:uid="{09BEE6DF-F0CB-4351-9AE6-63C447C7FD67}"/>
    <hyperlink ref="D2690" r:id="rId2673" display="https://acf.gov/orr/policy-guidance/state-letter-02-11" xr:uid="{A70941AB-5BBE-4283-935B-E0A65B38C68F}"/>
    <hyperlink ref="D2691" r:id="rId2674" display="https://acf.gov/orr/policy-guidance/state-letter-02-12" xr:uid="{66358291-FD3C-4646-A37E-E9A77EAB0B68}"/>
    <hyperlink ref="D2692" r:id="rId2675" display="https://acf.gov/orr/policy-guidance/state-letter-02-13" xr:uid="{AB26D9F1-51C0-46D8-A31E-1D478EA64497}"/>
    <hyperlink ref="D2693" r:id="rId2676" display="https://acf.gov/orr/policy-guidance/state-letter-02-14" xr:uid="{D5F9FB91-C042-4F38-A935-A36F5D8627A2}"/>
    <hyperlink ref="D2694" r:id="rId2677" display="https://acf.gov/archive/otip/policy-guidance/state-letter-02-15" xr:uid="{29C8FB0E-8C15-4A06-A914-02FCDC4DBC68}"/>
    <hyperlink ref="D2695" r:id="rId2678" display="https://acf.gov/orr/policy-guidance/state-letter-02-16" xr:uid="{6C65A156-B231-4F45-AF72-CC2C4E72AF5F}"/>
    <hyperlink ref="D2696" r:id="rId2679" display="https://acf.gov/archive/orr/policy-guidance/state-letter-02-17" xr:uid="{9974C502-08AE-4B33-983D-7E16799DC61A}"/>
    <hyperlink ref="D2697" r:id="rId2680" display="https://acf.gov/orr/policy-guidance/state-letter-02-18" xr:uid="{216A5C36-75C5-4337-BCCB-849EE4E4D5BA}"/>
    <hyperlink ref="D2698" r:id="rId2681" display="https://acf.gov/orr/policy-guidance/state-letter-02-19" xr:uid="{85CD55B0-BA9B-48F2-B3F6-F85B518A2FB2}"/>
    <hyperlink ref="D2699" r:id="rId2682" display="https://acf.gov/orr/resource/state-letter-02-20" xr:uid="{9E087A29-1E3C-4518-93BE-67199DEEBC83}"/>
    <hyperlink ref="D2700" r:id="rId2683" display="https://acf.gov/orr/policy-guidance/state-letter-02-21" xr:uid="{56D4809D-0134-4488-A784-6D4EC6B05C9D}"/>
    <hyperlink ref="D2701" r:id="rId2684" display="https://acf.gov/orr/policy-guidance/state-letter-02-22" xr:uid="{A02E8CA5-BEF1-436F-8EF5-E12C5A11B6FD}"/>
    <hyperlink ref="D2702" r:id="rId2685" display="https://acf.gov/orr/policy-guidance/state-letter-02-23" xr:uid="{9E36803C-7D9F-4472-83A2-5460BCA6231A}"/>
    <hyperlink ref="D2703" r:id="rId2686" display="https://acf.gov/orr/policy-guidance/state-letter-02-24" xr:uid="{8B11AFE4-DF24-4C13-B79C-0D394A1076BE}"/>
    <hyperlink ref="D2704" r:id="rId2687" display="https://acf.gov/archive/otip/training-technical-assistance/state-letter-02-25" xr:uid="{980EBA3E-843F-49D1-BDBD-E6128EF70635}"/>
    <hyperlink ref="D2705" r:id="rId2688" display="https://acf.gov/orr/policy-guidance/state-letter-02-26" xr:uid="{B407A270-4098-4DEE-A1D3-941D71B50DB8}"/>
    <hyperlink ref="D2706" r:id="rId2689" display="https://acf.gov/orr/policy-guidance/state-letter-02-30" xr:uid="{C0246351-06B3-49CC-AFF5-C75B6132B66F}"/>
    <hyperlink ref="D2707" r:id="rId2690" display="https://acf.gov/archive/otip/report/state-letter-02-31" xr:uid="{8B8095A4-1C37-4BA2-865E-242752DC1156}"/>
    <hyperlink ref="D2708" r:id="rId2691" display="https://acf.gov/orr/policy-guidance/state-letter-02-32" xr:uid="{2CABBE55-8098-4C4D-B9B5-AEF56ED60267}"/>
    <hyperlink ref="D2709" r:id="rId2692" display="https://acf.gov/orr/policy-guidance/state-letter-02-33" xr:uid="{093DD516-47FB-4136-BC13-B22E8100DA9C}"/>
    <hyperlink ref="D2710" r:id="rId2693" display="https://acf.gov/orr/policy-guidance/state-letter-02-34" xr:uid="{E0E966EE-4BB3-4F51-ACF1-7BD530106BFA}"/>
    <hyperlink ref="D2711" r:id="rId2694" display="https://acf.gov/archive/orr/policy-guidance/state-letter-01-01" xr:uid="{3A5E0DE5-2799-4CD2-8DDC-9B9DDA98920A}"/>
    <hyperlink ref="D2712" r:id="rId2695" display="https://acf.gov/archive/orr/policy-guidance/state-letter-01-02" xr:uid="{789C1A6C-0E59-40F9-A27D-79F9F33D7A9E}"/>
    <hyperlink ref="D2713" r:id="rId2696" display="https://acf.gov/orr/policy-guidance/state-letter-01-03" xr:uid="{9F49B497-1D5C-42F3-91E6-C813B10E1699}"/>
    <hyperlink ref="D2714" r:id="rId2697" display="https://acf.gov/orr/policy-guidance/state-letter-01-04" xr:uid="{FA80D7DE-73A2-4599-B4CE-98C2956078FB}"/>
    <hyperlink ref="D2715" r:id="rId2698" display="https://acf.gov/archive/orr/policy-guidance/state-letter-01-05" xr:uid="{32F6BC02-F205-4E91-B5CC-4B797F1BF9A8}"/>
    <hyperlink ref="D2716" r:id="rId2699" display="https://acf.gov/archive/orr/policy-guidance/state-letter-01-06" xr:uid="{5E19C196-D0ED-49CD-BE04-96D1FF9D06B3}"/>
    <hyperlink ref="D2717" r:id="rId2700" display="https://acf.gov/archive/orr/policy-guidance/state-letter-01-07" xr:uid="{D1AA0C5F-954E-4775-A08D-AFCC7110D284}"/>
    <hyperlink ref="D2718" r:id="rId2701" display="https://acf.gov/archive/orr/policy-guidance/change-issuance-social-security-numbers-asylees" xr:uid="{9A7AE612-37BD-48D1-8327-3AB09FAF7FD3}"/>
    <hyperlink ref="D2719" r:id="rId2702" display="https://acf.gov/archive/orr/policy-guidance/state-letter-01-11" xr:uid="{4FA0927A-D23F-49C4-9C6F-BD7C29314671}"/>
    <hyperlink ref="D2720" r:id="rId2703" display="https://acf.gov/archive/orr/policy-guidance/state-letter-01-12" xr:uid="{EDC2A9AE-DBCC-4163-8ADD-52BE4CB6C686}"/>
    <hyperlink ref="D2721" r:id="rId2704" display="https://acf.gov/archive/otip/resource/state-letter-01-13" xr:uid="{D8D45551-9559-42E1-86E4-EE66D8305C41}"/>
    <hyperlink ref="D2722" r:id="rId2705" display="https://acf.gov/archive/orr/policy-guidance/state-letter-01-14" xr:uid="{7E05032A-3AD3-4913-8832-B4753384C59D}"/>
    <hyperlink ref="D2723" r:id="rId2706" display="https://acf.gov/archive/orr/policy-guidance/state-letter-01-17" xr:uid="{0A966993-2335-4B19-AEC8-71C43D9B91A3}"/>
    <hyperlink ref="D2724" r:id="rId2707" display="https://acf.gov/archive/orr/policy-guidance/state-letter-01-18" xr:uid="{6B0A9D62-F533-466C-B2A9-8BBC32D9D2CF}"/>
    <hyperlink ref="D2725" r:id="rId2708" display="https://acf.gov/archive/orr/policy-guidance/state-letter-01-19" xr:uid="{B35D9AFC-EA5A-4729-8024-B5184D7D666C}"/>
    <hyperlink ref="D2726" r:id="rId2709" display="https://acf.gov/archive/orr/policy-guidance/state-letter-01-20" xr:uid="{B1A51112-1249-4696-97DD-21847B9A160A}"/>
    <hyperlink ref="D2727" r:id="rId2710" display="https://acf.gov/archive/orr/policy-guidance/clarification-acceptable-documentation-category-one-cuban-and-haitian" xr:uid="{D5E96160-4109-4FF9-9DCC-57C8AAD38455}"/>
    <hyperlink ref="D2728" r:id="rId2711" display="https://acf.gov/archive/orr/policy-guidance/state-letter-01-25" xr:uid="{4FB80ECD-7749-40B1-90B5-565C5345CAC4}"/>
    <hyperlink ref="D2729" r:id="rId2712" display="https://acf.gov/archive/orr/policy-guidance/state-letter-01-26" xr:uid="{9F4E941E-034A-4FB6-8657-EA616930BBC5}"/>
    <hyperlink ref="D2730" r:id="rId2713" display="https://acf.gov/archive/orr/policy-guidance/state-letter-01-30" xr:uid="{51C59C66-CD99-417A-9FF4-C07CC0F18635}"/>
    <hyperlink ref="D2731" r:id="rId2714" display="https://acf.gov/archive/orr/policy-guidance/state-letter-01-31" xr:uid="{8B8980B8-4157-4369-8199-FC17866D63DF}"/>
    <hyperlink ref="D2732" r:id="rId2715" display="https://acf.gov/orr/policy-guidance/state-letter-00-02" xr:uid="{02951AB2-A132-4EF0-B0E9-C2193111D0B7}"/>
    <hyperlink ref="D2733" r:id="rId2716" display="https://acf.gov/archive/orr/policy-guidance/state-letter-00-03" xr:uid="{17FAA9DB-6CDB-4537-A3C3-3ACBD527EFB3}"/>
    <hyperlink ref="D2734" r:id="rId2717" display="https://acf.gov/orr/policy-guidance/state-letter-00-05" xr:uid="{42D01FAA-D80B-4000-B324-6E881FBE2B16}"/>
    <hyperlink ref="D2735" r:id="rId2718" display="https://acf.gov/orr/resource/state-letter-00-06" xr:uid="{8C8DA22E-491F-4A30-B12D-A809A397C93B}"/>
    <hyperlink ref="D2736" r:id="rId2719" display="https://acf.gov/orr/resource/state-letter-00-07" xr:uid="{8F557F8B-72E5-4558-8BE5-C3E99CB05AF1}"/>
    <hyperlink ref="D2737" r:id="rId2720" display="https://acf.gov/orr/resource/state-letter-00-08" xr:uid="{43577B29-C946-4CFA-873D-172141E30BF9}"/>
    <hyperlink ref="D2738" r:id="rId2721" display="https://acf.gov/orr/resource/state-letter-00-10" xr:uid="{254FC473-9AF2-4702-969A-C8FE14C08BF0}"/>
    <hyperlink ref="D2739" r:id="rId2722" display="https://acf.gov/orr/resource/state-letter-00-12" xr:uid="{EC9A7A5A-701D-4F0F-A1B3-CB023FD27C2C}"/>
    <hyperlink ref="D2740" r:id="rId2723" display="https://acf.gov/orr/resource/state-letter-00-14" xr:uid="{CA5A6526-F1A1-4EAA-8CA4-F97C07E338E8}"/>
    <hyperlink ref="D2741" r:id="rId2724" display="https://acf.gov/orr/resource/state-letter-00-15" xr:uid="{A607EC86-9D6C-4549-A800-32E00D86BBA1}"/>
    <hyperlink ref="D2742" r:id="rId2725" display="https://acf.gov/orr/resource/state-letter-00-16" xr:uid="{195932C6-3AF3-4EF4-9F9E-44D166FC5A4F}"/>
    <hyperlink ref="D2743" r:id="rId2726" display="https://acf.gov/orr/resource/state-letter-00-17" xr:uid="{545A390C-4F5C-4430-917B-FF73AE0CFA82}"/>
    <hyperlink ref="D2744" r:id="rId2727" display="https://acf.gov/orr/resource/state-letter-00-18" xr:uid="{8A6D172C-73CE-408E-A991-6A2EB7ACCF79}"/>
    <hyperlink ref="D2745" r:id="rId2728" display="https://acf.gov/orr/resource/state-letter-00-19" xr:uid="{68D6537D-4121-44E2-9DB2-1E068888A075}"/>
    <hyperlink ref="D2746" r:id="rId2729" display="https://acf.gov/orr/policy-guidance/states-cannot-require-applicants-office-refugee-resettlement-orr-funded" xr:uid="{F9350D1C-0EF7-4433-95DD-5B4D550C9B85}"/>
    <hyperlink ref="E2527" r:id="rId2730" display="https://acf.gov/orr/resource/state-letter-12-10" xr:uid="{322FB7D1-6A70-4798-9FCC-BCEF5881C900}"/>
    <hyperlink ref="E2533" r:id="rId2731" display="https://acf.gov/orr/resource/state-letter-12-02" xr:uid="{BA8495E8-0245-46AC-889A-3464468F6191}"/>
    <hyperlink ref="E2748" r:id="rId2732" display="https://acf.gov/orr/policy-guidance/orr-guide-eligibility-placement-and-services-unaccompanied-refugee-minors-urm-0" xr:uid="{40C7B9FD-1ABA-4EB4-8232-A9C7FFC5CC7E}"/>
    <hyperlink ref="E2749" r:id="rId2733" display="https://acf.gov/sites/default/files/documents/orr/State-Plan-2024-Final-Cleared-5-8-25.docx" xr:uid="{65FCC3C4-9461-471E-8542-0C116399257E}"/>
    <hyperlink ref="E2750" r:id="rId2734" display="https://acf.gov/sites/default/files/documents/orr/orr_1_instructions_and_justification_0_0_0.pdf" xr:uid="{13AF90A6-D456-430A-B255-42EF980E6B3E}"/>
    <hyperlink ref="E2751" r:id="rId2735" display="https://acf.gov/sites/default/files/documents/orr/instructions_orr-2.pdf" xr:uid="{FAF50406-B736-4F0F-BEF5-84276AB38202}"/>
    <hyperlink ref="E2752" r:id="rId2736" display="https://acf.gov/sites/default/files/documents/orr/orr-3-instructions-2026.pdf" xr:uid="{E9F9813D-1109-4077-AE01-E0E762866ABB}"/>
    <hyperlink ref="E2753" r:id="rId2737" display="https://acf.gov/sites/default/files/documents/orr/orr-4-instructions-2026.pdf" xr:uid="{BD9FFE75-C3F3-48BB-B56F-EB1791FE1DCD}"/>
    <hyperlink ref="E2754" r:id="rId2738" display="https://acf.gov/sites/default/files/documents/orr/ORR-5-Instructions-FINAL.docx" xr:uid="{2C1B3A11-A42E-4588-B06B-2D57504B908D}"/>
    <hyperlink ref="E2755" r:id="rId2739" display="https://acf.gov/sites/default/files/documents/orr/ORR-6-Instructions.docx" xr:uid="{4190BBB9-4703-4060-B35B-8927379DC6E6}"/>
    <hyperlink ref="E2756" r:id="rId2740" display="https://acf.gov/sites/default/files/documents/orr/aogp-instruction.pdf" xr:uid="{4D5FB55F-6E4D-43F9-95FE-D6200F97FB7D}"/>
    <hyperlink ref="E2757" r:id="rId2741" display="https://acf.gov/sites/default/files/documents/main/ACF-OGM-PPR-exp-date-2026---fillable-Rev.-Approved-2.21.2025.pdf" xr:uid="{26FE1B2D-4AC0-43C1-A6DB-10E298F69C23}"/>
    <hyperlink ref="E2758" r:id="rId2742" display="https://acf.gov/sites/default/files/documents/orr/dra-reporting-calendar.pdf" xr:uid="{329D7ECF-6973-4F33-953A-6748EEAD4180}"/>
    <hyperlink ref="E2759" r:id="rId2743" display="https://acf.gov/system/files/documents/orr/HHS-Separated-from-Child-One-Pager-Parent-Legal-Guardian.pdf" xr:uid="{ABCDB5B0-E5B0-461B-A661-25843C151677}"/>
    <hyperlink ref="E2760" r:id="rId2744" display="https://acf.gov/system/files/documents/orr/HHS-Separated-from-Parent-One-Pager-Child.pdf" xr:uid="{F5C7B252-CBCC-43A2-9C52-8921FCA43ECE}"/>
    <hyperlink ref="E2761" r:id="rId2745" display="https://www.together.gov/support" xr:uid="{846F6FF6-58EB-4425-9590-66FBBF7E7F27}"/>
    <hyperlink ref="E2762" r:id="rId2746" display="https://acf.gov/orr/policy-guidance/unaccompanied-children-bureau-policy-guide" xr:uid="{35F66237-460E-4220-A7E5-7989479F6863}"/>
    <hyperlink ref="E2764" r:id="rId2747" display="https://acf.gov/sites/default/files/documents/orr/FG6-covid-19-procedures-for-uc-children-care-provider-staff.pdf" xr:uid="{A8BAE505-ABBA-4F15-84D6-792735717DD0}"/>
    <hyperlink ref="E2765" r:id="rId2748" display="https://acf.gov/sites/default/files/documents/orr/FG-9 Interim Guidance Age Outs and Post-18 Planning 2021 02 17.pdf" xr:uid="{1E40CE71-CFD0-40F5-8710-089898C169EE}"/>
    <hyperlink ref="E2766" r:id="rId2749" display="https://acf.gov/sites/default/files/documents/orr/FG-13 EIS Instructions and Standards 2021 04 30.pdf" xr:uid="{07A4BE53-F3B7-4A11-9674-4A18430BCC1D}"/>
    <hyperlink ref="E2767" r:id="rId2750" display="https://acf.gov/sites/default/files/documents/orr/field-guidance-21.pdf" xr:uid="{D459D0FC-7D01-4118-894B-F405537C2274}"/>
    <hyperlink ref="E2768" r:id="rId2751" display="https://acf.gov/sites/default/files/documents/orr/Field-Guidance-No.-22_FINAL.pdf" xr:uid="{97AA3963-1A11-46FB-8A8E-D74C4CC58A37}"/>
    <hyperlink ref="E2774" r:id="rId2752" display="https://acf.gov/sites/default/files/documents/orr/A-17-Interpreter-Agreement-with-ORR_v4_2024-10-04.pdf" xr:uid="{343B9D55-CAAA-4184-B965-74FADEAAE7AF}"/>
    <hyperlink ref="E2775" r:id="rId2753" display="https://acf.gov/sites/default/files/documents/orr/A-16-Volunteer-Agreement-with-ORR_v3_2024-10-04.pdf" xr:uid="{AE4A0B0A-ACBF-4822-B17D-6ED3ACFF1D98}"/>
    <hyperlink ref="E2776" r:id="rId2754" display="https://acf.gov/sites/default/files/documents/orr/DNA_Testing_Instruction_Sheet.pdf" xr:uid="{3DD0EA01-86FD-4E41-B642-4ED81495F4B0}"/>
    <hyperlink ref="E2769" r:id="rId2755" display="https://acf.gov/sites/default/files/documents/orr/Field-Guidance-No.-23_FINAL.pdf" xr:uid="{9AB3E709-E64B-426B-90CB-241D7EF450FD}"/>
    <hyperlink ref="E2770" r:id="rId2756" display="https://acf.gov/sites/default/files/documents/orr/fg-24-sponsor-services-role-guidance-for-selected-grantees.pdf" xr:uid="{0307CB80-9A5E-431C-B64B-A2E86E58DE38}"/>
    <hyperlink ref="E2771" r:id="rId2757" display="https://acf.gov/sites/default/files/documents/orr/fg-25-vor-card-guidance-selected-grantees.pdf" xr:uid="{52C07BA6-10E1-40CB-905D-3B7DB490CA93}"/>
    <hyperlink ref="E2772" r:id="rId2758" display="https://acf.gov/sites/default/files/documents/orr/ORR-FG-26-Revised-Fingerprint-Requirements-for-Sponsors-and-HHM--02-14-2025-.pdf" xr:uid="{6CD2B163-9D7A-444D-A0E4-60696C025E7E}"/>
    <hyperlink ref="E2773" r:id="rId2759" display="https://acf.gov/sites/default/files/documents/orr/FG-27_-_DNA_Testing_Expansion.pdf" xr:uid="{77036BAE-3181-4A5E-B4CF-5CBD8C199347}"/>
    <hyperlink ref="E2777" r:id="rId2760" display="https://acf.gov/orr/programs/uac/legal-resource-guide" xr:uid="{5D0986C6-DE20-4A7A-910F-6F879B6558C0}"/>
    <hyperlink ref="E2778" r:id="rId2761" display="https://acf.gov/orr/policy-guidance/unaccompanied-children-program/verification-release" xr:uid="{A98D2B9E-0CE1-4D72-959A-966CBF660BF7}"/>
    <hyperlink ref="E2779" r:id="rId2762" display="https://acf.gov/orr/programs/uac/family-reunification-packet" xr:uid="{57EFA36A-511E-4BF0-8A23-AE723713A093}"/>
    <hyperlink ref="E2780" r:id="rId2763" display="https://acf.gov/sites/default/files/documents/orr/Sponsor-Handbook-English.pdf" xr:uid="{7A7CB697-4DCD-4AB3-B2E7-F814C1DB0E21}"/>
    <hyperlink ref="E2781" r:id="rId2764" display="https://acf.gov/sites/default/files/documents/orr/Sexual-Abuse-Hotline-Flyer-English.pdf" xr:uid="{45E34994-6B25-4432-B466-AB380123036B}"/>
    <hyperlink ref="E2782" r:id="rId2765" display="https://acf.gov/sites/default/files/documents/orr/FRP-5-Legal-Orientation-Program-for-Custodians-Overview-v15-English.pdf" xr:uid="{C156DAF4-0E13-443D-8112-317A08A5A29C}"/>
    <hyperlink ref="E2783" r:id="rId2766" display="https://acf.gov/sites/default/files/documents/orr/Fraud-Warning-English.pdf" xr:uid="{04CF434B-34BD-43FD-9169-341FE4835980}"/>
    <hyperlink ref="E2784" r:id="rId2767" display="https://acf.gov/sites/default/files/documents/orr/FRP-13-Acceptable-Forms-of-ID-for-Fieldprintv15-English.pdf" xr:uid="{1F2450A4-156B-4B01-B278-6BBCB2F6CD93}"/>
    <hyperlink ref="E2785" r:id="rId2768" display="https://acf.gov/sites/default/files/documents/orr/pamphlet_english.pdf" xr:uid="{38CE503D-BFC7-4BCE-A813-50A47E140649}"/>
    <hyperlink ref="E2786" r:id="rId2769" display="https://acf.gov/sites/default/files/documents/orr/poster_english.pdf" xr:uid="{DDDEB573-8AA1-41A6-9729-CD20DD529889}"/>
    <hyperlink ref="E2787" r:id="rId2770" display="https://acf.gov/sites/default/files/documents/orr/A5-Authorization-for-Release-of-Records.pdf" xr:uid="{5502A2EF-E180-4027-949C-585506CF6978}"/>
    <hyperlink ref="E2788" r:id="rId2771" display="https://acf.gov/sites/default/files/documents/orr/L3-Notice-of-Attorney-Representation.pdf" xr:uid="{27E93A78-F385-463D-83D4-029E3B82F3C8}"/>
    <hyperlink ref="E2789" r:id="rId2772" display="https://acf.gov/sites/default/files/documents/orr/request-for-specific-consent-to-juvenile-court-jurisdiction-form-L-1.pdf" xr:uid="{72120E8F-BC90-453C-B6C0-0F4BECD5D499}"/>
    <hyperlink ref="E2790" r:id="rId2773" display="https://acf.gov/sites/default/files/documents/orr/RDH-1-Request-for-Risk-Determination-Hearing_v1_2024-07-01.pdf" xr:uid="{522702C5-189E-4344-8450-479FE14BA616}"/>
    <hyperlink ref="E2791" r:id="rId2774" display="https://acf.gov/sites/default/files/documents/orr/RDH-2-Risk-Determination-Hearing-Opt-Out_v1_2024-07-01.pdf" xr:uid="{2D44DAC3-E592-46CA-811B-63E20859D790}"/>
    <hyperlink ref="E2792" r:id="rId2775" display="https://acf.gov/sites/default/files/documents/orr/RDH-3-Appointment-of-Representative-for-Risk-Determination-Hearing_v1_2024-07-01.pdf" xr:uid="{E69CF489-2BBC-462B-A583-358A1186C9C1}"/>
    <hyperlink ref="E2793" r:id="rId2776" display="https://acf.gov/sites/default/files/documents/orr/RDH-4-Risk-Determination-Hearing-Transcript-Request_v1_2024-07-01.pdf" xr:uid="{25F70C4D-6964-4FA2-BB44-F279185D9C10}"/>
    <hyperlink ref="E2794" r:id="rId2777" display="https://acf.gov/sites/default/files/documents/orr/RDH-5-Request-for-Appeal-of-Risk-Determination-Hearing_v1_2024-07-01.pdf" xr:uid="{AB582699-0270-4693-AC9B-CCC4CB46951D}"/>
    <hyperlink ref="E2812" r:id="rId2778" xr:uid="{671A7EA9-C206-41D3-A977-EFB11C5E2C97}"/>
    <hyperlink ref="E2813" r:id="rId2779" display="https://acf.gov/orr/policy-guidance/nondiscrimination-notice" xr:uid="{952AA60C-825B-4F55-A47C-54B63DB88E7C}"/>
    <hyperlink ref="E2814" r:id="rId2780" display="https://acf.gov/orr/policy-guidance/employment-rights-and-resources-refugees-and-asylees" xr:uid="{0994BB61-9FC9-42BF-B0B8-3E556B6E9FA4}"/>
    <hyperlink ref="E2763" r:id="rId2781" display="https://acf.gov/sites/default/files/documents/orr/garza_policy_memorandum.pdf" xr:uid="{891E8666-028F-44D1-B04D-6D5A2C605494}"/>
    <hyperlink ref="E2747" r:id="rId2782" display="https://acf.gov/orr/policy-guidance/statement-goals-priorities-standards-and-guidelines" xr:uid="{4C76F3CF-A497-470D-867C-C955326264D0}"/>
    <hyperlink ref="E2815" r:id="rId2783" display="https://acf.gov/orr/policy-guidance/assessment-grid-loan-committee" xr:uid="{2B5B1FB7-1C34-44D4-9602-CA9F10E0DFEF}"/>
    <hyperlink ref="E2816" r:id="rId2784" display="https://acf.gov/orr/policy-guidance/state-letter-12-13-guidance-clarification" xr:uid="{00F9624C-3B4D-4B7E-8935-D84910D54DA4}"/>
    <hyperlink ref="E2825" r:id="rId2785" display="https://acf.gov/sites/default/files/documents/ofvps/Grant Recipient Name Change FAQ-FVPSA_OGM March 2023.pdf" xr:uid="{A0F12532-68D2-4616-BB18-660EF2D3D40E}"/>
    <hyperlink ref="E2826" r:id="rId2786" display="https://acf.gov/sites/default/files/documents/ofvps/MinorRenovationsFVPSAFAQ -April 2023.pdf" xr:uid="{ED466517-026F-440A-B7D9-B92DAFD0BF5E}"/>
    <hyperlink ref="E2827" r:id="rId2787" display="https://acf.gov/fysb/faq/spending-fvpsa-grant-funds-technical-assistance" xr:uid="{389FF7B3-083B-4DBA-B8E0-ABC923E2E6F0}"/>
    <hyperlink ref="E2828" r:id="rId2788" display="https://acf.gov/fysb/faq/food-costs-allowability-faq" xr:uid="{60695145-4433-450A-B461-5C442DE57666}"/>
    <hyperlink ref="E2829" r:id="rId2789" display="https://acf.gov/fysb/faq/fvpsa-state-pass-through-entity-administrative-costs-faq" xr:uid="{90D45705-C519-4034-8879-146EDAF6E933}"/>
    <hyperlink ref="E2830" r:id="rId2790" display="https://acf.gov/fysb/faq/fvpsa-grant-recipient-allocation-employee-costs-faq" xr:uid="{EF867695-908C-4DF7-955B-CCC0812EB911}"/>
    <hyperlink ref="E2831" r:id="rId2791" display="https://acf.gov/fysb/faq/faq-allowable-use-fvpsa-funding-meet-match-requirement-hud-grants" xr:uid="{A511455B-ED15-4E60-AE25-7B46F5554ED0}"/>
    <hyperlink ref="E2832" r:id="rId2792" display="https://acf.gov/fysb/news/faqs-allowable-use-fvpsa-funds-during-covid-19-public-health-emergency" xr:uid="{89A46ACE-DC44-4582-BD86-23399B87675A}"/>
    <hyperlink ref="E2833" r:id="rId2793" display="https://acf.gov/ana/policy-guidance/ana-tribal-consultation-2025" xr:uid="{E9013118-8136-413F-867C-3E8ABF794EB7}"/>
    <hyperlink ref="E2834" r:id="rId2794" display="https://acf.gov/ana/policy-guidance/post-award-manual" xr:uid="{F30EC236-FB88-403D-8136-3D16D47476A8}"/>
    <hyperlink ref="E2867" r:id="rId2795" display="https://acf.gov/ohsepr/training-technical-assistance/repat-essential-function-cap-guide" xr:uid="{57A8CFBE-5116-4C85-95EE-F1EAD47F84E9}"/>
    <hyperlink ref="E2868" r:id="rId2796" display="https://acf.gov/ohsepr/training-technical-assistance/state-emergency-repat-plan-dev-guide" xr:uid="{CF599F59-B660-4DB6-8701-602D0E60BC55}"/>
    <hyperlink ref="E2869" r:id="rId2797" display="https://acf.gov/ohsepr/training-technical-assistance/emergency-repat-state-cap-framework" xr:uid="{BC82C0DE-F064-40AE-ADDF-D78D5F663CB1}"/>
    <hyperlink ref="E2870" r:id="rId2798" display="https://acf.gov/ohsepr/policy-guidance/planning-training-exercises-information-memorandum" xr:uid="{7F804C1A-025B-4C1C-A03E-899D52E6DD13}"/>
    <hyperlink ref="E2871" r:id="rId2799" display="https://acf.gov/ohsepr/faq/repatriation/emergency-repatriation/emergency-repatriation-faqs" xr:uid="{A25E22A5-D2A9-43D8-9689-8441EA6AAA76}"/>
    <hyperlink ref="E2872" r:id="rId2800" display="https://acf.gov/ohsepr/faq/us-repatriation-program-faqs" xr:uid="{E033BF1D-11BD-4E0C-82AD-B2F86A5D109F}"/>
    <hyperlink ref="E2873" r:id="rId2801" display="https://acf.gov/fysb/faq/preventing-teen-pregnancy" xr:uid="{5C13DD40-5AFA-46C5-A200-B9F7D5AADAC4}"/>
    <hyperlink ref="E2874" r:id="rId2802" display="https://acf.gov/fysb/faq/types-app" xr:uid="{AEDE1748-4710-4DB6-A8C8-93A9F285A816}"/>
    <hyperlink ref="E2875" r:id="rId2803" display="https://acf.gov/fysb/faq/how-contact-fysb" xr:uid="{7D9C6027-C2AC-4548-AF1B-019B960A9BA4}"/>
    <hyperlink ref="E2876" r:id="rId2804" display="https://acf.gov/fysb/faq/how-many-us-homeless-youth" xr:uid="{C4D66546-C170-49F7-987C-E1372382B8E3}"/>
    <hyperlink ref="E2877" r:id="rId2805" display="https://acf.gov/fysb/faq/fysb-support" xr:uid="{E9203140-F4FF-407E-8861-4991EDE13E46}"/>
    <hyperlink ref="E2878" r:id="rId2806" display="https://acf.gov/fysb/faq/eligible-fysb-grant" xr:uid="{86E6EFF6-D98F-41A5-9D1C-DC27A6055656}"/>
    <hyperlink ref="E2879" r:id="rId2807" display="https://acf.gov/fysb/faq/list-all-current-fysb-programs" xr:uid="{9B4549E6-8A6F-4CD1-9FC0-97B48DAB27FF}"/>
    <hyperlink ref="E2880" r:id="rId2808" display="https://acf.gov/fysb/faq/homeless-fysb-help" xr:uid="{BAB801A1-AB89-4D1B-B7CA-73BA03D4988D}"/>
    <hyperlink ref="E2881" r:id="rId2809" display="https://acf.gov/fysb/faq/order-fysb-resources" xr:uid="{AB33E411-6668-4F1F-8EBD-9D5B51A0F050}"/>
    <hyperlink ref="E2882" r:id="rId2810" display="https://acf.gov/fysb/faq/how-can-i-learn-about-fysb-funding-opportunities" xr:uid="{B9D2A64A-2EA5-4F78-972F-1D68B8A6442D}"/>
    <hyperlink ref="E2883" r:id="rId2811" display="https://acf.gov/fysb/faq/how-apply-grant" xr:uid="{B04CEAEC-9648-447A-B2DD-03E9E54A9A5A}"/>
    <hyperlink ref="E2884" r:id="rId2812" display="https://acf.gov/fysb/faq/what-fysb" xr:uid="{2D9BFC5F-195D-4FCB-83E2-CBBE7053AEFB}"/>
    <hyperlink ref="M2896" r:id="rId2813" xr:uid="{68BC960D-B132-429C-9A15-7383F650CB66}"/>
    <hyperlink ref="M2899" r:id="rId2814" xr:uid="{69248D2F-7398-4487-96C2-1B9CB360E515}"/>
    <hyperlink ref="M2923" r:id="rId2815" xr:uid="{AE5C2597-8257-4289-A910-375BE021F094}"/>
    <hyperlink ref="M2924" r:id="rId2816" xr:uid="{32A75205-DD56-48F7-8A85-7E5FACA71FC2}"/>
    <hyperlink ref="M2941" r:id="rId2817" xr:uid="{4CFE8FFB-E6EC-4F9D-922F-2C8940097976}"/>
    <hyperlink ref="M2954" r:id="rId2818" xr:uid="{38AA996E-A92D-493B-836A-A6CFA77F4F89}"/>
    <hyperlink ref="M2955" r:id="rId2819" xr:uid="{4BBF883D-9166-4D86-8ED7-C7654929ECF0}"/>
    <hyperlink ref="M2956" r:id="rId2820" xr:uid="{C344EBD9-0CE3-4FA5-A16B-3D707F60124C}"/>
    <hyperlink ref="M2975" r:id="rId2821" xr:uid="{10BE4128-BDCE-4220-89FB-6CDA95B3EAD5}"/>
    <hyperlink ref="M2984" r:id="rId2822" xr:uid="{081547B5-64D1-4D10-A190-B93436D10E35}"/>
    <hyperlink ref="M2985" r:id="rId2823" xr:uid="{380BE75D-A67E-4570-BEB0-FFF4E7C5C3B0}"/>
    <hyperlink ref="M2986" r:id="rId2824" xr:uid="{5A76F125-7205-422F-BB43-3EE7B84FE4EC}"/>
    <hyperlink ref="M2992" r:id="rId2825" xr:uid="{0F6671BB-716E-4AAD-A3E6-2D07007B5CC6}"/>
    <hyperlink ref="M2995" r:id="rId2826" xr:uid="{61249E60-DD60-46C7-8E94-5F8BC84468E2}"/>
    <hyperlink ref="M3003" r:id="rId2827" xr:uid="{21048938-F10A-448E-AE80-0255A9A42D14}"/>
    <hyperlink ref="M3006" r:id="rId2828" xr:uid="{8BB29A8D-818D-40A7-BBB9-2789E200F1CB}"/>
    <hyperlink ref="M3011" r:id="rId2829" xr:uid="{607E816C-52CF-4E6E-A73C-94F4F90A8142}"/>
    <hyperlink ref="M3013" r:id="rId2830" xr:uid="{EF3EFC4E-1EDA-44C2-A6F2-572F20028D16}"/>
    <hyperlink ref="M3034" r:id="rId2831" xr:uid="{44EAB5A0-D4F5-4258-B902-ECBF225C00F0}"/>
    <hyperlink ref="M3035" r:id="rId2832" xr:uid="{199448ED-40A5-4196-A0E4-6B35D6B8B4F9}"/>
    <hyperlink ref="M3052" r:id="rId2833" xr:uid="{9F64FBBE-2FF8-4F4C-934F-C35B522A62FF}"/>
    <hyperlink ref="M3057" r:id="rId2834" xr:uid="{5DE6EF87-4F9E-4FCB-8FED-966E8EC6A738}"/>
    <hyperlink ref="M3063" r:id="rId2835" xr:uid="{3532EF2B-AB30-4032-9BCF-307ACC3B489E}"/>
    <hyperlink ref="M3065" r:id="rId2836" xr:uid="{5EAAD63C-5805-46AD-A893-60825BBF7FB2}"/>
    <hyperlink ref="M3073" r:id="rId2837" xr:uid="{71C68D4B-D41B-443B-B327-DF9AC55F704F}"/>
    <hyperlink ref="M3081" r:id="rId2838" xr:uid="{9A46E73B-EECA-4546-A5AD-F0DD719419FF}"/>
    <hyperlink ref="M3091" r:id="rId2839" xr:uid="{B192E349-797C-45BD-B595-B7978F472B04}"/>
    <hyperlink ref="M3101" r:id="rId2840" xr:uid="{B1CB7688-CFDA-446D-AF62-6D25DEE54ACB}"/>
    <hyperlink ref="M3116" r:id="rId2841" xr:uid="{7963CD14-29B0-48ED-9223-842B61D79376}"/>
    <hyperlink ref="M3189" r:id="rId2842" xr:uid="{1025E8AF-66D3-4991-BAEC-B823B647BCCA}"/>
    <hyperlink ref="M3014" r:id="rId2843" xr:uid="{A56886E4-2797-43EB-A793-7674A29EE2D5}"/>
    <hyperlink ref="M3040" r:id="rId2844" xr:uid="{6AAECDAB-28C3-4216-A998-FBEB86430FBE}"/>
    <hyperlink ref="M3195" r:id="rId2845" xr:uid="{DEF18DED-E767-4F1C-A077-C3AC50F042D3}"/>
    <hyperlink ref="M3193" r:id="rId2846" xr:uid="{B39453A6-9664-4A30-8882-A83EA121F996}"/>
    <hyperlink ref="M2904" r:id="rId2847" xr:uid="{99090936-1252-48C0-BDD8-72E0B15945FE}"/>
    <hyperlink ref="M3053" r:id="rId2848" xr:uid="{279F3C63-BE95-4C7E-AD78-72A087C1FC6E}"/>
    <hyperlink ref="M3059" r:id="rId2849" xr:uid="{BBBEF348-7FAC-48EB-A152-D32F31CA951D}"/>
    <hyperlink ref="M3062" r:id="rId2850" xr:uid="{4B14EFB5-0E71-468F-94D8-FEF97B7D1CB4}"/>
    <hyperlink ref="M3064" r:id="rId2851" xr:uid="{EDFEA78C-4EA6-4298-8749-FC4705B5C524}"/>
    <hyperlink ref="M3046" r:id="rId2852" xr:uid="{01849DC2-3D09-45AD-BA1C-43C2A9CEFE57}"/>
    <hyperlink ref="M3042" r:id="rId2853" xr:uid="{30B610F6-E90F-4C45-9461-EC22217592C0}"/>
    <hyperlink ref="M3025" r:id="rId2854" xr:uid="{C9125FE7-B012-4480-B794-40BE40301D6E}"/>
    <hyperlink ref="M3024" r:id="rId2855" xr:uid="{22A8D5BC-A7A3-4E96-97E5-B7D57C7E5819}"/>
    <hyperlink ref="M3023" r:id="rId2856" xr:uid="{419FADAC-A88C-4001-915E-DA1975E89918}"/>
    <hyperlink ref="M3005" r:id="rId2857" xr:uid="{FD0778D0-D06A-4A02-AA1F-AE2E60884C4C}"/>
    <hyperlink ref="M3004" r:id="rId2858" xr:uid="{4CDAF3A3-F3C6-4C04-BFFC-4CAFFF4C3643}"/>
    <hyperlink ref="M3000" r:id="rId2859" xr:uid="{7998F16C-12C1-4471-8F22-1184A9530744}"/>
    <hyperlink ref="M2996" r:id="rId2860" xr:uid="{C0CCB5FF-04BB-4837-AD7F-BAFC824325F1}"/>
    <hyperlink ref="M2990" r:id="rId2861" xr:uid="{EA8F5D82-517F-48D8-979F-81F7EED3A17F}"/>
    <hyperlink ref="M2989" r:id="rId2862" xr:uid="{1DC037CA-E551-4709-A0E7-C247B967A0F7}"/>
    <hyperlink ref="M2983" r:id="rId2863" xr:uid="{A249E521-74D4-4950-A6E3-18A1EF71944E}"/>
    <hyperlink ref="M2988" r:id="rId2864" xr:uid="{1D55012E-C4EA-4115-83FF-18FC6B7BE340}"/>
    <hyperlink ref="M2987" r:id="rId2865" xr:uid="{586CA964-3184-4937-8897-265D77790FC0}"/>
    <hyperlink ref="M2981" r:id="rId2866" xr:uid="{996B9E98-B588-4A67-88B0-7F3C5ADD8A9F}"/>
    <hyperlink ref="M2974" r:id="rId2867" xr:uid="{037C217B-5C22-479F-94CB-3AA323889147}"/>
    <hyperlink ref="M2970" r:id="rId2868" xr:uid="{37789376-6D3A-457A-823C-666998FED9AA}"/>
    <hyperlink ref="M2966" r:id="rId2869" xr:uid="{8F61A9D8-F8E6-4E90-8EDF-17E145016B35}"/>
    <hyperlink ref="M2961" r:id="rId2870" xr:uid="{9CB7E7FC-4BF8-4DB8-9E90-950B9B7861E3}"/>
    <hyperlink ref="M2960" r:id="rId2871" xr:uid="{613DD848-BC6D-437A-89C0-D8D546192EC2}"/>
    <hyperlink ref="M2959" r:id="rId2872" xr:uid="{93C61889-7765-42B0-8792-56EAB9E3BBB9}"/>
    <hyperlink ref="M2953" r:id="rId2873" xr:uid="{C3EBDA77-CA71-4D45-BAF7-F1783A4D478E}"/>
    <hyperlink ref="M2950" r:id="rId2874" xr:uid="{D1F62A7A-53C2-4FB3-8FD7-0B1F4A6611CA}"/>
    <hyperlink ref="M2948" r:id="rId2875" xr:uid="{FD7E6310-1813-45C8-880E-B939D407EDCB}"/>
    <hyperlink ref="M2945" r:id="rId2876" xr:uid="{4E9E840F-D0DA-480A-A7D4-CBA74E9CD5C7}"/>
    <hyperlink ref="M2939" r:id="rId2877" xr:uid="{61401202-438B-4D90-BC70-486BE0F46B95}"/>
    <hyperlink ref="M2901" r:id="rId2878" xr:uid="{5E30F902-F8FE-4914-B8C5-A840D452E4CC}"/>
    <hyperlink ref="M2902" r:id="rId2879" xr:uid="{6CABB2E3-7DE7-4890-89A6-F412C7D29AAC}"/>
    <hyperlink ref="M2905" r:id="rId2880" xr:uid="{0A502ECA-4267-4AFA-8178-108F36AC8F58}"/>
    <hyperlink ref="M2907" r:id="rId2881" xr:uid="{F2181B76-A223-408D-A34C-9A0217D22067}"/>
    <hyperlink ref="M2909" r:id="rId2882" xr:uid="{A8A34285-2175-4A3C-80AC-905089CF7C6B}"/>
    <hyperlink ref="M2910" r:id="rId2883" xr:uid="{8EA3629E-9451-4019-9F81-0FC088D9EB7B}"/>
    <hyperlink ref="M2911" r:id="rId2884" xr:uid="{E0539BC2-B092-42E4-9580-88425518AC16}"/>
    <hyperlink ref="M2914" r:id="rId2885" xr:uid="{3B41451E-D507-470F-AEEC-4BC66E0AC9B2}"/>
    <hyperlink ref="M2919" r:id="rId2886" xr:uid="{42F9482E-BA64-4DBB-AC1E-BE8368183D8D}"/>
    <hyperlink ref="M2921" r:id="rId2887" xr:uid="{DCC0B970-6C6F-4DF0-95D4-B4F55A77D9A2}"/>
    <hyperlink ref="M2922" r:id="rId2888" xr:uid="{4F95B04F-33B0-4872-9690-06C671752F11}"/>
    <hyperlink ref="M2925" r:id="rId2889" xr:uid="{D0A203D2-A2F0-44A7-8C16-00AD340E5A0C}"/>
    <hyperlink ref="M2930" r:id="rId2890" xr:uid="{1254DD40-ED08-4C69-BD80-52C3A8A78DFD}"/>
    <hyperlink ref="M2932" r:id="rId2891" xr:uid="{784D2C22-37FE-4F61-932C-336DA315C738}"/>
    <hyperlink ref="M2936" r:id="rId2892" xr:uid="{56185D7B-5400-425F-B745-8E10FB1EDBF0}"/>
    <hyperlink ref="M2937" r:id="rId2893" xr:uid="{038E1249-4F5C-43BC-B4FB-943B18914FDC}"/>
    <hyperlink ref="M2938" r:id="rId2894" xr:uid="{56696440-4279-4ADC-9BA7-DD4757C41918}"/>
    <hyperlink ref="E3243" r:id="rId2895" xr:uid="{AC63A13B-A97C-485B-AFE0-09EB0D880E04}"/>
    <hyperlink ref="E3244" r:id="rId2896" xr:uid="{D0ED5787-2006-47A4-A274-471AC092B6BB}"/>
    <hyperlink ref="E3245" r:id="rId2897" xr:uid="{1DEDC1D7-DF87-4A43-ABF0-3C23EE31A848}"/>
    <hyperlink ref="E3246" r:id="rId2898" xr:uid="{14A719D1-4DA7-461A-A5CF-8F65416C2A50}"/>
    <hyperlink ref="E3247" r:id="rId2899" xr:uid="{24EA58B3-D6C8-4F5E-B300-955C05DA6C77}"/>
    <hyperlink ref="E3249" r:id="rId2900" xr:uid="{4515059B-B4D9-4B2C-948E-8C27ADA7C668}"/>
    <hyperlink ref="E3250" r:id="rId2901" xr:uid="{9CF3ACF7-E49E-400A-9EDE-32B7671226DE}"/>
    <hyperlink ref="E3251" r:id="rId2902" xr:uid="{26525D20-812C-40A0-953D-271682AAFD40}"/>
    <hyperlink ref="E3252" r:id="rId2903" xr:uid="{5187C755-3AEB-4EC9-9D67-5264AE5D166D}"/>
    <hyperlink ref="E3253" r:id="rId2904" xr:uid="{6A75C6B5-B54D-4327-B6D2-F52F6A47CB47}"/>
    <hyperlink ref="E3254" r:id="rId2905" xr:uid="{AE418D2E-2F9C-4DCE-994D-C368787BB863}"/>
    <hyperlink ref="E3255" r:id="rId2906" xr:uid="{99F5C2A0-D4A4-42C8-BA30-95398346840D}"/>
    <hyperlink ref="E3256" r:id="rId2907" xr:uid="{E924E15C-DD75-4DC4-8877-BEC13B6FE1C8}"/>
    <hyperlink ref="E3257" r:id="rId2908" xr:uid="{563E2C72-2A13-4DD4-AEDA-31B48DC45F88}"/>
    <hyperlink ref="E3258" r:id="rId2909" xr:uid="{490FCC89-3335-4B65-B3A0-9BA5DC53D697}"/>
    <hyperlink ref="E3259" r:id="rId2910" xr:uid="{CB1948BC-1E82-4245-90BF-EB37EDD44CC8}"/>
    <hyperlink ref="E3260" r:id="rId2911" xr:uid="{BD68D603-FFEA-4DB5-93B1-6DDBF2871600}"/>
    <hyperlink ref="E3261" r:id="rId2912" xr:uid="{D5A6C571-3605-44D7-9E88-F495284FDA2F}"/>
    <hyperlink ref="E3262" r:id="rId2913" xr:uid="{2702D57C-4E36-4C80-B93F-F854FB082DD1}"/>
    <hyperlink ref="E3263" r:id="rId2914" xr:uid="{F0BDAA66-1535-4840-A5DB-E15A2DF1EB23}"/>
    <hyperlink ref="E3264" r:id="rId2915" xr:uid="{A1F910CA-F21C-43CE-B15E-CE61B2892195}"/>
    <hyperlink ref="E3265" r:id="rId2916" xr:uid="{B6000700-8159-4C65-9F55-C33540DA37F5}"/>
    <hyperlink ref="E3266" r:id="rId2917" xr:uid="{9E25759E-0F94-44C3-9A69-CEC97867FAA5}"/>
    <hyperlink ref="E3267" r:id="rId2918" xr:uid="{625D2ABD-335D-4A7B-AD81-05B074D97414}"/>
    <hyperlink ref="E3268" r:id="rId2919" xr:uid="{4B953C97-DC37-43E1-8E6D-132CB1AC10C2}"/>
    <hyperlink ref="E3269" r:id="rId2920" xr:uid="{E9044ECF-AF34-4B27-8971-FD1E0084EA68}"/>
    <hyperlink ref="E3270" r:id="rId2921" xr:uid="{94E07002-83A3-432C-BA2E-0F03C4B87DD5}"/>
    <hyperlink ref="E3271" r:id="rId2922" xr:uid="{D23AEEAA-2D9B-4928-9A69-57F60EEF41B3}"/>
    <hyperlink ref="E3272" r:id="rId2923" xr:uid="{D7220FFD-C21B-4243-8581-F2219130C74D}"/>
    <hyperlink ref="E3273" r:id="rId2924" xr:uid="{7CDD937B-400D-461F-BEE7-946C549F58E7}"/>
    <hyperlink ref="E3274" r:id="rId2925" xr:uid="{A553B898-0173-4159-A098-F6DC1E71B6DA}"/>
    <hyperlink ref="E3275" r:id="rId2926" xr:uid="{CB7C97BB-E912-4EC6-A3F3-E635D0063EB5}"/>
    <hyperlink ref="E3276" r:id="rId2927" xr:uid="{0EF649BC-7272-4532-B1F7-A10874B9B2F3}"/>
    <hyperlink ref="E3277" r:id="rId2928" xr:uid="{67447FF0-12A8-4354-83D8-97536D68B0DB}"/>
    <hyperlink ref="E3278" r:id="rId2929" xr:uid="{D71F4DF4-DAEA-45BF-B86A-9ADAEC95AAE8}"/>
    <hyperlink ref="E3279" r:id="rId2930" xr:uid="{CD1E6959-8883-400B-8943-B9E30D8E572B}"/>
    <hyperlink ref="E3280" r:id="rId2931" xr:uid="{29777DBF-778F-4923-8FE8-44C6E114A9CF}"/>
    <hyperlink ref="M3281" r:id="rId2932" xr:uid="{787CB8E9-9E42-46DC-B097-606279EB57AD}"/>
    <hyperlink ref="M3282" r:id="rId2933" xr:uid="{0CF9FA7C-31F2-43AB-9F77-05077B96AD51}"/>
    <hyperlink ref="M3283" r:id="rId2934" xr:uid="{1FC3C79E-3B0C-4CCE-ACCA-62BA67CC62B5}"/>
    <hyperlink ref="M3284" r:id="rId2935" xr:uid="{4B8E2F83-D72E-4F06-8ABC-A2FF90F7415D}"/>
    <hyperlink ref="M3285" r:id="rId2936" xr:uid="{BF5D3AD9-1F3D-49B5-B744-B4944CBF93D8}"/>
    <hyperlink ref="M3286" r:id="rId2937" xr:uid="{FCF3998D-3F67-4FA1-BA20-6336C2F0411C}"/>
    <hyperlink ref="M3287" r:id="rId2938" xr:uid="{EF470F39-5104-474A-BF11-A37429DC84C0}"/>
    <hyperlink ref="M3288" r:id="rId2939" xr:uid="{CD23BB38-2AE8-4160-9935-A7209BADCAA1}"/>
    <hyperlink ref="M3289" r:id="rId2940" xr:uid="{DFB7FEAA-74A4-493B-8FE0-92055BB2BA4C}"/>
    <hyperlink ref="M3290" r:id="rId2941" xr:uid="{74386300-8D4F-401C-80F2-8F0E5CFA7201}"/>
    <hyperlink ref="M3291" r:id="rId2942" xr:uid="{8F7B44E5-E1D2-4BB5-A49C-426E35ACEC85}"/>
    <hyperlink ref="M3292" r:id="rId2943" xr:uid="{C071AAA4-3022-4D9D-B3A9-EB71BFD91844}"/>
    <hyperlink ref="M3293" r:id="rId2944" xr:uid="{869B8825-BFE1-4E9C-870E-793531686CA5}"/>
    <hyperlink ref="M3294" r:id="rId2945" xr:uid="{EE9BA187-9C4C-4BDE-AF38-719860AD21FC}"/>
    <hyperlink ref="M3295" r:id="rId2946" xr:uid="{F41F30CF-9D82-40AB-92F4-B0359B7355C0}"/>
    <hyperlink ref="M3296" r:id="rId2947" xr:uid="{8AC3A421-CECA-4D6B-8657-2AAD00EB4942}"/>
    <hyperlink ref="M3297" r:id="rId2948" xr:uid="{7BBDD6F5-9E8D-4190-BF43-CFF83BA3D103}"/>
    <hyperlink ref="M3298" r:id="rId2949" xr:uid="{0B151D91-B718-46C7-9A28-5AD492C5AA05}"/>
    <hyperlink ref="M3299" r:id="rId2950" xr:uid="{7828EB52-AEF5-43B8-82F8-FCE1F184AF0E}"/>
    <hyperlink ref="M3300" r:id="rId2951" xr:uid="{B4AB5BFE-791B-4B64-831D-91B1E4DB42E7}"/>
    <hyperlink ref="M3301" r:id="rId2952" xr:uid="{7CBD2C53-9ACD-4359-85C2-BB0892C984DC}"/>
    <hyperlink ref="M3302" r:id="rId2953" xr:uid="{048B71F4-4A14-40DB-B0AE-CAF63DF0C07F}"/>
    <hyperlink ref="M3303" r:id="rId2954" xr:uid="{534728B6-5758-44B5-9B81-3F47A1424261}"/>
    <hyperlink ref="M3304" r:id="rId2955" xr:uid="{63800B2B-2874-4F95-AC7E-4C9B3E02ADD8}"/>
    <hyperlink ref="M3305" r:id="rId2956" xr:uid="{AC2F9818-6734-4A85-B177-3D135A09901C}"/>
    <hyperlink ref="M3306" r:id="rId2957" xr:uid="{E1ED6DB9-E974-4150-B069-544E1AD6C426}"/>
    <hyperlink ref="M3307" r:id="rId2958" xr:uid="{A7D169E4-1737-4AF8-B67F-AEDFFFAE39A0}"/>
    <hyperlink ref="M3308" r:id="rId2959" xr:uid="{14F2CBD0-A6CD-4A1E-A4FE-D21F0A121A8C}"/>
    <hyperlink ref="M3309" r:id="rId2960" xr:uid="{B4884184-9836-435E-B038-BF2EF545F890}"/>
    <hyperlink ref="M3310" r:id="rId2961" xr:uid="{326A4F6C-F81A-427B-B2A6-4DC4FFCFC758}"/>
    <hyperlink ref="M3311" r:id="rId2962" xr:uid="{05B7A575-3B82-4087-80D8-10517D3B3B35}"/>
    <hyperlink ref="M3312" r:id="rId2963" xr:uid="{C9C86322-4F00-4251-BC1A-0C9C2C6C7E9D}"/>
    <hyperlink ref="M3313" r:id="rId2964" xr:uid="{878BF1CB-AB1A-4E51-B3CF-020580193E25}"/>
    <hyperlink ref="M3314" r:id="rId2965" xr:uid="{723E3D6F-2C73-4BEC-A067-2757E2D0EF51}"/>
    <hyperlink ref="M3315" r:id="rId2966" xr:uid="{F8E74621-DBA3-4895-B232-A870EA6D646A}"/>
    <hyperlink ref="M3316" r:id="rId2967" xr:uid="{6DB91DD1-B5FB-4FD3-A1EA-3C88FBD60693}"/>
    <hyperlink ref="M3317" r:id="rId2968" xr:uid="{D9C56F2F-968C-4E26-B50D-2D48273C8433}"/>
    <hyperlink ref="M3318" r:id="rId2969" xr:uid="{1E1D8833-6488-4F7F-8315-A2CFBA0B34D0}"/>
    <hyperlink ref="M3319" r:id="rId2970" xr:uid="{A800CC52-26EC-47D2-8F59-9576CFCFCC53}"/>
    <hyperlink ref="M3320" r:id="rId2971" xr:uid="{05088033-D576-4899-A66D-2AE62A72496D}"/>
    <hyperlink ref="M3321" r:id="rId2972" xr:uid="{E6782B7B-6565-4AFC-B1A3-E030289291F2}"/>
    <hyperlink ref="M3322" r:id="rId2973" xr:uid="{C86A538C-F0F5-46D1-BB4B-12CCF09FC02A}"/>
    <hyperlink ref="M3323" r:id="rId2974" xr:uid="{C2F06BF1-D89B-4AC9-9EA2-CC0D8E351465}"/>
    <hyperlink ref="M3324" r:id="rId2975" xr:uid="{961FCC54-956F-429A-87F2-D4103F2B0226}"/>
    <hyperlink ref="M3325" r:id="rId2976" xr:uid="{8BFF2C8B-8A7E-4D5D-835E-D2DDFC250155}"/>
    <hyperlink ref="M3326" r:id="rId2977" xr:uid="{DF8D5F88-31FD-40A6-B78F-139935B15648}"/>
    <hyperlink ref="M3327" r:id="rId2978" xr:uid="{D321727A-EA33-494D-BEC2-9820DCFF5F30}"/>
    <hyperlink ref="M3328" r:id="rId2979" xr:uid="{CF6358D7-9947-4799-B4DD-FD22EE358227}"/>
    <hyperlink ref="M3329" r:id="rId2980" xr:uid="{A36CC7C2-2D05-4677-818C-06B39E86B836}"/>
    <hyperlink ref="M3330" r:id="rId2981" xr:uid="{174F2A4A-926B-4C25-9690-009E0C917177}"/>
    <hyperlink ref="M3331" r:id="rId2982" xr:uid="{60693E01-389D-44B5-8D6A-32F83DCB24A6}"/>
    <hyperlink ref="M3332" r:id="rId2983" xr:uid="{9C1B9C1F-6573-4524-8563-CF5FA7BC3673}"/>
    <hyperlink ref="M3333" r:id="rId2984" xr:uid="{09E424D4-28E5-401E-81D7-62FA9BB75BBC}"/>
    <hyperlink ref="M3335" r:id="rId2985" xr:uid="{0A5DA12D-35B2-4437-ADF3-4F91E21FD3F4}"/>
    <hyperlink ref="M3336" r:id="rId2986" xr:uid="{290B9783-A695-4AF6-ADA8-FAA370A83E5C}"/>
    <hyperlink ref="M3337" r:id="rId2987" xr:uid="{F1288D1A-CCD3-4198-A413-6C7DEBACCFE1}"/>
    <hyperlink ref="M3338" r:id="rId2988" xr:uid="{F02CB64E-C448-4DF9-AE42-6858BB4BFA22}"/>
    <hyperlink ref="M3339" r:id="rId2989" xr:uid="{BAC63308-7B8F-4EB1-A683-0013D1418443}"/>
    <hyperlink ref="M3340" r:id="rId2990" xr:uid="{A50B75E2-1EF7-45DD-8D47-FBF51E83BA02}"/>
    <hyperlink ref="M3341" r:id="rId2991" xr:uid="{017FC92B-13F1-44A8-8981-F3488929AA8F}"/>
    <hyperlink ref="M3342" r:id="rId2992" xr:uid="{D5C77827-AD4D-4E18-842D-20A3F9984F4C}"/>
    <hyperlink ref="M3343" r:id="rId2993" xr:uid="{AC450DF5-2ACD-452A-A7C6-071E05F1DF76}"/>
    <hyperlink ref="E3344" r:id="rId2994" display="https://headstart.gov/about-us/article/head-start-faqs" xr:uid="{2954EA16-79CE-4344-AEBE-74E3F1349638}"/>
    <hyperlink ref="E3328" r:id="rId2995" display="https://headstart.gov/ersea/article/snap-public-assistance-head-start-eligibility-faqs" xr:uid="{59538B92-E9FA-4BFF-AC89-B19DD73D96CE}"/>
    <hyperlink ref="E3345" r:id="rId2996" display="https://headstart.gov/how-apply" xr:uid="{A64B5B50-929B-4775-99B3-3ED36CA23AA8}"/>
    <hyperlink ref="E3348" r:id="rId2997" display="https://headstart.gov/program-data/article/program-information-report-pir-faqs" xr:uid="{CF6AC924-C29F-46B9-B60C-A0B331D0D59D}"/>
    <hyperlink ref="E3349" r:id="rId2998" display="https://headstart.gov/physical-health/article/protecting-children-lead-paint" xr:uid="{8D3F09C4-4CF3-4D51-81DC-DA53FC6F312D}"/>
    <hyperlink ref="E3350" r:id="rId2999" display="https://headstart.gov/ersea/article/identifying-barriers-enrollment-transportation" xr:uid="{FBD229D1-8F98-499D-9481-BA05A25E48D7}"/>
    <hyperlink ref="E3351" r:id="rId3000" display="https://headstart.gov/ersea/article/making-enrollment-engagement-accessible-families" xr:uid="{EF38B4AB-722F-4510-BA2C-0889150FBFE0}"/>
    <hyperlink ref="E3352" r:id="rId3001" display="https://headstart.gov/mental-health/article/understanding-mental-health-consultation-head-start-programs" xr:uid="{07CE0423-4005-451B-9C1C-BA8A02F4E179}"/>
    <hyperlink ref="E3353" r:id="rId3002" display="https://headstart.gov/physical-health/article/steps-take-if-there-lead-your-drinking-water" xr:uid="{19153CA7-953D-49F8-BBB0-E7C7126EABF3}"/>
    <hyperlink ref="E3354" r:id="rId3003" display="https://headstart.gov/policy/article/detailed-summary-updates-performance-standards" xr:uid="{B8F55B39-BC8F-4385-B787-1E842A0BDBA3}"/>
    <hyperlink ref="E3355" r:id="rId3004" display="https://headstart.gov/publication/timeline-compliance-updated-performance-standard-requirements" xr:uid="{8434682F-7342-4157-BA44-CE1CA7B47E00}"/>
    <hyperlink ref="E3356" r:id="rId3005" display="https://headstart.gov/ersea/article/family-income-guidelines-military-income" xr:uid="{49FB2A7E-B2A7-414C-9806-A28CFD50B645}"/>
    <hyperlink ref="E3357" r:id="rId3006" display="https://headstart.gov/ersea/article/poverty-guidelines-determining-eligibility-participation-head-start-programs" xr:uid="{9593F232-E1F4-4AE4-AFB4-73658E0EFC8B}"/>
    <hyperlink ref="E3358" r:id="rId3007" display="https://headstart.gov/publication/head-start-eligibility-verification-form" xr:uid="{7544A03F-DB02-4179-970C-DD368E8E741C}"/>
    <hyperlink ref="E3359" r:id="rId3008" display="https://headstart.gov/oral-health/brush-oral-health/identifying-oral-health-signs-child-maltreatment" xr:uid="{6C7D5FF1-7340-46AA-A1C5-83C359958A50}"/>
    <hyperlink ref="E3360" r:id="rId3009" display="https://headstart.gov/publication/domestic-violence-child-abuse-reporting" xr:uid="{F791F95F-ADD4-4EB7-89F4-D1657911D61C}"/>
    <hyperlink ref="E3361" r:id="rId3010" display="https://headstart.gov/publication/engaging-families-when-there-child-welfare-involvement" xr:uid="{FDA82F77-1003-4526-A9D2-96CB6768B0FD}"/>
    <hyperlink ref="E3362" r:id="rId3011" display="https://headstart.gov/publication/strategies-partnering-child-welfare-agencies" xr:uid="{E4A65258-1ECC-4243-B2C1-32966248E605}"/>
    <hyperlink ref="E3363" r:id="rId3012" display="https://headstart.gov/publication/partnering-child-welfare-agencies-overview" xr:uid="{76FC1F6B-0724-43DA-A87D-8AC418ACABB7}"/>
    <hyperlink ref="E3364" r:id="rId3013" display="https://headstart.gov/ersea/article/migrant-seasonal-head-start-eligibility-duration-infants-toddlers" xr:uid="{C87478F1-9BF5-4AF3-8A7A-F168F39B3370}"/>
    <hyperlink ref="E3365" r:id="rId3014" display="https://headstart.gov/ersea/article/letter-director-mshs-leaders" xr:uid="{944A993E-542F-4726-91C8-68EC86A8629C}"/>
    <hyperlink ref="E3366" r:id="rId3015" display="https://headstart.gov/ersea/article/letter-director-changes-eligibility-criteria-regions-xi-xii" xr:uid="{AFC6CB94-E2D0-47FD-BD6E-F510481C5B03}"/>
    <hyperlink ref="E3368" r:id="rId3016" display="https://headstart.gov/publication/ersea-assessment-tool" xr:uid="{852E1236-3714-4C1A-B52E-0CC0038BDB85}"/>
    <hyperlink ref="E3369" r:id="rId3017" display="https://headstart.gov/publication/extending-aligning-redetermination-periods" xr:uid="{352BFABB-CE6B-4724-8169-331C4FC9055A}"/>
    <hyperlink ref="E3370" r:id="rId3018" display="https://headstart.gov/ersea/article/frequently-asked-questions-related-poverty-guidelines-poverty" xr:uid="{33BD6155-BBF5-40E1-B308-6649412F8AE4}"/>
    <hyperlink ref="E3371" r:id="rId3019" display="https://headstart.gov/sites/default/files/pdf/hs-program-governance-reference-book.pdf" xr:uid="{DC52F7E2-B18F-4E84-AC67-294DD8573399}"/>
    <hyperlink ref="E3372" r:id="rId3020" display="https://headstart.gov/organizational-leadership/article/governance-leadership-oversight-capacity-screener-certification" xr:uid="{013CFCB2-5CA3-4733-B9C2-B846FEBD9D0E}"/>
    <hyperlink ref="E3373" r:id="rId3021" display="https://headstart.gov/children-disabilities/article/program-considerations-prior-submitting-disability-waiver-request" xr:uid="{86DB12A6-14E4-4D7E-A562-7CACE08A2B12}"/>
    <hyperlink ref="E3374" r:id="rId3022" tooltip="Open the PDF file" display="https://headstart.gov/sites/default/files/pdf/elof-ohs-framework.pdf" xr:uid="{CAD49AF3-1B42-47FC-80F9-5B74EEB8D4C9}"/>
    <hyperlink ref="E3375" r:id="rId3023" tooltip="Open the PDF file" display="https://headstart.gov/sites/default/files/pdf/pfce-framework.pdf" xr:uid="{9227565F-91FE-43F0-8D4E-488C61EB9D76}"/>
    <hyperlink ref="E3334" r:id="rId3024" display="https://headstart.gov/designation-renewal-system/article/questions-responses-regarding-designation-renewal-system-changes" xr:uid="{986509D0-6EDF-48A5-9B15-651913714EDB}"/>
    <hyperlink ref="E3376" r:id="rId3025" display="https://headstart.gov/publication/improving-teacher-child-interactions-using-class-head-start-preschool-programs" xr:uid="{47541DF5-571A-4F88-A6DC-892E73F1D16F}"/>
    <hyperlink ref="E3377" r:id="rId3026" display="https://headstart.gov/designation-renewal-system/article/use-classroom-assessment-scoring-system-class-head-start-programs" xr:uid="{E89B8D63-9863-49D0-9D91-B12DA5795EAE}"/>
    <hyperlink ref="E3378" r:id="rId3027" display="https://headstart.gov/publication/class-brief-understanding-using-class-program-improvement" xr:uid="{5271A671-723C-4092-B1D4-B6A4FA99B787}"/>
    <hyperlink ref="E3346" r:id="rId3028" display="https://headstart.gov/federal-monitoring/article/fiscal-year-fy-2026-head-start-monitoring-protocols" xr:uid="{D187380C-A209-4CA2-9275-A01DA9467A77}"/>
    <hyperlink ref="E3379" r:id="rId3029" display="https://headstart.gov/local-early-childhood-partnerships/article/coordinated-enrollment-across-early-care-education-settings" xr:uid="{5D65DF2D-1CA4-4CAD-9CE0-582F1B6C7234}"/>
    <hyperlink ref="E3380" r:id="rId3030" display="https://headstart.gov/program-planning/article/serving-families-multiple-children-home-based-option" xr:uid="{F6E75CC7-A9CA-49BF-96A7-0F8EA3B02F06}"/>
    <hyperlink ref="E3381" r:id="rId3031" display="https://headstart.gov/publication/using-elof-inform-assessment" xr:uid="{2823A3CE-2DFB-4239-8A85-39B96EFB6A7A}"/>
    <hyperlink ref="E3382" r:id="rId3032" display="https://headstart.gov/publication/services-children-who-do-not-qualify-idea" xr:uid="{3B19496C-F60A-4C2B-BFFB-D64BF89FD8BB}"/>
    <hyperlink ref="E3347" r:id="rId3033" display="https://headstart.gov/family-support-well-being/article/frequently-asked-questions-families-about-medicaid" xr:uid="{51C265C3-A6E7-497E-A094-7584B534033B}"/>
    <hyperlink ref="E3384" r:id="rId3034" display="https://headstart.gov/about-us/article/national-head-start-fellowship-program-faqs" xr:uid="{69EFBEB7-736D-46C2-BE75-304424576F61}"/>
    <hyperlink ref="E3248" r:id="rId3035" xr:uid="{0FDCD3D8-A289-4008-A818-D733108BDC22}"/>
  </hyperlinks>
  <pageMargins left="0.7" right="0.7" top="0.75" bottom="0.75" header="0.3" footer="0.3"/>
  <pageSetup orientation="portrait" verticalDpi="0" r:id="rId3036"/>
  <extLst>
    <ext xmlns:x14="http://schemas.microsoft.com/office/spreadsheetml/2009/9/main" uri="{CCE6A557-97BC-4b89-ADB6-D9C93CAAB3DF}">
      <x14:dataValidations xmlns:xm="http://schemas.microsoft.com/office/excel/2006/main" count="2">
        <x14:dataValidation type="list" showInputMessage="1" showErrorMessage="1" xr:uid="{43817106-41D8-4A43-8F76-CFE073F7F930}">
          <x14:formula1>
            <xm:f>'Data Validation'!$A$2:$A$3</xm:f>
          </x14:formula1>
          <xm:sqref>G2:G4477</xm:sqref>
        </x14:dataValidation>
        <x14:dataValidation type="list" showInputMessage="1" showErrorMessage="1" xr:uid="{C2EDC532-8F3F-4681-8FD0-0FAA1607C895}">
          <x14:formula1>
            <xm:f>'Data Validation'!$B$2:$B$11</xm:f>
          </x14:formula1>
          <xm:sqref>C2:C22 C23:D23 C24:C2272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219B6-CB2B-4C64-923A-07F13A4ED6CE}">
  <dimension ref="A1:AC13"/>
  <sheetViews>
    <sheetView workbookViewId="0">
      <selection activeCell="V21" sqref="V21"/>
    </sheetView>
  </sheetViews>
  <sheetFormatPr defaultRowHeight="14.25" x14ac:dyDescent="0.45"/>
  <cols>
    <col min="1" max="1" width="53.265625" bestFit="1" customWidth="1"/>
    <col min="2" max="2" width="2.53125" customWidth="1"/>
    <col min="3" max="3" width="19.46484375" bestFit="1" customWidth="1"/>
    <col min="4" max="4" width="8.265625" customWidth="1"/>
    <col min="5" max="5" width="4.53125" bestFit="1" customWidth="1"/>
    <col min="6" max="6" width="4.73046875" bestFit="1" customWidth="1"/>
    <col min="7" max="7" width="6.19921875" bestFit="1" customWidth="1"/>
    <col min="8" max="8" width="5.46484375" bestFit="1" customWidth="1"/>
    <col min="9" max="9" width="6.796875" bestFit="1" customWidth="1"/>
    <col min="10" max="10" width="4.46484375" bestFit="1" customWidth="1"/>
    <col min="11" max="11" width="5.796875" bestFit="1" customWidth="1"/>
    <col min="12" max="12" width="4.46484375" bestFit="1" customWidth="1"/>
    <col min="13" max="13" width="5.796875" bestFit="1" customWidth="1"/>
    <col min="14" max="14" width="4.19921875" bestFit="1" customWidth="1"/>
    <col min="15" max="15" width="5.53125" bestFit="1" customWidth="1"/>
    <col min="16" max="16" width="4.46484375" bestFit="1" customWidth="1"/>
    <col min="17" max="17" width="5.796875" bestFit="1" customWidth="1"/>
    <col min="18" max="18" width="6.33203125" bestFit="1" customWidth="1"/>
    <col min="19" max="19" width="7.73046875" bestFit="1" customWidth="1"/>
    <col min="20" max="20" width="4.9296875" bestFit="1" customWidth="1"/>
    <col min="21" max="21" width="6.265625" bestFit="1" customWidth="1"/>
    <col min="22" max="22" width="7.59765625" bestFit="1" customWidth="1"/>
    <col min="23" max="23" width="9" bestFit="1" customWidth="1"/>
    <col min="24" max="24" width="4.9296875" bestFit="1" customWidth="1"/>
    <col min="25" max="25" width="6.265625" bestFit="1" customWidth="1"/>
    <col min="26" max="26" width="4.33203125" bestFit="1" customWidth="1"/>
    <col min="27" max="27" width="5.73046875" bestFit="1" customWidth="1"/>
    <col min="28" max="28" width="4.46484375" bestFit="1" customWidth="1"/>
    <col min="29" max="29" width="5.796875" bestFit="1" customWidth="1"/>
  </cols>
  <sheetData>
    <row r="1" spans="1:29" x14ac:dyDescent="0.45">
      <c r="A1" t="s">
        <v>2</v>
      </c>
      <c r="D1" t="s">
        <v>11</v>
      </c>
      <c r="E1" t="s">
        <v>4658</v>
      </c>
      <c r="F1" t="s">
        <v>1038</v>
      </c>
      <c r="G1" t="s">
        <v>4659</v>
      </c>
      <c r="H1" t="s">
        <v>2302</v>
      </c>
      <c r="I1" t="s">
        <v>4660</v>
      </c>
      <c r="J1" t="s">
        <v>3715</v>
      </c>
      <c r="K1" t="s">
        <v>4661</v>
      </c>
      <c r="L1" t="s">
        <v>1603</v>
      </c>
      <c r="M1" t="s">
        <v>4662</v>
      </c>
      <c r="N1" s="45" t="s">
        <v>982</v>
      </c>
      <c r="O1" s="45" t="s">
        <v>4663</v>
      </c>
      <c r="P1" t="s">
        <v>4605</v>
      </c>
      <c r="Q1" t="s">
        <v>4664</v>
      </c>
      <c r="R1" t="s">
        <v>4576</v>
      </c>
      <c r="S1" t="s">
        <v>4665</v>
      </c>
      <c r="T1" t="s">
        <v>4609</v>
      </c>
      <c r="U1" t="s">
        <v>4666</v>
      </c>
      <c r="V1" t="s">
        <v>4670</v>
      </c>
      <c r="W1" t="s">
        <v>5664</v>
      </c>
      <c r="X1" t="s">
        <v>4714</v>
      </c>
      <c r="Y1" t="s">
        <v>5665</v>
      </c>
      <c r="Z1" t="s">
        <v>4748</v>
      </c>
      <c r="AA1" t="s">
        <v>5666</v>
      </c>
      <c r="AB1" t="s">
        <v>5446</v>
      </c>
      <c r="AC1" t="s">
        <v>5667</v>
      </c>
    </row>
    <row r="2" spans="1:29" x14ac:dyDescent="0.45">
      <c r="A2" s="44" t="s">
        <v>12</v>
      </c>
      <c r="B2" s="44"/>
      <c r="C2" s="44"/>
      <c r="D2" t="s">
        <v>4667</v>
      </c>
      <c r="E2">
        <f>COUNTIFS(ALL!$C:$C,$A2,ALL!$A:$A,D$1)</f>
        <v>17</v>
      </c>
      <c r="F2" t="s">
        <v>1041</v>
      </c>
      <c r="G2">
        <f>COUNTIFS(ALL!$C:$C,$A2,ALL!$A:$A,F$1)</f>
        <v>0</v>
      </c>
      <c r="H2" t="s">
        <v>4667</v>
      </c>
      <c r="I2">
        <f>COUNTIFS(ALL!$C:$C,$A2,ALL!$A:$A,H$1)</f>
        <v>319</v>
      </c>
      <c r="J2" t="s">
        <v>1041</v>
      </c>
      <c r="K2">
        <f>COUNTIFS(ALL!$C:$C,$A2,ALL!$A:$A,J$1)</f>
        <v>0</v>
      </c>
      <c r="L2" t="s">
        <v>4667</v>
      </c>
      <c r="M2">
        <f>COUNTIFS(ALL!$C:$C,$A2,ALL!$A:$A,L$1)</f>
        <v>97</v>
      </c>
      <c r="N2" t="s">
        <v>1041</v>
      </c>
      <c r="O2">
        <f>COUNTIFS(ALL!$C:$C,$A2,ALL!$A:$A,N$1)</f>
        <v>0</v>
      </c>
      <c r="P2" t="s">
        <v>1041</v>
      </c>
      <c r="Q2">
        <f>COUNTIFS(ALL!$C:$C,$A2,ALL!$A:$A,P$1)</f>
        <v>0</v>
      </c>
      <c r="R2" t="s">
        <v>1041</v>
      </c>
      <c r="S2">
        <f>COUNTIFS(ALL!$C:$C,$A2,ALL!$A:$A,R$1)</f>
        <v>0</v>
      </c>
      <c r="T2" t="s">
        <v>1041</v>
      </c>
      <c r="U2">
        <f>COUNTIFS(ALL!$C:$C,$A2,ALL!$A:$A,T$1)</f>
        <v>0</v>
      </c>
      <c r="V2" t="s">
        <v>4667</v>
      </c>
      <c r="W2">
        <f>COUNTIFS(ALL!$C:$C,$A2,ALL!$A:$A,V$1)</f>
        <v>5</v>
      </c>
      <c r="X2" t="s">
        <v>1041</v>
      </c>
      <c r="Y2">
        <f>COUNTIFS(ALL!$C:$C,$A2,ALL!$A:$A,X$1)</f>
        <v>0</v>
      </c>
      <c r="Z2" t="s">
        <v>1041</v>
      </c>
      <c r="AA2">
        <f>COUNTIFS(ALL!$C:$C,$A2,ALL!$A:$A,Z$1)</f>
        <v>0</v>
      </c>
      <c r="AB2" t="s">
        <v>1041</v>
      </c>
      <c r="AC2">
        <f>COUNTIFS(ALL!$C:$C,$A2,ALL!$A:$A,AB$1)</f>
        <v>0</v>
      </c>
    </row>
    <row r="3" spans="1:29" x14ac:dyDescent="0.45">
      <c r="A3" s="44" t="s">
        <v>587</v>
      </c>
      <c r="B3" s="44"/>
      <c r="C3" s="44"/>
      <c r="D3" t="s">
        <v>4667</v>
      </c>
      <c r="E3">
        <f>COUNTIFS(ALL!$C:$C,$A3,ALL!$A:$A,D$1)</f>
        <v>24</v>
      </c>
      <c r="F3" t="s">
        <v>4667</v>
      </c>
      <c r="G3">
        <f>COUNTIFS(ALL!$C:$C,$A3,ALL!$A:$A,F$1)</f>
        <v>4</v>
      </c>
      <c r="H3" t="s">
        <v>4667</v>
      </c>
      <c r="I3">
        <f>COUNTIFS(ALL!$C:$C,$A3,ALL!$A:$A,H$1)</f>
        <v>192</v>
      </c>
      <c r="J3" t="s">
        <v>4667</v>
      </c>
      <c r="K3">
        <f>COUNTIFS(ALL!$C:$C,$A3,ALL!$A:$A,J$1)</f>
        <v>156</v>
      </c>
      <c r="L3" t="s">
        <v>4667</v>
      </c>
      <c r="M3">
        <f>COUNTIFS(ALL!$C:$C,$A3,ALL!$A:$A,L$1)</f>
        <v>161</v>
      </c>
      <c r="N3" t="s">
        <v>4667</v>
      </c>
      <c r="O3">
        <f>COUNTIFS(ALL!$C:$C,$A3,ALL!$A:$A,N$1)</f>
        <v>5</v>
      </c>
      <c r="P3" t="s">
        <v>4667</v>
      </c>
      <c r="Q3">
        <f>COUNTIFS(ALL!$C:$C,$A3,ALL!$A:$A,P$1)</f>
        <v>1</v>
      </c>
      <c r="R3" t="s">
        <v>1041</v>
      </c>
      <c r="S3">
        <f>COUNTIFS(ALL!$C:$C,$A3,ALL!$A:$A,R$1)</f>
        <v>0</v>
      </c>
      <c r="T3" t="s">
        <v>4667</v>
      </c>
      <c r="U3">
        <f>COUNTIFS(ALL!$C:$C,$A3,ALL!$A:$A,T$1)</f>
        <v>1</v>
      </c>
      <c r="V3" t="s">
        <v>4667</v>
      </c>
      <c r="W3">
        <f>COUNTIFS(ALL!$C:$C,$A3,ALL!$A:$A,V$1)</f>
        <v>2</v>
      </c>
      <c r="X3" t="s">
        <v>1041</v>
      </c>
      <c r="Y3">
        <f>COUNTIFS(ALL!$C:$C,$A3,ALL!$A:$A,X$1)</f>
        <v>0</v>
      </c>
      <c r="Z3" t="s">
        <v>4667</v>
      </c>
      <c r="AA3">
        <f>COUNTIFS(ALL!$C:$C,$A3,ALL!$A:$A,Z$1)</f>
        <v>29</v>
      </c>
      <c r="AB3" t="s">
        <v>4667</v>
      </c>
      <c r="AC3">
        <f>COUNTIFS(ALL!$C:$C,$A3,ALL!$A:$A,AB$1)</f>
        <v>4</v>
      </c>
    </row>
    <row r="4" spans="1:29" x14ac:dyDescent="0.45">
      <c r="A4" s="44" t="s">
        <v>592</v>
      </c>
      <c r="B4" s="44"/>
      <c r="C4" s="44"/>
      <c r="D4" t="s">
        <v>4667</v>
      </c>
      <c r="E4">
        <f>COUNTIFS(ALL!$C:$C,$A4,ALL!$A:$A,D$1)</f>
        <v>28</v>
      </c>
      <c r="F4" t="s">
        <v>1041</v>
      </c>
      <c r="G4">
        <f>COUNTIFS(ALL!$C:$C,$A4,ALL!$A:$A,F$1)</f>
        <v>0</v>
      </c>
      <c r="H4" t="s">
        <v>4667</v>
      </c>
      <c r="I4">
        <f>COUNTIFS(ALL!$C:$C,$A4,ALL!$A:$A,H$1)</f>
        <v>49</v>
      </c>
      <c r="J4" t="s">
        <v>4667</v>
      </c>
      <c r="K4">
        <f>COUNTIFS(ALL!$C:$C,$A4,ALL!$A:$A,J$1)</f>
        <v>27</v>
      </c>
      <c r="L4" t="s">
        <v>4667</v>
      </c>
      <c r="M4">
        <f>COUNTIFS(ALL!$C:$C,$A4,ALL!$A:$A,L$1)</f>
        <v>2</v>
      </c>
      <c r="N4" t="s">
        <v>1041</v>
      </c>
      <c r="O4">
        <f>COUNTIFS(ALL!$C:$C,$A4,ALL!$A:$A,N$1)</f>
        <v>0</v>
      </c>
      <c r="P4" t="s">
        <v>1041</v>
      </c>
      <c r="Q4">
        <f>COUNTIFS(ALL!$C:$C,$A4,ALL!$A:$A,P$1)</f>
        <v>0</v>
      </c>
      <c r="R4" t="s">
        <v>4667</v>
      </c>
      <c r="S4">
        <f>COUNTIFS(ALL!$C:$C,$A4,ALL!$A:$A,R$1)</f>
        <v>1</v>
      </c>
      <c r="T4" t="s">
        <v>4667</v>
      </c>
      <c r="U4">
        <f>COUNTIFS(ALL!$C:$C,$A4,ALL!$A:$A,T$1)</f>
        <v>7</v>
      </c>
      <c r="V4" t="s">
        <v>1041</v>
      </c>
      <c r="W4">
        <f>COUNTIFS(ALL!$C:$C,$A4,ALL!$A:$A,V$1)</f>
        <v>0</v>
      </c>
      <c r="X4" t="s">
        <v>4667</v>
      </c>
      <c r="Y4">
        <f>COUNTIFS(ALL!$C:$C,$A4,ALL!$A:$A,X$1)</f>
        <v>2</v>
      </c>
      <c r="Z4" t="s">
        <v>1041</v>
      </c>
      <c r="AA4">
        <f>COUNTIFS(ALL!$C:$C,$A4,ALL!$A:$A,Z$1)</f>
        <v>0</v>
      </c>
      <c r="AB4" t="s">
        <v>4667</v>
      </c>
      <c r="AC4">
        <f>COUNTIFS(ALL!$C:$C,$A4,ALL!$A:$A,AB$1)</f>
        <v>1</v>
      </c>
    </row>
    <row r="5" spans="1:29" x14ac:dyDescent="0.45">
      <c r="A5" s="44" t="s">
        <v>25</v>
      </c>
      <c r="B5" s="44"/>
      <c r="C5" s="44"/>
      <c r="D5" t="s">
        <v>4667</v>
      </c>
      <c r="E5">
        <f>COUNTIFS(ALL!$C:$C,$A5,ALL!$A:$A,D$1)</f>
        <v>258</v>
      </c>
      <c r="F5" t="s">
        <v>4667</v>
      </c>
      <c r="G5">
        <f>COUNTIFS(ALL!$C:$C,$A5,ALL!$A:$A,F$1)</f>
        <v>44</v>
      </c>
      <c r="H5" t="s">
        <v>4667</v>
      </c>
      <c r="I5">
        <f>COUNTIFS(ALL!$C:$C,$A5,ALL!$A:$A,H$1)</f>
        <v>101</v>
      </c>
      <c r="J5" t="s">
        <v>1041</v>
      </c>
      <c r="K5">
        <f>COUNTIFS(ALL!$C:$C,$A5,ALL!$A:$A,J$1)</f>
        <v>1</v>
      </c>
      <c r="L5" t="s">
        <v>4667</v>
      </c>
      <c r="M5">
        <f>COUNTIFS(ALL!$C:$C,$A5,ALL!$A:$A,L$1)</f>
        <v>103</v>
      </c>
      <c r="N5" t="s">
        <v>4667</v>
      </c>
      <c r="O5">
        <f>COUNTIFS(ALL!$C:$C,$A5,ALL!$A:$A,N$1)</f>
        <v>2</v>
      </c>
      <c r="P5" t="s">
        <v>1041</v>
      </c>
      <c r="Q5">
        <f>COUNTIFS(ALL!$C:$C,$A5,ALL!$A:$A,P$1)</f>
        <v>0</v>
      </c>
      <c r="R5" t="s">
        <v>4667</v>
      </c>
      <c r="S5">
        <f>COUNTIFS(ALL!$C:$C,$A5,ALL!$A:$A,R$1)</f>
        <v>3</v>
      </c>
      <c r="T5" t="s">
        <v>4667</v>
      </c>
      <c r="U5">
        <f>COUNTIFS(ALL!$C:$C,$A5,ALL!$A:$A,T$1)</f>
        <v>5</v>
      </c>
      <c r="V5" t="s">
        <v>4667</v>
      </c>
      <c r="W5">
        <f>COUNTIFS(ALL!$C:$C,$A5,ALL!$A:$A,V$1)</f>
        <v>3</v>
      </c>
      <c r="X5" t="s">
        <v>1041</v>
      </c>
      <c r="Y5">
        <f>COUNTIFS(ALL!$C:$C,$A5,ALL!$A:$A,X$1)</f>
        <v>0</v>
      </c>
      <c r="Z5" t="s">
        <v>4667</v>
      </c>
      <c r="AA5">
        <f>COUNTIFS(ALL!$C:$C,$A5,ALL!$A:$A,Z$1)</f>
        <v>79</v>
      </c>
      <c r="AB5" t="s">
        <v>4667</v>
      </c>
      <c r="AC5">
        <f>COUNTIFS(ALL!$C:$C,$A5,ALL!$A:$A,AB$1)</f>
        <v>38</v>
      </c>
    </row>
    <row r="6" spans="1:29" x14ac:dyDescent="0.45">
      <c r="A6" s="44" t="s">
        <v>1131</v>
      </c>
      <c r="B6" s="44"/>
      <c r="C6" s="44"/>
      <c r="D6" t="s">
        <v>1041</v>
      </c>
      <c r="E6">
        <f>COUNTIFS(ALL!$C:$C,$A6,ALL!$A:$A,D$1)</f>
        <v>0</v>
      </c>
      <c r="F6" t="s">
        <v>4667</v>
      </c>
      <c r="G6">
        <f>COUNTIFS(ALL!$C:$C,$A6,ALL!$A:$A,F$1)</f>
        <v>10</v>
      </c>
      <c r="H6" t="s">
        <v>4667</v>
      </c>
      <c r="I6">
        <f>COUNTIFS(ALL!$C:$C,$A6,ALL!$A:$A,H$1)</f>
        <v>60</v>
      </c>
      <c r="J6" t="s">
        <v>1041</v>
      </c>
      <c r="K6">
        <f>COUNTIFS(ALL!$C:$C,$A6,ALL!$A:$A,J$1)</f>
        <v>0</v>
      </c>
      <c r="L6" t="s">
        <v>1041</v>
      </c>
      <c r="M6">
        <f>COUNTIFS(ALL!$C:$C,$A6,ALL!$A:$A,L$1)</f>
        <v>0</v>
      </c>
      <c r="N6" t="s">
        <v>1041</v>
      </c>
      <c r="O6">
        <f>COUNTIFS(ALL!$C:$C,$A6,ALL!$A:$A,N$1)</f>
        <v>0</v>
      </c>
      <c r="P6" t="s">
        <v>1041</v>
      </c>
      <c r="Q6">
        <f>COUNTIFS(ALL!$C:$C,$A6,ALL!$A:$A,P$1)</f>
        <v>0</v>
      </c>
      <c r="R6" t="s">
        <v>1041</v>
      </c>
      <c r="S6">
        <f>COUNTIFS(ALL!$C:$C,$A6,ALL!$A:$A,R$1)</f>
        <v>0</v>
      </c>
      <c r="T6" t="s">
        <v>1041</v>
      </c>
      <c r="U6">
        <f>COUNTIFS(ALL!$C:$C,$A6,ALL!$A:$A,T$1)</f>
        <v>0</v>
      </c>
      <c r="V6" t="s">
        <v>1041</v>
      </c>
      <c r="W6">
        <f>COUNTIFS(ALL!$C:$C,$A6,ALL!$A:$A,V$1)</f>
        <v>0</v>
      </c>
      <c r="X6" t="s">
        <v>1041</v>
      </c>
      <c r="Y6">
        <f>COUNTIFS(ALL!$C:$C,$A6,ALL!$A:$A,X$1)</f>
        <v>0</v>
      </c>
      <c r="Z6" t="s">
        <v>1041</v>
      </c>
      <c r="AA6">
        <f>COUNTIFS(ALL!$C:$C,$A6,ALL!$A:$A,Z$1)</f>
        <v>0</v>
      </c>
      <c r="AB6" t="s">
        <v>1041</v>
      </c>
      <c r="AC6">
        <f>COUNTIFS(ALL!$C:$C,$A6,ALL!$A:$A,AB$1)</f>
        <v>0</v>
      </c>
    </row>
    <row r="7" spans="1:29" x14ac:dyDescent="0.45">
      <c r="A7" s="44" t="s">
        <v>247</v>
      </c>
      <c r="B7" s="44"/>
      <c r="C7" s="44"/>
      <c r="D7" t="s">
        <v>4667</v>
      </c>
      <c r="E7">
        <f>COUNTIFS(ALL!$C:$C,$A7,ALL!$A:$A,D$1)</f>
        <v>1</v>
      </c>
      <c r="F7" t="s">
        <v>4667</v>
      </c>
      <c r="G7">
        <f>COUNTIFS(ALL!$C:$C,$A7,ALL!$A:$A,F$1)</f>
        <v>1</v>
      </c>
      <c r="H7" t="s">
        <v>1041</v>
      </c>
      <c r="I7">
        <f>COUNTIFS(ALL!$C:$C,$A7,ALL!$A:$A,H$1)</f>
        <v>0</v>
      </c>
      <c r="J7" t="s">
        <v>4667</v>
      </c>
      <c r="K7">
        <f>COUNTIFS(ALL!$C:$C,$A7,ALL!$A:$A,J$1)</f>
        <v>2</v>
      </c>
      <c r="L7" t="s">
        <v>4667</v>
      </c>
      <c r="M7">
        <f>COUNTIFS(ALL!$C:$C,$A7,ALL!$A:$A,L$1)</f>
        <v>1</v>
      </c>
      <c r="N7" t="s">
        <v>4667</v>
      </c>
      <c r="O7">
        <f>COUNTIFS(ALL!$C:$C,$A7,ALL!$A:$A,N$1)</f>
        <v>1</v>
      </c>
      <c r="P7" t="s">
        <v>4667</v>
      </c>
      <c r="Q7">
        <f>COUNTIFS(ALL!$C:$C,$A7,ALL!$A:$A,P$1)</f>
        <v>1</v>
      </c>
      <c r="R7" t="s">
        <v>1041</v>
      </c>
      <c r="S7">
        <f>COUNTIFS(ALL!$C:$C,$A7,ALL!$A:$A,R$1)</f>
        <v>0</v>
      </c>
      <c r="T7" t="s">
        <v>4667</v>
      </c>
      <c r="U7">
        <f>COUNTIFS(ALL!$C:$C,$A7,ALL!$A:$A,T$1)</f>
        <v>1</v>
      </c>
      <c r="V7" t="s">
        <v>4667</v>
      </c>
      <c r="W7">
        <f>COUNTIFS(ALL!$C:$C,$A7,ALL!$A:$A,V$1)</f>
        <v>7</v>
      </c>
      <c r="X7" t="s">
        <v>1041</v>
      </c>
      <c r="Y7">
        <f>COUNTIFS(ALL!$C:$C,$A7,ALL!$A:$A,X$1)</f>
        <v>0</v>
      </c>
      <c r="Z7" t="s">
        <v>4667</v>
      </c>
      <c r="AA7">
        <f>COUNTIFS(ALL!$C:$C,$A7,ALL!$A:$A,Z$1)</f>
        <v>1</v>
      </c>
      <c r="AB7" t="s">
        <v>1041</v>
      </c>
      <c r="AC7">
        <f>COUNTIFS(ALL!$C:$C,$A7,ALL!$A:$A,AB$1)</f>
        <v>0</v>
      </c>
    </row>
    <row r="8" spans="1:29" x14ac:dyDescent="0.45">
      <c r="A8" s="44" t="s">
        <v>738</v>
      </c>
      <c r="B8" s="44"/>
      <c r="C8" s="44"/>
      <c r="D8" t="s">
        <v>4667</v>
      </c>
      <c r="E8">
        <f>COUNTIFS(ALL!$C:$C,$A8,ALL!$A:$A,D$1)</f>
        <v>1</v>
      </c>
      <c r="F8" t="s">
        <v>1041</v>
      </c>
      <c r="G8">
        <f>COUNTIFS(ALL!$C:$C,$A8,ALL!$A:$A,F$1)</f>
        <v>0</v>
      </c>
      <c r="H8" t="s">
        <v>1041</v>
      </c>
      <c r="I8">
        <f>COUNTIFS(ALL!$C:$C,$A8,ALL!$A:$A,H$1)</f>
        <v>0</v>
      </c>
      <c r="J8" t="s">
        <v>4667</v>
      </c>
      <c r="K8">
        <f>COUNTIFS(ALL!$C:$C,$A8,ALL!$A:$A,J$1)</f>
        <v>315</v>
      </c>
      <c r="L8" t="s">
        <v>1041</v>
      </c>
      <c r="M8">
        <f>COUNTIFS(ALL!$C:$C,$A8,ALL!$A:$A,L$1)</f>
        <v>0</v>
      </c>
      <c r="N8" t="s">
        <v>1041</v>
      </c>
      <c r="O8">
        <f>COUNTIFS(ALL!$C:$C,$A8,ALL!$A:$A,N$1)</f>
        <v>0</v>
      </c>
      <c r="P8" t="s">
        <v>1041</v>
      </c>
      <c r="Q8">
        <f>COUNTIFS(ALL!$C:$C,$A8,ALL!$A:$A,P$1)</f>
        <v>0</v>
      </c>
      <c r="R8" t="s">
        <v>1041</v>
      </c>
      <c r="S8">
        <f>COUNTIFS(ALL!$C:$C,$A8,ALL!$A:$A,R$1)</f>
        <v>0</v>
      </c>
      <c r="T8" t="s">
        <v>1041</v>
      </c>
      <c r="U8">
        <f>COUNTIFS(ALL!$C:$C,$A8,ALL!$A:$A,T$1)</f>
        <v>0</v>
      </c>
      <c r="V8" t="s">
        <v>1041</v>
      </c>
      <c r="W8">
        <f>COUNTIFS(ALL!$C:$C,$A8,ALL!$A:$A,V$1)</f>
        <v>0</v>
      </c>
      <c r="X8" t="s">
        <v>4667</v>
      </c>
      <c r="Y8">
        <f>COUNTIFS(ALL!$C:$C,$A8,ALL!$A:$A,X$1)</f>
        <v>1</v>
      </c>
      <c r="Z8" t="s">
        <v>4667</v>
      </c>
      <c r="AA8">
        <f>COUNTIFS(ALL!$C:$C,$A8,ALL!$A:$A,Z$1)</f>
        <v>16</v>
      </c>
      <c r="AB8" t="s">
        <v>1041</v>
      </c>
      <c r="AC8">
        <f>COUNTIFS(ALL!$C:$C,$A8,ALL!$A:$A,AB$1)</f>
        <v>0</v>
      </c>
    </row>
    <row r="9" spans="1:29" x14ac:dyDescent="0.45">
      <c r="A9" s="44" t="s">
        <v>21</v>
      </c>
      <c r="B9" s="44"/>
      <c r="C9" s="44"/>
      <c r="D9" t="s">
        <v>4667</v>
      </c>
      <c r="E9">
        <f>COUNTIFS(ALL!$C:$C,$A9,ALL!$A:$A,D$1)</f>
        <v>297</v>
      </c>
      <c r="F9" t="s">
        <v>4667</v>
      </c>
      <c r="G9">
        <f>COUNTIFS(ALL!$C:$C,$A9,ALL!$A:$A,F$1)</f>
        <v>134</v>
      </c>
      <c r="H9" t="s">
        <v>1041</v>
      </c>
      <c r="I9">
        <f>COUNTIFS(ALL!$C:$C,$A9,ALL!$A:$A,H$1)</f>
        <v>0</v>
      </c>
      <c r="J9" t="s">
        <v>1041</v>
      </c>
      <c r="K9">
        <f>COUNTIFS(ALL!$C:$C,$A9,ALL!$A:$A,J$1)</f>
        <v>0</v>
      </c>
      <c r="L9" t="s">
        <v>4667</v>
      </c>
      <c r="M9">
        <f>COUNTIFS(ALL!$C:$C,$A9,ALL!$A:$A,L$1)</f>
        <v>1</v>
      </c>
      <c r="N9" t="s">
        <v>1041</v>
      </c>
      <c r="O9">
        <f>COUNTIFS(ALL!$C:$C,$A9,ALL!$A:$A,N$1)</f>
        <v>0</v>
      </c>
      <c r="P9" t="s">
        <v>1041</v>
      </c>
      <c r="Q9">
        <f>COUNTIFS(ALL!$C:$C,$A9,ALL!$A:$A,P$1)</f>
        <v>0</v>
      </c>
      <c r="R9" t="s">
        <v>1041</v>
      </c>
      <c r="S9">
        <f>COUNTIFS(ALL!$C:$C,$A9,ALL!$A:$A,R$1)</f>
        <v>0</v>
      </c>
      <c r="T9" t="s">
        <v>4667</v>
      </c>
      <c r="U9">
        <f>COUNTIFS(ALL!$C:$C,$A9,ALL!$A:$A,T$1)</f>
        <v>4</v>
      </c>
      <c r="V9" t="s">
        <v>1041</v>
      </c>
      <c r="W9">
        <f>COUNTIFS(ALL!$C:$C,$A9,ALL!$A:$A,V$1)</f>
        <v>0</v>
      </c>
      <c r="X9" t="s">
        <v>1041</v>
      </c>
      <c r="Y9">
        <f>COUNTIFS(ALL!$C:$C,$A9,ALL!$A:$A,X$1)</f>
        <v>0</v>
      </c>
      <c r="Z9" t="s">
        <v>4667</v>
      </c>
      <c r="AA9">
        <f>COUNTIFS(ALL!$C:$C,$A9,ALL!$A:$A,Z$1)</f>
        <v>153</v>
      </c>
      <c r="AB9" t="s">
        <v>4667</v>
      </c>
      <c r="AC9">
        <f>COUNTIFS(ALL!$C:$C,$A9,ALL!$A:$A,AB$1)</f>
        <v>41</v>
      </c>
    </row>
    <row r="10" spans="1:29" x14ac:dyDescent="0.45">
      <c r="A10" s="44" t="s">
        <v>302</v>
      </c>
      <c r="B10" s="44"/>
      <c r="C10" s="44"/>
      <c r="D10" t="s">
        <v>4667</v>
      </c>
      <c r="E10">
        <f>COUNTIFS(ALL!$C:$C,$A10,ALL!$A:$A,D$1)</f>
        <v>103</v>
      </c>
      <c r="F10" t="s">
        <v>4667</v>
      </c>
      <c r="G10">
        <f>COUNTIFS(ALL!$C:$C,$A10,ALL!$A:$A,F$1)</f>
        <v>100</v>
      </c>
      <c r="H10" t="s">
        <v>4667</v>
      </c>
      <c r="I10">
        <f>COUNTIFS(ALL!$C:$C,$A10,ALL!$A:$A,H$1)</f>
        <v>45</v>
      </c>
      <c r="J10" t="s">
        <v>4667</v>
      </c>
      <c r="K10">
        <f>COUNTIFS(ALL!$C:$C,$A10,ALL!$A:$A,J$1)</f>
        <v>3</v>
      </c>
      <c r="L10" t="s">
        <v>4667</v>
      </c>
      <c r="M10">
        <f>COUNTIFS(ALL!$C:$C,$A10,ALL!$A:$A,L$1)</f>
        <v>5</v>
      </c>
      <c r="N10" t="s">
        <v>1041</v>
      </c>
      <c r="O10">
        <f>COUNTIFS(ALL!$C:$C,$A10,ALL!$A:$A,N$1)</f>
        <v>0</v>
      </c>
      <c r="P10" t="s">
        <v>1041</v>
      </c>
      <c r="Q10">
        <f>COUNTIFS(ALL!$C:$C,$A10,ALL!$A:$A,P$1)</f>
        <v>0</v>
      </c>
      <c r="R10" t="s">
        <v>4667</v>
      </c>
      <c r="S10">
        <f>COUNTIFS(ALL!$C:$C,$A10,ALL!$A:$A,R$1)</f>
        <v>8</v>
      </c>
      <c r="T10" t="s">
        <v>1041</v>
      </c>
      <c r="U10">
        <f>COUNTIFS(ALL!$C:$C,$A10,ALL!$A:$A,T$1)</f>
        <v>0</v>
      </c>
      <c r="V10" t="s">
        <v>4667</v>
      </c>
      <c r="W10">
        <f>COUNTIFS(ALL!$C:$C,$A10,ALL!$A:$A,V$1)</f>
        <v>2</v>
      </c>
      <c r="X10" t="s">
        <v>4667</v>
      </c>
      <c r="Y10">
        <f>COUNTIFS(ALL!$C:$C,$A10,ALL!$A:$A,X$1)</f>
        <v>12</v>
      </c>
      <c r="Z10" t="s">
        <v>4667</v>
      </c>
      <c r="AA10">
        <f>COUNTIFS(ALL!$C:$C,$A10,ALL!$A:$A,Z$1)</f>
        <v>51</v>
      </c>
      <c r="AB10" t="s">
        <v>4667</v>
      </c>
      <c r="AC10">
        <f>COUNTIFS(ALL!$C:$C,$A10,ALL!$A:$A,AB$1)</f>
        <v>30</v>
      </c>
    </row>
    <row r="11" spans="1:29" x14ac:dyDescent="0.45">
      <c r="A11" s="44" t="s">
        <v>575</v>
      </c>
      <c r="B11" s="44"/>
      <c r="C11" s="44"/>
      <c r="D11" t="s">
        <v>4667</v>
      </c>
      <c r="E11">
        <f>COUNTIFS(ALL!$C:$C,$A11,ALL!$A:$A,D$1)</f>
        <v>33</v>
      </c>
      <c r="F11" t="s">
        <v>4667</v>
      </c>
      <c r="G11">
        <f>COUNTIFS(ALL!$C:$C,$A11,ALL!$A:$A,F$1)</f>
        <v>21</v>
      </c>
      <c r="H11" t="s">
        <v>4667</v>
      </c>
      <c r="I11">
        <f>COUNTIFS(ALL!$C:$C,$A11,ALL!$A:$A,H$1)</f>
        <v>1</v>
      </c>
      <c r="J11" t="s">
        <v>4667</v>
      </c>
      <c r="K11">
        <f>COUNTIFS(ALL!$C:$C,$A11,ALL!$A:$A,J$1)</f>
        <v>40</v>
      </c>
      <c r="L11" t="s">
        <v>4667</v>
      </c>
      <c r="M11">
        <f>COUNTIFS(ALL!$C:$C,$A11,ALL!$A:$A,L$1)</f>
        <v>13</v>
      </c>
      <c r="N11" t="s">
        <v>4667</v>
      </c>
      <c r="O11">
        <f>COUNTIFS(ALL!$C:$C,$A11,ALL!$A:$A,N$1)</f>
        <v>37</v>
      </c>
      <c r="P11" t="s">
        <v>1041</v>
      </c>
      <c r="Q11">
        <f>COUNTIFS(ALL!$C:$C,$A11,ALL!$A:$A,P$1)</f>
        <v>0</v>
      </c>
      <c r="R11" t="s">
        <v>4667</v>
      </c>
      <c r="S11">
        <f>COUNTIFS(ALL!$C:$C,$A11,ALL!$A:$A,R$1)</f>
        <v>4</v>
      </c>
      <c r="T11" t="s">
        <v>1041</v>
      </c>
      <c r="U11">
        <f>COUNTIFS(ALL!$C:$C,$A11,ALL!$A:$A,T$1)</f>
        <v>0</v>
      </c>
      <c r="V11" t="s">
        <v>4667</v>
      </c>
      <c r="W11">
        <f>COUNTIFS(ALL!$C:$C,$A11,ALL!$A:$A,V$1)</f>
        <v>1</v>
      </c>
      <c r="X11" t="s">
        <v>4667</v>
      </c>
      <c r="Y11">
        <f>COUNTIFS(ALL!$C:$C,$A11,ALL!$A:$A,X$1)</f>
        <v>7</v>
      </c>
      <c r="Z11" t="s">
        <v>4667</v>
      </c>
      <c r="AA11">
        <f>COUNTIFS(ALL!$C:$C,$A11,ALL!$A:$A,Z$1)</f>
        <v>19</v>
      </c>
      <c r="AB11" t="s">
        <v>4667</v>
      </c>
      <c r="AC11">
        <f>COUNTIFS(ALL!$C:$C,$A11,ALL!$A:$A,AB$1)</f>
        <v>28</v>
      </c>
    </row>
    <row r="12" spans="1:29" x14ac:dyDescent="0.45">
      <c r="C12" t="s">
        <v>4668</v>
      </c>
      <c r="E12">
        <f>SUM(E2:E11)</f>
        <v>762</v>
      </c>
      <c r="G12">
        <f>SUM(G2:G11)</f>
        <v>314</v>
      </c>
      <c r="I12">
        <f>SUM(I2:I11)</f>
        <v>767</v>
      </c>
      <c r="K12">
        <f>SUM(K2:K11)</f>
        <v>544</v>
      </c>
      <c r="M12">
        <f>SUM(M2:M11)</f>
        <v>383</v>
      </c>
      <c r="O12">
        <f>SUM(O2:O11)</f>
        <v>45</v>
      </c>
      <c r="Q12">
        <f>SUM(Q2:Q11)</f>
        <v>2</v>
      </c>
      <c r="S12">
        <f>SUM(S2:S11)</f>
        <v>16</v>
      </c>
      <c r="U12">
        <f>SUM(U2:U11)</f>
        <v>18</v>
      </c>
      <c r="W12">
        <f>SUM(W2:W11)</f>
        <v>20</v>
      </c>
      <c r="Y12">
        <f>SUM(Y2:Y11)</f>
        <v>22</v>
      </c>
      <c r="AA12">
        <f>SUM(AA2:AA11)</f>
        <v>348</v>
      </c>
      <c r="AC12">
        <f>SUM(AC2:AC11)</f>
        <v>142</v>
      </c>
    </row>
    <row r="13" spans="1:29" x14ac:dyDescent="0.45">
      <c r="C13" s="46" t="s">
        <v>4669</v>
      </c>
      <c r="D13" s="47">
        <f>SUM(ALL!F:F)</f>
        <v>48408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94621-EC6D-49AE-B210-82C6AC0A4749}">
  <dimension ref="A1:B11"/>
  <sheetViews>
    <sheetView workbookViewId="0">
      <selection activeCell="L2847" sqref="L2847"/>
    </sheetView>
  </sheetViews>
  <sheetFormatPr defaultRowHeight="14.25" x14ac:dyDescent="0.45"/>
  <cols>
    <col min="1" max="1" width="21.73046875" customWidth="1"/>
    <col min="2" max="2" width="53.265625" bestFit="1" customWidth="1"/>
  </cols>
  <sheetData>
    <row r="1" spans="1:2" x14ac:dyDescent="0.45">
      <c r="A1" t="s">
        <v>6</v>
      </c>
      <c r="B1" t="s">
        <v>2</v>
      </c>
    </row>
    <row r="2" spans="1:2" x14ac:dyDescent="0.45">
      <c r="A2" t="s">
        <v>4656</v>
      </c>
      <c r="B2" s="44" t="s">
        <v>12</v>
      </c>
    </row>
    <row r="3" spans="1:2" x14ac:dyDescent="0.45">
      <c r="A3" t="s">
        <v>4657</v>
      </c>
      <c r="B3" s="44" t="s">
        <v>587</v>
      </c>
    </row>
    <row r="4" spans="1:2" x14ac:dyDescent="0.45">
      <c r="B4" s="44" t="s">
        <v>592</v>
      </c>
    </row>
    <row r="5" spans="1:2" x14ac:dyDescent="0.45">
      <c r="B5" s="44" t="s">
        <v>25</v>
      </c>
    </row>
    <row r="6" spans="1:2" x14ac:dyDescent="0.45">
      <c r="B6" s="44" t="s">
        <v>1131</v>
      </c>
    </row>
    <row r="7" spans="1:2" x14ac:dyDescent="0.45">
      <c r="B7" s="44" t="s">
        <v>247</v>
      </c>
    </row>
    <row r="8" spans="1:2" x14ac:dyDescent="0.45">
      <c r="B8" s="44" t="s">
        <v>738</v>
      </c>
    </row>
    <row r="9" spans="1:2" x14ac:dyDescent="0.45">
      <c r="B9" s="44" t="s">
        <v>21</v>
      </c>
    </row>
    <row r="10" spans="1:2" x14ac:dyDescent="0.45">
      <c r="B10" s="44" t="s">
        <v>302</v>
      </c>
    </row>
    <row r="11" spans="1:2" x14ac:dyDescent="0.45">
      <c r="B11" s="44" t="s">
        <v>575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Note xmlns="fce774b4-c9d4-4a8f-80fc-e2982472d72a" xsi:nil="true"/>
    <TaxCatchAll xmlns="a2d2812d-be11-456f-89bb-f2744f6d5ca3" xsi:nil="true"/>
    <lcf76f155ced4ddcb4097134ff3c332f xmlns="fce774b4-c9d4-4a8f-80fc-e2982472d72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A2D0302CE78CC4BB13800D8CA71650E" ma:contentTypeVersion="18" ma:contentTypeDescription="Create a new document." ma:contentTypeScope="" ma:versionID="76214d9f1750a524d9538a972b6567a9">
  <xsd:schema xmlns:xsd="http://www.w3.org/2001/XMLSchema" xmlns:xs="http://www.w3.org/2001/XMLSchema" xmlns:p="http://schemas.microsoft.com/office/2006/metadata/properties" xmlns:ns2="fce774b4-c9d4-4a8f-80fc-e2982472d72a" xmlns:ns3="a2d2812d-be11-456f-89bb-f2744f6d5ca3" targetNamespace="http://schemas.microsoft.com/office/2006/metadata/properties" ma:root="true" ma:fieldsID="a80f3cc1156ccc8e4f1a067d08a77eb6" ns2:_="" ns3:_="">
    <xsd:import namespace="fce774b4-c9d4-4a8f-80fc-e2982472d72a"/>
    <xsd:import namespace="a2d2812d-be11-456f-89bb-f2744f6d5ca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lcf76f155ced4ddcb4097134ff3c332f" minOccurs="0"/>
                <xsd:element ref="ns3:TaxCatchAll" minOccurs="0"/>
                <xsd:element ref="ns2:MediaServiceOCR" minOccurs="0"/>
                <xsd:element ref="ns2:MediaServiceObjectDetectorVersions" minOccurs="0"/>
                <xsd:element ref="ns2:MediaServiceSearchProperties" minOccurs="0"/>
                <xsd:element ref="ns3:SharedWithUsers" minOccurs="0"/>
                <xsd:element ref="ns3:SharedWithDetails" minOccurs="0"/>
                <xsd:element ref="ns2:MediaLengthInSeconds" minOccurs="0"/>
                <xsd:element ref="ns2:MediaServiceLocation" minOccurs="0"/>
                <xsd:element ref="ns2:No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e774b4-c9d4-4a8f-80fc-e2982472d7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55f4345e-8d67-48af-bef8-91c58d16f76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element name="Note" ma:index="24" nillable="true" ma:displayName="Note" ma:format="Dropdown" ma:internalName="Not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2d2812d-be11-456f-89bb-f2744f6d5ca3"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a82bca9a-fc69-4b20-8e48-2c92c16c8f7d}" ma:internalName="TaxCatchAll" ma:showField="CatchAllData" ma:web="a2d2812d-be11-456f-89bb-f2744f6d5ca3">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E8E6919-0838-4F3A-B86E-FC21201805CF}">
  <ds:schemaRefs>
    <ds:schemaRef ds:uri="http://schemas.microsoft.com/sharepoint/v3/contenttype/forms"/>
  </ds:schemaRefs>
</ds:datastoreItem>
</file>

<file path=customXml/itemProps2.xml><?xml version="1.0" encoding="utf-8"?>
<ds:datastoreItem xmlns:ds="http://schemas.openxmlformats.org/officeDocument/2006/customXml" ds:itemID="{127E7B08-6999-4239-A582-69850C753256}">
  <ds:schemaRefs>
    <ds:schemaRef ds:uri="a2d2812d-be11-456f-89bb-f2744f6d5ca3"/>
    <ds:schemaRef ds:uri="http://purl.org/dc/elements/1.1/"/>
    <ds:schemaRef ds:uri="http://schemas.microsoft.com/office/2006/metadata/properties"/>
    <ds:schemaRef ds:uri="fce774b4-c9d4-4a8f-80fc-e2982472d72a"/>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0276349D-9BF4-47A4-B9F1-263F5807F3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ce774b4-c9d4-4a8f-80fc-e2982472d72a"/>
    <ds:schemaRef ds:uri="a2d2812d-be11-456f-89bb-f2744f6d5c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d58addea-5053-4a80-8499-ba4d944910df}" enabled="0" method="" siteId="{d58addea-5053-4a80-8499-ba4d944910d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vt:lpstr>
      <vt:lpstr>Total Counts</vt:lpstr>
      <vt:lpstr>Data Validation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Longo Wolf, Francesca (ACF)</dc:creator>
  <cp:lastModifiedBy>Janyjor Ruei</cp:lastModifiedBy>
  <dcterms:created xsi:type="dcterms:W3CDTF">2025-12-04T20:59:31Z</dcterms:created>
  <dcterms:modified xsi:type="dcterms:W3CDTF">2026-01-14T18:04:34Z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0x0101003A2D0302CE78CC4BB13800D8CA71650E</vt:lpwstr>
  </property>
  <property fmtid="{D5CDD505-2E9C-101B-9397-08002B2CF9AE}" pid="3" name="MediaServiceImageTags">
    <vt:lpwstr/>
  </property>
</Properties>
</file>